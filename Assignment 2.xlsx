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p\OneDrive\Documents\Excel Wroksheets\"/>
    </mc:Choice>
  </mc:AlternateContent>
  <xr:revisionPtr revIDLastSave="0" documentId="13_ncr:1_{93B9128B-CCA5-4D8C-B990-21669AB6C583}" xr6:coauthVersionLast="47" xr6:coauthVersionMax="47" xr10:uidLastSave="{00000000-0000-0000-0000-000000000000}"/>
  <bookViews>
    <workbookView xWindow="-108" yWindow="-108" windowWidth="23256" windowHeight="12456" activeTab="1" xr2:uid="{8DCEFC60-F7C4-4110-9CA2-C1B757C8A28B}"/>
  </bookViews>
  <sheets>
    <sheet name="Data set " sheetId="1" r:id="rId1"/>
    <sheet name="Cleaned Data " sheetId="4" r:id="rId2"/>
    <sheet name="Observation" sheetId="2" r:id="rId3"/>
  </sheets>
  <definedNames>
    <definedName name="_xlnm._FilterDatabase" localSheetId="1" hidden="1">'Cleaned Data '!$A$1:$F$35</definedName>
    <definedName name="_xlnm._FilterDatabase" localSheetId="0" hidden="1">'Data set '!$A$1:$F$1</definedName>
    <definedName name="_xlnm._FilterDatabase" localSheetId="2" hidden="1">Observation!$I$1:$N$35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2" i="2"/>
  <c r="J2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I4" i="2"/>
  <c r="I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</calcChain>
</file>

<file path=xl/sharedStrings.xml><?xml version="1.0" encoding="utf-8"?>
<sst xmlns="http://schemas.openxmlformats.org/spreadsheetml/2006/main" count="741" uniqueCount="160">
  <si>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</si>
  <si>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</si>
  <si>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</si>
  <si>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</si>
  <si>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</si>
  <si>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</si>
  <si>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</si>
  <si>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</si>
  <si>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</si>
  <si>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</si>
  <si>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</si>
  <si>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</si>
  <si>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</si>
  <si>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</si>
  <si>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</si>
  <si>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</si>
  <si>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</si>
  <si>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</si>
  <si>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</si>
  <si>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</si>
  <si>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</si>
  <si>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</si>
  <si>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</si>
  <si>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</si>
  <si>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</si>
  <si>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</si>
  <si>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</si>
  <si>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</si>
  <si>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</si>
  <si>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</si>
  <si>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</si>
  <si>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</si>
  <si>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</si>
  <si>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</si>
  <si>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</si>
  <si>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</si>
  <si>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</si>
  <si>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</si>
  <si>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</si>
  <si>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</si>
  <si>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</si>
  <si>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</si>
  <si>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</si>
  <si>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</si>
  <si>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</si>
  <si>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</si>
  <si>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</si>
  <si>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</si>
  <si>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</si>
  <si>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</si>
  <si>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</si>
  <si>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</si>
  <si>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</si>
  <si>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</si>
  <si>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</si>
  <si>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</si>
  <si>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</si>
  <si>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</si>
  <si>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</si>
  <si>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</si>
  <si>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</si>
  <si>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</si>
  <si>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</si>
  <si>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</si>
  <si>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</si>
  <si>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</si>
  <si>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</si>
  <si>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</si>
  <si>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</si>
  <si>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</si>
  <si>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</si>
  <si>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</si>
  <si>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</si>
  <si>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</si>
  <si>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</si>
  <si>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</si>
  <si>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</si>
  <si>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</si>
  <si>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</si>
  <si>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</si>
  <si>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</si>
  <si>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</si>
  <si>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</si>
  <si>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</si>
  <si>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</si>
  <si>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</si>
  <si>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</si>
  <si>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</si>
  <si>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</si>
  <si>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</si>
  <si>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</si>
  <si>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</si>
  <si>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</si>
  <si>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</si>
  <si>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</si>
  <si>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</si>
  <si>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</si>
  <si>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</si>
  <si>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</si>
  <si>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T-Shirt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</si>
  <si>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</si>
  <si>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</si>
  <si>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</si>
  <si>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</si>
  <si>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</si>
  <si>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</si>
  <si>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</si>
  <si>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</si>
  <si>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</si>
  <si>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</si>
  <si>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New Price</t>
  </si>
  <si>
    <t>New Product Name</t>
  </si>
  <si>
    <t xml:space="preserve">Manufacturing Date </t>
  </si>
  <si>
    <t>Country Code</t>
  </si>
  <si>
    <t>Manufacturing Date</t>
  </si>
  <si>
    <t>$1000</t>
  </si>
  <si>
    <t>$80</t>
  </si>
  <si>
    <t>$130</t>
  </si>
  <si>
    <t>$900</t>
  </si>
  <si>
    <t>$70</t>
  </si>
  <si>
    <t>$140</t>
  </si>
  <si>
    <t>$30</t>
  </si>
  <si>
    <t>$90</t>
  </si>
  <si>
    <t>$500</t>
  </si>
  <si>
    <t>$950</t>
  </si>
  <si>
    <t>$120</t>
  </si>
  <si>
    <t>$150</t>
  </si>
  <si>
    <t>$250</t>
  </si>
  <si>
    <t>$50</t>
  </si>
  <si>
    <t>$160</t>
  </si>
  <si>
    <t>$980</t>
  </si>
  <si>
    <t>$700</t>
  </si>
  <si>
    <t>$800</t>
  </si>
  <si>
    <t>$115</t>
  </si>
  <si>
    <t>$400</t>
  </si>
  <si>
    <t>$60</t>
  </si>
  <si>
    <t>$40</t>
  </si>
  <si>
    <t>$100</t>
  </si>
  <si>
    <t/>
  </si>
  <si>
    <t>Laptop Electronics</t>
  </si>
  <si>
    <t>Sneakers Fashion</t>
  </si>
  <si>
    <t>Coffee Maker Kitchen</t>
  </si>
  <si>
    <t>Smartphone Electronics</t>
  </si>
  <si>
    <t>Backpack Outdoor</t>
  </si>
  <si>
    <t>Headphones Electronics</t>
  </si>
  <si>
    <t>T-Shirt Fashion</t>
  </si>
  <si>
    <t>Blender Kitchen</t>
  </si>
  <si>
    <t>Tablet Electronics</t>
  </si>
  <si>
    <t>Hiking Boots Outdoor</t>
  </si>
  <si>
    <t>Smartwatch Electronics</t>
  </si>
  <si>
    <t>Laptop Bag Accessories</t>
  </si>
  <si>
    <t>Sunglasses Fashion</t>
  </si>
  <si>
    <t>Camping Tent Outdoor</t>
  </si>
  <si>
    <t>Camera Electronics</t>
  </si>
  <si>
    <t>Microwave Kitchen</t>
  </si>
  <si>
    <t>Fitness Tracker Electronics</t>
  </si>
  <si>
    <t>Dress Fashion</t>
  </si>
  <si>
    <t>Toaster Kitchen</t>
  </si>
  <si>
    <t>Jeans Fashion</t>
  </si>
  <si>
    <t>Watch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</si>
</sst>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5C]#,##0"/>
    <numFmt numFmtId="167" formatCode="[$$-45C]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1" fillId="0" borderId="0" xfId="0" applyFont="1"/>
    <xf numFmtId="0" fontId="4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14" fontId="3" fillId="0" borderId="0" xfId="0" applyNumberFormat="1" applyFont="1"/>
    <xf numFmtId="14" fontId="0" fillId="0" borderId="0" xfId="0" applyNumberFormat="1"/>
    <xf numFmtId="164" fontId="0" fillId="0" borderId="0" xfId="0" applyNumberFormat="1"/>
    <xf numFmtId="0" fontId="0" fillId="0" borderId="0" xfId="0" applyFill="1"/>
    <xf numFmtId="167" fontId="0" fillId="0" borderId="0" xfId="0" applyNumberFormat="1"/>
    <xf numFmtId="164" fontId="0" fillId="0" borderId="0" xfId="0" applyNumberFormat="1" applyFill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2060"/>
        </patternFill>
      </fill>
    </dxf>
    <dxf>
      <fill>
        <patternFill>
          <bgColor rgb="FF92D05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05E3-2E6B-4C07-B458-8C4EF6C67255}">
  <dimension ref="A1:F35"/>
  <sheetViews>
    <sheetView topLeftCell="A16" workbookViewId="0">
      <selection sqref="A1:A1048576"/>
    </sheetView>
  </sheetViews>
  <sheetFormatPr defaultRowHeight="14.4"/>
  <cols>
    <col min="1" max="1" width="15.21875" customWidth="1"/>
    <col min="2" max="2" width="16.33203125" customWidth="1"/>
    <col min="3" max="3" width="12.5546875" customWidth="1"/>
    <col min="6" max="6" width="14.21875" customWidth="1"/>
    <col min="14" max="14" width="9.21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6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6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6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6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6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6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3.8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</sheetData>
  <autoFilter ref="A1:F1" xr:uid="{47DF05E3-2E6B-4C07-B458-8C4EF6C6725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D9B0-6A7D-478B-ABAA-472435A39642}">
  <dimension ref="A1:N37"/>
  <sheetViews>
    <sheetView tabSelected="1" workbookViewId="0">
      <selection activeCell="C23" sqref="C23"/>
    </sheetView>
  </sheetViews>
  <sheetFormatPr defaultRowHeight="14.4"/>
  <cols>
    <col min="1" max="1" width="15" customWidth="1"/>
    <col min="3" max="3" width="12.88671875" customWidth="1"/>
    <col min="4" max="4" width="8.5546875" style="10" customWidth="1"/>
    <col min="6" max="6" width="8.77734375" customWidth="1"/>
  </cols>
  <sheetData>
    <row r="1" spans="1:14">
      <c r="A1" s="6" t="s">
        <v>114</v>
      </c>
      <c r="B1" s="6" t="s">
        <v>113</v>
      </c>
      <c r="C1" s="5" t="s">
        <v>2</v>
      </c>
      <c r="D1" s="6" t="s">
        <v>3</v>
      </c>
      <c r="E1" s="6" t="s">
        <v>4</v>
      </c>
      <c r="F1" s="6" t="s">
        <v>5</v>
      </c>
      <c r="G1" s="6"/>
    </row>
    <row r="2" spans="1:14">
      <c r="A2" s="7">
        <v>46050</v>
      </c>
      <c r="B2" t="s">
        <v>97</v>
      </c>
      <c r="C2" t="s">
        <v>139</v>
      </c>
      <c r="D2" s="9">
        <v>1000</v>
      </c>
      <c r="E2">
        <v>30</v>
      </c>
      <c r="F2" t="s">
        <v>9</v>
      </c>
    </row>
    <row r="3" spans="1:14">
      <c r="A3" s="7">
        <v>46051</v>
      </c>
      <c r="B3" t="s">
        <v>97</v>
      </c>
      <c r="C3" t="s">
        <v>140</v>
      </c>
      <c r="D3" s="9">
        <v>80</v>
      </c>
      <c r="E3">
        <v>15</v>
      </c>
      <c r="F3" t="s">
        <v>13</v>
      </c>
    </row>
    <row r="4" spans="1:14">
      <c r="A4" s="7">
        <v>46052</v>
      </c>
      <c r="B4" t="s">
        <v>97</v>
      </c>
      <c r="C4" t="s">
        <v>141</v>
      </c>
      <c r="D4" s="9">
        <v>130</v>
      </c>
      <c r="E4">
        <v>40</v>
      </c>
      <c r="F4" t="s">
        <v>17</v>
      </c>
    </row>
    <row r="5" spans="1:14">
      <c r="A5" s="7">
        <v>46053</v>
      </c>
      <c r="B5" t="s">
        <v>97</v>
      </c>
      <c r="C5" t="s">
        <v>142</v>
      </c>
      <c r="D5" s="9">
        <v>900</v>
      </c>
      <c r="E5">
        <v>25</v>
      </c>
      <c r="F5" t="s">
        <v>9</v>
      </c>
    </row>
    <row r="6" spans="1:14">
      <c r="A6" s="7">
        <v>46054</v>
      </c>
      <c r="B6" t="s">
        <v>97</v>
      </c>
      <c r="C6" t="s">
        <v>143</v>
      </c>
      <c r="D6" s="9">
        <v>70</v>
      </c>
      <c r="E6">
        <v>20</v>
      </c>
      <c r="F6" t="s">
        <v>40</v>
      </c>
      <c r="N6" s="11"/>
    </row>
    <row r="7" spans="1:14">
      <c r="A7" s="7">
        <v>46055</v>
      </c>
      <c r="B7" t="s">
        <v>98</v>
      </c>
      <c r="C7" t="s">
        <v>144</v>
      </c>
      <c r="D7" s="9">
        <v>140</v>
      </c>
      <c r="E7">
        <v>45</v>
      </c>
      <c r="F7" t="s">
        <v>9</v>
      </c>
    </row>
    <row r="8" spans="1:14">
      <c r="A8" s="7">
        <v>46056</v>
      </c>
      <c r="B8" t="s">
        <v>98</v>
      </c>
      <c r="C8" t="s">
        <v>145</v>
      </c>
      <c r="D8" s="9">
        <v>30</v>
      </c>
      <c r="E8">
        <v>5</v>
      </c>
      <c r="F8" t="s">
        <v>13</v>
      </c>
    </row>
    <row r="9" spans="1:14">
      <c r="A9" s="7">
        <v>46057</v>
      </c>
      <c r="B9" t="s">
        <v>98</v>
      </c>
      <c r="C9" t="s">
        <v>146</v>
      </c>
      <c r="D9" s="9">
        <v>90</v>
      </c>
      <c r="E9">
        <v>35</v>
      </c>
      <c r="F9" t="s">
        <v>17</v>
      </c>
    </row>
    <row r="10" spans="1:14">
      <c r="A10" s="7">
        <v>46058</v>
      </c>
      <c r="B10" t="s">
        <v>98</v>
      </c>
      <c r="C10" t="s">
        <v>147</v>
      </c>
      <c r="D10" s="9">
        <v>500</v>
      </c>
      <c r="E10">
        <v>50</v>
      </c>
      <c r="F10" t="s">
        <v>9</v>
      </c>
    </row>
    <row r="11" spans="1:14">
      <c r="A11" s="7">
        <v>46059</v>
      </c>
      <c r="B11" t="s">
        <v>98</v>
      </c>
      <c r="C11" t="s">
        <v>148</v>
      </c>
      <c r="D11" s="9">
        <v>130</v>
      </c>
      <c r="E11">
        <v>10</v>
      </c>
      <c r="F11" t="s">
        <v>40</v>
      </c>
    </row>
    <row r="12" spans="1:14">
      <c r="A12" s="7">
        <v>46060</v>
      </c>
      <c r="B12" t="s">
        <v>100</v>
      </c>
      <c r="C12" t="s">
        <v>139</v>
      </c>
      <c r="D12" s="9">
        <v>950</v>
      </c>
      <c r="E12">
        <v>25</v>
      </c>
      <c r="F12" t="s">
        <v>9</v>
      </c>
    </row>
    <row r="13" spans="1:14">
      <c r="A13" s="7">
        <v>46061</v>
      </c>
      <c r="B13" t="s">
        <v>101</v>
      </c>
      <c r="C13" t="s">
        <v>140</v>
      </c>
      <c r="D13" s="9">
        <v>90</v>
      </c>
      <c r="E13">
        <v>40</v>
      </c>
      <c r="F13" t="s">
        <v>13</v>
      </c>
    </row>
    <row r="14" spans="1:14">
      <c r="A14" s="7">
        <v>46062</v>
      </c>
      <c r="B14" t="s">
        <v>102</v>
      </c>
      <c r="C14" t="s">
        <v>141</v>
      </c>
      <c r="D14" s="9">
        <v>120</v>
      </c>
      <c r="E14">
        <v>35</v>
      </c>
      <c r="F14" t="s">
        <v>17</v>
      </c>
    </row>
    <row r="15" spans="1:14">
      <c r="A15" s="7">
        <v>46063</v>
      </c>
      <c r="B15" t="s">
        <v>103</v>
      </c>
      <c r="C15" t="s">
        <v>149</v>
      </c>
      <c r="D15" s="9">
        <v>150</v>
      </c>
      <c r="E15">
        <v>15</v>
      </c>
      <c r="F15" t="s">
        <v>9</v>
      </c>
    </row>
    <row r="16" spans="1:14">
      <c r="A16" s="7">
        <v>46064</v>
      </c>
      <c r="B16" t="s">
        <v>104</v>
      </c>
      <c r="C16" t="s">
        <v>144</v>
      </c>
      <c r="D16" s="9">
        <v>250</v>
      </c>
      <c r="E16">
        <v>20</v>
      </c>
      <c r="F16" t="s">
        <v>9</v>
      </c>
    </row>
    <row r="17" spans="1:6">
      <c r="A17" s="7">
        <v>46065</v>
      </c>
      <c r="B17" t="s">
        <v>103</v>
      </c>
      <c r="C17" t="s">
        <v>150</v>
      </c>
      <c r="D17" s="9">
        <v>50</v>
      </c>
      <c r="E17">
        <v>35</v>
      </c>
      <c r="F17" t="s">
        <v>56</v>
      </c>
    </row>
    <row r="18" spans="1:6">
      <c r="A18" s="7">
        <v>46066</v>
      </c>
      <c r="B18" t="s">
        <v>105</v>
      </c>
      <c r="C18" t="s">
        <v>149</v>
      </c>
      <c r="D18" s="9">
        <v>160</v>
      </c>
      <c r="E18">
        <v>15</v>
      </c>
      <c r="F18" t="s">
        <v>9</v>
      </c>
    </row>
    <row r="19" spans="1:6">
      <c r="A19" s="7">
        <v>46067</v>
      </c>
      <c r="B19" t="s">
        <v>106</v>
      </c>
      <c r="C19" t="s">
        <v>139</v>
      </c>
      <c r="D19" s="9">
        <v>980</v>
      </c>
      <c r="E19">
        <v>10</v>
      </c>
      <c r="F19" t="s">
        <v>9</v>
      </c>
    </row>
    <row r="20" spans="1:6">
      <c r="A20" s="7">
        <v>46068</v>
      </c>
      <c r="B20" t="s">
        <v>98</v>
      </c>
      <c r="C20" t="s">
        <v>151</v>
      </c>
      <c r="D20" s="9">
        <v>150</v>
      </c>
      <c r="E20">
        <v>15</v>
      </c>
      <c r="F20" t="s">
        <v>13</v>
      </c>
    </row>
    <row r="21" spans="1:6">
      <c r="A21" s="7">
        <v>46069</v>
      </c>
      <c r="B21" t="s">
        <v>97</v>
      </c>
      <c r="C21" t="s">
        <v>152</v>
      </c>
      <c r="D21" s="9">
        <v>130</v>
      </c>
      <c r="E21">
        <v>10</v>
      </c>
      <c r="F21" t="s">
        <v>40</v>
      </c>
    </row>
    <row r="22" spans="1:6">
      <c r="A22" s="7">
        <v>46070</v>
      </c>
      <c r="B22" t="s">
        <v>107</v>
      </c>
      <c r="C22" t="s">
        <v>153</v>
      </c>
      <c r="D22" s="9">
        <v>700</v>
      </c>
      <c r="E22">
        <v>50</v>
      </c>
      <c r="F22" t="s">
        <v>9</v>
      </c>
    </row>
    <row r="23" spans="1:6">
      <c r="A23" s="7">
        <v>46071</v>
      </c>
      <c r="B23" t="s">
        <v>103</v>
      </c>
      <c r="C23" t="s">
        <v>154</v>
      </c>
      <c r="D23" s="9">
        <v>80</v>
      </c>
      <c r="E23">
        <v>20</v>
      </c>
      <c r="F23" t="s">
        <v>17</v>
      </c>
    </row>
    <row r="24" spans="1:6">
      <c r="A24" s="7">
        <v>46072</v>
      </c>
      <c r="B24" t="s">
        <v>108</v>
      </c>
      <c r="C24" t="s">
        <v>155</v>
      </c>
      <c r="D24" s="9">
        <v>150</v>
      </c>
      <c r="E24">
        <v>30</v>
      </c>
      <c r="F24" t="s">
        <v>9</v>
      </c>
    </row>
    <row r="25" spans="1:6">
      <c r="A25" s="7">
        <v>46073</v>
      </c>
      <c r="B25" t="s">
        <v>103</v>
      </c>
      <c r="C25" t="s">
        <v>150</v>
      </c>
      <c r="D25" s="9">
        <v>50</v>
      </c>
      <c r="E25">
        <v>35</v>
      </c>
      <c r="F25" t="s">
        <v>56</v>
      </c>
    </row>
    <row r="26" spans="1:6">
      <c r="A26" s="7">
        <v>46074</v>
      </c>
      <c r="B26" t="s">
        <v>103</v>
      </c>
      <c r="C26" t="s">
        <v>142</v>
      </c>
      <c r="D26" s="9">
        <v>800</v>
      </c>
      <c r="E26">
        <v>45</v>
      </c>
      <c r="F26" t="s">
        <v>9</v>
      </c>
    </row>
    <row r="27" spans="1:6">
      <c r="A27" s="7">
        <v>46075</v>
      </c>
      <c r="B27" t="s">
        <v>103</v>
      </c>
      <c r="C27" t="s">
        <v>151</v>
      </c>
      <c r="D27" s="9">
        <v>115</v>
      </c>
      <c r="E27">
        <v>25</v>
      </c>
      <c r="F27" t="s">
        <v>13</v>
      </c>
    </row>
    <row r="28" spans="1:6">
      <c r="A28" s="7">
        <v>46076</v>
      </c>
      <c r="B28" t="s">
        <v>103</v>
      </c>
      <c r="C28" t="s">
        <v>146</v>
      </c>
      <c r="D28" s="9">
        <v>400</v>
      </c>
      <c r="E28">
        <v>40</v>
      </c>
      <c r="F28" t="s">
        <v>17</v>
      </c>
    </row>
    <row r="29" spans="1:6">
      <c r="A29" s="7">
        <v>46077</v>
      </c>
      <c r="B29" t="s">
        <v>104</v>
      </c>
      <c r="C29" t="s">
        <v>144</v>
      </c>
      <c r="D29" s="9">
        <v>250</v>
      </c>
      <c r="E29">
        <v>20</v>
      </c>
      <c r="F29" t="s">
        <v>9</v>
      </c>
    </row>
    <row r="30" spans="1:6">
      <c r="A30" s="7">
        <v>46078</v>
      </c>
      <c r="B30" t="s">
        <v>103</v>
      </c>
      <c r="C30" t="s">
        <v>156</v>
      </c>
      <c r="D30" s="9">
        <v>60</v>
      </c>
      <c r="E30">
        <v>30</v>
      </c>
      <c r="F30" t="s">
        <v>13</v>
      </c>
    </row>
    <row r="31" spans="1:6">
      <c r="A31" s="7">
        <v>46079</v>
      </c>
      <c r="B31" t="s">
        <v>103</v>
      </c>
      <c r="C31" t="s">
        <v>157</v>
      </c>
      <c r="D31" s="9">
        <v>40</v>
      </c>
      <c r="E31">
        <v>10</v>
      </c>
      <c r="F31" t="s">
        <v>17</v>
      </c>
    </row>
    <row r="32" spans="1:6">
      <c r="A32" s="7">
        <v>46080</v>
      </c>
      <c r="B32" t="s">
        <v>103</v>
      </c>
      <c r="C32" t="s">
        <v>155</v>
      </c>
      <c r="D32" s="9">
        <v>130</v>
      </c>
      <c r="E32">
        <v>5</v>
      </c>
      <c r="F32" t="s">
        <v>9</v>
      </c>
    </row>
    <row r="33" spans="1:6">
      <c r="A33" s="7">
        <v>46081</v>
      </c>
      <c r="B33" t="s">
        <v>103</v>
      </c>
      <c r="C33" t="s">
        <v>158</v>
      </c>
      <c r="D33" s="9">
        <v>50</v>
      </c>
      <c r="E33">
        <v>50</v>
      </c>
      <c r="F33" t="s">
        <v>13</v>
      </c>
    </row>
    <row r="34" spans="1:6">
      <c r="A34" s="7">
        <v>46082</v>
      </c>
      <c r="B34" t="s">
        <v>100</v>
      </c>
      <c r="C34" t="s">
        <v>139</v>
      </c>
      <c r="D34" s="9">
        <v>950</v>
      </c>
      <c r="E34">
        <v>25</v>
      </c>
      <c r="F34" t="s">
        <v>9</v>
      </c>
    </row>
    <row r="35" spans="1:6">
      <c r="A35" s="7">
        <v>46083</v>
      </c>
      <c r="B35" t="s">
        <v>109</v>
      </c>
      <c r="C35" t="s">
        <v>159</v>
      </c>
      <c r="D35" s="9">
        <v>100</v>
      </c>
      <c r="E35">
        <v>20</v>
      </c>
      <c r="F35" t="s">
        <v>56</v>
      </c>
    </row>
    <row r="36" spans="1:6">
      <c r="D36" s="9"/>
    </row>
    <row r="37" spans="1:6">
      <c r="D37" s="12"/>
    </row>
  </sheetData>
  <autoFilter ref="A1:F35" xr:uid="{885ED9B0-6A7D-478B-ABAA-472435A39642}"/>
  <conditionalFormatting sqref="F1:F1048576">
    <cfRule type="containsText" dxfId="2" priority="14" operator="containsText" text="Electronics">
      <formula>NOT(ISERROR(SEARCH("Electronics",F1)))</formula>
    </cfRule>
  </conditionalFormatting>
  <conditionalFormatting sqref="D2:D36">
    <cfRule type="cellIs" dxfId="1" priority="1" operator="between">
      <formula>500</formula>
      <formula>1000</formula>
    </cfRule>
  </conditionalFormatting>
  <conditionalFormatting sqref="D37:D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1048576 D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{93F6F84C-0A98-4922-8F36-2EF2A355C113}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F6F84C-0A98-4922-8F36-2EF2A355C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D37:D1048576 D1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EAF3-D869-4D78-AF99-5E7F10EDD0A7}">
  <dimension ref="A1:AF46"/>
  <sheetViews>
    <sheetView topLeftCell="M1" workbookViewId="0">
      <selection activeCell="S21" sqref="S21"/>
    </sheetView>
  </sheetViews>
  <sheetFormatPr defaultRowHeight="14.4"/>
  <cols>
    <col min="1" max="1" width="11.44140625" customWidth="1"/>
    <col min="2" max="2" width="14.109375" customWidth="1"/>
    <col min="3" max="3" width="6.77734375" customWidth="1"/>
    <col min="4" max="4" width="5.44140625" customWidth="1"/>
    <col min="5" max="5" width="5.88671875" customWidth="1"/>
    <col min="6" max="6" width="5.109375" customWidth="1"/>
    <col min="8" max="8" width="18.5546875" customWidth="1"/>
    <col min="10" max="10" width="6.44140625" customWidth="1"/>
    <col min="11" max="11" width="13.109375" customWidth="1"/>
    <col min="12" max="12" width="14.109375" customWidth="1"/>
    <col min="14" max="14" width="5.109375" customWidth="1"/>
    <col min="15" max="15" width="15.88671875" customWidth="1"/>
    <col min="16" max="16" width="11.6640625" customWidth="1"/>
    <col min="23" max="23" width="14.77734375" customWidth="1"/>
    <col min="30" max="30" width="8.44140625" customWidth="1"/>
    <col min="31" max="31" width="18.21875" style="8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>
        <v>1</v>
      </c>
      <c r="I1" s="1" t="s">
        <v>110</v>
      </c>
      <c r="J1" s="1" t="s">
        <v>5</v>
      </c>
      <c r="K1">
        <v>2</v>
      </c>
      <c r="L1" s="1" t="s">
        <v>1</v>
      </c>
      <c r="M1" s="5" t="s">
        <v>111</v>
      </c>
      <c r="N1" s="1" t="s">
        <v>5</v>
      </c>
      <c r="O1">
        <v>3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>
        <v>4</v>
      </c>
      <c r="W1" s="1" t="s">
        <v>0</v>
      </c>
      <c r="X1" s="5" t="s">
        <v>112</v>
      </c>
      <c r="Y1" s="5" t="s">
        <v>113</v>
      </c>
      <c r="Z1" s="5" t="s">
        <v>111</v>
      </c>
      <c r="AA1" s="5" t="s">
        <v>5</v>
      </c>
      <c r="AB1" s="5" t="s">
        <v>2</v>
      </c>
      <c r="AC1">
        <v>5</v>
      </c>
      <c r="AD1" s="1" t="s">
        <v>3</v>
      </c>
      <c r="AE1" s="6" t="s">
        <v>114</v>
      </c>
      <c r="AF1">
        <v>6</v>
      </c>
    </row>
    <row r="2" spans="1:3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I2">
        <f t="shared" ref="I2:I35" si="0">IF(D2="",MEDIAN(D2:D35),D2)</f>
        <v>1000</v>
      </c>
      <c r="J2" t="str">
        <f t="shared" ref="J2:J35" si="1">IF(F2&lt;&gt;"",F2, IF(B2="Backpack","Outdoor", IF(B2="Sneakers","Fashion", IF(B2="Coffee Maker","Kitchen", IF(B2="Fitness Tracker","Electronics","")))))</f>
        <v>Electronics</v>
      </c>
      <c r="L2" s="2" t="s">
        <v>7</v>
      </c>
      <c r="M2" t="str">
        <f>PROPER(L2)</f>
        <v>Laptop</v>
      </c>
      <c r="N2" s="2" t="s">
        <v>9</v>
      </c>
      <c r="P2" s="2" t="s">
        <v>6</v>
      </c>
      <c r="Q2" s="2" t="s">
        <v>7</v>
      </c>
      <c r="R2" s="2" t="s">
        <v>8</v>
      </c>
      <c r="S2" s="2">
        <v>1000</v>
      </c>
      <c r="T2" s="2">
        <v>30</v>
      </c>
      <c r="U2" s="2" t="s">
        <v>9</v>
      </c>
      <c r="W2" s="2" t="s">
        <v>6</v>
      </c>
      <c r="X2" t="str">
        <f>LEFT(P2,6)</f>
        <v>28-JAN</v>
      </c>
      <c r="Y2" t="str">
        <f>RIGHT(W2,2)</f>
        <v>US</v>
      </c>
      <c r="Z2" t="s">
        <v>42</v>
      </c>
      <c r="AA2" t="s">
        <v>9</v>
      </c>
      <c r="AB2" t="str">
        <f>CONCATENATE(Z2," ",AA2)</f>
        <v>Laptop Electronics</v>
      </c>
      <c r="AD2" s="9" t="s">
        <v>115</v>
      </c>
      <c r="AE2" s="7">
        <v>46050</v>
      </c>
    </row>
    <row r="3" spans="1:3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>
        <f t="shared" si="0"/>
        <v>80</v>
      </c>
      <c r="J3" t="str">
        <f t="shared" si="1"/>
        <v>Fashion</v>
      </c>
      <c r="L3" s="3" t="s">
        <v>11</v>
      </c>
      <c r="M3" t="str">
        <f t="shared" ref="M3:M35" si="2">PROPER(L3)</f>
        <v>Sneakers</v>
      </c>
      <c r="N3" s="3" t="s">
        <v>13</v>
      </c>
      <c r="P3" s="3" t="s">
        <v>10</v>
      </c>
      <c r="Q3" s="3" t="s">
        <v>11</v>
      </c>
      <c r="R3" s="3" t="s">
        <v>12</v>
      </c>
      <c r="S3" s="3">
        <v>80</v>
      </c>
      <c r="T3" s="3">
        <v>15</v>
      </c>
      <c r="U3" s="3" t="s">
        <v>13</v>
      </c>
      <c r="W3" s="3" t="s">
        <v>10</v>
      </c>
      <c r="X3" t="str">
        <f t="shared" ref="X3:X35" si="3">LEFT(P3,6)</f>
        <v>15-FEB</v>
      </c>
      <c r="Y3" t="str">
        <f t="shared" ref="Y3:Y35" si="4">RIGHT(W3,2)</f>
        <v>US</v>
      </c>
      <c r="Z3" t="s">
        <v>11</v>
      </c>
      <c r="AA3" t="s">
        <v>13</v>
      </c>
      <c r="AB3" t="str">
        <f t="shared" ref="AB3:AB35" si="5">CONCATENATE(Z3," ",AA3)</f>
        <v>Sneakers Fashion</v>
      </c>
      <c r="AD3" s="9" t="s">
        <v>116</v>
      </c>
      <c r="AE3" s="7">
        <v>46051</v>
      </c>
    </row>
    <row r="4" spans="1:3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>
        <f t="shared" si="0"/>
        <v>130</v>
      </c>
      <c r="J4" t="str">
        <f t="shared" si="1"/>
        <v>Kitchen</v>
      </c>
      <c r="L4" s="2" t="s">
        <v>15</v>
      </c>
      <c r="M4" t="str">
        <f t="shared" si="2"/>
        <v>Coffee Maker</v>
      </c>
      <c r="N4" s="2" t="s">
        <v>17</v>
      </c>
      <c r="P4" s="2" t="s">
        <v>14</v>
      </c>
      <c r="Q4" s="2" t="s">
        <v>15</v>
      </c>
      <c r="R4" s="2" t="s">
        <v>16</v>
      </c>
      <c r="S4" s="2">
        <v>130</v>
      </c>
      <c r="T4" s="2">
        <v>40</v>
      </c>
      <c r="U4" s="2" t="s">
        <v>17</v>
      </c>
      <c r="W4" s="2" t="s">
        <v>14</v>
      </c>
      <c r="X4" t="str">
        <f t="shared" si="3"/>
        <v>03-MAR</v>
      </c>
      <c r="Y4" t="str">
        <f t="shared" si="4"/>
        <v>US</v>
      </c>
      <c r="Z4" t="s">
        <v>15</v>
      </c>
      <c r="AA4" t="s">
        <v>17</v>
      </c>
      <c r="AB4" t="str">
        <f t="shared" si="5"/>
        <v>Coffee Maker Kitchen</v>
      </c>
      <c r="AD4" s="9" t="s">
        <v>117</v>
      </c>
      <c r="AE4" s="7">
        <v>46052</v>
      </c>
    </row>
    <row r="5" spans="1:3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>
        <f t="shared" si="0"/>
        <v>900</v>
      </c>
      <c r="J5" t="str">
        <f t="shared" si="1"/>
        <v>Electronics</v>
      </c>
      <c r="L5" s="3" t="s">
        <v>19</v>
      </c>
      <c r="M5" t="str">
        <f t="shared" si="2"/>
        <v>Smartphone</v>
      </c>
      <c r="N5" s="3" t="s">
        <v>9</v>
      </c>
      <c r="P5" s="3" t="s">
        <v>18</v>
      </c>
      <c r="Q5" s="3" t="s">
        <v>19</v>
      </c>
      <c r="R5" s="3" t="s">
        <v>20</v>
      </c>
      <c r="S5" s="3">
        <v>900</v>
      </c>
      <c r="T5" s="3">
        <v>25</v>
      </c>
      <c r="U5" s="3" t="s">
        <v>9</v>
      </c>
      <c r="W5" s="3" t="s">
        <v>18</v>
      </c>
      <c r="X5" t="str">
        <f t="shared" si="3"/>
        <v>11-APR</v>
      </c>
      <c r="Y5" t="str">
        <f t="shared" si="4"/>
        <v>US</v>
      </c>
      <c r="Z5" t="s">
        <v>77</v>
      </c>
      <c r="AA5" t="s">
        <v>9</v>
      </c>
      <c r="AB5" t="str">
        <f t="shared" si="5"/>
        <v>Smartphone Electronics</v>
      </c>
      <c r="AD5" s="9" t="s">
        <v>118</v>
      </c>
      <c r="AE5" s="7">
        <v>46053</v>
      </c>
    </row>
    <row r="6" spans="1:3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I6">
        <f t="shared" si="0"/>
        <v>70</v>
      </c>
      <c r="J6" t="str">
        <f t="shared" si="1"/>
        <v>Outdoor</v>
      </c>
      <c r="L6" s="2" t="s">
        <v>22</v>
      </c>
      <c r="M6" t="str">
        <f t="shared" si="2"/>
        <v>Backpack</v>
      </c>
      <c r="N6" s="2" t="s">
        <v>40</v>
      </c>
      <c r="P6" s="2" t="s">
        <v>21</v>
      </c>
      <c r="Q6" s="2" t="s">
        <v>22</v>
      </c>
      <c r="R6" s="2" t="s">
        <v>23</v>
      </c>
      <c r="S6" s="2">
        <v>70</v>
      </c>
      <c r="T6" s="2">
        <v>20</v>
      </c>
      <c r="U6" s="2"/>
      <c r="W6" s="2" t="s">
        <v>21</v>
      </c>
      <c r="X6" t="str">
        <f t="shared" si="3"/>
        <v>22-MAY</v>
      </c>
      <c r="Y6" t="str">
        <f t="shared" si="4"/>
        <v>US</v>
      </c>
      <c r="Z6" t="s">
        <v>22</v>
      </c>
      <c r="AA6" t="s">
        <v>40</v>
      </c>
      <c r="AB6" t="str">
        <f t="shared" si="5"/>
        <v>Backpack Outdoor</v>
      </c>
      <c r="AD6" s="9" t="s">
        <v>119</v>
      </c>
      <c r="AE6" s="7">
        <v>46054</v>
      </c>
    </row>
    <row r="7" spans="1:32" ht="1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  <c r="I7">
        <f t="shared" si="0"/>
        <v>140</v>
      </c>
      <c r="J7" t="str">
        <f t="shared" si="1"/>
        <v>Electroni</v>
      </c>
      <c r="L7" s="3" t="s">
        <v>25</v>
      </c>
      <c r="M7" t="str">
        <f t="shared" si="2"/>
        <v>Headphones</v>
      </c>
      <c r="N7" s="3" t="s">
        <v>9</v>
      </c>
      <c r="P7" s="3" t="s">
        <v>24</v>
      </c>
      <c r="Q7" s="3" t="s">
        <v>25</v>
      </c>
      <c r="R7" s="3" t="s">
        <v>26</v>
      </c>
      <c r="S7" s="3">
        <v>140</v>
      </c>
      <c r="T7" s="3">
        <v>45</v>
      </c>
      <c r="U7" s="3" t="s">
        <v>27</v>
      </c>
      <c r="W7" s="3" t="s">
        <v>24</v>
      </c>
      <c r="X7" t="str">
        <f t="shared" si="3"/>
        <v>07-JUN</v>
      </c>
      <c r="Y7" t="str">
        <f t="shared" si="4"/>
        <v>UK</v>
      </c>
      <c r="Z7" t="s">
        <v>25</v>
      </c>
      <c r="AA7" t="s">
        <v>9</v>
      </c>
      <c r="AB7" t="str">
        <f t="shared" si="5"/>
        <v>Headphones Electronics</v>
      </c>
      <c r="AD7" s="9" t="s">
        <v>120</v>
      </c>
      <c r="AE7" s="7">
        <v>46055</v>
      </c>
    </row>
    <row r="8" spans="1:3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I8">
        <f t="shared" si="0"/>
        <v>30</v>
      </c>
      <c r="J8" t="str">
        <f t="shared" si="1"/>
        <v>Fashion</v>
      </c>
      <c r="L8" s="2" t="s">
        <v>29</v>
      </c>
      <c r="M8" t="str">
        <f t="shared" si="2"/>
        <v>T-Shirt</v>
      </c>
      <c r="N8" s="2" t="s">
        <v>13</v>
      </c>
      <c r="P8" s="2" t="s">
        <v>28</v>
      </c>
      <c r="Q8" s="2" t="s">
        <v>29</v>
      </c>
      <c r="R8" s="2" t="s">
        <v>30</v>
      </c>
      <c r="S8" s="2">
        <v>30</v>
      </c>
      <c r="T8" s="2">
        <v>5</v>
      </c>
      <c r="U8" s="2" t="s">
        <v>13</v>
      </c>
      <c r="W8" s="2" t="s">
        <v>28</v>
      </c>
      <c r="X8" t="str">
        <f t="shared" si="3"/>
        <v>19-JUL</v>
      </c>
      <c r="Y8" t="str">
        <f t="shared" si="4"/>
        <v>UK</v>
      </c>
      <c r="Z8" t="s">
        <v>99</v>
      </c>
      <c r="AA8" t="s">
        <v>13</v>
      </c>
      <c r="AB8" t="str">
        <f t="shared" si="5"/>
        <v>T-Shirt Fashion</v>
      </c>
      <c r="AD8" s="9" t="s">
        <v>121</v>
      </c>
      <c r="AE8" s="7">
        <v>46056</v>
      </c>
    </row>
    <row r="9" spans="1:3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I9">
        <f t="shared" si="0"/>
        <v>90</v>
      </c>
      <c r="J9" t="str">
        <f t="shared" si="1"/>
        <v>Kitchen</v>
      </c>
      <c r="L9" s="3" t="s">
        <v>32</v>
      </c>
      <c r="M9" t="str">
        <f t="shared" si="2"/>
        <v>Blender</v>
      </c>
      <c r="N9" s="3" t="s">
        <v>17</v>
      </c>
      <c r="P9" s="3" t="s">
        <v>31</v>
      </c>
      <c r="Q9" s="3" t="s">
        <v>32</v>
      </c>
      <c r="R9" s="3" t="s">
        <v>33</v>
      </c>
      <c r="S9" s="3">
        <v>90</v>
      </c>
      <c r="T9" s="3">
        <v>35</v>
      </c>
      <c r="U9" s="3" t="s">
        <v>17</v>
      </c>
      <c r="W9" s="3" t="s">
        <v>31</v>
      </c>
      <c r="X9" t="str">
        <f t="shared" si="3"/>
        <v>23-AUG</v>
      </c>
      <c r="Y9" t="str">
        <f t="shared" si="4"/>
        <v>UK</v>
      </c>
      <c r="Z9" t="s">
        <v>32</v>
      </c>
      <c r="AA9" t="s">
        <v>17</v>
      </c>
      <c r="AB9" t="str">
        <f t="shared" si="5"/>
        <v>Blender Kitchen</v>
      </c>
      <c r="AD9" s="9" t="s">
        <v>122</v>
      </c>
      <c r="AE9" s="7">
        <v>46057</v>
      </c>
    </row>
    <row r="10" spans="1:3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I10">
        <f t="shared" si="0"/>
        <v>500</v>
      </c>
      <c r="J10" t="str">
        <f t="shared" si="1"/>
        <v>Electronics</v>
      </c>
      <c r="L10" s="2" t="s">
        <v>35</v>
      </c>
      <c r="M10" t="str">
        <f t="shared" si="2"/>
        <v>Tablet</v>
      </c>
      <c r="N10" s="2" t="s">
        <v>9</v>
      </c>
      <c r="P10" s="2" t="s">
        <v>34</v>
      </c>
      <c r="Q10" s="2" t="s">
        <v>35</v>
      </c>
      <c r="R10" s="2" t="s">
        <v>36</v>
      </c>
      <c r="S10" s="2">
        <v>500</v>
      </c>
      <c r="T10" s="2">
        <v>50</v>
      </c>
      <c r="U10" s="2" t="s">
        <v>9</v>
      </c>
      <c r="W10" s="2" t="s">
        <v>34</v>
      </c>
      <c r="X10" t="str">
        <f t="shared" si="3"/>
        <v>05-SEP</v>
      </c>
      <c r="Y10" t="str">
        <f t="shared" si="4"/>
        <v>UK</v>
      </c>
      <c r="Z10" t="s">
        <v>35</v>
      </c>
      <c r="AA10" t="s">
        <v>9</v>
      </c>
      <c r="AB10" t="str">
        <f t="shared" si="5"/>
        <v>Tablet Electronics</v>
      </c>
      <c r="AD10" s="9" t="s">
        <v>123</v>
      </c>
      <c r="AE10" s="7">
        <v>46058</v>
      </c>
    </row>
    <row r="11" spans="1:3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I11">
        <f t="shared" si="0"/>
        <v>130</v>
      </c>
      <c r="J11" t="str">
        <f t="shared" si="1"/>
        <v>Outdoor</v>
      </c>
      <c r="L11" s="3" t="s">
        <v>38</v>
      </c>
      <c r="M11" t="str">
        <f t="shared" si="2"/>
        <v>Hiking Boots</v>
      </c>
      <c r="N11" s="3" t="s">
        <v>40</v>
      </c>
      <c r="P11" s="3" t="s">
        <v>37</v>
      </c>
      <c r="Q11" s="3" t="s">
        <v>38</v>
      </c>
      <c r="R11" s="3" t="s">
        <v>39</v>
      </c>
      <c r="S11" s="3">
        <v>130</v>
      </c>
      <c r="T11" s="3">
        <v>10</v>
      </c>
      <c r="U11" s="3" t="s">
        <v>40</v>
      </c>
      <c r="W11" s="3" t="s">
        <v>37</v>
      </c>
      <c r="X11" t="str">
        <f t="shared" si="3"/>
        <v>14-OCT</v>
      </c>
      <c r="Y11" t="str">
        <f t="shared" si="4"/>
        <v>UK</v>
      </c>
      <c r="Z11" t="s">
        <v>38</v>
      </c>
      <c r="AA11" t="s">
        <v>40</v>
      </c>
      <c r="AB11" t="str">
        <f t="shared" si="5"/>
        <v>Hiking Boots Outdoor</v>
      </c>
      <c r="AD11" s="9" t="s">
        <v>117</v>
      </c>
      <c r="AE11" s="7">
        <v>46059</v>
      </c>
    </row>
    <row r="12" spans="1:32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I12">
        <f t="shared" si="0"/>
        <v>950</v>
      </c>
      <c r="J12" t="str">
        <f t="shared" si="1"/>
        <v>Electronics</v>
      </c>
      <c r="L12" s="2" t="s">
        <v>42</v>
      </c>
      <c r="M12" t="str">
        <f t="shared" si="2"/>
        <v>Laptop</v>
      </c>
      <c r="N12" s="2" t="s">
        <v>9</v>
      </c>
      <c r="P12" s="2" t="s">
        <v>41</v>
      </c>
      <c r="Q12" s="2" t="s">
        <v>42</v>
      </c>
      <c r="R12" s="2" t="s">
        <v>43</v>
      </c>
      <c r="S12" s="2">
        <v>950</v>
      </c>
      <c r="T12" s="2">
        <v>25</v>
      </c>
      <c r="U12" s="2" t="s">
        <v>9</v>
      </c>
      <c r="W12" s="2" t="s">
        <v>41</v>
      </c>
      <c r="X12" t="str">
        <f t="shared" si="3"/>
        <v>17-JUN</v>
      </c>
      <c r="Y12" t="str">
        <f t="shared" si="4"/>
        <v>IN</v>
      </c>
      <c r="Z12" t="s">
        <v>42</v>
      </c>
      <c r="AA12" t="s">
        <v>9</v>
      </c>
      <c r="AB12" t="str">
        <f t="shared" si="5"/>
        <v>Laptop Electronics</v>
      </c>
      <c r="AD12" s="9" t="s">
        <v>124</v>
      </c>
      <c r="AE12" s="7">
        <v>46060</v>
      </c>
    </row>
    <row r="13" spans="1:32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I13">
        <f t="shared" si="0"/>
        <v>90</v>
      </c>
      <c r="J13" t="str">
        <f t="shared" si="1"/>
        <v>Fashion</v>
      </c>
      <c r="L13" s="3" t="s">
        <v>11</v>
      </c>
      <c r="M13" t="str">
        <f t="shared" si="2"/>
        <v>Sneakers</v>
      </c>
      <c r="N13" s="3" t="s">
        <v>13</v>
      </c>
      <c r="P13" s="3" t="s">
        <v>44</v>
      </c>
      <c r="Q13" s="3" t="s">
        <v>11</v>
      </c>
      <c r="R13" s="3" t="s">
        <v>30</v>
      </c>
      <c r="S13" s="3">
        <v>90</v>
      </c>
      <c r="T13" s="3">
        <v>40</v>
      </c>
      <c r="U13" s="3"/>
      <c r="W13" s="3" t="s">
        <v>44</v>
      </c>
      <c r="X13" t="str">
        <f t="shared" si="3"/>
        <v>25-NOV</v>
      </c>
      <c r="Y13" t="str">
        <f t="shared" si="4"/>
        <v>AU</v>
      </c>
      <c r="Z13" t="s">
        <v>11</v>
      </c>
      <c r="AA13" t="s">
        <v>13</v>
      </c>
      <c r="AB13" t="str">
        <f t="shared" si="5"/>
        <v>Sneakers Fashion</v>
      </c>
      <c r="AD13" s="9" t="s">
        <v>122</v>
      </c>
      <c r="AE13" s="7">
        <v>46061</v>
      </c>
    </row>
    <row r="14" spans="1:32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I14">
        <f t="shared" si="0"/>
        <v>120</v>
      </c>
      <c r="J14" t="str">
        <f t="shared" si="1"/>
        <v>Kitchen</v>
      </c>
      <c r="L14" s="2" t="s">
        <v>15</v>
      </c>
      <c r="M14" t="str">
        <f t="shared" si="2"/>
        <v>Coffee Maker</v>
      </c>
      <c r="N14" s="2" t="s">
        <v>17</v>
      </c>
      <c r="P14" s="2" t="s">
        <v>45</v>
      </c>
      <c r="Q14" s="2" t="s">
        <v>15</v>
      </c>
      <c r="R14" s="2" t="s">
        <v>46</v>
      </c>
      <c r="S14" s="2">
        <v>120</v>
      </c>
      <c r="T14" s="2">
        <v>35</v>
      </c>
      <c r="U14" s="2"/>
      <c r="W14" s="2" t="s">
        <v>45</v>
      </c>
      <c r="X14" t="str">
        <f t="shared" si="3"/>
        <v>08-DEC</v>
      </c>
      <c r="Y14" t="str">
        <f t="shared" si="4"/>
        <v>DE</v>
      </c>
      <c r="Z14" t="s">
        <v>15</v>
      </c>
      <c r="AA14" t="s">
        <v>17</v>
      </c>
      <c r="AB14" t="str">
        <f t="shared" si="5"/>
        <v>Coffee Maker Kitchen</v>
      </c>
      <c r="AD14" s="9" t="s">
        <v>125</v>
      </c>
      <c r="AE14" s="7">
        <v>46062</v>
      </c>
    </row>
    <row r="15" spans="1:32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  <c r="I15">
        <f t="shared" si="0"/>
        <v>150</v>
      </c>
      <c r="J15" t="str">
        <f t="shared" si="1"/>
        <v>Electroni</v>
      </c>
      <c r="L15" s="3" t="s">
        <v>48</v>
      </c>
      <c r="M15" t="str">
        <f t="shared" si="2"/>
        <v>Smartwatch</v>
      </c>
      <c r="N15" s="3" t="s">
        <v>9</v>
      </c>
      <c r="P15" s="3" t="s">
        <v>47</v>
      </c>
      <c r="Q15" s="3" t="s">
        <v>48</v>
      </c>
      <c r="R15" s="3" t="s">
        <v>49</v>
      </c>
      <c r="S15" s="3">
        <v>150</v>
      </c>
      <c r="T15" s="3">
        <v>15</v>
      </c>
      <c r="U15" s="3" t="s">
        <v>27</v>
      </c>
      <c r="W15" s="3" t="s">
        <v>47</v>
      </c>
      <c r="X15" t="str">
        <f t="shared" si="3"/>
        <v>18-FEB</v>
      </c>
      <c r="Y15" t="str">
        <f t="shared" si="4"/>
        <v>CA</v>
      </c>
      <c r="Z15" t="s">
        <v>48</v>
      </c>
      <c r="AA15" t="s">
        <v>9</v>
      </c>
      <c r="AB15" t="str">
        <f t="shared" si="5"/>
        <v>Smartwatch Electronics</v>
      </c>
      <c r="AD15" s="9" t="s">
        <v>126</v>
      </c>
      <c r="AE15" s="7">
        <v>46063</v>
      </c>
    </row>
    <row r="16" spans="1:32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  <c r="I16">
        <f t="shared" si="0"/>
        <v>250</v>
      </c>
      <c r="J16" t="str">
        <f t="shared" si="1"/>
        <v>Electroni</v>
      </c>
      <c r="L16" s="2" t="s">
        <v>51</v>
      </c>
      <c r="M16" t="str">
        <f t="shared" si="2"/>
        <v>Headphones</v>
      </c>
      <c r="N16" s="2" t="s">
        <v>9</v>
      </c>
      <c r="P16" s="2" t="s">
        <v>50</v>
      </c>
      <c r="Q16" s="2" t="s">
        <v>51</v>
      </c>
      <c r="R16" s="2" t="s">
        <v>52</v>
      </c>
      <c r="S16" s="2">
        <v>250</v>
      </c>
      <c r="T16" s="2">
        <v>20</v>
      </c>
      <c r="U16" s="2" t="s">
        <v>27</v>
      </c>
      <c r="W16" s="2" t="s">
        <v>50</v>
      </c>
      <c r="X16" t="str">
        <f t="shared" si="3"/>
        <v>16-APR</v>
      </c>
      <c r="Y16" t="str">
        <f t="shared" si="4"/>
        <v>ES</v>
      </c>
      <c r="Z16" t="s">
        <v>25</v>
      </c>
      <c r="AA16" t="s">
        <v>9</v>
      </c>
      <c r="AB16" t="str">
        <f t="shared" si="5"/>
        <v>Headphones Electronics</v>
      </c>
      <c r="AD16" s="9" t="s">
        <v>127</v>
      </c>
      <c r="AE16" s="7">
        <v>46064</v>
      </c>
    </row>
    <row r="17" spans="1:3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  <c r="I17">
        <f t="shared" si="0"/>
        <v>50</v>
      </c>
      <c r="J17" t="str">
        <f t="shared" si="1"/>
        <v>Accessories</v>
      </c>
      <c r="L17" s="3" t="s">
        <v>54</v>
      </c>
      <c r="M17" t="str">
        <f t="shared" si="2"/>
        <v>Laptop Bag</v>
      </c>
      <c r="N17" s="3" t="s">
        <v>56</v>
      </c>
      <c r="P17" s="3" t="s">
        <v>53</v>
      </c>
      <c r="Q17" s="3" t="s">
        <v>54</v>
      </c>
      <c r="R17" s="3" t="s">
        <v>55</v>
      </c>
      <c r="S17" s="3">
        <v>50</v>
      </c>
      <c r="T17" s="3">
        <v>35</v>
      </c>
      <c r="U17" s="3" t="s">
        <v>56</v>
      </c>
      <c r="W17" s="3" t="s">
        <v>53</v>
      </c>
      <c r="X17" t="str">
        <f t="shared" si="3"/>
        <v>21-AUG</v>
      </c>
      <c r="Y17" t="str">
        <f t="shared" si="4"/>
        <v>CA</v>
      </c>
      <c r="Z17" t="s">
        <v>54</v>
      </c>
      <c r="AA17" t="s">
        <v>56</v>
      </c>
      <c r="AB17" t="str">
        <f t="shared" si="5"/>
        <v>Laptop Bag Accessories</v>
      </c>
      <c r="AD17" s="9" t="s">
        <v>128</v>
      </c>
      <c r="AE17" s="7">
        <v>46065</v>
      </c>
    </row>
    <row r="18" spans="1:3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  <c r="I18">
        <f t="shared" si="0"/>
        <v>160</v>
      </c>
      <c r="J18" t="str">
        <f t="shared" si="1"/>
        <v>Electroni</v>
      </c>
      <c r="L18" s="2" t="s">
        <v>48</v>
      </c>
      <c r="M18" t="str">
        <f t="shared" si="2"/>
        <v>Smartwatch</v>
      </c>
      <c r="N18" s="2" t="s">
        <v>9</v>
      </c>
      <c r="P18" s="2" t="s">
        <v>57</v>
      </c>
      <c r="Q18" s="2" t="s">
        <v>48</v>
      </c>
      <c r="R18" s="2" t="s">
        <v>58</v>
      </c>
      <c r="S18" s="2">
        <v>160</v>
      </c>
      <c r="T18" s="2">
        <v>15</v>
      </c>
      <c r="U18" s="2" t="s">
        <v>27</v>
      </c>
      <c r="W18" s="2" t="s">
        <v>57</v>
      </c>
      <c r="X18" t="str">
        <f t="shared" si="3"/>
        <v>20-AUG</v>
      </c>
      <c r="Y18" t="str">
        <f t="shared" si="4"/>
        <v>CN</v>
      </c>
      <c r="Z18" t="s">
        <v>48</v>
      </c>
      <c r="AA18" t="s">
        <v>9</v>
      </c>
      <c r="AB18" t="str">
        <f t="shared" si="5"/>
        <v>Smartwatch Electronics</v>
      </c>
      <c r="AD18" s="9" t="s">
        <v>129</v>
      </c>
      <c r="AE18" s="7">
        <v>46066</v>
      </c>
    </row>
    <row r="19" spans="1:3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I19">
        <f t="shared" si="0"/>
        <v>980</v>
      </c>
      <c r="J19" t="str">
        <f t="shared" si="1"/>
        <v>Electronics</v>
      </c>
      <c r="L19" s="3" t="s">
        <v>7</v>
      </c>
      <c r="M19" t="str">
        <f t="shared" si="2"/>
        <v>Laptop</v>
      </c>
      <c r="N19" s="3" t="s">
        <v>9</v>
      </c>
      <c r="P19" s="3" t="s">
        <v>59</v>
      </c>
      <c r="Q19" s="3" t="s">
        <v>7</v>
      </c>
      <c r="R19" s="3" t="s">
        <v>60</v>
      </c>
      <c r="S19" s="3">
        <v>980</v>
      </c>
      <c r="T19" s="3">
        <v>10</v>
      </c>
      <c r="U19" s="3" t="s">
        <v>9</v>
      </c>
      <c r="W19" s="3" t="s">
        <v>59</v>
      </c>
      <c r="X19" t="str">
        <f t="shared" si="3"/>
        <v>27-JAN</v>
      </c>
      <c r="Y19" t="str">
        <f t="shared" si="4"/>
        <v>IT</v>
      </c>
      <c r="Z19" t="s">
        <v>42</v>
      </c>
      <c r="AA19" t="s">
        <v>9</v>
      </c>
      <c r="AB19" t="str">
        <f t="shared" si="5"/>
        <v>Laptop Electronics</v>
      </c>
      <c r="AD19" s="9" t="s">
        <v>130</v>
      </c>
      <c r="AE19" s="7">
        <v>46067</v>
      </c>
    </row>
    <row r="20" spans="1:3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I20">
        <f t="shared" si="0"/>
        <v>150</v>
      </c>
      <c r="J20" t="str">
        <f t="shared" si="1"/>
        <v>Fashion</v>
      </c>
      <c r="L20" s="2" t="s">
        <v>62</v>
      </c>
      <c r="M20" t="str">
        <f t="shared" si="2"/>
        <v>Sunglasses</v>
      </c>
      <c r="N20" s="2" t="s">
        <v>13</v>
      </c>
      <c r="P20" s="2" t="s">
        <v>61</v>
      </c>
      <c r="Q20" s="2" t="s">
        <v>62</v>
      </c>
      <c r="R20" s="2" t="s">
        <v>63</v>
      </c>
      <c r="S20" s="2">
        <v>150</v>
      </c>
      <c r="T20" s="2">
        <v>15</v>
      </c>
      <c r="U20" s="2" t="s">
        <v>13</v>
      </c>
      <c r="W20" s="2" t="s">
        <v>61</v>
      </c>
      <c r="X20" t="str">
        <f t="shared" si="3"/>
        <v>01-MAR</v>
      </c>
      <c r="Y20" t="str">
        <f t="shared" si="4"/>
        <v>UK</v>
      </c>
      <c r="Z20" t="s">
        <v>62</v>
      </c>
      <c r="AA20" t="s">
        <v>13</v>
      </c>
      <c r="AB20" t="str">
        <f t="shared" si="5"/>
        <v>Sunglasses Fashion</v>
      </c>
      <c r="AD20" s="9" t="s">
        <v>126</v>
      </c>
      <c r="AE20" s="7">
        <v>46068</v>
      </c>
    </row>
    <row r="21" spans="1:3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  <c r="I21">
        <f t="shared" si="0"/>
        <v>130</v>
      </c>
      <c r="J21" t="str">
        <f t="shared" si="1"/>
        <v>Outdoor</v>
      </c>
      <c r="L21" s="3" t="s">
        <v>65</v>
      </c>
      <c r="M21" t="str">
        <f t="shared" si="2"/>
        <v>Camping Tent</v>
      </c>
      <c r="N21" s="3" t="s">
        <v>40</v>
      </c>
      <c r="P21" s="3" t="s">
        <v>64</v>
      </c>
      <c r="Q21" s="3" t="s">
        <v>65</v>
      </c>
      <c r="R21" s="3" t="s">
        <v>66</v>
      </c>
      <c r="S21" s="3">
        <v>130</v>
      </c>
      <c r="T21" s="3">
        <v>10</v>
      </c>
      <c r="U21" s="3" t="s">
        <v>40</v>
      </c>
      <c r="W21" s="3" t="s">
        <v>64</v>
      </c>
      <c r="X21" t="str">
        <f t="shared" si="3"/>
        <v>14-AUG</v>
      </c>
      <c r="Y21" t="str">
        <f t="shared" si="4"/>
        <v>US</v>
      </c>
      <c r="Z21" t="s">
        <v>65</v>
      </c>
      <c r="AA21" t="s">
        <v>40</v>
      </c>
      <c r="AB21" t="str">
        <f t="shared" si="5"/>
        <v>Camping Tent Outdoor</v>
      </c>
      <c r="AD21" s="9" t="s">
        <v>117</v>
      </c>
      <c r="AE21" s="7">
        <v>46069</v>
      </c>
    </row>
    <row r="22" spans="1:3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I22">
        <f t="shared" si="0"/>
        <v>700</v>
      </c>
      <c r="J22" t="str">
        <f t="shared" si="1"/>
        <v>Electronics</v>
      </c>
      <c r="L22" s="2" t="s">
        <v>68</v>
      </c>
      <c r="M22" t="str">
        <f t="shared" si="2"/>
        <v>Camera</v>
      </c>
      <c r="N22" s="2" t="s">
        <v>9</v>
      </c>
      <c r="P22" s="2" t="s">
        <v>67</v>
      </c>
      <c r="Q22" s="2" t="s">
        <v>68</v>
      </c>
      <c r="R22" s="2" t="s">
        <v>69</v>
      </c>
      <c r="S22" s="2">
        <v>700</v>
      </c>
      <c r="T22" s="2">
        <v>50</v>
      </c>
      <c r="U22" s="2" t="s">
        <v>9</v>
      </c>
      <c r="W22" s="2" t="s">
        <v>67</v>
      </c>
      <c r="X22" t="str">
        <f t="shared" si="3"/>
        <v>14-MAY</v>
      </c>
      <c r="Y22" t="str">
        <f t="shared" si="4"/>
        <v>RU</v>
      </c>
      <c r="Z22" t="s">
        <v>68</v>
      </c>
      <c r="AA22" t="s">
        <v>9</v>
      </c>
      <c r="AB22" t="str">
        <f t="shared" si="5"/>
        <v>Camera Electronics</v>
      </c>
      <c r="AD22" s="9" t="s">
        <v>131</v>
      </c>
      <c r="AE22" s="7">
        <v>46070</v>
      </c>
    </row>
    <row r="23" spans="1:3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I23">
        <f t="shared" si="0"/>
        <v>80</v>
      </c>
      <c r="J23" t="str">
        <f t="shared" si="1"/>
        <v>Kitchen</v>
      </c>
      <c r="L23" s="3" t="s">
        <v>71</v>
      </c>
      <c r="M23" t="str">
        <f t="shared" si="2"/>
        <v>Microwave</v>
      </c>
      <c r="N23" s="3" t="s">
        <v>17</v>
      </c>
      <c r="P23" s="3" t="s">
        <v>70</v>
      </c>
      <c r="Q23" s="3" t="s">
        <v>71</v>
      </c>
      <c r="R23" s="3" t="s">
        <v>72</v>
      </c>
      <c r="S23" s="3">
        <v>80</v>
      </c>
      <c r="T23" s="3">
        <v>20</v>
      </c>
      <c r="U23" s="3" t="s">
        <v>17</v>
      </c>
      <c r="W23" s="3" t="s">
        <v>70</v>
      </c>
      <c r="X23" t="str">
        <f t="shared" si="3"/>
        <v>09-JAN</v>
      </c>
      <c r="Y23" t="str">
        <f t="shared" si="4"/>
        <v>CA</v>
      </c>
      <c r="Z23" t="s">
        <v>71</v>
      </c>
      <c r="AA23" t="s">
        <v>17</v>
      </c>
      <c r="AB23" t="str">
        <f t="shared" si="5"/>
        <v>Microwave Kitchen</v>
      </c>
      <c r="AD23" s="9" t="s">
        <v>116</v>
      </c>
      <c r="AE23" s="7">
        <v>46071</v>
      </c>
    </row>
    <row r="24" spans="1:3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  <c r="I24">
        <f t="shared" si="0"/>
        <v>150</v>
      </c>
      <c r="J24" t="str">
        <f t="shared" si="1"/>
        <v>Electronics</v>
      </c>
      <c r="L24" s="2" t="s">
        <v>74</v>
      </c>
      <c r="M24" t="str">
        <f t="shared" si="2"/>
        <v>Fitness Tracker</v>
      </c>
      <c r="N24" s="2" t="s">
        <v>9</v>
      </c>
      <c r="P24" s="2" t="s">
        <v>73</v>
      </c>
      <c r="Q24" s="2" t="s">
        <v>74</v>
      </c>
      <c r="R24" s="2" t="s">
        <v>75</v>
      </c>
      <c r="S24" s="2">
        <v>150</v>
      </c>
      <c r="T24" s="2">
        <v>30</v>
      </c>
      <c r="U24" s="2"/>
      <c r="W24" s="2" t="s">
        <v>73</v>
      </c>
      <c r="X24" t="str">
        <f t="shared" si="3"/>
        <v>19-JUL</v>
      </c>
      <c r="Y24" t="str">
        <f t="shared" si="4"/>
        <v>BR</v>
      </c>
      <c r="Z24" t="s">
        <v>74</v>
      </c>
      <c r="AA24" t="s">
        <v>9</v>
      </c>
      <c r="AB24" t="str">
        <f t="shared" si="5"/>
        <v>Fitness Tracker Electronics</v>
      </c>
      <c r="AD24" s="9" t="s">
        <v>126</v>
      </c>
      <c r="AE24" s="7">
        <v>46072</v>
      </c>
    </row>
    <row r="25" spans="1:3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  <c r="I25">
        <f t="shared" si="0"/>
        <v>50</v>
      </c>
      <c r="J25" t="str">
        <f t="shared" si="1"/>
        <v>Accessories</v>
      </c>
      <c r="L25" s="3" t="s">
        <v>54</v>
      </c>
      <c r="M25" t="str">
        <f t="shared" si="2"/>
        <v>Laptop Bag</v>
      </c>
      <c r="N25" s="3" t="s">
        <v>56</v>
      </c>
      <c r="P25" s="3" t="s">
        <v>53</v>
      </c>
      <c r="Q25" s="3" t="s">
        <v>54</v>
      </c>
      <c r="R25" s="3" t="s">
        <v>55</v>
      </c>
      <c r="S25" s="3">
        <v>50</v>
      </c>
      <c r="T25" s="3">
        <v>35</v>
      </c>
      <c r="U25" s="3" t="s">
        <v>56</v>
      </c>
      <c r="W25" s="3" t="s">
        <v>53</v>
      </c>
      <c r="X25" t="str">
        <f t="shared" si="3"/>
        <v>21-AUG</v>
      </c>
      <c r="Y25" t="str">
        <f t="shared" si="4"/>
        <v>CA</v>
      </c>
      <c r="Z25" t="s">
        <v>54</v>
      </c>
      <c r="AA25" t="s">
        <v>56</v>
      </c>
      <c r="AB25" t="str">
        <f t="shared" si="5"/>
        <v>Laptop Bag Accessories</v>
      </c>
      <c r="AD25" s="9" t="s">
        <v>128</v>
      </c>
      <c r="AE25" s="7">
        <v>46073</v>
      </c>
    </row>
    <row r="26" spans="1:3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  <c r="I26">
        <f t="shared" si="0"/>
        <v>800</v>
      </c>
      <c r="J26" t="str">
        <f t="shared" si="1"/>
        <v>Electronics</v>
      </c>
      <c r="L26" s="2" t="s">
        <v>77</v>
      </c>
      <c r="M26" t="str">
        <f t="shared" si="2"/>
        <v>Smartphone</v>
      </c>
      <c r="N26" s="2" t="s">
        <v>9</v>
      </c>
      <c r="P26" s="2" t="s">
        <v>76</v>
      </c>
      <c r="Q26" s="2" t="s">
        <v>77</v>
      </c>
      <c r="R26" s="2" t="s">
        <v>78</v>
      </c>
      <c r="S26" s="2">
        <v>800</v>
      </c>
      <c r="T26" s="2">
        <v>45</v>
      </c>
      <c r="U26" s="2" t="s">
        <v>9</v>
      </c>
      <c r="W26" s="2" t="s">
        <v>76</v>
      </c>
      <c r="X26" t="str">
        <f t="shared" si="3"/>
        <v>29-SEP</v>
      </c>
      <c r="Y26" t="str">
        <f t="shared" si="4"/>
        <v>CA</v>
      </c>
      <c r="Z26" t="s">
        <v>77</v>
      </c>
      <c r="AA26" t="s">
        <v>9</v>
      </c>
      <c r="AB26" t="str">
        <f t="shared" si="5"/>
        <v>Smartphone Electronics</v>
      </c>
      <c r="AD26" s="9" t="s">
        <v>132</v>
      </c>
      <c r="AE26" s="7">
        <v>46074</v>
      </c>
    </row>
    <row r="27" spans="1:3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  <c r="I27">
        <f t="shared" si="0"/>
        <v>115</v>
      </c>
      <c r="J27" t="str">
        <f t="shared" si="1"/>
        <v>Fashion</v>
      </c>
      <c r="L27" s="3" t="s">
        <v>62</v>
      </c>
      <c r="M27" t="str">
        <f t="shared" si="2"/>
        <v>Sunglasses</v>
      </c>
      <c r="N27" s="3" t="s">
        <v>13</v>
      </c>
      <c r="P27" s="3" t="s">
        <v>79</v>
      </c>
      <c r="Q27" s="3" t="s">
        <v>62</v>
      </c>
      <c r="R27" s="3" t="s">
        <v>80</v>
      </c>
      <c r="S27" s="3">
        <v>115</v>
      </c>
      <c r="T27" s="3">
        <v>25</v>
      </c>
      <c r="U27" s="3" t="s">
        <v>13</v>
      </c>
      <c r="W27" s="3" t="s">
        <v>79</v>
      </c>
      <c r="X27" t="str">
        <f t="shared" si="3"/>
        <v>03-JUN</v>
      </c>
      <c r="Y27" t="str">
        <f t="shared" si="4"/>
        <v>CA</v>
      </c>
      <c r="Z27" t="s">
        <v>62</v>
      </c>
      <c r="AA27" t="s">
        <v>13</v>
      </c>
      <c r="AB27" t="str">
        <f t="shared" si="5"/>
        <v>Sunglasses Fashion</v>
      </c>
      <c r="AD27" s="9" t="s">
        <v>133</v>
      </c>
      <c r="AE27" s="7">
        <v>46075</v>
      </c>
    </row>
    <row r="28" spans="1:3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  <c r="I28">
        <f t="shared" si="0"/>
        <v>400</v>
      </c>
      <c r="J28" t="str">
        <f t="shared" si="1"/>
        <v>Kitchen</v>
      </c>
      <c r="L28" s="2" t="s">
        <v>32</v>
      </c>
      <c r="M28" t="str">
        <f t="shared" si="2"/>
        <v>Blender</v>
      </c>
      <c r="N28" s="2" t="s">
        <v>17</v>
      </c>
      <c r="P28" s="2" t="s">
        <v>81</v>
      </c>
      <c r="Q28" s="2" t="s">
        <v>32</v>
      </c>
      <c r="R28" s="2" t="s">
        <v>82</v>
      </c>
      <c r="S28" s="2">
        <v>400</v>
      </c>
      <c r="T28" s="2">
        <v>40</v>
      </c>
      <c r="U28" s="2" t="s">
        <v>17</v>
      </c>
      <c r="W28" s="2" t="s">
        <v>81</v>
      </c>
      <c r="X28" t="str">
        <f t="shared" si="3"/>
        <v>11-JUL</v>
      </c>
      <c r="Y28" t="str">
        <f t="shared" si="4"/>
        <v>CA</v>
      </c>
      <c r="Z28" t="s">
        <v>32</v>
      </c>
      <c r="AA28" t="s">
        <v>17</v>
      </c>
      <c r="AB28" t="str">
        <f t="shared" si="5"/>
        <v>Blender Kitchen</v>
      </c>
      <c r="AD28" s="9" t="s">
        <v>134</v>
      </c>
      <c r="AE28" s="7">
        <v>46076</v>
      </c>
    </row>
    <row r="29" spans="1:3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  <c r="I29">
        <f t="shared" si="0"/>
        <v>250</v>
      </c>
      <c r="J29" t="str">
        <f t="shared" si="1"/>
        <v>Electroni</v>
      </c>
      <c r="L29" s="3" t="s">
        <v>51</v>
      </c>
      <c r="M29" t="str">
        <f t="shared" si="2"/>
        <v>Headphones</v>
      </c>
      <c r="N29" s="3" t="s">
        <v>9</v>
      </c>
      <c r="P29" s="3" t="s">
        <v>50</v>
      </c>
      <c r="Q29" s="3" t="s">
        <v>51</v>
      </c>
      <c r="R29" s="3" t="s">
        <v>52</v>
      </c>
      <c r="S29" s="3">
        <v>250</v>
      </c>
      <c r="T29" s="3">
        <v>20</v>
      </c>
      <c r="U29" s="3" t="s">
        <v>27</v>
      </c>
      <c r="W29" s="3" t="s">
        <v>50</v>
      </c>
      <c r="X29" t="str">
        <f t="shared" si="3"/>
        <v>16-APR</v>
      </c>
      <c r="Y29" t="str">
        <f t="shared" si="4"/>
        <v>ES</v>
      </c>
      <c r="Z29" t="s">
        <v>25</v>
      </c>
      <c r="AA29" t="s">
        <v>9</v>
      </c>
      <c r="AB29" t="str">
        <f t="shared" si="5"/>
        <v>Headphones Electronics</v>
      </c>
      <c r="AD29" s="9" t="s">
        <v>127</v>
      </c>
      <c r="AE29" s="7">
        <v>46077</v>
      </c>
    </row>
    <row r="30" spans="1:3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  <c r="I30">
        <f t="shared" si="0"/>
        <v>60</v>
      </c>
      <c r="J30" t="str">
        <f t="shared" si="1"/>
        <v>Fashion</v>
      </c>
      <c r="L30" s="2" t="s">
        <v>84</v>
      </c>
      <c r="M30" t="str">
        <f t="shared" si="2"/>
        <v>Dress</v>
      </c>
      <c r="N30" s="2" t="s">
        <v>13</v>
      </c>
      <c r="P30" s="2" t="s">
        <v>83</v>
      </c>
      <c r="Q30" s="2" t="s">
        <v>84</v>
      </c>
      <c r="R30" s="2" t="s">
        <v>85</v>
      </c>
      <c r="S30" s="2">
        <v>60</v>
      </c>
      <c r="T30" s="2">
        <v>30</v>
      </c>
      <c r="U30" s="2" t="s">
        <v>13</v>
      </c>
      <c r="W30" s="2" t="s">
        <v>83</v>
      </c>
      <c r="X30" t="str">
        <f t="shared" si="3"/>
        <v>07-MAR</v>
      </c>
      <c r="Y30" t="str">
        <f t="shared" si="4"/>
        <v>CA</v>
      </c>
      <c r="Z30" t="s">
        <v>84</v>
      </c>
      <c r="AA30" t="s">
        <v>13</v>
      </c>
      <c r="AB30" t="str">
        <f t="shared" si="5"/>
        <v>Dress Fashion</v>
      </c>
      <c r="AD30" s="9" t="s">
        <v>135</v>
      </c>
      <c r="AE30" s="7">
        <v>46078</v>
      </c>
    </row>
    <row r="31" spans="1:3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  <c r="I31">
        <f t="shared" si="0"/>
        <v>40</v>
      </c>
      <c r="J31" t="str">
        <f t="shared" si="1"/>
        <v>Kitchen</v>
      </c>
      <c r="L31" s="3" t="s">
        <v>87</v>
      </c>
      <c r="M31" t="str">
        <f t="shared" si="2"/>
        <v>Toaster</v>
      </c>
      <c r="N31" s="3" t="s">
        <v>17</v>
      </c>
      <c r="P31" s="3" t="s">
        <v>86</v>
      </c>
      <c r="Q31" s="3" t="s">
        <v>87</v>
      </c>
      <c r="R31" s="3" t="s">
        <v>88</v>
      </c>
      <c r="S31" s="3">
        <v>40</v>
      </c>
      <c r="T31" s="3">
        <v>10</v>
      </c>
      <c r="U31" s="3" t="s">
        <v>17</v>
      </c>
      <c r="W31" s="3" t="s">
        <v>86</v>
      </c>
      <c r="X31" t="str">
        <f t="shared" si="3"/>
        <v>13-APR</v>
      </c>
      <c r="Y31" t="str">
        <f t="shared" si="4"/>
        <v>CA</v>
      </c>
      <c r="Z31" t="s">
        <v>87</v>
      </c>
      <c r="AA31" t="s">
        <v>17</v>
      </c>
      <c r="AB31" t="str">
        <f t="shared" si="5"/>
        <v>Toaster Kitchen</v>
      </c>
      <c r="AD31" s="9" t="s">
        <v>136</v>
      </c>
      <c r="AE31" s="7">
        <v>46079</v>
      </c>
    </row>
    <row r="32" spans="1:3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  <c r="I32">
        <f t="shared" si="0"/>
        <v>130</v>
      </c>
      <c r="J32" t="str">
        <f t="shared" si="1"/>
        <v>Electronics</v>
      </c>
      <c r="L32" s="2" t="s">
        <v>74</v>
      </c>
      <c r="M32" t="str">
        <f t="shared" si="2"/>
        <v>Fitness Tracker</v>
      </c>
      <c r="N32" s="2" t="s">
        <v>9</v>
      </c>
      <c r="P32" s="2" t="s">
        <v>89</v>
      </c>
      <c r="Q32" s="2" t="s">
        <v>74</v>
      </c>
      <c r="R32" s="2" t="s">
        <v>90</v>
      </c>
      <c r="S32" s="2">
        <v>130</v>
      </c>
      <c r="T32" s="2">
        <v>5</v>
      </c>
      <c r="U32" s="2" t="s">
        <v>9</v>
      </c>
      <c r="W32" s="2" t="s">
        <v>89</v>
      </c>
      <c r="X32" t="str">
        <f t="shared" si="3"/>
        <v>24-MAY</v>
      </c>
      <c r="Y32" t="str">
        <f t="shared" si="4"/>
        <v>CA</v>
      </c>
      <c r="Z32" t="s">
        <v>74</v>
      </c>
      <c r="AA32" t="s">
        <v>9</v>
      </c>
      <c r="AB32" t="str">
        <f t="shared" si="5"/>
        <v>Fitness Tracker Electronics</v>
      </c>
      <c r="AD32" s="9" t="s">
        <v>117</v>
      </c>
      <c r="AE32" s="7">
        <v>46080</v>
      </c>
    </row>
    <row r="33" spans="1:3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  <c r="I33">
        <f t="shared" si="0"/>
        <v>50</v>
      </c>
      <c r="J33" t="str">
        <f t="shared" si="1"/>
        <v>Fashion</v>
      </c>
      <c r="L33" s="3" t="s">
        <v>92</v>
      </c>
      <c r="M33" t="str">
        <f t="shared" si="2"/>
        <v>Jeans</v>
      </c>
      <c r="N33" s="3" t="s">
        <v>13</v>
      </c>
      <c r="P33" s="3" t="s">
        <v>91</v>
      </c>
      <c r="Q33" s="3" t="s">
        <v>92</v>
      </c>
      <c r="R33" s="3" t="s">
        <v>93</v>
      </c>
      <c r="S33" s="3">
        <v>50</v>
      </c>
      <c r="T33" s="3">
        <v>50</v>
      </c>
      <c r="U33" s="3" t="s">
        <v>13</v>
      </c>
      <c r="W33" s="3" t="s">
        <v>91</v>
      </c>
      <c r="X33" t="str">
        <f t="shared" si="3"/>
        <v>02-DEC</v>
      </c>
      <c r="Y33" t="str">
        <f t="shared" si="4"/>
        <v>CA</v>
      </c>
      <c r="Z33" t="s">
        <v>92</v>
      </c>
      <c r="AA33" t="s">
        <v>13</v>
      </c>
      <c r="AB33" t="str">
        <f t="shared" si="5"/>
        <v>Jeans Fashion</v>
      </c>
      <c r="AD33" s="9" t="s">
        <v>128</v>
      </c>
      <c r="AE33" s="7">
        <v>46081</v>
      </c>
    </row>
    <row r="34" spans="1:3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  <c r="I34">
        <f t="shared" si="0"/>
        <v>950</v>
      </c>
      <c r="J34" t="str">
        <f t="shared" si="1"/>
        <v>Electronics</v>
      </c>
      <c r="L34" s="2" t="s">
        <v>42</v>
      </c>
      <c r="M34" t="str">
        <f t="shared" si="2"/>
        <v>Laptop</v>
      </c>
      <c r="N34" s="2" t="s">
        <v>9</v>
      </c>
      <c r="P34" s="2" t="s">
        <v>41</v>
      </c>
      <c r="Q34" s="2" t="s">
        <v>42</v>
      </c>
      <c r="R34" s="2" t="s">
        <v>43</v>
      </c>
      <c r="S34" s="2">
        <v>950</v>
      </c>
      <c r="T34" s="2">
        <v>25</v>
      </c>
      <c r="U34" s="2" t="s">
        <v>9</v>
      </c>
      <c r="W34" s="2" t="s">
        <v>41</v>
      </c>
      <c r="X34" t="str">
        <f t="shared" si="3"/>
        <v>17-JUN</v>
      </c>
      <c r="Y34" t="str">
        <f t="shared" si="4"/>
        <v>IN</v>
      </c>
      <c r="Z34" t="s">
        <v>42</v>
      </c>
      <c r="AA34" t="s">
        <v>9</v>
      </c>
      <c r="AB34" t="str">
        <f t="shared" si="5"/>
        <v>Laptop Electronics</v>
      </c>
      <c r="AD34" s="9" t="s">
        <v>124</v>
      </c>
      <c r="AE34" s="7">
        <v>46082</v>
      </c>
    </row>
    <row r="35" spans="1:3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  <c r="I35">
        <f t="shared" si="0"/>
        <v>100</v>
      </c>
      <c r="J35" t="str">
        <f t="shared" si="1"/>
        <v>Accessories</v>
      </c>
      <c r="L35" s="3" t="s">
        <v>95</v>
      </c>
      <c r="M35" t="str">
        <f t="shared" si="2"/>
        <v>Watch</v>
      </c>
      <c r="N35" s="3" t="s">
        <v>56</v>
      </c>
      <c r="P35" s="3" t="s">
        <v>94</v>
      </c>
      <c r="Q35" s="3" t="s">
        <v>95</v>
      </c>
      <c r="R35" s="3" t="s">
        <v>96</v>
      </c>
      <c r="S35" s="3">
        <v>100</v>
      </c>
      <c r="T35" s="3">
        <v>20</v>
      </c>
      <c r="U35" s="3" t="s">
        <v>56</v>
      </c>
      <c r="W35" s="3" t="s">
        <v>94</v>
      </c>
      <c r="X35" t="str">
        <f t="shared" si="3"/>
        <v>09-JUL</v>
      </c>
      <c r="Y35" t="str">
        <f t="shared" si="4"/>
        <v>FR</v>
      </c>
      <c r="Z35" t="s">
        <v>95</v>
      </c>
      <c r="AA35" t="s">
        <v>56</v>
      </c>
      <c r="AB35" t="str">
        <f t="shared" si="5"/>
        <v>Watch Accessories</v>
      </c>
      <c r="AD35" s="9" t="s">
        <v>137</v>
      </c>
      <c r="AE35" s="7">
        <v>46083</v>
      </c>
    </row>
    <row r="36" spans="1:31">
      <c r="AD36" s="9" t="s">
        <v>138</v>
      </c>
    </row>
    <row r="37" spans="1:31">
      <c r="AD37" s="9" t="s">
        <v>138</v>
      </c>
    </row>
    <row r="46" spans="1:31">
      <c r="A46" s="4"/>
      <c r="B46" s="4"/>
      <c r="L46" s="4"/>
    </row>
  </sheetData>
  <conditionalFormatting sqref="P1:P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 </vt:lpstr>
      <vt:lpstr>Cleaned Data 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Rathika sekar</dc:creator>
  <cp:lastModifiedBy>Rathika sekar</cp:lastModifiedBy>
  <dcterms:created xsi:type="dcterms:W3CDTF">2026-07-24T07:24:55Z</dcterms:created>
  <dcterms:modified xsi:type="dcterms:W3CDTF">2026-07-30T11:16:02Z</dcterms:modified>
</cp:coreProperties>
</file>