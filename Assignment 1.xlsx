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nap\OneDrive\Documents\"/>
    </mc:Choice>
  </mc:AlternateContent>
  <xr:revisionPtr revIDLastSave="0" documentId="8_{63DCD083-8E04-4220-8A5F-3457F2C5EF29}" xr6:coauthVersionLast="47" xr6:coauthVersionMax="47" xr10:uidLastSave="{00000000-0000-0000-0000-000000000000}"/>
  <bookViews>
    <workbookView xWindow="-108" yWindow="-108" windowWidth="23256" windowHeight="12456" activeTab="1" xr2:uid="{062E93B6-9DEF-4FA6-9A77-E5FC6F10FD3C}"/>
  </bookViews>
  <sheets>
    <sheet name="Sheet1" sheetId="2" r:id="rId1"/>
    <sheet name="Cleaned Data " sheetId="1" r:id="rId2"/>
  </sheets>
  <definedNames>
    <definedName name="_xlnm._FilterDatabase" localSheetId="1" hidden="1">'Cleaned Data '!$A$1:$J$35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  <c r="M8" i="1"/>
  <c r="M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2" i="1"/>
  <c r="H2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M5" i="1"/>
  <c r="M3" i="1"/>
  <c r="M7" i="1"/>
  <c r="M6" i="1"/>
</calcChain>
</file>

<file path=xl/sharedStrings.xml><?xml version="1.0" encoding="utf-8"?>
<sst xmlns="http://schemas.openxmlformats.org/spreadsheetml/2006/main" count="295" uniqueCount="104">
  <si>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</si>
  <si>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</si>
  <si>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</si>
  <si>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</si>
  <si>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</si>
  <si>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</si>
  <si>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</si>
  <si>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</si>
  <si>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</si>
  <si>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</si>
  <si>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</si>
  <si>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</si>
  <si>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</si>
  <si>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</si>
  <si>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</si>
  <si>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</si>
  <si>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</si>
  <si>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</si>
  <si>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</si>
  <si>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</si>
  <si>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</si>
  <si>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</si>
  <si>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</si>
  <si>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</si>
  <si>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</si>
  <si>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</si>
  <si>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</si>
  <si>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</si>
  <si>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</si>
  <si>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</si>
  <si>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</si>
  <si>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</si>
  <si>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</si>
  <si>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</si>
  <si>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</si>
  <si>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</si>
  <si>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</si>
  <si>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</si>
  <si>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</si>
  <si>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</si>
  <si>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</si>
  <si>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</si>
  <si>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</si>
  <si>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</si>
  <si>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</si>
  <si>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</si>
  <si>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</si>
  <si>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</si>
  <si>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</si>
  <si>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</si>
  <si>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</si>
  <si>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</si>
  <si>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</si>
  <si>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</si>
  <si>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</si>
  <si>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</si>
  <si>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</si>
  <si>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</si>
  <si>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</si>
  <si>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</si>
  <si>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</si>
  <si>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</si>
  <si>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</si>
  <si>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</si>
  <si>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</si>
  <si>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</si>
  <si>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</si>
  <si>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</si>
  <si>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</si>
  <si>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</si>
  <si>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</si>
  <si>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</si>
  <si>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</si>
  <si>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</si>
  <si>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</si>
  <si>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</si>
  <si>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</si>
  <si>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</si>
  <si>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</si>
  <si>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</si>
  <si>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</si>
  <si>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</si>
  <si>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</si>
  <si>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</si>
  <si>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</si>
  <si>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</si>
  <si>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</si>
  <si>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</si>
  <si>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</si>
  <si>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</si>
  <si>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</si>
  <si>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</si>
  <si>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</si>
  <si>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</si>
  <si>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Average</t>
  </si>
  <si>
    <t>Day</t>
  </si>
  <si>
    <t>Country Code</t>
  </si>
  <si>
    <t>Month</t>
  </si>
  <si>
    <t>Count</t>
  </si>
  <si>
    <t>Sum</t>
  </si>
  <si>
    <t>sumif(Electronics)</t>
  </si>
  <si>
    <t>Maximum Price</t>
  </si>
  <si>
    <t>Minimum Price</t>
  </si>
  <si>
    <t>Count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</si>
</sst>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2" borderId="0" xfId="0" applyFill="1"/>
    <xf numFmtId="0" fontId="1" fillId="0" borderId="0" xfId="1"/>
    <xf numFmtId="0" fontId="2" fillId="3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/>
    <xf numFmtId="0" fontId="3" fillId="4" borderId="0" xfId="1" applyFont="1" applyFill="1"/>
    <xf numFmtId="0" fontId="3" fillId="5" borderId="0" xfId="1" applyFont="1" applyFill="1"/>
  </cellXfs>
  <cellStyles count="2">
    <cellStyle name="Normal" xfId="0" builtinId="0"/>
    <cellStyle name="Normal 2" xfId="1" xr:uid="{956BB1D6-C150-40F6-A515-3D20D4A46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1726-3F76-47AD-86E1-E26F4B5377B6}">
  <dimension ref="A1:G37"/>
  <sheetViews>
    <sheetView workbookViewId="0">
      <selection activeCell="F16" sqref="F16"/>
    </sheetView>
  </sheetViews>
  <sheetFormatPr defaultRowHeight="14.4" x14ac:dyDescent="0.3"/>
  <cols>
    <col min="1" max="1" width="37.6640625" customWidth="1"/>
    <col min="6" max="6" width="42.8867187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</row>
    <row r="2" spans="1:7" x14ac:dyDescent="0.3">
      <c r="A2" s="5" t="s">
        <v>6</v>
      </c>
      <c r="B2" s="5" t="s">
        <v>7</v>
      </c>
      <c r="C2" s="5" t="s">
        <v>8</v>
      </c>
      <c r="D2" s="5">
        <v>1000</v>
      </c>
      <c r="E2" s="5">
        <v>30</v>
      </c>
      <c r="F2" s="5" t="s">
        <v>9</v>
      </c>
      <c r="G2" s="5"/>
    </row>
    <row r="3" spans="1:7" x14ac:dyDescent="0.3">
      <c r="A3" s="6" t="s">
        <v>10</v>
      </c>
      <c r="B3" s="6" t="s">
        <v>11</v>
      </c>
      <c r="C3" s="6" t="s">
        <v>12</v>
      </c>
      <c r="D3" s="6">
        <v>80</v>
      </c>
      <c r="E3" s="6">
        <v>15</v>
      </c>
      <c r="F3" s="6" t="s">
        <v>13</v>
      </c>
      <c r="G3" s="5"/>
    </row>
    <row r="4" spans="1:7" x14ac:dyDescent="0.3">
      <c r="A4" s="5" t="s">
        <v>14</v>
      </c>
      <c r="B4" s="5" t="s">
        <v>15</v>
      </c>
      <c r="C4" s="5" t="s">
        <v>16</v>
      </c>
      <c r="D4" s="5">
        <v>130</v>
      </c>
      <c r="E4" s="5">
        <v>40</v>
      </c>
      <c r="F4" s="5" t="s">
        <v>17</v>
      </c>
      <c r="G4" s="5"/>
    </row>
    <row r="5" spans="1:7" x14ac:dyDescent="0.3">
      <c r="A5" s="6" t="s">
        <v>18</v>
      </c>
      <c r="B5" s="6" t="s">
        <v>19</v>
      </c>
      <c r="C5" s="6" t="s">
        <v>20</v>
      </c>
      <c r="D5" s="6">
        <v>900</v>
      </c>
      <c r="E5" s="6">
        <v>25</v>
      </c>
      <c r="F5" s="6" t="s">
        <v>9</v>
      </c>
      <c r="G5" s="5"/>
    </row>
    <row r="6" spans="1:7" x14ac:dyDescent="0.3">
      <c r="A6" s="5" t="s">
        <v>21</v>
      </c>
      <c r="B6" s="5" t="s">
        <v>22</v>
      </c>
      <c r="C6" s="5" t="s">
        <v>23</v>
      </c>
      <c r="D6" s="5">
        <v>70</v>
      </c>
      <c r="E6" s="5">
        <v>20</v>
      </c>
      <c r="F6" s="5" t="s">
        <v>24</v>
      </c>
      <c r="G6" s="5"/>
    </row>
    <row r="7" spans="1:7" x14ac:dyDescent="0.3">
      <c r="A7" s="6" t="s">
        <v>25</v>
      </c>
      <c r="B7" s="6" t="s">
        <v>26</v>
      </c>
      <c r="C7" s="6" t="s">
        <v>27</v>
      </c>
      <c r="D7" s="6">
        <v>200</v>
      </c>
      <c r="E7" s="6">
        <v>45</v>
      </c>
      <c r="F7" s="6" t="s">
        <v>9</v>
      </c>
      <c r="G7" s="5"/>
    </row>
    <row r="8" spans="1:7" x14ac:dyDescent="0.3">
      <c r="A8" s="5" t="s">
        <v>28</v>
      </c>
      <c r="B8" s="5" t="s">
        <v>29</v>
      </c>
      <c r="C8" s="5" t="s">
        <v>30</v>
      </c>
      <c r="D8" s="5">
        <v>30</v>
      </c>
      <c r="E8" s="5">
        <v>5</v>
      </c>
      <c r="F8" s="5" t="s">
        <v>13</v>
      </c>
      <c r="G8" s="5"/>
    </row>
    <row r="9" spans="1:7" x14ac:dyDescent="0.3">
      <c r="A9" s="6" t="s">
        <v>31</v>
      </c>
      <c r="B9" s="6" t="s">
        <v>32</v>
      </c>
      <c r="C9" s="6" t="s">
        <v>33</v>
      </c>
      <c r="D9" s="6">
        <v>90</v>
      </c>
      <c r="E9" s="6">
        <v>35</v>
      </c>
      <c r="F9" s="6" t="s">
        <v>17</v>
      </c>
      <c r="G9" s="5"/>
    </row>
    <row r="10" spans="1:7" x14ac:dyDescent="0.3">
      <c r="A10" s="5" t="s">
        <v>34</v>
      </c>
      <c r="B10" s="5" t="s">
        <v>35</v>
      </c>
      <c r="C10" s="5" t="s">
        <v>36</v>
      </c>
      <c r="D10" s="5">
        <v>500</v>
      </c>
      <c r="E10" s="5">
        <v>50</v>
      </c>
      <c r="F10" s="5" t="s">
        <v>9</v>
      </c>
      <c r="G10" s="5"/>
    </row>
    <row r="11" spans="1:7" x14ac:dyDescent="0.3">
      <c r="A11" s="6" t="s">
        <v>37</v>
      </c>
      <c r="B11" s="6" t="s">
        <v>38</v>
      </c>
      <c r="C11" s="6" t="s">
        <v>39</v>
      </c>
      <c r="D11" s="6">
        <v>130</v>
      </c>
      <c r="E11" s="6">
        <v>10</v>
      </c>
      <c r="F11" s="6" t="s">
        <v>24</v>
      </c>
      <c r="G11" s="5"/>
    </row>
    <row r="12" spans="1:7" x14ac:dyDescent="0.3">
      <c r="A12" s="5" t="s">
        <v>40</v>
      </c>
      <c r="B12" s="5" t="s">
        <v>7</v>
      </c>
      <c r="C12" s="5" t="s">
        <v>41</v>
      </c>
      <c r="D12" s="5">
        <v>950</v>
      </c>
      <c r="E12" s="5">
        <v>25</v>
      </c>
      <c r="F12" s="5" t="s">
        <v>9</v>
      </c>
      <c r="G12" s="5"/>
    </row>
    <row r="13" spans="1:7" x14ac:dyDescent="0.3">
      <c r="A13" s="6" t="s">
        <v>42</v>
      </c>
      <c r="B13" s="6" t="s">
        <v>11</v>
      </c>
      <c r="C13" s="6" t="s">
        <v>30</v>
      </c>
      <c r="D13" s="6">
        <v>90</v>
      </c>
      <c r="E13" s="6">
        <v>40</v>
      </c>
      <c r="F13" s="6" t="s">
        <v>13</v>
      </c>
      <c r="G13" s="5"/>
    </row>
    <row r="14" spans="1:7" x14ac:dyDescent="0.3">
      <c r="A14" s="5" t="s">
        <v>43</v>
      </c>
      <c r="B14" s="5" t="s">
        <v>15</v>
      </c>
      <c r="C14" s="5" t="s">
        <v>44</v>
      </c>
      <c r="D14" s="5">
        <v>120</v>
      </c>
      <c r="E14" s="5">
        <v>35</v>
      </c>
      <c r="F14" s="5" t="s">
        <v>17</v>
      </c>
      <c r="G14" s="5"/>
    </row>
    <row r="15" spans="1:7" x14ac:dyDescent="0.3">
      <c r="A15" s="6" t="s">
        <v>45</v>
      </c>
      <c r="B15" s="6" t="s">
        <v>46</v>
      </c>
      <c r="C15" s="6" t="s">
        <v>47</v>
      </c>
      <c r="D15" s="6">
        <v>150</v>
      </c>
      <c r="E15" s="6">
        <v>15</v>
      </c>
      <c r="F15" s="6" t="s">
        <v>9</v>
      </c>
      <c r="G15" s="5"/>
    </row>
    <row r="16" spans="1:7" x14ac:dyDescent="0.3">
      <c r="A16" s="5" t="s">
        <v>48</v>
      </c>
      <c r="B16" s="5" t="s">
        <v>26</v>
      </c>
      <c r="C16" s="5" t="s">
        <v>49</v>
      </c>
      <c r="D16" s="5">
        <v>250</v>
      </c>
      <c r="E16" s="5">
        <v>20</v>
      </c>
      <c r="F16" s="5" t="s">
        <v>9</v>
      </c>
      <c r="G16" s="5"/>
    </row>
    <row r="17" spans="1:7" x14ac:dyDescent="0.3">
      <c r="A17" s="6" t="s">
        <v>50</v>
      </c>
      <c r="B17" s="6" t="s">
        <v>51</v>
      </c>
      <c r="C17" s="6" t="s">
        <v>52</v>
      </c>
      <c r="D17" s="6">
        <v>50</v>
      </c>
      <c r="E17" s="6">
        <v>35</v>
      </c>
      <c r="F17" s="6" t="s">
        <v>53</v>
      </c>
      <c r="G17" s="5"/>
    </row>
    <row r="18" spans="1:7" x14ac:dyDescent="0.3">
      <c r="A18" s="5" t="s">
        <v>54</v>
      </c>
      <c r="B18" s="5" t="s">
        <v>46</v>
      </c>
      <c r="C18" s="5" t="s">
        <v>55</v>
      </c>
      <c r="D18" s="5">
        <v>160</v>
      </c>
      <c r="E18" s="5">
        <v>15</v>
      </c>
      <c r="F18" s="5" t="s">
        <v>9</v>
      </c>
      <c r="G18" s="5"/>
    </row>
    <row r="19" spans="1:7" x14ac:dyDescent="0.3">
      <c r="A19" s="6" t="s">
        <v>56</v>
      </c>
      <c r="B19" s="6" t="s">
        <v>7</v>
      </c>
      <c r="C19" s="6" t="s">
        <v>57</v>
      </c>
      <c r="D19" s="6">
        <v>980</v>
      </c>
      <c r="E19" s="6">
        <v>10</v>
      </c>
      <c r="F19" s="6" t="s">
        <v>9</v>
      </c>
      <c r="G19" s="5"/>
    </row>
    <row r="20" spans="1:7" x14ac:dyDescent="0.3">
      <c r="A20" s="5" t="s">
        <v>58</v>
      </c>
      <c r="B20" s="5" t="s">
        <v>59</v>
      </c>
      <c r="C20" s="5" t="s">
        <v>60</v>
      </c>
      <c r="D20" s="5">
        <v>150</v>
      </c>
      <c r="E20" s="5">
        <v>15</v>
      </c>
      <c r="F20" s="5" t="s">
        <v>13</v>
      </c>
      <c r="G20" s="5"/>
    </row>
    <row r="21" spans="1:7" x14ac:dyDescent="0.3">
      <c r="A21" s="6" t="s">
        <v>61</v>
      </c>
      <c r="B21" s="6" t="s">
        <v>62</v>
      </c>
      <c r="C21" s="6" t="s">
        <v>63</v>
      </c>
      <c r="D21" s="6">
        <v>200</v>
      </c>
      <c r="E21" s="6">
        <v>10</v>
      </c>
      <c r="F21" s="6" t="s">
        <v>24</v>
      </c>
      <c r="G21" s="5"/>
    </row>
    <row r="22" spans="1:7" x14ac:dyDescent="0.3">
      <c r="A22" s="5" t="s">
        <v>64</v>
      </c>
      <c r="B22" s="5" t="s">
        <v>65</v>
      </c>
      <c r="C22" s="5" t="s">
        <v>66</v>
      </c>
      <c r="D22" s="5">
        <v>700</v>
      </c>
      <c r="E22" s="5">
        <v>50</v>
      </c>
      <c r="F22" s="5" t="s">
        <v>9</v>
      </c>
      <c r="G22" s="5"/>
    </row>
    <row r="23" spans="1:7" x14ac:dyDescent="0.3">
      <c r="A23" s="6" t="s">
        <v>67</v>
      </c>
      <c r="B23" s="6" t="s">
        <v>68</v>
      </c>
      <c r="C23" s="6" t="s">
        <v>69</v>
      </c>
      <c r="D23" s="6">
        <v>80</v>
      </c>
      <c r="E23" s="6">
        <v>20</v>
      </c>
      <c r="F23" s="6" t="s">
        <v>17</v>
      </c>
      <c r="G23" s="5"/>
    </row>
    <row r="24" spans="1:7" x14ac:dyDescent="0.3">
      <c r="A24" s="5" t="s">
        <v>70</v>
      </c>
      <c r="B24" s="5" t="s">
        <v>71</v>
      </c>
      <c r="C24" s="5" t="s">
        <v>72</v>
      </c>
      <c r="D24" s="5">
        <v>150</v>
      </c>
      <c r="E24" s="5">
        <v>30</v>
      </c>
      <c r="F24" s="5" t="s">
        <v>9</v>
      </c>
      <c r="G24" s="5"/>
    </row>
    <row r="25" spans="1:7" x14ac:dyDescent="0.3">
      <c r="A25" s="6" t="s">
        <v>50</v>
      </c>
      <c r="B25" s="6" t="s">
        <v>51</v>
      </c>
      <c r="C25" s="6" t="s">
        <v>52</v>
      </c>
      <c r="D25" s="6">
        <v>50</v>
      </c>
      <c r="E25" s="6">
        <v>35</v>
      </c>
      <c r="F25" s="6" t="s">
        <v>53</v>
      </c>
      <c r="G25" s="7"/>
    </row>
    <row r="26" spans="1:7" x14ac:dyDescent="0.3">
      <c r="A26" s="5" t="s">
        <v>73</v>
      </c>
      <c r="B26" s="5" t="s">
        <v>19</v>
      </c>
      <c r="C26" s="5" t="s">
        <v>74</v>
      </c>
      <c r="D26" s="5">
        <v>800</v>
      </c>
      <c r="E26" s="5">
        <v>45</v>
      </c>
      <c r="F26" s="5" t="s">
        <v>9</v>
      </c>
      <c r="G26" s="5"/>
    </row>
    <row r="27" spans="1:7" x14ac:dyDescent="0.3">
      <c r="A27" s="6" t="s">
        <v>75</v>
      </c>
      <c r="B27" s="6" t="s">
        <v>59</v>
      </c>
      <c r="C27" s="6" t="s">
        <v>76</v>
      </c>
      <c r="D27" s="6">
        <v>130</v>
      </c>
      <c r="E27" s="6">
        <v>25</v>
      </c>
      <c r="F27" s="6" t="s">
        <v>13</v>
      </c>
      <c r="G27" s="5"/>
    </row>
    <row r="28" spans="1:7" x14ac:dyDescent="0.3">
      <c r="A28" s="5" t="s">
        <v>77</v>
      </c>
      <c r="B28" s="5" t="s">
        <v>32</v>
      </c>
      <c r="C28" s="5" t="s">
        <v>78</v>
      </c>
      <c r="D28" s="5">
        <v>400</v>
      </c>
      <c r="E28" s="5">
        <v>40</v>
      </c>
      <c r="F28" s="5" t="s">
        <v>17</v>
      </c>
      <c r="G28" s="5"/>
    </row>
    <row r="29" spans="1:7" x14ac:dyDescent="0.3">
      <c r="A29" s="6" t="s">
        <v>48</v>
      </c>
      <c r="B29" s="6" t="s">
        <v>26</v>
      </c>
      <c r="C29" s="6" t="s">
        <v>49</v>
      </c>
      <c r="D29" s="6">
        <v>230</v>
      </c>
      <c r="E29" s="6">
        <v>20</v>
      </c>
      <c r="F29" s="6" t="s">
        <v>9</v>
      </c>
      <c r="G29" s="7"/>
    </row>
    <row r="30" spans="1:7" x14ac:dyDescent="0.3">
      <c r="A30" s="5" t="s">
        <v>79</v>
      </c>
      <c r="B30" s="5" t="s">
        <v>80</v>
      </c>
      <c r="C30" s="5" t="s">
        <v>81</v>
      </c>
      <c r="D30" s="5">
        <v>60</v>
      </c>
      <c r="E30" s="5">
        <v>30</v>
      </c>
      <c r="F30" s="5" t="s">
        <v>13</v>
      </c>
      <c r="G30" s="5"/>
    </row>
    <row r="31" spans="1:7" x14ac:dyDescent="0.3">
      <c r="A31" s="6" t="s">
        <v>82</v>
      </c>
      <c r="B31" s="6" t="s">
        <v>83</v>
      </c>
      <c r="C31" s="6" t="s">
        <v>84</v>
      </c>
      <c r="D31" s="6">
        <v>40</v>
      </c>
      <c r="E31" s="6">
        <v>10</v>
      </c>
      <c r="F31" s="6" t="s">
        <v>17</v>
      </c>
      <c r="G31" s="5"/>
    </row>
    <row r="32" spans="1:7" x14ac:dyDescent="0.3">
      <c r="A32" s="5" t="s">
        <v>85</v>
      </c>
      <c r="B32" s="5" t="s">
        <v>71</v>
      </c>
      <c r="C32" s="5" t="s">
        <v>86</v>
      </c>
      <c r="D32" s="5">
        <v>130</v>
      </c>
      <c r="E32" s="5">
        <v>5</v>
      </c>
      <c r="F32" s="5" t="s">
        <v>9</v>
      </c>
      <c r="G32" s="5"/>
    </row>
    <row r="33" spans="1:7" x14ac:dyDescent="0.3">
      <c r="A33" s="6" t="s">
        <v>87</v>
      </c>
      <c r="B33" s="6" t="s">
        <v>88</v>
      </c>
      <c r="C33" s="6" t="s">
        <v>89</v>
      </c>
      <c r="D33" s="6">
        <v>50</v>
      </c>
      <c r="E33" s="6">
        <v>50</v>
      </c>
      <c r="F33" s="6" t="s">
        <v>13</v>
      </c>
      <c r="G33" s="5"/>
    </row>
    <row r="34" spans="1:7" x14ac:dyDescent="0.3">
      <c r="A34" s="5" t="s">
        <v>40</v>
      </c>
      <c r="B34" s="5" t="s">
        <v>7</v>
      </c>
      <c r="C34" s="5" t="s">
        <v>41</v>
      </c>
      <c r="D34" s="5">
        <v>950</v>
      </c>
      <c r="E34" s="5">
        <v>25</v>
      </c>
      <c r="F34" s="5" t="s">
        <v>9</v>
      </c>
      <c r="G34" s="5"/>
    </row>
    <row r="35" spans="1:7" x14ac:dyDescent="0.3">
      <c r="A35" s="6" t="s">
        <v>90</v>
      </c>
      <c r="B35" s="6" t="s">
        <v>91</v>
      </c>
      <c r="C35" s="6" t="s">
        <v>92</v>
      </c>
      <c r="D35" s="6">
        <v>100</v>
      </c>
      <c r="E35" s="6">
        <v>20</v>
      </c>
      <c r="F35" s="6" t="s">
        <v>53</v>
      </c>
      <c r="G35" s="5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C52D-0481-4B6E-A61D-1859FFAB9AC2}">
  <dimension ref="A1:M35"/>
  <sheetViews>
    <sheetView tabSelected="1" topLeftCell="C12" workbookViewId="0">
      <selection activeCell="U36" sqref="U36"/>
    </sheetView>
  </sheetViews>
  <sheetFormatPr defaultRowHeight="14.4" x14ac:dyDescent="0.3"/>
  <cols>
    <col min="1" max="1" width="12.109375" customWidth="1"/>
    <col min="2" max="2" width="8.5546875" customWidth="1"/>
    <col min="3" max="3" width="8.77734375" customWidth="1"/>
    <col min="4" max="4" width="12.109375" customWidth="1"/>
    <col min="5" max="5" width="14" customWidth="1"/>
    <col min="6" max="6" width="11.33203125" customWidth="1"/>
    <col min="8" max="8" width="15.21875" customWidth="1"/>
    <col min="10" max="10" width="19.109375" customWidth="1"/>
    <col min="12" max="12" width="14.6640625" customWidth="1"/>
  </cols>
  <sheetData>
    <row r="1" spans="1:13" x14ac:dyDescent="0.3">
      <c r="A1" s="1" t="s">
        <v>0</v>
      </c>
      <c r="B1" s="1" t="s">
        <v>95</v>
      </c>
      <c r="C1" s="1" t="s">
        <v>96</v>
      </c>
      <c r="D1" s="1" t="s">
        <v>97</v>
      </c>
      <c r="E1" s="1" t="s">
        <v>1</v>
      </c>
      <c r="F1" s="1" t="s">
        <v>2</v>
      </c>
      <c r="G1" s="1" t="s">
        <v>3</v>
      </c>
      <c r="H1" s="1" t="s">
        <v>93</v>
      </c>
      <c r="I1" s="1" t="s">
        <v>4</v>
      </c>
      <c r="J1" s="1" t="s">
        <v>5</v>
      </c>
    </row>
    <row r="2" spans="1:13" x14ac:dyDescent="0.3">
      <c r="A2" t="s">
        <v>6</v>
      </c>
      <c r="B2" t="str">
        <f>LEFT(A2,2)</f>
        <v>28</v>
      </c>
      <c r="C2" t="str">
        <f>RIGHT(A2,2)</f>
        <v>US</v>
      </c>
      <c r="D2" t="str">
        <f>MID(A2,4,3)</f>
        <v>JAN</v>
      </c>
      <c r="E2" t="s">
        <v>7</v>
      </c>
      <c r="F2" t="s">
        <v>8</v>
      </c>
      <c r="G2">
        <v>1000</v>
      </c>
      <c r="H2" t="str">
        <f>IF(G2&gt;=500,"High Price","Standar Price")</f>
        <v>High Price</v>
      </c>
      <c r="I2">
        <v>30</v>
      </c>
      <c r="J2" t="s">
        <v>9</v>
      </c>
    </row>
    <row r="3" spans="1:13" x14ac:dyDescent="0.3">
      <c r="A3" t="s">
        <v>10</v>
      </c>
      <c r="B3" t="str">
        <f t="shared" ref="B3:B35" si="0">LEFT(A3,2)</f>
        <v>15</v>
      </c>
      <c r="C3" t="str">
        <f t="shared" ref="C3:C35" si="1">RIGHT(A3,2)</f>
        <v>US</v>
      </c>
      <c r="D3" t="str">
        <f t="shared" ref="D3:D35" si="2">MID(A3,4,3)</f>
        <v>FEB</v>
      </c>
      <c r="E3" t="s">
        <v>11</v>
      </c>
      <c r="F3" t="s">
        <v>12</v>
      </c>
      <c r="G3">
        <v>80</v>
      </c>
      <c r="H3" t="str">
        <f t="shared" ref="H3:H35" si="3">IF(G3&gt;=500,"High Price","Standar Price")</f>
        <v>Standar Price</v>
      </c>
      <c r="I3">
        <v>15</v>
      </c>
      <c r="J3" t="s">
        <v>13</v>
      </c>
      <c r="L3" t="s">
        <v>99</v>
      </c>
      <c r="M3">
        <f>SUM(G2:G35)</f>
        <v>10100</v>
      </c>
    </row>
    <row r="4" spans="1:13" x14ac:dyDescent="0.3">
      <c r="A4" t="s">
        <v>14</v>
      </c>
      <c r="B4" t="str">
        <f t="shared" si="0"/>
        <v>03</v>
      </c>
      <c r="C4" t="str">
        <f t="shared" si="1"/>
        <v>US</v>
      </c>
      <c r="D4" t="str">
        <f t="shared" si="2"/>
        <v>MAR</v>
      </c>
      <c r="E4" t="s">
        <v>15</v>
      </c>
      <c r="F4" t="s">
        <v>16</v>
      </c>
      <c r="G4">
        <v>130</v>
      </c>
      <c r="H4" t="str">
        <f t="shared" si="3"/>
        <v>Standar Price</v>
      </c>
      <c r="I4">
        <v>40</v>
      </c>
      <c r="J4" t="s">
        <v>17</v>
      </c>
      <c r="L4" t="s">
        <v>98</v>
      </c>
      <c r="M4">
        <f>COUNT(G2:G35)</f>
        <v>34</v>
      </c>
    </row>
    <row r="5" spans="1:13" x14ac:dyDescent="0.3">
      <c r="A5" t="s">
        <v>18</v>
      </c>
      <c r="B5" t="str">
        <f t="shared" si="0"/>
        <v>11</v>
      </c>
      <c r="C5" t="str">
        <f t="shared" si="1"/>
        <v>US</v>
      </c>
      <c r="D5" t="str">
        <f t="shared" si="2"/>
        <v>APR</v>
      </c>
      <c r="E5" t="s">
        <v>19</v>
      </c>
      <c r="F5" t="s">
        <v>20</v>
      </c>
      <c r="G5">
        <v>900</v>
      </c>
      <c r="H5" t="str">
        <f t="shared" si="3"/>
        <v>High Price</v>
      </c>
      <c r="I5">
        <v>25</v>
      </c>
      <c r="J5" t="s">
        <v>9</v>
      </c>
      <c r="L5" t="s">
        <v>94</v>
      </c>
      <c r="M5">
        <f>AVERAGE(G2:G35)</f>
        <v>297.05882352941177</v>
      </c>
    </row>
    <row r="6" spans="1:13" x14ac:dyDescent="0.3">
      <c r="A6" t="s">
        <v>21</v>
      </c>
      <c r="B6" t="str">
        <f t="shared" si="0"/>
        <v>22</v>
      </c>
      <c r="C6" t="str">
        <f t="shared" si="1"/>
        <v>US</v>
      </c>
      <c r="D6" t="str">
        <f t="shared" si="2"/>
        <v>MAY</v>
      </c>
      <c r="E6" t="s">
        <v>22</v>
      </c>
      <c r="F6" t="s">
        <v>23</v>
      </c>
      <c r="G6">
        <v>70</v>
      </c>
      <c r="H6" t="str">
        <f t="shared" si="3"/>
        <v>Standar Price</v>
      </c>
      <c r="I6">
        <v>20</v>
      </c>
      <c r="J6" t="s">
        <v>24</v>
      </c>
      <c r="L6" t="s">
        <v>101</v>
      </c>
      <c r="M6">
        <f>MAX(G2:G35)</f>
        <v>1000</v>
      </c>
    </row>
    <row r="7" spans="1:13" x14ac:dyDescent="0.3">
      <c r="A7" t="s">
        <v>25</v>
      </c>
      <c r="B7" t="str">
        <f t="shared" si="0"/>
        <v>07</v>
      </c>
      <c r="C7" t="str">
        <f t="shared" si="1"/>
        <v>UK</v>
      </c>
      <c r="D7" t="str">
        <f t="shared" si="2"/>
        <v>JUN</v>
      </c>
      <c r="E7" t="s">
        <v>26</v>
      </c>
      <c r="F7" t="s">
        <v>27</v>
      </c>
      <c r="G7">
        <v>200</v>
      </c>
      <c r="H7" t="str">
        <f t="shared" si="3"/>
        <v>Standar Price</v>
      </c>
      <c r="I7">
        <v>45</v>
      </c>
      <c r="J7" t="s">
        <v>9</v>
      </c>
      <c r="L7" t="s">
        <v>102</v>
      </c>
      <c r="M7">
        <f>MIN(G2:G35)</f>
        <v>30</v>
      </c>
    </row>
    <row r="8" spans="1:13" x14ac:dyDescent="0.3">
      <c r="A8" t="s">
        <v>28</v>
      </c>
      <c r="B8" t="str">
        <f t="shared" si="0"/>
        <v>19</v>
      </c>
      <c r="C8" t="str">
        <f t="shared" si="1"/>
        <v>UK</v>
      </c>
      <c r="D8" t="str">
        <f t="shared" si="2"/>
        <v>JUL</v>
      </c>
      <c r="E8" t="s">
        <v>29</v>
      </c>
      <c r="F8" t="s">
        <v>30</v>
      </c>
      <c r="G8">
        <v>30</v>
      </c>
      <c r="H8" t="str">
        <f t="shared" si="3"/>
        <v>Standar Price</v>
      </c>
      <c r="I8">
        <v>5</v>
      </c>
      <c r="J8" t="s">
        <v>13</v>
      </c>
      <c r="L8" t="s">
        <v>100</v>
      </c>
      <c r="M8">
        <f>SUMIF(J2:J35,"Electronics",G2:G35)</f>
        <v>8050</v>
      </c>
    </row>
    <row r="9" spans="1:13" x14ac:dyDescent="0.3">
      <c r="A9" t="s">
        <v>31</v>
      </c>
      <c r="B9" t="str">
        <f t="shared" si="0"/>
        <v>23</v>
      </c>
      <c r="C9" t="str">
        <f t="shared" si="1"/>
        <v>UK</v>
      </c>
      <c r="D9" t="str">
        <f t="shared" si="2"/>
        <v>AUG</v>
      </c>
      <c r="E9" t="s">
        <v>32</v>
      </c>
      <c r="F9" t="s">
        <v>33</v>
      </c>
      <c r="G9">
        <v>90</v>
      </c>
      <c r="H9" t="str">
        <f t="shared" si="3"/>
        <v>Standar Price</v>
      </c>
      <c r="I9">
        <v>35</v>
      </c>
      <c r="J9" t="s">
        <v>17</v>
      </c>
      <c r="L9" t="s">
        <v>103</v>
      </c>
      <c r="M9">
        <f>COUNTIF(G2:G35,"&lt;=100")</f>
        <v>12</v>
      </c>
    </row>
    <row r="10" spans="1:13" x14ac:dyDescent="0.3">
      <c r="A10" t="s">
        <v>34</v>
      </c>
      <c r="B10" t="str">
        <f t="shared" si="0"/>
        <v>05</v>
      </c>
      <c r="C10" t="str">
        <f t="shared" si="1"/>
        <v>UK</v>
      </c>
      <c r="D10" t="str">
        <f t="shared" si="2"/>
        <v>SEP</v>
      </c>
      <c r="E10" t="s">
        <v>35</v>
      </c>
      <c r="F10" t="s">
        <v>36</v>
      </c>
      <c r="G10">
        <v>500</v>
      </c>
      <c r="H10" t="str">
        <f t="shared" si="3"/>
        <v>High Price</v>
      </c>
      <c r="I10">
        <v>50</v>
      </c>
      <c r="J10" t="s">
        <v>9</v>
      </c>
    </row>
    <row r="11" spans="1:13" x14ac:dyDescent="0.3">
      <c r="A11" t="s">
        <v>37</v>
      </c>
      <c r="B11" t="str">
        <f t="shared" si="0"/>
        <v>14</v>
      </c>
      <c r="C11" t="str">
        <f t="shared" si="1"/>
        <v>UK</v>
      </c>
      <c r="D11" t="str">
        <f t="shared" si="2"/>
        <v>OCT</v>
      </c>
      <c r="E11" t="s">
        <v>38</v>
      </c>
      <c r="F11" t="s">
        <v>39</v>
      </c>
      <c r="G11">
        <v>130</v>
      </c>
      <c r="H11" t="str">
        <f t="shared" si="3"/>
        <v>Standar Price</v>
      </c>
      <c r="I11">
        <v>10</v>
      </c>
      <c r="J11" t="s">
        <v>24</v>
      </c>
    </row>
    <row r="12" spans="1:13" x14ac:dyDescent="0.3">
      <c r="A12" t="s">
        <v>40</v>
      </c>
      <c r="B12" t="str">
        <f t="shared" si="0"/>
        <v>17</v>
      </c>
      <c r="C12" t="str">
        <f t="shared" si="1"/>
        <v>IN</v>
      </c>
      <c r="D12" t="str">
        <f t="shared" si="2"/>
        <v>JUN</v>
      </c>
      <c r="E12" t="s">
        <v>7</v>
      </c>
      <c r="F12" t="s">
        <v>41</v>
      </c>
      <c r="G12">
        <v>950</v>
      </c>
      <c r="H12" t="str">
        <f t="shared" si="3"/>
        <v>High Price</v>
      </c>
      <c r="I12">
        <v>25</v>
      </c>
      <c r="J12" t="s">
        <v>9</v>
      </c>
    </row>
    <row r="13" spans="1:13" x14ac:dyDescent="0.3">
      <c r="A13" t="s">
        <v>42</v>
      </c>
      <c r="B13" t="str">
        <f t="shared" si="0"/>
        <v>25</v>
      </c>
      <c r="C13" t="str">
        <f t="shared" si="1"/>
        <v>AU</v>
      </c>
      <c r="D13" t="str">
        <f t="shared" si="2"/>
        <v>NOV</v>
      </c>
      <c r="E13" t="s">
        <v>11</v>
      </c>
      <c r="F13" t="s">
        <v>30</v>
      </c>
      <c r="G13">
        <v>90</v>
      </c>
      <c r="H13" t="str">
        <f t="shared" si="3"/>
        <v>Standar Price</v>
      </c>
      <c r="I13">
        <v>40</v>
      </c>
      <c r="J13" t="s">
        <v>13</v>
      </c>
    </row>
    <row r="14" spans="1:13" x14ac:dyDescent="0.3">
      <c r="A14" t="s">
        <v>43</v>
      </c>
      <c r="B14" t="str">
        <f t="shared" si="0"/>
        <v>08</v>
      </c>
      <c r="C14" t="str">
        <f t="shared" si="1"/>
        <v>DE</v>
      </c>
      <c r="D14" t="str">
        <f t="shared" si="2"/>
        <v>DEC</v>
      </c>
      <c r="E14" t="s">
        <v>15</v>
      </c>
      <c r="F14" t="s">
        <v>44</v>
      </c>
      <c r="G14">
        <v>120</v>
      </c>
      <c r="H14" t="str">
        <f t="shared" si="3"/>
        <v>Standar Price</v>
      </c>
      <c r="I14">
        <v>35</v>
      </c>
      <c r="J14" t="s">
        <v>17</v>
      </c>
    </row>
    <row r="15" spans="1:13" x14ac:dyDescent="0.3">
      <c r="A15" t="s">
        <v>45</v>
      </c>
      <c r="B15" t="str">
        <f t="shared" si="0"/>
        <v>18</v>
      </c>
      <c r="C15" t="str">
        <f t="shared" si="1"/>
        <v>CA</v>
      </c>
      <c r="D15" t="str">
        <f t="shared" si="2"/>
        <v>FEB</v>
      </c>
      <c r="E15" t="s">
        <v>46</v>
      </c>
      <c r="F15" t="s">
        <v>47</v>
      </c>
      <c r="G15">
        <v>150</v>
      </c>
      <c r="H15" t="str">
        <f t="shared" si="3"/>
        <v>Standar Price</v>
      </c>
      <c r="I15">
        <v>15</v>
      </c>
      <c r="J15" t="s">
        <v>9</v>
      </c>
    </row>
    <row r="16" spans="1:13" x14ac:dyDescent="0.3">
      <c r="A16" t="s">
        <v>48</v>
      </c>
      <c r="B16" t="str">
        <f t="shared" si="0"/>
        <v>16</v>
      </c>
      <c r="C16" t="str">
        <f t="shared" si="1"/>
        <v>ES</v>
      </c>
      <c r="D16" t="str">
        <f t="shared" si="2"/>
        <v>APR</v>
      </c>
      <c r="E16" t="s">
        <v>26</v>
      </c>
      <c r="F16" t="s">
        <v>49</v>
      </c>
      <c r="G16">
        <v>250</v>
      </c>
      <c r="H16" t="str">
        <f t="shared" si="3"/>
        <v>Standar Price</v>
      </c>
      <c r="I16">
        <v>20</v>
      </c>
      <c r="J16" t="s">
        <v>9</v>
      </c>
    </row>
    <row r="17" spans="1:10" x14ac:dyDescent="0.3">
      <c r="A17" t="s">
        <v>50</v>
      </c>
      <c r="B17" t="str">
        <f t="shared" si="0"/>
        <v>21</v>
      </c>
      <c r="C17" t="str">
        <f t="shared" si="1"/>
        <v>CA</v>
      </c>
      <c r="D17" t="str">
        <f t="shared" si="2"/>
        <v>AUG</v>
      </c>
      <c r="E17" t="s">
        <v>51</v>
      </c>
      <c r="F17" t="s">
        <v>52</v>
      </c>
      <c r="G17">
        <v>50</v>
      </c>
      <c r="H17" t="str">
        <f t="shared" si="3"/>
        <v>Standar Price</v>
      </c>
      <c r="I17">
        <v>35</v>
      </c>
      <c r="J17" t="s">
        <v>53</v>
      </c>
    </row>
    <row r="18" spans="1:10" x14ac:dyDescent="0.3">
      <c r="A18" t="s">
        <v>54</v>
      </c>
      <c r="B18" t="str">
        <f t="shared" si="0"/>
        <v>20</v>
      </c>
      <c r="C18" t="str">
        <f t="shared" si="1"/>
        <v>CN</v>
      </c>
      <c r="D18" t="str">
        <f t="shared" si="2"/>
        <v>AUG</v>
      </c>
      <c r="E18" t="s">
        <v>46</v>
      </c>
      <c r="F18" t="s">
        <v>55</v>
      </c>
      <c r="G18">
        <v>160</v>
      </c>
      <c r="H18" t="str">
        <f t="shared" si="3"/>
        <v>Standar Price</v>
      </c>
      <c r="I18">
        <v>15</v>
      </c>
      <c r="J18" t="s">
        <v>9</v>
      </c>
    </row>
    <row r="19" spans="1:10" x14ac:dyDescent="0.3">
      <c r="A19" t="s">
        <v>56</v>
      </c>
      <c r="B19" t="str">
        <f t="shared" si="0"/>
        <v>27</v>
      </c>
      <c r="C19" t="str">
        <f t="shared" si="1"/>
        <v>IT</v>
      </c>
      <c r="D19" t="str">
        <f t="shared" si="2"/>
        <v>JAN</v>
      </c>
      <c r="E19" t="s">
        <v>7</v>
      </c>
      <c r="F19" t="s">
        <v>57</v>
      </c>
      <c r="G19">
        <v>980</v>
      </c>
      <c r="H19" t="str">
        <f t="shared" si="3"/>
        <v>High Price</v>
      </c>
      <c r="I19">
        <v>10</v>
      </c>
      <c r="J19" t="s">
        <v>9</v>
      </c>
    </row>
    <row r="20" spans="1:10" x14ac:dyDescent="0.3">
      <c r="A20" t="s">
        <v>58</v>
      </c>
      <c r="B20" t="str">
        <f t="shared" si="0"/>
        <v>01</v>
      </c>
      <c r="C20" t="str">
        <f t="shared" si="1"/>
        <v>UK</v>
      </c>
      <c r="D20" t="str">
        <f t="shared" si="2"/>
        <v>MAR</v>
      </c>
      <c r="E20" t="s">
        <v>59</v>
      </c>
      <c r="F20" t="s">
        <v>60</v>
      </c>
      <c r="G20">
        <v>150</v>
      </c>
      <c r="H20" t="str">
        <f t="shared" si="3"/>
        <v>Standar Price</v>
      </c>
      <c r="I20">
        <v>15</v>
      </c>
      <c r="J20" t="s">
        <v>13</v>
      </c>
    </row>
    <row r="21" spans="1:10" x14ac:dyDescent="0.3">
      <c r="A21" t="s">
        <v>61</v>
      </c>
      <c r="B21" t="str">
        <f t="shared" si="0"/>
        <v>14</v>
      </c>
      <c r="C21" t="str">
        <f t="shared" si="1"/>
        <v>US</v>
      </c>
      <c r="D21" t="str">
        <f t="shared" si="2"/>
        <v>AUG</v>
      </c>
      <c r="E21" t="s">
        <v>62</v>
      </c>
      <c r="F21" t="s">
        <v>63</v>
      </c>
      <c r="G21">
        <v>200</v>
      </c>
      <c r="H21" t="str">
        <f t="shared" si="3"/>
        <v>Standar Price</v>
      </c>
      <c r="I21">
        <v>10</v>
      </c>
      <c r="J21" t="s">
        <v>24</v>
      </c>
    </row>
    <row r="22" spans="1:10" x14ac:dyDescent="0.3">
      <c r="A22" t="s">
        <v>64</v>
      </c>
      <c r="B22" t="str">
        <f t="shared" si="0"/>
        <v>14</v>
      </c>
      <c r="C22" t="str">
        <f t="shared" si="1"/>
        <v>RU</v>
      </c>
      <c r="D22" t="str">
        <f t="shared" si="2"/>
        <v>MAY</v>
      </c>
      <c r="E22" t="s">
        <v>65</v>
      </c>
      <c r="F22" t="s">
        <v>66</v>
      </c>
      <c r="G22">
        <v>700</v>
      </c>
      <c r="H22" t="str">
        <f>IF(G22&gt;=500,"High Price","Standar Price")</f>
        <v>High Price</v>
      </c>
      <c r="I22">
        <v>50</v>
      </c>
      <c r="J22" t="s">
        <v>9</v>
      </c>
    </row>
    <row r="23" spans="1:10" x14ac:dyDescent="0.3">
      <c r="A23" t="s">
        <v>67</v>
      </c>
      <c r="B23" t="str">
        <f t="shared" si="0"/>
        <v>09</v>
      </c>
      <c r="C23" t="str">
        <f t="shared" si="1"/>
        <v>CA</v>
      </c>
      <c r="D23" t="str">
        <f t="shared" si="2"/>
        <v>JAN</v>
      </c>
      <c r="E23" t="s">
        <v>68</v>
      </c>
      <c r="F23" t="s">
        <v>69</v>
      </c>
      <c r="G23">
        <v>80</v>
      </c>
      <c r="H23" t="str">
        <f t="shared" si="3"/>
        <v>Standar Price</v>
      </c>
      <c r="I23">
        <v>20</v>
      </c>
      <c r="J23" t="s">
        <v>17</v>
      </c>
    </row>
    <row r="24" spans="1:10" x14ac:dyDescent="0.3">
      <c r="A24" t="s">
        <v>70</v>
      </c>
      <c r="B24" t="str">
        <f t="shared" si="0"/>
        <v>19</v>
      </c>
      <c r="C24" t="str">
        <f t="shared" si="1"/>
        <v>BR</v>
      </c>
      <c r="D24" t="str">
        <f t="shared" si="2"/>
        <v>JUL</v>
      </c>
      <c r="E24" t="s">
        <v>71</v>
      </c>
      <c r="F24" t="s">
        <v>72</v>
      </c>
      <c r="G24">
        <v>150</v>
      </c>
      <c r="H24" t="str">
        <f t="shared" si="3"/>
        <v>Standar Price</v>
      </c>
      <c r="I24">
        <v>30</v>
      </c>
      <c r="J24" t="s">
        <v>9</v>
      </c>
    </row>
    <row r="25" spans="1:10" x14ac:dyDescent="0.3">
      <c r="A25" t="s">
        <v>50</v>
      </c>
      <c r="B25" t="str">
        <f t="shared" si="0"/>
        <v>21</v>
      </c>
      <c r="C25" t="str">
        <f t="shared" si="1"/>
        <v>CA</v>
      </c>
      <c r="D25" t="str">
        <f t="shared" si="2"/>
        <v>AUG</v>
      </c>
      <c r="E25" t="s">
        <v>51</v>
      </c>
      <c r="F25" t="s">
        <v>52</v>
      </c>
      <c r="G25">
        <v>50</v>
      </c>
      <c r="H25" t="str">
        <f t="shared" si="3"/>
        <v>Standar Price</v>
      </c>
      <c r="I25">
        <v>35</v>
      </c>
      <c r="J25" t="s">
        <v>53</v>
      </c>
    </row>
    <row r="26" spans="1:10" x14ac:dyDescent="0.3">
      <c r="A26" t="s">
        <v>73</v>
      </c>
      <c r="B26" t="str">
        <f t="shared" si="0"/>
        <v>29</v>
      </c>
      <c r="C26" t="str">
        <f t="shared" si="1"/>
        <v>CA</v>
      </c>
      <c r="D26" t="str">
        <f t="shared" si="2"/>
        <v>SEP</v>
      </c>
      <c r="E26" t="s">
        <v>19</v>
      </c>
      <c r="F26" t="s">
        <v>74</v>
      </c>
      <c r="G26">
        <v>800</v>
      </c>
      <c r="H26" t="str">
        <f t="shared" si="3"/>
        <v>High Price</v>
      </c>
      <c r="I26">
        <v>45</v>
      </c>
      <c r="J26" t="s">
        <v>9</v>
      </c>
    </row>
    <row r="27" spans="1:10" x14ac:dyDescent="0.3">
      <c r="A27" t="s">
        <v>75</v>
      </c>
      <c r="B27" t="str">
        <f t="shared" si="0"/>
        <v>03</v>
      </c>
      <c r="C27" t="str">
        <f t="shared" si="1"/>
        <v>CA</v>
      </c>
      <c r="D27" t="str">
        <f t="shared" si="2"/>
        <v>JUN</v>
      </c>
      <c r="E27" t="s">
        <v>59</v>
      </c>
      <c r="F27" t="s">
        <v>76</v>
      </c>
      <c r="G27">
        <v>130</v>
      </c>
      <c r="H27" t="str">
        <f t="shared" si="3"/>
        <v>Standar Price</v>
      </c>
      <c r="I27">
        <v>25</v>
      </c>
      <c r="J27" t="s">
        <v>13</v>
      </c>
    </row>
    <row r="28" spans="1:10" x14ac:dyDescent="0.3">
      <c r="A28" t="s">
        <v>77</v>
      </c>
      <c r="B28" t="str">
        <f t="shared" si="0"/>
        <v>11</v>
      </c>
      <c r="C28" t="str">
        <f t="shared" si="1"/>
        <v>CA</v>
      </c>
      <c r="D28" t="str">
        <f t="shared" si="2"/>
        <v>JUL</v>
      </c>
      <c r="E28" t="s">
        <v>32</v>
      </c>
      <c r="F28" t="s">
        <v>78</v>
      </c>
      <c r="G28">
        <v>400</v>
      </c>
      <c r="H28" t="str">
        <f t="shared" si="3"/>
        <v>Standar Price</v>
      </c>
      <c r="I28">
        <v>40</v>
      </c>
      <c r="J28" t="s">
        <v>17</v>
      </c>
    </row>
    <row r="29" spans="1:10" x14ac:dyDescent="0.3">
      <c r="A29" t="s">
        <v>48</v>
      </c>
      <c r="B29" t="str">
        <f t="shared" si="0"/>
        <v>16</v>
      </c>
      <c r="C29" t="str">
        <f t="shared" si="1"/>
        <v>ES</v>
      </c>
      <c r="D29" t="str">
        <f t="shared" si="2"/>
        <v>APR</v>
      </c>
      <c r="E29" t="s">
        <v>26</v>
      </c>
      <c r="F29" t="s">
        <v>49</v>
      </c>
      <c r="G29">
        <v>230</v>
      </c>
      <c r="H29" t="str">
        <f t="shared" si="3"/>
        <v>Standar Price</v>
      </c>
      <c r="I29">
        <v>20</v>
      </c>
      <c r="J29" t="s">
        <v>9</v>
      </c>
    </row>
    <row r="30" spans="1:10" x14ac:dyDescent="0.3">
      <c r="A30" t="s">
        <v>79</v>
      </c>
      <c r="B30" t="str">
        <f t="shared" si="0"/>
        <v>07</v>
      </c>
      <c r="C30" t="str">
        <f t="shared" si="1"/>
        <v>CA</v>
      </c>
      <c r="D30" t="str">
        <f t="shared" si="2"/>
        <v>MAR</v>
      </c>
      <c r="E30" t="s">
        <v>80</v>
      </c>
      <c r="F30" t="s">
        <v>81</v>
      </c>
      <c r="G30">
        <v>60</v>
      </c>
      <c r="H30" t="str">
        <f t="shared" si="3"/>
        <v>Standar Price</v>
      </c>
      <c r="I30">
        <v>30</v>
      </c>
      <c r="J30" t="s">
        <v>13</v>
      </c>
    </row>
    <row r="31" spans="1:10" x14ac:dyDescent="0.3">
      <c r="A31" t="s">
        <v>82</v>
      </c>
      <c r="B31" t="str">
        <f t="shared" si="0"/>
        <v>13</v>
      </c>
      <c r="C31" t="str">
        <f t="shared" si="1"/>
        <v>CA</v>
      </c>
      <c r="D31" t="str">
        <f t="shared" si="2"/>
        <v>APR</v>
      </c>
      <c r="E31" t="s">
        <v>83</v>
      </c>
      <c r="F31" t="s">
        <v>84</v>
      </c>
      <c r="G31">
        <v>40</v>
      </c>
      <c r="H31" t="str">
        <f t="shared" si="3"/>
        <v>Standar Price</v>
      </c>
      <c r="I31">
        <v>10</v>
      </c>
      <c r="J31" t="s">
        <v>17</v>
      </c>
    </row>
    <row r="32" spans="1:10" x14ac:dyDescent="0.3">
      <c r="A32" t="s">
        <v>85</v>
      </c>
      <c r="B32" t="str">
        <f t="shared" si="0"/>
        <v>24</v>
      </c>
      <c r="C32" t="str">
        <f t="shared" si="1"/>
        <v>CA</v>
      </c>
      <c r="D32" t="str">
        <f t="shared" si="2"/>
        <v>MAY</v>
      </c>
      <c r="E32" t="s">
        <v>71</v>
      </c>
      <c r="F32" t="s">
        <v>86</v>
      </c>
      <c r="G32">
        <v>130</v>
      </c>
      <c r="H32" t="str">
        <f t="shared" si="3"/>
        <v>Standar Price</v>
      </c>
      <c r="I32">
        <v>5</v>
      </c>
      <c r="J32" t="s">
        <v>9</v>
      </c>
    </row>
    <row r="33" spans="1:10" x14ac:dyDescent="0.3">
      <c r="A33" t="s">
        <v>87</v>
      </c>
      <c r="B33" t="str">
        <f t="shared" si="0"/>
        <v>02</v>
      </c>
      <c r="C33" t="str">
        <f t="shared" si="1"/>
        <v>CA</v>
      </c>
      <c r="D33" t="str">
        <f t="shared" si="2"/>
        <v>DEC</v>
      </c>
      <c r="E33" t="s">
        <v>88</v>
      </c>
      <c r="F33" t="s">
        <v>89</v>
      </c>
      <c r="G33">
        <v>50</v>
      </c>
      <c r="H33" t="str">
        <f t="shared" si="3"/>
        <v>Standar Price</v>
      </c>
      <c r="I33">
        <v>50</v>
      </c>
      <c r="J33" t="s">
        <v>13</v>
      </c>
    </row>
    <row r="34" spans="1:10" x14ac:dyDescent="0.3">
      <c r="A34" t="s">
        <v>40</v>
      </c>
      <c r="B34" t="str">
        <f t="shared" si="0"/>
        <v>17</v>
      </c>
      <c r="C34" t="str">
        <f t="shared" si="1"/>
        <v>IN</v>
      </c>
      <c r="D34" t="str">
        <f t="shared" si="2"/>
        <v>JUN</v>
      </c>
      <c r="E34" t="s">
        <v>7</v>
      </c>
      <c r="F34" t="s">
        <v>41</v>
      </c>
      <c r="G34">
        <v>950</v>
      </c>
      <c r="H34" t="str">
        <f t="shared" si="3"/>
        <v>High Price</v>
      </c>
      <c r="I34">
        <v>25</v>
      </c>
      <c r="J34" t="s">
        <v>9</v>
      </c>
    </row>
    <row r="35" spans="1:10" x14ac:dyDescent="0.3">
      <c r="A35" t="s">
        <v>90</v>
      </c>
      <c r="B35" t="str">
        <f t="shared" si="0"/>
        <v>09</v>
      </c>
      <c r="C35" t="str">
        <f t="shared" si="1"/>
        <v>FR</v>
      </c>
      <c r="D35" t="str">
        <f t="shared" si="2"/>
        <v>JUL</v>
      </c>
      <c r="E35" t="s">
        <v>91</v>
      </c>
      <c r="F35" t="s">
        <v>92</v>
      </c>
      <c r="G35">
        <v>100</v>
      </c>
      <c r="H35" t="str">
        <f t="shared" si="3"/>
        <v>Standar Price</v>
      </c>
      <c r="I35">
        <v>20</v>
      </c>
      <c r="J3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janapriyan80@gmail.com</dc:creator>
  <cp:lastModifiedBy>Rathika sekar</cp:lastModifiedBy>
  <dcterms:created xsi:type="dcterms:W3CDTF">2026-07-17T05:56:54Z</dcterms:created>
  <dcterms:modified xsi:type="dcterms:W3CDTF">2026-07-20T07:05:01Z</dcterms:modified>
</cp:coreProperties>
</file>