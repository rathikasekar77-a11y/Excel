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janap\OneDrive\Documents\Excel Wroksheets\"/>
    </mc:Choice>
  </mc:AlternateContent>
  <xr:revisionPtr revIDLastSave="0" documentId="13_ncr:1_{B241F957-5C87-4734-9042-693C581E11D8}" xr6:coauthVersionLast="47" xr6:coauthVersionMax="47" xr10:uidLastSave="{00000000-0000-0000-0000-000000000000}"/>
  <bookViews>
    <workbookView xWindow="-108" yWindow="-108" windowWidth="23256" windowHeight="12456" firstSheet="2" activeTab="5" xr2:uid="{00000000-000D-0000-FFFF-FFFF00000000}"/>
  </bookViews>
  <sheets>
    <sheet name="Customer_Dim" sheetId="1" r:id="rId1"/>
    <sheet name="Product_Dim" sheetId="2" r:id="rId2"/>
    <sheet name="Store_Dim" sheetId="3" r:id="rId3"/>
    <sheet name="worksheet." sheetId="4" r:id="rId4"/>
    <sheet name="Total Sales " sheetId="7" r:id="rId5"/>
    <sheet name="Analysis" sheetId="18" r:id="rId6"/>
    <sheet name="pivot Tables " sheetId="11" r:id="rId7"/>
    <sheet name="Dashboard" sheetId="23" r:id="rId8"/>
  </sheets>
  <definedNames>
    <definedName name="_xlnm._FilterDatabase" localSheetId="0" hidden="1">Customer_Dim!$A$1:$A$501</definedName>
    <definedName name="_xlnm._FilterDatabase" localSheetId="1" hidden="1">Product_Dim!$A$1:$K$101</definedName>
    <definedName name="_xlnm._FilterDatabase" localSheetId="3" hidden="1">worksheet.!$A$1:$K$1</definedName>
    <definedName name="_xlchart.v1.0" hidden="1">'pivot Tables '!$AH$4</definedName>
    <definedName name="_xlchart.v1.1" hidden="1">'pivot Tables '!$AH$5:$AH$10</definedName>
    <definedName name="_xlchart.v1.10" hidden="1">'pivot Tables '!$Z$11:$AB$11</definedName>
    <definedName name="_xlchart.v1.2" hidden="1">'pivot Tables '!$AI$4</definedName>
    <definedName name="_xlchart.v1.3" hidden="1">'pivot Tables '!$AI$5:$AI$10</definedName>
    <definedName name="_xlchart.v1.4" hidden="1">'pivot Tables '!$AH$4</definedName>
    <definedName name="_xlchart.v1.5" hidden="1">'pivot Tables '!$AH$5:$AH$10</definedName>
    <definedName name="_xlchart.v1.6" hidden="1">'pivot Tables '!$AI$4</definedName>
    <definedName name="_xlchart.v1.7" hidden="1">'pivot Tables '!$AI$5:$AI$10</definedName>
    <definedName name="_xlchart.v1.8" hidden="1">'pivot Tables '!$AC$11</definedName>
    <definedName name="_xlchart.v1.9" hidden="1">'pivot Tables '!$AC$3:$AC$10</definedName>
    <definedName name="Slicer_Gender">#N/A</definedName>
    <definedName name="Slicer_Payment_Type">#N/A</definedName>
    <definedName name="Slicer_Region">#N/A</definedName>
    <definedName name="Slicer_Years__Order_Date">#N/A</definedName>
  </definedNames>
  <calcPr calcId="191029"/>
  <pivotCaches>
    <pivotCache cacheId="84" r:id="rId9"/>
    <pivotCache cacheId="88" r:id="rId10"/>
    <pivotCache cacheId="103" r:id="rId11"/>
    <pivotCache cacheId="107"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8" l="1"/>
  <c r="E6" i="18"/>
  <c r="E5" i="18"/>
  <c r="E4" i="18" l="1"/>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 i="4"/>
  <c r="M2" i="4" a="1"/>
  <c r="M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<sst xmlns="http://schemas.openxmlformats.org/spreadsheetml/2006/main" count="70722" uniqueCount="3970">
  <si>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</si>
  <si>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</si>
  <si>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</si>
  <si>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</si>
  <si>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</si>
  <si>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</si>
  <si>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</si>
  <si>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</si>
  <si>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</si>
  <si>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</si>
  <si>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</si>
  <si>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</si>
  <si>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</si>
  <si>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</si>
  <si>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</si>
  <si>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</si>
  <si>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</si>
  <si>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</si>
  <si>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</si>
  <si>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</si>
  <si>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</si>
  <si>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</si>
  <si>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</si>
  <si>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</si>
  <si>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</si>
  <si>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</si>
  <si>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</si>
  <si>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</si>
  <si>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</si>
  <si>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</si>
  <si>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</si>
  <si>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</si>
  <si>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</si>
  <si>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</si>
  <si>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</si>
  <si>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</si>
  <si>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</si>
  <si>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</si>
  <si>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</si>
  <si>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</si>
  <si>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</si>
  <si>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</si>
  <si>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</si>
  <si>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</si>
  <si>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</si>
  <si>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</si>
  <si>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</si>
  <si>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</si>
  <si>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</si>
  <si>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</si>
  <si>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</si>
  <si>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</si>
  <si>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</si>
  <si>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</si>
  <si>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</si>
  <si>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</si>
  <si>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</si>
  <si>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</si>
  <si>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</si>
  <si>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</si>
  <si>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</si>
  <si>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</si>
  <si>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</si>
  <si>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</si>
  <si>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</si>
  <si>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</si>
  <si>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</si>
  <si>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</si>
  <si>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</si>
  <si>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</si>
  <si>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</si>
  <si>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</si>
  <si>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</si>
  <si>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</si>
  <si>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</si>
  <si>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</si>
  <si>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</si>
  <si>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</si>
  <si>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</si>
  <si>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</si>
  <si>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</si>
  <si>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</si>
  <si>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</si>
  <si>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</si>
  <si>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</si>
  <si>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</si>
  <si>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</si>
  <si>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</si>
  <si>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</si>
  <si>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</si>
  <si>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</si>
  <si>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</si>
  <si>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</si>
  <si>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</si>
  <si>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</si>
  <si>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</si>
  <si>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</si>
  <si>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</si>
  <si>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</si>
  <si>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</si>
  <si>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</si>
  <si>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</si>
  <si>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</si>
  <si>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</si>
  <si>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</si>
  <si>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</si>
  <si>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</si>
  <si>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</si>
  <si>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</si>
  <si>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</si>
  <si>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</si>
  <si>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</si>
  <si>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</si>
  <si>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</si>
  <si>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</si>
  <si>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</si>
  <si>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</si>
  <si>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</si>
  <si>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</si>
  <si>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</si>
  <si>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</si>
  <si>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</si>
  <si>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</si>
  <si>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</si>
  <si>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</si>
  <si>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</si>
  <si>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</si>
  <si>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</si>
  <si>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</si>
  <si>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</si>
  <si>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</si>
  <si>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</si>
  <si>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</si>
  <si>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</si>
  <si>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</si>
  <si>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</si>
  <si>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</si>
  <si>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</si>
  <si>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</si>
  <si>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</si>
  <si>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</si>
  <si>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</si>
  <si>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</si>
  <si>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</si>
  <si>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</si>
  <si>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</si>
  <si>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</si>
  <si>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</si>
  <si>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</si>
  <si>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</si>
  <si>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</si>
  <si>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</si>
  <si>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</si>
  <si>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</si>
  <si>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</si>
  <si>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</si>
  <si>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</si>
  <si>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</si>
  <si>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</si>
  <si>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</si>
  <si>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</si>
  <si>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</si>
  <si>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</si>
  <si>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</si>
  <si>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</si>
  <si>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</si>
  <si>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</si>
  <si>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</si>
  <si>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</si>
  <si>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</si>
  <si>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</si>
  <si>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</si>
  <si>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</si>
  <si>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</si>
  <si>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</si>
  <si>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</si>
  <si>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</si>
  <si>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</si>
  <si>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</si>
  <si>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</si>
  <si>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</si>
  <si>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</si>
  <si>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</si>
  <si>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</si>
  <si>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</si>
  <si>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</si>
  <si>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</si>
  <si>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</si>
  <si>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</si>
  <si>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</si>
  <si>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</si>
  <si>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</si>
  <si>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</si>
  <si>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</si>
  <si>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</si>
  <si>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</si>
  <si>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</si>
  <si>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</si>
  <si>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</si>
  <si>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</si>
  <si>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</si>
  <si>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</si>
  <si>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</si>
  <si>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</si>
  <si>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</si>
  <si>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</si>
  <si>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</si>
  <si>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</si>
  <si>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</si>
  <si>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</si>
  <si>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</si>
  <si>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</si>
  <si>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</si>
  <si>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</si>
  <si>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</si>
  <si>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</si>
  <si>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</si>
  <si>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</si>
  <si>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</si>
  <si>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</si>
  <si>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</si>
  <si>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</si>
  <si>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</si>
  <si>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</si>
  <si>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</si>
  <si>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</si>
  <si>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</si>
  <si>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</si>
  <si>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</si>
  <si>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</si>
  <si>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</si>
  <si>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</si>
  <si>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</si>
  <si>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</si>
  <si>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</si>
  <si>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</si>
  <si>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</si>
  <si>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</si>
  <si>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</si>
  <si>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</si>
  <si>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</si>
  <si>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</si>
  <si>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</si>
  <si>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</si>
  <si>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</si>
  <si>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</si>
  <si>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</si>
  <si>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</si>
  <si>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</si>
  <si>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</si>
  <si>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</si>
  <si>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</si>
  <si>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</si>
  <si>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</si>
  <si>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</si>
  <si>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</si>
  <si>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</si>
  <si>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</si>
  <si>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</si>
  <si>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</si>
  <si>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</si>
  <si>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</si>
  <si>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</si>
  <si>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</si>
  <si>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</si>
  <si>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</si>
  <si>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</si>
  <si>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</si>
  <si>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</si>
  <si>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</si>
  <si>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</si>
  <si>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</si>
  <si>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</si>
  <si>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</si>
  <si>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</si>
  <si>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</si>
  <si>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</si>
  <si>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</si>
  <si>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</si>
  <si>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</si>
  <si>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</si>
  <si>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</si>
  <si>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</si>
  <si>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</si>
  <si>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</si>
  <si>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</si>
  <si>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</si>
  <si>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</si>
  <si>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</si>
  <si>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</si>
  <si>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</si>
  <si>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</si>
  <si>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</si>
  <si>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</si>
  <si>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</si>
  <si>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</si>
  <si>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</si>
  <si>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</si>
  <si>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</si>
  <si>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</si>
  <si>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</si>
  <si>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</si>
  <si>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</si>
  <si>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</si>
  <si>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</si>
  <si>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</si>
  <si>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</si>
  <si>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</si>
  <si>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</si>
  <si>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</si>
  <si>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</si>
  <si>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</si>
  <si>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</si>
  <si>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</si>
  <si>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</si>
  <si>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</si>
  <si>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</si>
  <si>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</si>
  <si>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</si>
  <si>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</si>
  <si>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</si>
  <si>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</si>
  <si>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</si>
  <si>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</si>
  <si>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</si>
  <si>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</si>
  <si>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</si>
  <si>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</si>
  <si>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</si>
  <si>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</si>
  <si>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</si>
  <si>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</si>
  <si>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</si>
  <si>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</si>
  <si>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</si>
  <si>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</si>
  <si>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</si>
  <si>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</si>
  <si>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</si>
  <si>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</si>
  <si>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</si>
  <si>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</si>
  <si>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</si>
  <si>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</si>
  <si>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</si>
  <si>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</si>
  <si>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</si>
  <si>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</si>
  <si>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</si>
  <si>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</si>
  <si>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</si>
  <si>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</si>
  <si>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</si>
  <si>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</si>
  <si>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</si>
  <si>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</si>
  <si>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</si>
  <si>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</si>
  <si>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</si>
  <si>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</si>
  <si>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</si>
  <si>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</si>
  <si>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</si>
  <si>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</si>
  <si>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</si>
  <si>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</si>
  <si>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</si>
  <si>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</si>
  <si>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</si>
  <si>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</si>
  <si>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</si>
  <si>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</si>
  <si>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</si>
  <si>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</si>
  <si>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</si>
  <si>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</si>
  <si>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</si>
  <si>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</si>
  <si>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</si>
  <si>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</si>
  <si>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</si>
  <si>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</si>
  <si>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</si>
  <si>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</si>
  <si>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</si>
  <si>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</si>
  <si>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</si>
  <si>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</si>
  <si>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</si>
  <si>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</si>
  <si>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</si>
  <si>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</si>
  <si>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</si>
  <si>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</si>
  <si>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</si>
  <si>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</si>
  <si>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</si>
  <si>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</si>
  <si>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</si>
  <si>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</si>
  <si>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</si>
  <si>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</si>
  <si>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</si>
  <si>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</si>
  <si>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</si>
  <si>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</si>
  <si>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</si>
  <si>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</si>
  <si>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</si>
  <si>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</si>
  <si>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</si>
  <si>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</si>
  <si>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</si>
  <si>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</si>
  <si>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</si>
  <si>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</si>
  <si>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</si>
  <si>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</si>
  <si>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</si>
  <si>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</si>
  <si>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</si>
  <si>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</si>
  <si>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</si>
  <si>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</si>
  <si>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</si>
  <si>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</si>
  <si>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</si>
  <si>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</si>
  <si>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</si>
  <si>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</si>
  <si>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</si>
  <si>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</si>
  <si>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</si>
  <si>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</si>
  <si>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</si>
  <si>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</si>
  <si>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</si>
  <si>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</si>
  <si>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</si>
  <si>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</si>
  <si>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</si>
  <si>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</si>
  <si>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</si>
  <si>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</si>
  <si>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</si>
  <si>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</si>
  <si>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</si>
  <si>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</si>
  <si>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</si>
  <si>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</si>
  <si>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</si>
  <si>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</si>
  <si>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</si>
  <si>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</si>
  <si>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</si>
  <si>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</si>
  <si>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</si>
  <si>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</si>
  <si>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</si>
  <si>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</si>
  <si>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</si>
  <si>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</si>
  <si>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</si>
  <si>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</si>
  <si>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</si>
  <si>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</si>
  <si>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</si>
  <si>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</si>
  <si>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</si>
  <si>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</si>
  <si>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</si>
  <si>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</si>
  <si>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</si>
  <si>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</si>
  <si>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</si>
  <si>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</si>
  <si>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</si>
  <si>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</si>
  <si>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</si>
  <si>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</si>
  <si>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</si>
  <si>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</si>
  <si>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</si>
  <si>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</si>
  <si>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</si>
  <si>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</si>
  <si>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</si>
  <si>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</si>
  <si>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</si>
  <si>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</si>
  <si>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</si>
  <si>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</si>
  <si>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</si>
  <si>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</si>
  <si>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</si>
  <si>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</si>
  <si>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</si>
  <si>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</si>
  <si>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</si>
  <si>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</si>
  <si>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</si>
  <si>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</si>
  <si>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</si>
  <si>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</si>
  <si>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</si>
  <si>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</si>
  <si>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</si>
  <si>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</si>
  <si>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</si>
  <si>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</si>
  <si>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</si>
  <si>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</si>
  <si>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</si>
  <si>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</si>
  <si>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</si>
  <si>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</si>
  <si>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</si>
  <si>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</si>
  <si>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</si>
  <si>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</si>
  <si>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</si>
  <si>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</si>
  <si>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</si>
  <si>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</si>
  <si>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</si>
  <si>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</si>
  <si>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</si>
  <si>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</si>
  <si>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</si>
  <si>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</si>
  <si>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</si>
  <si>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</si>
  <si>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</si>
  <si>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</si>
  <si>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</si>
  <si>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</si>
  <si>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</si>
  <si>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</si>
  <si>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</si>
  <si>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</si>
  <si>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</si>
  <si>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</si>
  <si>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</si>
  <si>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</si>
  <si>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</si>
  <si>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</si>
  <si>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</si>
  <si>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</si>
  <si>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</si>
  <si>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</si>
  <si>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</si>
  <si>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</si>
  <si>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</si>
  <si>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</si>
  <si>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</si>
  <si>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</si>
  <si>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</si>
  <si>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</si>
  <si>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</si>
  <si>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</si>
  <si>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</si>
  <si>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</si>
  <si>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</si>
  <si>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</si>
  <si>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</si>
  <si>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</si>
  <si>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</si>
  <si>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</si>
  <si>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</si>
  <si>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</si>
  <si>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</si>
  <si>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</si>
  <si>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</si>
  <si>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</si>
  <si>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</si>
  <si>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</si>
  <si>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</si>
  <si>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</si>
  <si>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</si>
  <si>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</si>
  <si>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</si>
  <si>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</si>
  <si>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</si>
  <si>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</si>
  <si>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</si>
  <si>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</si>
  <si>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</si>
  <si>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</si>
  <si>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</si>
  <si>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</si>
  <si>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</si>
  <si>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</si>
  <si>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</si>
  <si>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</si>
  <si>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</si>
  <si>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</si>
  <si>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</si>
  <si>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</si>
  <si>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</si>
  <si>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</si>
  <si>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</si>
  <si>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</si>
  <si>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</si>
  <si>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</si>
  <si>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</si>
  <si>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</si>
  <si>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</si>
  <si>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</si>
  <si>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</si>
  <si>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</si>
  <si>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</si>
  <si>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</si>
  <si>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</si>
  <si>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</si>
  <si>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</si>
  <si>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</si>
  <si>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</si>
  <si>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</si>
  <si>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</si>
  <si>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</si>
  <si>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</si>
  <si>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</si>
  <si>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</si>
  <si>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</si>
  <si>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</si>
  <si>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</si>
  <si>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</si>
  <si>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</si>
  <si>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</si>
  <si>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</si>
  <si>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</si>
  <si>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</si>
  <si>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</si>
  <si>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</si>
  <si>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</si>
  <si>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</si>
  <si>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</si>
  <si>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</si>
  <si>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</si>
  <si>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</si>
  <si>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</si>
  <si>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</si>
  <si>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</si>
  <si>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</si>
  <si>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</si>
  <si>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</si>
  <si>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</si>
  <si>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</si>
  <si>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</si>
  <si>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</si>
  <si>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</si>
  <si>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</si>
  <si>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</si>
  <si>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</si>
  <si>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</si>
  <si>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</si>
  <si>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</si>
  <si>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</si>
  <si>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</si>
  <si>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</si>
  <si>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</si>
  <si>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</si>
  <si>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</si>
  <si>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</si>
  <si>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</si>
  <si>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</si>
  <si>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</si>
  <si>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</si>
  <si>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</si>
  <si>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</si>
  <si>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</si>
  <si>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</si>
  <si>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</si>
  <si>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</si>
  <si>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</si>
  <si>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</si>
  <si>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</si>
  <si>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</si>
  <si>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</si>
  <si>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</si>
  <si>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</si>
  <si>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</si>
  <si>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</si>
  <si>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</si>
  <si>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</si>
  <si>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</si>
  <si>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</si>
  <si>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</si>
  <si>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</si>
  <si>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</si>
  <si>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</si>
  <si>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</si>
  <si>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</si>
  <si>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</si>
  <si>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</si>
  <si>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</si>
  <si>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</si>
  <si>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</si>
  <si>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</si>
  <si>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</si>
  <si>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</si>
  <si>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</si>
  <si>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</si>
  <si>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</si>
  <si>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</si>
  <si>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</si>
  <si>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</si>
  <si>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</si>
  <si>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</si>
  <si>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</si>
  <si>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</si>
  <si>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</si>
  <si>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</si>
  <si>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</si>
  <si>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</si>
  <si>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</si>
  <si>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</si>
  <si>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</si>
  <si>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</si>
  <si>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</si>
  <si>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</si>
  <si>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</si>
  <si>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</si>
  <si>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</si>
  <si>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</si>
  <si>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</si>
  <si>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</si>
  <si>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</si>
  <si>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</si>
  <si>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</si>
  <si>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</si>
  <si>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</si>
  <si>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</si>
  <si>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</si>
  <si>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</si>
  <si>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</si>
  <si>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</si>
  <si>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</si>
  <si>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</si>
  <si>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</si>
  <si>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</si>
  <si>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</si>
  <si>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</si>
  <si>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</si>
  <si>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</si>
  <si>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</si>
  <si>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</si>
  <si>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</si>
  <si>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</si>
  <si>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</si>
  <si>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</si>
  <si>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</si>
  <si>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</si>
  <si>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</si>
  <si>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</si>
  <si>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</si>
  <si>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</si>
  <si>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</si>
  <si>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</si>
  <si>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</si>
  <si>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</si>
  <si>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</si>
  <si>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</si>
  <si>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</si>
  <si>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</si>
  <si>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</si>
  <si>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</si>
  <si>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</si>
  <si>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</si>
  <si>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</si>
  <si>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</si>
  <si>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</si>
  <si>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</si>
  <si>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</si>
  <si>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</si>
  <si>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</si>
  <si>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</si>
  <si>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</si>
  <si>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</si>
  <si>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</si>
  <si>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</si>
  <si>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</si>
  <si>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</si>
  <si>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</si>
  <si>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</si>
  <si>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</si>
  <si>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</si>
  <si>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</si>
  <si>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</si>
  <si>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</si>
  <si>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</si>
  <si>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</si>
  <si>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</si>
  <si>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</si>
  <si>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</si>
  <si>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</si>
  <si>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</si>
  <si>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</si>
  <si>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</si>
  <si>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</si>
  <si>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</si>
  <si>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</si>
  <si>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</si>
  <si>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</si>
  <si>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</si>
  <si>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</si>
  <si>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</si>
  <si>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</si>
  <si>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</si>
  <si>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</si>
  <si>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</si>
  <si>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</si>
  <si>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</si>
  <si>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</si>
  <si>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</si>
  <si>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</si>
  <si>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</si>
  <si>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</si>
  <si>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</si>
  <si>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</si>
  <si>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</si>
  <si>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</si>
  <si>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</si>
  <si>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</si>
  <si>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</si>
  <si>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</si>
  <si>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</si>
  <si>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</si>
  <si>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</si>
  <si>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</si>
  <si>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</si>
  <si>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</si>
  <si>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</si>
  <si>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</si>
  <si>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</si>
  <si>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</si>
  <si>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</si>
  <si>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</si>
  <si>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</si>
  <si>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</si>
  <si>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</si>
  <si>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</si>
  <si>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</si>
  <si>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</si>
  <si>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</si>
  <si>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</si>
  <si>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</si>
  <si>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</si>
  <si>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</si>
  <si>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</si>
  <si>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</si>
  <si>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</si>
  <si>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</si>
  <si>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</si>
  <si>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</si>
  <si>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</si>
  <si>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</si>
  <si>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</si>
  <si>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</si>
  <si>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</si>
  <si>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</si>
  <si>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</si>
  <si>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</si>
  <si>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</si>
  <si>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</si>
  <si>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</si>
  <si>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</si>
  <si>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</si>
  <si>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</si>
  <si>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</si>
  <si>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</si>
  <si>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</si>
  <si>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</si>
  <si>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</si>
  <si>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</si>
  <si>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</si>
  <si>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</si>
  <si>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</si>
  <si>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</si>
  <si>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</si>
  <si>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</si>
  <si>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</si>
  <si>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</si>
  <si>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</si>
  <si>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</si>
  <si>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</si>
  <si>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</si>
  <si>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</si>
  <si>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</si>
  <si>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</si>
  <si>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</si>
  <si>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</si>
  <si>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</si>
  <si>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</si>
  <si>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</si>
  <si>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</si>
  <si>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</si>
  <si>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</si>
  <si>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</si>
  <si>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</si>
  <si>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</si>
  <si>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</si>
  <si>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</si>
  <si>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</si>
  <si>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</si>
  <si>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</si>
  <si>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</si>
  <si>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</si>
  <si>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</si>
  <si>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</si>
  <si>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</si>
  <si>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</si>
  <si>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</si>
  <si>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</si>
  <si>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</si>
  <si>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</si>
  <si>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</si>
  <si>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</si>
  <si>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</si>
  <si>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</si>
  <si>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</si>
  <si>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</si>
  <si>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</si>
  <si>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</si>
  <si>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</si>
  <si>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</si>
  <si>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</si>
  <si>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</si>
  <si>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</si>
  <si>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</si>
  <si>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</si>
  <si>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</si>
  <si>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</si>
  <si>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</si>
  <si>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</si>
  <si>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</si>
  <si>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</si>
  <si>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</si>
  <si>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</si>
  <si>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</si>
  <si>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</si>
  <si>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</si>
  <si>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</si>
  <si>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</si>
  <si>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</si>
  <si>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</si>
  <si>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</si>
  <si>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</si>
  <si>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</si>
  <si>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</si>
  <si>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</si>
  <si>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</si>
  <si>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</si>
  <si>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</si>
  <si>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</si>
  <si>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</si>
  <si>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</si>
  <si>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</si>
  <si>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</si>
  <si>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</si>
  <si>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</si>
  <si>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</si>
  <si>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</si>
  <si>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</si>
  <si>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</si>
  <si>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</si>
  <si>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</si>
  <si>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</si>
  <si>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</si>
  <si>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</si>
  <si>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</si>
  <si>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</si>
  <si>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</si>
  <si>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</si>
  <si>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</si>
  <si>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</si>
  <si>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</si>
  <si>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</si>
  <si>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</si>
  <si>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</si>
  <si>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</si>
  <si>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</si>
  <si>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</si>
  <si>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</si>
  <si>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</si>
  <si>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</si>
  <si>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</si>
  <si>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</si>
  <si>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</si>
  <si>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</si>
  <si>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</si>
  <si>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</si>
  <si>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</si>
  <si>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</si>
  <si>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</si>
  <si>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</si>
  <si>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</si>
  <si>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</si>
  <si>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</si>
  <si>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</si>
  <si>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</si>
  <si>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</si>
  <si>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</si>
  <si>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</si>
  <si>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</si>
  <si>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</si>
  <si>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</si>
  <si>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</si>
  <si>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</si>
  <si>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</si>
  <si>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</si>
  <si>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</si>
  <si>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</si>
  <si>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</si>
  <si>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</si>
  <si>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</si>
  <si>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</si>
  <si>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</si>
  <si>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</si>
  <si>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</si>
  <si>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</si>
  <si>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</si>
  <si>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</si>
  <si>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</si>
  <si>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</si>
  <si>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</si>
  <si>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</si>
  <si>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</si>
  <si>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</si>
  <si>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</si>
  <si>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</si>
  <si>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</si>
  <si>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</si>
  <si>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</si>
  <si>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</si>
  <si>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</si>
  <si>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</si>
  <si>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</si>
  <si>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</si>
  <si>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</si>
  <si>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</si>
  <si>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</si>
  <si>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</si>
  <si>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</si>
  <si>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</si>
  <si>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</si>
  <si>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</si>
  <si>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</si>
  <si>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</si>
  <si>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</si>
  <si>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</si>
  <si>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</si>
  <si>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</si>
  <si>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</si>
  <si>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</si>
  <si>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</si>
  <si>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</si>
  <si>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</si>
  <si>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</si>
  <si>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</si>
  <si>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</si>
  <si>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</si>
  <si>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</si>
  <si>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</si>
  <si>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</si>
  <si>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</si>
  <si>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</si>
  <si>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</si>
  <si>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</si>
  <si>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</si>
  <si>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</si>
  <si>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</si>
  <si>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</si>
  <si>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</si>
  <si>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</si>
  <si>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</si>
  <si>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</si>
  <si>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</si>
  <si>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</si>
  <si>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</si>
  <si>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</si>
  <si>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</si>
  <si>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</si>
  <si>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</si>
  <si>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</si>
  <si>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</si>
  <si>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</si>
  <si>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</si>
  <si>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</si>
  <si>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</si>
  <si>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</si>
  <si>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</si>
  <si>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</si>
  <si>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</si>
  <si>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</si>
  <si>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</si>
  <si>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</si>
  <si>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</si>
  <si>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</si>
  <si>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</si>
  <si>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</si>
  <si>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</si>
  <si>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</si>
  <si>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</si>
  <si>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</si>
  <si>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</si>
  <si>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</si>
  <si>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</si>
  <si>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</si>
  <si>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</si>
  <si>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</si>
  <si>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</si>
  <si>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</si>
  <si>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</si>
  <si>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</si>
  <si>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</si>
  <si>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</si>
  <si>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</si>
  <si>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</si>
  <si>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</si>
  <si>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</si>
  <si>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</si>
  <si>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</si>
  <si>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</si>
  <si>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</si>
  <si>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</si>
  <si>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</si>
  <si>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</si>
  <si>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</si>
  <si>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</si>
  <si>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</si>
  <si>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</si>
  <si>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</si>
  <si>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</si>
  <si>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</si>
  <si>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</si>
  <si>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</si>
  <si>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</si>
  <si>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</si>
  <si>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</si>
  <si>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</si>
  <si>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</si>
  <si>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</si>
  <si>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</si>
  <si>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</si>
  <si>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</si>
  <si>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</si>
  <si>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</si>
  <si>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</si>
  <si>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</si>
  <si>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</si>
  <si>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</si>
  <si>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</si>
  <si>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</si>
  <si>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</si>
  <si>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</si>
  <si>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</si>
  <si>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</si>
  <si>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</si>
  <si>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</si>
  <si>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</si>
  <si>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</si>
  <si>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</si>
  <si>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</si>
  <si>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</si>
  <si>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</si>
  <si>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</si>
  <si>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</si>
  <si>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</si>
  <si>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</si>
  <si>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</si>
  <si>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</si>
  <si>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</si>
  <si>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</si>
  <si>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</si>
  <si>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</si>
  <si>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</si>
  <si>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</si>
  <si>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</si>
  <si>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</si>
  <si>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</si>
  <si>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</si>
  <si>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</si>
  <si>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</si>
  <si>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</si>
  <si>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</si>
  <si>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</si>
  <si>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</si>
  <si>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</si>
  <si>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</si>
  <si>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</si>
  <si>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</si>
  <si>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</si>
  <si>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</si>
  <si>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</si>
  <si>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</si>
  <si>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</si>
  <si>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</si>
  <si>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</si>
  <si>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</si>
  <si>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</si>
  <si>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</si>
  <si>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</si>
  <si>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</si>
  <si>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</si>
  <si>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</si>
  <si>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</si>
  <si>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</si>
  <si>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</si>
  <si>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</si>
  <si>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</si>
  <si>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</si>
  <si>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</si>
  <si>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</si>
  <si>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</si>
  <si>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</si>
  <si>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</si>
  <si>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</si>
  <si>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</si>
  <si>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</si>
  <si>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</si>
  <si>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</si>
  <si>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</si>
  <si>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</si>
  <si>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</si>
  <si>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</si>
  <si>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</si>
  <si>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</si>
  <si>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</si>
  <si>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</si>
  <si>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</si>
  <si>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</si>
  <si>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</si>
  <si>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</si>
  <si>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</si>
  <si>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</si>
  <si>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</si>
  <si>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</si>
  <si>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</si>
  <si>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</si>
  <si>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</si>
  <si>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</si>
  <si>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</si>
  <si>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</si>
  <si>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</si>
  <si>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</si>
  <si>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</si>
  <si>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</si>
  <si>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</si>
  <si>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</si>
  <si>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</si>
  <si>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</si>
  <si>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</si>
  <si>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</si>
  <si>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</si>
  <si>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</si>
  <si>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</si>
  <si>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</si>
  <si>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</si>
  <si>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</si>
  <si>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</si>
  <si>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</si>
  <si>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</si>
  <si>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</si>
  <si>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</si>
  <si>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</si>
  <si>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</si>
  <si>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</si>
  <si>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</si>
  <si>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</si>
  <si>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</si>
  <si>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</si>
  <si>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</si>
  <si>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</si>
  <si>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</si>
  <si>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</si>
  <si>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</si>
  <si>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</si>
  <si>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</si>
  <si>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</si>
  <si>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</si>
  <si>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</si>
  <si>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</si>
  <si>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</si>
  <si>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</si>
  <si>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</si>
  <si>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</si>
  <si>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</si>
  <si>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</si>
  <si>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</si>
  <si>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</si>
  <si>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</si>
  <si>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</si>
  <si>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</si>
  <si>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</si>
  <si>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</si>
  <si>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</si>
  <si>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</si>
  <si>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</si>
  <si>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</si>
  <si>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</si>
  <si>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</si>
  <si>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</si>
  <si>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</si>
  <si>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</si>
  <si>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</si>
  <si>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</si>
  <si>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</si>
  <si>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</si>
  <si>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</si>
  <si>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</si>
  <si>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</si>
  <si>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</si>
  <si>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</si>
  <si>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</si>
  <si>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</si>
  <si>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</si>
  <si>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</si>
  <si>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</si>
  <si>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</si>
  <si>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</si>
  <si>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</si>
  <si>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</si>
  <si>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</si>
  <si>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</si>
  <si>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</si>
  <si>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</si>
  <si>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</si>
  <si>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</si>
  <si>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</si>
  <si>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</si>
  <si>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</si>
  <si>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</si>
  <si>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</si>
  <si>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</si>
  <si>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</si>
  <si>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</si>
  <si>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</si>
  <si>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</si>
  <si>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</si>
  <si>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</si>
  <si>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</si>
  <si>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</si>
  <si>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</si>
  <si>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</si>
  <si>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</si>
  <si>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</si>
  <si>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</si>
  <si>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</si>
  <si>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</si>
  <si>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</si>
  <si>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</si>
  <si>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</si>
  <si>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</si>
  <si>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</si>
  <si>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</si>
  <si>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</si>
  <si>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</si>
  <si>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</si>
  <si>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</si>
  <si>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</si>
  <si>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</si>
  <si>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</si>
  <si>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</si>
  <si>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</si>
  <si>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</si>
  <si>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</si>
  <si>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</si>
  <si>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</si>
  <si>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</si>
  <si>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</si>
  <si>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</si>
  <si>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</si>
  <si>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</si>
  <si>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</si>
  <si>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</si>
  <si>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</si>
  <si>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</si>
  <si>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</si>
  <si>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</si>
  <si>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</si>
  <si>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</si>
  <si>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</si>
  <si>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</si>
  <si>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</si>
  <si>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</si>
  <si>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</si>
  <si>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</si>
  <si>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</si>
  <si>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</si>
  <si>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</si>
  <si>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</si>
  <si>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</si>
  <si>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</si>
  <si>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</si>
  <si>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</si>
  <si>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</si>
  <si>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</si>
  <si>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</si>
  <si>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</si>
  <si>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</si>
  <si>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</si>
  <si>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</si>
  <si>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</si>
  <si>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</si>
  <si>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</si>
  <si>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</si>
  <si>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</si>
  <si>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</si>
  <si>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</si>
  <si>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</si>
  <si>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</si>
  <si>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</si>
  <si>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</si>
  <si>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</si>
  <si>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</si>
  <si>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</si>
  <si>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</si>
  <si>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</si>
  <si>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</si>
  <si>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</si>
  <si>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</si>
  <si>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</si>
  <si>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</si>
  <si>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</si>
  <si>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</si>
  <si>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</si>
  <si>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</si>
  <si>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</si>
  <si>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</si>
  <si>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</si>
  <si>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</si>
  <si>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</si>
  <si>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</si>
  <si>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</si>
  <si>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</si>
  <si>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</si>
  <si>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</si>
  <si>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</si>
  <si>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</si>
  <si>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</si>
  <si>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</si>
  <si>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</si>
  <si>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</si>
  <si>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</si>
  <si>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</si>
  <si>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</si>
  <si>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</si>
  <si>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</si>
  <si>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</si>
  <si>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</si>
  <si>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</si>
  <si>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</si>
  <si>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</si>
  <si>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</si>
  <si>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</si>
  <si>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</si>
  <si>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</si>
  <si>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</si>
  <si>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</si>
  <si>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</si>
  <si>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</si>
  <si>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</si>
  <si>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</si>
  <si>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</si>
  <si>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</si>
  <si>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</si>
  <si>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</si>
  <si>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</si>
  <si>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</si>
  <si>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</si>
  <si>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</si>
  <si>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</si>
  <si>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</si>
  <si>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</si>
  <si>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</si>
  <si>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</si>
  <si>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</si>
  <si>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</si>
  <si>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</si>
  <si>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</si>
  <si>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</si>
  <si>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</si>
  <si>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</si>
  <si>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</si>
  <si>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</si>
  <si>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</si>
  <si>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</si>
  <si>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</si>
  <si>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</si>
  <si>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</si>
  <si>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</si>
  <si>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</si>
  <si>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</si>
  <si>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</si>
  <si>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</si>
  <si>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</si>
  <si>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</si>
  <si>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</si>
  <si>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</si>
  <si>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</si>
  <si>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</si>
  <si>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</si>
  <si>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</si>
  <si>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</si>
  <si>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</si>
  <si>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</si>
  <si>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</si>
  <si>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</si>
  <si>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</si>
  <si>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</si>
  <si>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</si>
  <si>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</si>
  <si>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</si>
  <si>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</si>
  <si>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</si>
  <si>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</si>
  <si>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</si>
  <si>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</si>
  <si>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</si>
  <si>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</si>
  <si>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</si>
  <si>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</si>
  <si>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</si>
  <si>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</si>
  <si>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</si>
  <si>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</si>
  <si>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</si>
  <si>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</si>
  <si>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</si>
  <si>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</si>
  <si>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</si>
  <si>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</si>
  <si>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</si>
  <si>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</si>
  <si>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</si>
  <si>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</si>
  <si>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</si>
  <si>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</si>
  <si>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</si>
  <si>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</si>
  <si>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</si>
  <si>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</si>
  <si>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</si>
  <si>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</si>
  <si>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</si>
  <si>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</si>
  <si>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</si>
  <si>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</si>
  <si>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</si>
  <si>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</si>
  <si>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</si>
  <si>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</si>
  <si>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</si>
  <si>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</si>
  <si>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</si>
  <si>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</si>
  <si>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</si>
  <si>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</si>
  <si>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</si>
  <si>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</si>
  <si>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</si>
  <si>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</si>
  <si>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</si>
  <si>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</si>
  <si>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</si>
  <si>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</si>
  <si>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</si>
  <si>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</si>
  <si>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</si>
  <si>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</si>
  <si>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</si>
  <si>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</si>
  <si>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</si>
  <si>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</si>
  <si>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</si>
  <si>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</si>
  <si>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</si>
  <si>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</si>
  <si>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</si>
  <si>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</si>
  <si>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</si>
  <si>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</si>
  <si>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</si>
  <si>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</si>
  <si>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</si>
  <si>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</si>
  <si>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</si>
  <si>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</si>
  <si>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</si>
  <si>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</si>
  <si>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</si>
  <si>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</si>
  <si>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</si>
  <si>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</si>
  <si>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</si>
  <si>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</si>
  <si>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</si>
  <si>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</si>
  <si>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</si>
  <si>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</si>
  <si>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</si>
  <si>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</si>
  <si>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</si>
  <si>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</si>
  <si>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</si>
  <si>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</si>
  <si>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</si>
  <si>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</si>
  <si>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</si>
  <si>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</si>
  <si>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</si>
  <si>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</si>
  <si>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</si>
  <si>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</si>
  <si>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</si>
  <si>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</si>
  <si>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</si>
  <si>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</si>
  <si>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</si>
  <si>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</si>
  <si>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</si>
  <si>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</si>
  <si>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</si>
  <si>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</si>
  <si>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</si>
  <si>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</si>
  <si>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</si>
  <si>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</si>
  <si>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</si>
  <si>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</si>
  <si>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</si>
  <si>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</si>
  <si>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</si>
  <si>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</si>
  <si>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</si>
  <si>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</si>
  <si>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</si>
  <si>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</si>
  <si>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</si>
  <si>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</si>
  <si>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</si>
  <si>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</si>
  <si>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</si>
  <si>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</si>
  <si>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</si>
  <si>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</si>
  <si>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</si>
  <si>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</si>
  <si>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</si>
  <si>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</si>
  <si>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</si>
  <si>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</si>
  <si>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</si>
  <si>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</si>
  <si>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</si>
  <si>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</si>
  <si>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</si>
  <si>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</si>
  <si>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</si>
  <si>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</si>
  <si>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</si>
  <si>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</si>
  <si>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</si>
  <si>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</si>
  <si>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</si>
  <si>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</si>
  <si>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</si>
  <si>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</si>
  <si>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</si>
  <si>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</si>
  <si>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</si>
  <si>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</si>
  <si>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</si>
  <si>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</si>
  <si>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</si>
  <si>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</si>
  <si>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</si>
  <si>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</si>
  <si>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</si>
  <si>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</si>
  <si>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</si>
  <si>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</si>
  <si>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</si>
  <si>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</si>
  <si>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</si>
  <si>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</si>
  <si>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</si>
  <si>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</si>
  <si>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</si>
  <si>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</si>
  <si>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</si>
  <si>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</si>
  <si>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</si>
  <si>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</si>
  <si>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</si>
  <si>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</si>
  <si>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</si>
  <si>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</si>
  <si>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</si>
  <si>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</si>
  <si>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</si>
  <si>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</si>
  <si>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</si>
  <si>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</si>
  <si>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</si>
  <si>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</si>
  <si>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</si>
  <si>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</si>
  <si>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</si>
  <si>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</si>
  <si>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</si>
  <si>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</si>
  <si>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</si>
  <si>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</si>
  <si>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</si>
  <si>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</si>
  <si>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</si>
  <si>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</si>
  <si>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</si>
  <si>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</si>
  <si>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</si>
  <si>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</si>
  <si>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</si>
  <si>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</si>
  <si>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</si>
  <si>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</si>
  <si>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</si>
  <si>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</si>
  <si>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</si>
  <si>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</si>
  <si>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</si>
  <si>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</si>
  <si>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</si>
  <si>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</si>
  <si>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</si>
  <si>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</si>
  <si>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</si>
  <si>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</si>
  <si>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</si>
  <si>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</si>
  <si>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</si>
  <si>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</si>
  <si>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</si>
  <si>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</si>
  <si>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</si>
  <si>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</si>
  <si>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</si>
  <si>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</si>
  <si>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</si>
  <si>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</si>
  <si>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</si>
  <si>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</si>
  <si>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</si>
  <si>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</si>
  <si>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</si>
  <si>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</si>
  <si>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</si>
  <si>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</si>
  <si>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</si>
  <si>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</si>
  <si>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</si>
  <si>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</si>
  <si>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</si>
  <si>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</si>
  <si>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</si>
  <si>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</si>
  <si>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</si>
  <si>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</si>
  <si>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</si>
  <si>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</si>
  <si>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</si>
  <si>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</si>
  <si>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</si>
  <si>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</si>
  <si>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</si>
  <si>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</si>
  <si>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</si>
  <si>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</si>
  <si>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</si>
  <si>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</si>
  <si>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</si>
  <si>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</si>
  <si>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</si>
  <si>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</si>
  <si>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</si>
  <si>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</si>
  <si>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</si>
  <si>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</si>
  <si>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</si>
  <si>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</si>
  <si>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</si>
  <si>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</si>
  <si>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</si>
  <si>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</si>
  <si>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</si>
  <si>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</si>
  <si>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</si>
  <si>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</si>
  <si>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</si>
  <si>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</si>
  <si>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</si>
  <si>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</si>
  <si>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</si>
  <si>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</si>
  <si>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</si>
  <si>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</si>
  <si>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</si>
  <si>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</si>
  <si>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</si>
  <si>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</si>
  <si>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</si>
  <si>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</si>
  <si>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</si>
  <si>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</si>
  <si>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</si>
  <si>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</si>
  <si>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</si>
  <si>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</si>
  <si>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</si>
  <si>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</si>
  <si>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</si>
  <si>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</si>
  <si>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</si>
  <si>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</si>
  <si>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</si>
  <si>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</si>
  <si>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</si>
  <si>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</si>
  <si>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</si>
  <si>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</si>
  <si>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</si>
  <si>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</si>
  <si>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</si>
  <si>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</si>
  <si>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</si>
  <si>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</si>
  <si>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</si>
  <si>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</si>
  <si>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</si>
  <si>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</si>
  <si>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</si>
  <si>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</si>
  <si>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</si>
  <si>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</si>
  <si>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</si>
  <si>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</si>
  <si>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</si>
  <si>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</si>
  <si>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</si>
  <si>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</si>
  <si>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</si>
  <si>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</si>
  <si>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</si>
  <si>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</si>
  <si>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</si>
  <si>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</si>
  <si>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</si>
  <si>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</si>
  <si>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</si>
  <si>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</si>
  <si>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</si>
  <si>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</si>
  <si>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</si>
  <si>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</si>
  <si>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</si>
  <si>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</si>
  <si>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</si>
  <si>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</si>
  <si>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</si>
  <si>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</si>
  <si>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</si>
  <si>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</si>
  <si>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</si>
  <si>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</si>
  <si>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</si>
  <si>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</si>
  <si>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</si>
  <si>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</si>
  <si>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</si>
  <si>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</si>
  <si>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</si>
  <si>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</si>
  <si>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</si>
  <si>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</si>
  <si>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</si>
  <si>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</si>
  <si>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</si>
  <si>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</si>
  <si>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</si>
  <si>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</si>
  <si>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</si>
  <si>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</si>
  <si>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</si>
  <si>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</si>
  <si>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</si>
  <si>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</si>
  <si>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</si>
  <si>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</si>
  <si>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</si>
  <si>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</si>
  <si>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</si>
  <si>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</si>
  <si>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</si>
  <si>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</si>
  <si>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</si>
  <si>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</si>
  <si>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</si>
  <si>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</si>
  <si>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</si>
  <si>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</si>
  <si>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</si>
  <si>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</si>
  <si>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</si>
  <si>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</si>
  <si>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</si>
  <si>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</si>
  <si>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</si>
  <si>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</si>
  <si>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</si>
  <si>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</si>
  <si>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</si>
  <si>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</si>
  <si>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</si>
  <si>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</si>
  <si>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</si>
  <si>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</si>
  <si>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</si>
  <si>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</si>
  <si>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</si>
  <si>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</si>
  <si>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</si>
  <si>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</si>
  <si>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</si>
  <si>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</si>
  <si>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</si>
  <si>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</si>
  <si>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</si>
  <si>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</si>
  <si>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</si>
  <si>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</si>
  <si>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</si>
  <si>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</si>
  <si>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</si>
  <si>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</si>
  <si>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</si>
  <si>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</si>
  <si>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</si>
  <si>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</si>
  <si>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</si>
  <si>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</si>
  <si>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</si>
  <si>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</si>
  <si>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</si>
  <si>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</si>
  <si>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</si>
  <si>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</si>
  <si>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</si>
  <si>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</si>
  <si>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</si>
  <si>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</si>
  <si>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</si>
  <si>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</si>
  <si>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</si>
  <si>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</si>
  <si>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</si>
  <si>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</si>
  <si>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</si>
  <si>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</si>
  <si>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</si>
  <si>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</si>
  <si>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</si>
  <si>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</si>
  <si>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</si>
  <si>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</si>
  <si>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</si>
  <si>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</si>
  <si>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</si>
  <si>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</si>
  <si>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</si>
  <si>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</si>
  <si>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</si>
  <si>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</si>
  <si>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</si>
  <si>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</si>
  <si>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</si>
  <si>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</si>
  <si>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</si>
  <si>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</si>
  <si>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</si>
  <si>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</si>
  <si>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</si>
  <si>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</si>
  <si>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</si>
  <si>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</si>
  <si>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</si>
  <si>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</si>
  <si>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</si>
  <si>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</si>
  <si>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</si>
  <si>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</si>
  <si>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</si>
  <si>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</si>
  <si>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</si>
  <si>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</si>
  <si>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</si>
  <si>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</si>
  <si>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</si>
  <si>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</si>
  <si>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</si>
  <si>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</si>
  <si>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</si>
  <si>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</si>
  <si>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</si>
  <si>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</si>
  <si>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</si>
  <si>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</si>
  <si>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</si>
  <si>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</si>
  <si>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</si>
  <si>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</si>
  <si>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</si>
  <si>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</si>
  <si>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</si>
  <si>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</si>
  <si>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</si>
  <si>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</si>
  <si>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</si>
  <si>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</si>
  <si>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</si>
  <si>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</si>
  <si>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</si>
  <si>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</si>
  <si>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</si>
  <si>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</si>
  <si>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</si>
  <si>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</si>
  <si>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</si>
  <si>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</si>
  <si>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</si>
  <si>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</si>
  <si>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</si>
  <si>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</si>
  <si>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</si>
  <si>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</si>
  <si>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</si>
  <si>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</si>
  <si>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</si>
  <si>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</si>
  <si>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</si>
  <si>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</si>
  <si>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</si>
  <si>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</si>
  <si>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</si>
  <si>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</si>
  <si>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</si>
  <si>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</si>
  <si>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</si>
  <si>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</si>
  <si>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</si>
  <si>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</si>
  <si>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</si>
  <si>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</si>
  <si>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</si>
  <si>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</si>
  <si>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</si>
  <si>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</si>
  <si>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</si>
  <si>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</si>
  <si>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</si>
  <si>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</si>
  <si>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</si>
  <si>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</si>
  <si>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</si>
  <si>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</si>
  <si>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</si>
  <si>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</si>
  <si>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</si>
  <si>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</si>
  <si>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</si>
  <si>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</si>
  <si>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</si>
  <si>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</si>
  <si>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</si>
  <si>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</si>
  <si>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</si>
  <si>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</si>
  <si>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</si>
  <si>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</si>
  <si>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</si>
  <si>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</si>
  <si>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</si>
  <si>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</si>
  <si>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</si>
  <si>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</si>
  <si>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</si>
  <si>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</si>
  <si>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</si>
  <si>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</si>
  <si>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</si>
  <si>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</si>
  <si>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</si>
  <si>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</si>
  <si>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</si>
  <si>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</si>
  <si>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</si>
  <si>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</si>
  <si>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</si>
  <si>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</si>
  <si>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</si>
  <si>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</si>
  <si>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</si>
  <si>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</si>
  <si>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</si>
  <si>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</si>
  <si>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</si>
  <si>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</si>
  <si>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</si>
  <si>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</si>
  <si>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</si>
  <si>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</si>
  <si>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</si>
  <si>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</si>
  <si>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</si>
  <si>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</si>
  <si>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</si>
  <si>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</si>
  <si>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</si>
  <si>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</si>
  <si>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</si>
  <si>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</si>
  <si>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</si>
  <si>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</si>
  <si>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</si>
  <si>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</si>
  <si>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</si>
  <si>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</si>
  <si>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</si>
  <si>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</si>
  <si>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</si>
  <si>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</si>
  <si>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</si>
  <si>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</si>
  <si>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</si>
  <si>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</si>
  <si>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</si>
  <si>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</si>
  <si>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</si>
  <si>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</si>
  <si>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</si>
  <si>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</si>
  <si>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</si>
  <si>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</si>
  <si>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</si>
  <si>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</si>
  <si>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</si>
  <si>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</si>
  <si>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</si>
  <si>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</si>
  <si>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</si>
  <si>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</si>
  <si>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</si>
  <si>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</si>
  <si>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</si>
  <si>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</si>
  <si>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</si>
  <si>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</si>
  <si>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</si>
  <si>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</si>
  <si>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</si>
  <si>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</si>
  <si>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</si>
  <si>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</si>
  <si>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</si>
  <si>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</si>
  <si>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</si>
  <si>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</si>
  <si>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</si>
  <si>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</si>
  <si>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</si>
  <si>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</si>
  <si>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</si>
  <si>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</si>
  <si>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</si>
  <si>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</si>
  <si>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</si>
  <si>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</si>
  <si>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</si>
  <si>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</si>
  <si>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</si>
  <si>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</si>
  <si>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</si>
  <si>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</si>
  <si>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</si>
  <si>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</si>
  <si>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</si>
  <si>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</si>
  <si>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</si>
  <si>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</si>
  <si>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</si>
  <si>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</si>
  <si>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</si>
  <si>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</si>
  <si>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</si>
  <si>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</si>
  <si>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</si>
  <si>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</si>
  <si>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</si>
  <si>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</si>
  <si>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</si>
  <si>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</si>
  <si>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</si>
  <si>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</si>
  <si>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</si>
  <si>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</si>
  <si>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</si>
  <si>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</si>
  <si>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</si>
  <si>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</si>
  <si>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</si>
  <si>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</si>
  <si>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</si>
  <si>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</si>
  <si>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</si>
  <si>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</si>
  <si>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</si>
  <si>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</si>
  <si>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</si>
  <si>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</si>
  <si>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</si>
  <si>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</si>
  <si>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</si>
  <si>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</si>
  <si>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</si>
  <si>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</si>
  <si>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</si>
  <si>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</si>
  <si>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</si>
  <si>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</si>
  <si>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</si>
  <si>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</si>
  <si>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</si>
  <si>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</si>
  <si>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</si>
  <si>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</si>
  <si>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</si>
  <si>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</si>
  <si>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</si>
  <si>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</si>
  <si>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</si>
  <si>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</si>
  <si>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</si>
  <si>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</si>
  <si>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</si>
  <si>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</si>
  <si>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</si>
  <si>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</si>
  <si>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</si>
  <si>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</si>
  <si>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</si>
  <si>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</si>
  <si>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</si>
  <si>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</si>
  <si>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</si>
  <si>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</si>
  <si>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</si>
  <si>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</si>
  <si>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</si>
  <si>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</si>
  <si>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</si>
  <si>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</si>
  <si>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</si>
  <si>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</si>
  <si>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</si>
  <si>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</si>
  <si>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</si>
  <si>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</si>
  <si>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</si>
  <si>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</si>
  <si>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</si>
  <si>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</si>
  <si>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</si>
  <si>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</si>
  <si>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</si>
  <si>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</si>
  <si>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</si>
  <si>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</si>
  <si>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</si>
  <si>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</si>
  <si>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</si>
  <si>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</si>
  <si>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</si>
  <si>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</si>
  <si>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</si>
  <si>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</si>
  <si>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</si>
  <si>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</si>
  <si>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</si>
  <si>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</si>
  <si>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</si>
  <si>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</si>
  <si>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</si>
  <si>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</si>
  <si>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</si>
  <si>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</si>
  <si>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</si>
  <si>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</si>
  <si>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</si>
  <si>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</si>
  <si>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</si>
  <si>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</si>
  <si>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</si>
  <si>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</si>
  <si>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</si>
  <si>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</si>
  <si>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</si>
  <si>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</si>
  <si>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</si>
  <si>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</si>
  <si>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</si>
  <si>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</si>
  <si>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</si>
  <si>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</si>
  <si>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</si>
  <si>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</si>
  <si>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</si>
  <si>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</si>
  <si>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</si>
  <si>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</si>
  <si>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</si>
  <si>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</si>
  <si>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</si>
  <si>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</si>
  <si>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</si>
  <si>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</si>
  <si>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</si>
  <si>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</si>
  <si>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</si>
  <si>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</si>
  <si>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</si>
  <si>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</si>
  <si>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</si>
  <si>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</si>
  <si>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</si>
  <si>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</si>
  <si>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</si>
  <si>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</si>
  <si>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</si>
  <si>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</si>
  <si>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</si>
  <si>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</si>
  <si>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</si>
  <si>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</si>
  <si>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</si>
  <si>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</si>
  <si>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</si>
  <si>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</si>
  <si>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</si>
  <si>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</si>
  <si>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</si>
  <si>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</si>
  <si>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</si>
  <si>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</si>
  <si>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</si>
  <si>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</si>
  <si>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</si>
  <si>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</si>
  <si>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</si>
  <si>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</si>
  <si>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</si>
  <si>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</si>
  <si>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</si>
  <si>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</si>
  <si>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</si>
  <si>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</si>
  <si>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</si>
  <si>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</si>
  <si>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</si>
  <si>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</si>
  <si>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</si>
  <si>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</si>
  <si>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</si>
  <si>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</si>
  <si>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</si>
  <si>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</si>
  <si>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</si>
  <si>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</si>
  <si>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</si>
  <si>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</si>
  <si>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</si>
  <si>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</si>
  <si>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</si>
  <si>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</si>
  <si>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</si>
  <si>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</si>
  <si>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</si>
  <si>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</si>
  <si>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</si>
  <si>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</si>
  <si>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</si>
  <si>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</si>
  <si>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</si>
  <si>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</si>
  <si>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</si>
  <si>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</si>
  <si>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</si>
  <si>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</si>
  <si>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</si>
  <si>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</si>
  <si>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</si>
  <si>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</si>
  <si>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</si>
  <si>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</si>
  <si>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</si>
  <si>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</si>
  <si>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</si>
  <si>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</si>
  <si>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</si>
  <si>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</si>
  <si>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</si>
  <si>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</si>
  <si>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</si>
  <si>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</si>
  <si>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</si>
  <si>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</si>
  <si>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</si>
  <si>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</si>
  <si>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</si>
  <si>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</si>
  <si>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</si>
  <si>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</si>
  <si>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</si>
  <si>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</si>
  <si>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</si>
  <si>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</si>
  <si>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</si>
  <si>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</si>
  <si>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</si>
  <si>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</si>
  <si>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</si>
  <si>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</si>
  <si>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</si>
  <si>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</si>
  <si>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</si>
  <si>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</si>
  <si>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</si>
  <si>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</si>
  <si>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</si>
  <si>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</si>
  <si>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</si>
  <si>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</si>
  <si>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</si>
  <si>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</si>
  <si>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</si>
  <si>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</si>
  <si>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</si>
  <si>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</si>
  <si>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</si>
  <si>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</si>
  <si>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</si>
  <si>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</si>
  <si>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</si>
  <si>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</si>
  <si>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</si>
  <si>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</si>
  <si>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</si>
  <si>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</si>
  <si>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</si>
  <si>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</si>
  <si>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</si>
  <si>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</si>
  <si>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</si>
  <si>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</si>
  <si>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</si>
  <si>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</si>
  <si>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</si>
  <si>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</si>
  <si>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</si>
  <si>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</si>
  <si>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</si>
  <si>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</si>
  <si>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</si>
  <si>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</si>
  <si>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</si>
  <si>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</si>
  <si>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</si>
  <si>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</si>
  <si>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</si>
  <si>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</si>
  <si>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</si>
  <si>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</si>
  <si>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</si>
  <si>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</si>
  <si>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</si>
  <si>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</si>
  <si>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</si>
  <si>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</si>
  <si>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</si>
  <si>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</si>
  <si>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</si>
  <si>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</si>
  <si>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</si>
  <si>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</si>
  <si>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</si>
  <si>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</si>
  <si>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</si>
  <si>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</si>
  <si>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</si>
  <si>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</si>
  <si>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</si>
  <si>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</si>
  <si>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</si>
  <si>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</si>
  <si>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</si>
  <si>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</si>
  <si>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</si>
  <si>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</si>
  <si>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</si>
  <si>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</si>
  <si>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</si>
  <si>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</si>
  <si>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</si>
  <si>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</si>
  <si>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</si>
  <si>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</si>
  <si>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</si>
  <si>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</si>
  <si>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</si>
  <si>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</si>
  <si>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</si>
  <si>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</si>
  <si>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</si>
  <si>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</si>
  <si>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</si>
  <si>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</si>
  <si>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</si>
  <si>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</si>
  <si>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</si>
  <si>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</si>
  <si>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</si>
  <si>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</si>
  <si>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</si>
  <si>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</si>
  <si>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</si>
  <si>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</si>
  <si>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</si>
  <si>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</si>
  <si>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</si>
  <si>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</si>
  <si>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</si>
  <si>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</si>
  <si>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</si>
  <si>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</si>
  <si>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</si>
  <si>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</si>
  <si>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</si>
  <si>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</si>
  <si>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</si>
  <si>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</si>
  <si>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</si>
  <si>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</si>
  <si>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</si>
  <si>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</si>
  <si>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</si>
  <si>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</si>
  <si>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</si>
  <si>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</si>
  <si>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</si>
  <si>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</si>
  <si>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</si>
  <si>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</si>
  <si>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</si>
  <si>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</si>
  <si>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</si>
  <si>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</si>
  <si>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</si>
  <si>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</si>
  <si>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</si>
  <si>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</si>
  <si>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</si>
  <si>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</si>
  <si>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</si>
  <si>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</si>
  <si>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</si>
  <si>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</si>
  <si>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</si>
  <si>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</si>
  <si>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</si>
  <si>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</si>
  <si>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</si>
  <si>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</si>
  <si>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</si>
  <si>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</si>
  <si>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</si>
  <si>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</si>
  <si>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</si>
  <si>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</si>
  <si>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</si>
  <si>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</si>
  <si>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</si>
  <si>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</si>
  <si>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</si>
  <si>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</si>
  <si>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</si>
  <si>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</si>
  <si>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</si>
  <si>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</si>
  <si>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</si>
  <si>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</si>
  <si>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</si>
  <si>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</si>
  <si>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</si>
  <si>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</si>
  <si>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</si>
  <si>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</si>
  <si>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</si>
  <si>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</si>
  <si>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</si>
  <si>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</si>
  <si>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</si>
  <si>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</si>
  <si>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</si>
  <si>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</si>
  <si>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</si>
  <si>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</si>
  <si>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</si>
  <si>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</si>
  <si>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</si>
  <si>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</si>
  <si>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</si>
  <si>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</si>
  <si>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</si>
  <si>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</si>
  <si>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</si>
  <si>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</si>
  <si>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</si>
  <si>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</si>
  <si>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</si>
  <si>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</si>
  <si>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</si>
  <si>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</si>
  <si>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</si>
  <si>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</si>
  <si>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</si>
  <si>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</si>
  <si>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</si>
  <si>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</si>
  <si>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</si>
  <si>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</si>
  <si>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</si>
  <si>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</si>
  <si>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</si>
  <si>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</si>
  <si>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</si>
  <si>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</si>
  <si>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</si>
  <si>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</si>
  <si>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</si>
  <si>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</si>
  <si>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</si>
  <si>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</si>
  <si>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</si>
  <si>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</si>
  <si>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</si>
  <si>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</si>
  <si>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</si>
  <si>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</si>
  <si>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</si>
  <si>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</si>
  <si>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</si>
  <si>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</si>
  <si>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</si>
  <si>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</si>
  <si>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</si>
  <si>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</si>
  <si>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</si>
  <si>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</si>
  <si>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</si>
  <si>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</si>
  <si>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</si>
  <si>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</si>
  <si>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</si>
  <si>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</si>
  <si>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</si>
  <si>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</si>
  <si>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</si>
  <si>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</si>
  <si>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</si>
  <si>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</si>
  <si>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</si>
  <si>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</si>
  <si>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</si>
  <si>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</si>
  <si>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</si>
  <si>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</si>
  <si>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</si>
  <si>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</si>
  <si>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</si>
  <si>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</si>
  <si>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</si>
  <si>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</si>
  <si>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</si>
  <si>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</si>
  <si>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</si>
  <si>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</si>
  <si>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</si>
  <si>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</si>
  <si>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</si>
  <si>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</si>
  <si>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</si>
  <si>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</si>
  <si>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</si>
  <si>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</si>
  <si>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</si>
  <si>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</si>
  <si>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</si>
  <si>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</si>
  <si>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</si>
  <si>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</si>
  <si>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</si>
  <si>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</si>
  <si>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</si>
  <si>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</si>
  <si>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</si>
  <si>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</si>
  <si>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</si>
  <si>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</si>
  <si>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</si>
  <si>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</si>
  <si>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</si>
  <si>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</si>
  <si>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</si>
  <si>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</si>
  <si>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</si>
  <si>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</si>
  <si>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</si>
  <si>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</si>
  <si>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</si>
  <si>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</si>
  <si>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</si>
  <si>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</si>
  <si>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</si>
  <si>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</si>
  <si>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</si>
  <si>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</si>
  <si>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</si>
  <si>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</si>
  <si>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</si>
  <si>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</si>
  <si>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</si>
  <si>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</si>
  <si>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</si>
  <si>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</si>
  <si>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</si>
  <si>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</si>
  <si>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</si>
  <si>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</si>
  <si>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</si>
  <si>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</si>
  <si>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</si>
  <si>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</si>
  <si>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</si>
  <si>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</si>
  <si>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</si>
  <si>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</si>
  <si>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</si>
  <si>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</si>
  <si>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</si>
  <si>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</si>
  <si>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</si>
  <si>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</si>
  <si>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</si>
  <si>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</si>
  <si>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</si>
  <si>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</si>
  <si>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</si>
  <si>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</si>
  <si>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</si>
  <si>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</si>
  <si>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</si>
  <si>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</si>
  <si>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</si>
  <si>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</si>
  <si>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</si>
  <si>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</si>
  <si>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</si>
  <si>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</si>
  <si>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</si>
  <si>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</si>
  <si>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</si>
  <si>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</si>
  <si>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</si>
  <si>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</si>
  <si>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</si>
  <si>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</si>
  <si>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</si>
  <si>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</si>
  <si>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</si>
  <si>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</si>
  <si>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</si>
  <si>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</si>
  <si>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</si>
  <si>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</si>
  <si>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</si>
  <si>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</si>
  <si>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</si>
  <si>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</si>
  <si>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</si>
  <si>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</si>
  <si>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</si>
  <si>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</si>
  <si>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</si>
  <si>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</si>
  <si>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</si>
  <si>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</si>
  <si>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</si>
  <si>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</si>
  <si>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</si>
  <si>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</si>
  <si>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</si>
  <si>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</si>
  <si>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</si>
  <si>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</si>
  <si>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</si>
  <si>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</si>
  <si>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</si>
  <si>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</si>
  <si>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</si>
  <si>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</si>
  <si>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</si>
  <si>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</si>
  <si>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</si>
  <si>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</si>
  <si>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</si>
  <si>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</si>
  <si>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</si>
  <si>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</si>
  <si>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</si>
  <si>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</si>
  <si>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</si>
  <si>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</si>
  <si>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</si>
  <si>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</si>
  <si>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</si>
  <si>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</si>
  <si>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</si>
  <si>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</si>
  <si>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</si>
  <si>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</si>
  <si>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</si>
  <si>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</si>
  <si>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</si>
  <si>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</si>
  <si>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</si>
  <si>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</si>
  <si>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</si>
  <si>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</si>
  <si>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</si>
  <si>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</si>
  <si>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</si>
  <si>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</si>
  <si>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</si>
  <si>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</si>
  <si>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</si>
  <si>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</si>
  <si>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</si>
  <si>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</si>
  <si>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</si>
  <si>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</si>
  <si>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</si>
  <si>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</si>
  <si>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</si>
  <si>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</si>
  <si>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</si>
  <si>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</si>
  <si>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</si>
  <si>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</si>
  <si>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</si>
  <si>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</si>
  <si>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</si>
  <si>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</si>
  <si>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</si>
  <si>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</si>
  <si>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</si>
  <si>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</si>
  <si>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</si>
  <si>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</si>
  <si>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</si>
  <si>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</si>
  <si>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</si>
  <si>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</si>
  <si>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</si>
  <si>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</si>
  <si>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</si>
  <si>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</si>
  <si>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</si>
  <si>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</si>
  <si>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</si>
  <si>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</si>
  <si>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</si>
  <si>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</si>
  <si>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</si>
  <si>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</si>
  <si>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</si>
  <si>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</si>
  <si>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</si>
  <si>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</si>
  <si>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</si>
  <si>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</si>
  <si>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</si>
  <si>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</si>
  <si>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</si>
  <si>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</si>
  <si>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</si>
  <si>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</si>
  <si>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</si>
  <si>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</si>
  <si>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</si>
  <si>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</si>
  <si>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</si>
  <si>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</si>
  <si>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</si>
  <si>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</si>
  <si>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</si>
  <si>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</si>
  <si>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</si>
  <si>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</si>
  <si>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</si>
  <si>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</si>
  <si>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</si>
  <si>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</si>
  <si>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</si>
  <si>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</si>
  <si>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</si>
  <si>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</si>
  <si>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</si>
  <si>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</si>
  <si>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</si>
  <si>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</si>
  <si>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</si>
  <si>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</si>
  <si>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</si>
  <si>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</si>
  <si>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</si>
  <si>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</si>
  <si>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</si>
  <si>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</si>
  <si>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</si>
  <si>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</si>
  <si>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</si>
  <si>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</si>
  <si>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</si>
  <si>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</si>
  <si>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</si>
  <si>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</si>
  <si>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</si>
  <si>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</si>
  <si>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</si>
  <si>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</si>
  <si>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</si>
  <si>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</si>
  <si>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</si>
  <si>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</si>
  <si>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</si>
  <si>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</si>
  <si>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</si>
  <si>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</si>
  <si>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</si>
  <si>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</si>
  <si>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</si>
  <si>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</si>
  <si>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</si>
  <si>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</si>
  <si>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</si>
  <si>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</si>
  <si>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</si>
  <si>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</si>
  <si>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</si>
  <si>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</si>
  <si>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</si>
  <si>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</si>
  <si>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</si>
  <si>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</si>
  <si>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</si>
  <si>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</si>
  <si>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</si>
  <si>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</si>
  <si>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</si>
  <si>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</si>
  <si>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</si>
  <si>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</si>
  <si>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</si>
  <si>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</si>
  <si>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</si>
  <si>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</si>
  <si>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</si>
  <si>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</si>
  <si>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</si>
  <si>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</si>
  <si>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</si>
  <si>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</si>
  <si>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</si>
  <si>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</si>
  <si>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</si>
  <si>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</si>
  <si>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</si>
  <si>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</si>
  <si>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</si>
  <si>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</si>
  <si>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</si>
  <si>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</si>
  <si>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</si>
  <si>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</si>
  <si>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</si>
  <si>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</si>
  <si>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</si>
  <si>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</si>
  <si>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</si>
  <si>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</si>
  <si>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</si>
  <si>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</si>
  <si>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</si>
  <si>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</si>
  <si>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</si>
  <si>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</si>
  <si>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</si>
  <si>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</si>
  <si>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</si>
  <si>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</si>
  <si>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</si>
  <si>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</si>
  <si>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</si>
  <si>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</si>
  <si>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</si>
  <si>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</si>
  <si>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</si>
  <si>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</si>
  <si>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</si>
  <si>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</si>
  <si>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</si>
  <si>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</si>
  <si>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</si>
  <si>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</si>
  <si>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</si>
  <si>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</si>
  <si>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</si>
  <si>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</si>
  <si>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</si>
  <si>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</si>
  <si>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</si>
  <si>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</si>
  <si>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</si>
  <si>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</si>
  <si>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</si>
  <si>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</si>
  <si>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</si>
  <si>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</si>
  <si>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</si>
  <si>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</si>
  <si>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</si>
  <si>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</si>
  <si>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</si>
  <si>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</si>
  <si>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</si>
  <si>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</si>
  <si>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</si>
  <si>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</si>
  <si>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</si>
  <si>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</si>
  <si>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</si>
  <si>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</si>
  <si>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</si>
  <si>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</si>
  <si>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</si>
  <si>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</si>
  <si>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</si>
  <si>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</si>
  <si>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</si>
  <si>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</si>
  <si>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</si>
  <si>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</si>
  <si>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</si>
  <si>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</si>
  <si>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</si>
  <si>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</si>
  <si>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</si>
  <si>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</si>
  <si>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</si>
  <si>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</si>
  <si>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</si>
  <si>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</si>
  <si>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</si>
  <si>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</si>
  <si>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</si>
  <si>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</si>
  <si>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</si>
  <si>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</si>
  <si>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</si>
  <si>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</si>
  <si>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</si>
  <si>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</si>
  <si>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</si>
  <si>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</si>
  <si>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</si>
  <si>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</si>
  <si>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</si>
  <si>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</si>
  <si>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</si>
  <si>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</si>
  <si>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</si>
  <si>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</si>
  <si>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</si>
  <si>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</si>
  <si>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</si>
  <si>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</si>
  <si>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</si>
  <si>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</si>
  <si>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</si>
  <si>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</si>
  <si>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</si>
  <si>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</si>
  <si>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</si>
  <si>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</si>
  <si>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</si>
  <si>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</si>
  <si>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</si>
  <si>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</si>
  <si>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</si>
  <si>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</si>
  <si>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</si>
  <si>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</si>
  <si>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</si>
  <si>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</si>
  <si>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</si>
  <si>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</si>
  <si>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</si>
  <si>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</si>
  <si>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</si>
  <si>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</si>
  <si>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</si>
  <si>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</si>
  <si>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</si>
  <si>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</si>
  <si>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</si>
  <si>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</si>
  <si>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</si>
  <si>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</si>
  <si>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</si>
  <si>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</si>
  <si>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</si>
  <si>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</si>
  <si>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</si>
  <si>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</si>
  <si>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</si>
  <si>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</si>
  <si>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</si>
  <si>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</si>
  <si>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</si>
  <si>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</si>
  <si>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</si>
  <si>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</si>
  <si>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</si>
  <si>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</si>
  <si>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</si>
  <si>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</si>
  <si>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</si>
  <si>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</si>
  <si>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</si>
  <si>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</si>
  <si>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</si>
  <si>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</si>
  <si>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</si>
  <si>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</si>
  <si>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</si>
  <si>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</si>
  <si>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</si>
  <si>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</si>
  <si>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</si>
  <si>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</si>
  <si>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</si>
  <si>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</si>
  <si>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</si>
  <si>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</si>
  <si>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</si>
  <si>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</si>
  <si>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</si>
  <si>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</si>
  <si>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</si>
  <si>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</si>
  <si>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</si>
  <si>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</si>
  <si>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</si>
  <si>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</si>
  <si>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</si>
  <si>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</si>
  <si>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</si>
  <si>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</si>
  <si>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</si>
  <si>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</si>
  <si>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</si>
  <si>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</si>
  <si>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</si>
  <si>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</si>
  <si>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</si>
  <si>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</si>
  <si>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</si>
  <si>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</si>
  <si>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</si>
  <si>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</si>
  <si>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</si>
  <si>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</si>
  <si>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</si>
  <si>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</si>
  <si>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</si>
  <si>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</si>
  <si>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</si>
  <si>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</si>
  <si>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</si>
  <si>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</si>
  <si>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</si>
  <si>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</si>
  <si>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</si>
  <si>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</si>
  <si>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</si>
  <si>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</si>
  <si>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</si>
  <si>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</si>
  <si>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</si>
  <si>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</si>
  <si>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</si>
  <si>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</si>
  <si>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</si>
  <si>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</si>
  <si>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</si>
  <si>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</si>
  <si>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</si>
  <si>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</si>
  <si>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</si>
  <si>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</si>
  <si>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</si>
  <si>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</si>
  <si>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</si>
  <si>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</si>
  <si>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</si>
  <si>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</si>
  <si>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</si>
  <si>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</si>
  <si>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</si>
  <si>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</si>
  <si>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</si>
  <si>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</si>
  <si>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</si>
  <si>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</si>
  <si>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</si>
  <si>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</si>
  <si>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</si>
  <si>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</si>
  <si>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</si>
  <si>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</si>
  <si>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</si>
  <si>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</si>
  <si>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</si>
  <si>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</si>
  <si>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</si>
  <si>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</si>
  <si>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</si>
  <si>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</si>
  <si>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</si>
  <si>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</si>
  <si>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</si>
  <si>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</si>
  <si>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</si>
  <si>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</si>
  <si>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</si>
  <si>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</si>
  <si>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</si>
  <si>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</si>
  <si>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</si>
  <si>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</si>
  <si>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</si>
  <si>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</si>
  <si>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</si>
  <si>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</si>
  <si>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</si>
  <si>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</si>
  <si>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</si>
  <si>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</si>
  <si>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</si>
  <si>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</si>
  <si>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</si>
  <si>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</si>
  <si>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</si>
  <si>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</si>
  <si>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</si>
  <si>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</si>
  <si>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</si>
  <si>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</si>
  <si>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</si>
  <si>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</si>
  <si>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</si>
  <si>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</si>
  <si>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</si>
  <si>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</si>
  <si>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</si>
  <si>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</si>
  <si>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</si>
  <si>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</si>
  <si>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</si>
  <si>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</si>
  <si>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</si>
  <si>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</si>
  <si>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</si>
  <si>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</si>
  <si>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</si>
  <si>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</si>
  <si>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</si>
  <si>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</si>
  <si>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</si>
  <si>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</si>
  <si>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</si>
  <si>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</si>
  <si>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</si>
  <si>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</si>
  <si>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</si>
  <si>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</si>
  <si>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</si>
  <si>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</si>
  <si>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</si>
  <si>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</si>
  <si>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</si>
  <si>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</si>
  <si>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</si>
  <si>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</si>
  <si>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</si>
  <si>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</si>
  <si>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</si>
  <si>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</si>
  <si>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</si>
  <si>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</si>
  <si>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</si>
  <si>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</si>
  <si>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</si>
  <si>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</si>
  <si>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</si>
  <si>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</si>
  <si>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</si>
  <si>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</si>
  <si>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</si>
  <si>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</si>
  <si>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</si>
  <si>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</si>
  <si>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</si>
  <si>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</si>
  <si>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</si>
  <si>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</si>
  <si>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</si>
  <si>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</si>
  <si>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</si>
  <si>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</si>
  <si>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</si>
  <si>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</si>
  <si>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</si>
  <si>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</si>
  <si>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</si>
  <si>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</si>
  <si>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</si>
  <si>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</si>
  <si>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</si>
  <si>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</si>
  <si>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</si>
  <si>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</si>
  <si>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</si>
  <si>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</si>
  <si>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</si>
  <si>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</si>
  <si>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</si>
  <si>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</si>
  <si>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</si>
  <si>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</si>
  <si>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</si>
  <si>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</si>
  <si>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</si>
  <si>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</si>
  <si>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</si>
  <si>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</si>
  <si>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</si>
  <si>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</si>
  <si>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</si>
  <si>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</si>
  <si>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</si>
  <si>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</si>
  <si>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</si>
  <si>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</si>
  <si>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</si>
  <si>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</si>
  <si>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</si>
  <si>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</si>
  <si>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</si>
  <si>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</si>
  <si>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</si>
  <si>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</si>
  <si>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</si>
  <si>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</si>
  <si>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</si>
  <si>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</si>
  <si>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</si>
  <si>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</si>
  <si>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</si>
  <si>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</si>
  <si>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</si>
  <si>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</si>
  <si>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</si>
  <si>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</si>
  <si>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</si>
  <si>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</si>
  <si>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</si>
  <si>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</si>
  <si>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</si>
  <si>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</si>
  <si>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</si>
  <si>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</si>
  <si>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</si>
  <si>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</si>
  <si>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</si>
  <si>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</si>
  <si>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</si>
  <si>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</si>
  <si>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</si>
  <si>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</si>
  <si>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</si>
  <si>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</si>
  <si>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</si>
  <si>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</si>
  <si>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</si>
  <si>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</si>
  <si>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</si>
  <si>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</si>
  <si>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</si>
  <si>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</si>
  <si>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</si>
  <si>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</si>
  <si>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</si>
  <si>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</si>
  <si>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</si>
  <si>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</si>
  <si>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</si>
  <si>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</si>
  <si>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</si>
  <si>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</si>
  <si>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</si>
  <si>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</si>
  <si>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</si>
  <si>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</si>
  <si>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</si>
  <si>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</si>
  <si>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</si>
  <si>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</si>
  <si>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</si>
  <si>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</si>
  <si>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</si>
  <si>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</si>
  <si>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</si>
  <si>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</si>
  <si>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</si>
  <si>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</si>
  <si>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</si>
  <si>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</si>
  <si>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</si>
  <si>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</si>
  <si>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</si>
  <si>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</si>
  <si>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</si>
  <si>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</si>
  <si>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</si>
  <si>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</si>
  <si>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</si>
  <si>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</si>
  <si>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</si>
  <si>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</si>
  <si>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</si>
  <si>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</si>
  <si>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</si>
  <si>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</si>
  <si>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</si>
  <si>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</si>
  <si>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</si>
  <si>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</si>
  <si>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</si>
  <si>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</si>
  <si>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</si>
  <si>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</si>
  <si>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</si>
  <si>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</si>
  <si>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</si>
  <si>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</si>
  <si>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</si>
  <si>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</si>
  <si>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</si>
  <si>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</si>
  <si>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</si>
  <si>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</si>
  <si>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</si>
  <si>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</si>
  <si>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</si>
  <si>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</si>
  <si>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</si>
  <si>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</si>
  <si>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</si>
  <si>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</si>
  <si>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</si>
  <si>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</si>
  <si>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</si>
  <si>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</si>
  <si>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</si>
  <si>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</si>
  <si>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</si>
  <si>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</si>
  <si>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</si>
  <si>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</si>
  <si>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</si>
  <si>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</si>
  <si>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</si>
  <si>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</si>
  <si>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</si>
  <si>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</si>
  <si>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</si>
  <si>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</si>
  <si>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</si>
  <si>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</si>
  <si>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</si>
  <si>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</si>
  <si>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</si>
  <si>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</si>
  <si>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</si>
  <si>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</si>
  <si>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</si>
  <si>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</si>
  <si>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</si>
  <si>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</si>
  <si>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</si>
  <si>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</si>
  <si>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</si>
  <si>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</si>
  <si>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</si>
  <si>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</si>
  <si>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</si>
  <si>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</si>
  <si>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</si>
  <si>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</si>
  <si>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</si>
  <si>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</si>
  <si>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</si>
  <si>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</si>
  <si>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</si>
  <si>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</si>
  <si>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</si>
  <si>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</si>
  <si>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</si>
  <si>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</si>
  <si>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</si>
  <si>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</si>
  <si>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</si>
  <si>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</si>
  <si>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</si>
  <si>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</si>
  <si>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</si>
  <si>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</si>
  <si>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</si>
  <si>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</si>
  <si>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</si>
  <si>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</si>
  <si>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</si>
  <si>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</si>
  <si>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</si>
  <si>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</si>
  <si>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</si>
  <si>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</si>
  <si>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</si>
  <si>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</si>
  <si>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</si>
  <si>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</si>
  <si>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</si>
  <si>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</si>
  <si>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</si>
  <si>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</si>
  <si>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</si>
  <si>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</si>
  <si>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</si>
  <si>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</si>
  <si>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</si>
  <si>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</si>
  <si>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</si>
  <si>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</si>
  <si>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</si>
  <si>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</si>
  <si>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</si>
  <si>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</si>
  <si>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</si>
  <si>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</si>
  <si>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</si>
  <si>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</si>
  <si>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</si>
  <si>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</si>
  <si>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</si>
  <si>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</si>
  <si>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</si>
  <si>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</si>
  <si>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</si>
  <si>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</si>
  <si>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</si>
  <si>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</si>
  <si>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</si>
  <si>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</si>
  <si>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</si>
  <si>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</si>
  <si>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</si>
  <si>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</si>
  <si>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</si>
  <si>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</si>
  <si>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</si>
  <si>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</si>
  <si>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</si>
  <si>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</si>
  <si>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</si>
  <si>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</si>
  <si>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</si>
  <si>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</si>
  <si>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</si>
  <si>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</si>
  <si>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</si>
  <si>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</si>
  <si>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</si>
  <si>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</si>
  <si>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</si>
  <si>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</si>
  <si>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</si>
  <si>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</si>
  <si>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</si>
  <si>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</si>
  <si>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</si>
  <si>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</si>
  <si>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</si>
  <si>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</si>
  <si>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</si>
  <si>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</si>
  <si>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</si>
  <si>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</si>
  <si>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</si>
  <si>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</si>
  <si>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</si>
  <si>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</si>
  <si>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</si>
  <si>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</si>
  <si>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</si>
  <si>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</si>
  <si>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</si>
  <si>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</si>
  <si>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</si>
  <si>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</si>
  <si>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</si>
  <si>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</si>
  <si>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</si>
  <si>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</si>
  <si>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</si>
  <si>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</si>
  <si>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</si>
  <si>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</si>
  <si>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</si>
  <si>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</si>
  <si>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</si>
  <si>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</si>
  <si>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</si>
  <si>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</si>
  <si>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</si>
  <si>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</si>
  <si>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</si>
  <si>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</si>
  <si>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</si>
  <si>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</si>
  <si>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</si>
  <si>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</si>
  <si>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</si>
  <si>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</si>
  <si>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</si>
  <si>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</si>
  <si>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</si>
  <si>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</si>
  <si>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</si>
  <si>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</si>
  <si>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</si>
  <si>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</si>
  <si>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</si>
  <si>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</si>
  <si>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</si>
  <si>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</si>
  <si>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</si>
  <si>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</si>
  <si>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</si>
  <si>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</si>
  <si>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</si>
  <si>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</si>
  <si>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</si>
  <si>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</si>
  <si>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</si>
  <si>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</si>
  <si>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</si>
  <si>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</si>
  <si>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</si>
  <si>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</si>
  <si>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</si>
  <si>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</si>
  <si>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</si>
  <si>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</si>
  <si>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</si>
  <si>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</si>
  <si>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</si>
  <si>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</si>
  <si>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</si>
  <si>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</si>
  <si>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</si>
  <si>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</si>
  <si>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</si>
  <si>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</si>
  <si>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</si>
  <si>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</si>
  <si>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</si>
  <si>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</si>
  <si>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</si>
  <si>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</si>
  <si>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</si>
  <si>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</si>
  <si>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</si>
  <si>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</si>
  <si>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</si>
  <si>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</si>
  <si>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</si>
  <si>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</si>
  <si>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</si>
  <si>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</si>
  <si>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</si>
  <si>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</si>
  <si>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</si>
  <si>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</si>
  <si>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</si>
  <si>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</si>
  <si>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</si>
  <si>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</si>
  <si>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</si>
  <si>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</si>
  <si>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</si>
  <si>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</si>
  <si>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</si>
  <si>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</si>
  <si>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</si>
  <si>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</si>
  <si>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</si>
  <si>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</si>
  <si>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</si>
  <si>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</si>
  <si>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</si>
  <si>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</si>
  <si>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</si>
  <si>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</si>
  <si>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</si>
  <si>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</si>
  <si>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</si>
  <si>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</si>
  <si>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</si>
  <si>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</si>
  <si>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</si>
  <si>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</si>
  <si>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</si>
  <si>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</si>
  <si>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</si>
  <si>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</si>
  <si>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</si>
  <si>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</si>
  <si>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</si>
  <si>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</si>
  <si>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</si>
  <si>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</si>
  <si>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</si>
  <si>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</si>
  <si>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</si>
  <si>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</si>
  <si>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</si>
  <si>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</si>
  <si>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</si>
  <si>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</si>
  <si>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</si>
  <si>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</si>
  <si>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</si>
  <si>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</si>
  <si>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</si>
  <si>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</si>
  <si>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</si>
  <si>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</si>
  <si>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</si>
  <si>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</si>
  <si>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</si>
  <si>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</si>
  <si>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</si>
  <si>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</si>
  <si>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</si>
  <si>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</si>
  <si>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</si>
  <si>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</si>
  <si>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</si>
  <si>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</si>
  <si>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</si>
  <si>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</si>
  <si>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</si>
  <si>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</si>
  <si>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</si>
  <si>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</si>
  <si>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</si>
  <si>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</si>
  <si>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</si>
  <si>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</si>
  <si>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</si>
  <si>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</si>
  <si>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</si>
  <si>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</si>
  <si>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</si>
  <si>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</si>
  <si>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</si>
  <si>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</si>
  <si>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</si>
  <si>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</si>
  <si>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</si>
  <si>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</si>
  <si>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</si>
  <si>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</si>
  <si>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</si>
  <si>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</si>
  <si>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</si>
  <si>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</si>
  <si>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</si>
  <si>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</si>
  <si>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</si>
  <si>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</si>
  <si>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</si>
  <si>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</si>
  <si>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</si>
  <si>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</si>
  <si>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</si>
  <si>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</si>
  <si>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</si>
  <si>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</si>
  <si>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</si>
  <si>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</si>
  <si>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</si>
  <si>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</si>
  <si>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</si>
  <si>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</si>
  <si>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</si>
  <si>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</si>
  <si>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</si>
  <si>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</si>
  <si>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</si>
  <si>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</si>
  <si>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</si>
  <si>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</si>
  <si>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</si>
  <si>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</si>
  <si>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</si>
  <si>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</si>
  <si>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</si>
  <si>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</si>
  <si>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</si>
  <si>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</si>
  <si>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</si>
  <si>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</si>
  <si>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</si>
  <si>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</si>
  <si>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</si>
  <si>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</si>
  <si>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</si>
  <si>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</si>
  <si>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</si>
  <si>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</si>
  <si>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</si>
  <si>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</si>
  <si>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</si>
  <si>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</si>
  <si>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</si>
  <si>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</si>
  <si>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</si>
  <si>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</si>
  <si>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</si>
  <si>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</si>
  <si>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</si>
  <si>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</si>
  <si>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</si>
  <si>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</si>
  <si>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</si>
  <si>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</si>
  <si>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</si>
  <si>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</si>
  <si>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</si>
  <si>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</si>
  <si>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</si>
  <si>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</si>
  <si>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</si>
  <si>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</si>
  <si>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</si>
  <si>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</si>
  <si>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</si>
  <si>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</si>
  <si>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</si>
  <si>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</si>
  <si>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</si>
  <si>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</si>
  <si>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</si>
  <si>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</si>
  <si>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</si>
  <si>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</si>
  <si>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</si>
  <si>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</si>
  <si>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</si>
  <si>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</si>
  <si>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</si>
  <si>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</si>
  <si>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</si>
  <si>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</si>
  <si>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</si>
  <si>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</si>
  <si>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</si>
  <si>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</si>
  <si>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</si>
  <si>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</si>
  <si>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</si>
  <si>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</si>
  <si>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</si>
  <si>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</si>
  <si>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</si>
  <si>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</si>
  <si>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</si>
  <si>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</si>
  <si>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</si>
  <si>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</si>
  <si>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</si>
  <si>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</si>
  <si>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</si>
  <si>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</si>
  <si>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</si>
  <si>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</si>
  <si>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</si>
  <si>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</si>
  <si>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</si>
  <si>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</si>
  <si>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</si>
  <si>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Sheena Bonilla</t>
  </si>
  <si>
    <t>Paul Fox</t>
  </si>
  <si>
    <t>Laura Green</t>
  </si>
  <si>
    <t>Lake Tylerfort</t>
  </si>
  <si>
    <t xml:space="preserve">   Jonesbury </t>
  </si>
  <si>
    <t xml:space="preserve">    Lake Lisa</t>
  </si>
  <si>
    <t>East Jeremy</t>
  </si>
  <si>
    <t>Row Labels</t>
  </si>
  <si>
    <t>Grand Total</t>
  </si>
  <si>
    <t>Sum of Total_Amount</t>
  </si>
  <si>
    <t>Column Labels</t>
  </si>
  <si>
    <t>Total No of Sales</t>
  </si>
  <si>
    <t>Male Sales Count</t>
  </si>
  <si>
    <t>Female Sales Count</t>
  </si>
  <si>
    <t>Total Sales Amount</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</si>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</sst>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name val="Calibri"/>
    </font>
    <font>
      <b/>
      <sz val="11"/>
      <name val="Calibri"/>
      <family val="2"/>
    </font>
    <font>
      <sz val="8"/>
      <name val="Calibri"/>
      <family val="2"/>
      <scheme val="minor"/>
    </font>
    <font>
      <b/>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auto="1"/>
      </left>
      <right style="thin">
        <color theme="0"/>
      </right>
      <top style="thin">
        <color auto="1"/>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Alignment="1">
      <alignment horizontal="center" vertical="top"/>
    </xf>
    <xf numFmtId="1"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3" xfId="0" applyBorder="1"/>
    <xf numFmtId="0" fontId="0" fillId="0" borderId="0" xfId="0" pivotButton="1"/>
    <xf numFmtId="0" fontId="0" fillId="0" borderId="0" xfId="0" applyAlignment="1">
      <alignment horizontal="left"/>
    </xf>
    <xf numFmtId="0" fontId="4" fillId="3" borderId="4" xfId="0" applyFont="1" applyFill="1" applyBorder="1"/>
    <xf numFmtId="0" fontId="0" fillId="4" borderId="5" xfId="0" applyFont="1" applyFill="1" applyBorder="1"/>
    <xf numFmtId="0" fontId="0" fillId="2" borderId="5" xfId="0" applyFont="1" applyFill="1" applyBorder="1"/>
    <xf numFmtId="0" fontId="0" fillId="2" borderId="6" xfId="0" applyFont="1" applyFill="1" applyBorder="1"/>
    <xf numFmtId="0" fontId="0" fillId="0" borderId="0" xfId="0" applyNumberFormat="1"/>
    <xf numFmtId="0" fontId="5" fillId="5" borderId="0" xfId="0" applyFont="1" applyFill="1"/>
    <xf numFmtId="0" fontId="2" fillId="3" borderId="2" xfId="0" applyFont="1" applyFill="1" applyBorder="1" applyAlignment="1">
      <alignment horizontal="center" vertical="top"/>
    </xf>
    <xf numFmtId="0" fontId="0" fillId="2" borderId="7" xfId="0" applyFont="1" applyFill="1" applyBorder="1"/>
  </cellXfs>
  <cellStyles count="1">
    <cellStyle name="Normal" xfId="0" builtinId="0"/>
  </cellStyles>
  <dxfs count="39">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'!$P$2</c:f>
              <c:strCache>
                <c:ptCount val="1"/>
                <c:pt idx="0">
                  <c:v>Total</c:v>
                </c:pt>
              </c:strCache>
            </c:strRef>
          </c:tx>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cat>
            <c:strRef>
              <c:f>'pivot Tables '!$O$3:$O$6</c:f>
              <c:strCache>
                <c:ptCount val="3"/>
                <c:pt idx="0">
                  <c:v>2023</c:v>
                </c:pt>
                <c:pt idx="1">
                  <c:v>2024</c:v>
                </c:pt>
                <c:pt idx="2">
                  <c:v>2025</c:v>
                </c:pt>
              </c:strCache>
            </c:strRef>
          </c:cat>
          <c:val>
            <c:numRef>
              <c:f>'pivot Tables '!$P$3:$P$6</c:f>
              <c:numCache>
                <c:formatCode>General</c:formatCode>
                <c:ptCount val="3"/>
                <c:pt idx="0">
                  <c:v>224167.88882377226</c:v>
                </c:pt>
                <c:pt idx="1">
                  <c:v>1093875.323011338</c:v>
                </c:pt>
                <c:pt idx="2">
                  <c:v>857221.79674225789</c:v>
                </c:pt>
              </c:numCache>
            </c:numRef>
          </c:val>
          <c:extLst>
            <c:ext xmlns:c16="http://schemas.microsoft.com/office/drawing/2014/chart" uri="{C3380CC4-5D6E-409C-BE32-E72D297353CC}">
              <c16:uniqueId val="{00000000-B7A1-47C9-B3FD-E28BE73EB0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!PivotTable21</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9808553342599"/>
          <c:y val="0.46365164746229548"/>
          <c:w val="0.55380191446657401"/>
          <c:h val="0.43300782035976337"/>
        </c:manualLayout>
      </c:layout>
      <c:lineChart>
        <c:grouping val="standard"/>
        <c:varyColors val="0"/>
        <c:ser>
          <c:idx val="0"/>
          <c:order val="0"/>
          <c:tx>
            <c:strRef>
              <c:f>'pivot Tables '!$U$3</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'!$T$4:$T$7</c:f>
              <c:strCache>
                <c:ptCount val="3"/>
                <c:pt idx="0">
                  <c:v>COD</c:v>
                </c:pt>
                <c:pt idx="1">
                  <c:v>Credit Card</c:v>
                </c:pt>
                <c:pt idx="2">
                  <c:v>PayPal</c:v>
                </c:pt>
              </c:strCache>
            </c:strRef>
          </c:cat>
          <c:val>
            <c:numRef>
              <c:f>'pivot Tables '!$U$4:$U$7</c:f>
              <c:numCache>
                <c:formatCode>General</c:formatCode>
                <c:ptCount val="3"/>
                <c:pt idx="0">
                  <c:v>703703.33943202347</c:v>
                </c:pt>
                <c:pt idx="1">
                  <c:v>714843.56993400666</c:v>
                </c:pt>
                <c:pt idx="2">
                  <c:v>756718.09921133844</c:v>
                </c:pt>
              </c:numCache>
            </c:numRef>
          </c:val>
          <c:smooth val="0"/>
          <c:extLst>
            <c:ext xmlns:c16="http://schemas.microsoft.com/office/drawing/2014/chart" uri="{C3380CC4-5D6E-409C-BE32-E72D297353CC}">
              <c16:uniqueId val="{00000000-9484-4226-9120-F4D367F2800A}"/>
            </c:ext>
          </c:extLst>
        </c:ser>
        <c:dLbls>
          <c:dLblPos val="ctr"/>
          <c:showLegendKey val="0"/>
          <c:showVal val="1"/>
          <c:showCatName val="0"/>
          <c:showSerName val="0"/>
          <c:showPercent val="0"/>
          <c:showBubbleSize val="0"/>
        </c:dLbls>
        <c:marker val="1"/>
        <c:smooth val="0"/>
        <c:axId val="2121097728"/>
        <c:axId val="2015278256"/>
      </c:lineChart>
      <c:catAx>
        <c:axId val="2121097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5278256"/>
        <c:crosses val="autoZero"/>
        <c:auto val="1"/>
        <c:lblAlgn val="ctr"/>
        <c:lblOffset val="100"/>
        <c:noMultiLvlLbl val="0"/>
      </c:catAx>
      <c:valAx>
        <c:axId val="2015278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21097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!PivotTable24</c:name>
    <c:fmtId val="2"/>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'!$AA$3:$AA$4</c:f>
              <c:strCache>
                <c:ptCount val="1"/>
                <c:pt idx="0">
                  <c:v>Female</c:v>
                </c:pt>
              </c:strCache>
            </c:strRef>
          </c:tx>
          <c:spPr>
            <a:solidFill>
              <a:schemeClr val="accent4">
                <a:shade val="76000"/>
              </a:schemeClr>
            </a:solidFill>
            <a:ln>
              <a:noFill/>
            </a:ln>
            <a:effectLst/>
          </c:spPr>
          <c:invertIfNegative val="0"/>
          <c:cat>
            <c:strRef>
              <c:f>'pivot Tables '!$Z$5:$Z$10</c:f>
              <c:strCache>
                <c:ptCount val="5"/>
                <c:pt idx="0">
                  <c:v>Beauty</c:v>
                </c:pt>
                <c:pt idx="1">
                  <c:v>Clothing</c:v>
                </c:pt>
                <c:pt idx="2">
                  <c:v>Electronics</c:v>
                </c:pt>
                <c:pt idx="3">
                  <c:v>Home</c:v>
                </c:pt>
                <c:pt idx="4">
                  <c:v>Sports</c:v>
                </c:pt>
              </c:strCache>
            </c:strRef>
          </c:cat>
          <c:val>
            <c:numRef>
              <c:f>'pivot Tables '!$AA$5:$AA$10</c:f>
              <c:numCache>
                <c:formatCode>General</c:formatCode>
                <c:ptCount val="5"/>
                <c:pt idx="0">
                  <c:v>180344.28020000001</c:v>
                </c:pt>
                <c:pt idx="1">
                  <c:v>155935.59120000008</c:v>
                </c:pt>
                <c:pt idx="2">
                  <c:v>281133.03879999998</c:v>
                </c:pt>
                <c:pt idx="3">
                  <c:v>217025.2637000001</c:v>
                </c:pt>
                <c:pt idx="4">
                  <c:v>276719.29391133855</c:v>
                </c:pt>
              </c:numCache>
            </c:numRef>
          </c:val>
          <c:extLst>
            <c:ext xmlns:c16="http://schemas.microsoft.com/office/drawing/2014/chart" uri="{C3380CC4-5D6E-409C-BE32-E72D297353CC}">
              <c16:uniqueId val="{00000000-69BC-4A07-80FB-753C7E8B519E}"/>
            </c:ext>
          </c:extLst>
        </c:ser>
        <c:ser>
          <c:idx val="1"/>
          <c:order val="1"/>
          <c:tx>
            <c:strRef>
              <c:f>'pivot Tables '!$AB$3:$AB$4</c:f>
              <c:strCache>
                <c:ptCount val="1"/>
                <c:pt idx="0">
                  <c:v>Male</c:v>
                </c:pt>
              </c:strCache>
            </c:strRef>
          </c:tx>
          <c:spPr>
            <a:solidFill>
              <a:schemeClr val="accent4">
                <a:tint val="77000"/>
              </a:schemeClr>
            </a:solidFill>
            <a:ln>
              <a:noFill/>
            </a:ln>
            <a:effectLst/>
          </c:spPr>
          <c:invertIfNegative val="0"/>
          <c:cat>
            <c:strRef>
              <c:f>'pivot Tables '!$Z$5:$Z$10</c:f>
              <c:strCache>
                <c:ptCount val="5"/>
                <c:pt idx="0">
                  <c:v>Beauty</c:v>
                </c:pt>
                <c:pt idx="1">
                  <c:v>Clothing</c:v>
                </c:pt>
                <c:pt idx="2">
                  <c:v>Electronics</c:v>
                </c:pt>
                <c:pt idx="3">
                  <c:v>Home</c:v>
                </c:pt>
                <c:pt idx="4">
                  <c:v>Sports</c:v>
                </c:pt>
              </c:strCache>
            </c:strRef>
          </c:cat>
          <c:val>
            <c:numRef>
              <c:f>'pivot Tables '!$AB$5:$AB$10</c:f>
              <c:numCache>
                <c:formatCode>General</c:formatCode>
                <c:ptCount val="5"/>
                <c:pt idx="0">
                  <c:v>175735.69230825125</c:v>
                </c:pt>
                <c:pt idx="1">
                  <c:v>166848.66935777839</c:v>
                </c:pt>
                <c:pt idx="2">
                  <c:v>222031.80359999987</c:v>
                </c:pt>
                <c:pt idx="3">
                  <c:v>231524.55639999986</c:v>
                </c:pt>
                <c:pt idx="4">
                  <c:v>267966.81909999996</c:v>
                </c:pt>
              </c:numCache>
            </c:numRef>
          </c:val>
          <c:extLst>
            <c:ext xmlns:c16="http://schemas.microsoft.com/office/drawing/2014/chart" uri="{C3380CC4-5D6E-409C-BE32-E72D297353CC}">
              <c16:uniqueId val="{00000003-69BC-4A07-80FB-753C7E8B519E}"/>
            </c:ext>
          </c:extLst>
        </c:ser>
        <c:dLbls>
          <c:showLegendKey val="0"/>
          <c:showVal val="0"/>
          <c:showCatName val="0"/>
          <c:showSerName val="0"/>
          <c:showPercent val="0"/>
          <c:showBubbleSize val="0"/>
        </c:dLbls>
        <c:gapWidth val="219"/>
        <c:overlap val="-27"/>
        <c:axId val="94775263"/>
        <c:axId val="2015340656"/>
      </c:barChart>
      <c:catAx>
        <c:axId val="947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40656"/>
        <c:crosses val="autoZero"/>
        <c:auto val="1"/>
        <c:lblAlgn val="ctr"/>
        <c:lblOffset val="100"/>
        <c:noMultiLvlLbl val="0"/>
      </c:catAx>
      <c:valAx>
        <c:axId val="201534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'!$AI$4</c:f>
              <c:strCache>
                <c:ptCount val="1"/>
                <c:pt idx="0">
                  <c:v>Total</c:v>
                </c:pt>
              </c:strCache>
            </c:strRef>
          </c:tx>
          <c:spPr>
            <a:solidFill>
              <a:schemeClr val="accent4"/>
            </a:solidFill>
            <a:ln>
              <a:noFill/>
            </a:ln>
            <a:effectLst/>
          </c:spPr>
          <c:invertIfNegative val="0"/>
          <c:cat>
            <c:strRef>
              <c:f>'pivot Tables '!$AH$5:$AH$9</c:f>
              <c:strCache>
                <c:ptCount val="4"/>
                <c:pt idx="0">
                  <c:v>East</c:v>
                </c:pt>
                <c:pt idx="1">
                  <c:v>North</c:v>
                </c:pt>
                <c:pt idx="2">
                  <c:v>South</c:v>
                </c:pt>
                <c:pt idx="3">
                  <c:v>West</c:v>
                </c:pt>
              </c:strCache>
            </c:strRef>
          </c:cat>
          <c:val>
            <c:numRef>
              <c:f>'pivot Tables '!$AI$5:$AI$9</c:f>
              <c:numCache>
                <c:formatCode>General</c:formatCode>
                <c:ptCount val="4"/>
                <c:pt idx="0">
                  <c:v>199672.35180000015</c:v>
                </c:pt>
                <c:pt idx="1">
                  <c:v>1380704.5224773686</c:v>
                </c:pt>
                <c:pt idx="2">
                  <c:v>435916.67190000013</c:v>
                </c:pt>
                <c:pt idx="3">
                  <c:v>158971.46239999999</c:v>
                </c:pt>
              </c:numCache>
            </c:numRef>
          </c:val>
          <c:extLst>
            <c:ext xmlns:c16="http://schemas.microsoft.com/office/drawing/2014/chart" uri="{C3380CC4-5D6E-409C-BE32-E72D297353CC}">
              <c16:uniqueId val="{00000000-40E8-409B-896D-BFFF69D63F8E}"/>
            </c:ext>
          </c:extLst>
        </c:ser>
        <c:dLbls>
          <c:showLegendKey val="0"/>
          <c:showVal val="0"/>
          <c:showCatName val="0"/>
          <c:showSerName val="0"/>
          <c:showPercent val="0"/>
          <c:showBubbleSize val="0"/>
        </c:dLbls>
        <c:gapWidth val="182"/>
        <c:axId val="21012335"/>
        <c:axId val="2015268176"/>
      </c:barChart>
      <c:catAx>
        <c:axId val="2101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68176"/>
        <c:crosses val="autoZero"/>
        <c:auto val="1"/>
        <c:lblAlgn val="ctr"/>
        <c:lblOffset val="100"/>
        <c:noMultiLvlLbl val="0"/>
      </c:catAx>
      <c:valAx>
        <c:axId val="201526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olidFill>
          <a:ln>
            <a:noFill/>
          </a:ln>
          <a:effectLst>
            <a:outerShdw blurRad="254000" sx="102000" sy="102000" algn="ctr" rotWithShape="0">
              <a:prstClr val="black">
                <a:alpha val="20000"/>
              </a:prstClr>
            </a:outerShdw>
          </a:effectLst>
        </c:spPr>
      </c:pivotFmt>
      <c:pivotFmt>
        <c:idx val="9"/>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'!$P$2</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F1-4E5B-AF67-B4436CC87A21}"/>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1F1-4E5B-AF67-B4436CC87A21}"/>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1F1-4E5B-AF67-B4436CC87A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'!$O$3:$O$6</c:f>
              <c:strCache>
                <c:ptCount val="3"/>
                <c:pt idx="0">
                  <c:v>2023</c:v>
                </c:pt>
                <c:pt idx="1">
                  <c:v>2024</c:v>
                </c:pt>
                <c:pt idx="2">
                  <c:v>2025</c:v>
                </c:pt>
              </c:strCache>
            </c:strRef>
          </c:cat>
          <c:val>
            <c:numRef>
              <c:f>'pivot Tables '!$P$3:$P$6</c:f>
              <c:numCache>
                <c:formatCode>General</c:formatCode>
                <c:ptCount val="3"/>
                <c:pt idx="0">
                  <c:v>224167.88882377226</c:v>
                </c:pt>
                <c:pt idx="1">
                  <c:v>1093875.323011338</c:v>
                </c:pt>
                <c:pt idx="2">
                  <c:v>857221.79674225789</c:v>
                </c:pt>
              </c:numCache>
            </c:numRef>
          </c:val>
          <c:extLst>
            <c:ext xmlns:c16="http://schemas.microsoft.com/office/drawing/2014/chart" uri="{C3380CC4-5D6E-409C-BE32-E72D297353CC}">
              <c16:uniqueId val="{0000000C-31F1-4E5B-AF67-B4436CC87A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!PivotTable21</c:name>
    <c:fmtId val="1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9808553342599"/>
          <c:y val="0.46365164746229548"/>
          <c:w val="0.55380191446657401"/>
          <c:h val="0.43300782035976337"/>
        </c:manualLayout>
      </c:layout>
      <c:lineChart>
        <c:grouping val="standard"/>
        <c:varyColors val="0"/>
        <c:ser>
          <c:idx val="0"/>
          <c:order val="0"/>
          <c:tx>
            <c:strRef>
              <c:f>'pivot Tables '!$U$3</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'pivot Tables '!$T$4:$T$7</c:f>
              <c:strCache>
                <c:ptCount val="3"/>
                <c:pt idx="0">
                  <c:v>COD</c:v>
                </c:pt>
                <c:pt idx="1">
                  <c:v>Credit Card</c:v>
                </c:pt>
                <c:pt idx="2">
                  <c:v>PayPal</c:v>
                </c:pt>
              </c:strCache>
            </c:strRef>
          </c:cat>
          <c:val>
            <c:numRef>
              <c:f>'pivot Tables '!$U$4:$U$7</c:f>
              <c:numCache>
                <c:formatCode>General</c:formatCode>
                <c:ptCount val="3"/>
                <c:pt idx="0">
                  <c:v>703703.33943202347</c:v>
                </c:pt>
                <c:pt idx="1">
                  <c:v>714843.56993400666</c:v>
                </c:pt>
                <c:pt idx="2">
                  <c:v>756718.09921133844</c:v>
                </c:pt>
              </c:numCache>
            </c:numRef>
          </c:val>
          <c:smooth val="0"/>
          <c:extLst>
            <c:ext xmlns:c16="http://schemas.microsoft.com/office/drawing/2014/chart" uri="{C3380CC4-5D6E-409C-BE32-E72D297353CC}">
              <c16:uniqueId val="{00000000-5D93-40DE-858F-97B552602B5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1097728"/>
        <c:axId val="2015278256"/>
      </c:lineChart>
      <c:catAx>
        <c:axId val="21210977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15278256"/>
        <c:crosses val="autoZero"/>
        <c:auto val="1"/>
        <c:lblAlgn val="ctr"/>
        <c:lblOffset val="100"/>
        <c:noMultiLvlLbl val="0"/>
      </c:catAx>
      <c:valAx>
        <c:axId val="201527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10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!PivotTable24</c:name>
    <c:fmtId val="8"/>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'!$AA$3:$AA$4</c:f>
              <c:strCache>
                <c:ptCount val="1"/>
                <c:pt idx="0">
                  <c:v>Female</c:v>
                </c:pt>
              </c:strCache>
            </c:strRef>
          </c:tx>
          <c:spPr>
            <a:solidFill>
              <a:schemeClr val="accent4">
                <a:shade val="76000"/>
              </a:schemeClr>
            </a:solidFill>
            <a:ln>
              <a:noFill/>
            </a:ln>
            <a:effectLst/>
          </c:spPr>
          <c:invertIfNegative val="0"/>
          <c:cat>
            <c:strRef>
              <c:f>'pivot Tables '!$Z$5:$Z$10</c:f>
              <c:strCache>
                <c:ptCount val="5"/>
                <c:pt idx="0">
                  <c:v>Beauty</c:v>
                </c:pt>
                <c:pt idx="1">
                  <c:v>Clothing</c:v>
                </c:pt>
                <c:pt idx="2">
                  <c:v>Electronics</c:v>
                </c:pt>
                <c:pt idx="3">
                  <c:v>Home</c:v>
                </c:pt>
                <c:pt idx="4">
                  <c:v>Sports</c:v>
                </c:pt>
              </c:strCache>
            </c:strRef>
          </c:cat>
          <c:val>
            <c:numRef>
              <c:f>'pivot Tables '!$AA$5:$AA$10</c:f>
              <c:numCache>
                <c:formatCode>General</c:formatCode>
                <c:ptCount val="5"/>
                <c:pt idx="0">
                  <c:v>180344.28020000001</c:v>
                </c:pt>
                <c:pt idx="1">
                  <c:v>155935.59120000008</c:v>
                </c:pt>
                <c:pt idx="2">
                  <c:v>281133.03879999998</c:v>
                </c:pt>
                <c:pt idx="3">
                  <c:v>217025.2637000001</c:v>
                </c:pt>
                <c:pt idx="4">
                  <c:v>276719.29391133855</c:v>
                </c:pt>
              </c:numCache>
            </c:numRef>
          </c:val>
          <c:extLst>
            <c:ext xmlns:c16="http://schemas.microsoft.com/office/drawing/2014/chart" uri="{C3380CC4-5D6E-409C-BE32-E72D297353CC}">
              <c16:uniqueId val="{00000000-05B0-40E3-AB4C-C0DF250FF929}"/>
            </c:ext>
          </c:extLst>
        </c:ser>
        <c:ser>
          <c:idx val="1"/>
          <c:order val="1"/>
          <c:tx>
            <c:strRef>
              <c:f>'pivot Tables '!$AB$3:$AB$4</c:f>
              <c:strCache>
                <c:ptCount val="1"/>
                <c:pt idx="0">
                  <c:v>Male</c:v>
                </c:pt>
              </c:strCache>
            </c:strRef>
          </c:tx>
          <c:spPr>
            <a:solidFill>
              <a:schemeClr val="accent4">
                <a:tint val="77000"/>
              </a:schemeClr>
            </a:solidFill>
            <a:ln>
              <a:noFill/>
            </a:ln>
            <a:effectLst/>
          </c:spPr>
          <c:invertIfNegative val="0"/>
          <c:cat>
            <c:strRef>
              <c:f>'pivot Tables '!$Z$5:$Z$10</c:f>
              <c:strCache>
                <c:ptCount val="5"/>
                <c:pt idx="0">
                  <c:v>Beauty</c:v>
                </c:pt>
                <c:pt idx="1">
                  <c:v>Clothing</c:v>
                </c:pt>
                <c:pt idx="2">
                  <c:v>Electronics</c:v>
                </c:pt>
                <c:pt idx="3">
                  <c:v>Home</c:v>
                </c:pt>
                <c:pt idx="4">
                  <c:v>Sports</c:v>
                </c:pt>
              </c:strCache>
            </c:strRef>
          </c:cat>
          <c:val>
            <c:numRef>
              <c:f>'pivot Tables '!$AB$5:$AB$10</c:f>
              <c:numCache>
                <c:formatCode>General</c:formatCode>
                <c:ptCount val="5"/>
                <c:pt idx="0">
                  <c:v>175735.69230825125</c:v>
                </c:pt>
                <c:pt idx="1">
                  <c:v>166848.66935777839</c:v>
                </c:pt>
                <c:pt idx="2">
                  <c:v>222031.80359999987</c:v>
                </c:pt>
                <c:pt idx="3">
                  <c:v>231524.55639999986</c:v>
                </c:pt>
                <c:pt idx="4">
                  <c:v>267966.81909999996</c:v>
                </c:pt>
              </c:numCache>
            </c:numRef>
          </c:val>
          <c:extLst>
            <c:ext xmlns:c16="http://schemas.microsoft.com/office/drawing/2014/chart" uri="{C3380CC4-5D6E-409C-BE32-E72D297353CC}">
              <c16:uniqueId val="{00000003-05B0-40E3-AB4C-C0DF250FF929}"/>
            </c:ext>
          </c:extLst>
        </c:ser>
        <c:dLbls>
          <c:showLegendKey val="0"/>
          <c:showVal val="0"/>
          <c:showCatName val="0"/>
          <c:showSerName val="0"/>
          <c:showPercent val="0"/>
          <c:showBubbleSize val="0"/>
        </c:dLbls>
        <c:gapWidth val="219"/>
        <c:overlap val="-27"/>
        <c:axId val="94775263"/>
        <c:axId val="2015340656"/>
      </c:barChart>
      <c:catAx>
        <c:axId val="947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40656"/>
        <c:crosses val="autoZero"/>
        <c:auto val="1"/>
        <c:lblAlgn val="ctr"/>
        <c:lblOffset val="100"/>
        <c:noMultiLvlLbl val="0"/>
      </c:catAx>
      <c:valAx>
        <c:axId val="201534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Excel 1.xlsx]pivot Tables !PivotTable25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'!$AI$4</c:f>
              <c:strCache>
                <c:ptCount val="1"/>
                <c:pt idx="0">
                  <c:v>Total</c:v>
                </c:pt>
              </c:strCache>
            </c:strRef>
          </c:tx>
          <c:spPr>
            <a:solidFill>
              <a:schemeClr val="accent4"/>
            </a:solidFill>
            <a:ln>
              <a:noFill/>
            </a:ln>
            <a:effectLst/>
          </c:spPr>
          <c:invertIfNegative val="0"/>
          <c:cat>
            <c:strRef>
              <c:f>'pivot Tables '!$AH$5:$AH$9</c:f>
              <c:strCache>
                <c:ptCount val="4"/>
                <c:pt idx="0">
                  <c:v>East</c:v>
                </c:pt>
                <c:pt idx="1">
                  <c:v>North</c:v>
                </c:pt>
                <c:pt idx="2">
                  <c:v>South</c:v>
                </c:pt>
                <c:pt idx="3">
                  <c:v>West</c:v>
                </c:pt>
              </c:strCache>
            </c:strRef>
          </c:cat>
          <c:val>
            <c:numRef>
              <c:f>'pivot Tables '!$AI$5:$AI$9</c:f>
              <c:numCache>
                <c:formatCode>General</c:formatCode>
                <c:ptCount val="4"/>
                <c:pt idx="0">
                  <c:v>199672.35180000015</c:v>
                </c:pt>
                <c:pt idx="1">
                  <c:v>1380704.5224773686</c:v>
                </c:pt>
                <c:pt idx="2">
                  <c:v>435916.67190000013</c:v>
                </c:pt>
                <c:pt idx="3">
                  <c:v>158971.46239999999</c:v>
                </c:pt>
              </c:numCache>
            </c:numRef>
          </c:val>
          <c:extLst>
            <c:ext xmlns:c16="http://schemas.microsoft.com/office/drawing/2014/chart" uri="{C3380CC4-5D6E-409C-BE32-E72D297353CC}">
              <c16:uniqueId val="{00000000-5717-4AE2-96EE-0BBD0B8D54DB}"/>
            </c:ext>
          </c:extLst>
        </c:ser>
        <c:dLbls>
          <c:showLegendKey val="0"/>
          <c:showVal val="0"/>
          <c:showCatName val="0"/>
          <c:showSerName val="0"/>
          <c:showPercent val="0"/>
          <c:showBubbleSize val="0"/>
        </c:dLbls>
        <c:gapWidth val="182"/>
        <c:axId val="21012335"/>
        <c:axId val="2015268176"/>
      </c:barChart>
      <c:catAx>
        <c:axId val="2101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68176"/>
        <c:crosses val="autoZero"/>
        <c:auto val="1"/>
        <c:lblAlgn val="ctr"/>
        <c:lblOffset val="100"/>
        <c:noMultiLvlLbl val="0"/>
      </c:catAx>
      <c:valAx>
        <c:axId val="201526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size">
        <cx:f dir="row">_xlchart.v1.8</cx:f>
      </cx:numDim>
    </cx:data>
  </cx:chartData>
  <cx:chart>
    <cx:plotArea>
      <cx:plotAreaRegion>
        <cx:series layoutId="sunburst" uniqueId="{00000000-F6A5-49EA-8A78-82E56530902A}">
          <cx:tx>
            <cx:txData>
              <cx:f>_xlchart.v1.10</cx:f>
              <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waterfall" uniqueId="{00000000-7FB6-48EE-8A0B-B24C5E5B5FD4}" formatIdx="0">
          <cx:tx>
            <cx:txData>
              <cx:f>_xlchart.v1.0</cx:f>
              <cx:v>Row Labels</cx:v>
            </cx:txData>
          </cx:tx>
          <cx:dataLabels pos="outEnd">
            <cx:visibility seriesName="0" categoryName="0" value="1"/>
          </cx:dataLabels>
          <cx:dataId val="0"/>
          <cx:layoutPr>
            <cx:subtotals/>
          </cx:layoutPr>
        </cx:series>
        <cx:series layoutId="waterfall" hidden="1" uniqueId="{00000001-7FB6-48EE-8A0B-B24C5E5B5FD4}" formatIdx="1">
          <cx:tx>
            <cx:txData>
              <cx:f>_xlchart.v1.2</cx:f>
              <cx:v>Sum of Total_Amount</cx:v>
            </cx:txData>
          </cx:tx>
          <cx:dataLabels pos="outEnd">
            <cx:visibility seriesName="0" categoryName="0" value="1"/>
          </cx:dataLabels>
          <cx:dataId val="1"/>
          <cx:layoutPr>
            <cx:subtotals/>
          </cx:layoutPr>
        </cx:series>
      </cx:plotAreaRegion>
      <cx:axis id="0">
        <cx:catScaling gapWidth="0.5"/>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0</xdr:colOff>
      <xdr:row>12</xdr:row>
      <xdr:rowOff>57150</xdr:rowOff>
    </xdr:from>
    <xdr:to>
      <xdr:col>16</xdr:col>
      <xdr:colOff>327660</xdr:colOff>
      <xdr:row>23</xdr:row>
      <xdr:rowOff>121920</xdr:rowOff>
    </xdr:to>
    <xdr:graphicFrame macro="">
      <xdr:nvGraphicFramePr>
        <xdr:cNvPr id="8" name="Chart 7">
          <a:extLst>
            <a:ext uri="{FF2B5EF4-FFF2-40B4-BE49-F238E27FC236}">
              <a16:creationId xmlns:a16="http://schemas.microsoft.com/office/drawing/2014/main" id="{BAF6A46A-BA48-713A-AD59-60BA5CE41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5</xdr:row>
      <xdr:rowOff>99060</xdr:rowOff>
    </xdr:from>
    <xdr:to>
      <xdr:col>15</xdr:col>
      <xdr:colOff>685800</xdr:colOff>
      <xdr:row>12</xdr:row>
      <xdr:rowOff>0</xdr:rowOff>
    </xdr:to>
    <mc:AlternateContent xmlns:mc="http://schemas.openxmlformats.org/markup-compatibility/2006">
      <mc:Choice xmlns:a14="http://schemas.microsoft.com/office/drawing/2010/main" Requires="a14">
        <xdr:graphicFrame macro="">
          <xdr:nvGraphicFramePr>
            <xdr:cNvPr id="9" name="Years (Order_Date)">
              <a:extLst>
                <a:ext uri="{FF2B5EF4-FFF2-40B4-BE49-F238E27FC236}">
                  <a16:creationId xmlns:a16="http://schemas.microsoft.com/office/drawing/2014/main" id="{B84C8F6E-407E-A343-EE55-C010BF073195}"/>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0416540" y="102870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7</xdr:row>
      <xdr:rowOff>93345</xdr:rowOff>
    </xdr:from>
    <xdr:to>
      <xdr:col>20</xdr:col>
      <xdr:colOff>967740</xdr:colOff>
      <xdr:row>21</xdr:row>
      <xdr:rowOff>0</xdr:rowOff>
    </xdr:to>
    <mc:AlternateContent xmlns:mc="http://schemas.openxmlformats.org/markup-compatibility/2006">
      <mc:Choice xmlns:a14="http://schemas.microsoft.com/office/drawing/2010/main" Requires="a14">
        <xdr:graphicFrame macro="">
          <xdr:nvGraphicFramePr>
            <xdr:cNvPr id="10" name="Payment_Type">
              <a:extLst>
                <a:ext uri="{FF2B5EF4-FFF2-40B4-BE49-F238E27FC236}">
                  <a16:creationId xmlns:a16="http://schemas.microsoft.com/office/drawing/2014/main" id="{CE97954B-2C11-FDC1-B97C-8CDD74BF04DC}"/>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5621000" y="13887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205740</xdr:colOff>
      <xdr:row>16</xdr:row>
      <xdr:rowOff>0</xdr:rowOff>
    </xdr:from>
    <xdr:to>
      <xdr:col>21</xdr:col>
      <xdr:colOff>0</xdr:colOff>
      <xdr:row>29</xdr:row>
      <xdr:rowOff>131445</xdr:rowOff>
    </xdr:to>
    <xdr:graphicFrame macro="">
      <xdr:nvGraphicFramePr>
        <xdr:cNvPr id="12" name="Chart 11">
          <a:extLst>
            <a:ext uri="{FF2B5EF4-FFF2-40B4-BE49-F238E27FC236}">
              <a16:creationId xmlns:a16="http://schemas.microsoft.com/office/drawing/2014/main" id="{BBBD3F69-6514-772A-C332-04949031C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22860</xdr:colOff>
      <xdr:row>10</xdr:row>
      <xdr:rowOff>152400</xdr:rowOff>
    </xdr:from>
    <xdr:to>
      <xdr:col>26</xdr:col>
      <xdr:colOff>495300</xdr:colOff>
      <xdr:row>17</xdr:row>
      <xdr:rowOff>59055</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CA04647E-D6FA-9192-5E5E-B5CB16C71A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833080" y="1996440"/>
              <a:ext cx="1828800" cy="1186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487680</xdr:colOff>
      <xdr:row>7</xdr:row>
      <xdr:rowOff>34290</xdr:rowOff>
    </xdr:from>
    <xdr:to>
      <xdr:col>26</xdr:col>
      <xdr:colOff>731520</xdr:colOff>
      <xdr:row>22</xdr:row>
      <xdr:rowOff>34290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F5986D5-CDC4-459D-C0DC-F87FC6C640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326100" y="13296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0</xdr:colOff>
      <xdr:row>8</xdr:row>
      <xdr:rowOff>0</xdr:rowOff>
    </xdr:from>
    <xdr:to>
      <xdr:col>26</xdr:col>
      <xdr:colOff>731520</xdr:colOff>
      <xdr:row>22</xdr:row>
      <xdr:rowOff>34290</xdr:rowOff>
    </xdr:to>
    <xdr:graphicFrame macro="">
      <xdr:nvGraphicFramePr>
        <xdr:cNvPr id="15" name="Chart 14">
          <a:extLst>
            <a:ext uri="{FF2B5EF4-FFF2-40B4-BE49-F238E27FC236}">
              <a16:creationId xmlns:a16="http://schemas.microsoft.com/office/drawing/2014/main" id="{2234D772-DAA2-6B2E-8429-CCF000211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0</xdr:colOff>
      <xdr:row>9</xdr:row>
      <xdr:rowOff>139066</xdr:rowOff>
    </xdr:from>
    <xdr:to>
      <xdr:col>34</xdr:col>
      <xdr:colOff>967740</xdr:colOff>
      <xdr:row>17</xdr:row>
      <xdr:rowOff>59056</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4144A846-8727-4BD9-0DBB-34C2C8B4AA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736800" y="1800226"/>
              <a:ext cx="1828800" cy="1383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472440</xdr:colOff>
      <xdr:row>7</xdr:row>
      <xdr:rowOff>34290</xdr:rowOff>
    </xdr:from>
    <xdr:to>
      <xdr:col>25</xdr:col>
      <xdr:colOff>518159</xdr:colOff>
      <xdr:row>9</xdr:row>
      <xdr:rowOff>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057BB55-5801-79B8-575B-250BEC143A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282660" y="1329690"/>
              <a:ext cx="45719" cy="331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457200</xdr:colOff>
      <xdr:row>5</xdr:row>
      <xdr:rowOff>68580</xdr:rowOff>
    </xdr:from>
    <xdr:to>
      <xdr:col>41</xdr:col>
      <xdr:colOff>601980</xdr:colOff>
      <xdr:row>18</xdr:row>
      <xdr:rowOff>95250</xdr:rowOff>
    </xdr:to>
    <xdr:graphicFrame macro="">
      <xdr:nvGraphicFramePr>
        <xdr:cNvPr id="19" name="Chart 18">
          <a:extLst>
            <a:ext uri="{FF2B5EF4-FFF2-40B4-BE49-F238E27FC236}">
              <a16:creationId xmlns:a16="http://schemas.microsoft.com/office/drawing/2014/main" id="{BF592E53-0E1F-6449-3595-39C55A099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586740</xdr:colOff>
      <xdr:row>25</xdr:row>
      <xdr:rowOff>0</xdr:rowOff>
    </xdr:to>
    <xdr:sp macro="" textlink="">
      <xdr:nvSpPr>
        <xdr:cNvPr id="2" name="Rectangle 1">
          <a:extLst>
            <a:ext uri="{FF2B5EF4-FFF2-40B4-BE49-F238E27FC236}">
              <a16:creationId xmlns:a16="http://schemas.microsoft.com/office/drawing/2014/main" id="{9C0F0F83-5699-38AA-8860-31370CCC02E9}"/>
            </a:ext>
          </a:extLst>
        </xdr:cNvPr>
        <xdr:cNvSpPr/>
      </xdr:nvSpPr>
      <xdr:spPr>
        <a:xfrm>
          <a:off x="0" y="0"/>
          <a:ext cx="12169140" cy="4572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396240</xdr:colOff>
      <xdr:row>0</xdr:row>
      <xdr:rowOff>0</xdr:rowOff>
    </xdr:from>
    <xdr:to>
      <xdr:col>6</xdr:col>
      <xdr:colOff>396240</xdr:colOff>
      <xdr:row>6</xdr:row>
      <xdr:rowOff>83820</xdr:rowOff>
    </xdr:to>
    <mc:AlternateContent xmlns:mc="http://schemas.openxmlformats.org/markup-compatibility/2006">
      <mc:Choice xmlns:a14="http://schemas.microsoft.com/office/drawing/2010/main" Requires="a14">
        <xdr:graphicFrame macro="">
          <xdr:nvGraphicFramePr>
            <xdr:cNvPr id="3" name="Years (Order_Date) 1">
              <a:extLst>
                <a:ext uri="{FF2B5EF4-FFF2-40B4-BE49-F238E27FC236}">
                  <a16:creationId xmlns:a16="http://schemas.microsoft.com/office/drawing/2014/main" id="{62C5C040-1EEE-4553-9F01-A30E8A8B8E4C}"/>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2225040" y="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0</xdr:row>
      <xdr:rowOff>129540</xdr:rowOff>
    </xdr:from>
    <xdr:to>
      <xdr:col>3</xdr:col>
      <xdr:colOff>396240</xdr:colOff>
      <xdr:row>6</xdr:row>
      <xdr:rowOff>0</xdr:rowOff>
    </xdr:to>
    <xdr:sp macro="" textlink="">
      <xdr:nvSpPr>
        <xdr:cNvPr id="4" name="Rectangle: Rounded Corners 3">
          <a:extLst>
            <a:ext uri="{FF2B5EF4-FFF2-40B4-BE49-F238E27FC236}">
              <a16:creationId xmlns:a16="http://schemas.microsoft.com/office/drawing/2014/main" id="{99B36B3C-F67D-3FBB-F2F0-A64CE4F20BFA}"/>
            </a:ext>
          </a:extLst>
        </xdr:cNvPr>
        <xdr:cNvSpPr/>
      </xdr:nvSpPr>
      <xdr:spPr>
        <a:xfrm>
          <a:off x="213360" y="129540"/>
          <a:ext cx="2011680" cy="96774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IN" sz="1100"/>
            <a:t>       </a:t>
          </a:r>
        </a:p>
        <a:p>
          <a:pPr algn="ctr"/>
          <a:r>
            <a:rPr lang="en-IN" sz="1100" b="0" cap="none" spc="0">
              <a:ln w="0"/>
              <a:solidFill>
                <a:schemeClr val="tx1"/>
              </a:solidFill>
              <a:effectLst>
                <a:outerShdw blurRad="38100" dist="19050" dir="2700000" algn="tl" rotWithShape="0">
                  <a:schemeClr val="dk1">
                    <a:alpha val="40000"/>
                  </a:schemeClr>
                </a:outerShdw>
              </a:effectLst>
            </a:rPr>
            <a:t>       </a:t>
          </a:r>
          <a:r>
            <a:rPr lang="en-IN" sz="1200" b="1" cap="none" spc="0">
              <a:ln w="0"/>
              <a:solidFill>
                <a:schemeClr val="tx1"/>
              </a:solidFill>
              <a:effectLst>
                <a:outerShdw blurRad="38100" dist="19050" dir="2700000" algn="tl" rotWithShape="0">
                  <a:schemeClr val="dk1">
                    <a:alpha val="40000"/>
                  </a:schemeClr>
                </a:outerShdw>
              </a:effectLst>
            </a:rPr>
            <a:t>Sales</a:t>
          </a:r>
          <a:r>
            <a:rPr lang="en-IN" sz="1200" b="1" cap="none" spc="0" baseline="0">
              <a:ln w="0"/>
              <a:solidFill>
                <a:schemeClr val="tx1"/>
              </a:solidFill>
              <a:effectLst>
                <a:outerShdw blurRad="38100" dist="19050" dir="2700000" algn="tl" rotWithShape="0">
                  <a:schemeClr val="dk1">
                    <a:alpha val="40000"/>
                  </a:schemeClr>
                </a:outerShdw>
              </a:effectLst>
            </a:rPr>
            <a:t> Dashboard</a:t>
          </a:r>
          <a:br>
            <a:rPr lang="en-IN" sz="1200" b="1" cap="none" spc="0" baseline="0">
              <a:ln w="0"/>
              <a:solidFill>
                <a:schemeClr val="tx1"/>
              </a:solidFill>
              <a:effectLst>
                <a:outerShdw blurRad="38100" dist="19050" dir="2700000" algn="tl" rotWithShape="0">
                  <a:schemeClr val="dk1">
                    <a:alpha val="40000"/>
                  </a:schemeClr>
                </a:outerShdw>
              </a:effectLst>
            </a:rPr>
          </a:br>
          <a:r>
            <a:rPr lang="en-IN" sz="1200" b="1" cap="none" spc="0" baseline="0">
              <a:ln w="0"/>
              <a:solidFill>
                <a:schemeClr val="tx1"/>
              </a:solidFill>
              <a:effectLst>
                <a:outerShdw blurRad="38100" dist="19050" dir="2700000" algn="tl" rotWithShape="0">
                  <a:schemeClr val="dk1">
                    <a:alpha val="40000"/>
                  </a:schemeClr>
                </a:outerShdw>
              </a:effectLst>
            </a:rPr>
            <a:t>          (2023-2025)</a:t>
          </a:r>
          <a:endParaRPr lang="en-IN"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411480</xdr:colOff>
      <xdr:row>0</xdr:row>
      <xdr:rowOff>129540</xdr:rowOff>
    </xdr:from>
    <xdr:to>
      <xdr:col>13</xdr:col>
      <xdr:colOff>0</xdr:colOff>
      <xdr:row>12</xdr:row>
      <xdr:rowOff>0</xdr:rowOff>
    </xdr:to>
    <xdr:graphicFrame macro="">
      <xdr:nvGraphicFramePr>
        <xdr:cNvPr id="5" name="Chart 4">
          <a:extLst>
            <a:ext uri="{FF2B5EF4-FFF2-40B4-BE49-F238E27FC236}">
              <a16:creationId xmlns:a16="http://schemas.microsoft.com/office/drawing/2014/main" id="{3E51AEE6-82BC-4D31-897F-7ACFA7264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396240</xdr:colOff>
      <xdr:row>6</xdr:row>
      <xdr:rowOff>53340</xdr:rowOff>
    </xdr:from>
    <xdr:to>
      <xdr:col>6</xdr:col>
      <xdr:colOff>396240</xdr:colOff>
      <xdr:row>13</xdr:row>
      <xdr:rowOff>53340</xdr:rowOff>
    </xdr:to>
    <mc:AlternateContent xmlns:mc="http://schemas.openxmlformats.org/markup-compatibility/2006">
      <mc:Choice xmlns:a14="http://schemas.microsoft.com/office/drawing/2010/main" Requires="a14">
        <xdr:graphicFrame macro="">
          <xdr:nvGraphicFramePr>
            <xdr:cNvPr id="6" name="Payment_Type 1">
              <a:extLst>
                <a:ext uri="{FF2B5EF4-FFF2-40B4-BE49-F238E27FC236}">
                  <a16:creationId xmlns:a16="http://schemas.microsoft.com/office/drawing/2014/main" id="{C61E8A70-CCA5-4AED-84E7-BD7FEA7AC374}"/>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2225040" y="115062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0</xdr:row>
      <xdr:rowOff>81915</xdr:rowOff>
    </xdr:from>
    <xdr:to>
      <xdr:col>19</xdr:col>
      <xdr:colOff>137160</xdr:colOff>
      <xdr:row>12</xdr:row>
      <xdr:rowOff>0</xdr:rowOff>
    </xdr:to>
    <xdr:graphicFrame macro="">
      <xdr:nvGraphicFramePr>
        <xdr:cNvPr id="7" name="Chart 6">
          <a:extLst>
            <a:ext uri="{FF2B5EF4-FFF2-40B4-BE49-F238E27FC236}">
              <a16:creationId xmlns:a16="http://schemas.microsoft.com/office/drawing/2014/main" id="{CA51ADA3-822C-47C4-83E5-2CDBB706D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396240</xdr:colOff>
      <xdr:row>13</xdr:row>
      <xdr:rowOff>30480</xdr:rowOff>
    </xdr:from>
    <xdr:to>
      <xdr:col>6</xdr:col>
      <xdr:colOff>396240</xdr:colOff>
      <xdr:row>19</xdr:row>
      <xdr:rowOff>120015</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33E0FFE9-A3ED-4BE0-8969-28049773CD8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225040" y="2407920"/>
              <a:ext cx="1828800" cy="1186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411480</xdr:colOff>
      <xdr:row>12</xdr:row>
      <xdr:rowOff>0</xdr:rowOff>
    </xdr:from>
    <xdr:to>
      <xdr:col>13</xdr:col>
      <xdr:colOff>0</xdr:colOff>
      <xdr:row>23</xdr:row>
      <xdr:rowOff>156210</xdr:rowOff>
    </xdr:to>
    <xdr:graphicFrame macro="">
      <xdr:nvGraphicFramePr>
        <xdr:cNvPr id="9" name="Chart 8">
          <a:extLst>
            <a:ext uri="{FF2B5EF4-FFF2-40B4-BE49-F238E27FC236}">
              <a16:creationId xmlns:a16="http://schemas.microsoft.com/office/drawing/2014/main" id="{D819D4D5-AA98-41C9-80D9-6EE35EE64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11</xdr:row>
      <xdr:rowOff>156210</xdr:rowOff>
    </xdr:from>
    <xdr:to>
      <xdr:col>19</xdr:col>
      <xdr:colOff>144780</xdr:colOff>
      <xdr:row>23</xdr:row>
      <xdr:rowOff>156210</xdr:rowOff>
    </xdr:to>
    <xdr:graphicFrame macro="">
      <xdr:nvGraphicFramePr>
        <xdr:cNvPr id="10" name="Chart 9">
          <a:extLst>
            <a:ext uri="{FF2B5EF4-FFF2-40B4-BE49-F238E27FC236}">
              <a16:creationId xmlns:a16="http://schemas.microsoft.com/office/drawing/2014/main" id="{69391352-74F9-4072-8EC8-E2D3F63DC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396240</xdr:colOff>
      <xdr:row>19</xdr:row>
      <xdr:rowOff>0</xdr:rowOff>
    </xdr:from>
    <xdr:to>
      <xdr:col>6</xdr:col>
      <xdr:colOff>411480</xdr:colOff>
      <xdr:row>24</xdr:row>
      <xdr:rowOff>182879</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EEAFAC20-AA97-469D-9B56-8D69176BBF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25040" y="3474720"/>
              <a:ext cx="184404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588742361113" createdVersion="8" refreshedVersion="8" minRefreshableVersion="3" recordCount="2001" xr:uid="{E1D36D3F-4517-4DA4-BD0D-C751F6522591}">
  <cacheSource type="worksheet">
    <worksheetSource ref="Q1:S1048576" sheet="pivot Tables "/>
  </cacheSource>
  <cacheFields count="5">
    <cacheField name="Order_Date" numFmtId="164">
      <sharedItems containsNonDate="0" containsDate="1" containsString="0" containsBlank="1" minDate="2023-10-14T00:00:00" maxDate="2025-10-14T00:00:00" count="684">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m/>
      </sharedItems>
      <fieldGroup par="4"/>
    </cacheField>
    <cacheField name="Total_Amount" numFmtId="0">
      <sharedItems containsString="0" containsBlank="1" containsNumber="1" minValue="18.459" maxValue="3908.2428"/>
    </cacheField>
    <cacheField name="Months (Order_Date)" numFmtId="0" databaseField="0">
      <fieldGroup base="0">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0">
        <rangePr groupBy="quarters" startDate="2023-10-14T00:00:00" endDate="2025-10-14T00:00:00"/>
        <groupItems count="6">
          <s v="&lt;14-10-2023"/>
          <s v="Qtr1"/>
          <s v="Qtr2"/>
          <s v="Qtr3"/>
          <s v="Qtr4"/>
          <s v="&gt;14-10-2025"/>
        </groupItems>
      </fieldGroup>
    </cacheField>
    <cacheField name="Years (Order_Date)" numFmtId="0" databaseField="0">
      <fieldGroup base="0">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3393780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596327777777" createdVersion="8" refreshedVersion="8" minRefreshableVersion="3" recordCount="2000" xr:uid="{1E0CFBA6-0E5D-4885-8D6E-AA72EC927956}">
  <cacheSource type="worksheet">
    <worksheetSource name="Table11"/>
  </cacheSource>
  <cacheFields count="2">
    <cacheField name="Payment_Type" numFmtId="0">
      <sharedItems count="3">
        <s v="Credit Card"/>
        <s v="PayPal"/>
        <s v="COD"/>
      </sharedItems>
    </cacheField>
    <cacheField name="Total_Amount" numFmtId="0">
      <sharedItems containsSemiMixedTypes="0" containsString="0" containsNumber="1" minValue="18.459" maxValue="3908.2428"/>
    </cacheField>
  </cacheFields>
  <extLst>
    <ext xmlns:x14="http://schemas.microsoft.com/office/spreadsheetml/2009/9/main" uri="{725AE2AE-9491-48be-B2B4-4EB974FC3084}">
      <x14:pivotCacheDefinition pivotCacheId="5608755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600871064817" createdVersion="8" refreshedVersion="8" minRefreshableVersion="3" recordCount="2000" xr:uid="{5654B272-7D96-406D-A747-583662577BE1}">
  <cacheSource type="worksheet">
    <worksheetSource name="Table12"/>
  </cacheSource>
  <cacheFields count="3">
    <cacheField name="Gender" numFmtId="0">
      <sharedItems count="2">
        <s v="Female"/>
        <s v="Male"/>
      </sharedItems>
    </cacheField>
    <cacheField name="Category" numFmtId="0">
      <sharedItems count="5">
        <s v="Sports"/>
        <s v="Electronics"/>
        <s v="Beauty"/>
        <s v="Home"/>
        <s v="Clothing"/>
      </sharedItems>
    </cacheField>
    <cacheField name="Total_Amount" numFmtId="0">
      <sharedItems containsSemiMixedTypes="0" containsString="0" containsNumber="1" minValue="18.459" maxValue="3908.2428"/>
    </cacheField>
  </cacheFields>
  <extLst>
    <ext xmlns:x14="http://schemas.microsoft.com/office/spreadsheetml/2009/9/main" uri="{725AE2AE-9491-48be-B2B4-4EB974FC3084}">
      <x14:pivotCacheDefinition pivotCacheId="105110293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603828356485" createdVersion="8" refreshedVersion="8" minRefreshableVersion="3" recordCount="2000" xr:uid="{939D2D94-DF7A-4808-ABCC-4F0973177AD7}">
  <cacheSource type="worksheet">
    <worksheetSource name="Table13"/>
  </cacheSource>
  <cacheFields count="2">
    <cacheField name="Total_Amount" numFmtId="0">
      <sharedItems containsSemiMixedTypes="0" containsString="0" containsNumber="1" minValue="18.459" maxValue="3908.2428"/>
    </cacheField>
    <cacheField name="Region" numFmtId="0">
      <sharedItems count="4">
        <s v="North"/>
        <s v="West"/>
        <s v="South"/>
        <s v="East"/>
      </sharedItems>
    </cacheField>
  </cacheFields>
  <extLst>
    <ext xmlns:x14="http://schemas.microsoft.com/office/spreadsheetml/2009/9/main" uri="{725AE2AE-9491-48be-B2B4-4EB974FC3084}">
      <x14:pivotCacheDefinition pivotCacheId="373891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n v="198.41640000000001"/>
  </r>
  <r>
    <x v="1"/>
    <n v="228.7893"/>
  </r>
  <r>
    <x v="2"/>
    <n v="2742.15"/>
  </r>
  <r>
    <x v="3"/>
    <n v="774.0684"/>
  </r>
  <r>
    <x v="4"/>
    <n v="1833.4380000000001"/>
  </r>
  <r>
    <x v="5"/>
    <n v="357.23430000000002"/>
  </r>
  <r>
    <x v="6"/>
    <n v="1335.027"/>
  </r>
  <r>
    <x v="7"/>
    <n v="1054.5612000000001"/>
  </r>
  <r>
    <x v="8"/>
    <n v="1250.6175000000001"/>
  </r>
  <r>
    <x v="9"/>
    <n v="1344.6818000000001"/>
  </r>
  <r>
    <x v="10"/>
    <n v="259.1259"/>
  </r>
  <r>
    <x v="11"/>
    <n v="952.57439999999997"/>
  </r>
  <r>
    <x v="12"/>
    <n v="2552.5367999999999"/>
  </r>
  <r>
    <x v="13"/>
    <n v="443.66"/>
  </r>
  <r>
    <x v="14"/>
    <n v="1145.8548000000001"/>
  </r>
  <r>
    <x v="15"/>
    <n v="2509.4591999999998"/>
  </r>
  <r>
    <x v="16"/>
    <n v="677.97"/>
  </r>
  <r>
    <x v="17"/>
    <n v="774.14260000000002"/>
  </r>
  <r>
    <x v="18"/>
    <n v="838.84500000000003"/>
  </r>
  <r>
    <x v="19"/>
    <n v="1782.4512"/>
  </r>
  <r>
    <x v="20"/>
    <n v="2159.4276"/>
  </r>
  <r>
    <x v="21"/>
    <n v="459.85680000000002"/>
  </r>
  <r>
    <x v="22"/>
    <n v="2850.1122"/>
  </r>
  <r>
    <x v="23"/>
    <n v="661.73760000000004"/>
  </r>
  <r>
    <x v="24"/>
    <n v="216.50399999999999"/>
  </r>
  <r>
    <x v="25"/>
    <n v="2933.3224"/>
  </r>
  <r>
    <x v="26"/>
    <n v="599.65440000000001"/>
  </r>
  <r>
    <x v="27"/>
    <n v="2030.5700999999999"/>
  </r>
  <r>
    <x v="28"/>
    <n v="132.09379999999999"/>
  </r>
  <r>
    <x v="29"/>
    <n v="1535.6780000000001"/>
  </r>
  <r>
    <x v="30"/>
    <n v="373.56060000000002"/>
  </r>
  <r>
    <x v="31"/>
    <n v="288.98239999999998"/>
  </r>
  <r>
    <x v="32"/>
    <n v="1154.8943999999999"/>
  </r>
  <r>
    <x v="33"/>
    <n v="1219.4269999999999"/>
  </r>
  <r>
    <x v="34"/>
    <n v="2148.1212"/>
  </r>
  <r>
    <x v="35"/>
    <n v="354.32639999999998"/>
  </r>
  <r>
    <x v="36"/>
    <n v="1409.9903999999999"/>
  </r>
  <r>
    <x v="37"/>
    <n v="266.65440000000001"/>
  </r>
  <r>
    <x v="38"/>
    <n v="2764.8031999999998"/>
  </r>
  <r>
    <x v="39"/>
    <n v="1105.3432"/>
  </r>
  <r>
    <x v="40"/>
    <n v="1625.3796"/>
  </r>
  <r>
    <x v="41"/>
    <n v="945.21720000000016"/>
  </r>
  <r>
    <x v="42"/>
    <n v="1537.452"/>
  </r>
  <r>
    <x v="43"/>
    <n v="1864.3176000000001"/>
  </r>
  <r>
    <x v="44"/>
    <n v="322.3528"/>
  </r>
  <r>
    <x v="45"/>
    <n v="1050.5039999999999"/>
  </r>
  <r>
    <x v="46"/>
    <n v="393.5686"/>
  </r>
  <r>
    <x v="23"/>
    <n v="116.77079999999999"/>
  </r>
  <r>
    <x v="47"/>
    <n v="372.33359999999999"/>
  </r>
  <r>
    <x v="48"/>
    <n v="707.77440000000013"/>
  </r>
  <r>
    <x v="49"/>
    <n v="190.83600000000001"/>
  </r>
  <r>
    <x v="50"/>
    <n v="169.9854"/>
  </r>
  <r>
    <x v="51"/>
    <n v="486.06330000000003"/>
  </r>
  <r>
    <x v="43"/>
    <n v="783.30449999999996"/>
  </r>
  <r>
    <x v="52"/>
    <n v="1592.4947999999999"/>
  </r>
  <r>
    <x v="53"/>
    <n v="783.59400000000005"/>
  </r>
  <r>
    <x v="54"/>
    <n v="1567.356"/>
  </r>
  <r>
    <x v="55"/>
    <n v="979.43039999999996"/>
  </r>
  <r>
    <x v="56"/>
    <n v="2552.3015999999998"/>
  </r>
  <r>
    <x v="57"/>
    <n v="767.17410000000007"/>
  </r>
  <r>
    <x v="58"/>
    <n v="180.93530000000001"/>
  </r>
  <r>
    <x v="59"/>
    <n v="307.43439999999998"/>
  </r>
  <r>
    <x v="60"/>
    <n v="412.66719999999998"/>
  </r>
  <r>
    <x v="61"/>
    <n v="230.60300000000001"/>
  </r>
  <r>
    <x v="62"/>
    <n v="1088.6371340062115"/>
  </r>
  <r>
    <x v="63"/>
    <n v="1301.9864"/>
  </r>
  <r>
    <x v="64"/>
    <n v="2670.74"/>
  </r>
  <r>
    <x v="65"/>
    <n v="791.33600000000001"/>
  </r>
  <r>
    <x v="66"/>
    <n v="204.93440000000001"/>
  </r>
  <r>
    <x v="67"/>
    <n v="1706.1695999999999"/>
  </r>
  <r>
    <x v="68"/>
    <n v="1087.997808251168"/>
  </r>
  <r>
    <x v="69"/>
    <n v="1243.038"/>
  </r>
  <r>
    <x v="70"/>
    <n v="503.97620000000012"/>
  </r>
  <r>
    <x v="71"/>
    <n v="968.18819999999994"/>
  </r>
  <r>
    <x v="72"/>
    <n v="166.482"/>
  </r>
  <r>
    <x v="73"/>
    <n v="2156.5544"/>
  </r>
  <r>
    <x v="1"/>
    <n v="1029.4649999999999"/>
  </r>
  <r>
    <x v="74"/>
    <n v="502.10860000000002"/>
  </r>
  <r>
    <x v="75"/>
    <n v="1512.924"/>
  </r>
  <r>
    <x v="76"/>
    <n v="289.99450000000002"/>
  </r>
  <r>
    <x v="77"/>
    <n v="415.73379999999997"/>
  </r>
  <r>
    <x v="78"/>
    <n v="272.79750000000001"/>
  </r>
  <r>
    <x v="79"/>
    <n v="1010.2344000000001"/>
  </r>
  <r>
    <x v="80"/>
    <n v="133.4332"/>
  </r>
  <r>
    <x v="76"/>
    <n v="1090.0558237722053"/>
  </r>
  <r>
    <x v="54"/>
    <n v="386.38400000000001"/>
  </r>
  <r>
    <x v="81"/>
    <n v="1943.0927999999999"/>
  </r>
  <r>
    <x v="82"/>
    <n v="2777.4432000000002"/>
  </r>
  <r>
    <x v="83"/>
    <n v="374.66759999999999"/>
  </r>
  <r>
    <x v="84"/>
    <n v="705.78959999999995"/>
  </r>
  <r>
    <x v="85"/>
    <n v="616.21119999999996"/>
  </r>
  <r>
    <x v="86"/>
    <n v="339.27080000000001"/>
  </r>
  <r>
    <x v="87"/>
    <n v="578.11989999999992"/>
  </r>
  <r>
    <x v="88"/>
    <n v="556.78399999999999"/>
  </r>
  <r>
    <x v="89"/>
    <n v="1090.8604113385834"/>
  </r>
  <r>
    <x v="90"/>
    <n v="117.4588"/>
  </r>
  <r>
    <x v="91"/>
    <n v="792.32599999999991"/>
  </r>
  <r>
    <x v="92"/>
    <n v="1669.3068000000001"/>
  </r>
  <r>
    <x v="93"/>
    <n v="1581.2496000000001"/>
  </r>
  <r>
    <x v="94"/>
    <n v="1235.7372"/>
  </r>
  <r>
    <x v="43"/>
    <n v="658.46"/>
  </r>
  <r>
    <x v="95"/>
    <n v="895.30439999999999"/>
  </r>
  <r>
    <x v="25"/>
    <n v="717.25760000000002"/>
  </r>
  <r>
    <x v="96"/>
    <n v="2997.615600000001"/>
  </r>
  <r>
    <x v="97"/>
    <n v="1636.1117999999999"/>
  </r>
  <r>
    <x v="98"/>
    <n v="602.25120000000004"/>
  </r>
  <r>
    <x v="99"/>
    <n v="1605.5052000000001"/>
  </r>
  <r>
    <x v="100"/>
    <n v="2060.3912"/>
  </r>
  <r>
    <x v="101"/>
    <n v="2372.5230000000001"/>
  </r>
  <r>
    <x v="102"/>
    <n v="1027.7357999999999"/>
  </r>
  <r>
    <x v="103"/>
    <n v="882.57440000000008"/>
  </r>
  <r>
    <x v="104"/>
    <n v="1674.5057999999999"/>
  </r>
  <r>
    <x v="105"/>
    <n v="2020.7097000000001"/>
  </r>
  <r>
    <x v="106"/>
    <n v="225.57599999999999"/>
  </r>
  <r>
    <x v="107"/>
    <n v="1388.9190000000001"/>
  </r>
  <r>
    <x v="108"/>
    <n v="3239.3580000000002"/>
  </r>
  <r>
    <x v="109"/>
    <n v="2404.8024"/>
  </r>
  <r>
    <x v="110"/>
    <n v="1007.223"/>
  </r>
  <r>
    <x v="111"/>
    <n v="115.5"/>
  </r>
  <r>
    <x v="112"/>
    <n v="215.14420000000001"/>
  </r>
  <r>
    <x v="113"/>
    <n v="1239.5606"/>
  </r>
  <r>
    <x v="114"/>
    <n v="1245.3119999999999"/>
  </r>
  <r>
    <x v="115"/>
    <n v="379.69920000000002"/>
  </r>
  <r>
    <x v="116"/>
    <n v="893.38200000000006"/>
  </r>
  <r>
    <x v="117"/>
    <n v="70.960000000000008"/>
  </r>
  <r>
    <x v="118"/>
    <n v="803.9944999999999"/>
  </r>
  <r>
    <x v="119"/>
    <n v="926.7263999999999"/>
  </r>
  <r>
    <x v="120"/>
    <n v="2762.1428999999998"/>
  </r>
  <r>
    <x v="121"/>
    <n v="1304.9459999999999"/>
  </r>
  <r>
    <x v="122"/>
    <n v="548.27499999999998"/>
  </r>
  <r>
    <x v="123"/>
    <n v="782.17539999999997"/>
  </r>
  <r>
    <x v="124"/>
    <n v="850.29750000000001"/>
  </r>
  <r>
    <x v="125"/>
    <n v="3306.1392000000001"/>
  </r>
  <r>
    <x v="126"/>
    <n v="496.97340000000003"/>
  </r>
  <r>
    <x v="127"/>
    <n v="273.08879999999999"/>
  </r>
  <r>
    <x v="128"/>
    <n v="1349.0568000000001"/>
  </r>
  <r>
    <x v="129"/>
    <n v="2471.6376"/>
  </r>
  <r>
    <x v="130"/>
    <n v="201.59700000000001"/>
  </r>
  <r>
    <x v="53"/>
    <n v="641.73599999999999"/>
  </r>
  <r>
    <x v="131"/>
    <n v="2147.5500000000002"/>
  </r>
  <r>
    <x v="65"/>
    <n v="948.12300000000005"/>
  </r>
  <r>
    <x v="132"/>
    <n v="372.923"/>
  </r>
  <r>
    <x v="133"/>
    <n v="1443.7103999999999"/>
  </r>
  <r>
    <x v="119"/>
    <n v="1278.3407999999999"/>
  </r>
  <r>
    <x v="134"/>
    <n v="540.90719999999999"/>
  </r>
  <r>
    <x v="135"/>
    <n v="977.04880000000014"/>
  </r>
  <r>
    <x v="71"/>
    <n v="1753.23"/>
  </r>
  <r>
    <x v="136"/>
    <n v="562.32820000000004"/>
  </r>
  <r>
    <x v="35"/>
    <n v="475.9819"/>
  </r>
  <r>
    <x v="137"/>
    <n v="1432.2744"/>
  </r>
  <r>
    <x v="138"/>
    <n v="1194.9503999999999"/>
  </r>
  <r>
    <x v="139"/>
    <n v="1584.7840000000001"/>
  </r>
  <r>
    <x v="104"/>
    <n v="193.55719999999999"/>
  </r>
  <r>
    <x v="140"/>
    <n v="1491.7896000000001"/>
  </r>
  <r>
    <x v="141"/>
    <n v="300.2022"/>
  </r>
  <r>
    <x v="142"/>
    <n v="3077.5992000000001"/>
  </r>
  <r>
    <x v="143"/>
    <n v="1843.04"/>
  </r>
  <r>
    <x v="144"/>
    <n v="79.775999999999996"/>
  </r>
  <r>
    <x v="145"/>
    <n v="93.909199999999998"/>
  </r>
  <r>
    <x v="146"/>
    <n v="193.1234"/>
  </r>
  <r>
    <x v="147"/>
    <n v="1084.6812"/>
  </r>
  <r>
    <x v="148"/>
    <n v="455.60099999999989"/>
  </r>
  <r>
    <x v="149"/>
    <n v="952.84559999999999"/>
  </r>
  <r>
    <x v="103"/>
    <n v="473.66070000000002"/>
  </r>
  <r>
    <x v="150"/>
    <n v="485.55839999999989"/>
  </r>
  <r>
    <x v="151"/>
    <n v="1741.557"/>
  </r>
  <r>
    <x v="152"/>
    <n v="2343.4616000000001"/>
  </r>
  <r>
    <x v="153"/>
    <n v="1620.8255999999999"/>
  </r>
  <r>
    <x v="55"/>
    <n v="798.55200000000013"/>
  </r>
  <r>
    <x v="154"/>
    <n v="604.41920000000005"/>
  </r>
  <r>
    <x v="155"/>
    <n v="109.5624"/>
  </r>
  <r>
    <x v="156"/>
    <n v="240.5592"/>
  </r>
  <r>
    <x v="157"/>
    <n v="1241.8800000000001"/>
  </r>
  <r>
    <x v="158"/>
    <n v="1068.2460000000001"/>
  </r>
  <r>
    <x v="157"/>
    <n v="2873.864"/>
  </r>
  <r>
    <x v="159"/>
    <n v="1217.1579999999999"/>
  </r>
  <r>
    <x v="160"/>
    <n v="617.29200000000003"/>
  </r>
  <r>
    <x v="161"/>
    <n v="75.84"/>
  </r>
  <r>
    <x v="77"/>
    <n v="2555.64"/>
  </r>
  <r>
    <x v="162"/>
    <n v="762.36819999999989"/>
  </r>
  <r>
    <x v="163"/>
    <n v="2089.8951000000002"/>
  </r>
  <r>
    <x v="27"/>
    <n v="137.49600000000001"/>
  </r>
  <r>
    <x v="164"/>
    <n v="2908.1696000000002"/>
  </r>
  <r>
    <x v="139"/>
    <n v="541.6191"/>
  </r>
  <r>
    <x v="165"/>
    <n v="678.84100000000001"/>
  </r>
  <r>
    <x v="166"/>
    <n v="1301.6094000000001"/>
  </r>
  <r>
    <x v="167"/>
    <n v="968.17919999999992"/>
  </r>
  <r>
    <x v="44"/>
    <n v="1087.6733999999999"/>
  </r>
  <r>
    <x v="168"/>
    <n v="1786.2336"/>
  </r>
  <r>
    <x v="168"/>
    <n v="522.68399999999997"/>
  </r>
  <r>
    <x v="169"/>
    <n v="1146.9390000000001"/>
  </r>
  <r>
    <x v="170"/>
    <n v="780.75299999999993"/>
  </r>
  <r>
    <x v="136"/>
    <n v="922.20749999999987"/>
  </r>
  <r>
    <x v="171"/>
    <n v="263.60719999999998"/>
  </r>
  <r>
    <x v="172"/>
    <n v="2184.5819999999999"/>
  </r>
  <r>
    <x v="63"/>
    <n v="862.51430000000005"/>
  </r>
  <r>
    <x v="173"/>
    <n v="2620.7460000000001"/>
  </r>
  <r>
    <x v="174"/>
    <n v="525.00279999999998"/>
  </r>
  <r>
    <x v="167"/>
    <n v="381.95639999999997"/>
  </r>
  <r>
    <x v="175"/>
    <n v="588.49239999999998"/>
  </r>
  <r>
    <x v="176"/>
    <n v="1661.8032000000001"/>
  </r>
  <r>
    <x v="177"/>
    <n v="752.86199999999997"/>
  </r>
  <r>
    <x v="178"/>
    <n v="1175.2416000000001"/>
  </r>
  <r>
    <x v="179"/>
    <n v="859.7808"/>
  </r>
  <r>
    <x v="180"/>
    <n v="1909.9608000000001"/>
  </r>
  <r>
    <x v="144"/>
    <n v="374.34539999999998"/>
  </r>
  <r>
    <x v="181"/>
    <n v="1146.4795999999999"/>
  </r>
  <r>
    <x v="182"/>
    <n v="125.8389"/>
  </r>
  <r>
    <x v="168"/>
    <n v="3576.0383999999999"/>
  </r>
  <r>
    <x v="183"/>
    <n v="595.97759999999994"/>
  </r>
  <r>
    <x v="184"/>
    <n v="600.97979999999995"/>
  </r>
  <r>
    <x v="185"/>
    <n v="1491.4119000000001"/>
  </r>
  <r>
    <x v="72"/>
    <n v="417.00839999999999"/>
  </r>
  <r>
    <x v="158"/>
    <n v="558.39019999999994"/>
  </r>
  <r>
    <x v="186"/>
    <n v="574.12160000000006"/>
  </r>
  <r>
    <x v="187"/>
    <n v="907.52549999999997"/>
  </r>
  <r>
    <x v="58"/>
    <n v="390.81599999999997"/>
  </r>
  <r>
    <x v="188"/>
    <n v="286.22519999999997"/>
  </r>
  <r>
    <x v="21"/>
    <n v="2281.8532"/>
  </r>
  <r>
    <x v="189"/>
    <n v="295.4504"/>
  </r>
  <r>
    <x v="190"/>
    <n v="1199.3579999999999"/>
  </r>
  <r>
    <x v="148"/>
    <n v="2217.752"/>
  </r>
  <r>
    <x v="0"/>
    <n v="529.8900000000001"/>
  </r>
  <r>
    <x v="191"/>
    <n v="1495.74"/>
  </r>
  <r>
    <x v="192"/>
    <n v="1447.2216000000001"/>
  </r>
  <r>
    <x v="48"/>
    <n v="2532.348"/>
  </r>
  <r>
    <x v="193"/>
    <n v="1825.3248000000001"/>
  </r>
  <r>
    <x v="194"/>
    <n v="1819.7998"/>
  </r>
  <r>
    <x v="195"/>
    <n v="1630.0416"/>
  </r>
  <r>
    <x v="196"/>
    <n v="2123.9856"/>
  </r>
  <r>
    <x v="197"/>
    <n v="1214.6759999999999"/>
  </r>
  <r>
    <x v="198"/>
    <n v="1519.6104"/>
  </r>
  <r>
    <x v="199"/>
    <n v="2416.7087999999999"/>
  </r>
  <r>
    <x v="200"/>
    <n v="940.1484999999999"/>
  </r>
  <r>
    <x v="201"/>
    <n v="348.78480000000002"/>
  </r>
  <r>
    <x v="202"/>
    <n v="672.29899999999998"/>
  </r>
  <r>
    <x v="203"/>
    <n v="1521.7632000000001"/>
  </r>
  <r>
    <x v="204"/>
    <n v="1026.048"/>
  </r>
  <r>
    <x v="205"/>
    <n v="469.60759999999999"/>
  </r>
  <r>
    <x v="206"/>
    <n v="253.09200000000001"/>
  </r>
  <r>
    <x v="207"/>
    <n v="2157.2703000000001"/>
  </r>
  <r>
    <x v="190"/>
    <n v="655.17379999999991"/>
  </r>
  <r>
    <x v="86"/>
    <n v="358.85849999999999"/>
  </r>
  <r>
    <x v="0"/>
    <n v="1365.663"/>
  </r>
  <r>
    <x v="208"/>
    <n v="1303.6895999999999"/>
  </r>
  <r>
    <x v="209"/>
    <n v="641.41"/>
  </r>
  <r>
    <x v="210"/>
    <n v="200.9392"/>
  </r>
  <r>
    <x v="148"/>
    <n v="736.59950000000003"/>
  </r>
  <r>
    <x v="211"/>
    <n v="1422.492"/>
  </r>
  <r>
    <x v="45"/>
    <n v="1341.87"/>
  </r>
  <r>
    <x v="212"/>
    <n v="2290.4243999999999"/>
  </r>
  <r>
    <x v="187"/>
    <n v="3143.84"/>
  </r>
  <r>
    <x v="108"/>
    <n v="494.56799999999998"/>
  </r>
  <r>
    <x v="213"/>
    <n v="403.06560000000002"/>
  </r>
  <r>
    <x v="214"/>
    <n v="1562.9290000000001"/>
  </r>
  <r>
    <x v="215"/>
    <n v="1329.1128000000001"/>
  </r>
  <r>
    <x v="52"/>
    <n v="111.96120000000001"/>
  </r>
  <r>
    <x v="216"/>
    <n v="1060.5816"/>
  </r>
  <r>
    <x v="217"/>
    <n v="180.5814"/>
  </r>
  <r>
    <x v="218"/>
    <n v="589.798"/>
  </r>
  <r>
    <x v="184"/>
    <n v="2176.2280000000001"/>
  </r>
  <r>
    <x v="177"/>
    <n v="3159.0612000000001"/>
  </r>
  <r>
    <x v="219"/>
    <n v="1194.7392"/>
  </r>
  <r>
    <x v="220"/>
    <n v="1481.0512000000001"/>
  </r>
  <r>
    <x v="221"/>
    <n v="2407.2647999999999"/>
  </r>
  <r>
    <x v="222"/>
    <n v="388.5"/>
  </r>
  <r>
    <x v="223"/>
    <n v="2337.75"/>
  </r>
  <r>
    <x v="185"/>
    <n v="692.27"/>
  </r>
  <r>
    <x v="224"/>
    <n v="315.24779999999998"/>
  </r>
  <r>
    <x v="225"/>
    <n v="2599.5947999999999"/>
  </r>
  <r>
    <x v="226"/>
    <n v="1330.0704000000001"/>
  </r>
  <r>
    <x v="178"/>
    <n v="197.68199999999999"/>
  </r>
  <r>
    <x v="227"/>
    <n v="1519.4975999999999"/>
  </r>
  <r>
    <x v="228"/>
    <n v="811.07159999999999"/>
  </r>
  <r>
    <x v="229"/>
    <n v="394.58629999999999"/>
  </r>
  <r>
    <x v="230"/>
    <n v="581.76959999999997"/>
  </r>
  <r>
    <x v="231"/>
    <n v="1212.9007999999999"/>
  </r>
  <r>
    <x v="232"/>
    <n v="1741.5192"/>
  </r>
  <r>
    <x v="104"/>
    <n v="937.4896"/>
  </r>
  <r>
    <x v="233"/>
    <n v="2687.5259999999998"/>
  </r>
  <r>
    <x v="234"/>
    <n v="299.6721"/>
  </r>
  <r>
    <x v="235"/>
    <n v="177.19200000000001"/>
  </r>
  <r>
    <x v="14"/>
    <n v="1568.5425"/>
  </r>
  <r>
    <x v="236"/>
    <n v="346.49400000000003"/>
  </r>
  <r>
    <x v="79"/>
    <n v="442.79050000000001"/>
  </r>
  <r>
    <x v="237"/>
    <n v="553.18960000000004"/>
  </r>
  <r>
    <x v="238"/>
    <n v="2181.4650000000011"/>
  </r>
  <r>
    <x v="69"/>
    <n v="2175.5252"/>
  </r>
  <r>
    <x v="239"/>
    <n v="1504.4760000000001"/>
  </r>
  <r>
    <x v="240"/>
    <n v="154.74359999999999"/>
  </r>
  <r>
    <x v="241"/>
    <n v="1501.152"/>
  </r>
  <r>
    <x v="242"/>
    <n v="480.41250000000002"/>
  </r>
  <r>
    <x v="81"/>
    <n v="491.77100000000002"/>
  </r>
  <r>
    <x v="220"/>
    <n v="425.41759999999999"/>
  </r>
  <r>
    <x v="243"/>
    <n v="378.59399999999999"/>
  </r>
  <r>
    <x v="90"/>
    <n v="1879.05"/>
  </r>
  <r>
    <x v="244"/>
    <n v="356.04399999999998"/>
  </r>
  <r>
    <x v="245"/>
    <n v="1372.2396000000001"/>
  </r>
  <r>
    <x v="246"/>
    <n v="208.25280000000001"/>
  </r>
  <r>
    <x v="196"/>
    <n v="1536.6559999999999"/>
  </r>
  <r>
    <x v="76"/>
    <n v="2703.9888000000001"/>
  </r>
  <r>
    <x v="247"/>
    <n v="1953.1368"/>
  </r>
  <r>
    <x v="248"/>
    <n v="1384.2239999999999"/>
  </r>
  <r>
    <x v="249"/>
    <n v="1283.086"/>
  </r>
  <r>
    <x v="250"/>
    <n v="2062.8696"/>
  </r>
  <r>
    <x v="251"/>
    <n v="2156.6952000000001"/>
  </r>
  <r>
    <x v="252"/>
    <n v="1625.2544"/>
  </r>
  <r>
    <x v="253"/>
    <n v="326.25599999999997"/>
  </r>
  <r>
    <x v="254"/>
    <n v="1475.0916"/>
  </r>
  <r>
    <x v="39"/>
    <n v="1127.0219999999999"/>
  </r>
  <r>
    <x v="255"/>
    <n v="271.28359999999998"/>
  </r>
  <r>
    <x v="252"/>
    <n v="2699.0963999999999"/>
  </r>
  <r>
    <x v="256"/>
    <n v="954.01800000000003"/>
  </r>
  <r>
    <x v="257"/>
    <n v="72.025200000000012"/>
  </r>
  <r>
    <x v="258"/>
    <n v="269.21699999999998"/>
  </r>
  <r>
    <x v="138"/>
    <n v="844.38199999999995"/>
  </r>
  <r>
    <x v="259"/>
    <n v="2873.9969999999989"/>
  </r>
  <r>
    <x v="260"/>
    <n v="330.7824"/>
  </r>
  <r>
    <x v="261"/>
    <n v="199.56780000000001"/>
  </r>
  <r>
    <x v="262"/>
    <n v="218.49100000000001"/>
  </r>
  <r>
    <x v="263"/>
    <n v="1552.9793999999999"/>
  </r>
  <r>
    <x v="264"/>
    <n v="547.17700000000002"/>
  </r>
  <r>
    <x v="265"/>
    <n v="423.62840000000011"/>
  </r>
  <r>
    <x v="184"/>
    <n v="831.92750000000001"/>
  </r>
  <r>
    <x v="266"/>
    <n v="2084.0720000000001"/>
  </r>
  <r>
    <x v="267"/>
    <n v="1018.3302"/>
  </r>
  <r>
    <x v="268"/>
    <n v="1098.6659999999999"/>
  </r>
  <r>
    <x v="269"/>
    <n v="190.54"/>
  </r>
  <r>
    <x v="209"/>
    <n v="1444.212"/>
  </r>
  <r>
    <x v="131"/>
    <n v="71.193599999999989"/>
  </r>
  <r>
    <x v="270"/>
    <n v="750.20309999999995"/>
  </r>
  <r>
    <x v="271"/>
    <n v="65.155000000000001"/>
  </r>
  <r>
    <x v="272"/>
    <n v="1174.2947999999999"/>
  </r>
  <r>
    <x v="99"/>
    <n v="1353.7854"/>
  </r>
  <r>
    <x v="75"/>
    <n v="1042.491"/>
  </r>
  <r>
    <x v="273"/>
    <n v="2799.0720000000001"/>
  </r>
  <r>
    <x v="274"/>
    <n v="2495.4744000000001"/>
  </r>
  <r>
    <x v="275"/>
    <n v="96.25"/>
  </r>
  <r>
    <x v="180"/>
    <n v="346.38"/>
  </r>
  <r>
    <x v="276"/>
    <n v="1032.3599999999999"/>
  </r>
  <r>
    <x v="47"/>
    <n v="2724.4034999999999"/>
  </r>
  <r>
    <x v="277"/>
    <n v="339.37560000000002"/>
  </r>
  <r>
    <x v="278"/>
    <n v="1205.3327999999999"/>
  </r>
  <r>
    <x v="279"/>
    <n v="2312.2568999999999"/>
  </r>
  <r>
    <x v="183"/>
    <n v="817.15500000000009"/>
  </r>
  <r>
    <x v="280"/>
    <n v="1083.7284"/>
  </r>
  <r>
    <x v="192"/>
    <n v="1321.9595999999999"/>
  </r>
  <r>
    <x v="281"/>
    <n v="437.37720000000002"/>
  </r>
  <r>
    <x v="282"/>
    <n v="148.30019999999999"/>
  </r>
  <r>
    <x v="283"/>
    <n v="833.68399999999997"/>
  </r>
  <r>
    <x v="273"/>
    <n v="1589.3951999999999"/>
  </r>
  <r>
    <x v="284"/>
    <n v="2317.1543999999999"/>
  </r>
  <r>
    <x v="285"/>
    <n v="1446.1376"/>
  </r>
  <r>
    <x v="286"/>
    <n v="612.16679999999997"/>
  </r>
  <r>
    <x v="287"/>
    <n v="868.98"/>
  </r>
  <r>
    <x v="288"/>
    <n v="1492.7882"/>
  </r>
  <r>
    <x v="289"/>
    <n v="615.32820000000004"/>
  </r>
  <r>
    <x v="290"/>
    <n v="414.25920000000002"/>
  </r>
  <r>
    <x v="106"/>
    <n v="2019.684"/>
  </r>
  <r>
    <x v="0"/>
    <n v="2199.3449999999998"/>
  </r>
  <r>
    <x v="291"/>
    <n v="2329.7399999999998"/>
  </r>
  <r>
    <x v="171"/>
    <n v="477.65519999999998"/>
  </r>
  <r>
    <x v="241"/>
    <n v="1307.5999999999999"/>
  </r>
  <r>
    <x v="292"/>
    <n v="535.62400000000002"/>
  </r>
  <r>
    <x v="122"/>
    <n v="153.85679999999999"/>
  </r>
  <r>
    <x v="52"/>
    <n v="158.56"/>
  </r>
  <r>
    <x v="293"/>
    <n v="610.11059999999998"/>
  </r>
  <r>
    <x v="294"/>
    <n v="2097.1008000000002"/>
  </r>
  <r>
    <x v="260"/>
    <n v="228.79599999999999"/>
  </r>
  <r>
    <x v="30"/>
    <n v="1002.5028"/>
  </r>
  <r>
    <x v="295"/>
    <n v="583.25200000000007"/>
  </r>
  <r>
    <x v="296"/>
    <n v="594.43550000000005"/>
  </r>
  <r>
    <x v="297"/>
    <n v="331.26280000000003"/>
  </r>
  <r>
    <x v="298"/>
    <n v="1331.91"/>
  </r>
  <r>
    <x v="149"/>
    <n v="456.4948"/>
  </r>
  <r>
    <x v="131"/>
    <n v="303.29640000000001"/>
  </r>
  <r>
    <x v="273"/>
    <n v="2634.0079999999998"/>
  </r>
  <r>
    <x v="299"/>
    <n v="776.50559999999996"/>
  </r>
  <r>
    <x v="300"/>
    <n v="685.34879999999998"/>
  </r>
  <r>
    <x v="269"/>
    <n v="1793.6045999999999"/>
  </r>
  <r>
    <x v="301"/>
    <n v="2051.2539999999999"/>
  </r>
  <r>
    <x v="80"/>
    <n v="959.13239999999985"/>
  </r>
  <r>
    <x v="302"/>
    <n v="104.7144"/>
  </r>
  <r>
    <x v="303"/>
    <n v="127.611"/>
  </r>
  <r>
    <x v="29"/>
    <n v="1193.2704000000001"/>
  </r>
  <r>
    <x v="96"/>
    <n v="3265.2919999999999"/>
  </r>
  <r>
    <x v="138"/>
    <n v="2389.1322"/>
  </r>
  <r>
    <x v="304"/>
    <n v="2847.6208000000001"/>
  </r>
  <r>
    <x v="208"/>
    <n v="598.23900000000003"/>
  </r>
  <r>
    <x v="305"/>
    <n v="1793.2632000000001"/>
  </r>
  <r>
    <x v="177"/>
    <n v="3225.5819999999999"/>
  </r>
  <r>
    <x v="270"/>
    <n v="224.60640000000001"/>
  </r>
  <r>
    <x v="306"/>
    <n v="836.47409999999991"/>
  </r>
  <r>
    <x v="307"/>
    <n v="299.73419999999999"/>
  </r>
  <r>
    <x v="38"/>
    <n v="1810.0827999999999"/>
  </r>
  <r>
    <x v="238"/>
    <n v="972.32960000000003"/>
  </r>
  <r>
    <x v="266"/>
    <n v="2676.6990000000001"/>
  </r>
  <r>
    <x v="308"/>
    <n v="2785.7894999999999"/>
  </r>
  <r>
    <x v="309"/>
    <n v="493.92"/>
  </r>
  <r>
    <x v="140"/>
    <n v="1320.9659999999999"/>
  </r>
  <r>
    <x v="174"/>
    <n v="35.053199999999997"/>
  </r>
  <r>
    <x v="264"/>
    <n v="2266.7328000000002"/>
  </r>
  <r>
    <x v="310"/>
    <n v="723.25439999999992"/>
  </r>
  <r>
    <x v="311"/>
    <n v="2989.0783999999999"/>
  </r>
  <r>
    <x v="123"/>
    <n v="1756.35"/>
  </r>
  <r>
    <x v="312"/>
    <n v="558.86249999999995"/>
  </r>
  <r>
    <x v="313"/>
    <n v="814.74239999999998"/>
  </r>
  <r>
    <x v="314"/>
    <n v="445.80599999999998"/>
  </r>
  <r>
    <x v="180"/>
    <n v="648.29939999999999"/>
  </r>
  <r>
    <x v="315"/>
    <n v="1363.9184"/>
  </r>
  <r>
    <x v="52"/>
    <n v="1245.4304"/>
  </r>
  <r>
    <x v="260"/>
    <n v="693.78300000000002"/>
  </r>
  <r>
    <x v="79"/>
    <n v="1430.6705999999999"/>
  </r>
  <r>
    <x v="198"/>
    <n v="82.513199999999998"/>
  </r>
  <r>
    <x v="193"/>
    <n v="1204.6944000000001"/>
  </r>
  <r>
    <x v="249"/>
    <n v="97.442999999999998"/>
  </r>
  <r>
    <x v="56"/>
    <n v="1325.9992"/>
  </r>
  <r>
    <x v="316"/>
    <n v="829.9606"/>
  </r>
  <r>
    <x v="72"/>
    <n v="2851.3002000000001"/>
  </r>
  <r>
    <x v="317"/>
    <n v="1298.3026"/>
  </r>
  <r>
    <x v="275"/>
    <n v="147.76740000000001"/>
  </r>
  <r>
    <x v="318"/>
    <n v="1176.2550000000001"/>
  </r>
  <r>
    <x v="319"/>
    <n v="175.48249999999999"/>
  </r>
  <r>
    <x v="93"/>
    <n v="570.87099999999998"/>
  </r>
  <r>
    <x v="320"/>
    <n v="592.99919999999997"/>
  </r>
  <r>
    <x v="185"/>
    <n v="419.92"/>
  </r>
  <r>
    <x v="55"/>
    <n v="3412.134"/>
  </r>
  <r>
    <x v="175"/>
    <n v="3111.192"/>
  </r>
  <r>
    <x v="296"/>
    <n v="1111.7945999999999"/>
  </r>
  <r>
    <x v="201"/>
    <n v="587.33360000000005"/>
  </r>
  <r>
    <x v="181"/>
    <n v="837.23609999999985"/>
  </r>
  <r>
    <x v="321"/>
    <n v="1597.624"/>
  </r>
  <r>
    <x v="176"/>
    <n v="1042.3728000000001"/>
  </r>
  <r>
    <x v="322"/>
    <n v="129.4"/>
  </r>
  <r>
    <x v="303"/>
    <n v="1309.4226000000001"/>
  </r>
  <r>
    <x v="69"/>
    <n v="2548.5264000000002"/>
  </r>
  <r>
    <x v="224"/>
    <n v="2721.1183999999998"/>
  </r>
  <r>
    <x v="249"/>
    <n v="1455.2208000000001"/>
  </r>
  <r>
    <x v="323"/>
    <n v="874.91959999999983"/>
  </r>
  <r>
    <x v="161"/>
    <n v="2556.1972000000001"/>
  </r>
  <r>
    <x v="324"/>
    <n v="439.27420000000001"/>
  </r>
  <r>
    <x v="0"/>
    <n v="513.702"/>
  </r>
  <r>
    <x v="308"/>
    <n v="566.21899999999994"/>
  </r>
  <r>
    <x v="71"/>
    <n v="2230.3303999999998"/>
  </r>
  <r>
    <x v="325"/>
    <n v="216.44739999999999"/>
  </r>
  <r>
    <x v="326"/>
    <n v="649.51920000000007"/>
  </r>
  <r>
    <x v="327"/>
    <n v="865.1164"/>
  </r>
  <r>
    <x v="328"/>
    <n v="1394.5596"/>
  </r>
  <r>
    <x v="329"/>
    <n v="810.57139999999993"/>
  </r>
  <r>
    <x v="330"/>
    <n v="1050.2965999999999"/>
  </r>
  <r>
    <x v="323"/>
    <n v="2148.2759999999989"/>
  </r>
  <r>
    <x v="151"/>
    <n v="2952.5216"/>
  </r>
  <r>
    <x v="325"/>
    <n v="773.60919999999999"/>
  </r>
  <r>
    <x v="331"/>
    <n v="1640.0519999999999"/>
  </r>
  <r>
    <x v="332"/>
    <n v="1729.4748"/>
  </r>
  <r>
    <x v="264"/>
    <n v="1372.8879999999999"/>
  </r>
  <r>
    <x v="333"/>
    <n v="1023.678"/>
  </r>
  <r>
    <x v="254"/>
    <n v="1182.8481999999999"/>
  </r>
  <r>
    <x v="257"/>
    <n v="1484.7293999999999"/>
  </r>
  <r>
    <x v="334"/>
    <n v="1208.27"/>
  </r>
  <r>
    <x v="331"/>
    <n v="2240.9920000000002"/>
  </r>
  <r>
    <x v="66"/>
    <n v="615.47840000000008"/>
  </r>
  <r>
    <x v="335"/>
    <n v="437.76"/>
  </r>
  <r>
    <x v="336"/>
    <n v="434.05680000000001"/>
  </r>
  <r>
    <x v="337"/>
    <n v="612.59760000000006"/>
  </r>
  <r>
    <x v="294"/>
    <n v="79.638499999999993"/>
  </r>
  <r>
    <x v="219"/>
    <n v="1403.8920000000001"/>
  </r>
  <r>
    <x v="338"/>
    <n v="3066.6687999999999"/>
  </r>
  <r>
    <x v="335"/>
    <n v="766.37429999999995"/>
  </r>
  <r>
    <x v="339"/>
    <n v="2198.16"/>
  </r>
  <r>
    <x v="340"/>
    <n v="411.35200000000009"/>
  </r>
  <r>
    <x v="298"/>
    <n v="426.03600000000012"/>
  </r>
  <r>
    <x v="341"/>
    <n v="1223.0694000000001"/>
  </r>
  <r>
    <x v="342"/>
    <n v="24.442599999999999"/>
  </r>
  <r>
    <x v="13"/>
    <n v="1579.3443"/>
  </r>
  <r>
    <x v="343"/>
    <n v="235.3212"/>
  </r>
  <r>
    <x v="344"/>
    <n v="2859.9407999999999"/>
  </r>
  <r>
    <x v="345"/>
    <n v="645.08080000000007"/>
  </r>
  <r>
    <x v="268"/>
    <n v="600.95479999999998"/>
  </r>
  <r>
    <x v="346"/>
    <n v="1733.9049"/>
  </r>
  <r>
    <x v="305"/>
    <n v="633.14800000000002"/>
  </r>
  <r>
    <x v="142"/>
    <n v="462.01499999999999"/>
  </r>
  <r>
    <x v="103"/>
    <n v="1286.56"/>
  </r>
  <r>
    <x v="238"/>
    <n v="617.38400000000001"/>
  </r>
  <r>
    <x v="236"/>
    <n v="426.98430000000002"/>
  </r>
  <r>
    <x v="347"/>
    <n v="678.93999999999994"/>
  </r>
  <r>
    <x v="348"/>
    <n v="387.59039999999999"/>
  </r>
  <r>
    <x v="323"/>
    <n v="1115.0047999999999"/>
  </r>
  <r>
    <x v="349"/>
    <n v="3100.2384000000002"/>
  </r>
  <r>
    <x v="350"/>
    <n v="1429.2719999999999"/>
  </r>
  <r>
    <x v="160"/>
    <n v="165.31710000000001"/>
  </r>
  <r>
    <x v="55"/>
    <n v="1398.2841000000001"/>
  </r>
  <r>
    <x v="351"/>
    <n v="1357.0372"/>
  </r>
  <r>
    <x v="198"/>
    <n v="712.50919999999996"/>
  </r>
  <r>
    <x v="286"/>
    <n v="797.93790000000001"/>
  </r>
  <r>
    <x v="352"/>
    <n v="569.04399999999998"/>
  </r>
  <r>
    <x v="353"/>
    <n v="470.61419999999998"/>
  </r>
  <r>
    <x v="190"/>
    <n v="323.67660000000001"/>
  </r>
  <r>
    <x v="354"/>
    <n v="933.61599999999999"/>
  </r>
  <r>
    <x v="355"/>
    <n v="560.37950000000001"/>
  </r>
  <r>
    <x v="356"/>
    <n v="341.31200000000001"/>
  </r>
  <r>
    <x v="136"/>
    <n v="573.07000000000005"/>
  </r>
  <r>
    <x v="357"/>
    <n v="216.69820000000001"/>
  </r>
  <r>
    <x v="69"/>
    <n v="618.41340000000002"/>
  </r>
  <r>
    <x v="186"/>
    <n v="1973.6496"/>
  </r>
  <r>
    <x v="358"/>
    <n v="220.16800000000001"/>
  </r>
  <r>
    <x v="359"/>
    <n v="54.406799999999997"/>
  </r>
  <r>
    <x v="360"/>
    <n v="1034.6335999999999"/>
  </r>
  <r>
    <x v="361"/>
    <n v="139.86799999999999"/>
  </r>
  <r>
    <x v="362"/>
    <n v="962.47320000000002"/>
  </r>
  <r>
    <x v="93"/>
    <n v="279.00959999999998"/>
  </r>
  <r>
    <x v="197"/>
    <n v="701.0544000000001"/>
  </r>
  <r>
    <x v="123"/>
    <n v="449.65469999999999"/>
  </r>
  <r>
    <x v="226"/>
    <n v="691.02719999999999"/>
  </r>
  <r>
    <x v="86"/>
    <n v="620.94600000000003"/>
  </r>
  <r>
    <x v="363"/>
    <n v="132.35820000000001"/>
  </r>
  <r>
    <x v="364"/>
    <n v="133.79560000000001"/>
  </r>
  <r>
    <x v="56"/>
    <n v="2750.1219999999998"/>
  </r>
  <r>
    <x v="118"/>
    <n v="798.21719999999993"/>
  </r>
  <r>
    <x v="123"/>
    <n v="1154.6808000000001"/>
  </r>
  <r>
    <x v="365"/>
    <n v="1813.5174"/>
  </r>
  <r>
    <x v="138"/>
    <n v="2107.8629999999998"/>
  </r>
  <r>
    <x v="366"/>
    <n v="70.470799999999997"/>
  </r>
  <r>
    <x v="236"/>
    <n v="3178.2564000000002"/>
  </r>
  <r>
    <x v="367"/>
    <n v="769.8975999999999"/>
  </r>
  <r>
    <x v="368"/>
    <n v="643.78679999999997"/>
  </r>
  <r>
    <x v="241"/>
    <n v="524.76480000000004"/>
  </r>
  <r>
    <x v="369"/>
    <n v="1719.4431999999999"/>
  </r>
  <r>
    <x v="370"/>
    <n v="50.407799999999988"/>
  </r>
  <r>
    <x v="214"/>
    <n v="421.27800000000002"/>
  </r>
  <r>
    <x v="25"/>
    <n v="2775.3519999999999"/>
  </r>
  <r>
    <x v="371"/>
    <n v="2589.8643999999999"/>
  </r>
  <r>
    <x v="21"/>
    <n v="2584.6271999999999"/>
  </r>
  <r>
    <x v="372"/>
    <n v="666.71699999999998"/>
  </r>
  <r>
    <x v="373"/>
    <n v="680.44199999999989"/>
  </r>
  <r>
    <x v="374"/>
    <n v="743.87839999999994"/>
  </r>
  <r>
    <x v="375"/>
    <n v="2485.364"/>
  </r>
  <r>
    <x v="376"/>
    <n v="437.0256"/>
  </r>
  <r>
    <x v="377"/>
    <n v="2221.9061999999999"/>
  </r>
  <r>
    <x v="271"/>
    <n v="1106.3052"/>
  </r>
  <r>
    <x v="378"/>
    <n v="929.02079999999989"/>
  </r>
  <r>
    <x v="379"/>
    <n v="632.76480000000004"/>
  </r>
  <r>
    <x v="380"/>
    <n v="380.42959999999999"/>
  </r>
  <r>
    <x v="294"/>
    <n v="679.37260000000003"/>
  </r>
  <r>
    <x v="253"/>
    <n v="454.46100000000001"/>
  </r>
  <r>
    <x v="65"/>
    <n v="332.37759999999997"/>
  </r>
  <r>
    <x v="379"/>
    <n v="1112.79"/>
  </r>
  <r>
    <x v="374"/>
    <n v="303.08980000000003"/>
  </r>
  <r>
    <x v="381"/>
    <n v="900.75200000000007"/>
  </r>
  <r>
    <x v="382"/>
    <n v="460.108"/>
  </r>
  <r>
    <x v="103"/>
    <n v="2430.6260000000002"/>
  </r>
  <r>
    <x v="383"/>
    <n v="305.84940000000012"/>
  </r>
  <r>
    <x v="280"/>
    <n v="2017.5011999999999"/>
  </r>
  <r>
    <x v="384"/>
    <n v="1267.1328000000001"/>
  </r>
  <r>
    <x v="385"/>
    <n v="1548.1769999999999"/>
  </r>
  <r>
    <x v="43"/>
    <n v="1824.2927999999999"/>
  </r>
  <r>
    <x v="205"/>
    <n v="1111.0344"/>
  </r>
  <r>
    <x v="257"/>
    <n v="1043.328"/>
  </r>
  <r>
    <x v="263"/>
    <n v="1553.7023999999999"/>
  </r>
  <r>
    <x v="386"/>
    <n v="484.60230000000001"/>
  </r>
  <r>
    <x v="387"/>
    <n v="792.09600000000012"/>
  </r>
  <r>
    <x v="170"/>
    <n v="1528.4588000000001"/>
  </r>
  <r>
    <x v="388"/>
    <n v="794.62400000000002"/>
  </r>
  <r>
    <x v="389"/>
    <n v="2163.1104"/>
  </r>
  <r>
    <x v="390"/>
    <n v="2509.1999999999998"/>
  </r>
  <r>
    <x v="20"/>
    <n v="764.55679999999995"/>
  </r>
  <r>
    <x v="391"/>
    <n v="1331.4911999999999"/>
  </r>
  <r>
    <x v="392"/>
    <n v="1005.6288"/>
  </r>
  <r>
    <x v="2"/>
    <n v="1451.7328"/>
  </r>
  <r>
    <x v="393"/>
    <n v="1279.2354"/>
  </r>
  <r>
    <x v="196"/>
    <n v="808.65719999999999"/>
  </r>
  <r>
    <x v="298"/>
    <n v="964.77480000000003"/>
  </r>
  <r>
    <x v="394"/>
    <n v="787.70069999999998"/>
  </r>
  <r>
    <x v="349"/>
    <n v="576.7944"/>
  </r>
  <r>
    <x v="395"/>
    <n v="1385.8368"/>
  </r>
  <r>
    <x v="396"/>
    <n v="918.92480000000012"/>
  </r>
  <r>
    <x v="397"/>
    <n v="922.36099999999988"/>
  </r>
  <r>
    <x v="398"/>
    <n v="1451.7072000000001"/>
  </r>
  <r>
    <x v="42"/>
    <n v="51.302599999999998"/>
  </r>
  <r>
    <x v="326"/>
    <n v="1015.32"/>
  </r>
  <r>
    <x v="399"/>
    <n v="3756.8876"/>
  </r>
  <r>
    <x v="400"/>
    <n v="1633.056"/>
  </r>
  <r>
    <x v="401"/>
    <n v="257.03719999999998"/>
  </r>
  <r>
    <x v="402"/>
    <n v="122.7324"/>
  </r>
  <r>
    <x v="87"/>
    <n v="31.239000000000001"/>
  </r>
  <r>
    <x v="56"/>
    <n v="1475.8869999999999"/>
  </r>
  <r>
    <x v="104"/>
    <n v="867.34800000000007"/>
  </r>
  <r>
    <x v="166"/>
    <n v="2965.1507999999999"/>
  </r>
  <r>
    <x v="403"/>
    <n v="243.42150000000001"/>
  </r>
  <r>
    <x v="57"/>
    <n v="2383.6680000000001"/>
  </r>
  <r>
    <x v="404"/>
    <n v="2201.7408"/>
  </r>
  <r>
    <x v="405"/>
    <n v="1793.4336000000001"/>
  </r>
  <r>
    <x v="186"/>
    <n v="592.20720000000006"/>
  </r>
  <r>
    <x v="406"/>
    <n v="3271.7496000000001"/>
  </r>
  <r>
    <x v="407"/>
    <n v="55.216700000000003"/>
  </r>
  <r>
    <x v="99"/>
    <n v="3400.733999999999"/>
  </r>
  <r>
    <x v="253"/>
    <n v="3028.2264"/>
  </r>
  <r>
    <x v="408"/>
    <n v="1039.1135999999999"/>
  </r>
  <r>
    <x v="409"/>
    <n v="2080.2770999999998"/>
  </r>
  <r>
    <x v="330"/>
    <n v="1349.7692"/>
  </r>
  <r>
    <x v="410"/>
    <n v="92.722300000000004"/>
  </r>
  <r>
    <x v="59"/>
    <n v="469.6508"/>
  </r>
  <r>
    <x v="132"/>
    <n v="1376.721"/>
  </r>
  <r>
    <x v="411"/>
    <n v="796.63200000000006"/>
  </r>
  <r>
    <x v="36"/>
    <n v="2592.2763"/>
  </r>
  <r>
    <x v="383"/>
    <n v="54.999000000000002"/>
  </r>
  <r>
    <x v="224"/>
    <n v="2011.7483999999999"/>
  </r>
  <r>
    <x v="246"/>
    <n v="2280.0509999999999"/>
  </r>
  <r>
    <x v="125"/>
    <n v="620.95889999999997"/>
  </r>
  <r>
    <x v="275"/>
    <n v="1456.4944"/>
  </r>
  <r>
    <x v="412"/>
    <n v="389.59829999999999"/>
  </r>
  <r>
    <x v="413"/>
    <n v="2832.9380000000001"/>
  </r>
  <r>
    <x v="118"/>
    <n v="2651.3568"/>
  </r>
  <r>
    <x v="359"/>
    <n v="2240.7020000000002"/>
  </r>
  <r>
    <x v="214"/>
    <n v="275.36079999999998"/>
  </r>
  <r>
    <x v="414"/>
    <n v="2512.0783999999999"/>
  </r>
  <r>
    <x v="184"/>
    <n v="1344.7067999999999"/>
  </r>
  <r>
    <x v="415"/>
    <n v="733.85640000000001"/>
  </r>
  <r>
    <x v="108"/>
    <n v="499.24360000000001"/>
  </r>
  <r>
    <x v="407"/>
    <n v="560.18999999999994"/>
  </r>
  <r>
    <x v="416"/>
    <n v="1172.0625"/>
  </r>
  <r>
    <x v="28"/>
    <n v="1565.982"/>
  </r>
  <r>
    <x v="417"/>
    <n v="1045.6292000000001"/>
  </r>
  <r>
    <x v="418"/>
    <n v="2242.8216000000002"/>
  </r>
  <r>
    <x v="350"/>
    <n v="615.46699999999998"/>
  </r>
  <r>
    <x v="18"/>
    <n v="323.35199999999998"/>
  </r>
  <r>
    <x v="81"/>
    <n v="977.69849999999985"/>
  </r>
  <r>
    <x v="419"/>
    <n v="3529.1619999999998"/>
  </r>
  <r>
    <x v="138"/>
    <n v="959.13179999999988"/>
  </r>
  <r>
    <x v="420"/>
    <n v="68.694199999999995"/>
  </r>
  <r>
    <x v="391"/>
    <n v="1452.4944"/>
  </r>
  <r>
    <x v="331"/>
    <n v="1592.3416"/>
  </r>
  <r>
    <x v="421"/>
    <n v="239.32259999999999"/>
  </r>
  <r>
    <x v="214"/>
    <n v="246.99600000000001"/>
  </r>
  <r>
    <x v="422"/>
    <n v="332.02339999999998"/>
  </r>
  <r>
    <x v="227"/>
    <n v="116.23139999999999"/>
  </r>
  <r>
    <x v="171"/>
    <n v="655.61040000000003"/>
  </r>
  <r>
    <x v="423"/>
    <n v="557.68680000000006"/>
  </r>
  <r>
    <x v="214"/>
    <n v="264.93889999999999"/>
  </r>
  <r>
    <x v="297"/>
    <n v="1211.0416"/>
  </r>
  <r>
    <x v="424"/>
    <n v="2681.3406"/>
  </r>
  <r>
    <x v="425"/>
    <n v="1006.2063000000001"/>
  </r>
  <r>
    <x v="294"/>
    <n v="2380.7628"/>
  </r>
  <r>
    <x v="426"/>
    <n v="215.47200000000001"/>
  </r>
  <r>
    <x v="427"/>
    <n v="165.1584"/>
  </r>
  <r>
    <x v="348"/>
    <n v="369.74"/>
  </r>
  <r>
    <x v="428"/>
    <n v="2286.1343999999999"/>
  </r>
  <r>
    <x v="397"/>
    <n v="191.88"/>
  </r>
  <r>
    <x v="3"/>
    <n v="424.875"/>
  </r>
  <r>
    <x v="11"/>
    <n v="605.43299999999999"/>
  </r>
  <r>
    <x v="121"/>
    <n v="426.411"/>
  </r>
  <r>
    <x v="237"/>
    <n v="710.44"/>
  </r>
  <r>
    <x v="429"/>
    <n v="1197.9756"/>
  </r>
  <r>
    <x v="430"/>
    <n v="729.07759999999996"/>
  </r>
  <r>
    <x v="431"/>
    <n v="3908.2428"/>
  </r>
  <r>
    <x v="432"/>
    <n v="1547.9168"/>
  </r>
  <r>
    <x v="433"/>
    <n v="1211.364"/>
  </r>
  <r>
    <x v="56"/>
    <n v="1548.0453"/>
  </r>
  <r>
    <x v="434"/>
    <n v="1768.96"/>
  </r>
  <r>
    <x v="49"/>
    <n v="1745.2989"/>
  </r>
  <r>
    <x v="62"/>
    <n v="235.2936"/>
  </r>
  <r>
    <x v="435"/>
    <n v="2094.8568"/>
  </r>
  <r>
    <x v="50"/>
    <n v="711.05579999999986"/>
  </r>
  <r>
    <x v="175"/>
    <n v="739.55970000000002"/>
  </r>
  <r>
    <x v="235"/>
    <n v="2158.7103999999999"/>
  </r>
  <r>
    <x v="8"/>
    <n v="67.502399999999994"/>
  </r>
  <r>
    <x v="243"/>
    <n v="2092.2192"/>
  </r>
  <r>
    <x v="139"/>
    <n v="198.50559999999999"/>
  </r>
  <r>
    <x v="436"/>
    <n v="391.77640000000002"/>
  </r>
  <r>
    <x v="283"/>
    <n v="214.8664"/>
  </r>
  <r>
    <x v="19"/>
    <n v="231.0198"/>
  </r>
  <r>
    <x v="437"/>
    <n v="2346.4584"/>
  </r>
  <r>
    <x v="438"/>
    <n v="1730.1479999999999"/>
  </r>
  <r>
    <x v="44"/>
    <n v="878.0687999999999"/>
  </r>
  <r>
    <x v="439"/>
    <n v="427.49560000000002"/>
  </r>
  <r>
    <x v="440"/>
    <n v="3179.3807999999999"/>
  </r>
  <r>
    <x v="65"/>
    <n v="191.4016"/>
  </r>
  <r>
    <x v="253"/>
    <n v="60.280200000000008"/>
  </r>
  <r>
    <x v="320"/>
    <n v="318.46080000000001"/>
  </r>
  <r>
    <x v="399"/>
    <n v="837.31829999999991"/>
  </r>
  <r>
    <x v="441"/>
    <n v="1396.5696"/>
  </r>
  <r>
    <x v="442"/>
    <n v="78.194399999999987"/>
  </r>
  <r>
    <x v="443"/>
    <n v="1402.7832000000001"/>
  </r>
  <r>
    <x v="444"/>
    <n v="1192.2174"/>
  </r>
  <r>
    <x v="96"/>
    <n v="1663.9503999999999"/>
  </r>
  <r>
    <x v="66"/>
    <n v="1697.3016"/>
  </r>
  <r>
    <x v="72"/>
    <n v="1641.63"/>
  </r>
  <r>
    <x v="178"/>
    <n v="783.42399999999998"/>
  </r>
  <r>
    <x v="217"/>
    <n v="1012.1856"/>
  </r>
  <r>
    <x v="213"/>
    <n v="616.54750000000001"/>
  </r>
  <r>
    <x v="445"/>
    <n v="424.20510000000002"/>
  </r>
  <r>
    <x v="446"/>
    <n v="695.95499999999993"/>
  </r>
  <r>
    <x v="447"/>
    <n v="1169.2264"/>
  </r>
  <r>
    <x v="296"/>
    <n v="268.10359999999997"/>
  </r>
  <r>
    <x v="184"/>
    <n v="1276.7118"/>
  </r>
  <r>
    <x v="250"/>
    <n v="1620.8416"/>
  </r>
  <r>
    <x v="425"/>
    <n v="570.62200000000007"/>
  </r>
  <r>
    <x v="448"/>
    <n v="1043.8271999999999"/>
  </r>
  <r>
    <x v="89"/>
    <n v="853.05420000000004"/>
  </r>
  <r>
    <x v="328"/>
    <n v="1555.992"/>
  </r>
  <r>
    <x v="410"/>
    <n v="958.57439999999997"/>
  </r>
  <r>
    <x v="109"/>
    <n v="320.76"/>
  </r>
  <r>
    <x v="170"/>
    <n v="810.84600000000012"/>
  </r>
  <r>
    <x v="449"/>
    <n v="756.54719999999986"/>
  </r>
  <r>
    <x v="239"/>
    <n v="497.76479999999998"/>
  </r>
  <r>
    <x v="225"/>
    <n v="2364.6480000000001"/>
  </r>
  <r>
    <x v="360"/>
    <n v="778.35680000000002"/>
  </r>
  <r>
    <x v="157"/>
    <n v="447.45299999999992"/>
  </r>
  <r>
    <x v="423"/>
    <n v="2724.32"/>
  </r>
  <r>
    <x v="336"/>
    <n v="2488.6336000000001"/>
  </r>
  <r>
    <x v="328"/>
    <n v="1661.0527999999999"/>
  </r>
  <r>
    <x v="204"/>
    <n v="527.33479999999997"/>
  </r>
  <r>
    <x v="365"/>
    <n v="494.99560000000002"/>
  </r>
  <r>
    <x v="348"/>
    <n v="1143.252"/>
  </r>
  <r>
    <x v="385"/>
    <n v="3139.3784000000001"/>
  </r>
  <r>
    <x v="156"/>
    <n v="217.77209999999999"/>
  </r>
  <r>
    <x v="82"/>
    <n v="1810.56"/>
  </r>
  <r>
    <x v="450"/>
    <n v="1395.6096"/>
  </r>
  <r>
    <x v="361"/>
    <n v="1656.395"/>
  </r>
  <r>
    <x v="317"/>
    <n v="161.238"/>
  </r>
  <r>
    <x v="317"/>
    <n v="1574.4498000000001"/>
  </r>
  <r>
    <x v="393"/>
    <n v="207.27930000000001"/>
  </r>
  <r>
    <x v="411"/>
    <n v="24.7744"/>
  </r>
  <r>
    <x v="116"/>
    <n v="955.54599999999994"/>
  </r>
  <r>
    <x v="451"/>
    <n v="3030.5223999999998"/>
  </r>
  <r>
    <x v="452"/>
    <n v="364.71600000000001"/>
  </r>
  <r>
    <x v="182"/>
    <n v="84.348600000000005"/>
  </r>
  <r>
    <x v="205"/>
    <n v="81.673900000000003"/>
  </r>
  <r>
    <x v="189"/>
    <n v="1089.5352"/>
  </r>
  <r>
    <x v="453"/>
    <n v="701.4348"/>
  </r>
  <r>
    <x v="110"/>
    <n v="392.04"/>
  </r>
  <r>
    <x v="368"/>
    <n v="2811.1181999999999"/>
  </r>
  <r>
    <x v="30"/>
    <n v="478.66559999999998"/>
  </r>
  <r>
    <x v="454"/>
    <n v="2881.4259999999999"/>
  </r>
  <r>
    <x v="160"/>
    <n v="571.38619999999992"/>
  </r>
  <r>
    <x v="95"/>
    <n v="218.804"/>
  </r>
  <r>
    <x v="455"/>
    <n v="1419.0192"/>
  </r>
  <r>
    <x v="131"/>
    <n v="689.5"/>
  </r>
  <r>
    <x v="88"/>
    <n v="307.71359999999999"/>
  </r>
  <r>
    <x v="59"/>
    <n v="2277.2944000000002"/>
  </r>
  <r>
    <x v="154"/>
    <n v="136.34880000000001"/>
  </r>
  <r>
    <x v="364"/>
    <n v="392.83789999999999"/>
  </r>
  <r>
    <x v="221"/>
    <n v="934.32449999999983"/>
  </r>
  <r>
    <x v="393"/>
    <n v="753.49019999999996"/>
  </r>
  <r>
    <x v="456"/>
    <n v="2681.1651999999999"/>
  </r>
  <r>
    <x v="457"/>
    <n v="611.68040000000008"/>
  </r>
  <r>
    <x v="456"/>
    <n v="317.32470000000001"/>
  </r>
  <r>
    <x v="120"/>
    <n v="119.7855"/>
  </r>
  <r>
    <x v="207"/>
    <n v="1951.7436"/>
  </r>
  <r>
    <x v="458"/>
    <n v="1316.2085999999999"/>
  </r>
  <r>
    <x v="428"/>
    <n v="101.2608"/>
  </r>
  <r>
    <x v="459"/>
    <n v="1375.2876000000001"/>
  </r>
  <r>
    <x v="118"/>
    <n v="2569.1024000000002"/>
  </r>
  <r>
    <x v="341"/>
    <n v="467.91"/>
  </r>
  <r>
    <x v="460"/>
    <n v="999.5920000000001"/>
  </r>
  <r>
    <x v="231"/>
    <n v="1088.1378"/>
  </r>
  <r>
    <x v="461"/>
    <n v="407.57679999999999"/>
  </r>
  <r>
    <x v="235"/>
    <n v="821.92160000000001"/>
  </r>
  <r>
    <x v="462"/>
    <n v="175.85310000000001"/>
  </r>
  <r>
    <x v="463"/>
    <n v="366.95339999999999"/>
  </r>
  <r>
    <x v="464"/>
    <n v="2574.9856"/>
  </r>
  <r>
    <x v="160"/>
    <n v="1306.4175"/>
  </r>
  <r>
    <x v="398"/>
    <n v="835.84800000000007"/>
  </r>
  <r>
    <x v="5"/>
    <n v="612.56039999999996"/>
  </r>
  <r>
    <x v="142"/>
    <n v="271.59300000000002"/>
  </r>
  <r>
    <x v="132"/>
    <n v="573.61920000000009"/>
  </r>
  <r>
    <x v="146"/>
    <n v="1900.2672"/>
  </r>
  <r>
    <x v="244"/>
    <n v="654.0489"/>
  </r>
  <r>
    <x v="40"/>
    <n v="230.88040000000001"/>
  </r>
  <r>
    <x v="465"/>
    <n v="629.36520000000007"/>
  </r>
  <r>
    <x v="362"/>
    <n v="2148.8544000000002"/>
  </r>
  <r>
    <x v="385"/>
    <n v="629.96500000000003"/>
  </r>
  <r>
    <x v="466"/>
    <n v="624.49519999999995"/>
  </r>
  <r>
    <x v="467"/>
    <n v="1383.2583999999999"/>
  </r>
  <r>
    <x v="391"/>
    <n v="2081.9225999999999"/>
  </r>
  <r>
    <x v="468"/>
    <n v="251.04419999999999"/>
  </r>
  <r>
    <x v="469"/>
    <n v="1936.7025000000001"/>
  </r>
  <r>
    <x v="316"/>
    <n v="363.09980000000002"/>
  </r>
  <r>
    <x v="470"/>
    <n v="1247.4552000000001"/>
  </r>
  <r>
    <x v="239"/>
    <n v="1228.8078"/>
  </r>
  <r>
    <x v="471"/>
    <n v="261.58"/>
  </r>
  <r>
    <x v="138"/>
    <n v="368.83280000000002"/>
  </r>
  <r>
    <x v="472"/>
    <n v="312.67360000000002"/>
  </r>
  <r>
    <x v="473"/>
    <n v="846.98459999999989"/>
  </r>
  <r>
    <x v="267"/>
    <n v="823.27499999999998"/>
  </r>
  <r>
    <x v="335"/>
    <n v="1646.3879999999999"/>
  </r>
  <r>
    <x v="392"/>
    <n v="1759.9428"/>
  </r>
  <r>
    <x v="376"/>
    <n v="427.58760000000001"/>
  </r>
  <r>
    <x v="428"/>
    <n v="2168.64"/>
  </r>
  <r>
    <x v="474"/>
    <n v="1245.1189999999999"/>
  </r>
  <r>
    <x v="13"/>
    <n v="1146.0820000000001"/>
  </r>
  <r>
    <x v="475"/>
    <n v="868.45639999999992"/>
  </r>
  <r>
    <x v="476"/>
    <n v="501.91680000000002"/>
  </r>
  <r>
    <x v="85"/>
    <n v="927.92699999999991"/>
  </r>
  <r>
    <x v="142"/>
    <n v="2310.0987"/>
  </r>
  <r>
    <x v="359"/>
    <n v="359.7783"/>
  </r>
  <r>
    <x v="289"/>
    <n v="355.5342"/>
  </r>
  <r>
    <x v="21"/>
    <n v="480.75359999999989"/>
  </r>
  <r>
    <x v="216"/>
    <n v="347.25360000000012"/>
  </r>
  <r>
    <x v="64"/>
    <n v="84.852000000000004"/>
  </r>
  <r>
    <x v="315"/>
    <n v="1715.8679999999999"/>
  </r>
  <r>
    <x v="477"/>
    <n v="1045.2354"/>
  </r>
  <r>
    <x v="7"/>
    <n v="494.0684"/>
  </r>
  <r>
    <x v="478"/>
    <n v="1134.4007999999999"/>
  </r>
  <r>
    <x v="428"/>
    <n v="835.95240000000001"/>
  </r>
  <r>
    <x v="191"/>
    <n v="1016.0784"/>
  </r>
  <r>
    <x v="479"/>
    <n v="1609.9962"/>
  </r>
  <r>
    <x v="480"/>
    <n v="485.51580000000001"/>
  </r>
  <r>
    <x v="279"/>
    <n v="925.74649999999997"/>
  </r>
  <r>
    <x v="481"/>
    <n v="1333.4780000000001"/>
  </r>
  <r>
    <x v="21"/>
    <n v="2729.8292000000001"/>
  </r>
  <r>
    <x v="212"/>
    <n v="373.59129999999999"/>
  </r>
  <r>
    <x v="40"/>
    <n v="237.6524"/>
  </r>
  <r>
    <x v="271"/>
    <n v="902.30399999999997"/>
  </r>
  <r>
    <x v="213"/>
    <n v="1254.9264000000001"/>
  </r>
  <r>
    <x v="287"/>
    <n v="1144.4248"/>
  </r>
  <r>
    <x v="155"/>
    <n v="707.02719999999999"/>
  </r>
  <r>
    <x v="194"/>
    <n v="2326.4778000000001"/>
  </r>
  <r>
    <x v="309"/>
    <n v="1314.0072"/>
  </r>
  <r>
    <x v="373"/>
    <n v="554.35380000000009"/>
  </r>
  <r>
    <x v="48"/>
    <n v="433.92960000000011"/>
  </r>
  <r>
    <x v="482"/>
    <n v="563.48699999999997"/>
  </r>
  <r>
    <x v="296"/>
    <n v="320.04199999999997"/>
  </r>
  <r>
    <x v="483"/>
    <n v="1643.4792"/>
  </r>
  <r>
    <x v="484"/>
    <n v="3026.6716000000001"/>
  </r>
  <r>
    <x v="485"/>
    <n v="531.5616"/>
  </r>
  <r>
    <x v="486"/>
    <n v="866.04959999999994"/>
  </r>
  <r>
    <x v="480"/>
    <n v="30.175999999999998"/>
  </r>
  <r>
    <x v="203"/>
    <n v="463.85820000000001"/>
  </r>
  <r>
    <x v="451"/>
    <n v="19.481000000000002"/>
  </r>
  <r>
    <x v="441"/>
    <n v="1509.2352000000001"/>
  </r>
  <r>
    <x v="487"/>
    <n v="1795.982"/>
  </r>
  <r>
    <x v="488"/>
    <n v="1186.9680000000001"/>
  </r>
  <r>
    <x v="409"/>
    <n v="919.29179999999997"/>
  </r>
  <r>
    <x v="489"/>
    <n v="1149.066"/>
  </r>
  <r>
    <x v="490"/>
    <n v="611.17420000000004"/>
  </r>
  <r>
    <x v="62"/>
    <n v="615.79719999999998"/>
  </r>
  <r>
    <x v="314"/>
    <n v="612.68850000000009"/>
  </r>
  <r>
    <x v="491"/>
    <n v="891.53279999999995"/>
  </r>
  <r>
    <x v="82"/>
    <n v="1913.8391999999999"/>
  </r>
  <r>
    <x v="379"/>
    <n v="2164.6943999999999"/>
  </r>
  <r>
    <x v="264"/>
    <n v="262.78019999999998"/>
  </r>
  <r>
    <x v="2"/>
    <n v="800.21129999999994"/>
  </r>
  <r>
    <x v="492"/>
    <n v="245.80199999999999"/>
  </r>
  <r>
    <x v="333"/>
    <n v="1686.4275"/>
  </r>
  <r>
    <x v="493"/>
    <n v="460.96080000000001"/>
  </r>
  <r>
    <x v="494"/>
    <n v="1555.4619"/>
  </r>
  <r>
    <x v="495"/>
    <n v="171.45179999999999"/>
  </r>
  <r>
    <x v="223"/>
    <n v="2579.2651999999998"/>
  </r>
  <r>
    <x v="356"/>
    <n v="1263.5904"/>
  </r>
  <r>
    <x v="496"/>
    <n v="907.70659999999998"/>
  </r>
  <r>
    <x v="497"/>
    <n v="1912.96"/>
  </r>
  <r>
    <x v="345"/>
    <n v="897.05280000000005"/>
  </r>
  <r>
    <x v="498"/>
    <n v="1048.1238000000001"/>
  </r>
  <r>
    <x v="321"/>
    <n v="705.11850000000004"/>
  </r>
  <r>
    <x v="163"/>
    <n v="1558.4646"/>
  </r>
  <r>
    <x v="499"/>
    <n v="667.20539999999994"/>
  </r>
  <r>
    <x v="406"/>
    <n v="1289.3399999999999"/>
  </r>
  <r>
    <x v="500"/>
    <n v="661.59"/>
  </r>
  <r>
    <x v="339"/>
    <n v="1278.3675000000001"/>
  </r>
  <r>
    <x v="501"/>
    <n v="2524.8384000000001"/>
  </r>
  <r>
    <x v="418"/>
    <n v="1373.2991999999999"/>
  </r>
  <r>
    <x v="502"/>
    <n v="2250.2979999999998"/>
  </r>
  <r>
    <x v="503"/>
    <n v="629.74340000000007"/>
  </r>
  <r>
    <x v="504"/>
    <n v="607.64800000000002"/>
  </r>
  <r>
    <x v="505"/>
    <n v="2495.2049999999999"/>
  </r>
  <r>
    <x v="506"/>
    <n v="308.14710000000002"/>
  </r>
  <r>
    <x v="345"/>
    <n v="1200.9059999999999"/>
  </r>
  <r>
    <x v="408"/>
    <n v="767.98800000000006"/>
  </r>
  <r>
    <x v="382"/>
    <n v="139.29"/>
  </r>
  <r>
    <x v="404"/>
    <n v="1240.8389999999999"/>
  </r>
  <r>
    <x v="29"/>
    <n v="367.65219999999999"/>
  </r>
  <r>
    <x v="507"/>
    <n v="802.1579999999999"/>
  </r>
  <r>
    <x v="400"/>
    <n v="595.14840000000004"/>
  </r>
  <r>
    <x v="232"/>
    <n v="229.88249999999999"/>
  </r>
  <r>
    <x v="508"/>
    <n v="2777.1016"/>
  </r>
  <r>
    <x v="495"/>
    <n v="306.77249999999998"/>
  </r>
  <r>
    <x v="168"/>
    <n v="1550.5662"/>
  </r>
  <r>
    <x v="31"/>
    <n v="437.17020000000002"/>
  </r>
  <r>
    <x v="374"/>
    <n v="1095.864"/>
  </r>
  <r>
    <x v="509"/>
    <n v="637.50080000000014"/>
  </r>
  <r>
    <x v="510"/>
    <n v="1128.9969000000001"/>
  </r>
  <r>
    <x v="398"/>
    <n v="523.71"/>
  </r>
  <r>
    <x v="455"/>
    <n v="2240.2800000000002"/>
  </r>
  <r>
    <x v="511"/>
    <n v="41.875999999999998"/>
  </r>
  <r>
    <x v="23"/>
    <n v="754.20119999999997"/>
  </r>
  <r>
    <x v="213"/>
    <n v="991.30199999999979"/>
  </r>
  <r>
    <x v="512"/>
    <n v="1179.1369999999999"/>
  </r>
  <r>
    <x v="11"/>
    <n v="1731.4914000000001"/>
  </r>
  <r>
    <x v="513"/>
    <n v="200.1354"/>
  </r>
  <r>
    <x v="474"/>
    <n v="1185.4584"/>
  </r>
  <r>
    <x v="230"/>
    <n v="353.56760000000003"/>
  </r>
  <r>
    <x v="371"/>
    <n v="389.67399999999998"/>
  </r>
  <r>
    <x v="339"/>
    <n v="1113.6584"/>
  </r>
  <r>
    <x v="514"/>
    <n v="383.32799999999997"/>
  </r>
  <r>
    <x v="515"/>
    <n v="28.044"/>
  </r>
  <r>
    <x v="26"/>
    <n v="818.46659999999997"/>
  </r>
  <r>
    <x v="257"/>
    <n v="85.933199999999999"/>
  </r>
  <r>
    <x v="516"/>
    <n v="695.04819999999995"/>
  </r>
  <r>
    <x v="441"/>
    <n v="1561.9212"/>
  </r>
  <r>
    <x v="219"/>
    <n v="139.03120000000001"/>
  </r>
  <r>
    <x v="517"/>
    <n v="122.9456"/>
  </r>
  <r>
    <x v="162"/>
    <n v="751.58879999999988"/>
  </r>
  <r>
    <x v="507"/>
    <n v="493.91449999999992"/>
  </r>
  <r>
    <x v="265"/>
    <n v="1613.556"/>
  </r>
  <r>
    <x v="518"/>
    <n v="537.11840000000007"/>
  </r>
  <r>
    <x v="84"/>
    <n v="621.27"/>
  </r>
  <r>
    <x v="147"/>
    <n v="867.5"/>
  </r>
  <r>
    <x v="519"/>
    <n v="272.30130000000003"/>
  </r>
  <r>
    <x v="471"/>
    <n v="212.83199999999999"/>
  </r>
  <r>
    <x v="254"/>
    <n v="844.96719999999993"/>
  </r>
  <r>
    <x v="520"/>
    <n v="3138.6759999999999"/>
  </r>
  <r>
    <x v="450"/>
    <n v="1375.6759999999999"/>
  </r>
  <r>
    <x v="218"/>
    <n v="246.77549999999999"/>
  </r>
  <r>
    <x v="238"/>
    <n v="1748.7384"/>
  </r>
  <r>
    <x v="9"/>
    <n v="623.19839999999999"/>
  </r>
  <r>
    <x v="284"/>
    <n v="502.95960000000002"/>
  </r>
  <r>
    <x v="504"/>
    <n v="520.43039999999996"/>
  </r>
  <r>
    <x v="185"/>
    <n v="316.22199999999998"/>
  </r>
  <r>
    <x v="353"/>
    <n v="544.55939999999998"/>
  </r>
  <r>
    <x v="205"/>
    <n v="56.010599999999997"/>
  </r>
  <r>
    <x v="325"/>
    <n v="1641.3904"/>
  </r>
  <r>
    <x v="312"/>
    <n v="107.0748"/>
  </r>
  <r>
    <x v="428"/>
    <n v="523.66020000000003"/>
  </r>
  <r>
    <x v="521"/>
    <n v="18.459"/>
  </r>
  <r>
    <x v="505"/>
    <n v="3205.3728000000001"/>
  </r>
  <r>
    <x v="19"/>
    <n v="2470.6439999999998"/>
  </r>
  <r>
    <x v="126"/>
    <n v="474.41449999999998"/>
  </r>
  <r>
    <x v="17"/>
    <n v="370.75619999999998"/>
  </r>
  <r>
    <x v="52"/>
    <n v="571.26209999999992"/>
  </r>
  <r>
    <x v="278"/>
    <n v="934.46460000000013"/>
  </r>
  <r>
    <x v="214"/>
    <n v="647.2349999999999"/>
  </r>
  <r>
    <x v="522"/>
    <n v="1060.4369999999999"/>
  </r>
  <r>
    <x v="523"/>
    <n v="1754.4059999999999"/>
  </r>
  <r>
    <x v="524"/>
    <n v="1874.787"/>
  </r>
  <r>
    <x v="163"/>
    <n v="124.336"/>
  </r>
  <r>
    <x v="317"/>
    <n v="2746.7712000000001"/>
  </r>
  <r>
    <x v="525"/>
    <n v="2143.6176"/>
  </r>
  <r>
    <x v="526"/>
    <n v="2486.2139999999999"/>
  </r>
  <r>
    <x v="225"/>
    <n v="154.93799999999999"/>
  </r>
  <r>
    <x v="200"/>
    <n v="2421.7944000000002"/>
  </r>
  <r>
    <x v="527"/>
    <n v="541.10160000000008"/>
  </r>
  <r>
    <x v="484"/>
    <n v="844.77059999999994"/>
  </r>
  <r>
    <x v="264"/>
    <n v="1196.5536"/>
  </r>
  <r>
    <x v="112"/>
    <n v="1082.835"/>
  </r>
  <r>
    <x v="528"/>
    <n v="3817.6880000000001"/>
  </r>
  <r>
    <x v="167"/>
    <n v="267.20600000000002"/>
  </r>
  <r>
    <x v="529"/>
    <n v="603.71640000000002"/>
  </r>
  <r>
    <x v="530"/>
    <n v="1866.2719999999999"/>
  </r>
  <r>
    <x v="531"/>
    <n v="1661.6624999999999"/>
  </r>
  <r>
    <x v="50"/>
    <n v="1206.6407999999999"/>
  </r>
  <r>
    <x v="322"/>
    <n v="824.48639999999989"/>
  </r>
  <r>
    <x v="261"/>
    <n v="1069.5302999999999"/>
  </r>
  <r>
    <x v="532"/>
    <n v="1968.5753999999999"/>
  </r>
  <r>
    <x v="502"/>
    <n v="1483.8119999999999"/>
  </r>
  <r>
    <x v="209"/>
    <n v="345.32479999999998"/>
  </r>
  <r>
    <x v="40"/>
    <n v="59.593499999999999"/>
  </r>
  <r>
    <x v="533"/>
    <n v="568.09620000000007"/>
  </r>
  <r>
    <x v="236"/>
    <n v="671.02289999999994"/>
  </r>
  <r>
    <x v="534"/>
    <n v="1573.9359999999999"/>
  </r>
  <r>
    <x v="174"/>
    <n v="488.90660000000003"/>
  </r>
  <r>
    <x v="17"/>
    <n v="2286.4674"/>
  </r>
  <r>
    <x v="469"/>
    <n v="1901.4159999999999"/>
  </r>
  <r>
    <x v="27"/>
    <n v="675.94240000000013"/>
  </r>
  <r>
    <x v="535"/>
    <n v="2066.3663999999999"/>
  </r>
  <r>
    <x v="536"/>
    <n v="711.42959999999994"/>
  </r>
  <r>
    <x v="434"/>
    <n v="443.327"/>
  </r>
  <r>
    <x v="454"/>
    <n v="1255.8393000000001"/>
  </r>
  <r>
    <x v="79"/>
    <n v="1583.806"/>
  </r>
  <r>
    <x v="113"/>
    <n v="355.23840000000001"/>
  </r>
  <r>
    <x v="4"/>
    <n v="1813.1728000000001"/>
  </r>
  <r>
    <x v="89"/>
    <n v="2593.9104000000002"/>
  </r>
  <r>
    <x v="459"/>
    <n v="326.00070000000011"/>
  </r>
  <r>
    <x v="331"/>
    <n v="803.01599999999996"/>
  </r>
  <r>
    <x v="228"/>
    <n v="1799.55"/>
  </r>
  <r>
    <x v="374"/>
    <n v="113.0128"/>
  </r>
  <r>
    <x v="227"/>
    <n v="820.89920000000006"/>
  </r>
  <r>
    <x v="446"/>
    <n v="1968.1116"/>
  </r>
  <r>
    <x v="537"/>
    <n v="1930.761"/>
  </r>
  <r>
    <x v="538"/>
    <n v="1733.2565999999999"/>
  </r>
  <r>
    <x v="539"/>
    <n v="2312.2912000000001"/>
  </r>
  <r>
    <x v="540"/>
    <n v="1472.5308"/>
  </r>
  <r>
    <x v="541"/>
    <n v="2090.2723999999998"/>
  </r>
  <r>
    <x v="542"/>
    <n v="1690.7814000000001"/>
  </r>
  <r>
    <x v="62"/>
    <n v="1377.6432"/>
  </r>
  <r>
    <x v="543"/>
    <n v="3133.7256000000002"/>
  </r>
  <r>
    <x v="449"/>
    <n v="981.97259999999994"/>
  </r>
  <r>
    <x v="372"/>
    <n v="441.55169999999998"/>
  </r>
  <r>
    <x v="40"/>
    <n v="476.91660000000002"/>
  </r>
  <r>
    <x v="544"/>
    <n v="56.880400000000002"/>
  </r>
  <r>
    <x v="13"/>
    <n v="2408.6664000000001"/>
  </r>
  <r>
    <x v="542"/>
    <n v="787.28039999999999"/>
  </r>
  <r>
    <x v="509"/>
    <n v="1087.8444"/>
  </r>
  <r>
    <x v="481"/>
    <n v="1723.5719999999999"/>
  </r>
  <r>
    <x v="545"/>
    <n v="584.78399999999988"/>
  </r>
  <r>
    <x v="297"/>
    <n v="1281.8937000000001"/>
  </r>
  <r>
    <x v="140"/>
    <n v="2380.4639999999999"/>
  </r>
  <r>
    <x v="546"/>
    <n v="1304.2182"/>
  </r>
  <r>
    <x v="135"/>
    <n v="968.16959999999995"/>
  </r>
  <r>
    <x v="288"/>
    <n v="65.729200000000006"/>
  </r>
  <r>
    <x v="441"/>
    <n v="1327.8846000000001"/>
  </r>
  <r>
    <x v="547"/>
    <n v="1805.2736"/>
  </r>
  <r>
    <x v="548"/>
    <n v="2100.0441000000001"/>
  </r>
  <r>
    <x v="549"/>
    <n v="3030.424"/>
  </r>
  <r>
    <x v="550"/>
    <n v="491.32860000000011"/>
  </r>
  <r>
    <x v="111"/>
    <n v="689.17200000000014"/>
  </r>
  <r>
    <x v="147"/>
    <n v="1914.8480999999999"/>
  </r>
  <r>
    <x v="30"/>
    <n v="801.44959999999992"/>
  </r>
  <r>
    <x v="3"/>
    <n v="359.61380000000003"/>
  </r>
  <r>
    <x v="459"/>
    <n v="187.14840000000001"/>
  </r>
  <r>
    <x v="24"/>
    <n v="761.73839999999996"/>
  </r>
  <r>
    <x v="145"/>
    <n v="680.88400000000001"/>
  </r>
  <r>
    <x v="300"/>
    <n v="246.5856"/>
  </r>
  <r>
    <x v="170"/>
    <n v="2862.1208000000001"/>
  </r>
  <r>
    <x v="551"/>
    <n v="159.3408"/>
  </r>
  <r>
    <x v="176"/>
    <n v="394.90199999999999"/>
  </r>
  <r>
    <x v="552"/>
    <n v="453.58170000000001"/>
  </r>
  <r>
    <x v="315"/>
    <n v="447.82960000000003"/>
  </r>
  <r>
    <x v="260"/>
    <n v="1638.3912"/>
  </r>
  <r>
    <x v="295"/>
    <n v="1320.0640000000001"/>
  </r>
  <r>
    <x v="302"/>
    <n v="828.83359999999993"/>
  </r>
  <r>
    <x v="529"/>
    <n v="209.65119999999999"/>
  </r>
  <r>
    <x v="350"/>
    <n v="726.36479999999995"/>
  </r>
  <r>
    <x v="553"/>
    <n v="373.83839999999998"/>
  </r>
  <r>
    <x v="166"/>
    <n v="283.7484"/>
  </r>
  <r>
    <x v="554"/>
    <n v="208.3134"/>
  </r>
  <r>
    <x v="443"/>
    <n v="1299.9000000000001"/>
  </r>
  <r>
    <x v="555"/>
    <n v="70.924799999999991"/>
  </r>
  <r>
    <x v="556"/>
    <n v="721.8119999999999"/>
  </r>
  <r>
    <x v="290"/>
    <n v="2897.233999999999"/>
  </r>
  <r>
    <x v="557"/>
    <n v="262.80799999999999"/>
  </r>
  <r>
    <x v="558"/>
    <n v="33.129600000000003"/>
  </r>
  <r>
    <x v="400"/>
    <n v="1871.7185999999999"/>
  </r>
  <r>
    <x v="94"/>
    <n v="356.18669999999997"/>
  </r>
  <r>
    <x v="277"/>
    <n v="1230.9501"/>
  </r>
  <r>
    <x v="22"/>
    <n v="1489.8743999999999"/>
  </r>
  <r>
    <x v="218"/>
    <n v="1818.3263999999999"/>
  </r>
  <r>
    <x v="559"/>
    <n v="489.78199999999993"/>
  </r>
  <r>
    <x v="560"/>
    <n v="509.14980000000008"/>
  </r>
  <r>
    <x v="296"/>
    <n v="998.18729999999994"/>
  </r>
  <r>
    <x v="206"/>
    <n v="466.78170000000011"/>
  </r>
  <r>
    <x v="8"/>
    <n v="698.76"/>
  </r>
  <r>
    <x v="332"/>
    <n v="1988.568"/>
  </r>
  <r>
    <x v="378"/>
    <n v="1177.0512000000001"/>
  </r>
  <r>
    <x v="57"/>
    <n v="680.65200000000004"/>
  </r>
  <r>
    <x v="561"/>
    <n v="808.64189999999996"/>
  </r>
  <r>
    <x v="330"/>
    <n v="150.76079999999999"/>
  </r>
  <r>
    <x v="519"/>
    <n v="626.67989999999998"/>
  </r>
  <r>
    <x v="454"/>
    <n v="116.39700000000001"/>
  </r>
  <r>
    <x v="562"/>
    <n v="3181.8919999999998"/>
  </r>
  <r>
    <x v="35"/>
    <n v="127.3944"/>
  </r>
  <r>
    <x v="554"/>
    <n v="2826.5160000000001"/>
  </r>
  <r>
    <x v="112"/>
    <n v="1542.1751999999999"/>
  </r>
  <r>
    <x v="327"/>
    <n v="467.77280000000002"/>
  </r>
  <r>
    <x v="6"/>
    <n v="1413.93"/>
  </r>
  <r>
    <x v="522"/>
    <n v="1066.0735999999999"/>
  </r>
  <r>
    <x v="251"/>
    <n v="355.71519999999998"/>
  </r>
  <r>
    <x v="498"/>
    <n v="2404.6821"/>
  </r>
  <r>
    <x v="434"/>
    <n v="606.73080000000004"/>
  </r>
  <r>
    <x v="383"/>
    <n v="1173.508"/>
  </r>
  <r>
    <x v="343"/>
    <n v="1191.6812"/>
  </r>
  <r>
    <x v="110"/>
    <n v="955.01519999999994"/>
  </r>
  <r>
    <x v="562"/>
    <n v="1690.3040000000001"/>
  </r>
  <r>
    <x v="563"/>
    <n v="136.5984"/>
  </r>
  <r>
    <x v="81"/>
    <n v="1270.7460000000001"/>
  </r>
  <r>
    <x v="324"/>
    <n v="1968.6941999999999"/>
  </r>
  <r>
    <x v="418"/>
    <n v="809.04560000000004"/>
  </r>
  <r>
    <x v="427"/>
    <n v="144.9624"/>
  </r>
  <r>
    <x v="527"/>
    <n v="1018.668"/>
  </r>
  <r>
    <x v="540"/>
    <n v="2468.4387000000002"/>
  </r>
  <r>
    <x v="311"/>
    <n v="2278.3208"/>
  </r>
  <r>
    <x v="34"/>
    <n v="2291.6432"/>
  </r>
  <r>
    <x v="507"/>
    <n v="64.895600000000002"/>
  </r>
  <r>
    <x v="41"/>
    <n v="1266.356"/>
  </r>
  <r>
    <x v="504"/>
    <n v="991.26239999999996"/>
  </r>
  <r>
    <x v="31"/>
    <n v="1742.0255999999999"/>
  </r>
  <r>
    <x v="564"/>
    <n v="1628.1702"/>
  </r>
  <r>
    <x v="416"/>
    <n v="1518.6335999999999"/>
  </r>
  <r>
    <x v="35"/>
    <n v="646.29599999999994"/>
  </r>
  <r>
    <x v="109"/>
    <n v="197.7336"/>
  </r>
  <r>
    <x v="191"/>
    <n v="433.77199999999999"/>
  </r>
  <r>
    <x v="404"/>
    <n v="721.8211"/>
  </r>
  <r>
    <x v="245"/>
    <n v="1267.6251"/>
  </r>
  <r>
    <x v="429"/>
    <n v="603.54259999999988"/>
  </r>
  <r>
    <x v="97"/>
    <n v="1251.5072"/>
  </r>
  <r>
    <x v="331"/>
    <n v="895.68809999999996"/>
  </r>
  <r>
    <x v="528"/>
    <n v="946.53000000000009"/>
  </r>
  <r>
    <x v="565"/>
    <n v="1787.3469"/>
  </r>
  <r>
    <x v="195"/>
    <n v="528.3066"/>
  </r>
  <r>
    <x v="165"/>
    <n v="305.94240000000002"/>
  </r>
  <r>
    <x v="317"/>
    <n v="1369.6744000000001"/>
  </r>
  <r>
    <x v="566"/>
    <n v="1228.4412"/>
  </r>
  <r>
    <x v="372"/>
    <n v="1896.72"/>
  </r>
  <r>
    <x v="509"/>
    <n v="1386.2428"/>
  </r>
  <r>
    <x v="567"/>
    <n v="478.03019999999998"/>
  </r>
  <r>
    <x v="33"/>
    <n v="671.89779999999996"/>
  </r>
  <r>
    <x v="379"/>
    <n v="91.402000000000001"/>
  </r>
  <r>
    <x v="247"/>
    <n v="591.58360000000005"/>
  </r>
  <r>
    <x v="9"/>
    <n v="566.42039999999997"/>
  </r>
  <r>
    <x v="568"/>
    <n v="674.63560000000007"/>
  </r>
  <r>
    <x v="411"/>
    <n v="155.22720000000001"/>
  </r>
  <r>
    <x v="159"/>
    <n v="817.21080000000006"/>
  </r>
  <r>
    <x v="253"/>
    <n v="956.16639999999995"/>
  </r>
  <r>
    <x v="57"/>
    <n v="664.35"/>
  </r>
  <r>
    <x v="569"/>
    <n v="353.27339999999998"/>
  </r>
  <r>
    <x v="541"/>
    <n v="2691.7435999999998"/>
  </r>
  <r>
    <x v="232"/>
    <n v="763.30799999999999"/>
  </r>
  <r>
    <x v="437"/>
    <n v="222.26750000000001"/>
  </r>
  <r>
    <x v="134"/>
    <n v="2135.4168"/>
  </r>
  <r>
    <x v="570"/>
    <n v="2478.4499999999998"/>
  </r>
  <r>
    <x v="413"/>
    <n v="1439.136"/>
  </r>
  <r>
    <x v="229"/>
    <n v="871.41929999999991"/>
  </r>
  <r>
    <x v="229"/>
    <n v="1236.48"/>
  </r>
  <r>
    <x v="571"/>
    <n v="1794.3030000000001"/>
  </r>
  <r>
    <x v="572"/>
    <n v="199.2928"/>
  </r>
  <r>
    <x v="109"/>
    <n v="1022.6838"/>
  </r>
  <r>
    <x v="188"/>
    <n v="810.08579999999995"/>
  </r>
  <r>
    <x v="438"/>
    <n v="2807.8008"/>
  </r>
  <r>
    <x v="456"/>
    <n v="616.029"/>
  </r>
  <r>
    <x v="573"/>
    <n v="1442.76"/>
  </r>
  <r>
    <x v="2"/>
    <n v="69.273600000000002"/>
  </r>
  <r>
    <x v="140"/>
    <n v="2263.0068000000001"/>
  </r>
  <r>
    <x v="176"/>
    <n v="1149.558"/>
  </r>
  <r>
    <x v="126"/>
    <n v="803.22879999999998"/>
  </r>
  <r>
    <x v="21"/>
    <n v="611.20500000000004"/>
  </r>
  <r>
    <x v="482"/>
    <n v="676.73919999999998"/>
  </r>
  <r>
    <x v="507"/>
    <n v="514.69319999999993"/>
  </r>
  <r>
    <x v="310"/>
    <n v="92.848399999999998"/>
  </r>
  <r>
    <x v="574"/>
    <n v="756.76580000000001"/>
  </r>
  <r>
    <x v="164"/>
    <n v="2545.44"/>
  </r>
  <r>
    <x v="575"/>
    <n v="887.56200000000013"/>
  </r>
  <r>
    <x v="267"/>
    <n v="769.04399999999998"/>
  </r>
  <r>
    <x v="215"/>
    <n v="780.69119999999998"/>
  </r>
  <r>
    <x v="576"/>
    <n v="398.95310000000012"/>
  </r>
  <r>
    <x v="577"/>
    <n v="124.8768"/>
  </r>
  <r>
    <x v="578"/>
    <n v="2167.9223999999999"/>
  </r>
  <r>
    <x v="509"/>
    <n v="526.24439999999993"/>
  </r>
  <r>
    <x v="522"/>
    <n v="435.27359999999999"/>
  </r>
  <r>
    <x v="280"/>
    <n v="616.50819999999999"/>
  </r>
  <r>
    <x v="79"/>
    <n v="514.9"/>
  </r>
  <r>
    <x v="206"/>
    <n v="1156.3725999999999"/>
  </r>
  <r>
    <x v="579"/>
    <n v="258.822"/>
  </r>
  <r>
    <x v="418"/>
    <n v="1120.0599"/>
  </r>
  <r>
    <x v="445"/>
    <n v="131.047"/>
  </r>
  <r>
    <x v="138"/>
    <n v="2168.9369999999999"/>
  </r>
  <r>
    <x v="468"/>
    <n v="815.07200000000012"/>
  </r>
  <r>
    <x v="151"/>
    <n v="1665.692"/>
  </r>
  <r>
    <x v="58"/>
    <n v="1570.4166"/>
  </r>
  <r>
    <x v="368"/>
    <n v="405.32"/>
  </r>
  <r>
    <x v="317"/>
    <n v="2269.4976000000001"/>
  </r>
  <r>
    <x v="580"/>
    <n v="3225.9468000000002"/>
  </r>
  <r>
    <x v="146"/>
    <n v="2107.5246000000002"/>
  </r>
  <r>
    <x v="268"/>
    <n v="774.18000000000006"/>
  </r>
  <r>
    <x v="544"/>
    <n v="1080.2103999999999"/>
  </r>
  <r>
    <x v="92"/>
    <n v="689.38279999999997"/>
  </r>
  <r>
    <x v="90"/>
    <n v="36.027200000000001"/>
  </r>
  <r>
    <x v="28"/>
    <n v="600.29549999999995"/>
  </r>
  <r>
    <x v="323"/>
    <n v="1631.3309999999999"/>
  </r>
  <r>
    <x v="204"/>
    <n v="649.74"/>
  </r>
  <r>
    <x v="377"/>
    <n v="231.55500000000001"/>
  </r>
  <r>
    <x v="581"/>
    <n v="1404.075"/>
  </r>
  <r>
    <x v="448"/>
    <n v="193.2576"/>
  </r>
  <r>
    <x v="240"/>
    <n v="1351.3584000000001"/>
  </r>
  <r>
    <x v="501"/>
    <n v="570.11760000000004"/>
  </r>
  <r>
    <x v="582"/>
    <n v="52.003"/>
  </r>
  <r>
    <x v="378"/>
    <n v="1404.0527999999999"/>
  </r>
  <r>
    <x v="578"/>
    <n v="81.647999999999996"/>
  </r>
  <r>
    <x v="50"/>
    <n v="385.2996"/>
  </r>
  <r>
    <x v="360"/>
    <n v="159.87549999999999"/>
  </r>
  <r>
    <x v="583"/>
    <n v="352.59300000000002"/>
  </r>
  <r>
    <x v="584"/>
    <n v="403.58850000000001"/>
  </r>
  <r>
    <x v="238"/>
    <n v="449.51400000000001"/>
  </r>
  <r>
    <x v="314"/>
    <n v="1187.1780000000001"/>
  </r>
  <r>
    <x v="64"/>
    <n v="1175.4168"/>
  </r>
  <r>
    <x v="177"/>
    <n v="3440.0272"/>
  </r>
  <r>
    <x v="230"/>
    <n v="645.30080000000009"/>
  </r>
  <r>
    <x v="55"/>
    <n v="190.7064"/>
  </r>
  <r>
    <x v="352"/>
    <n v="906.23660000000007"/>
  </r>
  <r>
    <x v="433"/>
    <n v="1482.0798"/>
  </r>
  <r>
    <x v="368"/>
    <n v="2102.424"/>
  </r>
  <r>
    <x v="396"/>
    <n v="1219.2570000000001"/>
  </r>
  <r>
    <x v="530"/>
    <n v="1655.7170000000001"/>
  </r>
  <r>
    <x v="585"/>
    <n v="422.01299999999998"/>
  </r>
  <r>
    <x v="447"/>
    <n v="429.32159999999999"/>
  </r>
  <r>
    <x v="323"/>
    <n v="1639.2095999999999"/>
  </r>
  <r>
    <x v="586"/>
    <n v="85.169700000000006"/>
  </r>
  <r>
    <x v="67"/>
    <n v="2397.4079999999999"/>
  </r>
  <r>
    <x v="392"/>
    <n v="296.31689999999998"/>
  </r>
  <r>
    <x v="89"/>
    <n v="285.96719999999999"/>
  </r>
  <r>
    <x v="148"/>
    <n v="304.76749999999998"/>
  </r>
  <r>
    <x v="569"/>
    <n v="767.48159999999996"/>
  </r>
  <r>
    <x v="494"/>
    <n v="1147.4495999999999"/>
  </r>
  <r>
    <x v="587"/>
    <n v="1776.3743999999999"/>
  </r>
  <r>
    <x v="105"/>
    <n v="545.80500000000006"/>
  </r>
  <r>
    <x v="400"/>
    <n v="945.12599999999998"/>
  </r>
  <r>
    <x v="588"/>
    <n v="2232.5688"/>
  </r>
  <r>
    <x v="511"/>
    <n v="2971.0295999999998"/>
  </r>
  <r>
    <x v="408"/>
    <n v="942.01600000000008"/>
  </r>
  <r>
    <x v="347"/>
    <n v="1628.0208"/>
  </r>
  <r>
    <x v="95"/>
    <n v="889.30799999999999"/>
  </r>
  <r>
    <x v="154"/>
    <n v="661.7595"/>
  </r>
  <r>
    <x v="532"/>
    <n v="1845.9659999999999"/>
  </r>
  <r>
    <x v="160"/>
    <n v="1828.1120000000001"/>
  </r>
  <r>
    <x v="343"/>
    <n v="593.79"/>
  </r>
  <r>
    <x v="509"/>
    <n v="1900.1135999999999"/>
  </r>
  <r>
    <x v="548"/>
    <n v="2950.14"/>
  </r>
  <r>
    <x v="336"/>
    <n v="821.35159999999996"/>
  </r>
  <r>
    <x v="227"/>
    <n v="1756.5324000000001"/>
  </r>
  <r>
    <x v="2"/>
    <n v="1568.943"/>
  </r>
  <r>
    <x v="589"/>
    <n v="548.06200000000001"/>
  </r>
  <r>
    <x v="89"/>
    <n v="954.06080000000009"/>
  </r>
  <r>
    <x v="114"/>
    <n v="1194.9028000000001"/>
  </r>
  <r>
    <x v="469"/>
    <n v="3220.3444"/>
  </r>
  <r>
    <x v="203"/>
    <n v="40.976100000000002"/>
  </r>
  <r>
    <x v="454"/>
    <n v="189.61760000000001"/>
  </r>
  <r>
    <x v="68"/>
    <n v="264.91500000000002"/>
  </r>
  <r>
    <x v="374"/>
    <n v="1369.1215999999999"/>
  </r>
  <r>
    <x v="302"/>
    <n v="331.17"/>
  </r>
  <r>
    <x v="590"/>
    <n v="1275.799"/>
  </r>
  <r>
    <x v="591"/>
    <n v="1926.15"/>
  </r>
  <r>
    <x v="429"/>
    <n v="1370.5232000000001"/>
  </r>
  <r>
    <x v="592"/>
    <n v="679.18619999999999"/>
  </r>
  <r>
    <x v="393"/>
    <n v="1053.7551000000001"/>
  </r>
  <r>
    <x v="579"/>
    <n v="333.85090000000002"/>
  </r>
  <r>
    <x v="200"/>
    <n v="819.71759999999995"/>
  </r>
  <r>
    <x v="483"/>
    <n v="1187.8979999999999"/>
  </r>
  <r>
    <x v="593"/>
    <n v="2093.6736000000001"/>
  </r>
  <r>
    <x v="551"/>
    <n v="202.9836"/>
  </r>
  <r>
    <x v="101"/>
    <n v="32.659199999999998"/>
  </r>
  <r>
    <x v="260"/>
    <n v="1031.7507000000001"/>
  </r>
  <r>
    <x v="423"/>
    <n v="1746.712"/>
  </r>
  <r>
    <x v="3"/>
    <n v="1754.94"/>
  </r>
  <r>
    <x v="459"/>
    <n v="530.21159999999998"/>
  </r>
  <r>
    <x v="9"/>
    <n v="2035.854"/>
  </r>
  <r>
    <x v="455"/>
    <n v="361.45920000000001"/>
  </r>
  <r>
    <x v="282"/>
    <n v="953.45100000000014"/>
  </r>
  <r>
    <x v="24"/>
    <n v="685.3069999999999"/>
  </r>
  <r>
    <x v="340"/>
    <n v="584.04599999999994"/>
  </r>
  <r>
    <x v="538"/>
    <n v="530.14499999999998"/>
  </r>
  <r>
    <x v="500"/>
    <n v="3721.52"/>
  </r>
  <r>
    <x v="22"/>
    <n v="665.51679999999999"/>
  </r>
  <r>
    <x v="461"/>
    <n v="229.35640000000001"/>
  </r>
  <r>
    <x v="594"/>
    <n v="800.58119999999997"/>
  </r>
  <r>
    <x v="43"/>
    <n v="122.968"/>
  </r>
  <r>
    <x v="595"/>
    <n v="1363.4544000000001"/>
  </r>
  <r>
    <x v="289"/>
    <n v="912.00359999999989"/>
  </r>
  <r>
    <x v="534"/>
    <n v="112.4496"/>
  </r>
  <r>
    <x v="590"/>
    <n v="1287.6084000000001"/>
  </r>
  <r>
    <x v="157"/>
    <n v="3602.7264"/>
  </r>
  <r>
    <x v="596"/>
    <n v="1538.4005999999999"/>
  </r>
  <r>
    <x v="597"/>
    <n v="82.54679999999999"/>
  </r>
  <r>
    <x v="0"/>
    <n v="1417.8240000000001"/>
  </r>
  <r>
    <x v="593"/>
    <n v="213.709"/>
  </r>
  <r>
    <x v="163"/>
    <n v="800.33699999999999"/>
  </r>
  <r>
    <x v="525"/>
    <n v="333.04919999999998"/>
  </r>
  <r>
    <x v="598"/>
    <n v="514.29959999999994"/>
  </r>
  <r>
    <x v="202"/>
    <n v="2299.5983999999999"/>
  </r>
  <r>
    <x v="581"/>
    <n v="2013.7872"/>
  </r>
  <r>
    <x v="599"/>
    <n v="1228.4894999999999"/>
  </r>
  <r>
    <x v="574"/>
    <n v="77.022000000000006"/>
  </r>
  <r>
    <x v="100"/>
    <n v="2560"/>
  </r>
  <r>
    <x v="69"/>
    <n v="262.51499999999999"/>
  </r>
  <r>
    <x v="205"/>
    <n v="158.50749999999999"/>
  </r>
  <r>
    <x v="89"/>
    <n v="2205.0239999999999"/>
  </r>
  <r>
    <x v="600"/>
    <n v="1538.942"/>
  </r>
  <r>
    <x v="312"/>
    <n v="909.83199999999999"/>
  </r>
  <r>
    <x v="206"/>
    <n v="194.17859999999999"/>
  </r>
  <r>
    <x v="35"/>
    <n v="2566.404"/>
  </r>
  <r>
    <x v="601"/>
    <n v="786.19040000000007"/>
  </r>
  <r>
    <x v="602"/>
    <n v="1125.896"/>
  </r>
  <r>
    <x v="75"/>
    <n v="1715.0595000000001"/>
  </r>
  <r>
    <x v="130"/>
    <n v="887.30400000000009"/>
  </r>
  <r>
    <x v="213"/>
    <n v="800.72879999999998"/>
  </r>
  <r>
    <x v="359"/>
    <n v="2859.2928000000002"/>
  </r>
  <r>
    <x v="30"/>
    <n v="570.78420000000006"/>
  </r>
  <r>
    <x v="603"/>
    <n v="2481.5216"/>
  </r>
  <r>
    <x v="539"/>
    <n v="2358.1583999999998"/>
  </r>
  <r>
    <x v="414"/>
    <n v="445.10399999999998"/>
  </r>
  <r>
    <x v="540"/>
    <n v="1371.5504000000001"/>
  </r>
  <r>
    <x v="157"/>
    <n v="673.875"/>
  </r>
  <r>
    <x v="604"/>
    <n v="223.87280000000001"/>
  </r>
  <r>
    <x v="605"/>
    <n v="574.10699999999997"/>
  </r>
  <r>
    <x v="213"/>
    <n v="529.88580000000002"/>
  </r>
  <r>
    <x v="25"/>
    <n v="929.16320000000007"/>
  </r>
  <r>
    <x v="260"/>
    <n v="1071.904"/>
  </r>
  <r>
    <x v="587"/>
    <n v="763.97759999999994"/>
  </r>
  <r>
    <x v="402"/>
    <n v="712.59749999999985"/>
  </r>
  <r>
    <x v="606"/>
    <n v="2013.5178000000001"/>
  </r>
  <r>
    <x v="513"/>
    <n v="1438.8352"/>
  </r>
  <r>
    <x v="607"/>
    <n v="213.55879999999999"/>
  </r>
  <r>
    <x v="490"/>
    <n v="1925.8533"/>
  </r>
  <r>
    <x v="326"/>
    <n v="1146.6271999999999"/>
  </r>
  <r>
    <x v="2"/>
    <n v="64.878399999999999"/>
  </r>
  <r>
    <x v="97"/>
    <n v="36.225000000000001"/>
  </r>
  <r>
    <x v="432"/>
    <n v="1537.404"/>
  </r>
  <r>
    <x v="154"/>
    <n v="1548.9465"/>
  </r>
  <r>
    <x v="608"/>
    <n v="1969.9559999999999"/>
  </r>
  <r>
    <x v="500"/>
    <n v="1659.9756"/>
  </r>
  <r>
    <x v="363"/>
    <n v="1280.115"/>
  </r>
  <r>
    <x v="470"/>
    <n v="150.7902"/>
  </r>
  <r>
    <x v="270"/>
    <n v="812.75739999999996"/>
  </r>
  <r>
    <x v="12"/>
    <n v="1005.3216"/>
  </r>
  <r>
    <x v="150"/>
    <n v="590.84100000000001"/>
  </r>
  <r>
    <x v="270"/>
    <n v="1040.2403999999999"/>
  </r>
  <r>
    <x v="444"/>
    <n v="2182.4463999999998"/>
  </r>
  <r>
    <x v="78"/>
    <n v="105.47280000000001"/>
  </r>
  <r>
    <x v="367"/>
    <n v="343.6694"/>
  </r>
  <r>
    <x v="609"/>
    <n v="103.9311"/>
  </r>
  <r>
    <x v="465"/>
    <n v="900.59199999999998"/>
  </r>
  <r>
    <x v="410"/>
    <n v="1505.2575999999999"/>
  </r>
  <r>
    <x v="216"/>
    <n v="926.40100000000007"/>
  </r>
  <r>
    <x v="490"/>
    <n v="242.03899999999999"/>
  </r>
  <r>
    <x v="311"/>
    <n v="1627.4391000000001"/>
  </r>
  <r>
    <x v="332"/>
    <n v="138.4229"/>
  </r>
  <r>
    <x v="91"/>
    <n v="1774.3440000000001"/>
  </r>
  <r>
    <x v="610"/>
    <n v="1477.5"/>
  </r>
  <r>
    <x v="111"/>
    <n v="615.74040000000002"/>
  </r>
  <r>
    <x v="389"/>
    <n v="2774.6131999999998"/>
  </r>
  <r>
    <x v="611"/>
    <n v="450.52399999999989"/>
  </r>
  <r>
    <x v="144"/>
    <n v="2549.4839999999999"/>
  </r>
  <r>
    <x v="612"/>
    <n v="1359.5925"/>
  </r>
  <r>
    <x v="613"/>
    <n v="1373.7651000000001"/>
  </r>
  <r>
    <x v="10"/>
    <n v="502.62119999999999"/>
  </r>
  <r>
    <x v="288"/>
    <n v="1861.9880000000001"/>
  </r>
  <r>
    <x v="525"/>
    <n v="1904.5440000000001"/>
  </r>
  <r>
    <x v="387"/>
    <n v="273.52260000000001"/>
  </r>
  <r>
    <x v="614"/>
    <n v="95.408200000000008"/>
  </r>
  <r>
    <x v="128"/>
    <n v="700.5544000000001"/>
  </r>
  <r>
    <x v="76"/>
    <n v="257.24009999999998"/>
  </r>
  <r>
    <x v="317"/>
    <n v="2460.3708000000001"/>
  </r>
  <r>
    <x v="615"/>
    <n v="142.52520000000001"/>
  </r>
  <r>
    <x v="305"/>
    <n v="287.38799999999998"/>
  </r>
  <r>
    <x v="435"/>
    <n v="2760.5439999999999"/>
  </r>
  <r>
    <x v="338"/>
    <n v="54.489600000000003"/>
  </r>
  <r>
    <x v="175"/>
    <n v="1448.752"/>
  </r>
  <r>
    <x v="401"/>
    <n v="469.00080000000003"/>
  </r>
  <r>
    <x v="494"/>
    <n v="1741.35"/>
  </r>
  <r>
    <x v="58"/>
    <n v="1482.1808000000001"/>
  </r>
  <r>
    <x v="494"/>
    <n v="634.17840000000001"/>
  </r>
  <r>
    <x v="275"/>
    <n v="3034.2824000000001"/>
  </r>
  <r>
    <x v="375"/>
    <n v="1867.9205999999999"/>
  </r>
  <r>
    <x v="315"/>
    <n v="2839.6248000000001"/>
  </r>
  <r>
    <x v="102"/>
    <n v="1602.7067999999999"/>
  </r>
  <r>
    <x v="100"/>
    <n v="2281.14"/>
  </r>
  <r>
    <x v="369"/>
    <n v="1451.6960999999999"/>
  </r>
  <r>
    <x v="128"/>
    <n v="1792.1180999999999"/>
  </r>
  <r>
    <x v="394"/>
    <n v="954.76499999999999"/>
  </r>
  <r>
    <x v="616"/>
    <n v="1142.4972"/>
  </r>
  <r>
    <x v="61"/>
    <n v="396.23039999999992"/>
  </r>
  <r>
    <x v="297"/>
    <n v="3019.2287999999999"/>
  </r>
  <r>
    <x v="617"/>
    <n v="342.92250000000001"/>
  </r>
  <r>
    <x v="618"/>
    <n v="2100.7728000000002"/>
  </r>
  <r>
    <x v="157"/>
    <n v="523.77599999999995"/>
  </r>
  <r>
    <x v="51"/>
    <n v="372.0299"/>
  </r>
  <r>
    <x v="316"/>
    <n v="1311.4192"/>
  </r>
  <r>
    <x v="126"/>
    <n v="2487.3809999999989"/>
  </r>
  <r>
    <x v="290"/>
    <n v="373.66559999999998"/>
  </r>
  <r>
    <x v="552"/>
    <n v="192.88499999999999"/>
  </r>
  <r>
    <x v="619"/>
    <n v="1171.2978000000001"/>
  </r>
  <r>
    <x v="541"/>
    <n v="255.88800000000001"/>
  </r>
  <r>
    <x v="620"/>
    <n v="377.10980000000001"/>
  </r>
  <r>
    <x v="486"/>
    <n v="2585.8643999999999"/>
  </r>
  <r>
    <x v="146"/>
    <n v="2367.15"/>
  </r>
  <r>
    <x v="313"/>
    <n v="570.52"/>
  </r>
  <r>
    <x v="302"/>
    <n v="969.66480000000013"/>
  </r>
  <r>
    <x v="234"/>
    <n v="848.82439999999997"/>
  </r>
  <r>
    <x v="433"/>
    <n v="487.18799999999999"/>
  </r>
  <r>
    <x v="62"/>
    <n v="896.04000000000019"/>
  </r>
  <r>
    <x v="542"/>
    <n v="46.216799999999999"/>
  </r>
  <r>
    <x v="104"/>
    <n v="586.71719999999993"/>
  </r>
  <r>
    <x v="523"/>
    <n v="2033.9405999999999"/>
  </r>
  <r>
    <x v="163"/>
    <n v="2576.2302"/>
  </r>
  <r>
    <x v="5"/>
    <n v="736.66800000000001"/>
  </r>
  <r>
    <x v="539"/>
    <n v="1022.2128"/>
  </r>
  <r>
    <x v="101"/>
    <n v="547.74720000000002"/>
  </r>
  <r>
    <x v="415"/>
    <n v="813.04719999999998"/>
  </r>
  <r>
    <x v="225"/>
    <n v="48.101500000000001"/>
  </r>
  <r>
    <x v="228"/>
    <n v="2906.5680000000002"/>
  </r>
  <r>
    <x v="361"/>
    <n v="898.8216000000001"/>
  </r>
  <r>
    <x v="9"/>
    <n v="311.43279999999999"/>
  </r>
  <r>
    <x v="583"/>
    <n v="1005.3944"/>
  </r>
  <r>
    <x v="199"/>
    <n v="1512.2267999999999"/>
  </r>
  <r>
    <x v="621"/>
    <n v="1176.4536000000001"/>
  </r>
  <r>
    <x v="54"/>
    <n v="291.5822"/>
  </r>
  <r>
    <x v="177"/>
    <n v="513.81359999999995"/>
  </r>
  <r>
    <x v="21"/>
    <n v="359.50400000000002"/>
  </r>
  <r>
    <x v="295"/>
    <n v="1392.2716"/>
  </r>
  <r>
    <x v="297"/>
    <n v="577.82339999999999"/>
  </r>
  <r>
    <x v="622"/>
    <n v="103.8609"/>
  </r>
  <r>
    <x v="233"/>
    <n v="457.73700000000002"/>
  </r>
  <r>
    <x v="214"/>
    <n v="758.38120000000004"/>
  </r>
  <r>
    <x v="209"/>
    <n v="127.2171"/>
  </r>
  <r>
    <x v="623"/>
    <n v="2110.1255999999998"/>
  </r>
  <r>
    <x v="463"/>
    <n v="449.03949999999998"/>
  </r>
  <r>
    <x v="85"/>
    <n v="384.11040000000003"/>
  </r>
  <r>
    <x v="530"/>
    <n v="372.28500000000003"/>
  </r>
  <r>
    <x v="299"/>
    <n v="241.03399999999999"/>
  </r>
  <r>
    <x v="498"/>
    <n v="1832.3789999999999"/>
  </r>
  <r>
    <x v="145"/>
    <n v="1813.0716"/>
  </r>
  <r>
    <x v="624"/>
    <n v="538.5634"/>
  </r>
  <r>
    <x v="42"/>
    <n v="2163.7055999999998"/>
  </r>
  <r>
    <x v="507"/>
    <n v="794.45699999999999"/>
  </r>
  <r>
    <x v="38"/>
    <n v="888.0444"/>
  </r>
  <r>
    <x v="625"/>
    <n v="1169.6238000000001"/>
  </r>
  <r>
    <x v="477"/>
    <n v="269.87189999999998"/>
  </r>
  <r>
    <x v="626"/>
    <n v="925.18960000000004"/>
  </r>
  <r>
    <x v="63"/>
    <n v="1685.1573000000001"/>
  </r>
  <r>
    <x v="625"/>
    <n v="660.11400000000003"/>
  </r>
  <r>
    <x v="252"/>
    <n v="726.80000000000007"/>
  </r>
  <r>
    <x v="627"/>
    <n v="1272.5920000000001"/>
  </r>
  <r>
    <x v="451"/>
    <n v="542.57100000000003"/>
  </r>
  <r>
    <x v="285"/>
    <n v="411.71490000000011"/>
  </r>
  <r>
    <x v="106"/>
    <n v="229.023"/>
  </r>
  <r>
    <x v="582"/>
    <n v="2234.7188000000001"/>
  </r>
  <r>
    <x v="22"/>
    <n v="1138.83"/>
  </r>
  <r>
    <x v="82"/>
    <n v="1677.4903999999999"/>
  </r>
  <r>
    <x v="628"/>
    <n v="599.58359999999993"/>
  </r>
  <r>
    <x v="288"/>
    <n v="101.3886"/>
  </r>
  <r>
    <x v="278"/>
    <n v="3316.16"/>
  </r>
  <r>
    <x v="333"/>
    <n v="125.8888"/>
  </r>
  <r>
    <x v="13"/>
    <n v="1023.33"/>
  </r>
  <r>
    <x v="494"/>
    <n v="1984.7356"/>
  </r>
  <r>
    <x v="185"/>
    <n v="713.4"/>
  </r>
  <r>
    <x v="628"/>
    <n v="1249.5006000000001"/>
  </r>
  <r>
    <x v="629"/>
    <n v="340.06259999999997"/>
  </r>
  <r>
    <x v="56"/>
    <n v="1171.2288000000001"/>
  </r>
  <r>
    <x v="488"/>
    <n v="728.12040000000002"/>
  </r>
  <r>
    <x v="313"/>
    <n v="2107.4004"/>
  </r>
  <r>
    <x v="164"/>
    <n v="1818.4914000000001"/>
  </r>
  <r>
    <x v="391"/>
    <n v="1283.2403999999999"/>
  </r>
  <r>
    <x v="453"/>
    <n v="323.56099999999998"/>
  </r>
  <r>
    <x v="332"/>
    <n v="339.42459999999988"/>
  </r>
  <r>
    <x v="463"/>
    <n v="172.76669999999999"/>
  </r>
  <r>
    <x v="165"/>
    <n v="1974.2418"/>
  </r>
  <r>
    <x v="469"/>
    <n v="971.39200000000005"/>
  </r>
  <r>
    <x v="559"/>
    <n v="519.15329999999994"/>
  </r>
  <r>
    <x v="630"/>
    <n v="953.55000000000007"/>
  </r>
  <r>
    <x v="131"/>
    <n v="165.84469999999999"/>
  </r>
  <r>
    <x v="597"/>
    <n v="297.28919999999999"/>
  </r>
  <r>
    <x v="302"/>
    <n v="1523.124"/>
  </r>
  <r>
    <x v="14"/>
    <n v="730.19159999999999"/>
  </r>
  <r>
    <x v="401"/>
    <n v="1657.5455999999999"/>
  </r>
  <r>
    <x v="534"/>
    <n v="3228.8760000000002"/>
  </r>
  <r>
    <x v="631"/>
    <n v="1426.6980000000001"/>
  </r>
  <r>
    <x v="506"/>
    <n v="1450.89"/>
  </r>
  <r>
    <x v="549"/>
    <n v="360.85559999999998"/>
  </r>
  <r>
    <x v="543"/>
    <n v="1972.92"/>
  </r>
  <r>
    <x v="326"/>
    <n v="86.285399999999996"/>
  </r>
  <r>
    <x v="92"/>
    <n v="2748.2224000000001"/>
  </r>
  <r>
    <x v="143"/>
    <n v="272.62180000000001"/>
  </r>
  <r>
    <x v="632"/>
    <n v="426.12240000000003"/>
  </r>
  <r>
    <x v="613"/>
    <n v="799.13340000000005"/>
  </r>
  <r>
    <x v="612"/>
    <n v="2026.1829"/>
  </r>
  <r>
    <x v="375"/>
    <n v="1395.6948"/>
  </r>
  <r>
    <x v="70"/>
    <n v="1583.0316"/>
  </r>
  <r>
    <x v="171"/>
    <n v="2801.768"/>
  </r>
  <r>
    <x v="584"/>
    <n v="1857.2175999999999"/>
  </r>
  <r>
    <x v="186"/>
    <n v="3745.8047999999999"/>
  </r>
  <r>
    <x v="134"/>
    <n v="1776.5286000000001"/>
  </r>
  <r>
    <x v="308"/>
    <n v="1905.1724999999999"/>
  </r>
  <r>
    <x v="270"/>
    <n v="1462.0029999999999"/>
  </r>
  <r>
    <x v="122"/>
    <n v="113.33580000000001"/>
  </r>
  <r>
    <x v="269"/>
    <n v="90.479799999999997"/>
  </r>
  <r>
    <x v="271"/>
    <n v="325.54419999999999"/>
  </r>
  <r>
    <x v="254"/>
    <n v="535.35019999999997"/>
  </r>
  <r>
    <x v="371"/>
    <n v="678.60799999999995"/>
  </r>
  <r>
    <x v="197"/>
    <n v="1352.076"/>
  </r>
  <r>
    <x v="352"/>
    <n v="347.82000000000011"/>
  </r>
  <r>
    <x v="539"/>
    <n v="81.619199999999992"/>
  </r>
  <r>
    <x v="132"/>
    <n v="1536.7439999999999"/>
  </r>
  <r>
    <x v="187"/>
    <n v="1846.08"/>
  </r>
  <r>
    <x v="25"/>
    <n v="541.66739999999993"/>
  </r>
  <r>
    <x v="519"/>
    <n v="2467.4495999999999"/>
  </r>
  <r>
    <x v="421"/>
    <n v="419.46480000000003"/>
  </r>
  <r>
    <x v="633"/>
    <n v="891.87199999999996"/>
  </r>
  <r>
    <x v="411"/>
    <n v="1740.6279999999999"/>
  </r>
  <r>
    <x v="528"/>
    <n v="714.41759999999999"/>
  </r>
  <r>
    <x v="438"/>
    <n v="3293.5448000000001"/>
  </r>
  <r>
    <x v="330"/>
    <n v="529.74900000000002"/>
  </r>
  <r>
    <x v="269"/>
    <n v="2728.2024000000001"/>
  </r>
  <r>
    <x v="273"/>
    <n v="333.81279999999998"/>
  </r>
  <r>
    <x v="634"/>
    <n v="312.08049999999997"/>
  </r>
  <r>
    <x v="295"/>
    <n v="1032.0813000000001"/>
  </r>
  <r>
    <x v="259"/>
    <n v="683.00099999999998"/>
  </r>
  <r>
    <x v="342"/>
    <n v="2974.6439999999998"/>
  </r>
  <r>
    <x v="368"/>
    <n v="818.42499999999995"/>
  </r>
  <r>
    <x v="629"/>
    <n v="435.34199999999998"/>
  </r>
  <r>
    <x v="606"/>
    <n v="871.39699999999993"/>
  </r>
  <r>
    <x v="635"/>
    <n v="344.53680000000003"/>
  </r>
  <r>
    <x v="434"/>
    <n v="502.51319999999998"/>
  </r>
  <r>
    <x v="603"/>
    <n v="515.9325"/>
  </r>
  <r>
    <x v="68"/>
    <n v="2101.0626000000002"/>
  </r>
  <r>
    <x v="636"/>
    <n v="359.19650000000001"/>
  </r>
  <r>
    <x v="442"/>
    <n v="857.1"/>
  </r>
  <r>
    <x v="378"/>
    <n v="1112.9536000000001"/>
  </r>
  <r>
    <x v="224"/>
    <n v="413.5335"/>
  </r>
  <r>
    <x v="562"/>
    <n v="2010.6432"/>
  </r>
  <r>
    <x v="605"/>
    <n v="444.61439999999988"/>
  </r>
  <r>
    <x v="384"/>
    <n v="1533.8240000000001"/>
  </r>
  <r>
    <x v="424"/>
    <n v="1081.0134"/>
  </r>
  <r>
    <x v="172"/>
    <n v="618.69359999999995"/>
  </r>
  <r>
    <x v="426"/>
    <n v="377.28"/>
  </r>
  <r>
    <x v="488"/>
    <n v="1630.3391999999999"/>
  </r>
  <r>
    <x v="359"/>
    <n v="229.3109"/>
  </r>
  <r>
    <x v="191"/>
    <n v="189.21600000000001"/>
  </r>
  <r>
    <x v="163"/>
    <n v="692.38839999999993"/>
  </r>
  <r>
    <x v="342"/>
    <n v="1884.54"/>
  </r>
  <r>
    <x v="551"/>
    <n v="906.50339999999994"/>
  </r>
  <r>
    <x v="591"/>
    <n v="716.1336"/>
  </r>
  <r>
    <x v="407"/>
    <n v="137.697"/>
  </r>
  <r>
    <x v="468"/>
    <n v="1345.6368"/>
  </r>
  <r>
    <x v="501"/>
    <n v="148.49160000000001"/>
  </r>
  <r>
    <x v="321"/>
    <n v="2936.0144"/>
  </r>
  <r>
    <x v="637"/>
    <n v="328.02"/>
  </r>
  <r>
    <x v="471"/>
    <n v="944.47099999999989"/>
  </r>
  <r>
    <x v="255"/>
    <n v="126.5916"/>
  </r>
  <r>
    <x v="589"/>
    <n v="1579.7805000000001"/>
  </r>
  <r>
    <x v="140"/>
    <n v="682.55600000000004"/>
  </r>
  <r>
    <x v="638"/>
    <n v="1877.6687999999999"/>
  </r>
  <r>
    <x v="629"/>
    <n v="1289.6099999999999"/>
  </r>
  <r>
    <x v="494"/>
    <n v="1631.2854"/>
  </r>
  <r>
    <x v="431"/>
    <n v="392.02720000000011"/>
  </r>
  <r>
    <x v="37"/>
    <n v="576.97299999999996"/>
  </r>
  <r>
    <x v="371"/>
    <n v="953.48760000000004"/>
  </r>
  <r>
    <x v="565"/>
    <n v="1136.7583999999999"/>
  </r>
  <r>
    <x v="627"/>
    <n v="468.78320000000002"/>
  </r>
  <r>
    <x v="265"/>
    <n v="385.67880000000002"/>
  </r>
  <r>
    <x v="5"/>
    <n v="1084.7936"/>
  </r>
  <r>
    <x v="244"/>
    <n v="1616.8104000000001"/>
  </r>
  <r>
    <x v="534"/>
    <n v="753.50399999999991"/>
  </r>
  <r>
    <x v="360"/>
    <n v="184.22909999999999"/>
  </r>
  <r>
    <x v="141"/>
    <n v="2801.19"/>
  </r>
  <r>
    <x v="639"/>
    <n v="1587.4998000000001"/>
  </r>
  <r>
    <x v="500"/>
    <n v="2465.9856"/>
  </r>
  <r>
    <x v="70"/>
    <n v="189.244"/>
  </r>
  <r>
    <x v="8"/>
    <n v="1898.2482"/>
  </r>
  <r>
    <x v="38"/>
    <n v="860.31959999999992"/>
  </r>
  <r>
    <x v="298"/>
    <n v="1220.0219999999999"/>
  </r>
  <r>
    <x v="61"/>
    <n v="1261.6379999999999"/>
  </r>
  <r>
    <x v="169"/>
    <n v="3332.0888"/>
  </r>
  <r>
    <x v="68"/>
    <n v="502.10700000000003"/>
  </r>
  <r>
    <x v="133"/>
    <n v="269.01659999999998"/>
  </r>
  <r>
    <x v="187"/>
    <n v="1823.1948"/>
  </r>
  <r>
    <x v="387"/>
    <n v="905.85"/>
  </r>
  <r>
    <x v="191"/>
    <n v="2019.6945000000001"/>
  </r>
  <r>
    <x v="545"/>
    <n v="980.35440000000006"/>
  </r>
  <r>
    <x v="640"/>
    <n v="136.09960000000001"/>
  </r>
  <r>
    <x v="244"/>
    <n v="641.91689999999994"/>
  </r>
  <r>
    <x v="641"/>
    <n v="248.17830000000001"/>
  </r>
  <r>
    <x v="329"/>
    <n v="230.12520000000001"/>
  </r>
  <r>
    <x v="619"/>
    <n v="169.72800000000001"/>
  </r>
  <r>
    <x v="259"/>
    <n v="37.328000000000003"/>
  </r>
  <r>
    <x v="21"/>
    <n v="2474.2080000000001"/>
  </r>
  <r>
    <x v="512"/>
    <n v="1065.4896000000001"/>
  </r>
  <r>
    <x v="214"/>
    <n v="706.77879999999993"/>
  </r>
  <r>
    <x v="336"/>
    <n v="3393.88"/>
  </r>
  <r>
    <x v="45"/>
    <n v="878.50620000000004"/>
  </r>
  <r>
    <x v="414"/>
    <n v="958.95360000000005"/>
  </r>
  <r>
    <x v="642"/>
    <n v="287.39620000000002"/>
  </r>
  <r>
    <x v="401"/>
    <n v="487.8535"/>
  </r>
  <r>
    <x v="224"/>
    <n v="129.72479999999999"/>
  </r>
  <r>
    <x v="374"/>
    <n v="1407.6017999999999"/>
  </r>
  <r>
    <x v="643"/>
    <n v="349.22250000000003"/>
  </r>
  <r>
    <x v="364"/>
    <n v="1243.1224"/>
  </r>
  <r>
    <x v="624"/>
    <n v="661.47080000000005"/>
  </r>
  <r>
    <x v="186"/>
    <n v="1081.04"/>
  </r>
  <r>
    <x v="621"/>
    <n v="1023.264"/>
  </r>
  <r>
    <x v="621"/>
    <n v="77.293200000000013"/>
  </r>
  <r>
    <x v="306"/>
    <n v="1302.3671999999999"/>
  </r>
  <r>
    <x v="644"/>
    <n v="2677.0619999999999"/>
  </r>
  <r>
    <x v="195"/>
    <n v="2434.0672"/>
  </r>
  <r>
    <x v="474"/>
    <n v="2733.2267999999999"/>
  </r>
  <r>
    <x v="180"/>
    <n v="361.16199999999998"/>
  </r>
  <r>
    <x v="645"/>
    <n v="1758.2940000000001"/>
  </r>
  <r>
    <x v="469"/>
    <n v="605.50099999999998"/>
  </r>
  <r>
    <x v="67"/>
    <n v="362.32350000000002"/>
  </r>
  <r>
    <x v="41"/>
    <n v="1455.1325999999999"/>
  </r>
  <r>
    <x v="103"/>
    <n v="2320.2784000000001"/>
  </r>
  <r>
    <x v="423"/>
    <n v="324.02999999999997"/>
  </r>
  <r>
    <x v="367"/>
    <n v="1202.4012"/>
  </r>
  <r>
    <x v="275"/>
    <n v="863.60260000000005"/>
  </r>
  <r>
    <x v="76"/>
    <n v="167.76"/>
  </r>
  <r>
    <x v="598"/>
    <n v="579.24950000000001"/>
  </r>
  <r>
    <x v="228"/>
    <n v="1578.9780000000001"/>
  </r>
  <r>
    <x v="465"/>
    <n v="758.03660000000002"/>
  </r>
  <r>
    <x v="53"/>
    <n v="140.72"/>
  </r>
  <r>
    <x v="646"/>
    <n v="1176.9449999999999"/>
  </r>
  <r>
    <x v="217"/>
    <n v="229.614"/>
  </r>
  <r>
    <x v="234"/>
    <n v="2103.1763999999998"/>
  </r>
  <r>
    <x v="163"/>
    <n v="1801.4190000000001"/>
  </r>
  <r>
    <x v="513"/>
    <n v="221.61"/>
  </r>
  <r>
    <x v="185"/>
    <n v="727.28659999999991"/>
  </r>
  <r>
    <x v="647"/>
    <n v="1758.4811999999999"/>
  </r>
  <r>
    <x v="648"/>
    <n v="84.527199999999993"/>
  </r>
  <r>
    <x v="386"/>
    <n v="2155.2719999999999"/>
  </r>
  <r>
    <x v="68"/>
    <n v="104.6199"/>
  </r>
  <r>
    <x v="431"/>
    <n v="384.4665"/>
  </r>
  <r>
    <x v="581"/>
    <n v="1398.712"/>
  </r>
  <r>
    <x v="649"/>
    <n v="1250.8044"/>
  </r>
  <r>
    <x v="528"/>
    <n v="104.227"/>
  </r>
  <r>
    <x v="389"/>
    <n v="1340.0001999999999"/>
  </r>
  <r>
    <x v="629"/>
    <n v="299.4939"/>
  </r>
  <r>
    <x v="154"/>
    <n v="226.22540000000001"/>
  </r>
  <r>
    <x v="183"/>
    <n v="902.25379999999996"/>
  </r>
  <r>
    <x v="600"/>
    <n v="390.95979999999997"/>
  </r>
  <r>
    <x v="469"/>
    <n v="2280.3669"/>
  </r>
  <r>
    <x v="156"/>
    <n v="2291.73"/>
  </r>
  <r>
    <x v="462"/>
    <n v="1155.2436"/>
  </r>
  <r>
    <x v="155"/>
    <n v="511.35"/>
  </r>
  <r>
    <x v="225"/>
    <n v="125.1588"/>
  </r>
  <r>
    <x v="475"/>
    <n v="1523.0640000000001"/>
  </r>
  <r>
    <x v="500"/>
    <n v="1423.7184"/>
  </r>
  <r>
    <x v="117"/>
    <n v="642.90499999999997"/>
  </r>
  <r>
    <x v="91"/>
    <n v="174.40440000000001"/>
  </r>
  <r>
    <x v="312"/>
    <n v="1939.2012"/>
  </r>
  <r>
    <x v="177"/>
    <n v="2249.4911999999999"/>
  </r>
  <r>
    <x v="441"/>
    <n v="456.14399999999989"/>
  </r>
  <r>
    <x v="415"/>
    <n v="57.389600000000002"/>
  </r>
  <r>
    <x v="634"/>
    <n v="781.61599999999999"/>
  </r>
  <r>
    <x v="460"/>
    <n v="1348.2149999999999"/>
  </r>
  <r>
    <x v="406"/>
    <n v="607.86720000000003"/>
  </r>
  <r>
    <x v="414"/>
    <n v="314.82319999999999"/>
  </r>
  <r>
    <x v="429"/>
    <n v="1688.3248000000001"/>
  </r>
  <r>
    <x v="94"/>
    <n v="398.23939999999999"/>
  </r>
  <r>
    <x v="233"/>
    <n v="587.1508"/>
  </r>
  <r>
    <x v="368"/>
    <n v="705.5856"/>
  </r>
  <r>
    <x v="408"/>
    <n v="768.46379999999999"/>
  </r>
  <r>
    <x v="77"/>
    <n v="173.5488"/>
  </r>
  <r>
    <x v="14"/>
    <n v="308.79000000000002"/>
  </r>
  <r>
    <x v="237"/>
    <n v="435.0138"/>
  </r>
  <r>
    <x v="650"/>
    <n v="646.99899999999991"/>
  </r>
  <r>
    <x v="603"/>
    <n v="1207.7603999999999"/>
  </r>
  <r>
    <x v="70"/>
    <n v="1469.8719000000001"/>
  </r>
  <r>
    <x v="329"/>
    <n v="654.36219999999992"/>
  </r>
  <r>
    <x v="464"/>
    <n v="583.16999999999996"/>
  </r>
  <r>
    <x v="651"/>
    <n v="305.73"/>
  </r>
  <r>
    <x v="340"/>
    <n v="1352.4272000000001"/>
  </r>
  <r>
    <x v="326"/>
    <n v="1501.3362"/>
  </r>
  <r>
    <x v="296"/>
    <n v="2645.6747999999998"/>
  </r>
  <r>
    <x v="270"/>
    <n v="1142.2529999999999"/>
  </r>
  <r>
    <x v="647"/>
    <n v="86.620999999999995"/>
  </r>
  <r>
    <x v="177"/>
    <n v="3110.9863999999998"/>
  </r>
  <r>
    <x v="445"/>
    <n v="637.05600000000004"/>
  </r>
  <r>
    <x v="419"/>
    <n v="853.54520000000002"/>
  </r>
  <r>
    <x v="330"/>
    <n v="844.01370000000009"/>
  </r>
  <r>
    <x v="26"/>
    <n v="582.88409999999999"/>
  </r>
  <r>
    <x v="13"/>
    <n v="561.33439999999996"/>
  </r>
  <r>
    <x v="595"/>
    <n v="313.99"/>
  </r>
  <r>
    <x v="45"/>
    <n v="2280.0664000000002"/>
  </r>
  <r>
    <x v="605"/>
    <n v="196.67339999999999"/>
  </r>
  <r>
    <x v="308"/>
    <n v="719.27200000000005"/>
  </r>
  <r>
    <x v="411"/>
    <n v="649.89"/>
  </r>
  <r>
    <x v="486"/>
    <n v="454.01639999999998"/>
  </r>
  <r>
    <x v="23"/>
    <n v="1367.1368"/>
  </r>
  <r>
    <x v="511"/>
    <n v="581.58359999999993"/>
  </r>
  <r>
    <x v="652"/>
    <n v="1253.0011999999999"/>
  </r>
  <r>
    <x v="226"/>
    <n v="1017.7704"/>
  </r>
  <r>
    <x v="653"/>
    <n v="1666.95"/>
  </r>
  <r>
    <x v="54"/>
    <n v="188.78960000000001"/>
  </r>
  <r>
    <x v="556"/>
    <n v="2797.8164999999999"/>
  </r>
  <r>
    <x v="489"/>
    <n v="1544.9434000000001"/>
  </r>
  <r>
    <x v="636"/>
    <n v="1746.96"/>
  </r>
  <r>
    <x v="464"/>
    <n v="1321.5336"/>
  </r>
  <r>
    <x v="654"/>
    <n v="60.392200000000003"/>
  </r>
  <r>
    <x v="104"/>
    <n v="990.6336"/>
  </r>
  <r>
    <x v="655"/>
    <n v="813.46889999999996"/>
  </r>
  <r>
    <x v="627"/>
    <n v="825.02639999999997"/>
  </r>
  <r>
    <x v="321"/>
    <n v="103.56480000000001"/>
  </r>
  <r>
    <x v="20"/>
    <n v="2976.6039999999998"/>
  </r>
  <r>
    <x v="589"/>
    <n v="638.88440000000003"/>
  </r>
  <r>
    <x v="562"/>
    <n v="1383.5663999999999"/>
  </r>
  <r>
    <x v="646"/>
    <n v="3094.2208000000001"/>
  </r>
  <r>
    <x v="307"/>
    <n v="614.51080000000002"/>
  </r>
  <r>
    <x v="17"/>
    <n v="617.66549999999995"/>
  </r>
  <r>
    <x v="640"/>
    <n v="705.93360000000007"/>
  </r>
  <r>
    <x v="103"/>
    <n v="540.42079999999999"/>
  </r>
  <r>
    <x v="361"/>
    <n v="1654.7328"/>
  </r>
  <r>
    <x v="472"/>
    <n v="19.871600000000001"/>
  </r>
  <r>
    <x v="252"/>
    <n v="288.14519999999999"/>
  </r>
  <r>
    <x v="653"/>
    <n v="238.9716"/>
  </r>
  <r>
    <x v="656"/>
    <n v="217.26060000000001"/>
  </r>
  <r>
    <x v="76"/>
    <n v="837.42119999999989"/>
  </r>
  <r>
    <x v="629"/>
    <n v="2439.2984000000001"/>
  </r>
  <r>
    <x v="235"/>
    <n v="111.1434"/>
  </r>
  <r>
    <x v="553"/>
    <n v="2083.8663999999999"/>
  </r>
  <r>
    <x v="2"/>
    <n v="1802.1120000000001"/>
  </r>
  <r>
    <x v="533"/>
    <n v="1701.7506000000001"/>
  </r>
  <r>
    <x v="657"/>
    <n v="1554.5838000000001"/>
  </r>
  <r>
    <x v="109"/>
    <n v="53.817999999999998"/>
  </r>
  <r>
    <x v="658"/>
    <n v="2671.74"/>
  </r>
  <r>
    <x v="181"/>
    <n v="497.16419999999999"/>
  </r>
  <r>
    <x v="636"/>
    <n v="605.76"/>
  </r>
  <r>
    <x v="120"/>
    <n v="3502.9688000000001"/>
  </r>
  <r>
    <x v="396"/>
    <n v="271.17919999999998"/>
  </r>
  <r>
    <x v="412"/>
    <n v="263.04629999999997"/>
  </r>
  <r>
    <x v="6"/>
    <n v="52.150799999999997"/>
  </r>
  <r>
    <x v="60"/>
    <n v="843.02359999999999"/>
  </r>
  <r>
    <x v="302"/>
    <n v="223.51599999999999"/>
  </r>
  <r>
    <x v="549"/>
    <n v="1124.3964000000001"/>
  </r>
  <r>
    <x v="659"/>
    <n v="1618.6016"/>
  </r>
  <r>
    <x v="348"/>
    <n v="1759.434"/>
  </r>
  <r>
    <x v="641"/>
    <n v="2190.1320000000001"/>
  </r>
  <r>
    <x v="76"/>
    <n v="1892.7167999999999"/>
  </r>
  <r>
    <x v="660"/>
    <n v="178.51400000000001"/>
  </r>
  <r>
    <x v="227"/>
    <n v="152.0343"/>
  </r>
  <r>
    <x v="480"/>
    <n v="2282.2626"/>
  </r>
  <r>
    <x v="532"/>
    <n v="1990.0350000000001"/>
  </r>
  <r>
    <x v="428"/>
    <n v="1366.8979999999999"/>
  </r>
  <r>
    <x v="388"/>
    <n v="1885.5162"/>
  </r>
  <r>
    <x v="661"/>
    <n v="571.33180000000004"/>
  </r>
  <r>
    <x v="442"/>
    <n v="240.44820000000001"/>
  </r>
  <r>
    <x v="229"/>
    <n v="502.53"/>
  </r>
  <r>
    <x v="488"/>
    <n v="905.16559999999993"/>
  </r>
  <r>
    <x v="423"/>
    <n v="364.08"/>
  </r>
  <r>
    <x v="121"/>
    <n v="2925.7312000000002"/>
  </r>
  <r>
    <x v="260"/>
    <n v="111.1636"/>
  </r>
  <r>
    <x v="22"/>
    <n v="97.000199999999992"/>
  </r>
  <r>
    <x v="493"/>
    <n v="1492.9516000000001"/>
  </r>
  <r>
    <x v="615"/>
    <n v="1136.0935999999999"/>
  </r>
  <r>
    <x v="404"/>
    <n v="727.81799999999998"/>
  </r>
  <r>
    <x v="248"/>
    <n v="413.07299999999998"/>
  </r>
  <r>
    <x v="324"/>
    <n v="922.9692"/>
  </r>
  <r>
    <x v="326"/>
    <n v="336.45780000000002"/>
  </r>
  <r>
    <x v="102"/>
    <n v="2798.4132"/>
  </r>
  <r>
    <x v="662"/>
    <n v="1303.3905"/>
  </r>
  <r>
    <x v="437"/>
    <n v="1113.8820000000001"/>
  </r>
  <r>
    <x v="142"/>
    <n v="2700.3312000000001"/>
  </r>
  <r>
    <x v="98"/>
    <n v="130.93199999999999"/>
  </r>
  <r>
    <x v="419"/>
    <n v="2483.2800000000002"/>
  </r>
  <r>
    <x v="627"/>
    <n v="514.3424"/>
  </r>
  <r>
    <x v="583"/>
    <n v="973.02799999999991"/>
  </r>
  <r>
    <x v="602"/>
    <n v="1347.7384"/>
  </r>
  <r>
    <x v="312"/>
    <n v="1624.4892"/>
  </r>
  <r>
    <x v="589"/>
    <n v="428.89699999999999"/>
  </r>
  <r>
    <x v="20"/>
    <n v="303.81139999999999"/>
  </r>
  <r>
    <x v="107"/>
    <n v="3237.0576000000001"/>
  </r>
  <r>
    <x v="154"/>
    <n v="2243.3928000000001"/>
  </r>
  <r>
    <x v="158"/>
    <n v="72.799600000000012"/>
  </r>
  <r>
    <x v="455"/>
    <n v="1744.8368"/>
  </r>
  <r>
    <x v="649"/>
    <n v="883.71660000000008"/>
  </r>
  <r>
    <x v="663"/>
    <n v="1629.7616"/>
  </r>
  <r>
    <x v="200"/>
    <n v="1616.2152000000001"/>
  </r>
  <r>
    <x v="90"/>
    <n v="24.13"/>
  </r>
  <r>
    <x v="648"/>
    <n v="510.22019999999998"/>
  </r>
  <r>
    <x v="313"/>
    <n v="529.67700000000002"/>
  </r>
  <r>
    <x v="198"/>
    <n v="102.172"/>
  </r>
  <r>
    <x v="133"/>
    <n v="2409.8216000000002"/>
  </r>
  <r>
    <x v="420"/>
    <n v="1810.8324"/>
  </r>
  <r>
    <x v="299"/>
    <n v="50.048000000000002"/>
  </r>
  <r>
    <x v="253"/>
    <n v="1276.6415999999999"/>
  </r>
  <r>
    <x v="137"/>
    <n v="1418.3784000000001"/>
  </r>
  <r>
    <x v="627"/>
    <n v="2031.7927999999999"/>
  </r>
  <r>
    <x v="115"/>
    <n v="2407.0583999999999"/>
  </r>
  <r>
    <x v="664"/>
    <n v="1058.1600000000001"/>
  </r>
  <r>
    <x v="343"/>
    <n v="380.84580000000011"/>
  </r>
  <r>
    <x v="665"/>
    <n v="865.03629999999998"/>
  </r>
  <r>
    <x v="155"/>
    <n v="649.60500000000002"/>
  </r>
  <r>
    <x v="648"/>
    <n v="1748.5209"/>
  </r>
  <r>
    <x v="120"/>
    <n v="609.45839999999998"/>
  </r>
  <r>
    <x v="134"/>
    <n v="2922.2952"/>
  </r>
  <r>
    <x v="598"/>
    <n v="545.68079999999998"/>
  </r>
  <r>
    <x v="436"/>
    <n v="99.269200000000012"/>
  </r>
  <r>
    <x v="291"/>
    <n v="1025.8499999999999"/>
  </r>
  <r>
    <x v="240"/>
    <n v="1140.4559999999999"/>
  </r>
  <r>
    <x v="105"/>
    <n v="508.88639999999998"/>
  </r>
  <r>
    <x v="379"/>
    <n v="1181.7431999999999"/>
  </r>
  <r>
    <x v="506"/>
    <n v="1566.5663999999999"/>
  </r>
  <r>
    <x v="128"/>
    <n v="568.61479999999995"/>
  </r>
  <r>
    <x v="243"/>
    <n v="1208.2028"/>
  </r>
  <r>
    <x v="53"/>
    <n v="493.64280000000002"/>
  </r>
  <r>
    <x v="666"/>
    <n v="2065.5936000000002"/>
  </r>
  <r>
    <x v="150"/>
    <n v="199.7961"/>
  </r>
  <r>
    <x v="214"/>
    <n v="880.66160000000002"/>
  </r>
  <r>
    <x v="390"/>
    <n v="93.8232"/>
  </r>
  <r>
    <x v="301"/>
    <n v="3539.8656000000001"/>
  </r>
  <r>
    <x v="667"/>
    <n v="1595.0952"/>
  </r>
  <r>
    <x v="33"/>
    <n v="1815.7539999999999"/>
  </r>
  <r>
    <x v="668"/>
    <n v="1308.5927999999999"/>
  </r>
  <r>
    <x v="297"/>
    <n v="782.16000000000008"/>
  </r>
  <r>
    <x v="198"/>
    <n v="1876.3152"/>
  </r>
  <r>
    <x v="543"/>
    <n v="982.22879999999998"/>
  </r>
  <r>
    <x v="1"/>
    <n v="517.89649999999995"/>
  </r>
  <r>
    <x v="361"/>
    <n v="198.7782"/>
  </r>
  <r>
    <x v="132"/>
    <n v="1814.9831999999999"/>
  </r>
  <r>
    <x v="655"/>
    <n v="1278.4896000000001"/>
  </r>
  <r>
    <x v="192"/>
    <n v="339.2466"/>
  </r>
  <r>
    <x v="669"/>
    <n v="1343.0316"/>
  </r>
  <r>
    <x v="413"/>
    <n v="361.49579999999997"/>
  </r>
  <r>
    <x v="226"/>
    <n v="318.30759999999998"/>
  </r>
  <r>
    <x v="140"/>
    <n v="751.27260000000001"/>
  </r>
  <r>
    <x v="237"/>
    <n v="615.08299999999997"/>
  </r>
  <r>
    <x v="2"/>
    <n v="153.11150000000001"/>
  </r>
  <r>
    <x v="570"/>
    <n v="1123.434"/>
  </r>
  <r>
    <x v="383"/>
    <n v="354.56400000000002"/>
  </r>
  <r>
    <x v="598"/>
    <n v="553.68640000000005"/>
  </r>
  <r>
    <x v="670"/>
    <n v="1078.8173999999999"/>
  </r>
  <r>
    <x v="485"/>
    <n v="790.76589999999999"/>
  </r>
  <r>
    <x v="13"/>
    <n v="2462.34"/>
  </r>
  <r>
    <x v="397"/>
    <n v="940.69"/>
  </r>
  <r>
    <x v="19"/>
    <n v="1347.4559999999999"/>
  </r>
  <r>
    <x v="394"/>
    <n v="763.15719999999999"/>
  </r>
  <r>
    <x v="478"/>
    <n v="285.83940000000001"/>
  </r>
  <r>
    <x v="80"/>
    <n v="2324.556"/>
  </r>
  <r>
    <x v="324"/>
    <n v="1232.952"/>
  </r>
  <r>
    <x v="458"/>
    <n v="341.00299999999999"/>
  </r>
  <r>
    <x v="40"/>
    <n v="1737.9911999999999"/>
  </r>
  <r>
    <x v="452"/>
    <n v="1765.1759999999999"/>
  </r>
  <r>
    <x v="234"/>
    <n v="127.794"/>
  </r>
  <r>
    <x v="235"/>
    <n v="491.46989999999988"/>
  </r>
  <r>
    <x v="460"/>
    <n v="133.339"/>
  </r>
  <r>
    <x v="296"/>
    <n v="487.74599999999998"/>
  </r>
  <r>
    <x v="415"/>
    <n v="2145.7485000000001"/>
  </r>
  <r>
    <x v="427"/>
    <n v="1575.0724"/>
  </r>
  <r>
    <x v="671"/>
    <n v="1635.2616"/>
  </r>
  <r>
    <x v="448"/>
    <n v="236.7372"/>
  </r>
  <r>
    <x v="560"/>
    <n v="488.71679999999998"/>
  </r>
  <r>
    <x v="516"/>
    <n v="2315.8519999999999"/>
  </r>
  <r>
    <x v="672"/>
    <n v="1267.9744000000001"/>
  </r>
  <r>
    <x v="631"/>
    <n v="981.9864"/>
  </r>
  <r>
    <x v="100"/>
    <n v="442.61489999999998"/>
  </r>
  <r>
    <x v="86"/>
    <n v="989.93680000000006"/>
  </r>
  <r>
    <x v="110"/>
    <n v="551.25900000000001"/>
  </r>
  <r>
    <x v="489"/>
    <n v="43.144199999999998"/>
  </r>
  <r>
    <x v="139"/>
    <n v="1210.8714"/>
  </r>
  <r>
    <x v="263"/>
    <n v="2943.5295999999998"/>
  </r>
  <r>
    <x v="583"/>
    <n v="1058.4480000000001"/>
  </r>
  <r>
    <x v="673"/>
    <n v="1695.3074999999999"/>
  </r>
  <r>
    <x v="435"/>
    <n v="2141.85"/>
  </r>
  <r>
    <x v="511"/>
    <n v="1287.3599999999999"/>
  </r>
  <r>
    <x v="411"/>
    <n v="328.75240000000002"/>
  </r>
  <r>
    <x v="321"/>
    <n v="1958.144"/>
  </r>
  <r>
    <x v="563"/>
    <n v="39.973999999999997"/>
  </r>
  <r>
    <x v="179"/>
    <n v="654.36559999999997"/>
  </r>
  <r>
    <x v="237"/>
    <n v="3032.6559999999999"/>
  </r>
  <r>
    <x v="253"/>
    <n v="166.82490000000001"/>
  </r>
  <r>
    <x v="589"/>
    <n v="465.83199999999999"/>
  </r>
  <r>
    <x v="551"/>
    <n v="188.04239999999999"/>
  </r>
  <r>
    <x v="130"/>
    <n v="614.07420000000002"/>
  </r>
  <r>
    <x v="426"/>
    <n v="1664.8109999999999"/>
  </r>
  <r>
    <x v="481"/>
    <n v="1657.0092"/>
  </r>
  <r>
    <x v="319"/>
    <n v="127.29600000000001"/>
  </r>
  <r>
    <x v="282"/>
    <n v="1720.7438"/>
  </r>
  <r>
    <x v="533"/>
    <n v="1503.1768"/>
  </r>
  <r>
    <x v="411"/>
    <n v="102.37520000000001"/>
  </r>
  <r>
    <x v="59"/>
    <n v="791.88479999999993"/>
  </r>
  <r>
    <x v="344"/>
    <n v="2319.4512"/>
  </r>
  <r>
    <x v="385"/>
    <n v="1296.261"/>
  </r>
  <r>
    <x v="144"/>
    <n v="910.2636"/>
  </r>
  <r>
    <x v="471"/>
    <n v="794.50919999999996"/>
  </r>
  <r>
    <x v="90"/>
    <n v="2458.46"/>
  </r>
  <r>
    <x v="180"/>
    <n v="749.03039999999999"/>
  </r>
  <r>
    <x v="25"/>
    <n v="2224.2815999999998"/>
  </r>
  <r>
    <x v="36"/>
    <n v="774.57599999999991"/>
  </r>
  <r>
    <x v="459"/>
    <n v="34.178400000000003"/>
  </r>
  <r>
    <x v="254"/>
    <n v="2396.0799000000002"/>
  </r>
  <r>
    <x v="27"/>
    <n v="1624.443"/>
  </r>
  <r>
    <x v="247"/>
    <n v="910.36439999999993"/>
  </r>
  <r>
    <x v="166"/>
    <n v="537.38969999999995"/>
  </r>
  <r>
    <x v="504"/>
    <n v="758.24"/>
  </r>
  <r>
    <x v="650"/>
    <n v="773.03039999999999"/>
  </r>
  <r>
    <x v="583"/>
    <n v="1558.9272000000001"/>
  </r>
  <r>
    <x v="133"/>
    <n v="948.69359999999983"/>
  </r>
  <r>
    <x v="173"/>
    <n v="96.459199999999996"/>
  </r>
  <r>
    <x v="282"/>
    <n v="2871.3679999999999"/>
  </r>
  <r>
    <x v="318"/>
    <n v="483.94639999999998"/>
  </r>
  <r>
    <x v="554"/>
    <n v="2916.42"/>
  </r>
  <r>
    <x v="668"/>
    <n v="1146.8154"/>
  </r>
  <r>
    <x v="392"/>
    <n v="2819.0064000000002"/>
  </r>
  <r>
    <x v="578"/>
    <n v="2650.2919999999999"/>
  </r>
  <r>
    <x v="473"/>
    <n v="2235.4787999999999"/>
  </r>
  <r>
    <x v="616"/>
    <n v="459.28840000000002"/>
  </r>
  <r>
    <x v="286"/>
    <n v="464.42550000000011"/>
  </r>
  <r>
    <x v="674"/>
    <n v="562.35899999999992"/>
  </r>
  <r>
    <x v="115"/>
    <n v="725.3442"/>
  </r>
  <r>
    <x v="601"/>
    <n v="1894.08"/>
  </r>
  <r>
    <x v="536"/>
    <n v="650.91600000000005"/>
  </r>
  <r>
    <x v="201"/>
    <n v="143.24039999999999"/>
  </r>
  <r>
    <x v="539"/>
    <n v="1093.2937999999999"/>
  </r>
  <r>
    <x v="675"/>
    <n v="1487.4636"/>
  </r>
  <r>
    <x v="415"/>
    <n v="64.125600000000006"/>
  </r>
  <r>
    <x v="107"/>
    <n v="383.00200000000001"/>
  </r>
  <r>
    <x v="235"/>
    <n v="3339.8263999999999"/>
  </r>
  <r>
    <x v="610"/>
    <n v="122.1327"/>
  </r>
  <r>
    <x v="433"/>
    <n v="571.63920000000007"/>
  </r>
  <r>
    <x v="137"/>
    <n v="625.46579999999994"/>
  </r>
  <r>
    <x v="350"/>
    <n v="838.12279999999998"/>
  </r>
  <r>
    <x v="136"/>
    <n v="1061.9100000000001"/>
  </r>
  <r>
    <x v="343"/>
    <n v="146.57919999999999"/>
  </r>
  <r>
    <x v="459"/>
    <n v="2350.4888000000001"/>
  </r>
  <r>
    <x v="317"/>
    <n v="128.95679999999999"/>
  </r>
  <r>
    <x v="676"/>
    <n v="2282.9663999999998"/>
  </r>
  <r>
    <x v="120"/>
    <n v="1956.0320999999999"/>
  </r>
  <r>
    <x v="152"/>
    <n v="93.653999999999996"/>
  </r>
  <r>
    <x v="508"/>
    <n v="319.07839999999999"/>
  </r>
  <r>
    <x v="114"/>
    <n v="1549.9155000000001"/>
  </r>
  <r>
    <x v="677"/>
    <n v="1307.3345999999999"/>
  </r>
  <r>
    <x v="208"/>
    <n v="2829.7228"/>
  </r>
  <r>
    <x v="593"/>
    <n v="232.42320000000001"/>
  </r>
  <r>
    <x v="431"/>
    <n v="2084.3328000000001"/>
  </r>
  <r>
    <x v="492"/>
    <n v="984.37"/>
  </r>
  <r>
    <x v="37"/>
    <n v="418.15839999999997"/>
  </r>
  <r>
    <x v="400"/>
    <n v="38.003799999999998"/>
  </r>
  <r>
    <x v="501"/>
    <n v="1046.5488"/>
  </r>
  <r>
    <x v="350"/>
    <n v="1356.885"/>
  </r>
  <r>
    <x v="678"/>
    <n v="502.75240000000002"/>
  </r>
  <r>
    <x v="451"/>
    <n v="793.38690000000008"/>
  </r>
  <r>
    <x v="671"/>
    <n v="2075.913"/>
  </r>
  <r>
    <x v="563"/>
    <n v="2513.8984"/>
  </r>
  <r>
    <x v="405"/>
    <n v="895.53420000000006"/>
  </r>
  <r>
    <x v="123"/>
    <n v="1443.2418"/>
  </r>
  <r>
    <x v="590"/>
    <n v="762.00299999999993"/>
  </r>
  <r>
    <x v="581"/>
    <n v="223.59200000000001"/>
  </r>
  <r>
    <x v="206"/>
    <n v="846.74879999999996"/>
  </r>
  <r>
    <x v="53"/>
    <n v="757.16760000000011"/>
  </r>
  <r>
    <x v="590"/>
    <n v="709.12709999999993"/>
  </r>
  <r>
    <x v="674"/>
    <n v="810.09719999999993"/>
  </r>
  <r>
    <x v="679"/>
    <n v="942.22800000000007"/>
  </r>
  <r>
    <x v="232"/>
    <n v="1099.76"/>
  </r>
  <r>
    <x v="275"/>
    <n v="47.621200000000002"/>
  </r>
  <r>
    <x v="609"/>
    <n v="1505.1168"/>
  </r>
  <r>
    <x v="144"/>
    <n v="855.98310000000004"/>
  </r>
  <r>
    <x v="248"/>
    <n v="1734.18"/>
  </r>
  <r>
    <x v="149"/>
    <n v="1662.5311999999999"/>
  </r>
  <r>
    <x v="431"/>
    <n v="1184.8900000000001"/>
  </r>
  <r>
    <x v="68"/>
    <n v="559.79949999999997"/>
  </r>
  <r>
    <x v="200"/>
    <n v="630.1866"/>
  </r>
  <r>
    <x v="96"/>
    <n v="355.2448"/>
  </r>
  <r>
    <x v="81"/>
    <n v="2373.462"/>
  </r>
  <r>
    <x v="57"/>
    <n v="579.58840000000009"/>
  </r>
  <r>
    <x v="23"/>
    <n v="626.37120000000004"/>
  </r>
  <r>
    <x v="597"/>
    <n v="715.30049999999994"/>
  </r>
  <r>
    <x v="680"/>
    <n v="134.95679999999999"/>
  </r>
  <r>
    <x v="640"/>
    <n v="994.48200000000008"/>
  </r>
  <r>
    <x v="554"/>
    <n v="1301.8758"/>
  </r>
  <r>
    <x v="400"/>
    <n v="574.88300000000004"/>
  </r>
  <r>
    <x v="619"/>
    <n v="2139.3312000000001"/>
  </r>
  <r>
    <x v="376"/>
    <n v="274.45229999999998"/>
  </r>
  <r>
    <x v="493"/>
    <n v="1706.43"/>
  </r>
  <r>
    <x v="48"/>
    <n v="599.471"/>
  </r>
  <r>
    <x v="408"/>
    <n v="1070.7619999999999"/>
  </r>
  <r>
    <x v="376"/>
    <n v="591.70319999999992"/>
  </r>
  <r>
    <x v="424"/>
    <n v="2504.067"/>
  </r>
  <r>
    <x v="252"/>
    <n v="270.51639999999998"/>
  </r>
  <r>
    <x v="631"/>
    <n v="1128.732"/>
  </r>
  <r>
    <x v="156"/>
    <n v="1119.4092000000001"/>
  </r>
  <r>
    <x v="343"/>
    <n v="259.37630000000001"/>
  </r>
  <r>
    <x v="48"/>
    <n v="729.39"/>
  </r>
  <r>
    <x v="339"/>
    <n v="591.30719999999997"/>
  </r>
  <r>
    <x v="655"/>
    <n v="340.2"/>
  </r>
  <r>
    <x v="445"/>
    <n v="2779.5931999999998"/>
  </r>
  <r>
    <x v="331"/>
    <n v="548.52240000000006"/>
  </r>
  <r>
    <x v="404"/>
    <n v="1034.7036000000001"/>
  </r>
  <r>
    <x v="492"/>
    <n v="1532.3904"/>
  </r>
  <r>
    <x v="208"/>
    <n v="1648.6679999999999"/>
  </r>
  <r>
    <x v="641"/>
    <n v="786.03139999999996"/>
  </r>
  <r>
    <x v="198"/>
    <n v="887.86320000000001"/>
  </r>
  <r>
    <x v="456"/>
    <n v="2935.8252000000002"/>
  </r>
  <r>
    <x v="330"/>
    <n v="1882.1952000000001"/>
  </r>
  <r>
    <x v="592"/>
    <n v="1120.4751000000001"/>
  </r>
  <r>
    <x v="236"/>
    <n v="493.05959999999999"/>
  </r>
  <r>
    <x v="146"/>
    <n v="637.37399999999991"/>
  </r>
  <r>
    <x v="642"/>
    <n v="163.5744"/>
  </r>
  <r>
    <x v="410"/>
    <n v="1051.7360000000001"/>
  </r>
  <r>
    <x v="505"/>
    <n v="3242.1668"/>
  </r>
  <r>
    <x v="111"/>
    <n v="322.98989999999998"/>
  </r>
  <r>
    <x v="557"/>
    <n v="51.138399999999997"/>
  </r>
  <r>
    <x v="377"/>
    <n v="817.79430000000002"/>
  </r>
  <r>
    <x v="473"/>
    <n v="1313.1166000000001"/>
  </r>
  <r>
    <x v="439"/>
    <n v="509.75909999999999"/>
  </r>
  <r>
    <x v="376"/>
    <n v="78.586799999999997"/>
  </r>
  <r>
    <x v="681"/>
    <n v="889.83"/>
  </r>
  <r>
    <x v="85"/>
    <n v="366.858"/>
  </r>
  <r>
    <x v="23"/>
    <n v="565.90890000000002"/>
  </r>
  <r>
    <x v="386"/>
    <n v="64.799499999999995"/>
  </r>
  <r>
    <x v="115"/>
    <n v="1264.335"/>
  </r>
  <r>
    <x v="155"/>
    <n v="346.48399999999998"/>
  </r>
  <r>
    <x v="432"/>
    <n v="1564.0116"/>
  </r>
  <r>
    <x v="376"/>
    <n v="592.50740000000008"/>
  </r>
  <r>
    <x v="250"/>
    <n v="1510.7190000000001"/>
  </r>
  <r>
    <x v="193"/>
    <n v="1106.3094000000001"/>
  </r>
  <r>
    <x v="350"/>
    <n v="700.40520000000004"/>
  </r>
  <r>
    <x v="221"/>
    <n v="320.892"/>
  </r>
  <r>
    <x v="73"/>
    <n v="2704.47"/>
  </r>
  <r>
    <x v="330"/>
    <n v="506.709"/>
  </r>
  <r>
    <x v="425"/>
    <n v="595.41"/>
  </r>
  <r>
    <x v="365"/>
    <n v="953.38679999999999"/>
  </r>
  <r>
    <x v="209"/>
    <n v="2317.6383999999998"/>
  </r>
  <r>
    <x v="115"/>
    <n v="88.814799999999991"/>
  </r>
  <r>
    <x v="669"/>
    <n v="316.89359999999999"/>
  </r>
  <r>
    <x v="536"/>
    <n v="545.48239999999998"/>
  </r>
  <r>
    <x v="441"/>
    <n v="757.39"/>
  </r>
  <r>
    <x v="682"/>
    <n v="152.2801"/>
  </r>
  <r>
    <x v="508"/>
    <n v="1755.5383999999999"/>
  </r>
  <r>
    <x v="113"/>
    <n v="2155.2228"/>
  </r>
  <r>
    <x v="309"/>
    <n v="905.23"/>
  </r>
  <r>
    <x v="39"/>
    <n v="274.03109999999998"/>
  </r>
  <r>
    <x v="218"/>
    <n v="2391.4526999999998"/>
  </r>
  <r>
    <x v="325"/>
    <n v="1014.2588"/>
  </r>
  <r>
    <x v="48"/>
    <n v="2694.3045000000002"/>
  </r>
  <r>
    <x v="157"/>
    <n v="170.44049999999999"/>
  </r>
  <r>
    <x v="68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198.41640000000001"/>
  </r>
  <r>
    <x v="1"/>
    <n v="228.7893"/>
  </r>
  <r>
    <x v="0"/>
    <n v="2742.15"/>
  </r>
  <r>
    <x v="2"/>
    <n v="774.0684"/>
  </r>
  <r>
    <x v="0"/>
    <n v="1833.4380000000001"/>
  </r>
  <r>
    <x v="2"/>
    <n v="357.23430000000002"/>
  </r>
  <r>
    <x v="1"/>
    <n v="1335.027"/>
  </r>
  <r>
    <x v="1"/>
    <n v="1054.5612000000001"/>
  </r>
  <r>
    <x v="1"/>
    <n v="1250.6175000000001"/>
  </r>
  <r>
    <x v="1"/>
    <n v="1344.6818000000001"/>
  </r>
  <r>
    <x v="0"/>
    <n v="259.1259"/>
  </r>
  <r>
    <x v="0"/>
    <n v="952.57439999999997"/>
  </r>
  <r>
    <x v="0"/>
    <n v="2552.5367999999999"/>
  </r>
  <r>
    <x v="1"/>
    <n v="443.66"/>
  </r>
  <r>
    <x v="1"/>
    <n v="1145.8548000000001"/>
  </r>
  <r>
    <x v="2"/>
    <n v="2509.4591999999998"/>
  </r>
  <r>
    <x v="0"/>
    <n v="677.97"/>
  </r>
  <r>
    <x v="0"/>
    <n v="774.14260000000002"/>
  </r>
  <r>
    <x v="2"/>
    <n v="838.84500000000003"/>
  </r>
  <r>
    <x v="2"/>
    <n v="1782.4512"/>
  </r>
  <r>
    <x v="2"/>
    <n v="2159.4276"/>
  </r>
  <r>
    <x v="0"/>
    <n v="459.85680000000002"/>
  </r>
  <r>
    <x v="1"/>
    <n v="2850.1122"/>
  </r>
  <r>
    <x v="0"/>
    <n v="661.73760000000004"/>
  </r>
  <r>
    <x v="0"/>
    <n v="216.50399999999999"/>
  </r>
  <r>
    <x v="1"/>
    <n v="2933.3224"/>
  </r>
  <r>
    <x v="0"/>
    <n v="599.65440000000001"/>
  </r>
  <r>
    <x v="0"/>
    <n v="2030.5700999999999"/>
  </r>
  <r>
    <x v="1"/>
    <n v="132.09379999999999"/>
  </r>
  <r>
    <x v="0"/>
    <n v="1535.6780000000001"/>
  </r>
  <r>
    <x v="1"/>
    <n v="373.56060000000002"/>
  </r>
  <r>
    <x v="2"/>
    <n v="288.98239999999998"/>
  </r>
  <r>
    <x v="0"/>
    <n v="1154.8943999999999"/>
  </r>
  <r>
    <x v="0"/>
    <n v="1219.4269999999999"/>
  </r>
  <r>
    <x v="0"/>
    <n v="2148.1212"/>
  </r>
  <r>
    <x v="2"/>
    <n v="354.32639999999998"/>
  </r>
  <r>
    <x v="1"/>
    <n v="1409.9903999999999"/>
  </r>
  <r>
    <x v="1"/>
    <n v="266.65440000000001"/>
  </r>
  <r>
    <x v="2"/>
    <n v="2764.8031999999998"/>
  </r>
  <r>
    <x v="0"/>
    <n v="1105.3432"/>
  </r>
  <r>
    <x v="2"/>
    <n v="1625.3796"/>
  </r>
  <r>
    <x v="1"/>
    <n v="945.21720000000016"/>
  </r>
  <r>
    <x v="1"/>
    <n v="1537.452"/>
  </r>
  <r>
    <x v="1"/>
    <n v="1864.3176000000001"/>
  </r>
  <r>
    <x v="2"/>
    <n v="322.3528"/>
  </r>
  <r>
    <x v="1"/>
    <n v="1050.5039999999999"/>
  </r>
  <r>
    <x v="1"/>
    <n v="393.5686"/>
  </r>
  <r>
    <x v="1"/>
    <n v="116.77079999999999"/>
  </r>
  <r>
    <x v="0"/>
    <n v="372.33359999999999"/>
  </r>
  <r>
    <x v="2"/>
    <n v="707.77440000000013"/>
  </r>
  <r>
    <x v="1"/>
    <n v="190.83600000000001"/>
  </r>
  <r>
    <x v="0"/>
    <n v="169.9854"/>
  </r>
  <r>
    <x v="0"/>
    <n v="486.06330000000003"/>
  </r>
  <r>
    <x v="2"/>
    <n v="783.30449999999996"/>
  </r>
  <r>
    <x v="0"/>
    <n v="1592.4947999999999"/>
  </r>
  <r>
    <x v="2"/>
    <n v="783.59400000000005"/>
  </r>
  <r>
    <x v="1"/>
    <n v="1567.356"/>
  </r>
  <r>
    <x v="0"/>
    <n v="979.43039999999996"/>
  </r>
  <r>
    <x v="1"/>
    <n v="2552.3015999999998"/>
  </r>
  <r>
    <x v="1"/>
    <n v="767.17410000000007"/>
  </r>
  <r>
    <x v="2"/>
    <n v="180.93530000000001"/>
  </r>
  <r>
    <x v="1"/>
    <n v="307.43439999999998"/>
  </r>
  <r>
    <x v="0"/>
    <n v="412.66719999999998"/>
  </r>
  <r>
    <x v="0"/>
    <n v="230.60300000000001"/>
  </r>
  <r>
    <x v="0"/>
    <n v="1088.6371340062115"/>
  </r>
  <r>
    <x v="0"/>
    <n v="1301.9864"/>
  </r>
  <r>
    <x v="0"/>
    <n v="2670.74"/>
  </r>
  <r>
    <x v="1"/>
    <n v="791.33600000000001"/>
  </r>
  <r>
    <x v="0"/>
    <n v="204.93440000000001"/>
  </r>
  <r>
    <x v="0"/>
    <n v="1706.1695999999999"/>
  </r>
  <r>
    <x v="2"/>
    <n v="1087.997808251168"/>
  </r>
  <r>
    <x v="0"/>
    <n v="1243.038"/>
  </r>
  <r>
    <x v="0"/>
    <n v="503.97620000000012"/>
  </r>
  <r>
    <x v="0"/>
    <n v="968.18819999999994"/>
  </r>
  <r>
    <x v="2"/>
    <n v="166.482"/>
  </r>
  <r>
    <x v="0"/>
    <n v="2156.5544"/>
  </r>
  <r>
    <x v="0"/>
    <n v="1029.4649999999999"/>
  </r>
  <r>
    <x v="2"/>
    <n v="502.10860000000002"/>
  </r>
  <r>
    <x v="0"/>
    <n v="1512.924"/>
  </r>
  <r>
    <x v="0"/>
    <n v="289.99450000000002"/>
  </r>
  <r>
    <x v="2"/>
    <n v="415.73379999999997"/>
  </r>
  <r>
    <x v="1"/>
    <n v="272.79750000000001"/>
  </r>
  <r>
    <x v="1"/>
    <n v="1010.2344000000001"/>
  </r>
  <r>
    <x v="1"/>
    <n v="133.4332"/>
  </r>
  <r>
    <x v="2"/>
    <n v="1090.0558237722053"/>
  </r>
  <r>
    <x v="2"/>
    <n v="386.38400000000001"/>
  </r>
  <r>
    <x v="1"/>
    <n v="1943.0927999999999"/>
  </r>
  <r>
    <x v="0"/>
    <n v="2777.4432000000002"/>
  </r>
  <r>
    <x v="1"/>
    <n v="374.66759999999999"/>
  </r>
  <r>
    <x v="2"/>
    <n v="705.78959999999995"/>
  </r>
  <r>
    <x v="2"/>
    <n v="616.21119999999996"/>
  </r>
  <r>
    <x v="1"/>
    <n v="339.27080000000001"/>
  </r>
  <r>
    <x v="0"/>
    <n v="578.11989999999992"/>
  </r>
  <r>
    <x v="1"/>
    <n v="556.78399999999999"/>
  </r>
  <r>
    <x v="1"/>
    <n v="1090.8604113385834"/>
  </r>
  <r>
    <x v="2"/>
    <n v="117.4588"/>
  </r>
  <r>
    <x v="2"/>
    <n v="792.32599999999991"/>
  </r>
  <r>
    <x v="1"/>
    <n v="1669.3068000000001"/>
  </r>
  <r>
    <x v="0"/>
    <n v="1581.2496000000001"/>
  </r>
  <r>
    <x v="2"/>
    <n v="1235.7372"/>
  </r>
  <r>
    <x v="0"/>
    <n v="658.46"/>
  </r>
  <r>
    <x v="1"/>
    <n v="895.30439999999999"/>
  </r>
  <r>
    <x v="1"/>
    <n v="717.25760000000002"/>
  </r>
  <r>
    <x v="1"/>
    <n v="2997.615600000001"/>
  </r>
  <r>
    <x v="2"/>
    <n v="1636.1117999999999"/>
  </r>
  <r>
    <x v="0"/>
    <n v="602.25120000000004"/>
  </r>
  <r>
    <x v="2"/>
    <n v="1605.5052000000001"/>
  </r>
  <r>
    <x v="1"/>
    <n v="2060.3912"/>
  </r>
  <r>
    <x v="0"/>
    <n v="2372.5230000000001"/>
  </r>
  <r>
    <x v="2"/>
    <n v="1027.7357999999999"/>
  </r>
  <r>
    <x v="0"/>
    <n v="882.57440000000008"/>
  </r>
  <r>
    <x v="1"/>
    <n v="1674.5057999999999"/>
  </r>
  <r>
    <x v="0"/>
    <n v="2020.7097000000001"/>
  </r>
  <r>
    <x v="1"/>
    <n v="225.57599999999999"/>
  </r>
  <r>
    <x v="1"/>
    <n v="1388.9190000000001"/>
  </r>
  <r>
    <x v="1"/>
    <n v="3239.3580000000002"/>
  </r>
  <r>
    <x v="0"/>
    <n v="2404.8024"/>
  </r>
  <r>
    <x v="1"/>
    <n v="1007.223"/>
  </r>
  <r>
    <x v="2"/>
    <n v="115.5"/>
  </r>
  <r>
    <x v="2"/>
    <n v="215.14420000000001"/>
  </r>
  <r>
    <x v="2"/>
    <n v="1239.5606"/>
  </r>
  <r>
    <x v="0"/>
    <n v="1245.3119999999999"/>
  </r>
  <r>
    <x v="0"/>
    <n v="379.69920000000002"/>
  </r>
  <r>
    <x v="1"/>
    <n v="893.38200000000006"/>
  </r>
  <r>
    <x v="2"/>
    <n v="70.960000000000008"/>
  </r>
  <r>
    <x v="1"/>
    <n v="803.9944999999999"/>
  </r>
  <r>
    <x v="2"/>
    <n v="926.7263999999999"/>
  </r>
  <r>
    <x v="2"/>
    <n v="2762.1428999999998"/>
  </r>
  <r>
    <x v="0"/>
    <n v="1304.9459999999999"/>
  </r>
  <r>
    <x v="0"/>
    <n v="548.27499999999998"/>
  </r>
  <r>
    <x v="0"/>
    <n v="782.17539999999997"/>
  </r>
  <r>
    <x v="2"/>
    <n v="850.29750000000001"/>
  </r>
  <r>
    <x v="1"/>
    <n v="3306.1392000000001"/>
  </r>
  <r>
    <x v="0"/>
    <n v="496.97340000000003"/>
  </r>
  <r>
    <x v="1"/>
    <n v="273.08879999999999"/>
  </r>
  <r>
    <x v="2"/>
    <n v="1349.0568000000001"/>
  </r>
  <r>
    <x v="0"/>
    <n v="2471.6376"/>
  </r>
  <r>
    <x v="2"/>
    <n v="201.59700000000001"/>
  </r>
  <r>
    <x v="2"/>
    <n v="641.73599999999999"/>
  </r>
  <r>
    <x v="1"/>
    <n v="2147.5500000000002"/>
  </r>
  <r>
    <x v="2"/>
    <n v="948.12300000000005"/>
  </r>
  <r>
    <x v="2"/>
    <n v="372.923"/>
  </r>
  <r>
    <x v="2"/>
    <n v="1443.7103999999999"/>
  </r>
  <r>
    <x v="2"/>
    <n v="1278.3407999999999"/>
  </r>
  <r>
    <x v="1"/>
    <n v="540.90719999999999"/>
  </r>
  <r>
    <x v="2"/>
    <n v="977.04880000000014"/>
  </r>
  <r>
    <x v="2"/>
    <n v="1753.23"/>
  </r>
  <r>
    <x v="1"/>
    <n v="562.32820000000004"/>
  </r>
  <r>
    <x v="0"/>
    <n v="475.9819"/>
  </r>
  <r>
    <x v="2"/>
    <n v="1432.2744"/>
  </r>
  <r>
    <x v="2"/>
    <n v="1194.9503999999999"/>
  </r>
  <r>
    <x v="1"/>
    <n v="1584.7840000000001"/>
  </r>
  <r>
    <x v="1"/>
    <n v="193.55719999999999"/>
  </r>
  <r>
    <x v="0"/>
    <n v="1491.7896000000001"/>
  </r>
  <r>
    <x v="2"/>
    <n v="300.2022"/>
  </r>
  <r>
    <x v="0"/>
    <n v="3077.5992000000001"/>
  </r>
  <r>
    <x v="1"/>
    <n v="1843.04"/>
  </r>
  <r>
    <x v="1"/>
    <n v="79.775999999999996"/>
  </r>
  <r>
    <x v="1"/>
    <n v="93.909199999999998"/>
  </r>
  <r>
    <x v="2"/>
    <n v="193.1234"/>
  </r>
  <r>
    <x v="0"/>
    <n v="1084.6812"/>
  </r>
  <r>
    <x v="1"/>
    <n v="455.60099999999989"/>
  </r>
  <r>
    <x v="1"/>
    <n v="952.84559999999999"/>
  </r>
  <r>
    <x v="1"/>
    <n v="473.66070000000002"/>
  </r>
  <r>
    <x v="0"/>
    <n v="485.55839999999989"/>
  </r>
  <r>
    <x v="1"/>
    <n v="1741.557"/>
  </r>
  <r>
    <x v="2"/>
    <n v="2343.4616000000001"/>
  </r>
  <r>
    <x v="0"/>
    <n v="1620.8255999999999"/>
  </r>
  <r>
    <x v="0"/>
    <n v="798.55200000000013"/>
  </r>
  <r>
    <x v="2"/>
    <n v="604.41920000000005"/>
  </r>
  <r>
    <x v="2"/>
    <n v="109.5624"/>
  </r>
  <r>
    <x v="1"/>
    <n v="240.5592"/>
  </r>
  <r>
    <x v="2"/>
    <n v="1241.8800000000001"/>
  </r>
  <r>
    <x v="2"/>
    <n v="1068.2460000000001"/>
  </r>
  <r>
    <x v="2"/>
    <n v="2873.864"/>
  </r>
  <r>
    <x v="0"/>
    <n v="1217.1579999999999"/>
  </r>
  <r>
    <x v="1"/>
    <n v="617.29200000000003"/>
  </r>
  <r>
    <x v="1"/>
    <n v="75.84"/>
  </r>
  <r>
    <x v="2"/>
    <n v="2555.64"/>
  </r>
  <r>
    <x v="0"/>
    <n v="762.36819999999989"/>
  </r>
  <r>
    <x v="0"/>
    <n v="2089.8951000000002"/>
  </r>
  <r>
    <x v="1"/>
    <n v="137.49600000000001"/>
  </r>
  <r>
    <x v="2"/>
    <n v="2908.1696000000002"/>
  </r>
  <r>
    <x v="1"/>
    <n v="541.6191"/>
  </r>
  <r>
    <x v="1"/>
    <n v="678.84100000000001"/>
  </r>
  <r>
    <x v="2"/>
    <n v="1301.6094000000001"/>
  </r>
  <r>
    <x v="1"/>
    <n v="968.17919999999992"/>
  </r>
  <r>
    <x v="2"/>
    <n v="1087.6733999999999"/>
  </r>
  <r>
    <x v="0"/>
    <n v="1786.2336"/>
  </r>
  <r>
    <x v="2"/>
    <n v="522.68399999999997"/>
  </r>
  <r>
    <x v="1"/>
    <n v="1146.9390000000001"/>
  </r>
  <r>
    <x v="1"/>
    <n v="780.75299999999993"/>
  </r>
  <r>
    <x v="2"/>
    <n v="922.20749999999987"/>
  </r>
  <r>
    <x v="0"/>
    <n v="263.60719999999998"/>
  </r>
  <r>
    <x v="2"/>
    <n v="2184.5819999999999"/>
  </r>
  <r>
    <x v="0"/>
    <n v="862.51430000000005"/>
  </r>
  <r>
    <x v="2"/>
    <n v="2620.7460000000001"/>
  </r>
  <r>
    <x v="1"/>
    <n v="525.00279999999998"/>
  </r>
  <r>
    <x v="1"/>
    <n v="381.95639999999997"/>
  </r>
  <r>
    <x v="0"/>
    <n v="588.49239999999998"/>
  </r>
  <r>
    <x v="1"/>
    <n v="1661.8032000000001"/>
  </r>
  <r>
    <x v="0"/>
    <n v="752.86199999999997"/>
  </r>
  <r>
    <x v="2"/>
    <n v="1175.2416000000001"/>
  </r>
  <r>
    <x v="1"/>
    <n v="859.7808"/>
  </r>
  <r>
    <x v="2"/>
    <n v="1909.9608000000001"/>
  </r>
  <r>
    <x v="0"/>
    <n v="374.34539999999998"/>
  </r>
  <r>
    <x v="2"/>
    <n v="1146.4795999999999"/>
  </r>
  <r>
    <x v="1"/>
    <n v="125.8389"/>
  </r>
  <r>
    <x v="0"/>
    <n v="3576.0383999999999"/>
  </r>
  <r>
    <x v="1"/>
    <n v="595.97759999999994"/>
  </r>
  <r>
    <x v="2"/>
    <n v="600.97979999999995"/>
  </r>
  <r>
    <x v="2"/>
    <n v="1491.4119000000001"/>
  </r>
  <r>
    <x v="0"/>
    <n v="417.00839999999999"/>
  </r>
  <r>
    <x v="1"/>
    <n v="558.39019999999994"/>
  </r>
  <r>
    <x v="0"/>
    <n v="574.12160000000006"/>
  </r>
  <r>
    <x v="0"/>
    <n v="907.52549999999997"/>
  </r>
  <r>
    <x v="2"/>
    <n v="390.81599999999997"/>
  </r>
  <r>
    <x v="1"/>
    <n v="286.22519999999997"/>
  </r>
  <r>
    <x v="2"/>
    <n v="2281.8532"/>
  </r>
  <r>
    <x v="2"/>
    <n v="295.4504"/>
  </r>
  <r>
    <x v="2"/>
    <n v="1199.3579999999999"/>
  </r>
  <r>
    <x v="0"/>
    <n v="2217.752"/>
  </r>
  <r>
    <x v="0"/>
    <n v="529.8900000000001"/>
  </r>
  <r>
    <x v="1"/>
    <n v="1495.74"/>
  </r>
  <r>
    <x v="0"/>
    <n v="1447.2216000000001"/>
  </r>
  <r>
    <x v="0"/>
    <n v="2532.348"/>
  </r>
  <r>
    <x v="1"/>
    <n v="1825.3248000000001"/>
  </r>
  <r>
    <x v="0"/>
    <n v="1819.7998"/>
  </r>
  <r>
    <x v="1"/>
    <n v="1630.0416"/>
  </r>
  <r>
    <x v="0"/>
    <n v="2123.9856"/>
  </r>
  <r>
    <x v="1"/>
    <n v="1214.6759999999999"/>
  </r>
  <r>
    <x v="0"/>
    <n v="1519.6104"/>
  </r>
  <r>
    <x v="1"/>
    <n v="2416.7087999999999"/>
  </r>
  <r>
    <x v="1"/>
    <n v="940.1484999999999"/>
  </r>
  <r>
    <x v="2"/>
    <n v="348.78480000000002"/>
  </r>
  <r>
    <x v="2"/>
    <n v="672.29899999999998"/>
  </r>
  <r>
    <x v="0"/>
    <n v="1521.7632000000001"/>
  </r>
  <r>
    <x v="2"/>
    <n v="1026.048"/>
  </r>
  <r>
    <x v="0"/>
    <n v="469.60759999999999"/>
  </r>
  <r>
    <x v="2"/>
    <n v="253.09200000000001"/>
  </r>
  <r>
    <x v="0"/>
    <n v="2157.2703000000001"/>
  </r>
  <r>
    <x v="2"/>
    <n v="655.17379999999991"/>
  </r>
  <r>
    <x v="1"/>
    <n v="358.85849999999999"/>
  </r>
  <r>
    <x v="0"/>
    <n v="1365.663"/>
  </r>
  <r>
    <x v="1"/>
    <n v="1303.6895999999999"/>
  </r>
  <r>
    <x v="1"/>
    <n v="641.41"/>
  </r>
  <r>
    <x v="1"/>
    <n v="200.9392"/>
  </r>
  <r>
    <x v="2"/>
    <n v="736.59950000000003"/>
  </r>
  <r>
    <x v="1"/>
    <n v="1422.492"/>
  </r>
  <r>
    <x v="0"/>
    <n v="1341.87"/>
  </r>
  <r>
    <x v="0"/>
    <n v="2290.4243999999999"/>
  </r>
  <r>
    <x v="1"/>
    <n v="3143.84"/>
  </r>
  <r>
    <x v="1"/>
    <n v="494.56799999999998"/>
  </r>
  <r>
    <x v="0"/>
    <n v="403.06560000000002"/>
  </r>
  <r>
    <x v="1"/>
    <n v="1562.9290000000001"/>
  </r>
  <r>
    <x v="0"/>
    <n v="1329.1128000000001"/>
  </r>
  <r>
    <x v="0"/>
    <n v="111.96120000000001"/>
  </r>
  <r>
    <x v="2"/>
    <n v="1060.5816"/>
  </r>
  <r>
    <x v="0"/>
    <n v="180.5814"/>
  </r>
  <r>
    <x v="1"/>
    <n v="589.798"/>
  </r>
  <r>
    <x v="1"/>
    <n v="2176.2280000000001"/>
  </r>
  <r>
    <x v="0"/>
    <n v="3159.0612000000001"/>
  </r>
  <r>
    <x v="2"/>
    <n v="1194.7392"/>
  </r>
  <r>
    <x v="2"/>
    <n v="1481.0512000000001"/>
  </r>
  <r>
    <x v="2"/>
    <n v="2407.2647999999999"/>
  </r>
  <r>
    <x v="0"/>
    <n v="388.5"/>
  </r>
  <r>
    <x v="0"/>
    <n v="2337.75"/>
  </r>
  <r>
    <x v="0"/>
    <n v="692.27"/>
  </r>
  <r>
    <x v="0"/>
    <n v="315.24779999999998"/>
  </r>
  <r>
    <x v="1"/>
    <n v="2599.5947999999999"/>
  </r>
  <r>
    <x v="1"/>
    <n v="1330.0704000000001"/>
  </r>
  <r>
    <x v="0"/>
    <n v="197.68199999999999"/>
  </r>
  <r>
    <x v="2"/>
    <n v="1519.4975999999999"/>
  </r>
  <r>
    <x v="1"/>
    <n v="811.07159999999999"/>
  </r>
  <r>
    <x v="2"/>
    <n v="394.58629999999999"/>
  </r>
  <r>
    <x v="1"/>
    <n v="581.76959999999997"/>
  </r>
  <r>
    <x v="0"/>
    <n v="1212.9007999999999"/>
  </r>
  <r>
    <x v="1"/>
    <n v="1741.5192"/>
  </r>
  <r>
    <x v="1"/>
    <n v="937.4896"/>
  </r>
  <r>
    <x v="1"/>
    <n v="2687.5259999999998"/>
  </r>
  <r>
    <x v="0"/>
    <n v="299.6721"/>
  </r>
  <r>
    <x v="2"/>
    <n v="177.19200000000001"/>
  </r>
  <r>
    <x v="2"/>
    <n v="1568.5425"/>
  </r>
  <r>
    <x v="0"/>
    <n v="346.49400000000003"/>
  </r>
  <r>
    <x v="0"/>
    <n v="442.79050000000001"/>
  </r>
  <r>
    <x v="2"/>
    <n v="553.18960000000004"/>
  </r>
  <r>
    <x v="1"/>
    <n v="2181.4650000000011"/>
  </r>
  <r>
    <x v="1"/>
    <n v="2175.5252"/>
  </r>
  <r>
    <x v="2"/>
    <n v="1504.4760000000001"/>
  </r>
  <r>
    <x v="2"/>
    <n v="154.74359999999999"/>
  </r>
  <r>
    <x v="2"/>
    <n v="1501.152"/>
  </r>
  <r>
    <x v="0"/>
    <n v="480.41250000000002"/>
  </r>
  <r>
    <x v="0"/>
    <n v="491.77100000000002"/>
  </r>
  <r>
    <x v="0"/>
    <n v="425.41759999999999"/>
  </r>
  <r>
    <x v="0"/>
    <n v="378.59399999999999"/>
  </r>
  <r>
    <x v="2"/>
    <n v="1879.05"/>
  </r>
  <r>
    <x v="1"/>
    <n v="356.04399999999998"/>
  </r>
  <r>
    <x v="2"/>
    <n v="1372.2396000000001"/>
  </r>
  <r>
    <x v="0"/>
    <n v="208.25280000000001"/>
  </r>
  <r>
    <x v="1"/>
    <n v="1536.6559999999999"/>
  </r>
  <r>
    <x v="0"/>
    <n v="2703.9888000000001"/>
  </r>
  <r>
    <x v="2"/>
    <n v="1953.1368"/>
  </r>
  <r>
    <x v="1"/>
    <n v="1384.2239999999999"/>
  </r>
  <r>
    <x v="2"/>
    <n v="1283.086"/>
  </r>
  <r>
    <x v="0"/>
    <n v="2062.8696"/>
  </r>
  <r>
    <x v="2"/>
    <n v="2156.6952000000001"/>
  </r>
  <r>
    <x v="2"/>
    <n v="1625.2544"/>
  </r>
  <r>
    <x v="0"/>
    <n v="326.25599999999997"/>
  </r>
  <r>
    <x v="1"/>
    <n v="1475.0916"/>
  </r>
  <r>
    <x v="1"/>
    <n v="1127.0219999999999"/>
  </r>
  <r>
    <x v="0"/>
    <n v="271.28359999999998"/>
  </r>
  <r>
    <x v="2"/>
    <n v="2699.0963999999999"/>
  </r>
  <r>
    <x v="1"/>
    <n v="954.01800000000003"/>
  </r>
  <r>
    <x v="1"/>
    <n v="72.025200000000012"/>
  </r>
  <r>
    <x v="2"/>
    <n v="269.21699999999998"/>
  </r>
  <r>
    <x v="0"/>
    <n v="844.38199999999995"/>
  </r>
  <r>
    <x v="1"/>
    <n v="2873.9969999999989"/>
  </r>
  <r>
    <x v="2"/>
    <n v="330.7824"/>
  </r>
  <r>
    <x v="0"/>
    <n v="199.56780000000001"/>
  </r>
  <r>
    <x v="1"/>
    <n v="218.49100000000001"/>
  </r>
  <r>
    <x v="0"/>
    <n v="1552.9793999999999"/>
  </r>
  <r>
    <x v="0"/>
    <n v="547.17700000000002"/>
  </r>
  <r>
    <x v="0"/>
    <n v="423.62840000000011"/>
  </r>
  <r>
    <x v="1"/>
    <n v="831.92750000000001"/>
  </r>
  <r>
    <x v="1"/>
    <n v="2084.0720000000001"/>
  </r>
  <r>
    <x v="0"/>
    <n v="1018.3302"/>
  </r>
  <r>
    <x v="1"/>
    <n v="1098.6659999999999"/>
  </r>
  <r>
    <x v="0"/>
    <n v="190.54"/>
  </r>
  <r>
    <x v="2"/>
    <n v="1444.212"/>
  </r>
  <r>
    <x v="0"/>
    <n v="71.193599999999989"/>
  </r>
  <r>
    <x v="2"/>
    <n v="750.20309999999995"/>
  </r>
  <r>
    <x v="2"/>
    <n v="65.155000000000001"/>
  </r>
  <r>
    <x v="0"/>
    <n v="1174.2947999999999"/>
  </r>
  <r>
    <x v="1"/>
    <n v="1353.7854"/>
  </r>
  <r>
    <x v="1"/>
    <n v="1042.491"/>
  </r>
  <r>
    <x v="1"/>
    <n v="2799.0720000000001"/>
  </r>
  <r>
    <x v="1"/>
    <n v="2495.4744000000001"/>
  </r>
  <r>
    <x v="0"/>
    <n v="96.25"/>
  </r>
  <r>
    <x v="1"/>
    <n v="346.38"/>
  </r>
  <r>
    <x v="1"/>
    <n v="1032.3599999999999"/>
  </r>
  <r>
    <x v="2"/>
    <n v="2724.4034999999999"/>
  </r>
  <r>
    <x v="1"/>
    <n v="339.37560000000002"/>
  </r>
  <r>
    <x v="1"/>
    <n v="1205.3327999999999"/>
  </r>
  <r>
    <x v="1"/>
    <n v="2312.2568999999999"/>
  </r>
  <r>
    <x v="1"/>
    <n v="817.15500000000009"/>
  </r>
  <r>
    <x v="0"/>
    <n v="1083.7284"/>
  </r>
  <r>
    <x v="2"/>
    <n v="1321.9595999999999"/>
  </r>
  <r>
    <x v="2"/>
    <n v="437.37720000000002"/>
  </r>
  <r>
    <x v="0"/>
    <n v="148.30019999999999"/>
  </r>
  <r>
    <x v="0"/>
    <n v="833.68399999999997"/>
  </r>
  <r>
    <x v="1"/>
    <n v="1589.3951999999999"/>
  </r>
  <r>
    <x v="1"/>
    <n v="2317.1543999999999"/>
  </r>
  <r>
    <x v="2"/>
    <n v="1446.1376"/>
  </r>
  <r>
    <x v="1"/>
    <n v="612.16679999999997"/>
  </r>
  <r>
    <x v="2"/>
    <n v="868.98"/>
  </r>
  <r>
    <x v="0"/>
    <n v="1492.7882"/>
  </r>
  <r>
    <x v="2"/>
    <n v="615.32820000000004"/>
  </r>
  <r>
    <x v="0"/>
    <n v="414.25920000000002"/>
  </r>
  <r>
    <x v="2"/>
    <n v="2019.684"/>
  </r>
  <r>
    <x v="2"/>
    <n v="2199.3449999999998"/>
  </r>
  <r>
    <x v="1"/>
    <n v="2329.7399999999998"/>
  </r>
  <r>
    <x v="2"/>
    <n v="477.65519999999998"/>
  </r>
  <r>
    <x v="2"/>
    <n v="1307.5999999999999"/>
  </r>
  <r>
    <x v="0"/>
    <n v="535.62400000000002"/>
  </r>
  <r>
    <x v="2"/>
    <n v="153.85679999999999"/>
  </r>
  <r>
    <x v="1"/>
    <n v="158.56"/>
  </r>
  <r>
    <x v="2"/>
    <n v="610.11059999999998"/>
  </r>
  <r>
    <x v="0"/>
    <n v="2097.1008000000002"/>
  </r>
  <r>
    <x v="2"/>
    <n v="228.79599999999999"/>
  </r>
  <r>
    <x v="1"/>
    <n v="1002.5028"/>
  </r>
  <r>
    <x v="0"/>
    <n v="583.25200000000007"/>
  </r>
  <r>
    <x v="2"/>
    <n v="594.43550000000005"/>
  </r>
  <r>
    <x v="0"/>
    <n v="331.26280000000003"/>
  </r>
  <r>
    <x v="2"/>
    <n v="1331.91"/>
  </r>
  <r>
    <x v="2"/>
    <n v="456.4948"/>
  </r>
  <r>
    <x v="1"/>
    <n v="303.29640000000001"/>
  </r>
  <r>
    <x v="1"/>
    <n v="2634.0079999999998"/>
  </r>
  <r>
    <x v="1"/>
    <n v="776.50559999999996"/>
  </r>
  <r>
    <x v="2"/>
    <n v="685.34879999999998"/>
  </r>
  <r>
    <x v="2"/>
    <n v="1793.6045999999999"/>
  </r>
  <r>
    <x v="0"/>
    <n v="2051.2539999999999"/>
  </r>
  <r>
    <x v="2"/>
    <n v="959.13239999999985"/>
  </r>
  <r>
    <x v="2"/>
    <n v="104.7144"/>
  </r>
  <r>
    <x v="0"/>
    <n v="127.611"/>
  </r>
  <r>
    <x v="2"/>
    <n v="1193.2704000000001"/>
  </r>
  <r>
    <x v="2"/>
    <n v="3265.2919999999999"/>
  </r>
  <r>
    <x v="1"/>
    <n v="2389.1322"/>
  </r>
  <r>
    <x v="2"/>
    <n v="2847.6208000000001"/>
  </r>
  <r>
    <x v="1"/>
    <n v="598.23900000000003"/>
  </r>
  <r>
    <x v="1"/>
    <n v="1793.2632000000001"/>
  </r>
  <r>
    <x v="1"/>
    <n v="3225.5819999999999"/>
  </r>
  <r>
    <x v="1"/>
    <n v="224.60640000000001"/>
  </r>
  <r>
    <x v="2"/>
    <n v="836.47409999999991"/>
  </r>
  <r>
    <x v="0"/>
    <n v="299.73419999999999"/>
  </r>
  <r>
    <x v="2"/>
    <n v="1810.0827999999999"/>
  </r>
  <r>
    <x v="0"/>
    <n v="972.32960000000003"/>
  </r>
  <r>
    <x v="1"/>
    <n v="2676.6990000000001"/>
  </r>
  <r>
    <x v="0"/>
    <n v="2785.7894999999999"/>
  </r>
  <r>
    <x v="1"/>
    <n v="493.92"/>
  </r>
  <r>
    <x v="1"/>
    <n v="1320.9659999999999"/>
  </r>
  <r>
    <x v="1"/>
    <n v="35.053199999999997"/>
  </r>
  <r>
    <x v="0"/>
    <n v="2266.7328000000002"/>
  </r>
  <r>
    <x v="2"/>
    <n v="723.25439999999992"/>
  </r>
  <r>
    <x v="2"/>
    <n v="2989.0783999999999"/>
  </r>
  <r>
    <x v="2"/>
    <n v="1756.35"/>
  </r>
  <r>
    <x v="2"/>
    <n v="558.86249999999995"/>
  </r>
  <r>
    <x v="2"/>
    <n v="814.74239999999998"/>
  </r>
  <r>
    <x v="1"/>
    <n v="445.80599999999998"/>
  </r>
  <r>
    <x v="1"/>
    <n v="648.29939999999999"/>
  </r>
  <r>
    <x v="0"/>
    <n v="1363.9184"/>
  </r>
  <r>
    <x v="0"/>
    <n v="1245.4304"/>
  </r>
  <r>
    <x v="2"/>
    <n v="693.78300000000002"/>
  </r>
  <r>
    <x v="1"/>
    <n v="1430.6705999999999"/>
  </r>
  <r>
    <x v="0"/>
    <n v="82.513199999999998"/>
  </r>
  <r>
    <x v="0"/>
    <n v="1204.6944000000001"/>
  </r>
  <r>
    <x v="2"/>
    <n v="97.442999999999998"/>
  </r>
  <r>
    <x v="1"/>
    <n v="1325.9992"/>
  </r>
  <r>
    <x v="1"/>
    <n v="829.9606"/>
  </r>
  <r>
    <x v="0"/>
    <n v="2851.3002000000001"/>
  </r>
  <r>
    <x v="1"/>
    <n v="1298.3026"/>
  </r>
  <r>
    <x v="1"/>
    <n v="147.76740000000001"/>
  </r>
  <r>
    <x v="1"/>
    <n v="1176.2550000000001"/>
  </r>
  <r>
    <x v="1"/>
    <n v="175.48249999999999"/>
  </r>
  <r>
    <x v="1"/>
    <n v="570.87099999999998"/>
  </r>
  <r>
    <x v="2"/>
    <n v="592.99919999999997"/>
  </r>
  <r>
    <x v="0"/>
    <n v="419.92"/>
  </r>
  <r>
    <x v="2"/>
    <n v="3412.134"/>
  </r>
  <r>
    <x v="2"/>
    <n v="3111.192"/>
  </r>
  <r>
    <x v="2"/>
    <n v="1111.7945999999999"/>
  </r>
  <r>
    <x v="0"/>
    <n v="587.33360000000005"/>
  </r>
  <r>
    <x v="2"/>
    <n v="837.23609999999985"/>
  </r>
  <r>
    <x v="2"/>
    <n v="1597.624"/>
  </r>
  <r>
    <x v="1"/>
    <n v="1042.3728000000001"/>
  </r>
  <r>
    <x v="0"/>
    <n v="129.4"/>
  </r>
  <r>
    <x v="0"/>
    <n v="1309.4226000000001"/>
  </r>
  <r>
    <x v="2"/>
    <n v="2548.5264000000002"/>
  </r>
  <r>
    <x v="2"/>
    <n v="2721.1183999999998"/>
  </r>
  <r>
    <x v="1"/>
    <n v="1455.2208000000001"/>
  </r>
  <r>
    <x v="1"/>
    <n v="874.91959999999983"/>
  </r>
  <r>
    <x v="0"/>
    <n v="2556.1972000000001"/>
  </r>
  <r>
    <x v="0"/>
    <n v="439.27420000000001"/>
  </r>
  <r>
    <x v="0"/>
    <n v="513.702"/>
  </r>
  <r>
    <x v="0"/>
    <n v="566.21899999999994"/>
  </r>
  <r>
    <x v="2"/>
    <n v="2230.3303999999998"/>
  </r>
  <r>
    <x v="1"/>
    <n v="216.44739999999999"/>
  </r>
  <r>
    <x v="1"/>
    <n v="649.51920000000007"/>
  </r>
  <r>
    <x v="1"/>
    <n v="865.1164"/>
  </r>
  <r>
    <x v="0"/>
    <n v="1394.5596"/>
  </r>
  <r>
    <x v="0"/>
    <n v="810.57139999999993"/>
  </r>
  <r>
    <x v="2"/>
    <n v="1050.2965999999999"/>
  </r>
  <r>
    <x v="2"/>
    <n v="2148.2759999999989"/>
  </r>
  <r>
    <x v="1"/>
    <n v="2952.5216"/>
  </r>
  <r>
    <x v="1"/>
    <n v="773.60919999999999"/>
  </r>
  <r>
    <x v="0"/>
    <n v="1640.0519999999999"/>
  </r>
  <r>
    <x v="0"/>
    <n v="1729.4748"/>
  </r>
  <r>
    <x v="2"/>
    <n v="1372.8879999999999"/>
  </r>
  <r>
    <x v="2"/>
    <n v="1023.678"/>
  </r>
  <r>
    <x v="0"/>
    <n v="1182.8481999999999"/>
  </r>
  <r>
    <x v="1"/>
    <n v="1484.7293999999999"/>
  </r>
  <r>
    <x v="0"/>
    <n v="1208.27"/>
  </r>
  <r>
    <x v="1"/>
    <n v="2240.9920000000002"/>
  </r>
  <r>
    <x v="0"/>
    <n v="615.47840000000008"/>
  </r>
  <r>
    <x v="1"/>
    <n v="437.76"/>
  </r>
  <r>
    <x v="0"/>
    <n v="434.05680000000001"/>
  </r>
  <r>
    <x v="1"/>
    <n v="612.59760000000006"/>
  </r>
  <r>
    <x v="0"/>
    <n v="79.638499999999993"/>
  </r>
  <r>
    <x v="2"/>
    <n v="1403.8920000000001"/>
  </r>
  <r>
    <x v="1"/>
    <n v="3066.6687999999999"/>
  </r>
  <r>
    <x v="2"/>
    <n v="766.37429999999995"/>
  </r>
  <r>
    <x v="1"/>
    <n v="2198.16"/>
  </r>
  <r>
    <x v="0"/>
    <n v="411.35200000000009"/>
  </r>
  <r>
    <x v="1"/>
    <n v="426.03600000000012"/>
  </r>
  <r>
    <x v="0"/>
    <n v="1223.0694000000001"/>
  </r>
  <r>
    <x v="2"/>
    <n v="24.442599999999999"/>
  </r>
  <r>
    <x v="2"/>
    <n v="1579.3443"/>
  </r>
  <r>
    <x v="1"/>
    <n v="235.3212"/>
  </r>
  <r>
    <x v="2"/>
    <n v="2859.9407999999999"/>
  </r>
  <r>
    <x v="0"/>
    <n v="645.08080000000007"/>
  </r>
  <r>
    <x v="1"/>
    <n v="600.95479999999998"/>
  </r>
  <r>
    <x v="1"/>
    <n v="1733.9049"/>
  </r>
  <r>
    <x v="2"/>
    <n v="633.14800000000002"/>
  </r>
  <r>
    <x v="0"/>
    <n v="462.01499999999999"/>
  </r>
  <r>
    <x v="0"/>
    <n v="1286.56"/>
  </r>
  <r>
    <x v="0"/>
    <n v="617.38400000000001"/>
  </r>
  <r>
    <x v="1"/>
    <n v="426.98430000000002"/>
  </r>
  <r>
    <x v="0"/>
    <n v="678.93999999999994"/>
  </r>
  <r>
    <x v="2"/>
    <n v="387.59039999999999"/>
  </r>
  <r>
    <x v="0"/>
    <n v="1115.0047999999999"/>
  </r>
  <r>
    <x v="0"/>
    <n v="3100.2384000000002"/>
  </r>
  <r>
    <x v="0"/>
    <n v="1429.2719999999999"/>
  </r>
  <r>
    <x v="0"/>
    <n v="165.31710000000001"/>
  </r>
  <r>
    <x v="0"/>
    <n v="1398.2841000000001"/>
  </r>
  <r>
    <x v="2"/>
    <n v="1357.0372"/>
  </r>
  <r>
    <x v="1"/>
    <n v="712.50919999999996"/>
  </r>
  <r>
    <x v="2"/>
    <n v="797.93790000000001"/>
  </r>
  <r>
    <x v="1"/>
    <n v="569.04399999999998"/>
  </r>
  <r>
    <x v="2"/>
    <n v="470.61419999999998"/>
  </r>
  <r>
    <x v="1"/>
    <n v="323.67660000000001"/>
  </r>
  <r>
    <x v="2"/>
    <n v="933.61599999999999"/>
  </r>
  <r>
    <x v="1"/>
    <n v="560.37950000000001"/>
  </r>
  <r>
    <x v="2"/>
    <n v="341.31200000000001"/>
  </r>
  <r>
    <x v="1"/>
    <n v="573.07000000000005"/>
  </r>
  <r>
    <x v="2"/>
    <n v="216.69820000000001"/>
  </r>
  <r>
    <x v="2"/>
    <n v="618.41340000000002"/>
  </r>
  <r>
    <x v="0"/>
    <n v="1973.6496"/>
  </r>
  <r>
    <x v="0"/>
    <n v="220.16800000000001"/>
  </r>
  <r>
    <x v="2"/>
    <n v="54.406799999999997"/>
  </r>
  <r>
    <x v="0"/>
    <n v="1034.6335999999999"/>
  </r>
  <r>
    <x v="1"/>
    <n v="139.86799999999999"/>
  </r>
  <r>
    <x v="0"/>
    <n v="962.47320000000002"/>
  </r>
  <r>
    <x v="2"/>
    <n v="279.00959999999998"/>
  </r>
  <r>
    <x v="0"/>
    <n v="701.0544000000001"/>
  </r>
  <r>
    <x v="0"/>
    <n v="449.65469999999999"/>
  </r>
  <r>
    <x v="2"/>
    <n v="691.02719999999999"/>
  </r>
  <r>
    <x v="1"/>
    <n v="620.94600000000003"/>
  </r>
  <r>
    <x v="0"/>
    <n v="132.35820000000001"/>
  </r>
  <r>
    <x v="0"/>
    <n v="133.79560000000001"/>
  </r>
  <r>
    <x v="0"/>
    <n v="2750.1219999999998"/>
  </r>
  <r>
    <x v="1"/>
    <n v="798.21719999999993"/>
  </r>
  <r>
    <x v="2"/>
    <n v="1154.6808000000001"/>
  </r>
  <r>
    <x v="1"/>
    <n v="1813.5174"/>
  </r>
  <r>
    <x v="2"/>
    <n v="2107.8629999999998"/>
  </r>
  <r>
    <x v="1"/>
    <n v="70.470799999999997"/>
  </r>
  <r>
    <x v="1"/>
    <n v="3178.2564000000002"/>
  </r>
  <r>
    <x v="2"/>
    <n v="769.8975999999999"/>
  </r>
  <r>
    <x v="0"/>
    <n v="643.78679999999997"/>
  </r>
  <r>
    <x v="1"/>
    <n v="524.76480000000004"/>
  </r>
  <r>
    <x v="1"/>
    <n v="1719.4431999999999"/>
  </r>
  <r>
    <x v="1"/>
    <n v="50.407799999999988"/>
  </r>
  <r>
    <x v="0"/>
    <n v="421.27800000000002"/>
  </r>
  <r>
    <x v="2"/>
    <n v="2775.3519999999999"/>
  </r>
  <r>
    <x v="0"/>
    <n v="2589.8643999999999"/>
  </r>
  <r>
    <x v="0"/>
    <n v="2584.6271999999999"/>
  </r>
  <r>
    <x v="2"/>
    <n v="666.71699999999998"/>
  </r>
  <r>
    <x v="2"/>
    <n v="680.44199999999989"/>
  </r>
  <r>
    <x v="1"/>
    <n v="743.87839999999994"/>
  </r>
  <r>
    <x v="2"/>
    <n v="2485.364"/>
  </r>
  <r>
    <x v="2"/>
    <n v="437.0256"/>
  </r>
  <r>
    <x v="1"/>
    <n v="2221.9061999999999"/>
  </r>
  <r>
    <x v="0"/>
    <n v="1106.3052"/>
  </r>
  <r>
    <x v="0"/>
    <n v="929.02079999999989"/>
  </r>
  <r>
    <x v="2"/>
    <n v="632.76480000000004"/>
  </r>
  <r>
    <x v="0"/>
    <n v="380.42959999999999"/>
  </r>
  <r>
    <x v="2"/>
    <n v="679.37260000000003"/>
  </r>
  <r>
    <x v="2"/>
    <n v="454.46100000000001"/>
  </r>
  <r>
    <x v="1"/>
    <n v="332.37759999999997"/>
  </r>
  <r>
    <x v="0"/>
    <n v="1112.79"/>
  </r>
  <r>
    <x v="1"/>
    <n v="303.08980000000003"/>
  </r>
  <r>
    <x v="0"/>
    <n v="900.75200000000007"/>
  </r>
  <r>
    <x v="1"/>
    <n v="460.108"/>
  </r>
  <r>
    <x v="0"/>
    <n v="2430.6260000000002"/>
  </r>
  <r>
    <x v="1"/>
    <n v="305.84940000000012"/>
  </r>
  <r>
    <x v="1"/>
    <n v="2017.5011999999999"/>
  </r>
  <r>
    <x v="1"/>
    <n v="1267.1328000000001"/>
  </r>
  <r>
    <x v="2"/>
    <n v="1548.1769999999999"/>
  </r>
  <r>
    <x v="2"/>
    <n v="1824.2927999999999"/>
  </r>
  <r>
    <x v="0"/>
    <n v="1111.0344"/>
  </r>
  <r>
    <x v="0"/>
    <n v="1043.328"/>
  </r>
  <r>
    <x v="2"/>
    <n v="1553.7023999999999"/>
  </r>
  <r>
    <x v="2"/>
    <n v="484.60230000000001"/>
  </r>
  <r>
    <x v="0"/>
    <n v="792.09600000000012"/>
  </r>
  <r>
    <x v="1"/>
    <n v="1528.4588000000001"/>
  </r>
  <r>
    <x v="1"/>
    <n v="794.62400000000002"/>
  </r>
  <r>
    <x v="0"/>
    <n v="2163.1104"/>
  </r>
  <r>
    <x v="0"/>
    <n v="2509.1999999999998"/>
  </r>
  <r>
    <x v="2"/>
    <n v="764.55679999999995"/>
  </r>
  <r>
    <x v="1"/>
    <n v="1331.4911999999999"/>
  </r>
  <r>
    <x v="1"/>
    <n v="1005.6288"/>
  </r>
  <r>
    <x v="1"/>
    <n v="1451.7328"/>
  </r>
  <r>
    <x v="2"/>
    <n v="1279.2354"/>
  </r>
  <r>
    <x v="0"/>
    <n v="808.65719999999999"/>
  </r>
  <r>
    <x v="1"/>
    <n v="964.77480000000003"/>
  </r>
  <r>
    <x v="0"/>
    <n v="787.70069999999998"/>
  </r>
  <r>
    <x v="1"/>
    <n v="576.7944"/>
  </r>
  <r>
    <x v="2"/>
    <n v="1385.8368"/>
  </r>
  <r>
    <x v="2"/>
    <n v="918.92480000000012"/>
  </r>
  <r>
    <x v="1"/>
    <n v="922.36099999999988"/>
  </r>
  <r>
    <x v="1"/>
    <n v="1451.7072000000001"/>
  </r>
  <r>
    <x v="1"/>
    <n v="51.302599999999998"/>
  </r>
  <r>
    <x v="2"/>
    <n v="1015.32"/>
  </r>
  <r>
    <x v="1"/>
    <n v="3756.8876"/>
  </r>
  <r>
    <x v="1"/>
    <n v="1633.056"/>
  </r>
  <r>
    <x v="2"/>
    <n v="257.03719999999998"/>
  </r>
  <r>
    <x v="0"/>
    <n v="122.7324"/>
  </r>
  <r>
    <x v="2"/>
    <n v="31.239000000000001"/>
  </r>
  <r>
    <x v="1"/>
    <n v="1475.8869999999999"/>
  </r>
  <r>
    <x v="2"/>
    <n v="867.34800000000007"/>
  </r>
  <r>
    <x v="2"/>
    <n v="2965.1507999999999"/>
  </r>
  <r>
    <x v="1"/>
    <n v="243.42150000000001"/>
  </r>
  <r>
    <x v="0"/>
    <n v="2383.6680000000001"/>
  </r>
  <r>
    <x v="2"/>
    <n v="2201.7408"/>
  </r>
  <r>
    <x v="0"/>
    <n v="1793.4336000000001"/>
  </r>
  <r>
    <x v="0"/>
    <n v="592.20720000000006"/>
  </r>
  <r>
    <x v="2"/>
    <n v="3271.7496000000001"/>
  </r>
  <r>
    <x v="2"/>
    <n v="55.216700000000003"/>
  </r>
  <r>
    <x v="2"/>
    <n v="3400.733999999999"/>
  </r>
  <r>
    <x v="2"/>
    <n v="3028.2264"/>
  </r>
  <r>
    <x v="1"/>
    <n v="1039.1135999999999"/>
  </r>
  <r>
    <x v="2"/>
    <n v="2080.2770999999998"/>
  </r>
  <r>
    <x v="1"/>
    <n v="1349.7692"/>
  </r>
  <r>
    <x v="0"/>
    <n v="92.722300000000004"/>
  </r>
  <r>
    <x v="0"/>
    <n v="469.6508"/>
  </r>
  <r>
    <x v="0"/>
    <n v="1376.721"/>
  </r>
  <r>
    <x v="1"/>
    <n v="796.63200000000006"/>
  </r>
  <r>
    <x v="2"/>
    <n v="2592.2763"/>
  </r>
  <r>
    <x v="1"/>
    <n v="54.999000000000002"/>
  </r>
  <r>
    <x v="1"/>
    <n v="2011.7483999999999"/>
  </r>
  <r>
    <x v="2"/>
    <n v="2280.0509999999999"/>
  </r>
  <r>
    <x v="1"/>
    <n v="620.95889999999997"/>
  </r>
  <r>
    <x v="1"/>
    <n v="1456.4944"/>
  </r>
  <r>
    <x v="0"/>
    <n v="389.59829999999999"/>
  </r>
  <r>
    <x v="0"/>
    <n v="2832.9380000000001"/>
  </r>
  <r>
    <x v="0"/>
    <n v="2651.3568"/>
  </r>
  <r>
    <x v="0"/>
    <n v="2240.7020000000002"/>
  </r>
  <r>
    <x v="1"/>
    <n v="275.36079999999998"/>
  </r>
  <r>
    <x v="1"/>
    <n v="2512.0783999999999"/>
  </r>
  <r>
    <x v="2"/>
    <n v="1344.7067999999999"/>
  </r>
  <r>
    <x v="2"/>
    <n v="733.85640000000001"/>
  </r>
  <r>
    <x v="0"/>
    <n v="499.24360000000001"/>
  </r>
  <r>
    <x v="2"/>
    <n v="560.18999999999994"/>
  </r>
  <r>
    <x v="0"/>
    <n v="1172.0625"/>
  </r>
  <r>
    <x v="0"/>
    <n v="1565.982"/>
  </r>
  <r>
    <x v="0"/>
    <n v="1045.6292000000001"/>
  </r>
  <r>
    <x v="2"/>
    <n v="2242.8216000000002"/>
  </r>
  <r>
    <x v="2"/>
    <n v="615.46699999999998"/>
  </r>
  <r>
    <x v="1"/>
    <n v="323.35199999999998"/>
  </r>
  <r>
    <x v="1"/>
    <n v="977.69849999999985"/>
  </r>
  <r>
    <x v="2"/>
    <n v="3529.1619999999998"/>
  </r>
  <r>
    <x v="0"/>
    <n v="959.13179999999988"/>
  </r>
  <r>
    <x v="1"/>
    <n v="68.694199999999995"/>
  </r>
  <r>
    <x v="2"/>
    <n v="1452.4944"/>
  </r>
  <r>
    <x v="2"/>
    <n v="1592.3416"/>
  </r>
  <r>
    <x v="1"/>
    <n v="239.32259999999999"/>
  </r>
  <r>
    <x v="1"/>
    <n v="246.99600000000001"/>
  </r>
  <r>
    <x v="1"/>
    <n v="332.02339999999998"/>
  </r>
  <r>
    <x v="2"/>
    <n v="116.23139999999999"/>
  </r>
  <r>
    <x v="1"/>
    <n v="655.61040000000003"/>
  </r>
  <r>
    <x v="1"/>
    <n v="557.68680000000006"/>
  </r>
  <r>
    <x v="0"/>
    <n v="264.93889999999999"/>
  </r>
  <r>
    <x v="2"/>
    <n v="1211.0416"/>
  </r>
  <r>
    <x v="1"/>
    <n v="2681.3406"/>
  </r>
  <r>
    <x v="0"/>
    <n v="1006.2063000000001"/>
  </r>
  <r>
    <x v="2"/>
    <n v="2380.7628"/>
  </r>
  <r>
    <x v="2"/>
    <n v="215.47200000000001"/>
  </r>
  <r>
    <x v="1"/>
    <n v="165.1584"/>
  </r>
  <r>
    <x v="0"/>
    <n v="369.74"/>
  </r>
  <r>
    <x v="1"/>
    <n v="2286.1343999999999"/>
  </r>
  <r>
    <x v="2"/>
    <n v="191.88"/>
  </r>
  <r>
    <x v="2"/>
    <n v="424.875"/>
  </r>
  <r>
    <x v="2"/>
    <n v="605.43299999999999"/>
  </r>
  <r>
    <x v="1"/>
    <n v="426.411"/>
  </r>
  <r>
    <x v="1"/>
    <n v="710.44"/>
  </r>
  <r>
    <x v="1"/>
    <n v="1197.9756"/>
  </r>
  <r>
    <x v="2"/>
    <n v="729.07759999999996"/>
  </r>
  <r>
    <x v="0"/>
    <n v="3908.2428"/>
  </r>
  <r>
    <x v="1"/>
    <n v="1547.9168"/>
  </r>
  <r>
    <x v="2"/>
    <n v="1211.364"/>
  </r>
  <r>
    <x v="0"/>
    <n v="1548.0453"/>
  </r>
  <r>
    <x v="2"/>
    <n v="1768.96"/>
  </r>
  <r>
    <x v="1"/>
    <n v="1745.2989"/>
  </r>
  <r>
    <x v="1"/>
    <n v="235.2936"/>
  </r>
  <r>
    <x v="2"/>
    <n v="2094.8568"/>
  </r>
  <r>
    <x v="0"/>
    <n v="711.05579999999986"/>
  </r>
  <r>
    <x v="0"/>
    <n v="739.55970000000002"/>
  </r>
  <r>
    <x v="1"/>
    <n v="2158.7103999999999"/>
  </r>
  <r>
    <x v="1"/>
    <n v="67.502399999999994"/>
  </r>
  <r>
    <x v="1"/>
    <n v="2092.2192"/>
  </r>
  <r>
    <x v="1"/>
    <n v="198.50559999999999"/>
  </r>
  <r>
    <x v="0"/>
    <n v="391.77640000000002"/>
  </r>
  <r>
    <x v="1"/>
    <n v="214.8664"/>
  </r>
  <r>
    <x v="2"/>
    <n v="231.0198"/>
  </r>
  <r>
    <x v="0"/>
    <n v="2346.4584"/>
  </r>
  <r>
    <x v="2"/>
    <n v="1730.1479999999999"/>
  </r>
  <r>
    <x v="0"/>
    <n v="878.0687999999999"/>
  </r>
  <r>
    <x v="2"/>
    <n v="427.49560000000002"/>
  </r>
  <r>
    <x v="1"/>
    <n v="3179.3807999999999"/>
  </r>
  <r>
    <x v="0"/>
    <n v="191.4016"/>
  </r>
  <r>
    <x v="0"/>
    <n v="60.280200000000008"/>
  </r>
  <r>
    <x v="0"/>
    <n v="318.46080000000001"/>
  </r>
  <r>
    <x v="1"/>
    <n v="837.31829999999991"/>
  </r>
  <r>
    <x v="1"/>
    <n v="1396.5696"/>
  </r>
  <r>
    <x v="0"/>
    <n v="78.194399999999987"/>
  </r>
  <r>
    <x v="1"/>
    <n v="1402.7832000000001"/>
  </r>
  <r>
    <x v="2"/>
    <n v="1192.2174"/>
  </r>
  <r>
    <x v="0"/>
    <n v="1663.9503999999999"/>
  </r>
  <r>
    <x v="1"/>
    <n v="1697.3016"/>
  </r>
  <r>
    <x v="0"/>
    <n v="1641.63"/>
  </r>
  <r>
    <x v="1"/>
    <n v="783.42399999999998"/>
  </r>
  <r>
    <x v="0"/>
    <n v="1012.1856"/>
  </r>
  <r>
    <x v="2"/>
    <n v="616.54750000000001"/>
  </r>
  <r>
    <x v="0"/>
    <n v="424.20510000000002"/>
  </r>
  <r>
    <x v="1"/>
    <n v="695.95499999999993"/>
  </r>
  <r>
    <x v="2"/>
    <n v="1169.2264"/>
  </r>
  <r>
    <x v="1"/>
    <n v="268.10359999999997"/>
  </r>
  <r>
    <x v="1"/>
    <n v="1276.7118"/>
  </r>
  <r>
    <x v="1"/>
    <n v="1620.8416"/>
  </r>
  <r>
    <x v="0"/>
    <n v="570.62200000000007"/>
  </r>
  <r>
    <x v="0"/>
    <n v="1043.8271999999999"/>
  </r>
  <r>
    <x v="1"/>
    <n v="853.05420000000004"/>
  </r>
  <r>
    <x v="2"/>
    <n v="1555.992"/>
  </r>
  <r>
    <x v="1"/>
    <n v="958.57439999999997"/>
  </r>
  <r>
    <x v="0"/>
    <n v="320.76"/>
  </r>
  <r>
    <x v="0"/>
    <n v="810.84600000000012"/>
  </r>
  <r>
    <x v="1"/>
    <n v="756.54719999999986"/>
  </r>
  <r>
    <x v="1"/>
    <n v="497.76479999999998"/>
  </r>
  <r>
    <x v="1"/>
    <n v="2364.6480000000001"/>
  </r>
  <r>
    <x v="1"/>
    <n v="778.35680000000002"/>
  </r>
  <r>
    <x v="2"/>
    <n v="447.45299999999992"/>
  </r>
  <r>
    <x v="1"/>
    <n v="2724.32"/>
  </r>
  <r>
    <x v="1"/>
    <n v="2488.6336000000001"/>
  </r>
  <r>
    <x v="2"/>
    <n v="1661.0527999999999"/>
  </r>
  <r>
    <x v="2"/>
    <n v="527.33479999999997"/>
  </r>
  <r>
    <x v="1"/>
    <n v="494.99560000000002"/>
  </r>
  <r>
    <x v="2"/>
    <n v="1143.252"/>
  </r>
  <r>
    <x v="0"/>
    <n v="3139.3784000000001"/>
  </r>
  <r>
    <x v="0"/>
    <n v="217.77209999999999"/>
  </r>
  <r>
    <x v="0"/>
    <n v="1810.56"/>
  </r>
  <r>
    <x v="2"/>
    <n v="1395.6096"/>
  </r>
  <r>
    <x v="0"/>
    <n v="1656.395"/>
  </r>
  <r>
    <x v="2"/>
    <n v="161.238"/>
  </r>
  <r>
    <x v="0"/>
    <n v="1574.4498000000001"/>
  </r>
  <r>
    <x v="0"/>
    <n v="207.27930000000001"/>
  </r>
  <r>
    <x v="2"/>
    <n v="24.7744"/>
  </r>
  <r>
    <x v="0"/>
    <n v="955.54599999999994"/>
  </r>
  <r>
    <x v="0"/>
    <n v="3030.5223999999998"/>
  </r>
  <r>
    <x v="0"/>
    <n v="364.71600000000001"/>
  </r>
  <r>
    <x v="0"/>
    <n v="84.348600000000005"/>
  </r>
  <r>
    <x v="2"/>
    <n v="81.673900000000003"/>
  </r>
  <r>
    <x v="1"/>
    <n v="1089.5352"/>
  </r>
  <r>
    <x v="2"/>
    <n v="701.4348"/>
  </r>
  <r>
    <x v="1"/>
    <n v="392.04"/>
  </r>
  <r>
    <x v="2"/>
    <n v="2811.1181999999999"/>
  </r>
  <r>
    <x v="1"/>
    <n v="478.66559999999998"/>
  </r>
  <r>
    <x v="1"/>
    <n v="2881.4259999999999"/>
  </r>
  <r>
    <x v="1"/>
    <n v="571.38619999999992"/>
  </r>
  <r>
    <x v="2"/>
    <n v="218.804"/>
  </r>
  <r>
    <x v="2"/>
    <n v="1419.0192"/>
  </r>
  <r>
    <x v="1"/>
    <n v="689.5"/>
  </r>
  <r>
    <x v="1"/>
    <n v="307.71359999999999"/>
  </r>
  <r>
    <x v="1"/>
    <n v="2277.2944000000002"/>
  </r>
  <r>
    <x v="1"/>
    <n v="136.34880000000001"/>
  </r>
  <r>
    <x v="0"/>
    <n v="392.83789999999999"/>
  </r>
  <r>
    <x v="1"/>
    <n v="934.32449999999983"/>
  </r>
  <r>
    <x v="0"/>
    <n v="753.49019999999996"/>
  </r>
  <r>
    <x v="2"/>
    <n v="2681.1651999999999"/>
  </r>
  <r>
    <x v="1"/>
    <n v="611.68040000000008"/>
  </r>
  <r>
    <x v="1"/>
    <n v="317.32470000000001"/>
  </r>
  <r>
    <x v="2"/>
    <n v="119.7855"/>
  </r>
  <r>
    <x v="2"/>
    <n v="1951.7436"/>
  </r>
  <r>
    <x v="2"/>
    <n v="1316.2085999999999"/>
  </r>
  <r>
    <x v="2"/>
    <n v="101.2608"/>
  </r>
  <r>
    <x v="2"/>
    <n v="1375.2876000000001"/>
  </r>
  <r>
    <x v="1"/>
    <n v="2569.1024000000002"/>
  </r>
  <r>
    <x v="0"/>
    <n v="467.91"/>
  </r>
  <r>
    <x v="1"/>
    <n v="999.5920000000001"/>
  </r>
  <r>
    <x v="0"/>
    <n v="1088.1378"/>
  </r>
  <r>
    <x v="1"/>
    <n v="407.57679999999999"/>
  </r>
  <r>
    <x v="1"/>
    <n v="821.92160000000001"/>
  </r>
  <r>
    <x v="2"/>
    <n v="175.85310000000001"/>
  </r>
  <r>
    <x v="1"/>
    <n v="366.95339999999999"/>
  </r>
  <r>
    <x v="0"/>
    <n v="2574.9856"/>
  </r>
  <r>
    <x v="1"/>
    <n v="1306.4175"/>
  </r>
  <r>
    <x v="2"/>
    <n v="835.84800000000007"/>
  </r>
  <r>
    <x v="1"/>
    <n v="612.56039999999996"/>
  </r>
  <r>
    <x v="0"/>
    <n v="271.59300000000002"/>
  </r>
  <r>
    <x v="0"/>
    <n v="573.61920000000009"/>
  </r>
  <r>
    <x v="2"/>
    <n v="1900.2672"/>
  </r>
  <r>
    <x v="1"/>
    <n v="654.0489"/>
  </r>
  <r>
    <x v="1"/>
    <n v="230.88040000000001"/>
  </r>
  <r>
    <x v="2"/>
    <n v="629.36520000000007"/>
  </r>
  <r>
    <x v="0"/>
    <n v="2148.8544000000002"/>
  </r>
  <r>
    <x v="0"/>
    <n v="629.96500000000003"/>
  </r>
  <r>
    <x v="2"/>
    <n v="624.49519999999995"/>
  </r>
  <r>
    <x v="1"/>
    <n v="1383.2583999999999"/>
  </r>
  <r>
    <x v="2"/>
    <n v="2081.9225999999999"/>
  </r>
  <r>
    <x v="2"/>
    <n v="251.04419999999999"/>
  </r>
  <r>
    <x v="2"/>
    <n v="1936.7025000000001"/>
  </r>
  <r>
    <x v="2"/>
    <n v="363.09980000000002"/>
  </r>
  <r>
    <x v="1"/>
    <n v="1247.4552000000001"/>
  </r>
  <r>
    <x v="0"/>
    <n v="1228.8078"/>
  </r>
  <r>
    <x v="1"/>
    <n v="261.58"/>
  </r>
  <r>
    <x v="0"/>
    <n v="368.83280000000002"/>
  </r>
  <r>
    <x v="2"/>
    <n v="312.67360000000002"/>
  </r>
  <r>
    <x v="2"/>
    <n v="846.98459999999989"/>
  </r>
  <r>
    <x v="2"/>
    <n v="823.27499999999998"/>
  </r>
  <r>
    <x v="0"/>
    <n v="1646.3879999999999"/>
  </r>
  <r>
    <x v="1"/>
    <n v="1759.9428"/>
  </r>
  <r>
    <x v="0"/>
    <n v="427.58760000000001"/>
  </r>
  <r>
    <x v="2"/>
    <n v="2168.64"/>
  </r>
  <r>
    <x v="0"/>
    <n v="1245.1189999999999"/>
  </r>
  <r>
    <x v="0"/>
    <n v="1146.0820000000001"/>
  </r>
  <r>
    <x v="1"/>
    <n v="868.45639999999992"/>
  </r>
  <r>
    <x v="2"/>
    <n v="501.91680000000002"/>
  </r>
  <r>
    <x v="2"/>
    <n v="927.92699999999991"/>
  </r>
  <r>
    <x v="2"/>
    <n v="2310.0987"/>
  </r>
  <r>
    <x v="0"/>
    <n v="359.7783"/>
  </r>
  <r>
    <x v="2"/>
    <n v="355.5342"/>
  </r>
  <r>
    <x v="2"/>
    <n v="480.75359999999989"/>
  </r>
  <r>
    <x v="1"/>
    <n v="347.25360000000012"/>
  </r>
  <r>
    <x v="0"/>
    <n v="84.852000000000004"/>
  </r>
  <r>
    <x v="2"/>
    <n v="1715.8679999999999"/>
  </r>
  <r>
    <x v="2"/>
    <n v="1045.2354"/>
  </r>
  <r>
    <x v="1"/>
    <n v="494.0684"/>
  </r>
  <r>
    <x v="1"/>
    <n v="1134.4007999999999"/>
  </r>
  <r>
    <x v="2"/>
    <n v="835.95240000000001"/>
  </r>
  <r>
    <x v="0"/>
    <n v="1016.0784"/>
  </r>
  <r>
    <x v="2"/>
    <n v="1609.9962"/>
  </r>
  <r>
    <x v="0"/>
    <n v="485.51580000000001"/>
  </r>
  <r>
    <x v="0"/>
    <n v="925.74649999999997"/>
  </r>
  <r>
    <x v="0"/>
    <n v="1333.4780000000001"/>
  </r>
  <r>
    <x v="2"/>
    <n v="2729.8292000000001"/>
  </r>
  <r>
    <x v="0"/>
    <n v="373.59129999999999"/>
  </r>
  <r>
    <x v="2"/>
    <n v="237.6524"/>
  </r>
  <r>
    <x v="1"/>
    <n v="902.30399999999997"/>
  </r>
  <r>
    <x v="2"/>
    <n v="1254.9264000000001"/>
  </r>
  <r>
    <x v="1"/>
    <n v="1144.4248"/>
  </r>
  <r>
    <x v="0"/>
    <n v="707.02719999999999"/>
  </r>
  <r>
    <x v="2"/>
    <n v="2326.4778000000001"/>
  </r>
  <r>
    <x v="0"/>
    <n v="1314.0072"/>
  </r>
  <r>
    <x v="2"/>
    <n v="554.35380000000009"/>
  </r>
  <r>
    <x v="1"/>
    <n v="433.92960000000011"/>
  </r>
  <r>
    <x v="0"/>
    <n v="563.48699999999997"/>
  </r>
  <r>
    <x v="0"/>
    <n v="320.04199999999997"/>
  </r>
  <r>
    <x v="1"/>
    <n v="1643.4792"/>
  </r>
  <r>
    <x v="0"/>
    <n v="3026.6716000000001"/>
  </r>
  <r>
    <x v="0"/>
    <n v="531.5616"/>
  </r>
  <r>
    <x v="1"/>
    <n v="866.04959999999994"/>
  </r>
  <r>
    <x v="0"/>
    <n v="30.175999999999998"/>
  </r>
  <r>
    <x v="0"/>
    <n v="463.85820000000001"/>
  </r>
  <r>
    <x v="1"/>
    <n v="19.481000000000002"/>
  </r>
  <r>
    <x v="2"/>
    <n v="1509.2352000000001"/>
  </r>
  <r>
    <x v="2"/>
    <n v="1795.982"/>
  </r>
  <r>
    <x v="1"/>
    <n v="1186.9680000000001"/>
  </r>
  <r>
    <x v="2"/>
    <n v="919.29179999999997"/>
  </r>
  <r>
    <x v="0"/>
    <n v="1149.066"/>
  </r>
  <r>
    <x v="2"/>
    <n v="611.17420000000004"/>
  </r>
  <r>
    <x v="1"/>
    <n v="615.79719999999998"/>
  </r>
  <r>
    <x v="1"/>
    <n v="612.68850000000009"/>
  </r>
  <r>
    <x v="2"/>
    <n v="891.53279999999995"/>
  </r>
  <r>
    <x v="1"/>
    <n v="1913.8391999999999"/>
  </r>
  <r>
    <x v="2"/>
    <n v="2164.6943999999999"/>
  </r>
  <r>
    <x v="2"/>
    <n v="262.78019999999998"/>
  </r>
  <r>
    <x v="2"/>
    <n v="800.21129999999994"/>
  </r>
  <r>
    <x v="0"/>
    <n v="245.80199999999999"/>
  </r>
  <r>
    <x v="0"/>
    <n v="1686.4275"/>
  </r>
  <r>
    <x v="1"/>
    <n v="460.96080000000001"/>
  </r>
  <r>
    <x v="1"/>
    <n v="1555.4619"/>
  </r>
  <r>
    <x v="2"/>
    <n v="171.45179999999999"/>
  </r>
  <r>
    <x v="0"/>
    <n v="2579.2651999999998"/>
  </r>
  <r>
    <x v="2"/>
    <n v="1263.5904"/>
  </r>
  <r>
    <x v="1"/>
    <n v="907.70659999999998"/>
  </r>
  <r>
    <x v="0"/>
    <n v="1912.96"/>
  </r>
  <r>
    <x v="0"/>
    <n v="897.05280000000005"/>
  </r>
  <r>
    <x v="0"/>
    <n v="1048.1238000000001"/>
  </r>
  <r>
    <x v="2"/>
    <n v="705.11850000000004"/>
  </r>
  <r>
    <x v="0"/>
    <n v="1558.4646"/>
  </r>
  <r>
    <x v="1"/>
    <n v="667.20539999999994"/>
  </r>
  <r>
    <x v="1"/>
    <n v="1289.3399999999999"/>
  </r>
  <r>
    <x v="1"/>
    <n v="661.59"/>
  </r>
  <r>
    <x v="0"/>
    <n v="1278.3675000000001"/>
  </r>
  <r>
    <x v="2"/>
    <n v="2524.8384000000001"/>
  </r>
  <r>
    <x v="2"/>
    <n v="1373.2991999999999"/>
  </r>
  <r>
    <x v="0"/>
    <n v="2250.2979999999998"/>
  </r>
  <r>
    <x v="2"/>
    <n v="629.74340000000007"/>
  </r>
  <r>
    <x v="0"/>
    <n v="607.64800000000002"/>
  </r>
  <r>
    <x v="1"/>
    <n v="2495.2049999999999"/>
  </r>
  <r>
    <x v="2"/>
    <n v="308.14710000000002"/>
  </r>
  <r>
    <x v="1"/>
    <n v="1200.9059999999999"/>
  </r>
  <r>
    <x v="0"/>
    <n v="767.98800000000006"/>
  </r>
  <r>
    <x v="0"/>
    <n v="139.29"/>
  </r>
  <r>
    <x v="2"/>
    <n v="1240.8389999999999"/>
  </r>
  <r>
    <x v="0"/>
    <n v="367.65219999999999"/>
  </r>
  <r>
    <x v="2"/>
    <n v="802.1579999999999"/>
  </r>
  <r>
    <x v="2"/>
    <n v="595.14840000000004"/>
  </r>
  <r>
    <x v="2"/>
    <n v="229.88249999999999"/>
  </r>
  <r>
    <x v="2"/>
    <n v="2777.1016"/>
  </r>
  <r>
    <x v="2"/>
    <n v="306.77249999999998"/>
  </r>
  <r>
    <x v="0"/>
    <n v="1550.5662"/>
  </r>
  <r>
    <x v="1"/>
    <n v="437.17020000000002"/>
  </r>
  <r>
    <x v="2"/>
    <n v="1095.864"/>
  </r>
  <r>
    <x v="2"/>
    <n v="637.50080000000014"/>
  </r>
  <r>
    <x v="2"/>
    <n v="1128.9969000000001"/>
  </r>
  <r>
    <x v="1"/>
    <n v="523.71"/>
  </r>
  <r>
    <x v="1"/>
    <n v="2240.2800000000002"/>
  </r>
  <r>
    <x v="0"/>
    <n v="41.875999999999998"/>
  </r>
  <r>
    <x v="2"/>
    <n v="754.20119999999997"/>
  </r>
  <r>
    <x v="2"/>
    <n v="991.30199999999979"/>
  </r>
  <r>
    <x v="1"/>
    <n v="1179.1369999999999"/>
  </r>
  <r>
    <x v="1"/>
    <n v="1731.4914000000001"/>
  </r>
  <r>
    <x v="2"/>
    <n v="200.1354"/>
  </r>
  <r>
    <x v="0"/>
    <n v="1185.4584"/>
  </r>
  <r>
    <x v="0"/>
    <n v="353.56760000000003"/>
  </r>
  <r>
    <x v="2"/>
    <n v="389.67399999999998"/>
  </r>
  <r>
    <x v="1"/>
    <n v="1113.6584"/>
  </r>
  <r>
    <x v="2"/>
    <n v="383.32799999999997"/>
  </r>
  <r>
    <x v="0"/>
    <n v="28.044"/>
  </r>
  <r>
    <x v="2"/>
    <n v="818.46659999999997"/>
  </r>
  <r>
    <x v="0"/>
    <n v="85.933199999999999"/>
  </r>
  <r>
    <x v="2"/>
    <n v="695.04819999999995"/>
  </r>
  <r>
    <x v="2"/>
    <n v="1561.9212"/>
  </r>
  <r>
    <x v="1"/>
    <n v="139.03120000000001"/>
  </r>
  <r>
    <x v="2"/>
    <n v="122.9456"/>
  </r>
  <r>
    <x v="0"/>
    <n v="751.58879999999988"/>
  </r>
  <r>
    <x v="2"/>
    <n v="493.91449999999992"/>
  </r>
  <r>
    <x v="1"/>
    <n v="1613.556"/>
  </r>
  <r>
    <x v="2"/>
    <n v="537.11840000000007"/>
  </r>
  <r>
    <x v="1"/>
    <n v="621.27"/>
  </r>
  <r>
    <x v="0"/>
    <n v="867.5"/>
  </r>
  <r>
    <x v="2"/>
    <n v="272.30130000000003"/>
  </r>
  <r>
    <x v="0"/>
    <n v="212.83199999999999"/>
  </r>
  <r>
    <x v="2"/>
    <n v="844.96719999999993"/>
  </r>
  <r>
    <x v="0"/>
    <n v="3138.6759999999999"/>
  </r>
  <r>
    <x v="0"/>
    <n v="1375.6759999999999"/>
  </r>
  <r>
    <x v="2"/>
    <n v="246.77549999999999"/>
  </r>
  <r>
    <x v="0"/>
    <n v="1748.7384"/>
  </r>
  <r>
    <x v="2"/>
    <n v="623.19839999999999"/>
  </r>
  <r>
    <x v="2"/>
    <n v="502.95960000000002"/>
  </r>
  <r>
    <x v="0"/>
    <n v="520.43039999999996"/>
  </r>
  <r>
    <x v="1"/>
    <n v="316.22199999999998"/>
  </r>
  <r>
    <x v="0"/>
    <n v="544.55939999999998"/>
  </r>
  <r>
    <x v="2"/>
    <n v="56.010599999999997"/>
  </r>
  <r>
    <x v="0"/>
    <n v="1641.3904"/>
  </r>
  <r>
    <x v="2"/>
    <n v="107.0748"/>
  </r>
  <r>
    <x v="0"/>
    <n v="523.66020000000003"/>
  </r>
  <r>
    <x v="2"/>
    <n v="18.459"/>
  </r>
  <r>
    <x v="0"/>
    <n v="3205.3728000000001"/>
  </r>
  <r>
    <x v="0"/>
    <n v="2470.6439999999998"/>
  </r>
  <r>
    <x v="1"/>
    <n v="474.41449999999998"/>
  </r>
  <r>
    <x v="1"/>
    <n v="370.75619999999998"/>
  </r>
  <r>
    <x v="2"/>
    <n v="571.26209999999992"/>
  </r>
  <r>
    <x v="1"/>
    <n v="934.46460000000013"/>
  </r>
  <r>
    <x v="0"/>
    <n v="647.2349999999999"/>
  </r>
  <r>
    <x v="0"/>
    <n v="1060.4369999999999"/>
  </r>
  <r>
    <x v="1"/>
    <n v="1754.4059999999999"/>
  </r>
  <r>
    <x v="1"/>
    <n v="1874.787"/>
  </r>
  <r>
    <x v="1"/>
    <n v="124.336"/>
  </r>
  <r>
    <x v="0"/>
    <n v="2746.7712000000001"/>
  </r>
  <r>
    <x v="1"/>
    <n v="2143.6176"/>
  </r>
  <r>
    <x v="1"/>
    <n v="2486.2139999999999"/>
  </r>
  <r>
    <x v="2"/>
    <n v="154.93799999999999"/>
  </r>
  <r>
    <x v="0"/>
    <n v="2421.7944000000002"/>
  </r>
  <r>
    <x v="1"/>
    <n v="541.10160000000008"/>
  </r>
  <r>
    <x v="0"/>
    <n v="844.77059999999994"/>
  </r>
  <r>
    <x v="1"/>
    <n v="1196.5536"/>
  </r>
  <r>
    <x v="1"/>
    <n v="1082.835"/>
  </r>
  <r>
    <x v="2"/>
    <n v="3817.6880000000001"/>
  </r>
  <r>
    <x v="0"/>
    <n v="267.20600000000002"/>
  </r>
  <r>
    <x v="0"/>
    <n v="603.71640000000002"/>
  </r>
  <r>
    <x v="0"/>
    <n v="1866.2719999999999"/>
  </r>
  <r>
    <x v="1"/>
    <n v="1661.6624999999999"/>
  </r>
  <r>
    <x v="0"/>
    <n v="1206.6407999999999"/>
  </r>
  <r>
    <x v="1"/>
    <n v="824.48639999999989"/>
  </r>
  <r>
    <x v="2"/>
    <n v="1069.5302999999999"/>
  </r>
  <r>
    <x v="2"/>
    <n v="1968.5753999999999"/>
  </r>
  <r>
    <x v="2"/>
    <n v="1483.8119999999999"/>
  </r>
  <r>
    <x v="0"/>
    <n v="345.32479999999998"/>
  </r>
  <r>
    <x v="1"/>
    <n v="59.593499999999999"/>
  </r>
  <r>
    <x v="0"/>
    <n v="568.09620000000007"/>
  </r>
  <r>
    <x v="0"/>
    <n v="671.02289999999994"/>
  </r>
  <r>
    <x v="2"/>
    <n v="1573.9359999999999"/>
  </r>
  <r>
    <x v="0"/>
    <n v="488.90660000000003"/>
  </r>
  <r>
    <x v="2"/>
    <n v="2286.4674"/>
  </r>
  <r>
    <x v="1"/>
    <n v="1901.4159999999999"/>
  </r>
  <r>
    <x v="0"/>
    <n v="675.94240000000013"/>
  </r>
  <r>
    <x v="1"/>
    <n v="2066.3663999999999"/>
  </r>
  <r>
    <x v="2"/>
    <n v="711.42959999999994"/>
  </r>
  <r>
    <x v="0"/>
    <n v="443.327"/>
  </r>
  <r>
    <x v="0"/>
    <n v="1255.8393000000001"/>
  </r>
  <r>
    <x v="1"/>
    <n v="1583.806"/>
  </r>
  <r>
    <x v="2"/>
    <n v="355.23840000000001"/>
  </r>
  <r>
    <x v="0"/>
    <n v="1813.1728000000001"/>
  </r>
  <r>
    <x v="2"/>
    <n v="2593.9104000000002"/>
  </r>
  <r>
    <x v="1"/>
    <n v="326.00070000000011"/>
  </r>
  <r>
    <x v="0"/>
    <n v="803.01599999999996"/>
  </r>
  <r>
    <x v="0"/>
    <n v="1799.55"/>
  </r>
  <r>
    <x v="1"/>
    <n v="113.0128"/>
  </r>
  <r>
    <x v="1"/>
    <n v="820.89920000000006"/>
  </r>
  <r>
    <x v="2"/>
    <n v="1968.1116"/>
  </r>
  <r>
    <x v="0"/>
    <n v="1930.761"/>
  </r>
  <r>
    <x v="1"/>
    <n v="1733.2565999999999"/>
  </r>
  <r>
    <x v="0"/>
    <n v="2312.2912000000001"/>
  </r>
  <r>
    <x v="1"/>
    <n v="1472.5308"/>
  </r>
  <r>
    <x v="0"/>
    <n v="2090.2723999999998"/>
  </r>
  <r>
    <x v="1"/>
    <n v="1690.7814000000001"/>
  </r>
  <r>
    <x v="2"/>
    <n v="1377.6432"/>
  </r>
  <r>
    <x v="2"/>
    <n v="3133.7256000000002"/>
  </r>
  <r>
    <x v="1"/>
    <n v="981.97259999999994"/>
  </r>
  <r>
    <x v="1"/>
    <n v="441.55169999999998"/>
  </r>
  <r>
    <x v="1"/>
    <n v="476.91660000000002"/>
  </r>
  <r>
    <x v="2"/>
    <n v="56.880400000000002"/>
  </r>
  <r>
    <x v="2"/>
    <n v="2408.6664000000001"/>
  </r>
  <r>
    <x v="0"/>
    <n v="787.28039999999999"/>
  </r>
  <r>
    <x v="0"/>
    <n v="1087.8444"/>
  </r>
  <r>
    <x v="2"/>
    <n v="1723.5719999999999"/>
  </r>
  <r>
    <x v="1"/>
    <n v="584.78399999999988"/>
  </r>
  <r>
    <x v="1"/>
    <n v="1281.8937000000001"/>
  </r>
  <r>
    <x v="0"/>
    <n v="2380.4639999999999"/>
  </r>
  <r>
    <x v="1"/>
    <n v="1304.2182"/>
  </r>
  <r>
    <x v="2"/>
    <n v="968.16959999999995"/>
  </r>
  <r>
    <x v="1"/>
    <n v="65.729200000000006"/>
  </r>
  <r>
    <x v="0"/>
    <n v="1327.8846000000001"/>
  </r>
  <r>
    <x v="1"/>
    <n v="1805.2736"/>
  </r>
  <r>
    <x v="2"/>
    <n v="2100.0441000000001"/>
  </r>
  <r>
    <x v="1"/>
    <n v="3030.424"/>
  </r>
  <r>
    <x v="2"/>
    <n v="491.32860000000011"/>
  </r>
  <r>
    <x v="1"/>
    <n v="689.17200000000014"/>
  </r>
  <r>
    <x v="2"/>
    <n v="1914.8480999999999"/>
  </r>
  <r>
    <x v="1"/>
    <n v="801.44959999999992"/>
  </r>
  <r>
    <x v="1"/>
    <n v="359.61380000000003"/>
  </r>
  <r>
    <x v="0"/>
    <n v="187.14840000000001"/>
  </r>
  <r>
    <x v="2"/>
    <n v="761.73839999999996"/>
  </r>
  <r>
    <x v="1"/>
    <n v="680.88400000000001"/>
  </r>
  <r>
    <x v="2"/>
    <n v="246.5856"/>
  </r>
  <r>
    <x v="1"/>
    <n v="2862.1208000000001"/>
  </r>
  <r>
    <x v="2"/>
    <n v="159.3408"/>
  </r>
  <r>
    <x v="2"/>
    <n v="394.90199999999999"/>
  </r>
  <r>
    <x v="2"/>
    <n v="453.58170000000001"/>
  </r>
  <r>
    <x v="2"/>
    <n v="447.82960000000003"/>
  </r>
  <r>
    <x v="0"/>
    <n v="1638.3912"/>
  </r>
  <r>
    <x v="0"/>
    <n v="1320.0640000000001"/>
  </r>
  <r>
    <x v="1"/>
    <n v="828.83359999999993"/>
  </r>
  <r>
    <x v="1"/>
    <n v="209.65119999999999"/>
  </r>
  <r>
    <x v="1"/>
    <n v="726.36479999999995"/>
  </r>
  <r>
    <x v="0"/>
    <n v="373.83839999999998"/>
  </r>
  <r>
    <x v="2"/>
    <n v="283.7484"/>
  </r>
  <r>
    <x v="1"/>
    <n v="208.3134"/>
  </r>
  <r>
    <x v="1"/>
    <n v="1299.9000000000001"/>
  </r>
  <r>
    <x v="0"/>
    <n v="70.924799999999991"/>
  </r>
  <r>
    <x v="1"/>
    <n v="721.8119999999999"/>
  </r>
  <r>
    <x v="0"/>
    <n v="2897.233999999999"/>
  </r>
  <r>
    <x v="2"/>
    <n v="262.80799999999999"/>
  </r>
  <r>
    <x v="2"/>
    <n v="33.129600000000003"/>
  </r>
  <r>
    <x v="2"/>
    <n v="1871.7185999999999"/>
  </r>
  <r>
    <x v="1"/>
    <n v="356.18669999999997"/>
  </r>
  <r>
    <x v="1"/>
    <n v="1230.9501"/>
  </r>
  <r>
    <x v="2"/>
    <n v="1489.8743999999999"/>
  </r>
  <r>
    <x v="1"/>
    <n v="1818.3263999999999"/>
  </r>
  <r>
    <x v="0"/>
    <n v="489.78199999999993"/>
  </r>
  <r>
    <x v="2"/>
    <n v="509.14980000000008"/>
  </r>
  <r>
    <x v="1"/>
    <n v="998.18729999999994"/>
  </r>
  <r>
    <x v="1"/>
    <n v="466.78170000000011"/>
  </r>
  <r>
    <x v="0"/>
    <n v="698.76"/>
  </r>
  <r>
    <x v="1"/>
    <n v="1988.568"/>
  </r>
  <r>
    <x v="2"/>
    <n v="1177.0512000000001"/>
  </r>
  <r>
    <x v="2"/>
    <n v="680.65200000000004"/>
  </r>
  <r>
    <x v="0"/>
    <n v="808.64189999999996"/>
  </r>
  <r>
    <x v="1"/>
    <n v="150.76079999999999"/>
  </r>
  <r>
    <x v="0"/>
    <n v="626.67989999999998"/>
  </r>
  <r>
    <x v="1"/>
    <n v="116.39700000000001"/>
  </r>
  <r>
    <x v="1"/>
    <n v="3181.8919999999998"/>
  </r>
  <r>
    <x v="2"/>
    <n v="127.3944"/>
  </r>
  <r>
    <x v="1"/>
    <n v="2826.5160000000001"/>
  </r>
  <r>
    <x v="1"/>
    <n v="1542.1751999999999"/>
  </r>
  <r>
    <x v="0"/>
    <n v="467.77280000000002"/>
  </r>
  <r>
    <x v="1"/>
    <n v="1413.93"/>
  </r>
  <r>
    <x v="0"/>
    <n v="1066.0735999999999"/>
  </r>
  <r>
    <x v="2"/>
    <n v="355.71519999999998"/>
  </r>
  <r>
    <x v="2"/>
    <n v="2404.6821"/>
  </r>
  <r>
    <x v="1"/>
    <n v="606.73080000000004"/>
  </r>
  <r>
    <x v="0"/>
    <n v="1173.508"/>
  </r>
  <r>
    <x v="0"/>
    <n v="1191.6812"/>
  </r>
  <r>
    <x v="1"/>
    <n v="955.01519999999994"/>
  </r>
  <r>
    <x v="1"/>
    <n v="1690.3040000000001"/>
  </r>
  <r>
    <x v="2"/>
    <n v="136.5984"/>
  </r>
  <r>
    <x v="1"/>
    <n v="1270.7460000000001"/>
  </r>
  <r>
    <x v="1"/>
    <n v="1968.6941999999999"/>
  </r>
  <r>
    <x v="0"/>
    <n v="809.04560000000004"/>
  </r>
  <r>
    <x v="1"/>
    <n v="144.9624"/>
  </r>
  <r>
    <x v="2"/>
    <n v="1018.668"/>
  </r>
  <r>
    <x v="0"/>
    <n v="2468.4387000000002"/>
  </r>
  <r>
    <x v="2"/>
    <n v="2278.3208"/>
  </r>
  <r>
    <x v="0"/>
    <n v="2291.6432"/>
  </r>
  <r>
    <x v="0"/>
    <n v="64.895600000000002"/>
  </r>
  <r>
    <x v="2"/>
    <n v="1266.356"/>
  </r>
  <r>
    <x v="2"/>
    <n v="991.26239999999996"/>
  </r>
  <r>
    <x v="1"/>
    <n v="1742.0255999999999"/>
  </r>
  <r>
    <x v="2"/>
    <n v="1628.1702"/>
  </r>
  <r>
    <x v="2"/>
    <n v="1518.6335999999999"/>
  </r>
  <r>
    <x v="0"/>
    <n v="646.29599999999994"/>
  </r>
  <r>
    <x v="2"/>
    <n v="197.7336"/>
  </r>
  <r>
    <x v="0"/>
    <n v="433.77199999999999"/>
  </r>
  <r>
    <x v="0"/>
    <n v="721.8211"/>
  </r>
  <r>
    <x v="1"/>
    <n v="1267.6251"/>
  </r>
  <r>
    <x v="1"/>
    <n v="603.54259999999988"/>
  </r>
  <r>
    <x v="1"/>
    <n v="1251.5072"/>
  </r>
  <r>
    <x v="1"/>
    <n v="895.68809999999996"/>
  </r>
  <r>
    <x v="1"/>
    <n v="946.53000000000009"/>
  </r>
  <r>
    <x v="2"/>
    <n v="1787.3469"/>
  </r>
  <r>
    <x v="0"/>
    <n v="528.3066"/>
  </r>
  <r>
    <x v="2"/>
    <n v="305.94240000000002"/>
  </r>
  <r>
    <x v="1"/>
    <n v="1369.6744000000001"/>
  </r>
  <r>
    <x v="0"/>
    <n v="1228.4412"/>
  </r>
  <r>
    <x v="1"/>
    <n v="1896.72"/>
  </r>
  <r>
    <x v="1"/>
    <n v="1386.2428"/>
  </r>
  <r>
    <x v="0"/>
    <n v="478.03019999999998"/>
  </r>
  <r>
    <x v="2"/>
    <n v="671.89779999999996"/>
  </r>
  <r>
    <x v="2"/>
    <n v="91.402000000000001"/>
  </r>
  <r>
    <x v="2"/>
    <n v="591.58360000000005"/>
  </r>
  <r>
    <x v="2"/>
    <n v="566.42039999999997"/>
  </r>
  <r>
    <x v="2"/>
    <n v="674.63560000000007"/>
  </r>
  <r>
    <x v="2"/>
    <n v="155.22720000000001"/>
  </r>
  <r>
    <x v="2"/>
    <n v="817.21080000000006"/>
  </r>
  <r>
    <x v="1"/>
    <n v="956.16639999999995"/>
  </r>
  <r>
    <x v="0"/>
    <n v="664.35"/>
  </r>
  <r>
    <x v="1"/>
    <n v="353.27339999999998"/>
  </r>
  <r>
    <x v="0"/>
    <n v="2691.7435999999998"/>
  </r>
  <r>
    <x v="2"/>
    <n v="763.30799999999999"/>
  </r>
  <r>
    <x v="1"/>
    <n v="222.26750000000001"/>
  </r>
  <r>
    <x v="2"/>
    <n v="2135.4168"/>
  </r>
  <r>
    <x v="1"/>
    <n v="2478.4499999999998"/>
  </r>
  <r>
    <x v="0"/>
    <n v="1439.136"/>
  </r>
  <r>
    <x v="0"/>
    <n v="871.41929999999991"/>
  </r>
  <r>
    <x v="1"/>
    <n v="1236.48"/>
  </r>
  <r>
    <x v="0"/>
    <n v="1794.3030000000001"/>
  </r>
  <r>
    <x v="2"/>
    <n v="199.2928"/>
  </r>
  <r>
    <x v="1"/>
    <n v="1022.6838"/>
  </r>
  <r>
    <x v="0"/>
    <n v="810.08579999999995"/>
  </r>
  <r>
    <x v="1"/>
    <n v="2807.8008"/>
  </r>
  <r>
    <x v="1"/>
    <n v="616.029"/>
  </r>
  <r>
    <x v="1"/>
    <n v="1442.76"/>
  </r>
  <r>
    <x v="2"/>
    <n v="69.273600000000002"/>
  </r>
  <r>
    <x v="1"/>
    <n v="2263.0068000000001"/>
  </r>
  <r>
    <x v="0"/>
    <n v="1149.558"/>
  </r>
  <r>
    <x v="0"/>
    <n v="803.22879999999998"/>
  </r>
  <r>
    <x v="0"/>
    <n v="611.20500000000004"/>
  </r>
  <r>
    <x v="1"/>
    <n v="676.73919999999998"/>
  </r>
  <r>
    <x v="1"/>
    <n v="514.69319999999993"/>
  </r>
  <r>
    <x v="1"/>
    <n v="92.848399999999998"/>
  </r>
  <r>
    <x v="2"/>
    <n v="756.76580000000001"/>
  </r>
  <r>
    <x v="2"/>
    <n v="2545.44"/>
  </r>
  <r>
    <x v="0"/>
    <n v="887.56200000000013"/>
  </r>
  <r>
    <x v="1"/>
    <n v="769.04399999999998"/>
  </r>
  <r>
    <x v="1"/>
    <n v="780.69119999999998"/>
  </r>
  <r>
    <x v="0"/>
    <n v="398.95310000000012"/>
  </r>
  <r>
    <x v="2"/>
    <n v="124.8768"/>
  </r>
  <r>
    <x v="2"/>
    <n v="2167.9223999999999"/>
  </r>
  <r>
    <x v="1"/>
    <n v="526.24439999999993"/>
  </r>
  <r>
    <x v="2"/>
    <n v="435.27359999999999"/>
  </r>
  <r>
    <x v="0"/>
    <n v="616.50819999999999"/>
  </r>
  <r>
    <x v="2"/>
    <n v="514.9"/>
  </r>
  <r>
    <x v="1"/>
    <n v="1156.3725999999999"/>
  </r>
  <r>
    <x v="1"/>
    <n v="258.822"/>
  </r>
  <r>
    <x v="2"/>
    <n v="1120.0599"/>
  </r>
  <r>
    <x v="0"/>
    <n v="131.047"/>
  </r>
  <r>
    <x v="1"/>
    <n v="2168.9369999999999"/>
  </r>
  <r>
    <x v="2"/>
    <n v="815.07200000000012"/>
  </r>
  <r>
    <x v="1"/>
    <n v="1665.692"/>
  </r>
  <r>
    <x v="1"/>
    <n v="1570.4166"/>
  </r>
  <r>
    <x v="0"/>
    <n v="405.32"/>
  </r>
  <r>
    <x v="1"/>
    <n v="2269.4976000000001"/>
  </r>
  <r>
    <x v="2"/>
    <n v="3225.9468000000002"/>
  </r>
  <r>
    <x v="1"/>
    <n v="2107.5246000000002"/>
  </r>
  <r>
    <x v="1"/>
    <n v="774.18000000000006"/>
  </r>
  <r>
    <x v="0"/>
    <n v="1080.2103999999999"/>
  </r>
  <r>
    <x v="1"/>
    <n v="689.38279999999997"/>
  </r>
  <r>
    <x v="2"/>
    <n v="36.027200000000001"/>
  </r>
  <r>
    <x v="1"/>
    <n v="600.29549999999995"/>
  </r>
  <r>
    <x v="1"/>
    <n v="1631.3309999999999"/>
  </r>
  <r>
    <x v="0"/>
    <n v="649.74"/>
  </r>
  <r>
    <x v="1"/>
    <n v="231.55500000000001"/>
  </r>
  <r>
    <x v="1"/>
    <n v="1404.075"/>
  </r>
  <r>
    <x v="0"/>
    <n v="193.2576"/>
  </r>
  <r>
    <x v="0"/>
    <n v="1351.3584000000001"/>
  </r>
  <r>
    <x v="1"/>
    <n v="570.11760000000004"/>
  </r>
  <r>
    <x v="2"/>
    <n v="52.003"/>
  </r>
  <r>
    <x v="1"/>
    <n v="1404.0527999999999"/>
  </r>
  <r>
    <x v="1"/>
    <n v="81.647999999999996"/>
  </r>
  <r>
    <x v="1"/>
    <n v="385.2996"/>
  </r>
  <r>
    <x v="1"/>
    <n v="159.87549999999999"/>
  </r>
  <r>
    <x v="1"/>
    <n v="352.59300000000002"/>
  </r>
  <r>
    <x v="2"/>
    <n v="403.58850000000001"/>
  </r>
  <r>
    <x v="0"/>
    <n v="449.51400000000001"/>
  </r>
  <r>
    <x v="1"/>
    <n v="1187.1780000000001"/>
  </r>
  <r>
    <x v="1"/>
    <n v="1175.4168"/>
  </r>
  <r>
    <x v="1"/>
    <n v="3440.0272"/>
  </r>
  <r>
    <x v="1"/>
    <n v="645.30080000000009"/>
  </r>
  <r>
    <x v="2"/>
    <n v="190.7064"/>
  </r>
  <r>
    <x v="0"/>
    <n v="906.23660000000007"/>
  </r>
  <r>
    <x v="1"/>
    <n v="1482.0798"/>
  </r>
  <r>
    <x v="0"/>
    <n v="2102.424"/>
  </r>
  <r>
    <x v="2"/>
    <n v="1219.2570000000001"/>
  </r>
  <r>
    <x v="0"/>
    <n v="1655.7170000000001"/>
  </r>
  <r>
    <x v="0"/>
    <n v="422.01299999999998"/>
  </r>
  <r>
    <x v="2"/>
    <n v="429.32159999999999"/>
  </r>
  <r>
    <x v="2"/>
    <n v="1639.2095999999999"/>
  </r>
  <r>
    <x v="0"/>
    <n v="85.169700000000006"/>
  </r>
  <r>
    <x v="1"/>
    <n v="2397.4079999999999"/>
  </r>
  <r>
    <x v="1"/>
    <n v="296.31689999999998"/>
  </r>
  <r>
    <x v="1"/>
    <n v="285.96719999999999"/>
  </r>
  <r>
    <x v="0"/>
    <n v="304.76749999999998"/>
  </r>
  <r>
    <x v="0"/>
    <n v="767.48159999999996"/>
  </r>
  <r>
    <x v="1"/>
    <n v="1147.4495999999999"/>
  </r>
  <r>
    <x v="1"/>
    <n v="1776.3743999999999"/>
  </r>
  <r>
    <x v="0"/>
    <n v="545.80500000000006"/>
  </r>
  <r>
    <x v="1"/>
    <n v="945.12599999999998"/>
  </r>
  <r>
    <x v="2"/>
    <n v="2232.5688"/>
  </r>
  <r>
    <x v="1"/>
    <n v="2971.0295999999998"/>
  </r>
  <r>
    <x v="0"/>
    <n v="942.01600000000008"/>
  </r>
  <r>
    <x v="1"/>
    <n v="1628.0208"/>
  </r>
  <r>
    <x v="2"/>
    <n v="889.30799999999999"/>
  </r>
  <r>
    <x v="2"/>
    <n v="661.7595"/>
  </r>
  <r>
    <x v="0"/>
    <n v="1845.9659999999999"/>
  </r>
  <r>
    <x v="2"/>
    <n v="1828.1120000000001"/>
  </r>
  <r>
    <x v="2"/>
    <n v="593.79"/>
  </r>
  <r>
    <x v="1"/>
    <n v="1900.1135999999999"/>
  </r>
  <r>
    <x v="2"/>
    <n v="2950.14"/>
  </r>
  <r>
    <x v="0"/>
    <n v="821.35159999999996"/>
  </r>
  <r>
    <x v="1"/>
    <n v="1756.5324000000001"/>
  </r>
  <r>
    <x v="2"/>
    <n v="1568.943"/>
  </r>
  <r>
    <x v="1"/>
    <n v="548.06200000000001"/>
  </r>
  <r>
    <x v="2"/>
    <n v="954.06080000000009"/>
  </r>
  <r>
    <x v="1"/>
    <n v="1194.9028000000001"/>
  </r>
  <r>
    <x v="1"/>
    <n v="3220.3444"/>
  </r>
  <r>
    <x v="0"/>
    <n v="40.976100000000002"/>
  </r>
  <r>
    <x v="0"/>
    <n v="189.61760000000001"/>
  </r>
  <r>
    <x v="0"/>
    <n v="264.91500000000002"/>
  </r>
  <r>
    <x v="0"/>
    <n v="1369.1215999999999"/>
  </r>
  <r>
    <x v="1"/>
    <n v="331.17"/>
  </r>
  <r>
    <x v="2"/>
    <n v="1275.799"/>
  </r>
  <r>
    <x v="0"/>
    <n v="1926.15"/>
  </r>
  <r>
    <x v="0"/>
    <n v="1370.5232000000001"/>
  </r>
  <r>
    <x v="2"/>
    <n v="679.18619999999999"/>
  </r>
  <r>
    <x v="1"/>
    <n v="1053.7551000000001"/>
  </r>
  <r>
    <x v="0"/>
    <n v="333.85090000000002"/>
  </r>
  <r>
    <x v="0"/>
    <n v="819.71759999999995"/>
  </r>
  <r>
    <x v="0"/>
    <n v="1187.8979999999999"/>
  </r>
  <r>
    <x v="1"/>
    <n v="2093.6736000000001"/>
  </r>
  <r>
    <x v="0"/>
    <n v="202.9836"/>
  </r>
  <r>
    <x v="2"/>
    <n v="32.659199999999998"/>
  </r>
  <r>
    <x v="2"/>
    <n v="1031.7507000000001"/>
  </r>
  <r>
    <x v="2"/>
    <n v="1746.712"/>
  </r>
  <r>
    <x v="0"/>
    <n v="1754.94"/>
  </r>
  <r>
    <x v="1"/>
    <n v="530.21159999999998"/>
  </r>
  <r>
    <x v="2"/>
    <n v="2035.854"/>
  </r>
  <r>
    <x v="2"/>
    <n v="361.45920000000001"/>
  </r>
  <r>
    <x v="1"/>
    <n v="953.45100000000014"/>
  </r>
  <r>
    <x v="2"/>
    <n v="685.3069999999999"/>
  </r>
  <r>
    <x v="1"/>
    <n v="584.04599999999994"/>
  </r>
  <r>
    <x v="1"/>
    <n v="530.14499999999998"/>
  </r>
  <r>
    <x v="2"/>
    <n v="3721.52"/>
  </r>
  <r>
    <x v="0"/>
    <n v="665.51679999999999"/>
  </r>
  <r>
    <x v="2"/>
    <n v="229.35640000000001"/>
  </r>
  <r>
    <x v="1"/>
    <n v="800.58119999999997"/>
  </r>
  <r>
    <x v="1"/>
    <n v="122.968"/>
  </r>
  <r>
    <x v="2"/>
    <n v="1363.4544000000001"/>
  </r>
  <r>
    <x v="0"/>
    <n v="912.00359999999989"/>
  </r>
  <r>
    <x v="2"/>
    <n v="112.4496"/>
  </r>
  <r>
    <x v="0"/>
    <n v="1287.6084000000001"/>
  </r>
  <r>
    <x v="1"/>
    <n v="3602.7264"/>
  </r>
  <r>
    <x v="1"/>
    <n v="1538.4005999999999"/>
  </r>
  <r>
    <x v="1"/>
    <n v="82.54679999999999"/>
  </r>
  <r>
    <x v="0"/>
    <n v="1417.8240000000001"/>
  </r>
  <r>
    <x v="2"/>
    <n v="213.709"/>
  </r>
  <r>
    <x v="2"/>
    <n v="800.33699999999999"/>
  </r>
  <r>
    <x v="2"/>
    <n v="333.04919999999998"/>
  </r>
  <r>
    <x v="1"/>
    <n v="514.29959999999994"/>
  </r>
  <r>
    <x v="0"/>
    <n v="2299.5983999999999"/>
  </r>
  <r>
    <x v="1"/>
    <n v="2013.7872"/>
  </r>
  <r>
    <x v="2"/>
    <n v="1228.4894999999999"/>
  </r>
  <r>
    <x v="2"/>
    <n v="77.022000000000006"/>
  </r>
  <r>
    <x v="0"/>
    <n v="2560"/>
  </r>
  <r>
    <x v="1"/>
    <n v="262.51499999999999"/>
  </r>
  <r>
    <x v="0"/>
    <n v="158.50749999999999"/>
  </r>
  <r>
    <x v="1"/>
    <n v="2205.0239999999999"/>
  </r>
  <r>
    <x v="2"/>
    <n v="1538.942"/>
  </r>
  <r>
    <x v="1"/>
    <n v="909.83199999999999"/>
  </r>
  <r>
    <x v="1"/>
    <n v="194.17859999999999"/>
  </r>
  <r>
    <x v="2"/>
    <n v="2566.404"/>
  </r>
  <r>
    <x v="1"/>
    <n v="786.19040000000007"/>
  </r>
  <r>
    <x v="1"/>
    <n v="1125.896"/>
  </r>
  <r>
    <x v="2"/>
    <n v="1715.0595000000001"/>
  </r>
  <r>
    <x v="2"/>
    <n v="887.30400000000009"/>
  </r>
  <r>
    <x v="2"/>
    <n v="800.72879999999998"/>
  </r>
  <r>
    <x v="1"/>
    <n v="2859.2928000000002"/>
  </r>
  <r>
    <x v="2"/>
    <n v="570.78420000000006"/>
  </r>
  <r>
    <x v="1"/>
    <n v="2481.5216"/>
  </r>
  <r>
    <x v="2"/>
    <n v="2358.1583999999998"/>
  </r>
  <r>
    <x v="1"/>
    <n v="445.10399999999998"/>
  </r>
  <r>
    <x v="2"/>
    <n v="1371.5504000000001"/>
  </r>
  <r>
    <x v="2"/>
    <n v="673.875"/>
  </r>
  <r>
    <x v="2"/>
    <n v="223.87280000000001"/>
  </r>
  <r>
    <x v="2"/>
    <n v="574.10699999999997"/>
  </r>
  <r>
    <x v="1"/>
    <n v="529.88580000000002"/>
  </r>
  <r>
    <x v="2"/>
    <n v="929.16320000000007"/>
  </r>
  <r>
    <x v="2"/>
    <n v="1071.904"/>
  </r>
  <r>
    <x v="2"/>
    <n v="763.97759999999994"/>
  </r>
  <r>
    <x v="2"/>
    <n v="712.59749999999985"/>
  </r>
  <r>
    <x v="2"/>
    <n v="2013.5178000000001"/>
  </r>
  <r>
    <x v="2"/>
    <n v="1438.8352"/>
  </r>
  <r>
    <x v="1"/>
    <n v="213.55879999999999"/>
  </r>
  <r>
    <x v="1"/>
    <n v="1925.8533"/>
  </r>
  <r>
    <x v="1"/>
    <n v="1146.6271999999999"/>
  </r>
  <r>
    <x v="2"/>
    <n v="64.878399999999999"/>
  </r>
  <r>
    <x v="1"/>
    <n v="36.225000000000001"/>
  </r>
  <r>
    <x v="2"/>
    <n v="1537.404"/>
  </r>
  <r>
    <x v="1"/>
    <n v="1548.9465"/>
  </r>
  <r>
    <x v="2"/>
    <n v="1969.9559999999999"/>
  </r>
  <r>
    <x v="1"/>
    <n v="1659.9756"/>
  </r>
  <r>
    <x v="0"/>
    <n v="1280.115"/>
  </r>
  <r>
    <x v="1"/>
    <n v="150.7902"/>
  </r>
  <r>
    <x v="0"/>
    <n v="812.75739999999996"/>
  </r>
  <r>
    <x v="0"/>
    <n v="1005.3216"/>
  </r>
  <r>
    <x v="2"/>
    <n v="590.84100000000001"/>
  </r>
  <r>
    <x v="0"/>
    <n v="1040.2403999999999"/>
  </r>
  <r>
    <x v="0"/>
    <n v="2182.4463999999998"/>
  </r>
  <r>
    <x v="0"/>
    <n v="105.47280000000001"/>
  </r>
  <r>
    <x v="2"/>
    <n v="343.6694"/>
  </r>
  <r>
    <x v="1"/>
    <n v="103.9311"/>
  </r>
  <r>
    <x v="2"/>
    <n v="900.59199999999998"/>
  </r>
  <r>
    <x v="1"/>
    <n v="1505.2575999999999"/>
  </r>
  <r>
    <x v="2"/>
    <n v="926.40100000000007"/>
  </r>
  <r>
    <x v="0"/>
    <n v="242.03899999999999"/>
  </r>
  <r>
    <x v="2"/>
    <n v="1627.4391000000001"/>
  </r>
  <r>
    <x v="2"/>
    <n v="138.4229"/>
  </r>
  <r>
    <x v="0"/>
    <n v="1774.3440000000001"/>
  </r>
  <r>
    <x v="0"/>
    <n v="1477.5"/>
  </r>
  <r>
    <x v="0"/>
    <n v="615.74040000000002"/>
  </r>
  <r>
    <x v="2"/>
    <n v="2774.6131999999998"/>
  </r>
  <r>
    <x v="1"/>
    <n v="450.52399999999989"/>
  </r>
  <r>
    <x v="1"/>
    <n v="2549.4839999999999"/>
  </r>
  <r>
    <x v="1"/>
    <n v="1359.5925"/>
  </r>
  <r>
    <x v="2"/>
    <n v="1373.7651000000001"/>
  </r>
  <r>
    <x v="1"/>
    <n v="502.62119999999999"/>
  </r>
  <r>
    <x v="0"/>
    <n v="1861.9880000000001"/>
  </r>
  <r>
    <x v="1"/>
    <n v="1904.5440000000001"/>
  </r>
  <r>
    <x v="1"/>
    <n v="273.52260000000001"/>
  </r>
  <r>
    <x v="0"/>
    <n v="95.408200000000008"/>
  </r>
  <r>
    <x v="0"/>
    <n v="700.5544000000001"/>
  </r>
  <r>
    <x v="1"/>
    <n v="257.24009999999998"/>
  </r>
  <r>
    <x v="0"/>
    <n v="2460.3708000000001"/>
  </r>
  <r>
    <x v="1"/>
    <n v="142.52520000000001"/>
  </r>
  <r>
    <x v="1"/>
    <n v="287.38799999999998"/>
  </r>
  <r>
    <x v="1"/>
    <n v="2760.5439999999999"/>
  </r>
  <r>
    <x v="2"/>
    <n v="54.489600000000003"/>
  </r>
  <r>
    <x v="2"/>
    <n v="1448.752"/>
  </r>
  <r>
    <x v="0"/>
    <n v="469.00080000000003"/>
  </r>
  <r>
    <x v="1"/>
    <n v="1741.35"/>
  </r>
  <r>
    <x v="1"/>
    <n v="1482.1808000000001"/>
  </r>
  <r>
    <x v="2"/>
    <n v="634.17840000000001"/>
  </r>
  <r>
    <x v="0"/>
    <n v="3034.2824000000001"/>
  </r>
  <r>
    <x v="0"/>
    <n v="1867.9205999999999"/>
  </r>
  <r>
    <x v="1"/>
    <n v="2839.6248000000001"/>
  </r>
  <r>
    <x v="0"/>
    <n v="1602.7067999999999"/>
  </r>
  <r>
    <x v="2"/>
    <n v="2281.14"/>
  </r>
  <r>
    <x v="2"/>
    <n v="1451.6960999999999"/>
  </r>
  <r>
    <x v="1"/>
    <n v="1792.1180999999999"/>
  </r>
  <r>
    <x v="0"/>
    <n v="954.76499999999999"/>
  </r>
  <r>
    <x v="2"/>
    <n v="1142.4972"/>
  </r>
  <r>
    <x v="2"/>
    <n v="396.23039999999992"/>
  </r>
  <r>
    <x v="1"/>
    <n v="3019.2287999999999"/>
  </r>
  <r>
    <x v="0"/>
    <n v="342.92250000000001"/>
  </r>
  <r>
    <x v="2"/>
    <n v="2100.7728000000002"/>
  </r>
  <r>
    <x v="2"/>
    <n v="523.77599999999995"/>
  </r>
  <r>
    <x v="2"/>
    <n v="372.0299"/>
  </r>
  <r>
    <x v="2"/>
    <n v="1311.4192"/>
  </r>
  <r>
    <x v="1"/>
    <n v="2487.3809999999989"/>
  </r>
  <r>
    <x v="1"/>
    <n v="373.66559999999998"/>
  </r>
  <r>
    <x v="2"/>
    <n v="192.88499999999999"/>
  </r>
  <r>
    <x v="1"/>
    <n v="1171.2978000000001"/>
  </r>
  <r>
    <x v="2"/>
    <n v="255.88800000000001"/>
  </r>
  <r>
    <x v="2"/>
    <n v="377.10980000000001"/>
  </r>
  <r>
    <x v="0"/>
    <n v="2585.8643999999999"/>
  </r>
  <r>
    <x v="1"/>
    <n v="2367.15"/>
  </r>
  <r>
    <x v="1"/>
    <n v="570.52"/>
  </r>
  <r>
    <x v="2"/>
    <n v="969.66480000000013"/>
  </r>
  <r>
    <x v="0"/>
    <n v="848.82439999999997"/>
  </r>
  <r>
    <x v="2"/>
    <n v="487.18799999999999"/>
  </r>
  <r>
    <x v="2"/>
    <n v="896.04000000000019"/>
  </r>
  <r>
    <x v="1"/>
    <n v="46.216799999999999"/>
  </r>
  <r>
    <x v="1"/>
    <n v="586.71719999999993"/>
  </r>
  <r>
    <x v="1"/>
    <n v="2033.9405999999999"/>
  </r>
  <r>
    <x v="2"/>
    <n v="2576.2302"/>
  </r>
  <r>
    <x v="1"/>
    <n v="736.66800000000001"/>
  </r>
  <r>
    <x v="0"/>
    <n v="1022.2128"/>
  </r>
  <r>
    <x v="0"/>
    <n v="547.74720000000002"/>
  </r>
  <r>
    <x v="0"/>
    <n v="813.04719999999998"/>
  </r>
  <r>
    <x v="1"/>
    <n v="48.101500000000001"/>
  </r>
  <r>
    <x v="0"/>
    <n v="2906.5680000000002"/>
  </r>
  <r>
    <x v="0"/>
    <n v="898.8216000000001"/>
  </r>
  <r>
    <x v="0"/>
    <n v="311.43279999999999"/>
  </r>
  <r>
    <x v="2"/>
    <n v="1005.3944"/>
  </r>
  <r>
    <x v="0"/>
    <n v="1512.2267999999999"/>
  </r>
  <r>
    <x v="0"/>
    <n v="1176.4536000000001"/>
  </r>
  <r>
    <x v="0"/>
    <n v="291.5822"/>
  </r>
  <r>
    <x v="2"/>
    <n v="513.81359999999995"/>
  </r>
  <r>
    <x v="2"/>
    <n v="359.50400000000002"/>
  </r>
  <r>
    <x v="0"/>
    <n v="1392.2716"/>
  </r>
  <r>
    <x v="1"/>
    <n v="577.82339999999999"/>
  </r>
  <r>
    <x v="0"/>
    <n v="103.8609"/>
  </r>
  <r>
    <x v="1"/>
    <n v="457.73700000000002"/>
  </r>
  <r>
    <x v="0"/>
    <n v="758.38120000000004"/>
  </r>
  <r>
    <x v="2"/>
    <n v="127.2171"/>
  </r>
  <r>
    <x v="0"/>
    <n v="2110.1255999999998"/>
  </r>
  <r>
    <x v="0"/>
    <n v="449.03949999999998"/>
  </r>
  <r>
    <x v="0"/>
    <n v="384.11040000000003"/>
  </r>
  <r>
    <x v="2"/>
    <n v="372.28500000000003"/>
  </r>
  <r>
    <x v="2"/>
    <n v="241.03399999999999"/>
  </r>
  <r>
    <x v="2"/>
    <n v="1832.3789999999999"/>
  </r>
  <r>
    <x v="2"/>
    <n v="1813.0716"/>
  </r>
  <r>
    <x v="1"/>
    <n v="538.5634"/>
  </r>
  <r>
    <x v="1"/>
    <n v="2163.7055999999998"/>
  </r>
  <r>
    <x v="0"/>
    <n v="794.45699999999999"/>
  </r>
  <r>
    <x v="1"/>
    <n v="888.0444"/>
  </r>
  <r>
    <x v="1"/>
    <n v="1169.6238000000001"/>
  </r>
  <r>
    <x v="2"/>
    <n v="269.87189999999998"/>
  </r>
  <r>
    <x v="1"/>
    <n v="925.18960000000004"/>
  </r>
  <r>
    <x v="1"/>
    <n v="1685.1573000000001"/>
  </r>
  <r>
    <x v="0"/>
    <n v="660.11400000000003"/>
  </r>
  <r>
    <x v="2"/>
    <n v="726.80000000000007"/>
  </r>
  <r>
    <x v="2"/>
    <n v="1272.5920000000001"/>
  </r>
  <r>
    <x v="2"/>
    <n v="542.57100000000003"/>
  </r>
  <r>
    <x v="0"/>
    <n v="411.71490000000011"/>
  </r>
  <r>
    <x v="0"/>
    <n v="229.023"/>
  </r>
  <r>
    <x v="2"/>
    <n v="2234.7188000000001"/>
  </r>
  <r>
    <x v="2"/>
    <n v="1138.83"/>
  </r>
  <r>
    <x v="2"/>
    <n v="1677.4903999999999"/>
  </r>
  <r>
    <x v="1"/>
    <n v="599.58359999999993"/>
  </r>
  <r>
    <x v="0"/>
    <n v="101.3886"/>
  </r>
  <r>
    <x v="1"/>
    <n v="3316.16"/>
  </r>
  <r>
    <x v="1"/>
    <n v="125.8888"/>
  </r>
  <r>
    <x v="0"/>
    <n v="1023.33"/>
  </r>
  <r>
    <x v="0"/>
    <n v="1984.7356"/>
  </r>
  <r>
    <x v="2"/>
    <n v="713.4"/>
  </r>
  <r>
    <x v="2"/>
    <n v="1249.5006000000001"/>
  </r>
  <r>
    <x v="2"/>
    <n v="340.06259999999997"/>
  </r>
  <r>
    <x v="0"/>
    <n v="1171.2288000000001"/>
  </r>
  <r>
    <x v="2"/>
    <n v="728.12040000000002"/>
  </r>
  <r>
    <x v="0"/>
    <n v="2107.4004"/>
  </r>
  <r>
    <x v="2"/>
    <n v="1818.4914000000001"/>
  </r>
  <r>
    <x v="1"/>
    <n v="1283.2403999999999"/>
  </r>
  <r>
    <x v="1"/>
    <n v="323.56099999999998"/>
  </r>
  <r>
    <x v="1"/>
    <n v="339.42459999999988"/>
  </r>
  <r>
    <x v="1"/>
    <n v="172.76669999999999"/>
  </r>
  <r>
    <x v="2"/>
    <n v="1974.2418"/>
  </r>
  <r>
    <x v="2"/>
    <n v="971.39200000000005"/>
  </r>
  <r>
    <x v="1"/>
    <n v="519.15329999999994"/>
  </r>
  <r>
    <x v="0"/>
    <n v="953.55000000000007"/>
  </r>
  <r>
    <x v="0"/>
    <n v="165.84469999999999"/>
  </r>
  <r>
    <x v="1"/>
    <n v="297.28919999999999"/>
  </r>
  <r>
    <x v="2"/>
    <n v="1523.124"/>
  </r>
  <r>
    <x v="2"/>
    <n v="730.19159999999999"/>
  </r>
  <r>
    <x v="2"/>
    <n v="1657.5455999999999"/>
  </r>
  <r>
    <x v="0"/>
    <n v="3228.8760000000002"/>
  </r>
  <r>
    <x v="2"/>
    <n v="1426.6980000000001"/>
  </r>
  <r>
    <x v="0"/>
    <n v="1450.89"/>
  </r>
  <r>
    <x v="2"/>
    <n v="360.85559999999998"/>
  </r>
  <r>
    <x v="0"/>
    <n v="1972.92"/>
  </r>
  <r>
    <x v="0"/>
    <n v="86.285399999999996"/>
  </r>
  <r>
    <x v="0"/>
    <n v="2748.2224000000001"/>
  </r>
  <r>
    <x v="0"/>
    <n v="272.62180000000001"/>
  </r>
  <r>
    <x v="2"/>
    <n v="426.12240000000003"/>
  </r>
  <r>
    <x v="2"/>
    <n v="799.13340000000005"/>
  </r>
  <r>
    <x v="1"/>
    <n v="2026.1829"/>
  </r>
  <r>
    <x v="0"/>
    <n v="1395.6948"/>
  </r>
  <r>
    <x v="0"/>
    <n v="1583.0316"/>
  </r>
  <r>
    <x v="0"/>
    <n v="2801.768"/>
  </r>
  <r>
    <x v="2"/>
    <n v="1857.2175999999999"/>
  </r>
  <r>
    <x v="0"/>
    <n v="3745.8047999999999"/>
  </r>
  <r>
    <x v="2"/>
    <n v="1776.5286000000001"/>
  </r>
  <r>
    <x v="0"/>
    <n v="1905.1724999999999"/>
  </r>
  <r>
    <x v="1"/>
    <n v="1462.0029999999999"/>
  </r>
  <r>
    <x v="1"/>
    <n v="113.33580000000001"/>
  </r>
  <r>
    <x v="1"/>
    <n v="90.479799999999997"/>
  </r>
  <r>
    <x v="0"/>
    <n v="325.54419999999999"/>
  </r>
  <r>
    <x v="1"/>
    <n v="535.35019999999997"/>
  </r>
  <r>
    <x v="2"/>
    <n v="678.60799999999995"/>
  </r>
  <r>
    <x v="0"/>
    <n v="1352.076"/>
  </r>
  <r>
    <x v="1"/>
    <n v="347.82000000000011"/>
  </r>
  <r>
    <x v="2"/>
    <n v="81.619199999999992"/>
  </r>
  <r>
    <x v="1"/>
    <n v="1536.7439999999999"/>
  </r>
  <r>
    <x v="2"/>
    <n v="1846.08"/>
  </r>
  <r>
    <x v="0"/>
    <n v="541.66739999999993"/>
  </r>
  <r>
    <x v="1"/>
    <n v="2467.4495999999999"/>
  </r>
  <r>
    <x v="2"/>
    <n v="419.46480000000003"/>
  </r>
  <r>
    <x v="1"/>
    <n v="891.87199999999996"/>
  </r>
  <r>
    <x v="1"/>
    <n v="1740.6279999999999"/>
  </r>
  <r>
    <x v="1"/>
    <n v="714.41759999999999"/>
  </r>
  <r>
    <x v="1"/>
    <n v="3293.5448000000001"/>
  </r>
  <r>
    <x v="1"/>
    <n v="529.74900000000002"/>
  </r>
  <r>
    <x v="0"/>
    <n v="2728.2024000000001"/>
  </r>
  <r>
    <x v="1"/>
    <n v="333.81279999999998"/>
  </r>
  <r>
    <x v="2"/>
    <n v="312.08049999999997"/>
  </r>
  <r>
    <x v="2"/>
    <n v="1032.0813000000001"/>
  </r>
  <r>
    <x v="0"/>
    <n v="683.00099999999998"/>
  </r>
  <r>
    <x v="2"/>
    <n v="2974.6439999999998"/>
  </r>
  <r>
    <x v="2"/>
    <n v="818.42499999999995"/>
  </r>
  <r>
    <x v="2"/>
    <n v="435.34199999999998"/>
  </r>
  <r>
    <x v="1"/>
    <n v="871.39699999999993"/>
  </r>
  <r>
    <x v="1"/>
    <n v="344.53680000000003"/>
  </r>
  <r>
    <x v="2"/>
    <n v="502.51319999999998"/>
  </r>
  <r>
    <x v="0"/>
    <n v="515.9325"/>
  </r>
  <r>
    <x v="1"/>
    <n v="2101.0626000000002"/>
  </r>
  <r>
    <x v="0"/>
    <n v="359.19650000000001"/>
  </r>
  <r>
    <x v="1"/>
    <n v="857.1"/>
  </r>
  <r>
    <x v="0"/>
    <n v="1112.9536000000001"/>
  </r>
  <r>
    <x v="1"/>
    <n v="413.5335"/>
  </r>
  <r>
    <x v="1"/>
    <n v="2010.6432"/>
  </r>
  <r>
    <x v="2"/>
    <n v="444.61439999999988"/>
  </r>
  <r>
    <x v="1"/>
    <n v="1533.8240000000001"/>
  </r>
  <r>
    <x v="2"/>
    <n v="1081.0134"/>
  </r>
  <r>
    <x v="1"/>
    <n v="618.69359999999995"/>
  </r>
  <r>
    <x v="0"/>
    <n v="377.28"/>
  </r>
  <r>
    <x v="2"/>
    <n v="1630.3391999999999"/>
  </r>
  <r>
    <x v="0"/>
    <n v="229.3109"/>
  </r>
  <r>
    <x v="2"/>
    <n v="189.21600000000001"/>
  </r>
  <r>
    <x v="1"/>
    <n v="692.38839999999993"/>
  </r>
  <r>
    <x v="0"/>
    <n v="1884.54"/>
  </r>
  <r>
    <x v="2"/>
    <n v="906.50339999999994"/>
  </r>
  <r>
    <x v="0"/>
    <n v="716.1336"/>
  </r>
  <r>
    <x v="2"/>
    <n v="137.697"/>
  </r>
  <r>
    <x v="1"/>
    <n v="1345.6368"/>
  </r>
  <r>
    <x v="1"/>
    <n v="148.49160000000001"/>
  </r>
  <r>
    <x v="0"/>
    <n v="2936.0144"/>
  </r>
  <r>
    <x v="0"/>
    <n v="328.02"/>
  </r>
  <r>
    <x v="1"/>
    <n v="944.47099999999989"/>
  </r>
  <r>
    <x v="0"/>
    <n v="126.5916"/>
  </r>
  <r>
    <x v="1"/>
    <n v="1579.7805000000001"/>
  </r>
  <r>
    <x v="0"/>
    <n v="682.55600000000004"/>
  </r>
  <r>
    <x v="1"/>
    <n v="1877.6687999999999"/>
  </r>
  <r>
    <x v="2"/>
    <n v="1289.6099999999999"/>
  </r>
  <r>
    <x v="2"/>
    <n v="1631.2854"/>
  </r>
  <r>
    <x v="2"/>
    <n v="392.02720000000011"/>
  </r>
  <r>
    <x v="1"/>
    <n v="576.97299999999996"/>
  </r>
  <r>
    <x v="2"/>
    <n v="953.48760000000004"/>
  </r>
  <r>
    <x v="1"/>
    <n v="1136.7583999999999"/>
  </r>
  <r>
    <x v="0"/>
    <n v="468.78320000000002"/>
  </r>
  <r>
    <x v="2"/>
    <n v="385.67880000000002"/>
  </r>
  <r>
    <x v="1"/>
    <n v="1084.7936"/>
  </r>
  <r>
    <x v="1"/>
    <n v="1616.8104000000001"/>
  </r>
  <r>
    <x v="1"/>
    <n v="753.50399999999991"/>
  </r>
  <r>
    <x v="2"/>
    <n v="184.22909999999999"/>
  </r>
  <r>
    <x v="1"/>
    <n v="2801.19"/>
  </r>
  <r>
    <x v="1"/>
    <n v="1587.4998000000001"/>
  </r>
  <r>
    <x v="2"/>
    <n v="2465.9856"/>
  </r>
  <r>
    <x v="1"/>
    <n v="189.244"/>
  </r>
  <r>
    <x v="1"/>
    <n v="1898.2482"/>
  </r>
  <r>
    <x v="1"/>
    <n v="860.31959999999992"/>
  </r>
  <r>
    <x v="1"/>
    <n v="1220.0219999999999"/>
  </r>
  <r>
    <x v="1"/>
    <n v="1261.6379999999999"/>
  </r>
  <r>
    <x v="1"/>
    <n v="3332.0888"/>
  </r>
  <r>
    <x v="0"/>
    <n v="502.10700000000003"/>
  </r>
  <r>
    <x v="1"/>
    <n v="269.01659999999998"/>
  </r>
  <r>
    <x v="2"/>
    <n v="1823.1948"/>
  </r>
  <r>
    <x v="2"/>
    <n v="905.85"/>
  </r>
  <r>
    <x v="0"/>
    <n v="2019.6945000000001"/>
  </r>
  <r>
    <x v="2"/>
    <n v="980.35440000000006"/>
  </r>
  <r>
    <x v="0"/>
    <n v="136.09960000000001"/>
  </r>
  <r>
    <x v="1"/>
    <n v="641.91689999999994"/>
  </r>
  <r>
    <x v="0"/>
    <n v="248.17830000000001"/>
  </r>
  <r>
    <x v="2"/>
    <n v="230.12520000000001"/>
  </r>
  <r>
    <x v="0"/>
    <n v="169.72800000000001"/>
  </r>
  <r>
    <x v="0"/>
    <n v="37.328000000000003"/>
  </r>
  <r>
    <x v="0"/>
    <n v="2474.2080000000001"/>
  </r>
  <r>
    <x v="1"/>
    <n v="1065.4896000000001"/>
  </r>
  <r>
    <x v="1"/>
    <n v="706.77879999999993"/>
  </r>
  <r>
    <x v="0"/>
    <n v="3393.88"/>
  </r>
  <r>
    <x v="2"/>
    <n v="878.50620000000004"/>
  </r>
  <r>
    <x v="0"/>
    <n v="958.95360000000005"/>
  </r>
  <r>
    <x v="2"/>
    <n v="287.39620000000002"/>
  </r>
  <r>
    <x v="0"/>
    <n v="487.8535"/>
  </r>
  <r>
    <x v="0"/>
    <n v="129.72479999999999"/>
  </r>
  <r>
    <x v="0"/>
    <n v="1407.6017999999999"/>
  </r>
  <r>
    <x v="0"/>
    <n v="349.22250000000003"/>
  </r>
  <r>
    <x v="2"/>
    <n v="1243.1224"/>
  </r>
  <r>
    <x v="1"/>
    <n v="661.47080000000005"/>
  </r>
  <r>
    <x v="2"/>
    <n v="1081.04"/>
  </r>
  <r>
    <x v="0"/>
    <n v="1023.264"/>
  </r>
  <r>
    <x v="1"/>
    <n v="77.293200000000013"/>
  </r>
  <r>
    <x v="2"/>
    <n v="1302.3671999999999"/>
  </r>
  <r>
    <x v="2"/>
    <n v="2677.0619999999999"/>
  </r>
  <r>
    <x v="1"/>
    <n v="2434.0672"/>
  </r>
  <r>
    <x v="2"/>
    <n v="2733.2267999999999"/>
  </r>
  <r>
    <x v="1"/>
    <n v="361.16199999999998"/>
  </r>
  <r>
    <x v="1"/>
    <n v="1758.2940000000001"/>
  </r>
  <r>
    <x v="0"/>
    <n v="605.50099999999998"/>
  </r>
  <r>
    <x v="1"/>
    <n v="362.32350000000002"/>
  </r>
  <r>
    <x v="2"/>
    <n v="1455.1325999999999"/>
  </r>
  <r>
    <x v="0"/>
    <n v="2320.2784000000001"/>
  </r>
  <r>
    <x v="0"/>
    <n v="324.02999999999997"/>
  </r>
  <r>
    <x v="1"/>
    <n v="1202.4012"/>
  </r>
  <r>
    <x v="1"/>
    <n v="863.60260000000005"/>
  </r>
  <r>
    <x v="1"/>
    <n v="167.76"/>
  </r>
  <r>
    <x v="0"/>
    <n v="579.24950000000001"/>
  </r>
  <r>
    <x v="0"/>
    <n v="1578.9780000000001"/>
  </r>
  <r>
    <x v="1"/>
    <n v="758.03660000000002"/>
  </r>
  <r>
    <x v="2"/>
    <n v="140.72"/>
  </r>
  <r>
    <x v="1"/>
    <n v="1176.9449999999999"/>
  </r>
  <r>
    <x v="1"/>
    <n v="229.614"/>
  </r>
  <r>
    <x v="1"/>
    <n v="2103.1763999999998"/>
  </r>
  <r>
    <x v="0"/>
    <n v="1801.4190000000001"/>
  </r>
  <r>
    <x v="1"/>
    <n v="221.61"/>
  </r>
  <r>
    <x v="0"/>
    <n v="727.28659999999991"/>
  </r>
  <r>
    <x v="2"/>
    <n v="1758.4811999999999"/>
  </r>
  <r>
    <x v="0"/>
    <n v="84.527199999999993"/>
  </r>
  <r>
    <x v="2"/>
    <n v="2155.2719999999999"/>
  </r>
  <r>
    <x v="1"/>
    <n v="104.6199"/>
  </r>
  <r>
    <x v="1"/>
    <n v="384.4665"/>
  </r>
  <r>
    <x v="1"/>
    <n v="1398.712"/>
  </r>
  <r>
    <x v="2"/>
    <n v="1250.8044"/>
  </r>
  <r>
    <x v="2"/>
    <n v="104.227"/>
  </r>
  <r>
    <x v="0"/>
    <n v="1340.0001999999999"/>
  </r>
  <r>
    <x v="1"/>
    <n v="299.4939"/>
  </r>
  <r>
    <x v="2"/>
    <n v="226.22540000000001"/>
  </r>
  <r>
    <x v="2"/>
    <n v="902.25379999999996"/>
  </r>
  <r>
    <x v="2"/>
    <n v="390.95979999999997"/>
  </r>
  <r>
    <x v="2"/>
    <n v="2280.3669"/>
  </r>
  <r>
    <x v="0"/>
    <n v="2291.73"/>
  </r>
  <r>
    <x v="0"/>
    <n v="1155.2436"/>
  </r>
  <r>
    <x v="0"/>
    <n v="511.35"/>
  </r>
  <r>
    <x v="2"/>
    <n v="125.1588"/>
  </r>
  <r>
    <x v="0"/>
    <n v="1523.0640000000001"/>
  </r>
  <r>
    <x v="2"/>
    <n v="1423.7184"/>
  </r>
  <r>
    <x v="2"/>
    <n v="642.90499999999997"/>
  </r>
  <r>
    <x v="0"/>
    <n v="174.40440000000001"/>
  </r>
  <r>
    <x v="1"/>
    <n v="1939.2012"/>
  </r>
  <r>
    <x v="1"/>
    <n v="2249.4911999999999"/>
  </r>
  <r>
    <x v="2"/>
    <n v="456.14399999999989"/>
  </r>
  <r>
    <x v="2"/>
    <n v="57.389600000000002"/>
  </r>
  <r>
    <x v="2"/>
    <n v="781.61599999999999"/>
  </r>
  <r>
    <x v="0"/>
    <n v="1348.2149999999999"/>
  </r>
  <r>
    <x v="0"/>
    <n v="607.86720000000003"/>
  </r>
  <r>
    <x v="2"/>
    <n v="314.82319999999999"/>
  </r>
  <r>
    <x v="1"/>
    <n v="1688.3248000000001"/>
  </r>
  <r>
    <x v="1"/>
    <n v="398.23939999999999"/>
  </r>
  <r>
    <x v="0"/>
    <n v="587.1508"/>
  </r>
  <r>
    <x v="2"/>
    <n v="705.5856"/>
  </r>
  <r>
    <x v="1"/>
    <n v="768.46379999999999"/>
  </r>
  <r>
    <x v="0"/>
    <n v="173.5488"/>
  </r>
  <r>
    <x v="2"/>
    <n v="308.79000000000002"/>
  </r>
  <r>
    <x v="2"/>
    <n v="435.0138"/>
  </r>
  <r>
    <x v="1"/>
    <n v="646.99899999999991"/>
  </r>
  <r>
    <x v="1"/>
    <n v="1207.7603999999999"/>
  </r>
  <r>
    <x v="1"/>
    <n v="1469.8719000000001"/>
  </r>
  <r>
    <x v="2"/>
    <n v="654.36219999999992"/>
  </r>
  <r>
    <x v="0"/>
    <n v="583.16999999999996"/>
  </r>
  <r>
    <x v="0"/>
    <n v="305.73"/>
  </r>
  <r>
    <x v="1"/>
    <n v="1352.4272000000001"/>
  </r>
  <r>
    <x v="0"/>
    <n v="1501.3362"/>
  </r>
  <r>
    <x v="0"/>
    <n v="2645.6747999999998"/>
  </r>
  <r>
    <x v="2"/>
    <n v="1142.2529999999999"/>
  </r>
  <r>
    <x v="1"/>
    <n v="86.620999999999995"/>
  </r>
  <r>
    <x v="2"/>
    <n v="3110.9863999999998"/>
  </r>
  <r>
    <x v="1"/>
    <n v="637.05600000000004"/>
  </r>
  <r>
    <x v="1"/>
    <n v="853.54520000000002"/>
  </r>
  <r>
    <x v="0"/>
    <n v="844.01370000000009"/>
  </r>
  <r>
    <x v="2"/>
    <n v="582.88409999999999"/>
  </r>
  <r>
    <x v="0"/>
    <n v="561.33439999999996"/>
  </r>
  <r>
    <x v="0"/>
    <n v="313.99"/>
  </r>
  <r>
    <x v="0"/>
    <n v="2280.0664000000002"/>
  </r>
  <r>
    <x v="0"/>
    <n v="196.67339999999999"/>
  </r>
  <r>
    <x v="1"/>
    <n v="719.27200000000005"/>
  </r>
  <r>
    <x v="0"/>
    <n v="649.89"/>
  </r>
  <r>
    <x v="0"/>
    <n v="454.01639999999998"/>
  </r>
  <r>
    <x v="0"/>
    <n v="1367.1368"/>
  </r>
  <r>
    <x v="0"/>
    <n v="581.58359999999993"/>
  </r>
  <r>
    <x v="0"/>
    <n v="1253.0011999999999"/>
  </r>
  <r>
    <x v="2"/>
    <n v="1017.7704"/>
  </r>
  <r>
    <x v="2"/>
    <n v="1666.95"/>
  </r>
  <r>
    <x v="0"/>
    <n v="188.78960000000001"/>
  </r>
  <r>
    <x v="2"/>
    <n v="2797.8164999999999"/>
  </r>
  <r>
    <x v="2"/>
    <n v="1544.9434000000001"/>
  </r>
  <r>
    <x v="1"/>
    <n v="1746.96"/>
  </r>
  <r>
    <x v="2"/>
    <n v="1321.5336"/>
  </r>
  <r>
    <x v="2"/>
    <n v="60.392200000000003"/>
  </r>
  <r>
    <x v="2"/>
    <n v="990.6336"/>
  </r>
  <r>
    <x v="0"/>
    <n v="813.46889999999996"/>
  </r>
  <r>
    <x v="1"/>
    <n v="825.02639999999997"/>
  </r>
  <r>
    <x v="2"/>
    <n v="103.56480000000001"/>
  </r>
  <r>
    <x v="2"/>
    <n v="2976.6039999999998"/>
  </r>
  <r>
    <x v="0"/>
    <n v="638.88440000000003"/>
  </r>
  <r>
    <x v="1"/>
    <n v="1383.5663999999999"/>
  </r>
  <r>
    <x v="1"/>
    <n v="3094.2208000000001"/>
  </r>
  <r>
    <x v="2"/>
    <n v="614.51080000000002"/>
  </r>
  <r>
    <x v="0"/>
    <n v="617.66549999999995"/>
  </r>
  <r>
    <x v="2"/>
    <n v="705.93360000000007"/>
  </r>
  <r>
    <x v="1"/>
    <n v="540.42079999999999"/>
  </r>
  <r>
    <x v="1"/>
    <n v="1654.7328"/>
  </r>
  <r>
    <x v="2"/>
    <n v="19.871600000000001"/>
  </r>
  <r>
    <x v="0"/>
    <n v="288.14519999999999"/>
  </r>
  <r>
    <x v="2"/>
    <n v="238.9716"/>
  </r>
  <r>
    <x v="1"/>
    <n v="217.26060000000001"/>
  </r>
  <r>
    <x v="2"/>
    <n v="837.42119999999989"/>
  </r>
  <r>
    <x v="1"/>
    <n v="2439.2984000000001"/>
  </r>
  <r>
    <x v="2"/>
    <n v="111.1434"/>
  </r>
  <r>
    <x v="2"/>
    <n v="2083.8663999999999"/>
  </r>
  <r>
    <x v="1"/>
    <n v="1802.1120000000001"/>
  </r>
  <r>
    <x v="0"/>
    <n v="1701.7506000000001"/>
  </r>
  <r>
    <x v="1"/>
    <n v="1554.5838000000001"/>
  </r>
  <r>
    <x v="1"/>
    <n v="53.817999999999998"/>
  </r>
  <r>
    <x v="2"/>
    <n v="2671.74"/>
  </r>
  <r>
    <x v="1"/>
    <n v="497.16419999999999"/>
  </r>
  <r>
    <x v="0"/>
    <n v="605.76"/>
  </r>
  <r>
    <x v="2"/>
    <n v="3502.9688000000001"/>
  </r>
  <r>
    <x v="0"/>
    <n v="271.17919999999998"/>
  </r>
  <r>
    <x v="0"/>
    <n v="263.04629999999997"/>
  </r>
  <r>
    <x v="2"/>
    <n v="52.150799999999997"/>
  </r>
  <r>
    <x v="1"/>
    <n v="843.02359999999999"/>
  </r>
  <r>
    <x v="1"/>
    <n v="223.51599999999999"/>
  </r>
  <r>
    <x v="1"/>
    <n v="1124.3964000000001"/>
  </r>
  <r>
    <x v="2"/>
    <n v="1618.6016"/>
  </r>
  <r>
    <x v="1"/>
    <n v="1759.434"/>
  </r>
  <r>
    <x v="2"/>
    <n v="2190.1320000000001"/>
  </r>
  <r>
    <x v="1"/>
    <n v="1892.7167999999999"/>
  </r>
  <r>
    <x v="0"/>
    <n v="178.51400000000001"/>
  </r>
  <r>
    <x v="1"/>
    <n v="152.0343"/>
  </r>
  <r>
    <x v="0"/>
    <n v="2282.2626"/>
  </r>
  <r>
    <x v="0"/>
    <n v="1990.0350000000001"/>
  </r>
  <r>
    <x v="1"/>
    <n v="1366.8979999999999"/>
  </r>
  <r>
    <x v="0"/>
    <n v="1885.5162"/>
  </r>
  <r>
    <x v="1"/>
    <n v="571.33180000000004"/>
  </r>
  <r>
    <x v="2"/>
    <n v="240.44820000000001"/>
  </r>
  <r>
    <x v="1"/>
    <n v="502.53"/>
  </r>
  <r>
    <x v="2"/>
    <n v="905.16559999999993"/>
  </r>
  <r>
    <x v="1"/>
    <n v="364.08"/>
  </r>
  <r>
    <x v="0"/>
    <n v="2925.7312000000002"/>
  </r>
  <r>
    <x v="0"/>
    <n v="111.1636"/>
  </r>
  <r>
    <x v="2"/>
    <n v="97.000199999999992"/>
  </r>
  <r>
    <x v="1"/>
    <n v="1492.9516000000001"/>
  </r>
  <r>
    <x v="2"/>
    <n v="1136.0935999999999"/>
  </r>
  <r>
    <x v="1"/>
    <n v="727.81799999999998"/>
  </r>
  <r>
    <x v="1"/>
    <n v="413.07299999999998"/>
  </r>
  <r>
    <x v="0"/>
    <n v="922.9692"/>
  </r>
  <r>
    <x v="1"/>
    <n v="336.45780000000002"/>
  </r>
  <r>
    <x v="0"/>
    <n v="2798.4132"/>
  </r>
  <r>
    <x v="0"/>
    <n v="1303.3905"/>
  </r>
  <r>
    <x v="2"/>
    <n v="1113.8820000000001"/>
  </r>
  <r>
    <x v="2"/>
    <n v="2700.3312000000001"/>
  </r>
  <r>
    <x v="2"/>
    <n v="130.93199999999999"/>
  </r>
  <r>
    <x v="1"/>
    <n v="2483.2800000000002"/>
  </r>
  <r>
    <x v="2"/>
    <n v="514.3424"/>
  </r>
  <r>
    <x v="2"/>
    <n v="973.02799999999991"/>
  </r>
  <r>
    <x v="1"/>
    <n v="1347.7384"/>
  </r>
  <r>
    <x v="2"/>
    <n v="1624.4892"/>
  </r>
  <r>
    <x v="1"/>
    <n v="428.89699999999999"/>
  </r>
  <r>
    <x v="0"/>
    <n v="303.81139999999999"/>
  </r>
  <r>
    <x v="0"/>
    <n v="3237.0576000000001"/>
  </r>
  <r>
    <x v="1"/>
    <n v="2243.3928000000001"/>
  </r>
  <r>
    <x v="0"/>
    <n v="72.799600000000012"/>
  </r>
  <r>
    <x v="1"/>
    <n v="1744.8368"/>
  </r>
  <r>
    <x v="0"/>
    <n v="883.71660000000008"/>
  </r>
  <r>
    <x v="0"/>
    <n v="1629.7616"/>
  </r>
  <r>
    <x v="1"/>
    <n v="1616.2152000000001"/>
  </r>
  <r>
    <x v="0"/>
    <n v="24.13"/>
  </r>
  <r>
    <x v="2"/>
    <n v="510.22019999999998"/>
  </r>
  <r>
    <x v="0"/>
    <n v="529.67700000000002"/>
  </r>
  <r>
    <x v="0"/>
    <n v="102.172"/>
  </r>
  <r>
    <x v="0"/>
    <n v="2409.8216000000002"/>
  </r>
  <r>
    <x v="0"/>
    <n v="1810.8324"/>
  </r>
  <r>
    <x v="2"/>
    <n v="50.048000000000002"/>
  </r>
  <r>
    <x v="0"/>
    <n v="1276.6415999999999"/>
  </r>
  <r>
    <x v="1"/>
    <n v="1418.3784000000001"/>
  </r>
  <r>
    <x v="1"/>
    <n v="2031.7927999999999"/>
  </r>
  <r>
    <x v="2"/>
    <n v="2407.0583999999999"/>
  </r>
  <r>
    <x v="0"/>
    <n v="1058.1600000000001"/>
  </r>
  <r>
    <x v="1"/>
    <n v="380.84580000000011"/>
  </r>
  <r>
    <x v="0"/>
    <n v="865.03629999999998"/>
  </r>
  <r>
    <x v="2"/>
    <n v="649.60500000000002"/>
  </r>
  <r>
    <x v="2"/>
    <n v="1748.5209"/>
  </r>
  <r>
    <x v="2"/>
    <n v="609.45839999999998"/>
  </r>
  <r>
    <x v="1"/>
    <n v="2922.2952"/>
  </r>
  <r>
    <x v="0"/>
    <n v="545.68079999999998"/>
  </r>
  <r>
    <x v="0"/>
    <n v="99.269200000000012"/>
  </r>
  <r>
    <x v="0"/>
    <n v="1025.8499999999999"/>
  </r>
  <r>
    <x v="1"/>
    <n v="1140.4559999999999"/>
  </r>
  <r>
    <x v="2"/>
    <n v="508.88639999999998"/>
  </r>
  <r>
    <x v="1"/>
    <n v="1181.7431999999999"/>
  </r>
  <r>
    <x v="0"/>
    <n v="1566.5663999999999"/>
  </r>
  <r>
    <x v="0"/>
    <n v="568.61479999999995"/>
  </r>
  <r>
    <x v="2"/>
    <n v="1208.2028"/>
  </r>
  <r>
    <x v="1"/>
    <n v="493.64280000000002"/>
  </r>
  <r>
    <x v="0"/>
    <n v="2065.5936000000002"/>
  </r>
  <r>
    <x v="1"/>
    <n v="199.7961"/>
  </r>
  <r>
    <x v="0"/>
    <n v="880.66160000000002"/>
  </r>
  <r>
    <x v="1"/>
    <n v="93.8232"/>
  </r>
  <r>
    <x v="0"/>
    <n v="3539.8656000000001"/>
  </r>
  <r>
    <x v="0"/>
    <n v="1595.0952"/>
  </r>
  <r>
    <x v="2"/>
    <n v="1815.7539999999999"/>
  </r>
  <r>
    <x v="2"/>
    <n v="1308.5927999999999"/>
  </r>
  <r>
    <x v="2"/>
    <n v="782.16000000000008"/>
  </r>
  <r>
    <x v="0"/>
    <n v="1876.3152"/>
  </r>
  <r>
    <x v="2"/>
    <n v="982.22879999999998"/>
  </r>
  <r>
    <x v="0"/>
    <n v="517.89649999999995"/>
  </r>
  <r>
    <x v="2"/>
    <n v="198.7782"/>
  </r>
  <r>
    <x v="0"/>
    <n v="1814.9831999999999"/>
  </r>
  <r>
    <x v="2"/>
    <n v="1278.4896000000001"/>
  </r>
  <r>
    <x v="1"/>
    <n v="339.2466"/>
  </r>
  <r>
    <x v="0"/>
    <n v="1343.0316"/>
  </r>
  <r>
    <x v="1"/>
    <n v="361.49579999999997"/>
  </r>
  <r>
    <x v="1"/>
    <n v="318.30759999999998"/>
  </r>
  <r>
    <x v="0"/>
    <n v="751.27260000000001"/>
  </r>
  <r>
    <x v="1"/>
    <n v="615.08299999999997"/>
  </r>
  <r>
    <x v="0"/>
    <n v="153.11150000000001"/>
  </r>
  <r>
    <x v="2"/>
    <n v="1123.434"/>
  </r>
  <r>
    <x v="2"/>
    <n v="354.56400000000002"/>
  </r>
  <r>
    <x v="1"/>
    <n v="553.68640000000005"/>
  </r>
  <r>
    <x v="2"/>
    <n v="1078.8173999999999"/>
  </r>
  <r>
    <x v="0"/>
    <n v="790.76589999999999"/>
  </r>
  <r>
    <x v="0"/>
    <n v="2462.34"/>
  </r>
  <r>
    <x v="0"/>
    <n v="940.69"/>
  </r>
  <r>
    <x v="2"/>
    <n v="1347.4559999999999"/>
  </r>
  <r>
    <x v="2"/>
    <n v="763.15719999999999"/>
  </r>
  <r>
    <x v="1"/>
    <n v="285.83940000000001"/>
  </r>
  <r>
    <x v="1"/>
    <n v="2324.556"/>
  </r>
  <r>
    <x v="0"/>
    <n v="1232.952"/>
  </r>
  <r>
    <x v="2"/>
    <n v="341.00299999999999"/>
  </r>
  <r>
    <x v="2"/>
    <n v="1737.9911999999999"/>
  </r>
  <r>
    <x v="0"/>
    <n v="1765.1759999999999"/>
  </r>
  <r>
    <x v="0"/>
    <n v="127.794"/>
  </r>
  <r>
    <x v="2"/>
    <n v="491.46989999999988"/>
  </r>
  <r>
    <x v="1"/>
    <n v="133.339"/>
  </r>
  <r>
    <x v="0"/>
    <n v="487.74599999999998"/>
  </r>
  <r>
    <x v="2"/>
    <n v="2145.7485000000001"/>
  </r>
  <r>
    <x v="0"/>
    <n v="1575.0724"/>
  </r>
  <r>
    <x v="1"/>
    <n v="1635.2616"/>
  </r>
  <r>
    <x v="2"/>
    <n v="236.7372"/>
  </r>
  <r>
    <x v="1"/>
    <n v="488.71679999999998"/>
  </r>
  <r>
    <x v="0"/>
    <n v="2315.8519999999999"/>
  </r>
  <r>
    <x v="0"/>
    <n v="1267.9744000000001"/>
  </r>
  <r>
    <x v="2"/>
    <n v="981.9864"/>
  </r>
  <r>
    <x v="2"/>
    <n v="442.61489999999998"/>
  </r>
  <r>
    <x v="2"/>
    <n v="989.93680000000006"/>
  </r>
  <r>
    <x v="1"/>
    <n v="551.25900000000001"/>
  </r>
  <r>
    <x v="2"/>
    <n v="43.144199999999998"/>
  </r>
  <r>
    <x v="1"/>
    <n v="1210.8714"/>
  </r>
  <r>
    <x v="0"/>
    <n v="2943.5295999999998"/>
  </r>
  <r>
    <x v="1"/>
    <n v="1058.4480000000001"/>
  </r>
  <r>
    <x v="1"/>
    <n v="1695.3074999999999"/>
  </r>
  <r>
    <x v="0"/>
    <n v="2141.85"/>
  </r>
  <r>
    <x v="2"/>
    <n v="1287.3599999999999"/>
  </r>
  <r>
    <x v="1"/>
    <n v="328.75240000000002"/>
  </r>
  <r>
    <x v="1"/>
    <n v="1958.144"/>
  </r>
  <r>
    <x v="0"/>
    <n v="39.973999999999997"/>
  </r>
  <r>
    <x v="1"/>
    <n v="654.36559999999997"/>
  </r>
  <r>
    <x v="0"/>
    <n v="3032.6559999999999"/>
  </r>
  <r>
    <x v="2"/>
    <n v="166.82490000000001"/>
  </r>
  <r>
    <x v="0"/>
    <n v="465.83199999999999"/>
  </r>
  <r>
    <x v="0"/>
    <n v="188.04239999999999"/>
  </r>
  <r>
    <x v="2"/>
    <n v="614.07420000000002"/>
  </r>
  <r>
    <x v="0"/>
    <n v="1664.8109999999999"/>
  </r>
  <r>
    <x v="2"/>
    <n v="1657.0092"/>
  </r>
  <r>
    <x v="1"/>
    <n v="127.29600000000001"/>
  </r>
  <r>
    <x v="0"/>
    <n v="1720.7438"/>
  </r>
  <r>
    <x v="2"/>
    <n v="1503.1768"/>
  </r>
  <r>
    <x v="0"/>
    <n v="102.37520000000001"/>
  </r>
  <r>
    <x v="0"/>
    <n v="791.88479999999993"/>
  </r>
  <r>
    <x v="1"/>
    <n v="2319.4512"/>
  </r>
  <r>
    <x v="0"/>
    <n v="1296.261"/>
  </r>
  <r>
    <x v="1"/>
    <n v="910.2636"/>
  </r>
  <r>
    <x v="2"/>
    <n v="794.50919999999996"/>
  </r>
  <r>
    <x v="1"/>
    <n v="2458.46"/>
  </r>
  <r>
    <x v="2"/>
    <n v="749.03039999999999"/>
  </r>
  <r>
    <x v="2"/>
    <n v="2224.2815999999998"/>
  </r>
  <r>
    <x v="1"/>
    <n v="774.57599999999991"/>
  </r>
  <r>
    <x v="0"/>
    <n v="34.178400000000003"/>
  </r>
  <r>
    <x v="0"/>
    <n v="2396.0799000000002"/>
  </r>
  <r>
    <x v="0"/>
    <n v="1624.443"/>
  </r>
  <r>
    <x v="2"/>
    <n v="910.36439999999993"/>
  </r>
  <r>
    <x v="2"/>
    <n v="537.38969999999995"/>
  </r>
  <r>
    <x v="2"/>
    <n v="758.24"/>
  </r>
  <r>
    <x v="1"/>
    <n v="773.03039999999999"/>
  </r>
  <r>
    <x v="0"/>
    <n v="1558.9272000000001"/>
  </r>
  <r>
    <x v="2"/>
    <n v="948.69359999999983"/>
  </r>
  <r>
    <x v="2"/>
    <n v="96.459199999999996"/>
  </r>
  <r>
    <x v="0"/>
    <n v="2871.3679999999999"/>
  </r>
  <r>
    <x v="2"/>
    <n v="483.94639999999998"/>
  </r>
  <r>
    <x v="0"/>
    <n v="2916.42"/>
  </r>
  <r>
    <x v="1"/>
    <n v="1146.8154"/>
  </r>
  <r>
    <x v="0"/>
    <n v="2819.0064000000002"/>
  </r>
  <r>
    <x v="2"/>
    <n v="2650.2919999999999"/>
  </r>
  <r>
    <x v="0"/>
    <n v="2235.4787999999999"/>
  </r>
  <r>
    <x v="0"/>
    <n v="459.28840000000002"/>
  </r>
  <r>
    <x v="1"/>
    <n v="464.42550000000011"/>
  </r>
  <r>
    <x v="1"/>
    <n v="562.35899999999992"/>
  </r>
  <r>
    <x v="2"/>
    <n v="725.3442"/>
  </r>
  <r>
    <x v="1"/>
    <n v="1894.08"/>
  </r>
  <r>
    <x v="1"/>
    <n v="650.91600000000005"/>
  </r>
  <r>
    <x v="0"/>
    <n v="143.24039999999999"/>
  </r>
  <r>
    <x v="1"/>
    <n v="1093.2937999999999"/>
  </r>
  <r>
    <x v="2"/>
    <n v="1487.4636"/>
  </r>
  <r>
    <x v="1"/>
    <n v="64.125600000000006"/>
  </r>
  <r>
    <x v="1"/>
    <n v="383.00200000000001"/>
  </r>
  <r>
    <x v="0"/>
    <n v="3339.8263999999999"/>
  </r>
  <r>
    <x v="2"/>
    <n v="122.1327"/>
  </r>
  <r>
    <x v="2"/>
    <n v="571.63920000000007"/>
  </r>
  <r>
    <x v="1"/>
    <n v="625.46579999999994"/>
  </r>
  <r>
    <x v="1"/>
    <n v="838.12279999999998"/>
  </r>
  <r>
    <x v="2"/>
    <n v="1061.9100000000001"/>
  </r>
  <r>
    <x v="2"/>
    <n v="146.57919999999999"/>
  </r>
  <r>
    <x v="0"/>
    <n v="2350.4888000000001"/>
  </r>
  <r>
    <x v="2"/>
    <n v="128.95679999999999"/>
  </r>
  <r>
    <x v="2"/>
    <n v="2282.9663999999998"/>
  </r>
  <r>
    <x v="0"/>
    <n v="1956.0320999999999"/>
  </r>
  <r>
    <x v="1"/>
    <n v="93.653999999999996"/>
  </r>
  <r>
    <x v="1"/>
    <n v="319.07839999999999"/>
  </r>
  <r>
    <x v="0"/>
    <n v="1549.9155000000001"/>
  </r>
  <r>
    <x v="1"/>
    <n v="1307.3345999999999"/>
  </r>
  <r>
    <x v="0"/>
    <n v="2829.7228"/>
  </r>
  <r>
    <x v="1"/>
    <n v="232.42320000000001"/>
  </r>
  <r>
    <x v="2"/>
    <n v="2084.3328000000001"/>
  </r>
  <r>
    <x v="1"/>
    <n v="984.37"/>
  </r>
  <r>
    <x v="0"/>
    <n v="418.15839999999997"/>
  </r>
  <r>
    <x v="2"/>
    <n v="38.003799999999998"/>
  </r>
  <r>
    <x v="0"/>
    <n v="1046.5488"/>
  </r>
  <r>
    <x v="2"/>
    <n v="1356.885"/>
  </r>
  <r>
    <x v="2"/>
    <n v="502.75240000000002"/>
  </r>
  <r>
    <x v="2"/>
    <n v="793.38690000000008"/>
  </r>
  <r>
    <x v="2"/>
    <n v="2075.913"/>
  </r>
  <r>
    <x v="0"/>
    <n v="2513.8984"/>
  </r>
  <r>
    <x v="2"/>
    <n v="895.53420000000006"/>
  </r>
  <r>
    <x v="2"/>
    <n v="1443.2418"/>
  </r>
  <r>
    <x v="2"/>
    <n v="762.00299999999993"/>
  </r>
  <r>
    <x v="2"/>
    <n v="223.59200000000001"/>
  </r>
  <r>
    <x v="2"/>
    <n v="846.74879999999996"/>
  </r>
  <r>
    <x v="0"/>
    <n v="757.16760000000011"/>
  </r>
  <r>
    <x v="1"/>
    <n v="709.12709999999993"/>
  </r>
  <r>
    <x v="1"/>
    <n v="810.09719999999993"/>
  </r>
  <r>
    <x v="1"/>
    <n v="942.22800000000007"/>
  </r>
  <r>
    <x v="2"/>
    <n v="1099.76"/>
  </r>
  <r>
    <x v="0"/>
    <n v="47.621200000000002"/>
  </r>
  <r>
    <x v="1"/>
    <n v="1505.1168"/>
  </r>
  <r>
    <x v="2"/>
    <n v="855.98310000000004"/>
  </r>
  <r>
    <x v="0"/>
    <n v="1734.18"/>
  </r>
  <r>
    <x v="1"/>
    <n v="1662.5311999999999"/>
  </r>
  <r>
    <x v="2"/>
    <n v="1184.8900000000001"/>
  </r>
  <r>
    <x v="1"/>
    <n v="559.79949999999997"/>
  </r>
  <r>
    <x v="2"/>
    <n v="630.1866"/>
  </r>
  <r>
    <x v="2"/>
    <n v="355.2448"/>
  </r>
  <r>
    <x v="1"/>
    <n v="2373.462"/>
  </r>
  <r>
    <x v="1"/>
    <n v="579.58840000000009"/>
  </r>
  <r>
    <x v="1"/>
    <n v="626.37120000000004"/>
  </r>
  <r>
    <x v="0"/>
    <n v="715.30049999999994"/>
  </r>
  <r>
    <x v="2"/>
    <n v="134.95679999999999"/>
  </r>
  <r>
    <x v="0"/>
    <n v="994.48200000000008"/>
  </r>
  <r>
    <x v="0"/>
    <n v="1301.8758"/>
  </r>
  <r>
    <x v="2"/>
    <n v="574.88300000000004"/>
  </r>
  <r>
    <x v="0"/>
    <n v="2139.3312000000001"/>
  </r>
  <r>
    <x v="1"/>
    <n v="274.45229999999998"/>
  </r>
  <r>
    <x v="0"/>
    <n v="1706.43"/>
  </r>
  <r>
    <x v="1"/>
    <n v="599.471"/>
  </r>
  <r>
    <x v="1"/>
    <n v="1070.7619999999999"/>
  </r>
  <r>
    <x v="0"/>
    <n v="591.70319999999992"/>
  </r>
  <r>
    <x v="1"/>
    <n v="2504.067"/>
  </r>
  <r>
    <x v="1"/>
    <n v="270.51639999999998"/>
  </r>
  <r>
    <x v="2"/>
    <n v="1128.732"/>
  </r>
  <r>
    <x v="2"/>
    <n v="1119.4092000000001"/>
  </r>
  <r>
    <x v="0"/>
    <n v="259.37630000000001"/>
  </r>
  <r>
    <x v="2"/>
    <n v="729.39"/>
  </r>
  <r>
    <x v="2"/>
    <n v="591.30719999999997"/>
  </r>
  <r>
    <x v="1"/>
    <n v="340.2"/>
  </r>
  <r>
    <x v="1"/>
    <n v="2779.5931999999998"/>
  </r>
  <r>
    <x v="1"/>
    <n v="548.52240000000006"/>
  </r>
  <r>
    <x v="0"/>
    <n v="1034.7036000000001"/>
  </r>
  <r>
    <x v="2"/>
    <n v="1532.3904"/>
  </r>
  <r>
    <x v="1"/>
    <n v="1648.6679999999999"/>
  </r>
  <r>
    <x v="0"/>
    <n v="786.03139999999996"/>
  </r>
  <r>
    <x v="1"/>
    <n v="887.86320000000001"/>
  </r>
  <r>
    <x v="0"/>
    <n v="2935.8252000000002"/>
  </r>
  <r>
    <x v="0"/>
    <n v="1882.1952000000001"/>
  </r>
  <r>
    <x v="2"/>
    <n v="1120.4751000000001"/>
  </r>
  <r>
    <x v="2"/>
    <n v="493.05959999999999"/>
  </r>
  <r>
    <x v="0"/>
    <n v="637.37399999999991"/>
  </r>
  <r>
    <x v="0"/>
    <n v="163.5744"/>
  </r>
  <r>
    <x v="2"/>
    <n v="1051.7360000000001"/>
  </r>
  <r>
    <x v="0"/>
    <n v="3242.1668"/>
  </r>
  <r>
    <x v="0"/>
    <n v="322.98989999999998"/>
  </r>
  <r>
    <x v="2"/>
    <n v="51.138399999999997"/>
  </r>
  <r>
    <x v="1"/>
    <n v="817.79430000000002"/>
  </r>
  <r>
    <x v="1"/>
    <n v="1313.1166000000001"/>
  </r>
  <r>
    <x v="2"/>
    <n v="509.75909999999999"/>
  </r>
  <r>
    <x v="0"/>
    <n v="78.586799999999997"/>
  </r>
  <r>
    <x v="0"/>
    <n v="889.83"/>
  </r>
  <r>
    <x v="0"/>
    <n v="366.858"/>
  </r>
  <r>
    <x v="1"/>
    <n v="565.90890000000002"/>
  </r>
  <r>
    <x v="1"/>
    <n v="64.799499999999995"/>
  </r>
  <r>
    <x v="2"/>
    <n v="1264.335"/>
  </r>
  <r>
    <x v="2"/>
    <n v="346.48399999999998"/>
  </r>
  <r>
    <x v="1"/>
    <n v="1564.0116"/>
  </r>
  <r>
    <x v="0"/>
    <n v="592.50740000000008"/>
  </r>
  <r>
    <x v="2"/>
    <n v="1510.7190000000001"/>
  </r>
  <r>
    <x v="1"/>
    <n v="1106.3094000000001"/>
  </r>
  <r>
    <x v="0"/>
    <n v="700.40520000000004"/>
  </r>
  <r>
    <x v="0"/>
    <n v="320.892"/>
  </r>
  <r>
    <x v="0"/>
    <n v="2704.47"/>
  </r>
  <r>
    <x v="0"/>
    <n v="506.709"/>
  </r>
  <r>
    <x v="0"/>
    <n v="595.41"/>
  </r>
  <r>
    <x v="2"/>
    <n v="953.38679999999999"/>
  </r>
  <r>
    <x v="0"/>
    <n v="2317.6383999999998"/>
  </r>
  <r>
    <x v="0"/>
    <n v="88.814799999999991"/>
  </r>
  <r>
    <x v="0"/>
    <n v="316.89359999999999"/>
  </r>
  <r>
    <x v="0"/>
    <n v="545.48239999999998"/>
  </r>
  <r>
    <x v="2"/>
    <n v="757.39"/>
  </r>
  <r>
    <x v="1"/>
    <n v="152.2801"/>
  </r>
  <r>
    <x v="0"/>
    <n v="1755.5383999999999"/>
  </r>
  <r>
    <x v="0"/>
    <n v="2155.2228"/>
  </r>
  <r>
    <x v="0"/>
    <n v="905.23"/>
  </r>
  <r>
    <x v="0"/>
    <n v="274.03109999999998"/>
  </r>
  <r>
    <x v="1"/>
    <n v="2391.4526999999998"/>
  </r>
  <r>
    <x v="1"/>
    <n v="1014.2588"/>
  </r>
  <r>
    <x v="0"/>
    <n v="2694.3045000000002"/>
  </r>
  <r>
    <x v="1"/>
    <n v="170.4404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198.41640000000001"/>
  </r>
  <r>
    <x v="1"/>
    <x v="1"/>
    <n v="228.7893"/>
  </r>
  <r>
    <x v="0"/>
    <x v="2"/>
    <n v="2742.15"/>
  </r>
  <r>
    <x v="0"/>
    <x v="1"/>
    <n v="774.0684"/>
  </r>
  <r>
    <x v="1"/>
    <x v="2"/>
    <n v="1833.4380000000001"/>
  </r>
  <r>
    <x v="0"/>
    <x v="1"/>
    <n v="357.23430000000002"/>
  </r>
  <r>
    <x v="0"/>
    <x v="3"/>
    <n v="1335.027"/>
  </r>
  <r>
    <x v="1"/>
    <x v="3"/>
    <n v="1054.5612000000001"/>
  </r>
  <r>
    <x v="1"/>
    <x v="3"/>
    <n v="1250.6175000000001"/>
  </r>
  <r>
    <x v="0"/>
    <x v="3"/>
    <n v="1344.6818000000001"/>
  </r>
  <r>
    <x v="0"/>
    <x v="0"/>
    <n v="259.1259"/>
  </r>
  <r>
    <x v="0"/>
    <x v="1"/>
    <n v="952.57439999999997"/>
  </r>
  <r>
    <x v="1"/>
    <x v="0"/>
    <n v="2552.5367999999999"/>
  </r>
  <r>
    <x v="1"/>
    <x v="1"/>
    <n v="443.66"/>
  </r>
  <r>
    <x v="1"/>
    <x v="0"/>
    <n v="1145.8548000000001"/>
  </r>
  <r>
    <x v="1"/>
    <x v="4"/>
    <n v="2509.4591999999998"/>
  </r>
  <r>
    <x v="0"/>
    <x v="0"/>
    <n v="677.97"/>
  </r>
  <r>
    <x v="0"/>
    <x v="3"/>
    <n v="774.14260000000002"/>
  </r>
  <r>
    <x v="0"/>
    <x v="1"/>
    <n v="838.84500000000003"/>
  </r>
  <r>
    <x v="0"/>
    <x v="2"/>
    <n v="1782.4512"/>
  </r>
  <r>
    <x v="1"/>
    <x v="0"/>
    <n v="2159.4276"/>
  </r>
  <r>
    <x v="0"/>
    <x v="1"/>
    <n v="459.85680000000002"/>
  </r>
  <r>
    <x v="0"/>
    <x v="4"/>
    <n v="2850.1122"/>
  </r>
  <r>
    <x v="0"/>
    <x v="2"/>
    <n v="661.73760000000004"/>
  </r>
  <r>
    <x v="0"/>
    <x v="1"/>
    <n v="216.50399999999999"/>
  </r>
  <r>
    <x v="0"/>
    <x v="2"/>
    <n v="2933.3224"/>
  </r>
  <r>
    <x v="1"/>
    <x v="1"/>
    <n v="599.65440000000001"/>
  </r>
  <r>
    <x v="0"/>
    <x v="1"/>
    <n v="2030.5700999999999"/>
  </r>
  <r>
    <x v="1"/>
    <x v="1"/>
    <n v="132.09379999999999"/>
  </r>
  <r>
    <x v="1"/>
    <x v="3"/>
    <n v="1535.6780000000001"/>
  </r>
  <r>
    <x v="0"/>
    <x v="2"/>
    <n v="373.56060000000002"/>
  </r>
  <r>
    <x v="0"/>
    <x v="4"/>
    <n v="288.98239999999998"/>
  </r>
  <r>
    <x v="1"/>
    <x v="4"/>
    <n v="1154.8943999999999"/>
  </r>
  <r>
    <x v="1"/>
    <x v="2"/>
    <n v="1219.4269999999999"/>
  </r>
  <r>
    <x v="1"/>
    <x v="3"/>
    <n v="2148.1212"/>
  </r>
  <r>
    <x v="0"/>
    <x v="2"/>
    <n v="354.32639999999998"/>
  </r>
  <r>
    <x v="0"/>
    <x v="2"/>
    <n v="1409.9903999999999"/>
  </r>
  <r>
    <x v="1"/>
    <x v="3"/>
    <n v="266.65440000000001"/>
  </r>
  <r>
    <x v="1"/>
    <x v="3"/>
    <n v="2764.8031999999998"/>
  </r>
  <r>
    <x v="1"/>
    <x v="2"/>
    <n v="1105.3432"/>
  </r>
  <r>
    <x v="0"/>
    <x v="1"/>
    <n v="1625.3796"/>
  </r>
  <r>
    <x v="0"/>
    <x v="4"/>
    <n v="945.21720000000016"/>
  </r>
  <r>
    <x v="0"/>
    <x v="3"/>
    <n v="1537.452"/>
  </r>
  <r>
    <x v="1"/>
    <x v="3"/>
    <n v="1864.3176000000001"/>
  </r>
  <r>
    <x v="1"/>
    <x v="1"/>
    <n v="322.3528"/>
  </r>
  <r>
    <x v="1"/>
    <x v="2"/>
    <n v="1050.5039999999999"/>
  </r>
  <r>
    <x v="0"/>
    <x v="3"/>
    <n v="393.5686"/>
  </r>
  <r>
    <x v="1"/>
    <x v="3"/>
    <n v="116.77079999999999"/>
  </r>
  <r>
    <x v="1"/>
    <x v="0"/>
    <n v="372.33359999999999"/>
  </r>
  <r>
    <x v="0"/>
    <x v="3"/>
    <n v="707.77440000000013"/>
  </r>
  <r>
    <x v="0"/>
    <x v="0"/>
    <n v="190.83600000000001"/>
  </r>
  <r>
    <x v="1"/>
    <x v="4"/>
    <n v="169.9854"/>
  </r>
  <r>
    <x v="1"/>
    <x v="2"/>
    <n v="486.06330000000003"/>
  </r>
  <r>
    <x v="1"/>
    <x v="0"/>
    <n v="783.30449999999996"/>
  </r>
  <r>
    <x v="0"/>
    <x v="1"/>
    <n v="1592.4947999999999"/>
  </r>
  <r>
    <x v="0"/>
    <x v="2"/>
    <n v="783.59400000000005"/>
  </r>
  <r>
    <x v="0"/>
    <x v="1"/>
    <n v="1567.356"/>
  </r>
  <r>
    <x v="1"/>
    <x v="2"/>
    <n v="979.43039999999996"/>
  </r>
  <r>
    <x v="0"/>
    <x v="1"/>
    <n v="2552.3015999999998"/>
  </r>
  <r>
    <x v="0"/>
    <x v="2"/>
    <n v="767.17410000000007"/>
  </r>
  <r>
    <x v="1"/>
    <x v="0"/>
    <n v="180.93530000000001"/>
  </r>
  <r>
    <x v="0"/>
    <x v="0"/>
    <n v="307.43439999999998"/>
  </r>
  <r>
    <x v="0"/>
    <x v="1"/>
    <n v="412.66719999999998"/>
  </r>
  <r>
    <x v="1"/>
    <x v="2"/>
    <n v="230.60300000000001"/>
  </r>
  <r>
    <x v="1"/>
    <x v="4"/>
    <n v="1088.6371340062115"/>
  </r>
  <r>
    <x v="1"/>
    <x v="3"/>
    <n v="1301.9864"/>
  </r>
  <r>
    <x v="0"/>
    <x v="1"/>
    <n v="2670.74"/>
  </r>
  <r>
    <x v="1"/>
    <x v="2"/>
    <n v="791.33600000000001"/>
  </r>
  <r>
    <x v="0"/>
    <x v="0"/>
    <n v="204.93440000000001"/>
  </r>
  <r>
    <x v="1"/>
    <x v="1"/>
    <n v="1706.1695999999999"/>
  </r>
  <r>
    <x v="1"/>
    <x v="2"/>
    <n v="1087.997808251168"/>
  </r>
  <r>
    <x v="1"/>
    <x v="0"/>
    <n v="1243.038"/>
  </r>
  <r>
    <x v="0"/>
    <x v="0"/>
    <n v="503.97620000000012"/>
  </r>
  <r>
    <x v="0"/>
    <x v="0"/>
    <n v="968.18819999999994"/>
  </r>
  <r>
    <x v="1"/>
    <x v="0"/>
    <n v="166.482"/>
  </r>
  <r>
    <x v="0"/>
    <x v="0"/>
    <n v="2156.5544"/>
  </r>
  <r>
    <x v="1"/>
    <x v="1"/>
    <n v="1029.4649999999999"/>
  </r>
  <r>
    <x v="0"/>
    <x v="1"/>
    <n v="502.10860000000002"/>
  </r>
  <r>
    <x v="1"/>
    <x v="2"/>
    <n v="1512.924"/>
  </r>
  <r>
    <x v="0"/>
    <x v="3"/>
    <n v="289.99450000000002"/>
  </r>
  <r>
    <x v="1"/>
    <x v="0"/>
    <n v="415.73379999999997"/>
  </r>
  <r>
    <x v="1"/>
    <x v="2"/>
    <n v="272.79750000000001"/>
  </r>
  <r>
    <x v="0"/>
    <x v="4"/>
    <n v="1010.2344000000001"/>
  </r>
  <r>
    <x v="0"/>
    <x v="0"/>
    <n v="133.4332"/>
  </r>
  <r>
    <x v="1"/>
    <x v="4"/>
    <n v="1090.0558237722053"/>
  </r>
  <r>
    <x v="0"/>
    <x v="0"/>
    <n v="386.38400000000001"/>
  </r>
  <r>
    <x v="1"/>
    <x v="0"/>
    <n v="1943.0927999999999"/>
  </r>
  <r>
    <x v="1"/>
    <x v="4"/>
    <n v="2777.4432000000002"/>
  </r>
  <r>
    <x v="0"/>
    <x v="0"/>
    <n v="374.66759999999999"/>
  </r>
  <r>
    <x v="0"/>
    <x v="0"/>
    <n v="705.78959999999995"/>
  </r>
  <r>
    <x v="0"/>
    <x v="3"/>
    <n v="616.21119999999996"/>
  </r>
  <r>
    <x v="1"/>
    <x v="2"/>
    <n v="339.27080000000001"/>
  </r>
  <r>
    <x v="0"/>
    <x v="3"/>
    <n v="578.11989999999992"/>
  </r>
  <r>
    <x v="0"/>
    <x v="0"/>
    <n v="556.78399999999999"/>
  </r>
  <r>
    <x v="0"/>
    <x v="0"/>
    <n v="1090.8604113385834"/>
  </r>
  <r>
    <x v="1"/>
    <x v="3"/>
    <n v="117.4588"/>
  </r>
  <r>
    <x v="0"/>
    <x v="0"/>
    <n v="792.32599999999991"/>
  </r>
  <r>
    <x v="1"/>
    <x v="3"/>
    <n v="1669.3068000000001"/>
  </r>
  <r>
    <x v="0"/>
    <x v="3"/>
    <n v="1581.2496000000001"/>
  </r>
  <r>
    <x v="0"/>
    <x v="0"/>
    <n v="1235.7372"/>
  </r>
  <r>
    <x v="1"/>
    <x v="3"/>
    <n v="658.46"/>
  </r>
  <r>
    <x v="1"/>
    <x v="4"/>
    <n v="895.30439999999999"/>
  </r>
  <r>
    <x v="1"/>
    <x v="3"/>
    <n v="717.25760000000002"/>
  </r>
  <r>
    <x v="1"/>
    <x v="1"/>
    <n v="2997.615600000001"/>
  </r>
  <r>
    <x v="0"/>
    <x v="3"/>
    <n v="1636.1117999999999"/>
  </r>
  <r>
    <x v="0"/>
    <x v="3"/>
    <n v="602.25120000000004"/>
  </r>
  <r>
    <x v="0"/>
    <x v="0"/>
    <n v="1605.5052000000001"/>
  </r>
  <r>
    <x v="0"/>
    <x v="3"/>
    <n v="2060.3912"/>
  </r>
  <r>
    <x v="1"/>
    <x v="0"/>
    <n v="2372.5230000000001"/>
  </r>
  <r>
    <x v="0"/>
    <x v="4"/>
    <n v="1027.7357999999999"/>
  </r>
  <r>
    <x v="0"/>
    <x v="1"/>
    <n v="882.57440000000008"/>
  </r>
  <r>
    <x v="0"/>
    <x v="1"/>
    <n v="1674.5057999999999"/>
  </r>
  <r>
    <x v="1"/>
    <x v="1"/>
    <n v="2020.7097000000001"/>
  </r>
  <r>
    <x v="1"/>
    <x v="3"/>
    <n v="225.57599999999999"/>
  </r>
  <r>
    <x v="1"/>
    <x v="4"/>
    <n v="1388.9190000000001"/>
  </r>
  <r>
    <x v="0"/>
    <x v="4"/>
    <n v="3239.3580000000002"/>
  </r>
  <r>
    <x v="1"/>
    <x v="3"/>
    <n v="2404.8024"/>
  </r>
  <r>
    <x v="0"/>
    <x v="4"/>
    <n v="1007.223"/>
  </r>
  <r>
    <x v="0"/>
    <x v="1"/>
    <n v="115.5"/>
  </r>
  <r>
    <x v="0"/>
    <x v="0"/>
    <n v="215.14420000000001"/>
  </r>
  <r>
    <x v="0"/>
    <x v="0"/>
    <n v="1239.5606"/>
  </r>
  <r>
    <x v="1"/>
    <x v="0"/>
    <n v="1245.3119999999999"/>
  </r>
  <r>
    <x v="0"/>
    <x v="0"/>
    <n v="379.69920000000002"/>
  </r>
  <r>
    <x v="0"/>
    <x v="1"/>
    <n v="893.38200000000006"/>
  </r>
  <r>
    <x v="1"/>
    <x v="3"/>
    <n v="70.960000000000008"/>
  </r>
  <r>
    <x v="0"/>
    <x v="3"/>
    <n v="803.9944999999999"/>
  </r>
  <r>
    <x v="0"/>
    <x v="3"/>
    <n v="926.7263999999999"/>
  </r>
  <r>
    <x v="0"/>
    <x v="1"/>
    <n v="2762.1428999999998"/>
  </r>
  <r>
    <x v="1"/>
    <x v="2"/>
    <n v="1304.9459999999999"/>
  </r>
  <r>
    <x v="1"/>
    <x v="4"/>
    <n v="548.27499999999998"/>
  </r>
  <r>
    <x v="1"/>
    <x v="0"/>
    <n v="782.17539999999997"/>
  </r>
  <r>
    <x v="0"/>
    <x v="1"/>
    <n v="850.29750000000001"/>
  </r>
  <r>
    <x v="0"/>
    <x v="1"/>
    <n v="3306.1392000000001"/>
  </r>
  <r>
    <x v="1"/>
    <x v="0"/>
    <n v="496.97340000000003"/>
  </r>
  <r>
    <x v="0"/>
    <x v="3"/>
    <n v="273.08879999999999"/>
  </r>
  <r>
    <x v="0"/>
    <x v="4"/>
    <n v="1349.0568000000001"/>
  </r>
  <r>
    <x v="1"/>
    <x v="2"/>
    <n v="2471.6376"/>
  </r>
  <r>
    <x v="0"/>
    <x v="0"/>
    <n v="201.59700000000001"/>
  </r>
  <r>
    <x v="0"/>
    <x v="0"/>
    <n v="641.73599999999999"/>
  </r>
  <r>
    <x v="0"/>
    <x v="2"/>
    <n v="2147.5500000000002"/>
  </r>
  <r>
    <x v="0"/>
    <x v="1"/>
    <n v="948.12300000000005"/>
  </r>
  <r>
    <x v="1"/>
    <x v="2"/>
    <n v="372.923"/>
  </r>
  <r>
    <x v="0"/>
    <x v="2"/>
    <n v="1443.7103999999999"/>
  </r>
  <r>
    <x v="1"/>
    <x v="1"/>
    <n v="1278.3407999999999"/>
  </r>
  <r>
    <x v="1"/>
    <x v="4"/>
    <n v="540.90719999999999"/>
  </r>
  <r>
    <x v="1"/>
    <x v="0"/>
    <n v="977.04880000000014"/>
  </r>
  <r>
    <x v="1"/>
    <x v="4"/>
    <n v="1753.23"/>
  </r>
  <r>
    <x v="0"/>
    <x v="0"/>
    <n v="562.32820000000004"/>
  </r>
  <r>
    <x v="1"/>
    <x v="3"/>
    <n v="475.9819"/>
  </r>
  <r>
    <x v="0"/>
    <x v="2"/>
    <n v="1432.2744"/>
  </r>
  <r>
    <x v="0"/>
    <x v="0"/>
    <n v="1194.9503999999999"/>
  </r>
  <r>
    <x v="0"/>
    <x v="1"/>
    <n v="1584.7840000000001"/>
  </r>
  <r>
    <x v="1"/>
    <x v="4"/>
    <n v="193.55719999999999"/>
  </r>
  <r>
    <x v="1"/>
    <x v="1"/>
    <n v="1491.7896000000001"/>
  </r>
  <r>
    <x v="0"/>
    <x v="1"/>
    <n v="300.2022"/>
  </r>
  <r>
    <x v="0"/>
    <x v="1"/>
    <n v="3077.5992000000001"/>
  </r>
  <r>
    <x v="0"/>
    <x v="2"/>
    <n v="1843.04"/>
  </r>
  <r>
    <x v="1"/>
    <x v="3"/>
    <n v="79.775999999999996"/>
  </r>
  <r>
    <x v="1"/>
    <x v="0"/>
    <n v="93.909199999999998"/>
  </r>
  <r>
    <x v="1"/>
    <x v="2"/>
    <n v="193.1234"/>
  </r>
  <r>
    <x v="0"/>
    <x v="3"/>
    <n v="1084.6812"/>
  </r>
  <r>
    <x v="1"/>
    <x v="3"/>
    <n v="455.60099999999989"/>
  </r>
  <r>
    <x v="0"/>
    <x v="0"/>
    <n v="952.84559999999999"/>
  </r>
  <r>
    <x v="1"/>
    <x v="2"/>
    <n v="473.66070000000002"/>
  </r>
  <r>
    <x v="0"/>
    <x v="0"/>
    <n v="485.55839999999989"/>
  </r>
  <r>
    <x v="1"/>
    <x v="3"/>
    <n v="1741.557"/>
  </r>
  <r>
    <x v="0"/>
    <x v="4"/>
    <n v="2343.4616000000001"/>
  </r>
  <r>
    <x v="1"/>
    <x v="3"/>
    <n v="1620.8255999999999"/>
  </r>
  <r>
    <x v="1"/>
    <x v="3"/>
    <n v="798.55200000000013"/>
  </r>
  <r>
    <x v="1"/>
    <x v="0"/>
    <n v="604.41920000000005"/>
  </r>
  <r>
    <x v="1"/>
    <x v="1"/>
    <n v="109.5624"/>
  </r>
  <r>
    <x v="1"/>
    <x v="2"/>
    <n v="240.5592"/>
  </r>
  <r>
    <x v="1"/>
    <x v="2"/>
    <n v="1241.8800000000001"/>
  </r>
  <r>
    <x v="0"/>
    <x v="1"/>
    <n v="1068.2460000000001"/>
  </r>
  <r>
    <x v="1"/>
    <x v="0"/>
    <n v="2873.864"/>
  </r>
  <r>
    <x v="0"/>
    <x v="3"/>
    <n v="1217.1579999999999"/>
  </r>
  <r>
    <x v="0"/>
    <x v="4"/>
    <n v="617.29200000000003"/>
  </r>
  <r>
    <x v="0"/>
    <x v="3"/>
    <n v="75.84"/>
  </r>
  <r>
    <x v="1"/>
    <x v="2"/>
    <n v="2555.64"/>
  </r>
  <r>
    <x v="1"/>
    <x v="0"/>
    <n v="762.36819999999989"/>
  </r>
  <r>
    <x v="1"/>
    <x v="1"/>
    <n v="2089.8951000000002"/>
  </r>
  <r>
    <x v="0"/>
    <x v="3"/>
    <n v="137.49600000000001"/>
  </r>
  <r>
    <x v="0"/>
    <x v="1"/>
    <n v="2908.1696000000002"/>
  </r>
  <r>
    <x v="0"/>
    <x v="4"/>
    <n v="541.6191"/>
  </r>
  <r>
    <x v="1"/>
    <x v="2"/>
    <n v="678.84100000000001"/>
  </r>
  <r>
    <x v="1"/>
    <x v="2"/>
    <n v="1301.6094000000001"/>
  </r>
  <r>
    <x v="1"/>
    <x v="3"/>
    <n v="968.17919999999992"/>
  </r>
  <r>
    <x v="1"/>
    <x v="0"/>
    <n v="1087.6733999999999"/>
  </r>
  <r>
    <x v="0"/>
    <x v="1"/>
    <n v="1786.2336"/>
  </r>
  <r>
    <x v="0"/>
    <x v="4"/>
    <n v="522.68399999999997"/>
  </r>
  <r>
    <x v="1"/>
    <x v="2"/>
    <n v="1146.9390000000001"/>
  </r>
  <r>
    <x v="1"/>
    <x v="4"/>
    <n v="780.75299999999993"/>
  </r>
  <r>
    <x v="1"/>
    <x v="3"/>
    <n v="922.20749999999987"/>
  </r>
  <r>
    <x v="1"/>
    <x v="4"/>
    <n v="263.60719999999998"/>
  </r>
  <r>
    <x v="1"/>
    <x v="2"/>
    <n v="2184.5819999999999"/>
  </r>
  <r>
    <x v="0"/>
    <x v="2"/>
    <n v="862.51430000000005"/>
  </r>
  <r>
    <x v="0"/>
    <x v="0"/>
    <n v="2620.7460000000001"/>
  </r>
  <r>
    <x v="1"/>
    <x v="0"/>
    <n v="525.00279999999998"/>
  </r>
  <r>
    <x v="1"/>
    <x v="0"/>
    <n v="381.95639999999997"/>
  </r>
  <r>
    <x v="0"/>
    <x v="2"/>
    <n v="588.49239999999998"/>
  </r>
  <r>
    <x v="0"/>
    <x v="2"/>
    <n v="1661.8032000000001"/>
  </r>
  <r>
    <x v="1"/>
    <x v="3"/>
    <n v="752.86199999999997"/>
  </r>
  <r>
    <x v="1"/>
    <x v="1"/>
    <n v="1175.2416000000001"/>
  </r>
  <r>
    <x v="1"/>
    <x v="1"/>
    <n v="859.7808"/>
  </r>
  <r>
    <x v="0"/>
    <x v="1"/>
    <n v="1909.9608000000001"/>
  </r>
  <r>
    <x v="0"/>
    <x v="0"/>
    <n v="374.34539999999998"/>
  </r>
  <r>
    <x v="1"/>
    <x v="1"/>
    <n v="1146.4795999999999"/>
  </r>
  <r>
    <x v="1"/>
    <x v="3"/>
    <n v="125.8389"/>
  </r>
  <r>
    <x v="0"/>
    <x v="1"/>
    <n v="3576.0383999999999"/>
  </r>
  <r>
    <x v="1"/>
    <x v="1"/>
    <n v="595.97759999999994"/>
  </r>
  <r>
    <x v="0"/>
    <x v="0"/>
    <n v="600.97979999999995"/>
  </r>
  <r>
    <x v="0"/>
    <x v="3"/>
    <n v="1491.4119000000001"/>
  </r>
  <r>
    <x v="1"/>
    <x v="3"/>
    <n v="417.00839999999999"/>
  </r>
  <r>
    <x v="0"/>
    <x v="3"/>
    <n v="558.39019999999994"/>
  </r>
  <r>
    <x v="1"/>
    <x v="1"/>
    <n v="574.12160000000006"/>
  </r>
  <r>
    <x v="1"/>
    <x v="3"/>
    <n v="907.52549999999997"/>
  </r>
  <r>
    <x v="0"/>
    <x v="0"/>
    <n v="390.81599999999997"/>
  </r>
  <r>
    <x v="1"/>
    <x v="1"/>
    <n v="286.22519999999997"/>
  </r>
  <r>
    <x v="1"/>
    <x v="0"/>
    <n v="2281.8532"/>
  </r>
  <r>
    <x v="1"/>
    <x v="1"/>
    <n v="295.4504"/>
  </r>
  <r>
    <x v="1"/>
    <x v="2"/>
    <n v="1199.3579999999999"/>
  </r>
  <r>
    <x v="0"/>
    <x v="1"/>
    <n v="2217.752"/>
  </r>
  <r>
    <x v="0"/>
    <x v="1"/>
    <n v="529.8900000000001"/>
  </r>
  <r>
    <x v="1"/>
    <x v="0"/>
    <n v="1495.74"/>
  </r>
  <r>
    <x v="1"/>
    <x v="0"/>
    <n v="1447.2216000000001"/>
  </r>
  <r>
    <x v="0"/>
    <x v="0"/>
    <n v="2532.348"/>
  </r>
  <r>
    <x v="1"/>
    <x v="0"/>
    <n v="1825.3248000000001"/>
  </r>
  <r>
    <x v="0"/>
    <x v="1"/>
    <n v="1819.7998"/>
  </r>
  <r>
    <x v="1"/>
    <x v="4"/>
    <n v="1630.0416"/>
  </r>
  <r>
    <x v="1"/>
    <x v="2"/>
    <n v="2123.9856"/>
  </r>
  <r>
    <x v="0"/>
    <x v="1"/>
    <n v="1214.6759999999999"/>
  </r>
  <r>
    <x v="1"/>
    <x v="4"/>
    <n v="1519.6104"/>
  </r>
  <r>
    <x v="1"/>
    <x v="4"/>
    <n v="2416.7087999999999"/>
  </r>
  <r>
    <x v="0"/>
    <x v="3"/>
    <n v="940.1484999999999"/>
  </r>
  <r>
    <x v="0"/>
    <x v="0"/>
    <n v="348.78480000000002"/>
  </r>
  <r>
    <x v="1"/>
    <x v="2"/>
    <n v="672.29899999999998"/>
  </r>
  <r>
    <x v="1"/>
    <x v="0"/>
    <n v="1521.7632000000001"/>
  </r>
  <r>
    <x v="0"/>
    <x v="0"/>
    <n v="1026.048"/>
  </r>
  <r>
    <x v="1"/>
    <x v="1"/>
    <n v="469.60759999999999"/>
  </r>
  <r>
    <x v="1"/>
    <x v="3"/>
    <n v="253.09200000000001"/>
  </r>
  <r>
    <x v="0"/>
    <x v="1"/>
    <n v="2157.2703000000001"/>
  </r>
  <r>
    <x v="0"/>
    <x v="2"/>
    <n v="655.17379999999991"/>
  </r>
  <r>
    <x v="0"/>
    <x v="3"/>
    <n v="358.85849999999999"/>
  </r>
  <r>
    <x v="0"/>
    <x v="0"/>
    <n v="1365.663"/>
  </r>
  <r>
    <x v="0"/>
    <x v="3"/>
    <n v="1303.6895999999999"/>
  </r>
  <r>
    <x v="0"/>
    <x v="3"/>
    <n v="641.41"/>
  </r>
  <r>
    <x v="1"/>
    <x v="1"/>
    <n v="200.9392"/>
  </r>
  <r>
    <x v="1"/>
    <x v="2"/>
    <n v="736.59950000000003"/>
  </r>
  <r>
    <x v="0"/>
    <x v="0"/>
    <n v="1422.492"/>
  </r>
  <r>
    <x v="1"/>
    <x v="3"/>
    <n v="1341.87"/>
  </r>
  <r>
    <x v="0"/>
    <x v="4"/>
    <n v="2290.4243999999999"/>
  </r>
  <r>
    <x v="0"/>
    <x v="0"/>
    <n v="3143.84"/>
  </r>
  <r>
    <x v="1"/>
    <x v="1"/>
    <n v="494.56799999999998"/>
  </r>
  <r>
    <x v="1"/>
    <x v="3"/>
    <n v="403.06560000000002"/>
  </r>
  <r>
    <x v="0"/>
    <x v="3"/>
    <n v="1562.9290000000001"/>
  </r>
  <r>
    <x v="1"/>
    <x v="4"/>
    <n v="1329.1128000000001"/>
  </r>
  <r>
    <x v="1"/>
    <x v="0"/>
    <n v="111.96120000000001"/>
  </r>
  <r>
    <x v="0"/>
    <x v="0"/>
    <n v="1060.5816"/>
  </r>
  <r>
    <x v="0"/>
    <x v="3"/>
    <n v="180.5814"/>
  </r>
  <r>
    <x v="0"/>
    <x v="3"/>
    <n v="589.798"/>
  </r>
  <r>
    <x v="1"/>
    <x v="2"/>
    <n v="2176.2280000000001"/>
  </r>
  <r>
    <x v="0"/>
    <x v="1"/>
    <n v="3159.0612000000001"/>
  </r>
  <r>
    <x v="1"/>
    <x v="1"/>
    <n v="1194.7392"/>
  </r>
  <r>
    <x v="0"/>
    <x v="4"/>
    <n v="1481.0512000000001"/>
  </r>
  <r>
    <x v="1"/>
    <x v="2"/>
    <n v="2407.2647999999999"/>
  </r>
  <r>
    <x v="1"/>
    <x v="3"/>
    <n v="388.5"/>
  </r>
  <r>
    <x v="0"/>
    <x v="2"/>
    <n v="2337.75"/>
  </r>
  <r>
    <x v="1"/>
    <x v="2"/>
    <n v="692.27"/>
  </r>
  <r>
    <x v="1"/>
    <x v="1"/>
    <n v="315.24779999999998"/>
  </r>
  <r>
    <x v="0"/>
    <x v="4"/>
    <n v="2599.5947999999999"/>
  </r>
  <r>
    <x v="0"/>
    <x v="2"/>
    <n v="1330.0704000000001"/>
  </r>
  <r>
    <x v="0"/>
    <x v="3"/>
    <n v="197.68199999999999"/>
  </r>
  <r>
    <x v="0"/>
    <x v="4"/>
    <n v="1519.4975999999999"/>
  </r>
  <r>
    <x v="1"/>
    <x v="1"/>
    <n v="811.07159999999999"/>
  </r>
  <r>
    <x v="0"/>
    <x v="3"/>
    <n v="394.58629999999999"/>
  </r>
  <r>
    <x v="0"/>
    <x v="0"/>
    <n v="581.76959999999997"/>
  </r>
  <r>
    <x v="1"/>
    <x v="0"/>
    <n v="1212.9007999999999"/>
  </r>
  <r>
    <x v="0"/>
    <x v="1"/>
    <n v="1741.5192"/>
  </r>
  <r>
    <x v="0"/>
    <x v="4"/>
    <n v="937.4896"/>
  </r>
  <r>
    <x v="0"/>
    <x v="4"/>
    <n v="2687.5259999999998"/>
  </r>
  <r>
    <x v="0"/>
    <x v="1"/>
    <n v="299.6721"/>
  </r>
  <r>
    <x v="0"/>
    <x v="2"/>
    <n v="177.19200000000001"/>
  </r>
  <r>
    <x v="1"/>
    <x v="1"/>
    <n v="1568.5425"/>
  </r>
  <r>
    <x v="0"/>
    <x v="2"/>
    <n v="346.49400000000003"/>
  </r>
  <r>
    <x v="0"/>
    <x v="3"/>
    <n v="442.79050000000001"/>
  </r>
  <r>
    <x v="1"/>
    <x v="0"/>
    <n v="553.18960000000004"/>
  </r>
  <r>
    <x v="0"/>
    <x v="1"/>
    <n v="2181.4650000000011"/>
  </r>
  <r>
    <x v="0"/>
    <x v="0"/>
    <n v="2175.5252"/>
  </r>
  <r>
    <x v="1"/>
    <x v="0"/>
    <n v="1504.4760000000001"/>
  </r>
  <r>
    <x v="1"/>
    <x v="0"/>
    <n v="154.74359999999999"/>
  </r>
  <r>
    <x v="0"/>
    <x v="0"/>
    <n v="1501.152"/>
  </r>
  <r>
    <x v="1"/>
    <x v="0"/>
    <n v="480.41250000000002"/>
  </r>
  <r>
    <x v="0"/>
    <x v="1"/>
    <n v="491.77100000000002"/>
  </r>
  <r>
    <x v="0"/>
    <x v="1"/>
    <n v="425.41759999999999"/>
  </r>
  <r>
    <x v="0"/>
    <x v="0"/>
    <n v="378.59399999999999"/>
  </r>
  <r>
    <x v="0"/>
    <x v="4"/>
    <n v="1879.05"/>
  </r>
  <r>
    <x v="0"/>
    <x v="0"/>
    <n v="356.04399999999998"/>
  </r>
  <r>
    <x v="1"/>
    <x v="0"/>
    <n v="1372.2396000000001"/>
  </r>
  <r>
    <x v="0"/>
    <x v="1"/>
    <n v="208.25280000000001"/>
  </r>
  <r>
    <x v="1"/>
    <x v="0"/>
    <n v="1536.6559999999999"/>
  </r>
  <r>
    <x v="1"/>
    <x v="2"/>
    <n v="2703.9888000000001"/>
  </r>
  <r>
    <x v="0"/>
    <x v="1"/>
    <n v="1953.1368"/>
  </r>
  <r>
    <x v="1"/>
    <x v="4"/>
    <n v="1384.2239999999999"/>
  </r>
  <r>
    <x v="1"/>
    <x v="0"/>
    <n v="1283.086"/>
  </r>
  <r>
    <x v="1"/>
    <x v="1"/>
    <n v="2062.8696"/>
  </r>
  <r>
    <x v="0"/>
    <x v="0"/>
    <n v="2156.6952000000001"/>
  </r>
  <r>
    <x v="1"/>
    <x v="1"/>
    <n v="1625.2544"/>
  </r>
  <r>
    <x v="0"/>
    <x v="1"/>
    <n v="326.25599999999997"/>
  </r>
  <r>
    <x v="1"/>
    <x v="1"/>
    <n v="1475.0916"/>
  </r>
  <r>
    <x v="1"/>
    <x v="3"/>
    <n v="1127.0219999999999"/>
  </r>
  <r>
    <x v="1"/>
    <x v="2"/>
    <n v="271.28359999999998"/>
  </r>
  <r>
    <x v="1"/>
    <x v="3"/>
    <n v="2699.0963999999999"/>
  </r>
  <r>
    <x v="1"/>
    <x v="3"/>
    <n v="954.01800000000003"/>
  </r>
  <r>
    <x v="1"/>
    <x v="0"/>
    <n v="72.025200000000012"/>
  </r>
  <r>
    <x v="1"/>
    <x v="0"/>
    <n v="269.21699999999998"/>
  </r>
  <r>
    <x v="0"/>
    <x v="1"/>
    <n v="844.38199999999995"/>
  </r>
  <r>
    <x v="1"/>
    <x v="0"/>
    <n v="2873.9969999999989"/>
  </r>
  <r>
    <x v="0"/>
    <x v="0"/>
    <n v="330.7824"/>
  </r>
  <r>
    <x v="1"/>
    <x v="0"/>
    <n v="199.56780000000001"/>
  </r>
  <r>
    <x v="1"/>
    <x v="3"/>
    <n v="218.49100000000001"/>
  </r>
  <r>
    <x v="0"/>
    <x v="2"/>
    <n v="1552.9793999999999"/>
  </r>
  <r>
    <x v="1"/>
    <x v="4"/>
    <n v="547.17700000000002"/>
  </r>
  <r>
    <x v="0"/>
    <x v="3"/>
    <n v="423.62840000000011"/>
  </r>
  <r>
    <x v="1"/>
    <x v="2"/>
    <n v="831.92750000000001"/>
  </r>
  <r>
    <x v="0"/>
    <x v="1"/>
    <n v="2084.0720000000001"/>
  </r>
  <r>
    <x v="0"/>
    <x v="4"/>
    <n v="1018.3302"/>
  </r>
  <r>
    <x v="1"/>
    <x v="1"/>
    <n v="1098.6659999999999"/>
  </r>
  <r>
    <x v="1"/>
    <x v="1"/>
    <n v="190.54"/>
  </r>
  <r>
    <x v="1"/>
    <x v="1"/>
    <n v="1444.212"/>
  </r>
  <r>
    <x v="0"/>
    <x v="2"/>
    <n v="71.193599999999989"/>
  </r>
  <r>
    <x v="1"/>
    <x v="2"/>
    <n v="750.20309999999995"/>
  </r>
  <r>
    <x v="0"/>
    <x v="3"/>
    <n v="65.155000000000001"/>
  </r>
  <r>
    <x v="1"/>
    <x v="4"/>
    <n v="1174.2947999999999"/>
  </r>
  <r>
    <x v="0"/>
    <x v="0"/>
    <n v="1353.7854"/>
  </r>
  <r>
    <x v="1"/>
    <x v="0"/>
    <n v="1042.491"/>
  </r>
  <r>
    <x v="0"/>
    <x v="0"/>
    <n v="2799.0720000000001"/>
  </r>
  <r>
    <x v="1"/>
    <x v="0"/>
    <n v="2495.4744000000001"/>
  </r>
  <r>
    <x v="1"/>
    <x v="3"/>
    <n v="96.25"/>
  </r>
  <r>
    <x v="0"/>
    <x v="3"/>
    <n v="346.38"/>
  </r>
  <r>
    <x v="1"/>
    <x v="4"/>
    <n v="1032.3599999999999"/>
  </r>
  <r>
    <x v="1"/>
    <x v="0"/>
    <n v="2724.4034999999999"/>
  </r>
  <r>
    <x v="0"/>
    <x v="1"/>
    <n v="339.37560000000002"/>
  </r>
  <r>
    <x v="1"/>
    <x v="3"/>
    <n v="1205.3327999999999"/>
  </r>
  <r>
    <x v="0"/>
    <x v="0"/>
    <n v="2312.2568999999999"/>
  </r>
  <r>
    <x v="0"/>
    <x v="1"/>
    <n v="817.15500000000009"/>
  </r>
  <r>
    <x v="1"/>
    <x v="0"/>
    <n v="1083.7284"/>
  </r>
  <r>
    <x v="1"/>
    <x v="1"/>
    <n v="1321.9595999999999"/>
  </r>
  <r>
    <x v="0"/>
    <x v="1"/>
    <n v="437.37720000000002"/>
  </r>
  <r>
    <x v="0"/>
    <x v="0"/>
    <n v="148.30019999999999"/>
  </r>
  <r>
    <x v="1"/>
    <x v="3"/>
    <n v="833.68399999999997"/>
  </r>
  <r>
    <x v="0"/>
    <x v="3"/>
    <n v="1589.3951999999999"/>
  </r>
  <r>
    <x v="0"/>
    <x v="2"/>
    <n v="2317.1543999999999"/>
  </r>
  <r>
    <x v="0"/>
    <x v="0"/>
    <n v="1446.1376"/>
  </r>
  <r>
    <x v="0"/>
    <x v="4"/>
    <n v="612.16679999999997"/>
  </r>
  <r>
    <x v="0"/>
    <x v="3"/>
    <n v="868.98"/>
  </r>
  <r>
    <x v="0"/>
    <x v="1"/>
    <n v="1492.7882"/>
  </r>
  <r>
    <x v="0"/>
    <x v="4"/>
    <n v="615.32820000000004"/>
  </r>
  <r>
    <x v="0"/>
    <x v="3"/>
    <n v="414.25920000000002"/>
  </r>
  <r>
    <x v="0"/>
    <x v="2"/>
    <n v="2019.684"/>
  </r>
  <r>
    <x v="0"/>
    <x v="0"/>
    <n v="2199.3449999999998"/>
  </r>
  <r>
    <x v="1"/>
    <x v="0"/>
    <n v="2329.7399999999998"/>
  </r>
  <r>
    <x v="1"/>
    <x v="1"/>
    <n v="477.65519999999998"/>
  </r>
  <r>
    <x v="1"/>
    <x v="0"/>
    <n v="1307.5999999999999"/>
  </r>
  <r>
    <x v="1"/>
    <x v="4"/>
    <n v="535.62400000000002"/>
  </r>
  <r>
    <x v="1"/>
    <x v="3"/>
    <n v="153.85679999999999"/>
  </r>
  <r>
    <x v="1"/>
    <x v="3"/>
    <n v="158.56"/>
  </r>
  <r>
    <x v="0"/>
    <x v="4"/>
    <n v="610.11059999999998"/>
  </r>
  <r>
    <x v="0"/>
    <x v="3"/>
    <n v="2097.1008000000002"/>
  </r>
  <r>
    <x v="1"/>
    <x v="1"/>
    <n v="228.79599999999999"/>
  </r>
  <r>
    <x v="1"/>
    <x v="0"/>
    <n v="1002.5028"/>
  </r>
  <r>
    <x v="0"/>
    <x v="0"/>
    <n v="583.25200000000007"/>
  </r>
  <r>
    <x v="0"/>
    <x v="1"/>
    <n v="594.43550000000005"/>
  </r>
  <r>
    <x v="0"/>
    <x v="2"/>
    <n v="331.26280000000003"/>
  </r>
  <r>
    <x v="1"/>
    <x v="0"/>
    <n v="1331.91"/>
  </r>
  <r>
    <x v="0"/>
    <x v="0"/>
    <n v="456.4948"/>
  </r>
  <r>
    <x v="1"/>
    <x v="2"/>
    <n v="303.29640000000001"/>
  </r>
  <r>
    <x v="1"/>
    <x v="0"/>
    <n v="2634.0079999999998"/>
  </r>
  <r>
    <x v="0"/>
    <x v="2"/>
    <n v="776.50559999999996"/>
  </r>
  <r>
    <x v="0"/>
    <x v="4"/>
    <n v="685.34879999999998"/>
  </r>
  <r>
    <x v="0"/>
    <x v="3"/>
    <n v="1793.6045999999999"/>
  </r>
  <r>
    <x v="1"/>
    <x v="1"/>
    <n v="2051.2539999999999"/>
  </r>
  <r>
    <x v="1"/>
    <x v="2"/>
    <n v="959.13239999999985"/>
  </r>
  <r>
    <x v="0"/>
    <x v="1"/>
    <n v="104.7144"/>
  </r>
  <r>
    <x v="1"/>
    <x v="1"/>
    <n v="127.611"/>
  </r>
  <r>
    <x v="1"/>
    <x v="2"/>
    <n v="1193.2704000000001"/>
  </r>
  <r>
    <x v="0"/>
    <x v="0"/>
    <n v="3265.2919999999999"/>
  </r>
  <r>
    <x v="0"/>
    <x v="4"/>
    <n v="2389.1322"/>
  </r>
  <r>
    <x v="1"/>
    <x v="3"/>
    <n v="2847.6208000000001"/>
  </r>
  <r>
    <x v="0"/>
    <x v="2"/>
    <n v="598.23900000000003"/>
  </r>
  <r>
    <x v="1"/>
    <x v="4"/>
    <n v="1793.2632000000001"/>
  </r>
  <r>
    <x v="0"/>
    <x v="0"/>
    <n v="3225.5819999999999"/>
  </r>
  <r>
    <x v="1"/>
    <x v="1"/>
    <n v="224.60640000000001"/>
  </r>
  <r>
    <x v="0"/>
    <x v="3"/>
    <n v="836.47409999999991"/>
  </r>
  <r>
    <x v="1"/>
    <x v="1"/>
    <n v="299.73419999999999"/>
  </r>
  <r>
    <x v="1"/>
    <x v="2"/>
    <n v="1810.0827999999999"/>
  </r>
  <r>
    <x v="1"/>
    <x v="3"/>
    <n v="972.32960000000003"/>
  </r>
  <r>
    <x v="0"/>
    <x v="4"/>
    <n v="2676.6990000000001"/>
  </r>
  <r>
    <x v="1"/>
    <x v="3"/>
    <n v="2785.7894999999999"/>
  </r>
  <r>
    <x v="0"/>
    <x v="2"/>
    <n v="493.92"/>
  </r>
  <r>
    <x v="0"/>
    <x v="2"/>
    <n v="1320.9659999999999"/>
  </r>
  <r>
    <x v="0"/>
    <x v="0"/>
    <n v="35.053199999999997"/>
  </r>
  <r>
    <x v="1"/>
    <x v="0"/>
    <n v="2266.7328000000002"/>
  </r>
  <r>
    <x v="0"/>
    <x v="3"/>
    <n v="723.25439999999992"/>
  </r>
  <r>
    <x v="0"/>
    <x v="2"/>
    <n v="2989.0783999999999"/>
  </r>
  <r>
    <x v="1"/>
    <x v="0"/>
    <n v="1756.35"/>
  </r>
  <r>
    <x v="0"/>
    <x v="4"/>
    <n v="558.86249999999995"/>
  </r>
  <r>
    <x v="0"/>
    <x v="3"/>
    <n v="814.74239999999998"/>
  </r>
  <r>
    <x v="0"/>
    <x v="3"/>
    <n v="445.80599999999998"/>
  </r>
  <r>
    <x v="1"/>
    <x v="1"/>
    <n v="648.29939999999999"/>
  </r>
  <r>
    <x v="1"/>
    <x v="1"/>
    <n v="1363.9184"/>
  </r>
  <r>
    <x v="1"/>
    <x v="3"/>
    <n v="1245.4304"/>
  </r>
  <r>
    <x v="1"/>
    <x v="1"/>
    <n v="693.78300000000002"/>
  </r>
  <r>
    <x v="1"/>
    <x v="3"/>
    <n v="1430.6705999999999"/>
  </r>
  <r>
    <x v="1"/>
    <x v="2"/>
    <n v="82.513199999999998"/>
  </r>
  <r>
    <x v="0"/>
    <x v="1"/>
    <n v="1204.6944000000001"/>
  </r>
  <r>
    <x v="1"/>
    <x v="3"/>
    <n v="97.442999999999998"/>
  </r>
  <r>
    <x v="1"/>
    <x v="0"/>
    <n v="1325.9992"/>
  </r>
  <r>
    <x v="0"/>
    <x v="4"/>
    <n v="829.9606"/>
  </r>
  <r>
    <x v="1"/>
    <x v="1"/>
    <n v="2851.3002000000001"/>
  </r>
  <r>
    <x v="0"/>
    <x v="4"/>
    <n v="1298.3026"/>
  </r>
  <r>
    <x v="0"/>
    <x v="1"/>
    <n v="147.76740000000001"/>
  </r>
  <r>
    <x v="1"/>
    <x v="4"/>
    <n v="1176.2550000000001"/>
  </r>
  <r>
    <x v="0"/>
    <x v="1"/>
    <n v="175.48249999999999"/>
  </r>
  <r>
    <x v="0"/>
    <x v="4"/>
    <n v="570.87099999999998"/>
  </r>
  <r>
    <x v="0"/>
    <x v="3"/>
    <n v="592.99919999999997"/>
  </r>
  <r>
    <x v="1"/>
    <x v="3"/>
    <n v="419.92"/>
  </r>
  <r>
    <x v="1"/>
    <x v="1"/>
    <n v="3412.134"/>
  </r>
  <r>
    <x v="0"/>
    <x v="2"/>
    <n v="3111.192"/>
  </r>
  <r>
    <x v="1"/>
    <x v="1"/>
    <n v="1111.7945999999999"/>
  </r>
  <r>
    <x v="0"/>
    <x v="4"/>
    <n v="587.33360000000005"/>
  </r>
  <r>
    <x v="0"/>
    <x v="1"/>
    <n v="837.23609999999985"/>
  </r>
  <r>
    <x v="0"/>
    <x v="1"/>
    <n v="1597.624"/>
  </r>
  <r>
    <x v="0"/>
    <x v="0"/>
    <n v="1042.3728000000001"/>
  </r>
  <r>
    <x v="0"/>
    <x v="2"/>
    <n v="129.4"/>
  </r>
  <r>
    <x v="1"/>
    <x v="2"/>
    <n v="1309.4226000000001"/>
  </r>
  <r>
    <x v="1"/>
    <x v="3"/>
    <n v="2548.5264000000002"/>
  </r>
  <r>
    <x v="1"/>
    <x v="4"/>
    <n v="2721.1183999999998"/>
  </r>
  <r>
    <x v="1"/>
    <x v="1"/>
    <n v="1455.2208000000001"/>
  </r>
  <r>
    <x v="0"/>
    <x v="4"/>
    <n v="874.91959999999983"/>
  </r>
  <r>
    <x v="1"/>
    <x v="1"/>
    <n v="2556.1972000000001"/>
  </r>
  <r>
    <x v="0"/>
    <x v="4"/>
    <n v="439.27420000000001"/>
  </r>
  <r>
    <x v="0"/>
    <x v="3"/>
    <n v="513.702"/>
  </r>
  <r>
    <x v="1"/>
    <x v="1"/>
    <n v="566.21899999999994"/>
  </r>
  <r>
    <x v="0"/>
    <x v="1"/>
    <n v="2230.3303999999998"/>
  </r>
  <r>
    <x v="0"/>
    <x v="3"/>
    <n v="216.44739999999999"/>
  </r>
  <r>
    <x v="0"/>
    <x v="0"/>
    <n v="649.51920000000007"/>
  </r>
  <r>
    <x v="0"/>
    <x v="3"/>
    <n v="865.1164"/>
  </r>
  <r>
    <x v="1"/>
    <x v="0"/>
    <n v="1394.5596"/>
  </r>
  <r>
    <x v="0"/>
    <x v="3"/>
    <n v="810.57139999999993"/>
  </r>
  <r>
    <x v="0"/>
    <x v="2"/>
    <n v="1050.2965999999999"/>
  </r>
  <r>
    <x v="1"/>
    <x v="1"/>
    <n v="2148.2759999999989"/>
  </r>
  <r>
    <x v="1"/>
    <x v="2"/>
    <n v="2952.5216"/>
  </r>
  <r>
    <x v="0"/>
    <x v="4"/>
    <n v="773.60919999999999"/>
  </r>
  <r>
    <x v="1"/>
    <x v="3"/>
    <n v="1640.0519999999999"/>
  </r>
  <r>
    <x v="1"/>
    <x v="3"/>
    <n v="1729.4748"/>
  </r>
  <r>
    <x v="1"/>
    <x v="0"/>
    <n v="1372.8879999999999"/>
  </r>
  <r>
    <x v="1"/>
    <x v="2"/>
    <n v="1023.678"/>
  </r>
  <r>
    <x v="1"/>
    <x v="0"/>
    <n v="1182.8481999999999"/>
  </r>
  <r>
    <x v="0"/>
    <x v="3"/>
    <n v="1484.7293999999999"/>
  </r>
  <r>
    <x v="1"/>
    <x v="0"/>
    <n v="1208.27"/>
  </r>
  <r>
    <x v="0"/>
    <x v="1"/>
    <n v="2240.9920000000002"/>
  </r>
  <r>
    <x v="1"/>
    <x v="4"/>
    <n v="615.47840000000008"/>
  </r>
  <r>
    <x v="0"/>
    <x v="3"/>
    <n v="437.76"/>
  </r>
  <r>
    <x v="0"/>
    <x v="0"/>
    <n v="434.05680000000001"/>
  </r>
  <r>
    <x v="1"/>
    <x v="4"/>
    <n v="612.59760000000006"/>
  </r>
  <r>
    <x v="0"/>
    <x v="4"/>
    <n v="79.638499999999993"/>
  </r>
  <r>
    <x v="0"/>
    <x v="0"/>
    <n v="1403.8920000000001"/>
  </r>
  <r>
    <x v="1"/>
    <x v="0"/>
    <n v="3066.6687999999999"/>
  </r>
  <r>
    <x v="0"/>
    <x v="0"/>
    <n v="766.37429999999995"/>
  </r>
  <r>
    <x v="1"/>
    <x v="1"/>
    <n v="2198.16"/>
  </r>
  <r>
    <x v="1"/>
    <x v="0"/>
    <n v="411.35200000000009"/>
  </r>
  <r>
    <x v="0"/>
    <x v="4"/>
    <n v="426.03600000000012"/>
  </r>
  <r>
    <x v="1"/>
    <x v="4"/>
    <n v="1223.0694000000001"/>
  </r>
  <r>
    <x v="1"/>
    <x v="1"/>
    <n v="24.442599999999999"/>
  </r>
  <r>
    <x v="0"/>
    <x v="4"/>
    <n v="1579.3443"/>
  </r>
  <r>
    <x v="0"/>
    <x v="0"/>
    <n v="235.3212"/>
  </r>
  <r>
    <x v="1"/>
    <x v="4"/>
    <n v="2859.9407999999999"/>
  </r>
  <r>
    <x v="0"/>
    <x v="4"/>
    <n v="645.08080000000007"/>
  </r>
  <r>
    <x v="0"/>
    <x v="3"/>
    <n v="600.95479999999998"/>
  </r>
  <r>
    <x v="1"/>
    <x v="1"/>
    <n v="1733.9049"/>
  </r>
  <r>
    <x v="1"/>
    <x v="1"/>
    <n v="633.14800000000002"/>
  </r>
  <r>
    <x v="0"/>
    <x v="0"/>
    <n v="462.01499999999999"/>
  </r>
  <r>
    <x v="1"/>
    <x v="3"/>
    <n v="1286.56"/>
  </r>
  <r>
    <x v="1"/>
    <x v="3"/>
    <n v="617.38400000000001"/>
  </r>
  <r>
    <x v="1"/>
    <x v="2"/>
    <n v="426.98430000000002"/>
  </r>
  <r>
    <x v="1"/>
    <x v="1"/>
    <n v="678.93999999999994"/>
  </r>
  <r>
    <x v="1"/>
    <x v="0"/>
    <n v="387.59039999999999"/>
  </r>
  <r>
    <x v="1"/>
    <x v="1"/>
    <n v="1115.0047999999999"/>
  </r>
  <r>
    <x v="0"/>
    <x v="0"/>
    <n v="3100.2384000000002"/>
  </r>
  <r>
    <x v="1"/>
    <x v="4"/>
    <n v="1429.2719999999999"/>
  </r>
  <r>
    <x v="1"/>
    <x v="2"/>
    <n v="165.31710000000001"/>
  </r>
  <r>
    <x v="1"/>
    <x v="0"/>
    <n v="1398.2841000000001"/>
  </r>
  <r>
    <x v="1"/>
    <x v="2"/>
    <n v="1357.0372"/>
  </r>
  <r>
    <x v="0"/>
    <x v="0"/>
    <n v="712.50919999999996"/>
  </r>
  <r>
    <x v="1"/>
    <x v="4"/>
    <n v="797.93790000000001"/>
  </r>
  <r>
    <x v="1"/>
    <x v="3"/>
    <n v="569.04399999999998"/>
  </r>
  <r>
    <x v="1"/>
    <x v="0"/>
    <n v="470.61419999999998"/>
  </r>
  <r>
    <x v="1"/>
    <x v="3"/>
    <n v="323.67660000000001"/>
  </r>
  <r>
    <x v="0"/>
    <x v="4"/>
    <n v="933.61599999999999"/>
  </r>
  <r>
    <x v="0"/>
    <x v="0"/>
    <n v="560.37950000000001"/>
  </r>
  <r>
    <x v="1"/>
    <x v="0"/>
    <n v="341.31200000000001"/>
  </r>
  <r>
    <x v="0"/>
    <x v="3"/>
    <n v="573.07000000000005"/>
  </r>
  <r>
    <x v="0"/>
    <x v="0"/>
    <n v="216.69820000000001"/>
  </r>
  <r>
    <x v="0"/>
    <x v="0"/>
    <n v="618.41340000000002"/>
  </r>
  <r>
    <x v="0"/>
    <x v="2"/>
    <n v="1973.6496"/>
  </r>
  <r>
    <x v="0"/>
    <x v="0"/>
    <n v="220.16800000000001"/>
  </r>
  <r>
    <x v="1"/>
    <x v="2"/>
    <n v="54.406799999999997"/>
  </r>
  <r>
    <x v="0"/>
    <x v="1"/>
    <n v="1034.6335999999999"/>
  </r>
  <r>
    <x v="0"/>
    <x v="2"/>
    <n v="139.86799999999999"/>
  </r>
  <r>
    <x v="0"/>
    <x v="3"/>
    <n v="962.47320000000002"/>
  </r>
  <r>
    <x v="1"/>
    <x v="0"/>
    <n v="279.00959999999998"/>
  </r>
  <r>
    <x v="0"/>
    <x v="1"/>
    <n v="701.0544000000001"/>
  </r>
  <r>
    <x v="0"/>
    <x v="0"/>
    <n v="449.65469999999999"/>
  </r>
  <r>
    <x v="0"/>
    <x v="0"/>
    <n v="691.02719999999999"/>
  </r>
  <r>
    <x v="1"/>
    <x v="1"/>
    <n v="620.94600000000003"/>
  </r>
  <r>
    <x v="0"/>
    <x v="2"/>
    <n v="132.35820000000001"/>
  </r>
  <r>
    <x v="1"/>
    <x v="1"/>
    <n v="133.79560000000001"/>
  </r>
  <r>
    <x v="1"/>
    <x v="1"/>
    <n v="2750.1219999999998"/>
  </r>
  <r>
    <x v="1"/>
    <x v="0"/>
    <n v="798.21719999999993"/>
  </r>
  <r>
    <x v="0"/>
    <x v="0"/>
    <n v="1154.6808000000001"/>
  </r>
  <r>
    <x v="1"/>
    <x v="3"/>
    <n v="1813.5174"/>
  </r>
  <r>
    <x v="1"/>
    <x v="0"/>
    <n v="2107.8629999999998"/>
  </r>
  <r>
    <x v="0"/>
    <x v="1"/>
    <n v="70.470799999999997"/>
  </r>
  <r>
    <x v="0"/>
    <x v="0"/>
    <n v="3178.2564000000002"/>
  </r>
  <r>
    <x v="1"/>
    <x v="0"/>
    <n v="769.8975999999999"/>
  </r>
  <r>
    <x v="0"/>
    <x v="1"/>
    <n v="643.78679999999997"/>
  </r>
  <r>
    <x v="0"/>
    <x v="1"/>
    <n v="524.76480000000004"/>
  </r>
  <r>
    <x v="1"/>
    <x v="3"/>
    <n v="1719.4431999999999"/>
  </r>
  <r>
    <x v="0"/>
    <x v="3"/>
    <n v="50.407799999999988"/>
  </r>
  <r>
    <x v="1"/>
    <x v="2"/>
    <n v="421.27800000000002"/>
  </r>
  <r>
    <x v="1"/>
    <x v="3"/>
    <n v="2775.3519999999999"/>
  </r>
  <r>
    <x v="0"/>
    <x v="1"/>
    <n v="2589.8643999999999"/>
  </r>
  <r>
    <x v="0"/>
    <x v="3"/>
    <n v="2584.6271999999999"/>
  </r>
  <r>
    <x v="0"/>
    <x v="0"/>
    <n v="666.71699999999998"/>
  </r>
  <r>
    <x v="0"/>
    <x v="3"/>
    <n v="680.44199999999989"/>
  </r>
  <r>
    <x v="1"/>
    <x v="2"/>
    <n v="743.87839999999994"/>
  </r>
  <r>
    <x v="1"/>
    <x v="2"/>
    <n v="2485.364"/>
  </r>
  <r>
    <x v="1"/>
    <x v="0"/>
    <n v="437.0256"/>
  </r>
  <r>
    <x v="1"/>
    <x v="0"/>
    <n v="2221.9061999999999"/>
  </r>
  <r>
    <x v="1"/>
    <x v="4"/>
    <n v="1106.3052"/>
  </r>
  <r>
    <x v="0"/>
    <x v="4"/>
    <n v="929.02079999999989"/>
  </r>
  <r>
    <x v="1"/>
    <x v="1"/>
    <n v="632.76480000000004"/>
  </r>
  <r>
    <x v="0"/>
    <x v="0"/>
    <n v="380.42959999999999"/>
  </r>
  <r>
    <x v="0"/>
    <x v="3"/>
    <n v="679.37260000000003"/>
  </r>
  <r>
    <x v="0"/>
    <x v="2"/>
    <n v="454.46100000000001"/>
  </r>
  <r>
    <x v="1"/>
    <x v="1"/>
    <n v="332.37759999999997"/>
  </r>
  <r>
    <x v="0"/>
    <x v="3"/>
    <n v="1112.79"/>
  </r>
  <r>
    <x v="0"/>
    <x v="4"/>
    <n v="303.08980000000003"/>
  </r>
  <r>
    <x v="1"/>
    <x v="2"/>
    <n v="900.75200000000007"/>
  </r>
  <r>
    <x v="1"/>
    <x v="3"/>
    <n v="460.108"/>
  </r>
  <r>
    <x v="1"/>
    <x v="3"/>
    <n v="2430.6260000000002"/>
  </r>
  <r>
    <x v="1"/>
    <x v="1"/>
    <n v="305.84940000000012"/>
  </r>
  <r>
    <x v="0"/>
    <x v="3"/>
    <n v="2017.5011999999999"/>
  </r>
  <r>
    <x v="1"/>
    <x v="0"/>
    <n v="1267.1328000000001"/>
  </r>
  <r>
    <x v="1"/>
    <x v="0"/>
    <n v="1548.1769999999999"/>
  </r>
  <r>
    <x v="0"/>
    <x v="0"/>
    <n v="1824.2927999999999"/>
  </r>
  <r>
    <x v="1"/>
    <x v="3"/>
    <n v="1111.0344"/>
  </r>
  <r>
    <x v="1"/>
    <x v="3"/>
    <n v="1043.328"/>
  </r>
  <r>
    <x v="0"/>
    <x v="1"/>
    <n v="1553.7023999999999"/>
  </r>
  <r>
    <x v="1"/>
    <x v="4"/>
    <n v="484.60230000000001"/>
  </r>
  <r>
    <x v="1"/>
    <x v="3"/>
    <n v="792.09600000000012"/>
  </r>
  <r>
    <x v="1"/>
    <x v="1"/>
    <n v="1528.4588000000001"/>
  </r>
  <r>
    <x v="1"/>
    <x v="4"/>
    <n v="794.62400000000002"/>
  </r>
  <r>
    <x v="0"/>
    <x v="3"/>
    <n v="2163.1104"/>
  </r>
  <r>
    <x v="0"/>
    <x v="2"/>
    <n v="2509.1999999999998"/>
  </r>
  <r>
    <x v="1"/>
    <x v="1"/>
    <n v="764.55679999999995"/>
  </r>
  <r>
    <x v="1"/>
    <x v="4"/>
    <n v="1331.4911999999999"/>
  </r>
  <r>
    <x v="0"/>
    <x v="2"/>
    <n v="1005.6288"/>
  </r>
  <r>
    <x v="0"/>
    <x v="0"/>
    <n v="1451.7328"/>
  </r>
  <r>
    <x v="0"/>
    <x v="3"/>
    <n v="1279.2354"/>
  </r>
  <r>
    <x v="0"/>
    <x v="0"/>
    <n v="808.65719999999999"/>
  </r>
  <r>
    <x v="0"/>
    <x v="4"/>
    <n v="964.77480000000003"/>
  </r>
  <r>
    <x v="1"/>
    <x v="0"/>
    <n v="787.70069999999998"/>
  </r>
  <r>
    <x v="0"/>
    <x v="1"/>
    <n v="576.7944"/>
  </r>
  <r>
    <x v="1"/>
    <x v="3"/>
    <n v="1385.8368"/>
  </r>
  <r>
    <x v="1"/>
    <x v="0"/>
    <n v="918.92480000000012"/>
  </r>
  <r>
    <x v="1"/>
    <x v="2"/>
    <n v="922.36099999999988"/>
  </r>
  <r>
    <x v="0"/>
    <x v="0"/>
    <n v="1451.7072000000001"/>
  </r>
  <r>
    <x v="1"/>
    <x v="0"/>
    <n v="51.302599999999998"/>
  </r>
  <r>
    <x v="0"/>
    <x v="1"/>
    <n v="1015.32"/>
  </r>
  <r>
    <x v="0"/>
    <x v="0"/>
    <n v="3756.8876"/>
  </r>
  <r>
    <x v="1"/>
    <x v="0"/>
    <n v="1633.056"/>
  </r>
  <r>
    <x v="0"/>
    <x v="0"/>
    <n v="257.03719999999998"/>
  </r>
  <r>
    <x v="1"/>
    <x v="3"/>
    <n v="122.7324"/>
  </r>
  <r>
    <x v="0"/>
    <x v="3"/>
    <n v="31.239000000000001"/>
  </r>
  <r>
    <x v="1"/>
    <x v="1"/>
    <n v="1475.8869999999999"/>
  </r>
  <r>
    <x v="1"/>
    <x v="1"/>
    <n v="867.34800000000007"/>
  </r>
  <r>
    <x v="0"/>
    <x v="0"/>
    <n v="2965.1507999999999"/>
  </r>
  <r>
    <x v="0"/>
    <x v="2"/>
    <n v="243.42150000000001"/>
  </r>
  <r>
    <x v="0"/>
    <x v="4"/>
    <n v="2383.6680000000001"/>
  </r>
  <r>
    <x v="1"/>
    <x v="0"/>
    <n v="2201.7408"/>
  </r>
  <r>
    <x v="1"/>
    <x v="2"/>
    <n v="1793.4336000000001"/>
  </r>
  <r>
    <x v="1"/>
    <x v="3"/>
    <n v="592.20720000000006"/>
  </r>
  <r>
    <x v="0"/>
    <x v="0"/>
    <n v="3271.7496000000001"/>
  </r>
  <r>
    <x v="1"/>
    <x v="3"/>
    <n v="55.216700000000003"/>
  </r>
  <r>
    <x v="0"/>
    <x v="0"/>
    <n v="3400.733999999999"/>
  </r>
  <r>
    <x v="1"/>
    <x v="3"/>
    <n v="3028.2264"/>
  </r>
  <r>
    <x v="0"/>
    <x v="2"/>
    <n v="1039.1135999999999"/>
  </r>
  <r>
    <x v="1"/>
    <x v="1"/>
    <n v="2080.2770999999998"/>
  </r>
  <r>
    <x v="1"/>
    <x v="2"/>
    <n v="1349.7692"/>
  </r>
  <r>
    <x v="1"/>
    <x v="3"/>
    <n v="92.722300000000004"/>
  </r>
  <r>
    <x v="0"/>
    <x v="3"/>
    <n v="469.6508"/>
  </r>
  <r>
    <x v="0"/>
    <x v="2"/>
    <n v="1376.721"/>
  </r>
  <r>
    <x v="1"/>
    <x v="0"/>
    <n v="796.63200000000006"/>
  </r>
  <r>
    <x v="0"/>
    <x v="3"/>
    <n v="2592.2763"/>
  </r>
  <r>
    <x v="1"/>
    <x v="0"/>
    <n v="54.999000000000002"/>
  </r>
  <r>
    <x v="0"/>
    <x v="3"/>
    <n v="2011.7483999999999"/>
  </r>
  <r>
    <x v="1"/>
    <x v="3"/>
    <n v="2280.0509999999999"/>
  </r>
  <r>
    <x v="1"/>
    <x v="3"/>
    <n v="620.95889999999997"/>
  </r>
  <r>
    <x v="1"/>
    <x v="1"/>
    <n v="1456.4944"/>
  </r>
  <r>
    <x v="1"/>
    <x v="2"/>
    <n v="389.59829999999999"/>
  </r>
  <r>
    <x v="1"/>
    <x v="1"/>
    <n v="2832.9380000000001"/>
  </r>
  <r>
    <x v="1"/>
    <x v="0"/>
    <n v="2651.3568"/>
  </r>
  <r>
    <x v="1"/>
    <x v="4"/>
    <n v="2240.7020000000002"/>
  </r>
  <r>
    <x v="0"/>
    <x v="2"/>
    <n v="275.36079999999998"/>
  </r>
  <r>
    <x v="0"/>
    <x v="2"/>
    <n v="2512.0783999999999"/>
  </r>
  <r>
    <x v="1"/>
    <x v="2"/>
    <n v="1344.7067999999999"/>
  </r>
  <r>
    <x v="0"/>
    <x v="2"/>
    <n v="733.85640000000001"/>
  </r>
  <r>
    <x v="1"/>
    <x v="3"/>
    <n v="499.24360000000001"/>
  </r>
  <r>
    <x v="1"/>
    <x v="0"/>
    <n v="560.18999999999994"/>
  </r>
  <r>
    <x v="1"/>
    <x v="0"/>
    <n v="1172.0625"/>
  </r>
  <r>
    <x v="1"/>
    <x v="1"/>
    <n v="1565.982"/>
  </r>
  <r>
    <x v="0"/>
    <x v="1"/>
    <n v="1045.6292000000001"/>
  </r>
  <r>
    <x v="0"/>
    <x v="3"/>
    <n v="2242.8216000000002"/>
  </r>
  <r>
    <x v="0"/>
    <x v="2"/>
    <n v="615.46699999999998"/>
  </r>
  <r>
    <x v="1"/>
    <x v="2"/>
    <n v="323.35199999999998"/>
  </r>
  <r>
    <x v="0"/>
    <x v="1"/>
    <n v="977.69849999999985"/>
  </r>
  <r>
    <x v="1"/>
    <x v="4"/>
    <n v="3529.1619999999998"/>
  </r>
  <r>
    <x v="0"/>
    <x v="1"/>
    <n v="959.13179999999988"/>
  </r>
  <r>
    <x v="1"/>
    <x v="2"/>
    <n v="68.694199999999995"/>
  </r>
  <r>
    <x v="0"/>
    <x v="3"/>
    <n v="1452.4944"/>
  </r>
  <r>
    <x v="0"/>
    <x v="1"/>
    <n v="1592.3416"/>
  </r>
  <r>
    <x v="1"/>
    <x v="4"/>
    <n v="239.32259999999999"/>
  </r>
  <r>
    <x v="1"/>
    <x v="2"/>
    <n v="246.99600000000001"/>
  </r>
  <r>
    <x v="1"/>
    <x v="0"/>
    <n v="332.02339999999998"/>
  </r>
  <r>
    <x v="0"/>
    <x v="4"/>
    <n v="116.23139999999999"/>
  </r>
  <r>
    <x v="1"/>
    <x v="0"/>
    <n v="655.61040000000003"/>
  </r>
  <r>
    <x v="0"/>
    <x v="4"/>
    <n v="557.68680000000006"/>
  </r>
  <r>
    <x v="0"/>
    <x v="1"/>
    <n v="264.93889999999999"/>
  </r>
  <r>
    <x v="0"/>
    <x v="1"/>
    <n v="1211.0416"/>
  </r>
  <r>
    <x v="1"/>
    <x v="4"/>
    <n v="2681.3406"/>
  </r>
  <r>
    <x v="0"/>
    <x v="4"/>
    <n v="1006.2063000000001"/>
  </r>
  <r>
    <x v="0"/>
    <x v="1"/>
    <n v="2380.7628"/>
  </r>
  <r>
    <x v="1"/>
    <x v="1"/>
    <n v="215.47200000000001"/>
  </r>
  <r>
    <x v="1"/>
    <x v="3"/>
    <n v="165.1584"/>
  </r>
  <r>
    <x v="1"/>
    <x v="0"/>
    <n v="369.74"/>
  </r>
  <r>
    <x v="0"/>
    <x v="1"/>
    <n v="2286.1343999999999"/>
  </r>
  <r>
    <x v="1"/>
    <x v="0"/>
    <n v="191.88"/>
  </r>
  <r>
    <x v="0"/>
    <x v="1"/>
    <n v="424.875"/>
  </r>
  <r>
    <x v="1"/>
    <x v="3"/>
    <n v="605.43299999999999"/>
  </r>
  <r>
    <x v="1"/>
    <x v="4"/>
    <n v="426.411"/>
  </r>
  <r>
    <x v="1"/>
    <x v="2"/>
    <n v="710.44"/>
  </r>
  <r>
    <x v="0"/>
    <x v="1"/>
    <n v="1197.9756"/>
  </r>
  <r>
    <x v="1"/>
    <x v="2"/>
    <n v="729.07759999999996"/>
  </r>
  <r>
    <x v="0"/>
    <x v="4"/>
    <n v="3908.2428"/>
  </r>
  <r>
    <x v="1"/>
    <x v="0"/>
    <n v="1547.9168"/>
  </r>
  <r>
    <x v="0"/>
    <x v="4"/>
    <n v="1211.364"/>
  </r>
  <r>
    <x v="0"/>
    <x v="1"/>
    <n v="1548.0453"/>
  </r>
  <r>
    <x v="0"/>
    <x v="1"/>
    <n v="1768.96"/>
  </r>
  <r>
    <x v="1"/>
    <x v="3"/>
    <n v="1745.2989"/>
  </r>
  <r>
    <x v="1"/>
    <x v="1"/>
    <n v="235.2936"/>
  </r>
  <r>
    <x v="0"/>
    <x v="4"/>
    <n v="2094.8568"/>
  </r>
  <r>
    <x v="1"/>
    <x v="0"/>
    <n v="711.05579999999986"/>
  </r>
  <r>
    <x v="1"/>
    <x v="0"/>
    <n v="739.55970000000002"/>
  </r>
  <r>
    <x v="0"/>
    <x v="2"/>
    <n v="2158.7103999999999"/>
  </r>
  <r>
    <x v="0"/>
    <x v="0"/>
    <n v="67.502399999999994"/>
  </r>
  <r>
    <x v="1"/>
    <x v="4"/>
    <n v="2092.2192"/>
  </r>
  <r>
    <x v="1"/>
    <x v="3"/>
    <n v="198.50559999999999"/>
  </r>
  <r>
    <x v="1"/>
    <x v="2"/>
    <n v="391.77640000000002"/>
  </r>
  <r>
    <x v="0"/>
    <x v="3"/>
    <n v="214.8664"/>
  </r>
  <r>
    <x v="1"/>
    <x v="1"/>
    <n v="231.0198"/>
  </r>
  <r>
    <x v="0"/>
    <x v="0"/>
    <n v="2346.4584"/>
  </r>
  <r>
    <x v="0"/>
    <x v="1"/>
    <n v="1730.1479999999999"/>
  </r>
  <r>
    <x v="0"/>
    <x v="4"/>
    <n v="878.0687999999999"/>
  </r>
  <r>
    <x v="0"/>
    <x v="0"/>
    <n v="427.49560000000002"/>
  </r>
  <r>
    <x v="1"/>
    <x v="4"/>
    <n v="3179.3807999999999"/>
  </r>
  <r>
    <x v="0"/>
    <x v="3"/>
    <n v="191.4016"/>
  </r>
  <r>
    <x v="0"/>
    <x v="2"/>
    <n v="60.280200000000008"/>
  </r>
  <r>
    <x v="0"/>
    <x v="1"/>
    <n v="318.46080000000001"/>
  </r>
  <r>
    <x v="0"/>
    <x v="3"/>
    <n v="837.31829999999991"/>
  </r>
  <r>
    <x v="1"/>
    <x v="4"/>
    <n v="1396.5696"/>
  </r>
  <r>
    <x v="1"/>
    <x v="0"/>
    <n v="78.194399999999987"/>
  </r>
  <r>
    <x v="0"/>
    <x v="3"/>
    <n v="1402.7832000000001"/>
  </r>
  <r>
    <x v="0"/>
    <x v="0"/>
    <n v="1192.2174"/>
  </r>
  <r>
    <x v="1"/>
    <x v="4"/>
    <n v="1663.9503999999999"/>
  </r>
  <r>
    <x v="1"/>
    <x v="0"/>
    <n v="1697.3016"/>
  </r>
  <r>
    <x v="0"/>
    <x v="4"/>
    <n v="1641.63"/>
  </r>
  <r>
    <x v="1"/>
    <x v="3"/>
    <n v="783.42399999999998"/>
  </r>
  <r>
    <x v="0"/>
    <x v="3"/>
    <n v="1012.1856"/>
  </r>
  <r>
    <x v="0"/>
    <x v="0"/>
    <n v="616.54750000000001"/>
  </r>
  <r>
    <x v="0"/>
    <x v="2"/>
    <n v="424.20510000000002"/>
  </r>
  <r>
    <x v="0"/>
    <x v="0"/>
    <n v="695.95499999999993"/>
  </r>
  <r>
    <x v="1"/>
    <x v="1"/>
    <n v="1169.2264"/>
  </r>
  <r>
    <x v="0"/>
    <x v="1"/>
    <n v="268.10359999999997"/>
  </r>
  <r>
    <x v="1"/>
    <x v="4"/>
    <n v="1276.7118"/>
  </r>
  <r>
    <x v="0"/>
    <x v="1"/>
    <n v="1620.8416"/>
  </r>
  <r>
    <x v="1"/>
    <x v="3"/>
    <n v="570.62200000000007"/>
  </r>
  <r>
    <x v="0"/>
    <x v="1"/>
    <n v="1043.8271999999999"/>
  </r>
  <r>
    <x v="1"/>
    <x v="4"/>
    <n v="853.05420000000004"/>
  </r>
  <r>
    <x v="0"/>
    <x v="4"/>
    <n v="1555.992"/>
  </r>
  <r>
    <x v="1"/>
    <x v="2"/>
    <n v="958.57439999999997"/>
  </r>
  <r>
    <x v="0"/>
    <x v="0"/>
    <n v="320.76"/>
  </r>
  <r>
    <x v="1"/>
    <x v="1"/>
    <n v="810.84600000000012"/>
  </r>
  <r>
    <x v="0"/>
    <x v="1"/>
    <n v="756.54719999999986"/>
  </r>
  <r>
    <x v="1"/>
    <x v="3"/>
    <n v="497.76479999999998"/>
  </r>
  <r>
    <x v="0"/>
    <x v="0"/>
    <n v="2364.6480000000001"/>
  </r>
  <r>
    <x v="1"/>
    <x v="3"/>
    <n v="778.35680000000002"/>
  </r>
  <r>
    <x v="0"/>
    <x v="0"/>
    <n v="447.45299999999992"/>
  </r>
  <r>
    <x v="1"/>
    <x v="0"/>
    <n v="2724.32"/>
  </r>
  <r>
    <x v="0"/>
    <x v="1"/>
    <n v="2488.6336000000001"/>
  </r>
  <r>
    <x v="1"/>
    <x v="0"/>
    <n v="1661.0527999999999"/>
  </r>
  <r>
    <x v="1"/>
    <x v="2"/>
    <n v="527.33479999999997"/>
  </r>
  <r>
    <x v="1"/>
    <x v="1"/>
    <n v="494.99560000000002"/>
  </r>
  <r>
    <x v="0"/>
    <x v="3"/>
    <n v="1143.252"/>
  </r>
  <r>
    <x v="1"/>
    <x v="1"/>
    <n v="3139.3784000000001"/>
  </r>
  <r>
    <x v="1"/>
    <x v="2"/>
    <n v="217.77209999999999"/>
  </r>
  <r>
    <x v="0"/>
    <x v="2"/>
    <n v="1810.56"/>
  </r>
  <r>
    <x v="1"/>
    <x v="1"/>
    <n v="1395.6096"/>
  </r>
  <r>
    <x v="1"/>
    <x v="3"/>
    <n v="1656.395"/>
  </r>
  <r>
    <x v="0"/>
    <x v="0"/>
    <n v="161.238"/>
  </r>
  <r>
    <x v="0"/>
    <x v="0"/>
    <n v="1574.4498000000001"/>
  </r>
  <r>
    <x v="0"/>
    <x v="2"/>
    <n v="207.27930000000001"/>
  </r>
  <r>
    <x v="0"/>
    <x v="1"/>
    <n v="24.7744"/>
  </r>
  <r>
    <x v="0"/>
    <x v="0"/>
    <n v="955.54599999999994"/>
  </r>
  <r>
    <x v="1"/>
    <x v="2"/>
    <n v="3030.5223999999998"/>
  </r>
  <r>
    <x v="1"/>
    <x v="2"/>
    <n v="364.71600000000001"/>
  </r>
  <r>
    <x v="0"/>
    <x v="0"/>
    <n v="84.348600000000005"/>
  </r>
  <r>
    <x v="1"/>
    <x v="1"/>
    <n v="81.673900000000003"/>
  </r>
  <r>
    <x v="0"/>
    <x v="4"/>
    <n v="1089.5352"/>
  </r>
  <r>
    <x v="1"/>
    <x v="2"/>
    <n v="701.4348"/>
  </r>
  <r>
    <x v="0"/>
    <x v="3"/>
    <n v="392.04"/>
  </r>
  <r>
    <x v="1"/>
    <x v="2"/>
    <n v="2811.1181999999999"/>
  </r>
  <r>
    <x v="0"/>
    <x v="0"/>
    <n v="478.66559999999998"/>
  </r>
  <r>
    <x v="0"/>
    <x v="1"/>
    <n v="2881.4259999999999"/>
  </r>
  <r>
    <x v="1"/>
    <x v="3"/>
    <n v="571.38619999999992"/>
  </r>
  <r>
    <x v="1"/>
    <x v="4"/>
    <n v="218.804"/>
  </r>
  <r>
    <x v="1"/>
    <x v="0"/>
    <n v="1419.0192"/>
  </r>
  <r>
    <x v="1"/>
    <x v="2"/>
    <n v="689.5"/>
  </r>
  <r>
    <x v="0"/>
    <x v="4"/>
    <n v="307.71359999999999"/>
  </r>
  <r>
    <x v="0"/>
    <x v="0"/>
    <n v="2277.2944000000002"/>
  </r>
  <r>
    <x v="0"/>
    <x v="2"/>
    <n v="136.34880000000001"/>
  </r>
  <r>
    <x v="0"/>
    <x v="3"/>
    <n v="392.83789999999999"/>
  </r>
  <r>
    <x v="0"/>
    <x v="4"/>
    <n v="934.32449999999983"/>
  </r>
  <r>
    <x v="0"/>
    <x v="3"/>
    <n v="753.49019999999996"/>
  </r>
  <r>
    <x v="1"/>
    <x v="3"/>
    <n v="2681.1651999999999"/>
  </r>
  <r>
    <x v="1"/>
    <x v="1"/>
    <n v="611.68040000000008"/>
  </r>
  <r>
    <x v="0"/>
    <x v="0"/>
    <n v="317.32470000000001"/>
  </r>
  <r>
    <x v="1"/>
    <x v="2"/>
    <n v="119.7855"/>
  </r>
  <r>
    <x v="1"/>
    <x v="1"/>
    <n v="1951.7436"/>
  </r>
  <r>
    <x v="0"/>
    <x v="0"/>
    <n v="1316.2085999999999"/>
  </r>
  <r>
    <x v="0"/>
    <x v="1"/>
    <n v="101.2608"/>
  </r>
  <r>
    <x v="0"/>
    <x v="0"/>
    <n v="1375.2876000000001"/>
  </r>
  <r>
    <x v="0"/>
    <x v="2"/>
    <n v="2569.1024000000002"/>
  </r>
  <r>
    <x v="0"/>
    <x v="1"/>
    <n v="467.91"/>
  </r>
  <r>
    <x v="0"/>
    <x v="1"/>
    <n v="999.5920000000001"/>
  </r>
  <r>
    <x v="1"/>
    <x v="0"/>
    <n v="1088.1378"/>
  </r>
  <r>
    <x v="0"/>
    <x v="2"/>
    <n v="407.57679999999999"/>
  </r>
  <r>
    <x v="0"/>
    <x v="1"/>
    <n v="821.92160000000001"/>
  </r>
  <r>
    <x v="0"/>
    <x v="0"/>
    <n v="175.85310000000001"/>
  </r>
  <r>
    <x v="0"/>
    <x v="1"/>
    <n v="366.95339999999999"/>
  </r>
  <r>
    <x v="0"/>
    <x v="0"/>
    <n v="2574.9856"/>
  </r>
  <r>
    <x v="0"/>
    <x v="3"/>
    <n v="1306.4175"/>
  </r>
  <r>
    <x v="0"/>
    <x v="1"/>
    <n v="835.84800000000007"/>
  </r>
  <r>
    <x v="0"/>
    <x v="1"/>
    <n v="612.56039999999996"/>
  </r>
  <r>
    <x v="0"/>
    <x v="0"/>
    <n v="271.59300000000002"/>
  </r>
  <r>
    <x v="0"/>
    <x v="4"/>
    <n v="573.61920000000009"/>
  </r>
  <r>
    <x v="0"/>
    <x v="1"/>
    <n v="1900.2672"/>
  </r>
  <r>
    <x v="0"/>
    <x v="3"/>
    <n v="654.0489"/>
  </r>
  <r>
    <x v="1"/>
    <x v="2"/>
    <n v="230.88040000000001"/>
  </r>
  <r>
    <x v="0"/>
    <x v="4"/>
    <n v="629.36520000000007"/>
  </r>
  <r>
    <x v="0"/>
    <x v="4"/>
    <n v="2148.8544000000002"/>
  </r>
  <r>
    <x v="1"/>
    <x v="3"/>
    <n v="629.96500000000003"/>
  </r>
  <r>
    <x v="0"/>
    <x v="3"/>
    <n v="624.49519999999995"/>
  </r>
  <r>
    <x v="0"/>
    <x v="1"/>
    <n v="1383.2583999999999"/>
  </r>
  <r>
    <x v="1"/>
    <x v="3"/>
    <n v="2081.9225999999999"/>
  </r>
  <r>
    <x v="1"/>
    <x v="2"/>
    <n v="251.04419999999999"/>
  </r>
  <r>
    <x v="0"/>
    <x v="0"/>
    <n v="1936.7025000000001"/>
  </r>
  <r>
    <x v="1"/>
    <x v="4"/>
    <n v="363.09980000000002"/>
  </r>
  <r>
    <x v="0"/>
    <x v="3"/>
    <n v="1247.4552000000001"/>
  </r>
  <r>
    <x v="0"/>
    <x v="3"/>
    <n v="1228.8078"/>
  </r>
  <r>
    <x v="0"/>
    <x v="2"/>
    <n v="261.58"/>
  </r>
  <r>
    <x v="1"/>
    <x v="1"/>
    <n v="368.83280000000002"/>
  </r>
  <r>
    <x v="0"/>
    <x v="1"/>
    <n v="312.67360000000002"/>
  </r>
  <r>
    <x v="0"/>
    <x v="3"/>
    <n v="846.98459999999989"/>
  </r>
  <r>
    <x v="0"/>
    <x v="3"/>
    <n v="823.27499999999998"/>
  </r>
  <r>
    <x v="0"/>
    <x v="0"/>
    <n v="1646.3879999999999"/>
  </r>
  <r>
    <x v="0"/>
    <x v="3"/>
    <n v="1759.9428"/>
  </r>
  <r>
    <x v="0"/>
    <x v="4"/>
    <n v="427.58760000000001"/>
  </r>
  <r>
    <x v="0"/>
    <x v="0"/>
    <n v="2168.64"/>
  </r>
  <r>
    <x v="0"/>
    <x v="2"/>
    <n v="1245.1189999999999"/>
  </r>
  <r>
    <x v="0"/>
    <x v="0"/>
    <n v="1146.0820000000001"/>
  </r>
  <r>
    <x v="0"/>
    <x v="3"/>
    <n v="868.45639999999992"/>
  </r>
  <r>
    <x v="1"/>
    <x v="0"/>
    <n v="501.91680000000002"/>
  </r>
  <r>
    <x v="0"/>
    <x v="0"/>
    <n v="927.92699999999991"/>
  </r>
  <r>
    <x v="0"/>
    <x v="1"/>
    <n v="2310.0987"/>
  </r>
  <r>
    <x v="0"/>
    <x v="4"/>
    <n v="359.7783"/>
  </r>
  <r>
    <x v="0"/>
    <x v="1"/>
    <n v="355.5342"/>
  </r>
  <r>
    <x v="0"/>
    <x v="3"/>
    <n v="480.75359999999989"/>
  </r>
  <r>
    <x v="1"/>
    <x v="4"/>
    <n v="347.25360000000012"/>
  </r>
  <r>
    <x v="0"/>
    <x v="3"/>
    <n v="84.852000000000004"/>
  </r>
  <r>
    <x v="0"/>
    <x v="1"/>
    <n v="1715.8679999999999"/>
  </r>
  <r>
    <x v="1"/>
    <x v="0"/>
    <n v="1045.2354"/>
  </r>
  <r>
    <x v="1"/>
    <x v="0"/>
    <n v="494.0684"/>
  </r>
  <r>
    <x v="0"/>
    <x v="4"/>
    <n v="1134.4007999999999"/>
  </r>
  <r>
    <x v="0"/>
    <x v="2"/>
    <n v="835.95240000000001"/>
  </r>
  <r>
    <x v="0"/>
    <x v="1"/>
    <n v="1016.0784"/>
  </r>
  <r>
    <x v="1"/>
    <x v="3"/>
    <n v="1609.9962"/>
  </r>
  <r>
    <x v="0"/>
    <x v="0"/>
    <n v="485.51580000000001"/>
  </r>
  <r>
    <x v="1"/>
    <x v="0"/>
    <n v="925.74649999999997"/>
  </r>
  <r>
    <x v="0"/>
    <x v="0"/>
    <n v="1333.4780000000001"/>
  </r>
  <r>
    <x v="0"/>
    <x v="0"/>
    <n v="2729.8292000000001"/>
  </r>
  <r>
    <x v="0"/>
    <x v="3"/>
    <n v="373.59129999999999"/>
  </r>
  <r>
    <x v="0"/>
    <x v="3"/>
    <n v="237.6524"/>
  </r>
  <r>
    <x v="1"/>
    <x v="0"/>
    <n v="902.30399999999997"/>
  </r>
  <r>
    <x v="1"/>
    <x v="4"/>
    <n v="1254.9264000000001"/>
  </r>
  <r>
    <x v="1"/>
    <x v="3"/>
    <n v="1144.4248"/>
  </r>
  <r>
    <x v="0"/>
    <x v="2"/>
    <n v="707.02719999999999"/>
  </r>
  <r>
    <x v="0"/>
    <x v="3"/>
    <n v="2326.4778000000001"/>
  </r>
  <r>
    <x v="1"/>
    <x v="2"/>
    <n v="1314.0072"/>
  </r>
  <r>
    <x v="0"/>
    <x v="1"/>
    <n v="554.35380000000009"/>
  </r>
  <r>
    <x v="0"/>
    <x v="0"/>
    <n v="433.92960000000011"/>
  </r>
  <r>
    <x v="1"/>
    <x v="2"/>
    <n v="563.48699999999997"/>
  </r>
  <r>
    <x v="0"/>
    <x v="4"/>
    <n v="320.04199999999997"/>
  </r>
  <r>
    <x v="0"/>
    <x v="0"/>
    <n v="1643.4792"/>
  </r>
  <r>
    <x v="1"/>
    <x v="1"/>
    <n v="3026.6716000000001"/>
  </r>
  <r>
    <x v="1"/>
    <x v="4"/>
    <n v="531.5616"/>
  </r>
  <r>
    <x v="1"/>
    <x v="0"/>
    <n v="866.04959999999994"/>
  </r>
  <r>
    <x v="0"/>
    <x v="0"/>
    <n v="30.175999999999998"/>
  </r>
  <r>
    <x v="1"/>
    <x v="0"/>
    <n v="463.85820000000001"/>
  </r>
  <r>
    <x v="0"/>
    <x v="0"/>
    <n v="19.481000000000002"/>
  </r>
  <r>
    <x v="1"/>
    <x v="3"/>
    <n v="1509.2352000000001"/>
  </r>
  <r>
    <x v="0"/>
    <x v="1"/>
    <n v="1795.982"/>
  </r>
  <r>
    <x v="1"/>
    <x v="4"/>
    <n v="1186.9680000000001"/>
  </r>
  <r>
    <x v="1"/>
    <x v="3"/>
    <n v="919.29179999999997"/>
  </r>
  <r>
    <x v="1"/>
    <x v="2"/>
    <n v="1149.066"/>
  </r>
  <r>
    <x v="1"/>
    <x v="3"/>
    <n v="611.17420000000004"/>
  </r>
  <r>
    <x v="1"/>
    <x v="0"/>
    <n v="615.79719999999998"/>
  </r>
  <r>
    <x v="1"/>
    <x v="3"/>
    <n v="612.68850000000009"/>
  </r>
  <r>
    <x v="1"/>
    <x v="0"/>
    <n v="891.53279999999995"/>
  </r>
  <r>
    <x v="1"/>
    <x v="3"/>
    <n v="1913.8391999999999"/>
  </r>
  <r>
    <x v="1"/>
    <x v="1"/>
    <n v="2164.6943999999999"/>
  </r>
  <r>
    <x v="0"/>
    <x v="0"/>
    <n v="262.78019999999998"/>
  </r>
  <r>
    <x v="1"/>
    <x v="3"/>
    <n v="800.21129999999994"/>
  </r>
  <r>
    <x v="0"/>
    <x v="0"/>
    <n v="245.80199999999999"/>
  </r>
  <r>
    <x v="0"/>
    <x v="1"/>
    <n v="1686.4275"/>
  </r>
  <r>
    <x v="0"/>
    <x v="1"/>
    <n v="460.96080000000001"/>
  </r>
  <r>
    <x v="1"/>
    <x v="0"/>
    <n v="1555.4619"/>
  </r>
  <r>
    <x v="0"/>
    <x v="0"/>
    <n v="171.45179999999999"/>
  </r>
  <r>
    <x v="1"/>
    <x v="3"/>
    <n v="2579.2651999999998"/>
  </r>
  <r>
    <x v="0"/>
    <x v="0"/>
    <n v="1263.5904"/>
  </r>
  <r>
    <x v="0"/>
    <x v="3"/>
    <n v="907.70659999999998"/>
  </r>
  <r>
    <x v="0"/>
    <x v="2"/>
    <n v="1912.96"/>
  </r>
  <r>
    <x v="0"/>
    <x v="1"/>
    <n v="897.05280000000005"/>
  </r>
  <r>
    <x v="1"/>
    <x v="3"/>
    <n v="1048.1238000000001"/>
  </r>
  <r>
    <x v="1"/>
    <x v="3"/>
    <n v="705.11850000000004"/>
  </r>
  <r>
    <x v="0"/>
    <x v="0"/>
    <n v="1558.4646"/>
  </r>
  <r>
    <x v="1"/>
    <x v="1"/>
    <n v="667.20539999999994"/>
  </r>
  <r>
    <x v="1"/>
    <x v="1"/>
    <n v="1289.3399999999999"/>
  </r>
  <r>
    <x v="1"/>
    <x v="0"/>
    <n v="661.59"/>
  </r>
  <r>
    <x v="1"/>
    <x v="3"/>
    <n v="1278.3675000000001"/>
  </r>
  <r>
    <x v="0"/>
    <x v="3"/>
    <n v="2524.8384000000001"/>
  </r>
  <r>
    <x v="1"/>
    <x v="3"/>
    <n v="1373.2991999999999"/>
  </r>
  <r>
    <x v="0"/>
    <x v="2"/>
    <n v="2250.2979999999998"/>
  </r>
  <r>
    <x v="1"/>
    <x v="3"/>
    <n v="629.74340000000007"/>
  </r>
  <r>
    <x v="1"/>
    <x v="3"/>
    <n v="607.64800000000002"/>
  </r>
  <r>
    <x v="0"/>
    <x v="1"/>
    <n v="2495.2049999999999"/>
  </r>
  <r>
    <x v="0"/>
    <x v="0"/>
    <n v="308.14710000000002"/>
  </r>
  <r>
    <x v="1"/>
    <x v="3"/>
    <n v="1200.9059999999999"/>
  </r>
  <r>
    <x v="1"/>
    <x v="2"/>
    <n v="767.98800000000006"/>
  </r>
  <r>
    <x v="1"/>
    <x v="1"/>
    <n v="139.29"/>
  </r>
  <r>
    <x v="0"/>
    <x v="2"/>
    <n v="1240.8389999999999"/>
  </r>
  <r>
    <x v="1"/>
    <x v="1"/>
    <n v="367.65219999999999"/>
  </r>
  <r>
    <x v="1"/>
    <x v="1"/>
    <n v="802.1579999999999"/>
  </r>
  <r>
    <x v="0"/>
    <x v="3"/>
    <n v="595.14840000000004"/>
  </r>
  <r>
    <x v="0"/>
    <x v="0"/>
    <n v="229.88249999999999"/>
  </r>
  <r>
    <x v="1"/>
    <x v="1"/>
    <n v="2777.1016"/>
  </r>
  <r>
    <x v="0"/>
    <x v="0"/>
    <n v="306.77249999999998"/>
  </r>
  <r>
    <x v="0"/>
    <x v="4"/>
    <n v="1550.5662"/>
  </r>
  <r>
    <x v="1"/>
    <x v="3"/>
    <n v="437.17020000000002"/>
  </r>
  <r>
    <x v="0"/>
    <x v="4"/>
    <n v="1095.864"/>
  </r>
  <r>
    <x v="1"/>
    <x v="1"/>
    <n v="637.50080000000014"/>
  </r>
  <r>
    <x v="0"/>
    <x v="3"/>
    <n v="1128.9969000000001"/>
  </r>
  <r>
    <x v="0"/>
    <x v="1"/>
    <n v="523.71"/>
  </r>
  <r>
    <x v="0"/>
    <x v="4"/>
    <n v="2240.2800000000002"/>
  </r>
  <r>
    <x v="1"/>
    <x v="0"/>
    <n v="41.875999999999998"/>
  </r>
  <r>
    <x v="1"/>
    <x v="2"/>
    <n v="754.20119999999997"/>
  </r>
  <r>
    <x v="0"/>
    <x v="0"/>
    <n v="991.30199999999979"/>
  </r>
  <r>
    <x v="0"/>
    <x v="2"/>
    <n v="1179.1369999999999"/>
  </r>
  <r>
    <x v="1"/>
    <x v="1"/>
    <n v="1731.4914000000001"/>
  </r>
  <r>
    <x v="0"/>
    <x v="4"/>
    <n v="200.1354"/>
  </r>
  <r>
    <x v="1"/>
    <x v="2"/>
    <n v="1185.4584"/>
  </r>
  <r>
    <x v="1"/>
    <x v="3"/>
    <n v="353.56760000000003"/>
  </r>
  <r>
    <x v="0"/>
    <x v="3"/>
    <n v="389.67399999999998"/>
  </r>
  <r>
    <x v="0"/>
    <x v="2"/>
    <n v="1113.6584"/>
  </r>
  <r>
    <x v="1"/>
    <x v="2"/>
    <n v="383.32799999999997"/>
  </r>
  <r>
    <x v="0"/>
    <x v="0"/>
    <n v="28.044"/>
  </r>
  <r>
    <x v="1"/>
    <x v="4"/>
    <n v="818.46659999999997"/>
  </r>
  <r>
    <x v="0"/>
    <x v="2"/>
    <n v="85.933199999999999"/>
  </r>
  <r>
    <x v="0"/>
    <x v="2"/>
    <n v="695.04819999999995"/>
  </r>
  <r>
    <x v="0"/>
    <x v="3"/>
    <n v="1561.9212"/>
  </r>
  <r>
    <x v="1"/>
    <x v="1"/>
    <n v="139.03120000000001"/>
  </r>
  <r>
    <x v="0"/>
    <x v="4"/>
    <n v="122.9456"/>
  </r>
  <r>
    <x v="0"/>
    <x v="3"/>
    <n v="751.58879999999988"/>
  </r>
  <r>
    <x v="1"/>
    <x v="0"/>
    <n v="493.91449999999992"/>
  </r>
  <r>
    <x v="0"/>
    <x v="1"/>
    <n v="1613.556"/>
  </r>
  <r>
    <x v="1"/>
    <x v="0"/>
    <n v="537.11840000000007"/>
  </r>
  <r>
    <x v="0"/>
    <x v="1"/>
    <n v="621.27"/>
  </r>
  <r>
    <x v="0"/>
    <x v="4"/>
    <n v="867.5"/>
  </r>
  <r>
    <x v="0"/>
    <x v="4"/>
    <n v="272.30130000000003"/>
  </r>
  <r>
    <x v="0"/>
    <x v="1"/>
    <n v="212.83199999999999"/>
  </r>
  <r>
    <x v="0"/>
    <x v="1"/>
    <n v="844.96719999999993"/>
  </r>
  <r>
    <x v="0"/>
    <x v="4"/>
    <n v="3138.6759999999999"/>
  </r>
  <r>
    <x v="1"/>
    <x v="2"/>
    <n v="1375.6759999999999"/>
  </r>
  <r>
    <x v="0"/>
    <x v="1"/>
    <n v="246.77549999999999"/>
  </r>
  <r>
    <x v="1"/>
    <x v="1"/>
    <n v="1748.7384"/>
  </r>
  <r>
    <x v="0"/>
    <x v="4"/>
    <n v="623.19839999999999"/>
  </r>
  <r>
    <x v="0"/>
    <x v="4"/>
    <n v="502.95960000000002"/>
  </r>
  <r>
    <x v="1"/>
    <x v="2"/>
    <n v="520.43039999999996"/>
  </r>
  <r>
    <x v="0"/>
    <x v="1"/>
    <n v="316.22199999999998"/>
  </r>
  <r>
    <x v="0"/>
    <x v="3"/>
    <n v="544.55939999999998"/>
  </r>
  <r>
    <x v="0"/>
    <x v="3"/>
    <n v="56.010599999999997"/>
  </r>
  <r>
    <x v="1"/>
    <x v="3"/>
    <n v="1641.3904"/>
  </r>
  <r>
    <x v="1"/>
    <x v="4"/>
    <n v="107.0748"/>
  </r>
  <r>
    <x v="1"/>
    <x v="1"/>
    <n v="523.66020000000003"/>
  </r>
  <r>
    <x v="0"/>
    <x v="0"/>
    <n v="18.459"/>
  </r>
  <r>
    <x v="0"/>
    <x v="1"/>
    <n v="3205.3728000000001"/>
  </r>
  <r>
    <x v="1"/>
    <x v="1"/>
    <n v="2470.6439999999998"/>
  </r>
  <r>
    <x v="1"/>
    <x v="1"/>
    <n v="474.41449999999998"/>
  </r>
  <r>
    <x v="0"/>
    <x v="0"/>
    <n v="370.75619999999998"/>
  </r>
  <r>
    <x v="0"/>
    <x v="0"/>
    <n v="571.26209999999992"/>
  </r>
  <r>
    <x v="0"/>
    <x v="0"/>
    <n v="934.46460000000013"/>
  </r>
  <r>
    <x v="1"/>
    <x v="0"/>
    <n v="647.2349999999999"/>
  </r>
  <r>
    <x v="0"/>
    <x v="4"/>
    <n v="1060.4369999999999"/>
  </r>
  <r>
    <x v="1"/>
    <x v="0"/>
    <n v="1754.4059999999999"/>
  </r>
  <r>
    <x v="1"/>
    <x v="1"/>
    <n v="1874.787"/>
  </r>
  <r>
    <x v="0"/>
    <x v="1"/>
    <n v="124.336"/>
  </r>
  <r>
    <x v="0"/>
    <x v="2"/>
    <n v="2746.7712000000001"/>
  </r>
  <r>
    <x v="0"/>
    <x v="1"/>
    <n v="2143.6176"/>
  </r>
  <r>
    <x v="1"/>
    <x v="1"/>
    <n v="2486.2139999999999"/>
  </r>
  <r>
    <x v="1"/>
    <x v="0"/>
    <n v="154.93799999999999"/>
  </r>
  <r>
    <x v="1"/>
    <x v="0"/>
    <n v="2421.7944000000002"/>
  </r>
  <r>
    <x v="1"/>
    <x v="4"/>
    <n v="541.10160000000008"/>
  </r>
  <r>
    <x v="0"/>
    <x v="2"/>
    <n v="844.77059999999994"/>
  </r>
  <r>
    <x v="1"/>
    <x v="0"/>
    <n v="1196.5536"/>
  </r>
  <r>
    <x v="0"/>
    <x v="3"/>
    <n v="1082.835"/>
  </r>
  <r>
    <x v="0"/>
    <x v="3"/>
    <n v="3817.6880000000001"/>
  </r>
  <r>
    <x v="1"/>
    <x v="3"/>
    <n v="267.20600000000002"/>
  </r>
  <r>
    <x v="0"/>
    <x v="0"/>
    <n v="603.71640000000002"/>
  </r>
  <r>
    <x v="1"/>
    <x v="2"/>
    <n v="1866.2719999999999"/>
  </r>
  <r>
    <x v="0"/>
    <x v="0"/>
    <n v="1661.6624999999999"/>
  </r>
  <r>
    <x v="1"/>
    <x v="0"/>
    <n v="1206.6407999999999"/>
  </r>
  <r>
    <x v="0"/>
    <x v="2"/>
    <n v="824.48639999999989"/>
  </r>
  <r>
    <x v="1"/>
    <x v="0"/>
    <n v="1069.5302999999999"/>
  </r>
  <r>
    <x v="0"/>
    <x v="3"/>
    <n v="1968.5753999999999"/>
  </r>
  <r>
    <x v="1"/>
    <x v="2"/>
    <n v="1483.8119999999999"/>
  </r>
  <r>
    <x v="1"/>
    <x v="2"/>
    <n v="345.32479999999998"/>
  </r>
  <r>
    <x v="0"/>
    <x v="0"/>
    <n v="59.593499999999999"/>
  </r>
  <r>
    <x v="1"/>
    <x v="4"/>
    <n v="568.09620000000007"/>
  </r>
  <r>
    <x v="1"/>
    <x v="3"/>
    <n v="671.02289999999994"/>
  </r>
  <r>
    <x v="0"/>
    <x v="4"/>
    <n v="1573.9359999999999"/>
  </r>
  <r>
    <x v="0"/>
    <x v="1"/>
    <n v="488.90660000000003"/>
  </r>
  <r>
    <x v="1"/>
    <x v="1"/>
    <n v="2286.4674"/>
  </r>
  <r>
    <x v="0"/>
    <x v="2"/>
    <n v="1901.4159999999999"/>
  </r>
  <r>
    <x v="0"/>
    <x v="1"/>
    <n v="675.94240000000013"/>
  </r>
  <r>
    <x v="0"/>
    <x v="4"/>
    <n v="2066.3663999999999"/>
  </r>
  <r>
    <x v="0"/>
    <x v="1"/>
    <n v="711.42959999999994"/>
  </r>
  <r>
    <x v="0"/>
    <x v="1"/>
    <n v="443.327"/>
  </r>
  <r>
    <x v="0"/>
    <x v="1"/>
    <n v="1255.8393000000001"/>
  </r>
  <r>
    <x v="1"/>
    <x v="3"/>
    <n v="1583.806"/>
  </r>
  <r>
    <x v="1"/>
    <x v="0"/>
    <n v="355.23840000000001"/>
  </r>
  <r>
    <x v="1"/>
    <x v="4"/>
    <n v="1813.1728000000001"/>
  </r>
  <r>
    <x v="1"/>
    <x v="4"/>
    <n v="2593.9104000000002"/>
  </r>
  <r>
    <x v="1"/>
    <x v="3"/>
    <n v="326.00070000000011"/>
  </r>
  <r>
    <x v="1"/>
    <x v="0"/>
    <n v="803.01599999999996"/>
  </r>
  <r>
    <x v="0"/>
    <x v="3"/>
    <n v="1799.55"/>
  </r>
  <r>
    <x v="1"/>
    <x v="2"/>
    <n v="113.0128"/>
  </r>
  <r>
    <x v="1"/>
    <x v="0"/>
    <n v="820.89920000000006"/>
  </r>
  <r>
    <x v="0"/>
    <x v="0"/>
    <n v="1968.1116"/>
  </r>
  <r>
    <x v="0"/>
    <x v="0"/>
    <n v="1930.761"/>
  </r>
  <r>
    <x v="0"/>
    <x v="3"/>
    <n v="1733.2565999999999"/>
  </r>
  <r>
    <x v="1"/>
    <x v="2"/>
    <n v="2312.2912000000001"/>
  </r>
  <r>
    <x v="1"/>
    <x v="4"/>
    <n v="1472.5308"/>
  </r>
  <r>
    <x v="0"/>
    <x v="0"/>
    <n v="2090.2723999999998"/>
  </r>
  <r>
    <x v="1"/>
    <x v="2"/>
    <n v="1690.7814000000001"/>
  </r>
  <r>
    <x v="0"/>
    <x v="3"/>
    <n v="1377.6432"/>
  </r>
  <r>
    <x v="0"/>
    <x v="4"/>
    <n v="3133.7256000000002"/>
  </r>
  <r>
    <x v="1"/>
    <x v="1"/>
    <n v="981.97259999999994"/>
  </r>
  <r>
    <x v="1"/>
    <x v="4"/>
    <n v="441.55169999999998"/>
  </r>
  <r>
    <x v="1"/>
    <x v="2"/>
    <n v="476.91660000000002"/>
  </r>
  <r>
    <x v="1"/>
    <x v="0"/>
    <n v="56.880400000000002"/>
  </r>
  <r>
    <x v="1"/>
    <x v="0"/>
    <n v="2408.6664000000001"/>
  </r>
  <r>
    <x v="0"/>
    <x v="0"/>
    <n v="787.28039999999999"/>
  </r>
  <r>
    <x v="0"/>
    <x v="1"/>
    <n v="1087.8444"/>
  </r>
  <r>
    <x v="1"/>
    <x v="0"/>
    <n v="1723.5719999999999"/>
  </r>
  <r>
    <x v="1"/>
    <x v="3"/>
    <n v="584.78399999999988"/>
  </r>
  <r>
    <x v="1"/>
    <x v="0"/>
    <n v="1281.8937000000001"/>
  </r>
  <r>
    <x v="1"/>
    <x v="1"/>
    <n v="2380.4639999999999"/>
  </r>
  <r>
    <x v="0"/>
    <x v="3"/>
    <n v="1304.2182"/>
  </r>
  <r>
    <x v="1"/>
    <x v="1"/>
    <n v="968.16959999999995"/>
  </r>
  <r>
    <x v="0"/>
    <x v="0"/>
    <n v="65.729200000000006"/>
  </r>
  <r>
    <x v="0"/>
    <x v="2"/>
    <n v="1327.8846000000001"/>
  </r>
  <r>
    <x v="0"/>
    <x v="4"/>
    <n v="1805.2736"/>
  </r>
  <r>
    <x v="0"/>
    <x v="0"/>
    <n v="2100.0441000000001"/>
  </r>
  <r>
    <x v="0"/>
    <x v="0"/>
    <n v="3030.424"/>
  </r>
  <r>
    <x v="1"/>
    <x v="1"/>
    <n v="491.32860000000011"/>
  </r>
  <r>
    <x v="1"/>
    <x v="0"/>
    <n v="689.17200000000014"/>
  </r>
  <r>
    <x v="1"/>
    <x v="4"/>
    <n v="1914.8480999999999"/>
  </r>
  <r>
    <x v="1"/>
    <x v="4"/>
    <n v="801.44959999999992"/>
  </r>
  <r>
    <x v="0"/>
    <x v="2"/>
    <n v="359.61380000000003"/>
  </r>
  <r>
    <x v="1"/>
    <x v="3"/>
    <n v="187.14840000000001"/>
  </r>
  <r>
    <x v="1"/>
    <x v="3"/>
    <n v="761.73839999999996"/>
  </r>
  <r>
    <x v="1"/>
    <x v="0"/>
    <n v="680.88400000000001"/>
  </r>
  <r>
    <x v="0"/>
    <x v="4"/>
    <n v="246.5856"/>
  </r>
  <r>
    <x v="1"/>
    <x v="4"/>
    <n v="2862.1208000000001"/>
  </r>
  <r>
    <x v="1"/>
    <x v="2"/>
    <n v="159.3408"/>
  </r>
  <r>
    <x v="0"/>
    <x v="1"/>
    <n v="394.90199999999999"/>
  </r>
  <r>
    <x v="1"/>
    <x v="4"/>
    <n v="453.58170000000001"/>
  </r>
  <r>
    <x v="1"/>
    <x v="1"/>
    <n v="447.82960000000003"/>
  </r>
  <r>
    <x v="1"/>
    <x v="0"/>
    <n v="1638.3912"/>
  </r>
  <r>
    <x v="1"/>
    <x v="0"/>
    <n v="1320.0640000000001"/>
  </r>
  <r>
    <x v="0"/>
    <x v="4"/>
    <n v="828.83359999999993"/>
  </r>
  <r>
    <x v="0"/>
    <x v="3"/>
    <n v="209.65119999999999"/>
  </r>
  <r>
    <x v="0"/>
    <x v="0"/>
    <n v="726.36479999999995"/>
  </r>
  <r>
    <x v="1"/>
    <x v="1"/>
    <n v="373.83839999999998"/>
  </r>
  <r>
    <x v="0"/>
    <x v="0"/>
    <n v="283.7484"/>
  </r>
  <r>
    <x v="1"/>
    <x v="0"/>
    <n v="208.3134"/>
  </r>
  <r>
    <x v="1"/>
    <x v="0"/>
    <n v="1299.9000000000001"/>
  </r>
  <r>
    <x v="0"/>
    <x v="0"/>
    <n v="70.924799999999991"/>
  </r>
  <r>
    <x v="0"/>
    <x v="3"/>
    <n v="721.8119999999999"/>
  </r>
  <r>
    <x v="1"/>
    <x v="0"/>
    <n v="2897.233999999999"/>
  </r>
  <r>
    <x v="0"/>
    <x v="0"/>
    <n v="262.80799999999999"/>
  </r>
  <r>
    <x v="1"/>
    <x v="0"/>
    <n v="33.129600000000003"/>
  </r>
  <r>
    <x v="0"/>
    <x v="0"/>
    <n v="1871.7185999999999"/>
  </r>
  <r>
    <x v="1"/>
    <x v="3"/>
    <n v="356.18669999999997"/>
  </r>
  <r>
    <x v="0"/>
    <x v="3"/>
    <n v="1230.9501"/>
  </r>
  <r>
    <x v="0"/>
    <x v="0"/>
    <n v="1489.8743999999999"/>
  </r>
  <r>
    <x v="0"/>
    <x v="4"/>
    <n v="1818.3263999999999"/>
  </r>
  <r>
    <x v="0"/>
    <x v="1"/>
    <n v="489.78199999999993"/>
  </r>
  <r>
    <x v="0"/>
    <x v="4"/>
    <n v="509.14980000000008"/>
  </r>
  <r>
    <x v="1"/>
    <x v="0"/>
    <n v="998.18729999999994"/>
  </r>
  <r>
    <x v="0"/>
    <x v="4"/>
    <n v="466.78170000000011"/>
  </r>
  <r>
    <x v="1"/>
    <x v="0"/>
    <n v="698.76"/>
  </r>
  <r>
    <x v="0"/>
    <x v="4"/>
    <n v="1988.568"/>
  </r>
  <r>
    <x v="1"/>
    <x v="4"/>
    <n v="1177.0512000000001"/>
  </r>
  <r>
    <x v="1"/>
    <x v="2"/>
    <n v="680.65200000000004"/>
  </r>
  <r>
    <x v="0"/>
    <x v="3"/>
    <n v="808.64189999999996"/>
  </r>
  <r>
    <x v="1"/>
    <x v="3"/>
    <n v="150.76079999999999"/>
  </r>
  <r>
    <x v="1"/>
    <x v="3"/>
    <n v="626.67989999999998"/>
  </r>
  <r>
    <x v="0"/>
    <x v="0"/>
    <n v="116.39700000000001"/>
  </r>
  <r>
    <x v="1"/>
    <x v="4"/>
    <n v="3181.8919999999998"/>
  </r>
  <r>
    <x v="1"/>
    <x v="1"/>
    <n v="127.3944"/>
  </r>
  <r>
    <x v="0"/>
    <x v="0"/>
    <n v="2826.5160000000001"/>
  </r>
  <r>
    <x v="0"/>
    <x v="1"/>
    <n v="1542.1751999999999"/>
  </r>
  <r>
    <x v="1"/>
    <x v="0"/>
    <n v="467.77280000000002"/>
  </r>
  <r>
    <x v="0"/>
    <x v="3"/>
    <n v="1413.93"/>
  </r>
  <r>
    <x v="0"/>
    <x v="1"/>
    <n v="1066.0735999999999"/>
  </r>
  <r>
    <x v="1"/>
    <x v="2"/>
    <n v="355.71519999999998"/>
  </r>
  <r>
    <x v="0"/>
    <x v="3"/>
    <n v="2404.6821"/>
  </r>
  <r>
    <x v="1"/>
    <x v="4"/>
    <n v="606.73080000000004"/>
  </r>
  <r>
    <x v="1"/>
    <x v="3"/>
    <n v="1173.508"/>
  </r>
  <r>
    <x v="1"/>
    <x v="3"/>
    <n v="1191.6812"/>
  </r>
  <r>
    <x v="1"/>
    <x v="0"/>
    <n v="955.01519999999994"/>
  </r>
  <r>
    <x v="0"/>
    <x v="0"/>
    <n v="1690.3040000000001"/>
  </r>
  <r>
    <x v="1"/>
    <x v="1"/>
    <n v="136.5984"/>
  </r>
  <r>
    <x v="0"/>
    <x v="3"/>
    <n v="1270.7460000000001"/>
  </r>
  <r>
    <x v="1"/>
    <x v="1"/>
    <n v="1968.6941999999999"/>
  </r>
  <r>
    <x v="0"/>
    <x v="3"/>
    <n v="809.04560000000004"/>
  </r>
  <r>
    <x v="1"/>
    <x v="1"/>
    <n v="144.9624"/>
  </r>
  <r>
    <x v="1"/>
    <x v="4"/>
    <n v="1018.668"/>
  </r>
  <r>
    <x v="0"/>
    <x v="1"/>
    <n v="2468.4387000000002"/>
  </r>
  <r>
    <x v="0"/>
    <x v="0"/>
    <n v="2278.3208"/>
  </r>
  <r>
    <x v="1"/>
    <x v="2"/>
    <n v="2291.6432"/>
  </r>
  <r>
    <x v="1"/>
    <x v="3"/>
    <n v="64.895600000000002"/>
  </r>
  <r>
    <x v="0"/>
    <x v="2"/>
    <n v="1266.356"/>
  </r>
  <r>
    <x v="1"/>
    <x v="4"/>
    <n v="991.26239999999996"/>
  </r>
  <r>
    <x v="1"/>
    <x v="3"/>
    <n v="1742.0255999999999"/>
  </r>
  <r>
    <x v="0"/>
    <x v="3"/>
    <n v="1628.1702"/>
  </r>
  <r>
    <x v="1"/>
    <x v="2"/>
    <n v="1518.6335999999999"/>
  </r>
  <r>
    <x v="0"/>
    <x v="1"/>
    <n v="646.29599999999994"/>
  </r>
  <r>
    <x v="1"/>
    <x v="1"/>
    <n v="197.7336"/>
  </r>
  <r>
    <x v="1"/>
    <x v="0"/>
    <n v="433.77199999999999"/>
  </r>
  <r>
    <x v="1"/>
    <x v="0"/>
    <n v="721.8211"/>
  </r>
  <r>
    <x v="1"/>
    <x v="2"/>
    <n v="1267.6251"/>
  </r>
  <r>
    <x v="0"/>
    <x v="3"/>
    <n v="603.54259999999988"/>
  </r>
  <r>
    <x v="1"/>
    <x v="2"/>
    <n v="1251.5072"/>
  </r>
  <r>
    <x v="0"/>
    <x v="1"/>
    <n v="895.68809999999996"/>
  </r>
  <r>
    <x v="1"/>
    <x v="0"/>
    <n v="946.53000000000009"/>
  </r>
  <r>
    <x v="1"/>
    <x v="1"/>
    <n v="1787.3469"/>
  </r>
  <r>
    <x v="1"/>
    <x v="3"/>
    <n v="528.3066"/>
  </r>
  <r>
    <x v="1"/>
    <x v="1"/>
    <n v="305.94240000000002"/>
  </r>
  <r>
    <x v="0"/>
    <x v="2"/>
    <n v="1369.6744000000001"/>
  </r>
  <r>
    <x v="1"/>
    <x v="0"/>
    <n v="1228.4412"/>
  </r>
  <r>
    <x v="0"/>
    <x v="1"/>
    <n v="1896.72"/>
  </r>
  <r>
    <x v="1"/>
    <x v="3"/>
    <n v="1386.2428"/>
  </r>
  <r>
    <x v="1"/>
    <x v="3"/>
    <n v="478.03019999999998"/>
  </r>
  <r>
    <x v="1"/>
    <x v="3"/>
    <n v="671.89779999999996"/>
  </r>
  <r>
    <x v="1"/>
    <x v="0"/>
    <n v="91.402000000000001"/>
  </r>
  <r>
    <x v="0"/>
    <x v="1"/>
    <n v="591.58360000000005"/>
  </r>
  <r>
    <x v="1"/>
    <x v="1"/>
    <n v="566.42039999999997"/>
  </r>
  <r>
    <x v="1"/>
    <x v="4"/>
    <n v="674.63560000000007"/>
  </r>
  <r>
    <x v="0"/>
    <x v="0"/>
    <n v="155.22720000000001"/>
  </r>
  <r>
    <x v="0"/>
    <x v="3"/>
    <n v="817.21080000000006"/>
  </r>
  <r>
    <x v="1"/>
    <x v="1"/>
    <n v="956.16639999999995"/>
  </r>
  <r>
    <x v="1"/>
    <x v="0"/>
    <n v="664.35"/>
  </r>
  <r>
    <x v="1"/>
    <x v="3"/>
    <n v="353.27339999999998"/>
  </r>
  <r>
    <x v="0"/>
    <x v="1"/>
    <n v="2691.7435999999998"/>
  </r>
  <r>
    <x v="1"/>
    <x v="0"/>
    <n v="763.30799999999999"/>
  </r>
  <r>
    <x v="0"/>
    <x v="0"/>
    <n v="222.26750000000001"/>
  </r>
  <r>
    <x v="1"/>
    <x v="0"/>
    <n v="2135.4168"/>
  </r>
  <r>
    <x v="0"/>
    <x v="0"/>
    <n v="2478.4499999999998"/>
  </r>
  <r>
    <x v="1"/>
    <x v="0"/>
    <n v="1439.136"/>
  </r>
  <r>
    <x v="1"/>
    <x v="4"/>
    <n v="871.41929999999991"/>
  </r>
  <r>
    <x v="0"/>
    <x v="0"/>
    <n v="1236.48"/>
  </r>
  <r>
    <x v="0"/>
    <x v="4"/>
    <n v="1794.3030000000001"/>
  </r>
  <r>
    <x v="0"/>
    <x v="3"/>
    <n v="199.2928"/>
  </r>
  <r>
    <x v="1"/>
    <x v="0"/>
    <n v="1022.6838"/>
  </r>
  <r>
    <x v="1"/>
    <x v="1"/>
    <n v="810.08579999999995"/>
  </r>
  <r>
    <x v="0"/>
    <x v="4"/>
    <n v="2807.8008"/>
  </r>
  <r>
    <x v="0"/>
    <x v="0"/>
    <n v="616.029"/>
  </r>
  <r>
    <x v="0"/>
    <x v="3"/>
    <n v="1442.76"/>
  </r>
  <r>
    <x v="0"/>
    <x v="4"/>
    <n v="69.273600000000002"/>
  </r>
  <r>
    <x v="0"/>
    <x v="1"/>
    <n v="2263.0068000000001"/>
  </r>
  <r>
    <x v="0"/>
    <x v="1"/>
    <n v="1149.558"/>
  </r>
  <r>
    <x v="1"/>
    <x v="0"/>
    <n v="803.22879999999998"/>
  </r>
  <r>
    <x v="1"/>
    <x v="1"/>
    <n v="611.20500000000004"/>
  </r>
  <r>
    <x v="0"/>
    <x v="0"/>
    <n v="676.73919999999998"/>
  </r>
  <r>
    <x v="1"/>
    <x v="1"/>
    <n v="514.69319999999993"/>
  </r>
  <r>
    <x v="1"/>
    <x v="3"/>
    <n v="92.848399999999998"/>
  </r>
  <r>
    <x v="1"/>
    <x v="3"/>
    <n v="756.76580000000001"/>
  </r>
  <r>
    <x v="1"/>
    <x v="1"/>
    <n v="2545.44"/>
  </r>
  <r>
    <x v="0"/>
    <x v="4"/>
    <n v="887.56200000000013"/>
  </r>
  <r>
    <x v="1"/>
    <x v="4"/>
    <n v="769.04399999999998"/>
  </r>
  <r>
    <x v="1"/>
    <x v="1"/>
    <n v="780.69119999999998"/>
  </r>
  <r>
    <x v="0"/>
    <x v="4"/>
    <n v="398.95310000000012"/>
  </r>
  <r>
    <x v="0"/>
    <x v="1"/>
    <n v="124.8768"/>
  </r>
  <r>
    <x v="1"/>
    <x v="2"/>
    <n v="2167.9223999999999"/>
  </r>
  <r>
    <x v="1"/>
    <x v="2"/>
    <n v="526.24439999999993"/>
  </r>
  <r>
    <x v="1"/>
    <x v="2"/>
    <n v="435.27359999999999"/>
  </r>
  <r>
    <x v="0"/>
    <x v="1"/>
    <n v="616.50819999999999"/>
  </r>
  <r>
    <x v="0"/>
    <x v="1"/>
    <n v="514.9"/>
  </r>
  <r>
    <x v="1"/>
    <x v="1"/>
    <n v="1156.3725999999999"/>
  </r>
  <r>
    <x v="1"/>
    <x v="4"/>
    <n v="258.822"/>
  </r>
  <r>
    <x v="0"/>
    <x v="2"/>
    <n v="1120.0599"/>
  </r>
  <r>
    <x v="0"/>
    <x v="0"/>
    <n v="131.047"/>
  </r>
  <r>
    <x v="0"/>
    <x v="2"/>
    <n v="2168.9369999999999"/>
  </r>
  <r>
    <x v="0"/>
    <x v="2"/>
    <n v="815.07200000000012"/>
  </r>
  <r>
    <x v="1"/>
    <x v="0"/>
    <n v="1665.692"/>
  </r>
  <r>
    <x v="0"/>
    <x v="4"/>
    <n v="1570.4166"/>
  </r>
  <r>
    <x v="0"/>
    <x v="1"/>
    <n v="405.32"/>
  </r>
  <r>
    <x v="0"/>
    <x v="1"/>
    <n v="2269.4976000000001"/>
  </r>
  <r>
    <x v="0"/>
    <x v="0"/>
    <n v="3225.9468000000002"/>
  </r>
  <r>
    <x v="0"/>
    <x v="2"/>
    <n v="2107.5246000000002"/>
  </r>
  <r>
    <x v="1"/>
    <x v="0"/>
    <n v="774.18000000000006"/>
  </r>
  <r>
    <x v="1"/>
    <x v="0"/>
    <n v="1080.2103999999999"/>
  </r>
  <r>
    <x v="0"/>
    <x v="2"/>
    <n v="689.38279999999997"/>
  </r>
  <r>
    <x v="0"/>
    <x v="0"/>
    <n v="36.027200000000001"/>
  </r>
  <r>
    <x v="1"/>
    <x v="0"/>
    <n v="600.29549999999995"/>
  </r>
  <r>
    <x v="0"/>
    <x v="3"/>
    <n v="1631.3309999999999"/>
  </r>
  <r>
    <x v="1"/>
    <x v="4"/>
    <n v="649.74"/>
  </r>
  <r>
    <x v="0"/>
    <x v="1"/>
    <n v="231.55500000000001"/>
  </r>
  <r>
    <x v="0"/>
    <x v="3"/>
    <n v="1404.075"/>
  </r>
  <r>
    <x v="0"/>
    <x v="0"/>
    <n v="193.2576"/>
  </r>
  <r>
    <x v="1"/>
    <x v="2"/>
    <n v="1351.3584000000001"/>
  </r>
  <r>
    <x v="0"/>
    <x v="0"/>
    <n v="570.11760000000004"/>
  </r>
  <r>
    <x v="1"/>
    <x v="3"/>
    <n v="52.003"/>
  </r>
  <r>
    <x v="1"/>
    <x v="3"/>
    <n v="1404.0527999999999"/>
  </r>
  <r>
    <x v="0"/>
    <x v="0"/>
    <n v="81.647999999999996"/>
  </r>
  <r>
    <x v="1"/>
    <x v="4"/>
    <n v="385.2996"/>
  </r>
  <r>
    <x v="0"/>
    <x v="1"/>
    <n v="159.87549999999999"/>
  </r>
  <r>
    <x v="0"/>
    <x v="0"/>
    <n v="352.59300000000002"/>
  </r>
  <r>
    <x v="1"/>
    <x v="2"/>
    <n v="403.58850000000001"/>
  </r>
  <r>
    <x v="1"/>
    <x v="1"/>
    <n v="449.51400000000001"/>
  </r>
  <r>
    <x v="1"/>
    <x v="3"/>
    <n v="1187.1780000000001"/>
  </r>
  <r>
    <x v="1"/>
    <x v="3"/>
    <n v="1175.4168"/>
  </r>
  <r>
    <x v="0"/>
    <x v="1"/>
    <n v="3440.0272"/>
  </r>
  <r>
    <x v="1"/>
    <x v="2"/>
    <n v="645.30080000000009"/>
  </r>
  <r>
    <x v="1"/>
    <x v="3"/>
    <n v="190.7064"/>
  </r>
  <r>
    <x v="0"/>
    <x v="2"/>
    <n v="906.23660000000007"/>
  </r>
  <r>
    <x v="0"/>
    <x v="2"/>
    <n v="1482.0798"/>
  </r>
  <r>
    <x v="1"/>
    <x v="0"/>
    <n v="2102.424"/>
  </r>
  <r>
    <x v="0"/>
    <x v="3"/>
    <n v="1219.2570000000001"/>
  </r>
  <r>
    <x v="0"/>
    <x v="0"/>
    <n v="1655.7170000000001"/>
  </r>
  <r>
    <x v="1"/>
    <x v="4"/>
    <n v="422.01299999999998"/>
  </r>
  <r>
    <x v="1"/>
    <x v="1"/>
    <n v="429.32159999999999"/>
  </r>
  <r>
    <x v="1"/>
    <x v="2"/>
    <n v="1639.2095999999999"/>
  </r>
  <r>
    <x v="0"/>
    <x v="1"/>
    <n v="85.169700000000006"/>
  </r>
  <r>
    <x v="1"/>
    <x v="0"/>
    <n v="2397.4079999999999"/>
  </r>
  <r>
    <x v="1"/>
    <x v="4"/>
    <n v="296.31689999999998"/>
  </r>
  <r>
    <x v="1"/>
    <x v="1"/>
    <n v="285.96719999999999"/>
  </r>
  <r>
    <x v="1"/>
    <x v="1"/>
    <n v="304.76749999999998"/>
  </r>
  <r>
    <x v="1"/>
    <x v="1"/>
    <n v="767.48159999999996"/>
  </r>
  <r>
    <x v="0"/>
    <x v="2"/>
    <n v="1147.4495999999999"/>
  </r>
  <r>
    <x v="1"/>
    <x v="4"/>
    <n v="1776.3743999999999"/>
  </r>
  <r>
    <x v="0"/>
    <x v="4"/>
    <n v="545.80500000000006"/>
  </r>
  <r>
    <x v="0"/>
    <x v="1"/>
    <n v="945.12599999999998"/>
  </r>
  <r>
    <x v="0"/>
    <x v="2"/>
    <n v="2232.5688"/>
  </r>
  <r>
    <x v="1"/>
    <x v="3"/>
    <n v="2971.0295999999998"/>
  </r>
  <r>
    <x v="0"/>
    <x v="3"/>
    <n v="942.01600000000008"/>
  </r>
  <r>
    <x v="1"/>
    <x v="4"/>
    <n v="1628.0208"/>
  </r>
  <r>
    <x v="1"/>
    <x v="2"/>
    <n v="889.30799999999999"/>
  </r>
  <r>
    <x v="1"/>
    <x v="2"/>
    <n v="661.7595"/>
  </r>
  <r>
    <x v="0"/>
    <x v="0"/>
    <n v="1845.9659999999999"/>
  </r>
  <r>
    <x v="1"/>
    <x v="2"/>
    <n v="1828.1120000000001"/>
  </r>
  <r>
    <x v="0"/>
    <x v="1"/>
    <n v="593.79"/>
  </r>
  <r>
    <x v="1"/>
    <x v="3"/>
    <n v="1900.1135999999999"/>
  </r>
  <r>
    <x v="0"/>
    <x v="1"/>
    <n v="2950.14"/>
  </r>
  <r>
    <x v="0"/>
    <x v="3"/>
    <n v="821.35159999999996"/>
  </r>
  <r>
    <x v="0"/>
    <x v="2"/>
    <n v="1756.5324000000001"/>
  </r>
  <r>
    <x v="1"/>
    <x v="3"/>
    <n v="1568.943"/>
  </r>
  <r>
    <x v="0"/>
    <x v="3"/>
    <n v="548.06200000000001"/>
  </r>
  <r>
    <x v="1"/>
    <x v="4"/>
    <n v="954.06080000000009"/>
  </r>
  <r>
    <x v="0"/>
    <x v="3"/>
    <n v="1194.9028000000001"/>
  </r>
  <r>
    <x v="0"/>
    <x v="0"/>
    <n v="3220.3444"/>
  </r>
  <r>
    <x v="1"/>
    <x v="0"/>
    <n v="40.976100000000002"/>
  </r>
  <r>
    <x v="0"/>
    <x v="0"/>
    <n v="189.61760000000001"/>
  </r>
  <r>
    <x v="0"/>
    <x v="4"/>
    <n v="264.91500000000002"/>
  </r>
  <r>
    <x v="1"/>
    <x v="1"/>
    <n v="1369.1215999999999"/>
  </r>
  <r>
    <x v="1"/>
    <x v="4"/>
    <n v="331.17"/>
  </r>
  <r>
    <x v="0"/>
    <x v="0"/>
    <n v="1275.799"/>
  </r>
  <r>
    <x v="1"/>
    <x v="3"/>
    <n v="1926.15"/>
  </r>
  <r>
    <x v="0"/>
    <x v="3"/>
    <n v="1370.5232000000001"/>
  </r>
  <r>
    <x v="0"/>
    <x v="0"/>
    <n v="679.18619999999999"/>
  </r>
  <r>
    <x v="0"/>
    <x v="4"/>
    <n v="1053.7551000000001"/>
  </r>
  <r>
    <x v="0"/>
    <x v="3"/>
    <n v="333.85090000000002"/>
  </r>
  <r>
    <x v="0"/>
    <x v="1"/>
    <n v="819.71759999999995"/>
  </r>
  <r>
    <x v="0"/>
    <x v="3"/>
    <n v="1187.8979999999999"/>
  </r>
  <r>
    <x v="1"/>
    <x v="0"/>
    <n v="2093.6736000000001"/>
  </r>
  <r>
    <x v="1"/>
    <x v="2"/>
    <n v="202.9836"/>
  </r>
  <r>
    <x v="0"/>
    <x v="2"/>
    <n v="32.659199999999998"/>
  </r>
  <r>
    <x v="0"/>
    <x v="2"/>
    <n v="1031.7507000000001"/>
  </r>
  <r>
    <x v="0"/>
    <x v="3"/>
    <n v="1746.712"/>
  </r>
  <r>
    <x v="0"/>
    <x v="2"/>
    <n v="1754.94"/>
  </r>
  <r>
    <x v="0"/>
    <x v="3"/>
    <n v="530.21159999999998"/>
  </r>
  <r>
    <x v="0"/>
    <x v="4"/>
    <n v="2035.854"/>
  </r>
  <r>
    <x v="1"/>
    <x v="1"/>
    <n v="361.45920000000001"/>
  </r>
  <r>
    <x v="1"/>
    <x v="4"/>
    <n v="953.45100000000014"/>
  </r>
  <r>
    <x v="0"/>
    <x v="3"/>
    <n v="685.3069999999999"/>
  </r>
  <r>
    <x v="0"/>
    <x v="1"/>
    <n v="584.04599999999994"/>
  </r>
  <r>
    <x v="1"/>
    <x v="2"/>
    <n v="530.14499999999998"/>
  </r>
  <r>
    <x v="1"/>
    <x v="3"/>
    <n v="3721.52"/>
  </r>
  <r>
    <x v="1"/>
    <x v="3"/>
    <n v="665.51679999999999"/>
  </r>
  <r>
    <x v="0"/>
    <x v="2"/>
    <n v="229.35640000000001"/>
  </r>
  <r>
    <x v="0"/>
    <x v="2"/>
    <n v="800.58119999999997"/>
  </r>
  <r>
    <x v="0"/>
    <x v="1"/>
    <n v="122.968"/>
  </r>
  <r>
    <x v="0"/>
    <x v="0"/>
    <n v="1363.4544000000001"/>
  </r>
  <r>
    <x v="1"/>
    <x v="4"/>
    <n v="912.00359999999989"/>
  </r>
  <r>
    <x v="0"/>
    <x v="1"/>
    <n v="112.4496"/>
  </r>
  <r>
    <x v="1"/>
    <x v="4"/>
    <n v="1287.6084000000001"/>
  </r>
  <r>
    <x v="1"/>
    <x v="0"/>
    <n v="3602.7264"/>
  </r>
  <r>
    <x v="0"/>
    <x v="2"/>
    <n v="1538.4005999999999"/>
  </r>
  <r>
    <x v="0"/>
    <x v="2"/>
    <n v="82.54679999999999"/>
  </r>
  <r>
    <x v="1"/>
    <x v="1"/>
    <n v="1417.8240000000001"/>
  </r>
  <r>
    <x v="1"/>
    <x v="3"/>
    <n v="213.709"/>
  </r>
  <r>
    <x v="0"/>
    <x v="1"/>
    <n v="800.33699999999999"/>
  </r>
  <r>
    <x v="0"/>
    <x v="4"/>
    <n v="333.04919999999998"/>
  </r>
  <r>
    <x v="1"/>
    <x v="0"/>
    <n v="514.29959999999994"/>
  </r>
  <r>
    <x v="1"/>
    <x v="2"/>
    <n v="2299.5983999999999"/>
  </r>
  <r>
    <x v="1"/>
    <x v="3"/>
    <n v="2013.7872"/>
  </r>
  <r>
    <x v="0"/>
    <x v="1"/>
    <n v="1228.4894999999999"/>
  </r>
  <r>
    <x v="1"/>
    <x v="0"/>
    <n v="77.022000000000006"/>
  </r>
  <r>
    <x v="1"/>
    <x v="3"/>
    <n v="2560"/>
  </r>
  <r>
    <x v="1"/>
    <x v="2"/>
    <n v="262.51499999999999"/>
  </r>
  <r>
    <x v="0"/>
    <x v="2"/>
    <n v="158.50749999999999"/>
  </r>
  <r>
    <x v="0"/>
    <x v="2"/>
    <n v="2205.0239999999999"/>
  </r>
  <r>
    <x v="1"/>
    <x v="3"/>
    <n v="1538.942"/>
  </r>
  <r>
    <x v="1"/>
    <x v="2"/>
    <n v="909.83199999999999"/>
  </r>
  <r>
    <x v="1"/>
    <x v="2"/>
    <n v="194.17859999999999"/>
  </r>
  <r>
    <x v="1"/>
    <x v="0"/>
    <n v="2566.404"/>
  </r>
  <r>
    <x v="1"/>
    <x v="0"/>
    <n v="786.19040000000007"/>
  </r>
  <r>
    <x v="0"/>
    <x v="4"/>
    <n v="1125.896"/>
  </r>
  <r>
    <x v="1"/>
    <x v="4"/>
    <n v="1715.0595000000001"/>
  </r>
  <r>
    <x v="1"/>
    <x v="4"/>
    <n v="887.30400000000009"/>
  </r>
  <r>
    <x v="0"/>
    <x v="3"/>
    <n v="800.72879999999998"/>
  </r>
  <r>
    <x v="1"/>
    <x v="1"/>
    <n v="2859.2928000000002"/>
  </r>
  <r>
    <x v="1"/>
    <x v="2"/>
    <n v="570.78420000000006"/>
  </r>
  <r>
    <x v="1"/>
    <x v="0"/>
    <n v="2481.5216"/>
  </r>
  <r>
    <x v="1"/>
    <x v="2"/>
    <n v="2358.1583999999998"/>
  </r>
  <r>
    <x v="0"/>
    <x v="1"/>
    <n v="445.10399999999998"/>
  </r>
  <r>
    <x v="0"/>
    <x v="3"/>
    <n v="1371.5504000000001"/>
  </r>
  <r>
    <x v="0"/>
    <x v="1"/>
    <n v="673.875"/>
  </r>
  <r>
    <x v="0"/>
    <x v="2"/>
    <n v="223.87280000000001"/>
  </r>
  <r>
    <x v="1"/>
    <x v="2"/>
    <n v="574.10699999999997"/>
  </r>
  <r>
    <x v="1"/>
    <x v="3"/>
    <n v="529.88580000000002"/>
  </r>
  <r>
    <x v="1"/>
    <x v="2"/>
    <n v="929.16320000000007"/>
  </r>
  <r>
    <x v="0"/>
    <x v="0"/>
    <n v="1071.904"/>
  </r>
  <r>
    <x v="0"/>
    <x v="2"/>
    <n v="763.97759999999994"/>
  </r>
  <r>
    <x v="0"/>
    <x v="1"/>
    <n v="712.59749999999985"/>
  </r>
  <r>
    <x v="1"/>
    <x v="2"/>
    <n v="2013.5178000000001"/>
  </r>
  <r>
    <x v="0"/>
    <x v="3"/>
    <n v="1438.8352"/>
  </r>
  <r>
    <x v="0"/>
    <x v="4"/>
    <n v="213.55879999999999"/>
  </r>
  <r>
    <x v="1"/>
    <x v="4"/>
    <n v="1925.8533"/>
  </r>
  <r>
    <x v="1"/>
    <x v="0"/>
    <n v="1146.6271999999999"/>
  </r>
  <r>
    <x v="1"/>
    <x v="1"/>
    <n v="64.878399999999999"/>
  </r>
  <r>
    <x v="1"/>
    <x v="0"/>
    <n v="36.225000000000001"/>
  </r>
  <r>
    <x v="1"/>
    <x v="2"/>
    <n v="1537.404"/>
  </r>
  <r>
    <x v="1"/>
    <x v="2"/>
    <n v="1548.9465"/>
  </r>
  <r>
    <x v="1"/>
    <x v="4"/>
    <n v="1969.9559999999999"/>
  </r>
  <r>
    <x v="0"/>
    <x v="0"/>
    <n v="1659.9756"/>
  </r>
  <r>
    <x v="1"/>
    <x v="1"/>
    <n v="1280.115"/>
  </r>
  <r>
    <x v="0"/>
    <x v="0"/>
    <n v="150.7902"/>
  </r>
  <r>
    <x v="0"/>
    <x v="4"/>
    <n v="812.75739999999996"/>
  </r>
  <r>
    <x v="1"/>
    <x v="1"/>
    <n v="1005.3216"/>
  </r>
  <r>
    <x v="1"/>
    <x v="0"/>
    <n v="590.84100000000001"/>
  </r>
  <r>
    <x v="0"/>
    <x v="0"/>
    <n v="1040.2403999999999"/>
  </r>
  <r>
    <x v="1"/>
    <x v="1"/>
    <n v="2182.4463999999998"/>
  </r>
  <r>
    <x v="0"/>
    <x v="2"/>
    <n v="105.47280000000001"/>
  </r>
  <r>
    <x v="0"/>
    <x v="0"/>
    <n v="343.6694"/>
  </r>
  <r>
    <x v="0"/>
    <x v="0"/>
    <n v="103.9311"/>
  </r>
  <r>
    <x v="0"/>
    <x v="1"/>
    <n v="900.59199999999998"/>
  </r>
  <r>
    <x v="0"/>
    <x v="4"/>
    <n v="1505.2575999999999"/>
  </r>
  <r>
    <x v="1"/>
    <x v="0"/>
    <n v="926.40100000000007"/>
  </r>
  <r>
    <x v="0"/>
    <x v="1"/>
    <n v="242.03899999999999"/>
  </r>
  <r>
    <x v="0"/>
    <x v="0"/>
    <n v="1627.4391000000001"/>
  </r>
  <r>
    <x v="0"/>
    <x v="1"/>
    <n v="138.4229"/>
  </r>
  <r>
    <x v="1"/>
    <x v="1"/>
    <n v="1774.3440000000001"/>
  </r>
  <r>
    <x v="0"/>
    <x v="2"/>
    <n v="1477.5"/>
  </r>
  <r>
    <x v="0"/>
    <x v="0"/>
    <n v="615.74040000000002"/>
  </r>
  <r>
    <x v="1"/>
    <x v="2"/>
    <n v="2774.6131999999998"/>
  </r>
  <r>
    <x v="1"/>
    <x v="1"/>
    <n v="450.52399999999989"/>
  </r>
  <r>
    <x v="1"/>
    <x v="1"/>
    <n v="2549.4839999999999"/>
  </r>
  <r>
    <x v="0"/>
    <x v="0"/>
    <n v="1359.5925"/>
  </r>
  <r>
    <x v="0"/>
    <x v="1"/>
    <n v="1373.7651000000001"/>
  </r>
  <r>
    <x v="1"/>
    <x v="2"/>
    <n v="502.62119999999999"/>
  </r>
  <r>
    <x v="1"/>
    <x v="3"/>
    <n v="1861.9880000000001"/>
  </r>
  <r>
    <x v="1"/>
    <x v="1"/>
    <n v="1904.5440000000001"/>
  </r>
  <r>
    <x v="1"/>
    <x v="3"/>
    <n v="273.52260000000001"/>
  </r>
  <r>
    <x v="1"/>
    <x v="0"/>
    <n v="95.408200000000008"/>
  </r>
  <r>
    <x v="0"/>
    <x v="3"/>
    <n v="700.5544000000001"/>
  </r>
  <r>
    <x v="1"/>
    <x v="2"/>
    <n v="257.24009999999998"/>
  </r>
  <r>
    <x v="1"/>
    <x v="1"/>
    <n v="2460.3708000000001"/>
  </r>
  <r>
    <x v="1"/>
    <x v="1"/>
    <n v="142.52520000000001"/>
  </r>
  <r>
    <x v="1"/>
    <x v="3"/>
    <n v="287.38799999999998"/>
  </r>
  <r>
    <x v="1"/>
    <x v="1"/>
    <n v="2760.5439999999999"/>
  </r>
  <r>
    <x v="0"/>
    <x v="0"/>
    <n v="54.489600000000003"/>
  </r>
  <r>
    <x v="0"/>
    <x v="0"/>
    <n v="1448.752"/>
  </r>
  <r>
    <x v="0"/>
    <x v="2"/>
    <n v="469.00080000000003"/>
  </r>
  <r>
    <x v="1"/>
    <x v="4"/>
    <n v="1741.35"/>
  </r>
  <r>
    <x v="1"/>
    <x v="1"/>
    <n v="1482.1808000000001"/>
  </r>
  <r>
    <x v="0"/>
    <x v="1"/>
    <n v="634.17840000000001"/>
  </r>
  <r>
    <x v="1"/>
    <x v="3"/>
    <n v="3034.2824000000001"/>
  </r>
  <r>
    <x v="1"/>
    <x v="0"/>
    <n v="1867.9205999999999"/>
  </r>
  <r>
    <x v="1"/>
    <x v="1"/>
    <n v="2839.6248000000001"/>
  </r>
  <r>
    <x v="1"/>
    <x v="0"/>
    <n v="1602.7067999999999"/>
  </r>
  <r>
    <x v="1"/>
    <x v="0"/>
    <n v="2281.14"/>
  </r>
  <r>
    <x v="0"/>
    <x v="0"/>
    <n v="1451.6960999999999"/>
  </r>
  <r>
    <x v="1"/>
    <x v="2"/>
    <n v="1792.1180999999999"/>
  </r>
  <r>
    <x v="0"/>
    <x v="1"/>
    <n v="954.76499999999999"/>
  </r>
  <r>
    <x v="0"/>
    <x v="0"/>
    <n v="1142.4972"/>
  </r>
  <r>
    <x v="0"/>
    <x v="0"/>
    <n v="396.23039999999992"/>
  </r>
  <r>
    <x v="0"/>
    <x v="1"/>
    <n v="3019.2287999999999"/>
  </r>
  <r>
    <x v="0"/>
    <x v="4"/>
    <n v="342.92250000000001"/>
  </r>
  <r>
    <x v="1"/>
    <x v="3"/>
    <n v="2100.7728000000002"/>
  </r>
  <r>
    <x v="0"/>
    <x v="4"/>
    <n v="523.77599999999995"/>
  </r>
  <r>
    <x v="0"/>
    <x v="2"/>
    <n v="372.0299"/>
  </r>
  <r>
    <x v="0"/>
    <x v="0"/>
    <n v="1311.4192"/>
  </r>
  <r>
    <x v="0"/>
    <x v="2"/>
    <n v="2487.3809999999989"/>
  </r>
  <r>
    <x v="0"/>
    <x v="3"/>
    <n v="373.66559999999998"/>
  </r>
  <r>
    <x v="1"/>
    <x v="1"/>
    <n v="192.88499999999999"/>
  </r>
  <r>
    <x v="1"/>
    <x v="3"/>
    <n v="1171.2978000000001"/>
  </r>
  <r>
    <x v="0"/>
    <x v="3"/>
    <n v="255.88800000000001"/>
  </r>
  <r>
    <x v="0"/>
    <x v="0"/>
    <n v="377.10980000000001"/>
  </r>
  <r>
    <x v="1"/>
    <x v="3"/>
    <n v="2585.8643999999999"/>
  </r>
  <r>
    <x v="1"/>
    <x v="0"/>
    <n v="2367.15"/>
  </r>
  <r>
    <x v="0"/>
    <x v="2"/>
    <n v="570.52"/>
  </r>
  <r>
    <x v="1"/>
    <x v="3"/>
    <n v="969.66480000000013"/>
  </r>
  <r>
    <x v="1"/>
    <x v="3"/>
    <n v="848.82439999999997"/>
  </r>
  <r>
    <x v="1"/>
    <x v="3"/>
    <n v="487.18799999999999"/>
  </r>
  <r>
    <x v="1"/>
    <x v="4"/>
    <n v="896.04000000000019"/>
  </r>
  <r>
    <x v="0"/>
    <x v="2"/>
    <n v="46.216799999999999"/>
  </r>
  <r>
    <x v="0"/>
    <x v="3"/>
    <n v="586.71719999999993"/>
  </r>
  <r>
    <x v="1"/>
    <x v="4"/>
    <n v="2033.9405999999999"/>
  </r>
  <r>
    <x v="0"/>
    <x v="3"/>
    <n v="2576.2302"/>
  </r>
  <r>
    <x v="0"/>
    <x v="1"/>
    <n v="736.66800000000001"/>
  </r>
  <r>
    <x v="1"/>
    <x v="4"/>
    <n v="1022.2128"/>
  </r>
  <r>
    <x v="0"/>
    <x v="1"/>
    <n v="547.74720000000002"/>
  </r>
  <r>
    <x v="1"/>
    <x v="3"/>
    <n v="813.04719999999998"/>
  </r>
  <r>
    <x v="0"/>
    <x v="1"/>
    <n v="48.101500000000001"/>
  </r>
  <r>
    <x v="0"/>
    <x v="1"/>
    <n v="2906.5680000000002"/>
  </r>
  <r>
    <x v="0"/>
    <x v="2"/>
    <n v="898.8216000000001"/>
  </r>
  <r>
    <x v="0"/>
    <x v="1"/>
    <n v="311.43279999999999"/>
  </r>
  <r>
    <x v="0"/>
    <x v="0"/>
    <n v="1005.3944"/>
  </r>
  <r>
    <x v="0"/>
    <x v="4"/>
    <n v="1512.2267999999999"/>
  </r>
  <r>
    <x v="1"/>
    <x v="3"/>
    <n v="1176.4536000000001"/>
  </r>
  <r>
    <x v="0"/>
    <x v="0"/>
    <n v="291.5822"/>
  </r>
  <r>
    <x v="0"/>
    <x v="2"/>
    <n v="513.81359999999995"/>
  </r>
  <r>
    <x v="0"/>
    <x v="1"/>
    <n v="359.50400000000002"/>
  </r>
  <r>
    <x v="1"/>
    <x v="0"/>
    <n v="1392.2716"/>
  </r>
  <r>
    <x v="1"/>
    <x v="1"/>
    <n v="577.82339999999999"/>
  </r>
  <r>
    <x v="0"/>
    <x v="1"/>
    <n v="103.8609"/>
  </r>
  <r>
    <x v="1"/>
    <x v="1"/>
    <n v="457.73700000000002"/>
  </r>
  <r>
    <x v="1"/>
    <x v="2"/>
    <n v="758.38120000000004"/>
  </r>
  <r>
    <x v="0"/>
    <x v="2"/>
    <n v="127.2171"/>
  </r>
  <r>
    <x v="0"/>
    <x v="2"/>
    <n v="2110.1255999999998"/>
  </r>
  <r>
    <x v="1"/>
    <x v="0"/>
    <n v="449.03949999999998"/>
  </r>
  <r>
    <x v="1"/>
    <x v="1"/>
    <n v="384.11040000000003"/>
  </r>
  <r>
    <x v="0"/>
    <x v="1"/>
    <n v="372.28500000000003"/>
  </r>
  <r>
    <x v="0"/>
    <x v="2"/>
    <n v="241.03399999999999"/>
  </r>
  <r>
    <x v="1"/>
    <x v="0"/>
    <n v="1832.3789999999999"/>
  </r>
  <r>
    <x v="1"/>
    <x v="0"/>
    <n v="1813.0716"/>
  </r>
  <r>
    <x v="0"/>
    <x v="3"/>
    <n v="538.5634"/>
  </r>
  <r>
    <x v="0"/>
    <x v="3"/>
    <n v="2163.7055999999998"/>
  </r>
  <r>
    <x v="1"/>
    <x v="0"/>
    <n v="794.45699999999999"/>
  </r>
  <r>
    <x v="0"/>
    <x v="4"/>
    <n v="888.0444"/>
  </r>
  <r>
    <x v="1"/>
    <x v="0"/>
    <n v="1169.6238000000001"/>
  </r>
  <r>
    <x v="1"/>
    <x v="0"/>
    <n v="269.87189999999998"/>
  </r>
  <r>
    <x v="1"/>
    <x v="0"/>
    <n v="925.18960000000004"/>
  </r>
  <r>
    <x v="1"/>
    <x v="0"/>
    <n v="1685.1573000000001"/>
  </r>
  <r>
    <x v="1"/>
    <x v="4"/>
    <n v="660.11400000000003"/>
  </r>
  <r>
    <x v="1"/>
    <x v="1"/>
    <n v="726.80000000000007"/>
  </r>
  <r>
    <x v="0"/>
    <x v="4"/>
    <n v="1272.5920000000001"/>
  </r>
  <r>
    <x v="1"/>
    <x v="3"/>
    <n v="542.57100000000003"/>
  </r>
  <r>
    <x v="0"/>
    <x v="3"/>
    <n v="411.71490000000011"/>
  </r>
  <r>
    <x v="0"/>
    <x v="2"/>
    <n v="229.023"/>
  </r>
  <r>
    <x v="1"/>
    <x v="4"/>
    <n v="2234.7188000000001"/>
  </r>
  <r>
    <x v="1"/>
    <x v="0"/>
    <n v="1138.83"/>
  </r>
  <r>
    <x v="0"/>
    <x v="2"/>
    <n v="1677.4903999999999"/>
  </r>
  <r>
    <x v="0"/>
    <x v="2"/>
    <n v="599.58359999999993"/>
  </r>
  <r>
    <x v="0"/>
    <x v="4"/>
    <n v="101.3886"/>
  </r>
  <r>
    <x v="1"/>
    <x v="1"/>
    <n v="3316.16"/>
  </r>
  <r>
    <x v="1"/>
    <x v="2"/>
    <n v="125.8888"/>
  </r>
  <r>
    <x v="1"/>
    <x v="4"/>
    <n v="1023.33"/>
  </r>
  <r>
    <x v="1"/>
    <x v="0"/>
    <n v="1984.7356"/>
  </r>
  <r>
    <x v="1"/>
    <x v="1"/>
    <n v="713.4"/>
  </r>
  <r>
    <x v="0"/>
    <x v="2"/>
    <n v="1249.5006000000001"/>
  </r>
  <r>
    <x v="0"/>
    <x v="1"/>
    <n v="340.06259999999997"/>
  </r>
  <r>
    <x v="0"/>
    <x v="4"/>
    <n v="1171.2288000000001"/>
  </r>
  <r>
    <x v="1"/>
    <x v="4"/>
    <n v="728.12040000000002"/>
  </r>
  <r>
    <x v="1"/>
    <x v="1"/>
    <n v="2107.4004"/>
  </r>
  <r>
    <x v="0"/>
    <x v="3"/>
    <n v="1818.4914000000001"/>
  </r>
  <r>
    <x v="1"/>
    <x v="2"/>
    <n v="1283.2403999999999"/>
  </r>
  <r>
    <x v="1"/>
    <x v="3"/>
    <n v="323.56099999999998"/>
  </r>
  <r>
    <x v="0"/>
    <x v="1"/>
    <n v="339.42459999999988"/>
  </r>
  <r>
    <x v="0"/>
    <x v="0"/>
    <n v="172.76669999999999"/>
  </r>
  <r>
    <x v="0"/>
    <x v="1"/>
    <n v="1974.2418"/>
  </r>
  <r>
    <x v="1"/>
    <x v="2"/>
    <n v="971.39200000000005"/>
  </r>
  <r>
    <x v="1"/>
    <x v="3"/>
    <n v="519.15329999999994"/>
  </r>
  <r>
    <x v="1"/>
    <x v="3"/>
    <n v="953.55000000000007"/>
  </r>
  <r>
    <x v="0"/>
    <x v="2"/>
    <n v="165.84469999999999"/>
  </r>
  <r>
    <x v="0"/>
    <x v="3"/>
    <n v="297.28919999999999"/>
  </r>
  <r>
    <x v="1"/>
    <x v="1"/>
    <n v="1523.124"/>
  </r>
  <r>
    <x v="1"/>
    <x v="3"/>
    <n v="730.19159999999999"/>
  </r>
  <r>
    <x v="0"/>
    <x v="0"/>
    <n v="1657.5455999999999"/>
  </r>
  <r>
    <x v="1"/>
    <x v="1"/>
    <n v="3228.8760000000002"/>
  </r>
  <r>
    <x v="0"/>
    <x v="0"/>
    <n v="1426.6980000000001"/>
  </r>
  <r>
    <x v="0"/>
    <x v="3"/>
    <n v="1450.89"/>
  </r>
  <r>
    <x v="1"/>
    <x v="1"/>
    <n v="360.85559999999998"/>
  </r>
  <r>
    <x v="0"/>
    <x v="0"/>
    <n v="1972.92"/>
  </r>
  <r>
    <x v="0"/>
    <x v="0"/>
    <n v="86.285399999999996"/>
  </r>
  <r>
    <x v="0"/>
    <x v="0"/>
    <n v="2748.2224000000001"/>
  </r>
  <r>
    <x v="1"/>
    <x v="3"/>
    <n v="272.62180000000001"/>
  </r>
  <r>
    <x v="0"/>
    <x v="2"/>
    <n v="426.12240000000003"/>
  </r>
  <r>
    <x v="0"/>
    <x v="3"/>
    <n v="799.13340000000005"/>
  </r>
  <r>
    <x v="0"/>
    <x v="1"/>
    <n v="2026.1829"/>
  </r>
  <r>
    <x v="1"/>
    <x v="3"/>
    <n v="1395.6948"/>
  </r>
  <r>
    <x v="0"/>
    <x v="4"/>
    <n v="1583.0316"/>
  </r>
  <r>
    <x v="0"/>
    <x v="2"/>
    <n v="2801.768"/>
  </r>
  <r>
    <x v="1"/>
    <x v="1"/>
    <n v="1857.2175999999999"/>
  </r>
  <r>
    <x v="0"/>
    <x v="1"/>
    <n v="3745.8047999999999"/>
  </r>
  <r>
    <x v="1"/>
    <x v="1"/>
    <n v="1776.5286000000001"/>
  </r>
  <r>
    <x v="0"/>
    <x v="1"/>
    <n v="1905.1724999999999"/>
  </r>
  <r>
    <x v="1"/>
    <x v="3"/>
    <n v="1462.0029999999999"/>
  </r>
  <r>
    <x v="0"/>
    <x v="1"/>
    <n v="113.33580000000001"/>
  </r>
  <r>
    <x v="0"/>
    <x v="2"/>
    <n v="90.479799999999997"/>
  </r>
  <r>
    <x v="0"/>
    <x v="1"/>
    <n v="325.54419999999999"/>
  </r>
  <r>
    <x v="1"/>
    <x v="4"/>
    <n v="535.35019999999997"/>
  </r>
  <r>
    <x v="0"/>
    <x v="3"/>
    <n v="678.60799999999995"/>
  </r>
  <r>
    <x v="0"/>
    <x v="2"/>
    <n v="1352.076"/>
  </r>
  <r>
    <x v="0"/>
    <x v="2"/>
    <n v="347.82000000000011"/>
  </r>
  <r>
    <x v="1"/>
    <x v="2"/>
    <n v="81.619199999999992"/>
  </r>
  <r>
    <x v="1"/>
    <x v="4"/>
    <n v="1536.7439999999999"/>
  </r>
  <r>
    <x v="0"/>
    <x v="0"/>
    <n v="1846.08"/>
  </r>
  <r>
    <x v="0"/>
    <x v="2"/>
    <n v="541.66739999999993"/>
  </r>
  <r>
    <x v="1"/>
    <x v="2"/>
    <n v="2467.4495999999999"/>
  </r>
  <r>
    <x v="0"/>
    <x v="4"/>
    <n v="419.46480000000003"/>
  </r>
  <r>
    <x v="0"/>
    <x v="1"/>
    <n v="891.87199999999996"/>
  </r>
  <r>
    <x v="0"/>
    <x v="3"/>
    <n v="1740.6279999999999"/>
  </r>
  <r>
    <x v="1"/>
    <x v="3"/>
    <n v="714.41759999999999"/>
  </r>
  <r>
    <x v="0"/>
    <x v="2"/>
    <n v="3293.5448000000001"/>
  </r>
  <r>
    <x v="1"/>
    <x v="4"/>
    <n v="529.74900000000002"/>
  </r>
  <r>
    <x v="1"/>
    <x v="3"/>
    <n v="2728.2024000000001"/>
  </r>
  <r>
    <x v="1"/>
    <x v="0"/>
    <n v="333.81279999999998"/>
  </r>
  <r>
    <x v="1"/>
    <x v="0"/>
    <n v="312.08049999999997"/>
  </r>
  <r>
    <x v="0"/>
    <x v="3"/>
    <n v="1032.0813000000001"/>
  </r>
  <r>
    <x v="1"/>
    <x v="2"/>
    <n v="683.00099999999998"/>
  </r>
  <r>
    <x v="0"/>
    <x v="0"/>
    <n v="2974.6439999999998"/>
  </r>
  <r>
    <x v="0"/>
    <x v="2"/>
    <n v="818.42499999999995"/>
  </r>
  <r>
    <x v="0"/>
    <x v="0"/>
    <n v="435.34199999999998"/>
  </r>
  <r>
    <x v="0"/>
    <x v="3"/>
    <n v="871.39699999999993"/>
  </r>
  <r>
    <x v="0"/>
    <x v="2"/>
    <n v="344.53680000000003"/>
  </r>
  <r>
    <x v="1"/>
    <x v="0"/>
    <n v="502.51319999999998"/>
  </r>
  <r>
    <x v="1"/>
    <x v="0"/>
    <n v="515.9325"/>
  </r>
  <r>
    <x v="1"/>
    <x v="2"/>
    <n v="2101.0626000000002"/>
  </r>
  <r>
    <x v="1"/>
    <x v="1"/>
    <n v="359.19650000000001"/>
  </r>
  <r>
    <x v="0"/>
    <x v="0"/>
    <n v="857.1"/>
  </r>
  <r>
    <x v="1"/>
    <x v="3"/>
    <n v="1112.9536000000001"/>
  </r>
  <r>
    <x v="0"/>
    <x v="1"/>
    <n v="413.5335"/>
  </r>
  <r>
    <x v="0"/>
    <x v="1"/>
    <n v="2010.6432"/>
  </r>
  <r>
    <x v="1"/>
    <x v="1"/>
    <n v="444.61439999999988"/>
  </r>
  <r>
    <x v="0"/>
    <x v="2"/>
    <n v="1533.8240000000001"/>
  </r>
  <r>
    <x v="0"/>
    <x v="0"/>
    <n v="1081.0134"/>
  </r>
  <r>
    <x v="1"/>
    <x v="3"/>
    <n v="618.69359999999995"/>
  </r>
  <r>
    <x v="1"/>
    <x v="0"/>
    <n v="377.28"/>
  </r>
  <r>
    <x v="0"/>
    <x v="0"/>
    <n v="1630.3391999999999"/>
  </r>
  <r>
    <x v="0"/>
    <x v="3"/>
    <n v="229.3109"/>
  </r>
  <r>
    <x v="1"/>
    <x v="0"/>
    <n v="189.21600000000001"/>
  </r>
  <r>
    <x v="1"/>
    <x v="2"/>
    <n v="692.38839999999993"/>
  </r>
  <r>
    <x v="0"/>
    <x v="3"/>
    <n v="1884.54"/>
  </r>
  <r>
    <x v="1"/>
    <x v="0"/>
    <n v="906.50339999999994"/>
  </r>
  <r>
    <x v="0"/>
    <x v="1"/>
    <n v="716.1336"/>
  </r>
  <r>
    <x v="1"/>
    <x v="1"/>
    <n v="137.697"/>
  </r>
  <r>
    <x v="0"/>
    <x v="4"/>
    <n v="1345.6368"/>
  </r>
  <r>
    <x v="1"/>
    <x v="3"/>
    <n v="148.49160000000001"/>
  </r>
  <r>
    <x v="1"/>
    <x v="4"/>
    <n v="2936.0144"/>
  </r>
  <r>
    <x v="1"/>
    <x v="0"/>
    <n v="328.02"/>
  </r>
  <r>
    <x v="0"/>
    <x v="0"/>
    <n v="944.47099999999989"/>
  </r>
  <r>
    <x v="1"/>
    <x v="0"/>
    <n v="126.5916"/>
  </r>
  <r>
    <x v="1"/>
    <x v="0"/>
    <n v="1579.7805000000001"/>
  </r>
  <r>
    <x v="1"/>
    <x v="2"/>
    <n v="682.55600000000004"/>
  </r>
  <r>
    <x v="0"/>
    <x v="0"/>
    <n v="1877.6687999999999"/>
  </r>
  <r>
    <x v="0"/>
    <x v="2"/>
    <n v="1289.6099999999999"/>
  </r>
  <r>
    <x v="0"/>
    <x v="0"/>
    <n v="1631.2854"/>
  </r>
  <r>
    <x v="0"/>
    <x v="3"/>
    <n v="392.02720000000011"/>
  </r>
  <r>
    <x v="0"/>
    <x v="2"/>
    <n v="576.97299999999996"/>
  </r>
  <r>
    <x v="0"/>
    <x v="1"/>
    <n v="953.48760000000004"/>
  </r>
  <r>
    <x v="1"/>
    <x v="1"/>
    <n v="1136.7583999999999"/>
  </r>
  <r>
    <x v="0"/>
    <x v="4"/>
    <n v="468.78320000000002"/>
  </r>
  <r>
    <x v="0"/>
    <x v="1"/>
    <n v="385.67880000000002"/>
  </r>
  <r>
    <x v="0"/>
    <x v="4"/>
    <n v="1084.7936"/>
  </r>
  <r>
    <x v="0"/>
    <x v="3"/>
    <n v="1616.8104000000001"/>
  </r>
  <r>
    <x v="1"/>
    <x v="0"/>
    <n v="753.50399999999991"/>
  </r>
  <r>
    <x v="1"/>
    <x v="1"/>
    <n v="184.22909999999999"/>
  </r>
  <r>
    <x v="0"/>
    <x v="4"/>
    <n v="2801.19"/>
  </r>
  <r>
    <x v="1"/>
    <x v="4"/>
    <n v="1587.4998000000001"/>
  </r>
  <r>
    <x v="1"/>
    <x v="2"/>
    <n v="2465.9856"/>
  </r>
  <r>
    <x v="0"/>
    <x v="2"/>
    <n v="189.244"/>
  </r>
  <r>
    <x v="1"/>
    <x v="1"/>
    <n v="1898.2482"/>
  </r>
  <r>
    <x v="0"/>
    <x v="3"/>
    <n v="860.31959999999992"/>
  </r>
  <r>
    <x v="1"/>
    <x v="2"/>
    <n v="1220.0219999999999"/>
  </r>
  <r>
    <x v="0"/>
    <x v="0"/>
    <n v="1261.6379999999999"/>
  </r>
  <r>
    <x v="0"/>
    <x v="1"/>
    <n v="3332.0888"/>
  </r>
  <r>
    <x v="0"/>
    <x v="1"/>
    <n v="502.10700000000003"/>
  </r>
  <r>
    <x v="0"/>
    <x v="1"/>
    <n v="269.01659999999998"/>
  </r>
  <r>
    <x v="1"/>
    <x v="1"/>
    <n v="1823.1948"/>
  </r>
  <r>
    <x v="1"/>
    <x v="4"/>
    <n v="905.85"/>
  </r>
  <r>
    <x v="1"/>
    <x v="3"/>
    <n v="2019.6945000000001"/>
  </r>
  <r>
    <x v="1"/>
    <x v="4"/>
    <n v="980.35440000000006"/>
  </r>
  <r>
    <x v="0"/>
    <x v="0"/>
    <n v="136.09960000000001"/>
  </r>
  <r>
    <x v="1"/>
    <x v="1"/>
    <n v="641.91689999999994"/>
  </r>
  <r>
    <x v="1"/>
    <x v="2"/>
    <n v="248.17830000000001"/>
  </r>
  <r>
    <x v="1"/>
    <x v="1"/>
    <n v="230.12520000000001"/>
  </r>
  <r>
    <x v="0"/>
    <x v="1"/>
    <n v="169.72800000000001"/>
  </r>
  <r>
    <x v="0"/>
    <x v="3"/>
    <n v="37.328000000000003"/>
  </r>
  <r>
    <x v="0"/>
    <x v="0"/>
    <n v="2474.2080000000001"/>
  </r>
  <r>
    <x v="1"/>
    <x v="4"/>
    <n v="1065.4896000000001"/>
  </r>
  <r>
    <x v="0"/>
    <x v="4"/>
    <n v="706.77879999999993"/>
  </r>
  <r>
    <x v="0"/>
    <x v="3"/>
    <n v="3393.88"/>
  </r>
  <r>
    <x v="1"/>
    <x v="4"/>
    <n v="878.50620000000004"/>
  </r>
  <r>
    <x v="1"/>
    <x v="4"/>
    <n v="958.95360000000005"/>
  </r>
  <r>
    <x v="0"/>
    <x v="4"/>
    <n v="287.39620000000002"/>
  </r>
  <r>
    <x v="1"/>
    <x v="2"/>
    <n v="487.8535"/>
  </r>
  <r>
    <x v="1"/>
    <x v="1"/>
    <n v="129.72479999999999"/>
  </r>
  <r>
    <x v="0"/>
    <x v="3"/>
    <n v="1407.6017999999999"/>
  </r>
  <r>
    <x v="1"/>
    <x v="0"/>
    <n v="349.22250000000003"/>
  </r>
  <r>
    <x v="1"/>
    <x v="1"/>
    <n v="1243.1224"/>
  </r>
  <r>
    <x v="0"/>
    <x v="3"/>
    <n v="661.47080000000005"/>
  </r>
  <r>
    <x v="0"/>
    <x v="3"/>
    <n v="1081.04"/>
  </r>
  <r>
    <x v="0"/>
    <x v="0"/>
    <n v="1023.264"/>
  </r>
  <r>
    <x v="1"/>
    <x v="4"/>
    <n v="77.293200000000013"/>
  </r>
  <r>
    <x v="0"/>
    <x v="2"/>
    <n v="1302.3671999999999"/>
  </r>
  <r>
    <x v="1"/>
    <x v="0"/>
    <n v="2677.0619999999999"/>
  </r>
  <r>
    <x v="1"/>
    <x v="3"/>
    <n v="2434.0672"/>
  </r>
  <r>
    <x v="1"/>
    <x v="3"/>
    <n v="2733.2267999999999"/>
  </r>
  <r>
    <x v="0"/>
    <x v="1"/>
    <n v="361.16199999999998"/>
  </r>
  <r>
    <x v="0"/>
    <x v="4"/>
    <n v="1758.2940000000001"/>
  </r>
  <r>
    <x v="1"/>
    <x v="2"/>
    <n v="605.50099999999998"/>
  </r>
  <r>
    <x v="0"/>
    <x v="1"/>
    <n v="362.32350000000002"/>
  </r>
  <r>
    <x v="1"/>
    <x v="4"/>
    <n v="1455.1325999999999"/>
  </r>
  <r>
    <x v="0"/>
    <x v="0"/>
    <n v="2320.2784000000001"/>
  </r>
  <r>
    <x v="0"/>
    <x v="4"/>
    <n v="324.02999999999997"/>
  </r>
  <r>
    <x v="1"/>
    <x v="0"/>
    <n v="1202.4012"/>
  </r>
  <r>
    <x v="1"/>
    <x v="4"/>
    <n v="863.60260000000005"/>
  </r>
  <r>
    <x v="0"/>
    <x v="4"/>
    <n v="167.76"/>
  </r>
  <r>
    <x v="0"/>
    <x v="3"/>
    <n v="579.24950000000001"/>
  </r>
  <r>
    <x v="1"/>
    <x v="1"/>
    <n v="1578.9780000000001"/>
  </r>
  <r>
    <x v="1"/>
    <x v="3"/>
    <n v="758.03660000000002"/>
  </r>
  <r>
    <x v="0"/>
    <x v="2"/>
    <n v="140.72"/>
  </r>
  <r>
    <x v="0"/>
    <x v="0"/>
    <n v="1176.9449999999999"/>
  </r>
  <r>
    <x v="1"/>
    <x v="2"/>
    <n v="229.614"/>
  </r>
  <r>
    <x v="0"/>
    <x v="0"/>
    <n v="2103.1763999999998"/>
  </r>
  <r>
    <x v="1"/>
    <x v="4"/>
    <n v="1801.4190000000001"/>
  </r>
  <r>
    <x v="1"/>
    <x v="3"/>
    <n v="221.61"/>
  </r>
  <r>
    <x v="0"/>
    <x v="0"/>
    <n v="727.28659999999991"/>
  </r>
  <r>
    <x v="0"/>
    <x v="2"/>
    <n v="1758.4811999999999"/>
  </r>
  <r>
    <x v="0"/>
    <x v="3"/>
    <n v="84.527199999999993"/>
  </r>
  <r>
    <x v="0"/>
    <x v="0"/>
    <n v="2155.2719999999999"/>
  </r>
  <r>
    <x v="1"/>
    <x v="1"/>
    <n v="104.6199"/>
  </r>
  <r>
    <x v="0"/>
    <x v="3"/>
    <n v="384.4665"/>
  </r>
  <r>
    <x v="0"/>
    <x v="0"/>
    <n v="1398.712"/>
  </r>
  <r>
    <x v="0"/>
    <x v="0"/>
    <n v="1250.8044"/>
  </r>
  <r>
    <x v="0"/>
    <x v="3"/>
    <n v="104.227"/>
  </r>
  <r>
    <x v="1"/>
    <x v="0"/>
    <n v="1340.0001999999999"/>
  </r>
  <r>
    <x v="0"/>
    <x v="1"/>
    <n v="299.4939"/>
  </r>
  <r>
    <x v="0"/>
    <x v="1"/>
    <n v="226.22540000000001"/>
  </r>
  <r>
    <x v="1"/>
    <x v="3"/>
    <n v="902.25379999999996"/>
  </r>
  <r>
    <x v="0"/>
    <x v="3"/>
    <n v="390.95979999999997"/>
  </r>
  <r>
    <x v="0"/>
    <x v="1"/>
    <n v="2280.3669"/>
  </r>
  <r>
    <x v="1"/>
    <x v="1"/>
    <n v="2291.73"/>
  </r>
  <r>
    <x v="0"/>
    <x v="0"/>
    <n v="1155.2436"/>
  </r>
  <r>
    <x v="0"/>
    <x v="0"/>
    <n v="511.35"/>
  </r>
  <r>
    <x v="0"/>
    <x v="0"/>
    <n v="125.1588"/>
  </r>
  <r>
    <x v="1"/>
    <x v="4"/>
    <n v="1523.0640000000001"/>
  </r>
  <r>
    <x v="1"/>
    <x v="4"/>
    <n v="1423.7184"/>
  </r>
  <r>
    <x v="0"/>
    <x v="1"/>
    <n v="642.90499999999997"/>
  </r>
  <r>
    <x v="0"/>
    <x v="2"/>
    <n v="174.40440000000001"/>
  </r>
  <r>
    <x v="0"/>
    <x v="3"/>
    <n v="1939.2012"/>
  </r>
  <r>
    <x v="0"/>
    <x v="1"/>
    <n v="2249.4911999999999"/>
  </r>
  <r>
    <x v="0"/>
    <x v="2"/>
    <n v="456.14399999999989"/>
  </r>
  <r>
    <x v="0"/>
    <x v="0"/>
    <n v="57.389600000000002"/>
  </r>
  <r>
    <x v="1"/>
    <x v="1"/>
    <n v="781.61599999999999"/>
  </r>
  <r>
    <x v="0"/>
    <x v="2"/>
    <n v="1348.2149999999999"/>
  </r>
  <r>
    <x v="0"/>
    <x v="0"/>
    <n v="607.86720000000003"/>
  </r>
  <r>
    <x v="0"/>
    <x v="1"/>
    <n v="314.82319999999999"/>
  </r>
  <r>
    <x v="1"/>
    <x v="3"/>
    <n v="1688.3248000000001"/>
  </r>
  <r>
    <x v="1"/>
    <x v="1"/>
    <n v="398.23939999999999"/>
  </r>
  <r>
    <x v="0"/>
    <x v="3"/>
    <n v="587.1508"/>
  </r>
  <r>
    <x v="1"/>
    <x v="1"/>
    <n v="705.5856"/>
  </r>
  <r>
    <x v="1"/>
    <x v="4"/>
    <n v="768.46379999999999"/>
  </r>
  <r>
    <x v="0"/>
    <x v="1"/>
    <n v="173.5488"/>
  </r>
  <r>
    <x v="0"/>
    <x v="1"/>
    <n v="308.79000000000002"/>
  </r>
  <r>
    <x v="0"/>
    <x v="3"/>
    <n v="435.0138"/>
  </r>
  <r>
    <x v="0"/>
    <x v="1"/>
    <n v="646.99899999999991"/>
  </r>
  <r>
    <x v="1"/>
    <x v="4"/>
    <n v="1207.7603999999999"/>
  </r>
  <r>
    <x v="0"/>
    <x v="1"/>
    <n v="1469.8719000000001"/>
  </r>
  <r>
    <x v="1"/>
    <x v="4"/>
    <n v="654.36219999999992"/>
  </r>
  <r>
    <x v="0"/>
    <x v="1"/>
    <n v="583.16999999999996"/>
  </r>
  <r>
    <x v="0"/>
    <x v="3"/>
    <n v="305.73"/>
  </r>
  <r>
    <x v="0"/>
    <x v="3"/>
    <n v="1352.4272000000001"/>
  </r>
  <r>
    <x v="1"/>
    <x v="2"/>
    <n v="1501.3362"/>
  </r>
  <r>
    <x v="0"/>
    <x v="2"/>
    <n v="2645.6747999999998"/>
  </r>
  <r>
    <x v="1"/>
    <x v="1"/>
    <n v="1142.2529999999999"/>
  </r>
  <r>
    <x v="0"/>
    <x v="3"/>
    <n v="86.620999999999995"/>
  </r>
  <r>
    <x v="1"/>
    <x v="3"/>
    <n v="3110.9863999999998"/>
  </r>
  <r>
    <x v="0"/>
    <x v="3"/>
    <n v="637.05600000000004"/>
  </r>
  <r>
    <x v="1"/>
    <x v="3"/>
    <n v="853.54520000000002"/>
  </r>
  <r>
    <x v="1"/>
    <x v="0"/>
    <n v="844.01370000000009"/>
  </r>
  <r>
    <x v="1"/>
    <x v="1"/>
    <n v="582.88409999999999"/>
  </r>
  <r>
    <x v="1"/>
    <x v="3"/>
    <n v="561.33439999999996"/>
  </r>
  <r>
    <x v="0"/>
    <x v="2"/>
    <n v="313.99"/>
  </r>
  <r>
    <x v="0"/>
    <x v="1"/>
    <n v="2280.0664000000002"/>
  </r>
  <r>
    <x v="1"/>
    <x v="0"/>
    <n v="196.67339999999999"/>
  </r>
  <r>
    <x v="1"/>
    <x v="4"/>
    <n v="719.27200000000005"/>
  </r>
  <r>
    <x v="1"/>
    <x v="3"/>
    <n v="649.89"/>
  </r>
  <r>
    <x v="0"/>
    <x v="1"/>
    <n v="454.01639999999998"/>
  </r>
  <r>
    <x v="0"/>
    <x v="0"/>
    <n v="1367.1368"/>
  </r>
  <r>
    <x v="0"/>
    <x v="4"/>
    <n v="581.58359999999993"/>
  </r>
  <r>
    <x v="1"/>
    <x v="2"/>
    <n v="1253.0011999999999"/>
  </r>
  <r>
    <x v="0"/>
    <x v="1"/>
    <n v="1017.7704"/>
  </r>
  <r>
    <x v="0"/>
    <x v="3"/>
    <n v="1666.95"/>
  </r>
  <r>
    <x v="0"/>
    <x v="0"/>
    <n v="188.78960000000001"/>
  </r>
  <r>
    <x v="0"/>
    <x v="1"/>
    <n v="2797.8164999999999"/>
  </r>
  <r>
    <x v="1"/>
    <x v="3"/>
    <n v="1544.9434000000001"/>
  </r>
  <r>
    <x v="1"/>
    <x v="4"/>
    <n v="1746.96"/>
  </r>
  <r>
    <x v="0"/>
    <x v="2"/>
    <n v="1321.5336"/>
  </r>
  <r>
    <x v="0"/>
    <x v="0"/>
    <n v="60.392200000000003"/>
  </r>
  <r>
    <x v="1"/>
    <x v="1"/>
    <n v="990.6336"/>
  </r>
  <r>
    <x v="1"/>
    <x v="0"/>
    <n v="813.46889999999996"/>
  </r>
  <r>
    <x v="0"/>
    <x v="3"/>
    <n v="825.02639999999997"/>
  </r>
  <r>
    <x v="1"/>
    <x v="3"/>
    <n v="103.56480000000001"/>
  </r>
  <r>
    <x v="1"/>
    <x v="0"/>
    <n v="2976.6039999999998"/>
  </r>
  <r>
    <x v="0"/>
    <x v="3"/>
    <n v="638.88440000000003"/>
  </r>
  <r>
    <x v="1"/>
    <x v="0"/>
    <n v="1383.5663999999999"/>
  </r>
  <r>
    <x v="0"/>
    <x v="0"/>
    <n v="3094.2208000000001"/>
  </r>
  <r>
    <x v="1"/>
    <x v="3"/>
    <n v="614.51080000000002"/>
  </r>
  <r>
    <x v="1"/>
    <x v="1"/>
    <n v="617.66549999999995"/>
  </r>
  <r>
    <x v="1"/>
    <x v="1"/>
    <n v="705.93360000000007"/>
  </r>
  <r>
    <x v="0"/>
    <x v="2"/>
    <n v="540.42079999999999"/>
  </r>
  <r>
    <x v="1"/>
    <x v="0"/>
    <n v="1654.7328"/>
  </r>
  <r>
    <x v="1"/>
    <x v="0"/>
    <n v="19.871600000000001"/>
  </r>
  <r>
    <x v="0"/>
    <x v="1"/>
    <n v="288.14519999999999"/>
  </r>
  <r>
    <x v="1"/>
    <x v="0"/>
    <n v="238.9716"/>
  </r>
  <r>
    <x v="0"/>
    <x v="4"/>
    <n v="217.26060000000001"/>
  </r>
  <r>
    <x v="0"/>
    <x v="4"/>
    <n v="837.42119999999989"/>
  </r>
  <r>
    <x v="0"/>
    <x v="2"/>
    <n v="2439.2984000000001"/>
  </r>
  <r>
    <x v="1"/>
    <x v="4"/>
    <n v="111.1434"/>
  </r>
  <r>
    <x v="0"/>
    <x v="1"/>
    <n v="2083.8663999999999"/>
  </r>
  <r>
    <x v="0"/>
    <x v="0"/>
    <n v="1802.1120000000001"/>
  </r>
  <r>
    <x v="1"/>
    <x v="1"/>
    <n v="1701.7506000000001"/>
  </r>
  <r>
    <x v="1"/>
    <x v="3"/>
    <n v="1554.5838000000001"/>
  </r>
  <r>
    <x v="0"/>
    <x v="3"/>
    <n v="53.817999999999998"/>
  </r>
  <r>
    <x v="1"/>
    <x v="0"/>
    <n v="2671.74"/>
  </r>
  <r>
    <x v="0"/>
    <x v="3"/>
    <n v="497.16419999999999"/>
  </r>
  <r>
    <x v="1"/>
    <x v="2"/>
    <n v="605.76"/>
  </r>
  <r>
    <x v="0"/>
    <x v="3"/>
    <n v="3502.9688000000001"/>
  </r>
  <r>
    <x v="0"/>
    <x v="3"/>
    <n v="271.17919999999998"/>
  </r>
  <r>
    <x v="0"/>
    <x v="1"/>
    <n v="263.04629999999997"/>
  </r>
  <r>
    <x v="0"/>
    <x v="3"/>
    <n v="52.150799999999997"/>
  </r>
  <r>
    <x v="0"/>
    <x v="1"/>
    <n v="843.02359999999999"/>
  </r>
  <r>
    <x v="0"/>
    <x v="4"/>
    <n v="223.51599999999999"/>
  </r>
  <r>
    <x v="0"/>
    <x v="1"/>
    <n v="1124.3964000000001"/>
  </r>
  <r>
    <x v="0"/>
    <x v="3"/>
    <n v="1618.6016"/>
  </r>
  <r>
    <x v="0"/>
    <x v="1"/>
    <n v="1759.434"/>
  </r>
  <r>
    <x v="0"/>
    <x v="4"/>
    <n v="2190.1320000000001"/>
  </r>
  <r>
    <x v="1"/>
    <x v="4"/>
    <n v="1892.7167999999999"/>
  </r>
  <r>
    <x v="1"/>
    <x v="3"/>
    <n v="178.51400000000001"/>
  </r>
  <r>
    <x v="0"/>
    <x v="0"/>
    <n v="152.0343"/>
  </r>
  <r>
    <x v="1"/>
    <x v="1"/>
    <n v="2282.2626"/>
  </r>
  <r>
    <x v="1"/>
    <x v="0"/>
    <n v="1990.0350000000001"/>
  </r>
  <r>
    <x v="0"/>
    <x v="1"/>
    <n v="1366.8979999999999"/>
  </r>
  <r>
    <x v="1"/>
    <x v="0"/>
    <n v="1885.5162"/>
  </r>
  <r>
    <x v="1"/>
    <x v="3"/>
    <n v="571.33180000000004"/>
  </r>
  <r>
    <x v="0"/>
    <x v="0"/>
    <n v="240.44820000000001"/>
  </r>
  <r>
    <x v="0"/>
    <x v="3"/>
    <n v="502.53"/>
  </r>
  <r>
    <x v="1"/>
    <x v="4"/>
    <n v="905.16559999999993"/>
  </r>
  <r>
    <x v="1"/>
    <x v="1"/>
    <n v="364.08"/>
  </r>
  <r>
    <x v="0"/>
    <x v="4"/>
    <n v="2925.7312000000002"/>
  </r>
  <r>
    <x v="0"/>
    <x v="2"/>
    <n v="111.1636"/>
  </r>
  <r>
    <x v="0"/>
    <x v="1"/>
    <n v="97.000199999999992"/>
  </r>
  <r>
    <x v="1"/>
    <x v="0"/>
    <n v="1492.9516000000001"/>
  </r>
  <r>
    <x v="1"/>
    <x v="3"/>
    <n v="1136.0935999999999"/>
  </r>
  <r>
    <x v="0"/>
    <x v="3"/>
    <n v="727.81799999999998"/>
  </r>
  <r>
    <x v="0"/>
    <x v="1"/>
    <n v="413.07299999999998"/>
  </r>
  <r>
    <x v="0"/>
    <x v="1"/>
    <n v="922.9692"/>
  </r>
  <r>
    <x v="0"/>
    <x v="4"/>
    <n v="336.45780000000002"/>
  </r>
  <r>
    <x v="0"/>
    <x v="2"/>
    <n v="2798.4132"/>
  </r>
  <r>
    <x v="1"/>
    <x v="3"/>
    <n v="1303.3905"/>
  </r>
  <r>
    <x v="1"/>
    <x v="4"/>
    <n v="1113.8820000000001"/>
  </r>
  <r>
    <x v="0"/>
    <x v="2"/>
    <n v="2700.3312000000001"/>
  </r>
  <r>
    <x v="1"/>
    <x v="2"/>
    <n v="130.93199999999999"/>
  </r>
  <r>
    <x v="0"/>
    <x v="0"/>
    <n v="2483.2800000000002"/>
  </r>
  <r>
    <x v="0"/>
    <x v="4"/>
    <n v="514.3424"/>
  </r>
  <r>
    <x v="1"/>
    <x v="0"/>
    <n v="973.02799999999991"/>
  </r>
  <r>
    <x v="0"/>
    <x v="2"/>
    <n v="1347.7384"/>
  </r>
  <r>
    <x v="0"/>
    <x v="2"/>
    <n v="1624.4892"/>
  </r>
  <r>
    <x v="0"/>
    <x v="2"/>
    <n v="428.89699999999999"/>
  </r>
  <r>
    <x v="1"/>
    <x v="4"/>
    <n v="303.81139999999999"/>
  </r>
  <r>
    <x v="0"/>
    <x v="1"/>
    <n v="3237.0576000000001"/>
  </r>
  <r>
    <x v="0"/>
    <x v="4"/>
    <n v="2243.3928000000001"/>
  </r>
  <r>
    <x v="1"/>
    <x v="2"/>
    <n v="72.799600000000012"/>
  </r>
  <r>
    <x v="1"/>
    <x v="3"/>
    <n v="1744.8368"/>
  </r>
  <r>
    <x v="0"/>
    <x v="4"/>
    <n v="883.71660000000008"/>
  </r>
  <r>
    <x v="1"/>
    <x v="4"/>
    <n v="1629.7616"/>
  </r>
  <r>
    <x v="1"/>
    <x v="4"/>
    <n v="1616.2152000000001"/>
  </r>
  <r>
    <x v="1"/>
    <x v="0"/>
    <n v="24.13"/>
  </r>
  <r>
    <x v="0"/>
    <x v="0"/>
    <n v="510.22019999999998"/>
  </r>
  <r>
    <x v="1"/>
    <x v="4"/>
    <n v="529.67700000000002"/>
  </r>
  <r>
    <x v="1"/>
    <x v="2"/>
    <n v="102.172"/>
  </r>
  <r>
    <x v="0"/>
    <x v="3"/>
    <n v="2409.8216000000002"/>
  </r>
  <r>
    <x v="1"/>
    <x v="2"/>
    <n v="1810.8324"/>
  </r>
  <r>
    <x v="0"/>
    <x v="0"/>
    <n v="50.048000000000002"/>
  </r>
  <r>
    <x v="1"/>
    <x v="0"/>
    <n v="1276.6415999999999"/>
  </r>
  <r>
    <x v="0"/>
    <x v="2"/>
    <n v="1418.3784000000001"/>
  </r>
  <r>
    <x v="0"/>
    <x v="0"/>
    <n v="2031.7927999999999"/>
  </r>
  <r>
    <x v="1"/>
    <x v="2"/>
    <n v="2407.0583999999999"/>
  </r>
  <r>
    <x v="0"/>
    <x v="1"/>
    <n v="1058.1600000000001"/>
  </r>
  <r>
    <x v="0"/>
    <x v="1"/>
    <n v="380.84580000000011"/>
  </r>
  <r>
    <x v="0"/>
    <x v="2"/>
    <n v="865.03629999999998"/>
  </r>
  <r>
    <x v="1"/>
    <x v="2"/>
    <n v="649.60500000000002"/>
  </r>
  <r>
    <x v="0"/>
    <x v="2"/>
    <n v="1748.5209"/>
  </r>
  <r>
    <x v="1"/>
    <x v="4"/>
    <n v="609.45839999999998"/>
  </r>
  <r>
    <x v="0"/>
    <x v="3"/>
    <n v="2922.2952"/>
  </r>
  <r>
    <x v="1"/>
    <x v="1"/>
    <n v="545.68079999999998"/>
  </r>
  <r>
    <x v="1"/>
    <x v="3"/>
    <n v="99.269200000000012"/>
  </r>
  <r>
    <x v="0"/>
    <x v="3"/>
    <n v="1025.8499999999999"/>
  </r>
  <r>
    <x v="1"/>
    <x v="0"/>
    <n v="1140.4559999999999"/>
  </r>
  <r>
    <x v="0"/>
    <x v="0"/>
    <n v="508.88639999999998"/>
  </r>
  <r>
    <x v="0"/>
    <x v="4"/>
    <n v="1181.7431999999999"/>
  </r>
  <r>
    <x v="0"/>
    <x v="0"/>
    <n v="1566.5663999999999"/>
  </r>
  <r>
    <x v="1"/>
    <x v="1"/>
    <n v="568.61479999999995"/>
  </r>
  <r>
    <x v="1"/>
    <x v="0"/>
    <n v="1208.2028"/>
  </r>
  <r>
    <x v="0"/>
    <x v="2"/>
    <n v="493.64280000000002"/>
  </r>
  <r>
    <x v="1"/>
    <x v="4"/>
    <n v="2065.5936000000002"/>
  </r>
  <r>
    <x v="0"/>
    <x v="3"/>
    <n v="199.7961"/>
  </r>
  <r>
    <x v="1"/>
    <x v="3"/>
    <n v="880.66160000000002"/>
  </r>
  <r>
    <x v="0"/>
    <x v="0"/>
    <n v="93.8232"/>
  </r>
  <r>
    <x v="0"/>
    <x v="1"/>
    <n v="3539.8656000000001"/>
  </r>
  <r>
    <x v="0"/>
    <x v="3"/>
    <n v="1595.0952"/>
  </r>
  <r>
    <x v="0"/>
    <x v="2"/>
    <n v="1815.7539999999999"/>
  </r>
  <r>
    <x v="1"/>
    <x v="1"/>
    <n v="1308.5927999999999"/>
  </r>
  <r>
    <x v="0"/>
    <x v="1"/>
    <n v="782.16000000000008"/>
  </r>
  <r>
    <x v="1"/>
    <x v="3"/>
    <n v="1876.3152"/>
  </r>
  <r>
    <x v="0"/>
    <x v="1"/>
    <n v="982.22879999999998"/>
  </r>
  <r>
    <x v="0"/>
    <x v="1"/>
    <n v="517.89649999999995"/>
  </r>
  <r>
    <x v="0"/>
    <x v="0"/>
    <n v="198.7782"/>
  </r>
  <r>
    <x v="0"/>
    <x v="3"/>
    <n v="1814.9831999999999"/>
  </r>
  <r>
    <x v="0"/>
    <x v="2"/>
    <n v="1278.4896000000001"/>
  </r>
  <r>
    <x v="0"/>
    <x v="1"/>
    <n v="339.2466"/>
  </r>
  <r>
    <x v="1"/>
    <x v="0"/>
    <n v="1343.0316"/>
  </r>
  <r>
    <x v="1"/>
    <x v="4"/>
    <n v="361.49579999999997"/>
  </r>
  <r>
    <x v="0"/>
    <x v="3"/>
    <n v="318.30759999999998"/>
  </r>
  <r>
    <x v="0"/>
    <x v="0"/>
    <n v="751.27260000000001"/>
  </r>
  <r>
    <x v="1"/>
    <x v="0"/>
    <n v="615.08299999999997"/>
  </r>
  <r>
    <x v="0"/>
    <x v="3"/>
    <n v="153.11150000000001"/>
  </r>
  <r>
    <x v="0"/>
    <x v="0"/>
    <n v="1123.434"/>
  </r>
  <r>
    <x v="1"/>
    <x v="1"/>
    <n v="354.56400000000002"/>
  </r>
  <r>
    <x v="0"/>
    <x v="0"/>
    <n v="553.68640000000005"/>
  </r>
  <r>
    <x v="1"/>
    <x v="4"/>
    <n v="1078.8173999999999"/>
  </r>
  <r>
    <x v="0"/>
    <x v="4"/>
    <n v="790.76589999999999"/>
  </r>
  <r>
    <x v="1"/>
    <x v="3"/>
    <n v="2462.34"/>
  </r>
  <r>
    <x v="1"/>
    <x v="0"/>
    <n v="940.69"/>
  </r>
  <r>
    <x v="0"/>
    <x v="3"/>
    <n v="1347.4559999999999"/>
  </r>
  <r>
    <x v="0"/>
    <x v="0"/>
    <n v="763.15719999999999"/>
  </r>
  <r>
    <x v="0"/>
    <x v="0"/>
    <n v="285.83940000000001"/>
  </r>
  <r>
    <x v="0"/>
    <x v="1"/>
    <n v="2324.556"/>
  </r>
  <r>
    <x v="0"/>
    <x v="3"/>
    <n v="1232.952"/>
  </r>
  <r>
    <x v="0"/>
    <x v="4"/>
    <n v="341.00299999999999"/>
  </r>
  <r>
    <x v="1"/>
    <x v="4"/>
    <n v="1737.9911999999999"/>
  </r>
  <r>
    <x v="0"/>
    <x v="2"/>
    <n v="1765.1759999999999"/>
  </r>
  <r>
    <x v="0"/>
    <x v="2"/>
    <n v="127.794"/>
  </r>
  <r>
    <x v="0"/>
    <x v="2"/>
    <n v="491.46989999999988"/>
  </r>
  <r>
    <x v="0"/>
    <x v="2"/>
    <n v="133.339"/>
  </r>
  <r>
    <x v="0"/>
    <x v="3"/>
    <n v="487.74599999999998"/>
  </r>
  <r>
    <x v="0"/>
    <x v="4"/>
    <n v="2145.7485000000001"/>
  </r>
  <r>
    <x v="0"/>
    <x v="3"/>
    <n v="1575.0724"/>
  </r>
  <r>
    <x v="0"/>
    <x v="4"/>
    <n v="1635.2616"/>
  </r>
  <r>
    <x v="0"/>
    <x v="2"/>
    <n v="236.7372"/>
  </r>
  <r>
    <x v="0"/>
    <x v="2"/>
    <n v="488.71679999999998"/>
  </r>
  <r>
    <x v="0"/>
    <x v="4"/>
    <n v="2315.8519999999999"/>
  </r>
  <r>
    <x v="0"/>
    <x v="3"/>
    <n v="1267.9744000000001"/>
  </r>
  <r>
    <x v="1"/>
    <x v="1"/>
    <n v="981.9864"/>
  </r>
  <r>
    <x v="0"/>
    <x v="3"/>
    <n v="442.61489999999998"/>
  </r>
  <r>
    <x v="1"/>
    <x v="4"/>
    <n v="989.93680000000006"/>
  </r>
  <r>
    <x v="0"/>
    <x v="4"/>
    <n v="551.25900000000001"/>
  </r>
  <r>
    <x v="1"/>
    <x v="3"/>
    <n v="43.144199999999998"/>
  </r>
  <r>
    <x v="0"/>
    <x v="2"/>
    <n v="1210.8714"/>
  </r>
  <r>
    <x v="1"/>
    <x v="3"/>
    <n v="2943.5295999999998"/>
  </r>
  <r>
    <x v="0"/>
    <x v="1"/>
    <n v="1058.4480000000001"/>
  </r>
  <r>
    <x v="1"/>
    <x v="3"/>
    <n v="1695.3074999999999"/>
  </r>
  <r>
    <x v="1"/>
    <x v="2"/>
    <n v="2141.85"/>
  </r>
  <r>
    <x v="0"/>
    <x v="1"/>
    <n v="1287.3599999999999"/>
  </r>
  <r>
    <x v="1"/>
    <x v="2"/>
    <n v="328.75240000000002"/>
  </r>
  <r>
    <x v="1"/>
    <x v="0"/>
    <n v="1958.144"/>
  </r>
  <r>
    <x v="0"/>
    <x v="1"/>
    <n v="39.973999999999997"/>
  </r>
  <r>
    <x v="0"/>
    <x v="0"/>
    <n v="654.36559999999997"/>
  </r>
  <r>
    <x v="1"/>
    <x v="2"/>
    <n v="3032.6559999999999"/>
  </r>
  <r>
    <x v="1"/>
    <x v="1"/>
    <n v="166.82490000000001"/>
  </r>
  <r>
    <x v="1"/>
    <x v="1"/>
    <n v="465.83199999999999"/>
  </r>
  <r>
    <x v="0"/>
    <x v="2"/>
    <n v="188.04239999999999"/>
  </r>
  <r>
    <x v="0"/>
    <x v="2"/>
    <n v="614.07420000000002"/>
  </r>
  <r>
    <x v="0"/>
    <x v="1"/>
    <n v="1664.8109999999999"/>
  </r>
  <r>
    <x v="1"/>
    <x v="0"/>
    <n v="1657.0092"/>
  </r>
  <r>
    <x v="1"/>
    <x v="2"/>
    <n v="127.29600000000001"/>
  </r>
  <r>
    <x v="1"/>
    <x v="0"/>
    <n v="1720.7438"/>
  </r>
  <r>
    <x v="1"/>
    <x v="3"/>
    <n v="1503.1768"/>
  </r>
  <r>
    <x v="1"/>
    <x v="1"/>
    <n v="102.37520000000001"/>
  </r>
  <r>
    <x v="0"/>
    <x v="1"/>
    <n v="791.88479999999993"/>
  </r>
  <r>
    <x v="0"/>
    <x v="0"/>
    <n v="2319.4512"/>
  </r>
  <r>
    <x v="1"/>
    <x v="0"/>
    <n v="1296.261"/>
  </r>
  <r>
    <x v="1"/>
    <x v="0"/>
    <n v="910.2636"/>
  </r>
  <r>
    <x v="0"/>
    <x v="4"/>
    <n v="794.50919999999996"/>
  </r>
  <r>
    <x v="1"/>
    <x v="0"/>
    <n v="2458.46"/>
  </r>
  <r>
    <x v="1"/>
    <x v="4"/>
    <n v="749.03039999999999"/>
  </r>
  <r>
    <x v="1"/>
    <x v="3"/>
    <n v="2224.2815999999998"/>
  </r>
  <r>
    <x v="1"/>
    <x v="4"/>
    <n v="774.57599999999991"/>
  </r>
  <r>
    <x v="1"/>
    <x v="2"/>
    <n v="34.178400000000003"/>
  </r>
  <r>
    <x v="0"/>
    <x v="3"/>
    <n v="2396.0799000000002"/>
  </r>
  <r>
    <x v="1"/>
    <x v="0"/>
    <n v="1624.443"/>
  </r>
  <r>
    <x v="1"/>
    <x v="1"/>
    <n v="910.36439999999993"/>
  </r>
  <r>
    <x v="0"/>
    <x v="3"/>
    <n v="537.38969999999995"/>
  </r>
  <r>
    <x v="1"/>
    <x v="1"/>
    <n v="758.24"/>
  </r>
  <r>
    <x v="0"/>
    <x v="4"/>
    <n v="773.03039999999999"/>
  </r>
  <r>
    <x v="1"/>
    <x v="0"/>
    <n v="1558.9272000000001"/>
  </r>
  <r>
    <x v="0"/>
    <x v="3"/>
    <n v="948.69359999999983"/>
  </r>
  <r>
    <x v="0"/>
    <x v="2"/>
    <n v="96.459199999999996"/>
  </r>
  <r>
    <x v="1"/>
    <x v="0"/>
    <n v="2871.3679999999999"/>
  </r>
  <r>
    <x v="0"/>
    <x v="1"/>
    <n v="483.94639999999998"/>
  </r>
  <r>
    <x v="1"/>
    <x v="1"/>
    <n v="2916.42"/>
  </r>
  <r>
    <x v="0"/>
    <x v="1"/>
    <n v="1146.8154"/>
  </r>
  <r>
    <x v="1"/>
    <x v="2"/>
    <n v="2819.0064000000002"/>
  </r>
  <r>
    <x v="1"/>
    <x v="1"/>
    <n v="2650.2919999999999"/>
  </r>
  <r>
    <x v="0"/>
    <x v="1"/>
    <n v="2235.4787999999999"/>
  </r>
  <r>
    <x v="1"/>
    <x v="1"/>
    <n v="459.28840000000002"/>
  </r>
  <r>
    <x v="0"/>
    <x v="0"/>
    <n v="464.42550000000011"/>
  </r>
  <r>
    <x v="1"/>
    <x v="4"/>
    <n v="562.35899999999992"/>
  </r>
  <r>
    <x v="0"/>
    <x v="0"/>
    <n v="725.3442"/>
  </r>
  <r>
    <x v="0"/>
    <x v="0"/>
    <n v="1894.08"/>
  </r>
  <r>
    <x v="0"/>
    <x v="2"/>
    <n v="650.91600000000005"/>
  </r>
  <r>
    <x v="1"/>
    <x v="1"/>
    <n v="143.24039999999999"/>
  </r>
  <r>
    <x v="1"/>
    <x v="1"/>
    <n v="1093.2937999999999"/>
  </r>
  <r>
    <x v="1"/>
    <x v="3"/>
    <n v="1487.4636"/>
  </r>
  <r>
    <x v="0"/>
    <x v="0"/>
    <n v="64.125600000000006"/>
  </r>
  <r>
    <x v="1"/>
    <x v="2"/>
    <n v="383.00200000000001"/>
  </r>
  <r>
    <x v="0"/>
    <x v="1"/>
    <n v="3339.8263999999999"/>
  </r>
  <r>
    <x v="1"/>
    <x v="1"/>
    <n v="122.1327"/>
  </r>
  <r>
    <x v="0"/>
    <x v="1"/>
    <n v="571.63920000000007"/>
  </r>
  <r>
    <x v="1"/>
    <x v="2"/>
    <n v="625.46579999999994"/>
  </r>
  <r>
    <x v="0"/>
    <x v="1"/>
    <n v="838.12279999999998"/>
  </r>
  <r>
    <x v="0"/>
    <x v="2"/>
    <n v="1061.9100000000001"/>
  </r>
  <r>
    <x v="0"/>
    <x v="4"/>
    <n v="146.57919999999999"/>
  </r>
  <r>
    <x v="1"/>
    <x v="3"/>
    <n v="2350.4888000000001"/>
  </r>
  <r>
    <x v="0"/>
    <x v="1"/>
    <n v="128.95679999999999"/>
  </r>
  <r>
    <x v="1"/>
    <x v="2"/>
    <n v="2282.9663999999998"/>
  </r>
  <r>
    <x v="0"/>
    <x v="0"/>
    <n v="1956.0320999999999"/>
  </r>
  <r>
    <x v="0"/>
    <x v="3"/>
    <n v="93.653999999999996"/>
  </r>
  <r>
    <x v="0"/>
    <x v="0"/>
    <n v="319.07839999999999"/>
  </r>
  <r>
    <x v="0"/>
    <x v="0"/>
    <n v="1549.9155000000001"/>
  </r>
  <r>
    <x v="0"/>
    <x v="3"/>
    <n v="1307.3345999999999"/>
  </r>
  <r>
    <x v="0"/>
    <x v="1"/>
    <n v="2829.7228"/>
  </r>
  <r>
    <x v="0"/>
    <x v="3"/>
    <n v="232.42320000000001"/>
  </r>
  <r>
    <x v="0"/>
    <x v="1"/>
    <n v="2084.3328000000001"/>
  </r>
  <r>
    <x v="1"/>
    <x v="3"/>
    <n v="984.37"/>
  </r>
  <r>
    <x v="0"/>
    <x v="4"/>
    <n v="418.15839999999997"/>
  </r>
  <r>
    <x v="1"/>
    <x v="4"/>
    <n v="38.003799999999998"/>
  </r>
  <r>
    <x v="0"/>
    <x v="3"/>
    <n v="1046.5488"/>
  </r>
  <r>
    <x v="0"/>
    <x v="3"/>
    <n v="1356.885"/>
  </r>
  <r>
    <x v="1"/>
    <x v="0"/>
    <n v="502.75240000000002"/>
  </r>
  <r>
    <x v="1"/>
    <x v="4"/>
    <n v="793.38690000000008"/>
  </r>
  <r>
    <x v="1"/>
    <x v="0"/>
    <n v="2075.913"/>
  </r>
  <r>
    <x v="1"/>
    <x v="1"/>
    <n v="2513.8984"/>
  </r>
  <r>
    <x v="1"/>
    <x v="0"/>
    <n v="895.53420000000006"/>
  </r>
  <r>
    <x v="1"/>
    <x v="0"/>
    <n v="1443.2418"/>
  </r>
  <r>
    <x v="0"/>
    <x v="0"/>
    <n v="762.00299999999993"/>
  </r>
  <r>
    <x v="1"/>
    <x v="0"/>
    <n v="223.59200000000001"/>
  </r>
  <r>
    <x v="0"/>
    <x v="3"/>
    <n v="846.74879999999996"/>
  </r>
  <r>
    <x v="1"/>
    <x v="0"/>
    <n v="757.16760000000011"/>
  </r>
  <r>
    <x v="1"/>
    <x v="3"/>
    <n v="709.12709999999993"/>
  </r>
  <r>
    <x v="1"/>
    <x v="2"/>
    <n v="810.09719999999993"/>
  </r>
  <r>
    <x v="1"/>
    <x v="3"/>
    <n v="942.22800000000007"/>
  </r>
  <r>
    <x v="0"/>
    <x v="2"/>
    <n v="1099.76"/>
  </r>
  <r>
    <x v="1"/>
    <x v="3"/>
    <n v="47.621200000000002"/>
  </r>
  <r>
    <x v="0"/>
    <x v="1"/>
    <n v="1505.1168"/>
  </r>
  <r>
    <x v="0"/>
    <x v="1"/>
    <n v="855.98310000000004"/>
  </r>
  <r>
    <x v="0"/>
    <x v="3"/>
    <n v="1734.18"/>
  </r>
  <r>
    <x v="1"/>
    <x v="4"/>
    <n v="1662.5311999999999"/>
  </r>
  <r>
    <x v="0"/>
    <x v="3"/>
    <n v="1184.8900000000001"/>
  </r>
  <r>
    <x v="0"/>
    <x v="3"/>
    <n v="559.79949999999997"/>
  </r>
  <r>
    <x v="1"/>
    <x v="3"/>
    <n v="630.1866"/>
  </r>
  <r>
    <x v="1"/>
    <x v="3"/>
    <n v="355.2448"/>
  </r>
  <r>
    <x v="1"/>
    <x v="0"/>
    <n v="2373.462"/>
  </r>
  <r>
    <x v="1"/>
    <x v="0"/>
    <n v="579.58840000000009"/>
  </r>
  <r>
    <x v="1"/>
    <x v="2"/>
    <n v="626.37120000000004"/>
  </r>
  <r>
    <x v="1"/>
    <x v="1"/>
    <n v="715.30049999999994"/>
  </r>
  <r>
    <x v="1"/>
    <x v="2"/>
    <n v="134.95679999999999"/>
  </r>
  <r>
    <x v="0"/>
    <x v="3"/>
    <n v="994.48200000000008"/>
  </r>
  <r>
    <x v="0"/>
    <x v="0"/>
    <n v="1301.8758"/>
  </r>
  <r>
    <x v="1"/>
    <x v="0"/>
    <n v="574.88300000000004"/>
  </r>
  <r>
    <x v="0"/>
    <x v="1"/>
    <n v="2139.3312000000001"/>
  </r>
  <r>
    <x v="1"/>
    <x v="2"/>
    <n v="274.45229999999998"/>
  </r>
  <r>
    <x v="1"/>
    <x v="2"/>
    <n v="1706.43"/>
  </r>
  <r>
    <x v="1"/>
    <x v="0"/>
    <n v="599.471"/>
  </r>
  <r>
    <x v="1"/>
    <x v="4"/>
    <n v="1070.7619999999999"/>
  </r>
  <r>
    <x v="1"/>
    <x v="1"/>
    <n v="591.70319999999992"/>
  </r>
  <r>
    <x v="1"/>
    <x v="0"/>
    <n v="2504.067"/>
  </r>
  <r>
    <x v="0"/>
    <x v="3"/>
    <n v="270.51639999999998"/>
  </r>
  <r>
    <x v="1"/>
    <x v="3"/>
    <n v="1128.732"/>
  </r>
  <r>
    <x v="0"/>
    <x v="0"/>
    <n v="1119.4092000000001"/>
  </r>
  <r>
    <x v="1"/>
    <x v="2"/>
    <n v="259.37630000000001"/>
  </r>
  <r>
    <x v="0"/>
    <x v="2"/>
    <n v="729.39"/>
  </r>
  <r>
    <x v="1"/>
    <x v="2"/>
    <n v="591.30719999999997"/>
  </r>
  <r>
    <x v="1"/>
    <x v="2"/>
    <n v="340.2"/>
  </r>
  <r>
    <x v="0"/>
    <x v="4"/>
    <n v="2779.5931999999998"/>
  </r>
  <r>
    <x v="0"/>
    <x v="0"/>
    <n v="548.52240000000006"/>
  </r>
  <r>
    <x v="0"/>
    <x v="1"/>
    <n v="1034.7036000000001"/>
  </r>
  <r>
    <x v="0"/>
    <x v="0"/>
    <n v="1532.3904"/>
  </r>
  <r>
    <x v="1"/>
    <x v="3"/>
    <n v="1648.6679999999999"/>
  </r>
  <r>
    <x v="1"/>
    <x v="2"/>
    <n v="786.03139999999996"/>
  </r>
  <r>
    <x v="0"/>
    <x v="2"/>
    <n v="887.86320000000001"/>
  </r>
  <r>
    <x v="1"/>
    <x v="1"/>
    <n v="2935.8252000000002"/>
  </r>
  <r>
    <x v="1"/>
    <x v="4"/>
    <n v="1882.1952000000001"/>
  </r>
  <r>
    <x v="0"/>
    <x v="2"/>
    <n v="1120.4751000000001"/>
  </r>
  <r>
    <x v="1"/>
    <x v="1"/>
    <n v="493.05959999999999"/>
  </r>
  <r>
    <x v="1"/>
    <x v="0"/>
    <n v="637.37399999999991"/>
  </r>
  <r>
    <x v="0"/>
    <x v="0"/>
    <n v="163.5744"/>
  </r>
  <r>
    <x v="1"/>
    <x v="2"/>
    <n v="1051.7360000000001"/>
  </r>
  <r>
    <x v="1"/>
    <x v="2"/>
    <n v="3242.1668"/>
  </r>
  <r>
    <x v="0"/>
    <x v="3"/>
    <n v="322.98989999999998"/>
  </r>
  <r>
    <x v="1"/>
    <x v="1"/>
    <n v="51.138399999999997"/>
  </r>
  <r>
    <x v="0"/>
    <x v="1"/>
    <n v="817.79430000000002"/>
  </r>
  <r>
    <x v="0"/>
    <x v="1"/>
    <n v="1313.1166000000001"/>
  </r>
  <r>
    <x v="0"/>
    <x v="2"/>
    <n v="509.75909999999999"/>
  </r>
  <r>
    <x v="1"/>
    <x v="0"/>
    <n v="78.586799999999997"/>
  </r>
  <r>
    <x v="1"/>
    <x v="3"/>
    <n v="889.83"/>
  </r>
  <r>
    <x v="1"/>
    <x v="0"/>
    <n v="366.858"/>
  </r>
  <r>
    <x v="1"/>
    <x v="3"/>
    <n v="565.90890000000002"/>
  </r>
  <r>
    <x v="1"/>
    <x v="3"/>
    <n v="64.799499999999995"/>
  </r>
  <r>
    <x v="1"/>
    <x v="4"/>
    <n v="1264.335"/>
  </r>
  <r>
    <x v="1"/>
    <x v="2"/>
    <n v="346.48399999999998"/>
  </r>
  <r>
    <x v="1"/>
    <x v="2"/>
    <n v="1564.0116"/>
  </r>
  <r>
    <x v="0"/>
    <x v="3"/>
    <n v="592.50740000000008"/>
  </r>
  <r>
    <x v="1"/>
    <x v="3"/>
    <n v="1510.7190000000001"/>
  </r>
  <r>
    <x v="1"/>
    <x v="4"/>
    <n v="1106.3094000000001"/>
  </r>
  <r>
    <x v="0"/>
    <x v="3"/>
    <n v="700.40520000000004"/>
  </r>
  <r>
    <x v="1"/>
    <x v="4"/>
    <n v="320.892"/>
  </r>
  <r>
    <x v="0"/>
    <x v="3"/>
    <n v="2704.47"/>
  </r>
  <r>
    <x v="0"/>
    <x v="3"/>
    <n v="506.709"/>
  </r>
  <r>
    <x v="0"/>
    <x v="3"/>
    <n v="595.41"/>
  </r>
  <r>
    <x v="1"/>
    <x v="2"/>
    <n v="953.38679999999999"/>
  </r>
  <r>
    <x v="0"/>
    <x v="0"/>
    <n v="2317.6383999999998"/>
  </r>
  <r>
    <x v="1"/>
    <x v="0"/>
    <n v="88.814799999999991"/>
  </r>
  <r>
    <x v="1"/>
    <x v="0"/>
    <n v="316.89359999999999"/>
  </r>
  <r>
    <x v="0"/>
    <x v="2"/>
    <n v="545.48239999999998"/>
  </r>
  <r>
    <x v="0"/>
    <x v="0"/>
    <n v="757.39"/>
  </r>
  <r>
    <x v="1"/>
    <x v="0"/>
    <n v="152.2801"/>
  </r>
  <r>
    <x v="0"/>
    <x v="2"/>
    <n v="1755.5383999999999"/>
  </r>
  <r>
    <x v="1"/>
    <x v="3"/>
    <n v="2155.2228"/>
  </r>
  <r>
    <x v="0"/>
    <x v="3"/>
    <n v="905.23"/>
  </r>
  <r>
    <x v="0"/>
    <x v="3"/>
    <n v="274.03109999999998"/>
  </r>
  <r>
    <x v="1"/>
    <x v="3"/>
    <n v="2391.4526999999998"/>
  </r>
  <r>
    <x v="0"/>
    <x v="2"/>
    <n v="1014.2588"/>
  </r>
  <r>
    <x v="0"/>
    <x v="0"/>
    <n v="2694.3045000000002"/>
  </r>
  <r>
    <x v="1"/>
    <x v="1"/>
    <n v="170.4404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98.41640000000001"/>
    <x v="0"/>
  </r>
  <r>
    <n v="228.7893"/>
    <x v="0"/>
  </r>
  <r>
    <n v="2742.15"/>
    <x v="1"/>
  </r>
  <r>
    <n v="774.0684"/>
    <x v="1"/>
  </r>
  <r>
    <n v="1833.4380000000001"/>
    <x v="0"/>
  </r>
  <r>
    <n v="357.23430000000002"/>
    <x v="2"/>
  </r>
  <r>
    <n v="1335.027"/>
    <x v="2"/>
  </r>
  <r>
    <n v="1054.5612000000001"/>
    <x v="1"/>
  </r>
  <r>
    <n v="1250.6175000000001"/>
    <x v="0"/>
  </r>
  <r>
    <n v="1344.6818000000001"/>
    <x v="3"/>
  </r>
  <r>
    <n v="259.1259"/>
    <x v="0"/>
  </r>
  <r>
    <n v="952.57439999999997"/>
    <x v="0"/>
  </r>
  <r>
    <n v="2552.5367999999999"/>
    <x v="2"/>
  </r>
  <r>
    <n v="443.66"/>
    <x v="0"/>
  </r>
  <r>
    <n v="1145.8548000000001"/>
    <x v="0"/>
  </r>
  <r>
    <n v="2509.4591999999998"/>
    <x v="2"/>
  </r>
  <r>
    <n v="677.97"/>
    <x v="0"/>
  </r>
  <r>
    <n v="774.14260000000002"/>
    <x v="2"/>
  </r>
  <r>
    <n v="838.84500000000003"/>
    <x v="2"/>
  </r>
  <r>
    <n v="1782.4512"/>
    <x v="0"/>
  </r>
  <r>
    <n v="2159.4276"/>
    <x v="0"/>
  </r>
  <r>
    <n v="459.85680000000002"/>
    <x v="0"/>
  </r>
  <r>
    <n v="2850.1122"/>
    <x v="0"/>
  </r>
  <r>
    <n v="661.73760000000004"/>
    <x v="1"/>
  </r>
  <r>
    <n v="216.50399999999999"/>
    <x v="3"/>
  </r>
  <r>
    <n v="2933.3224"/>
    <x v="0"/>
  </r>
  <r>
    <n v="599.65440000000001"/>
    <x v="1"/>
  </r>
  <r>
    <n v="2030.5700999999999"/>
    <x v="1"/>
  </r>
  <r>
    <n v="132.09379999999999"/>
    <x v="2"/>
  </r>
  <r>
    <n v="1535.6780000000001"/>
    <x v="0"/>
  </r>
  <r>
    <n v="373.56060000000002"/>
    <x v="0"/>
  </r>
  <r>
    <n v="288.98239999999998"/>
    <x v="0"/>
  </r>
  <r>
    <n v="1154.8943999999999"/>
    <x v="1"/>
  </r>
  <r>
    <n v="1219.4269999999999"/>
    <x v="3"/>
  </r>
  <r>
    <n v="2148.1212"/>
    <x v="0"/>
  </r>
  <r>
    <n v="354.32639999999998"/>
    <x v="0"/>
  </r>
  <r>
    <n v="1409.9903999999999"/>
    <x v="2"/>
  </r>
  <r>
    <n v="266.65440000000001"/>
    <x v="0"/>
  </r>
  <r>
    <n v="2764.8031999999998"/>
    <x v="0"/>
  </r>
  <r>
    <n v="1105.3432"/>
    <x v="0"/>
  </r>
  <r>
    <n v="1625.3796"/>
    <x v="0"/>
  </r>
  <r>
    <n v="945.21720000000016"/>
    <x v="1"/>
  </r>
  <r>
    <n v="1537.452"/>
    <x v="2"/>
  </r>
  <r>
    <n v="1864.3176000000001"/>
    <x v="0"/>
  </r>
  <r>
    <n v="322.3528"/>
    <x v="0"/>
  </r>
  <r>
    <n v="1050.5039999999999"/>
    <x v="1"/>
  </r>
  <r>
    <n v="393.5686"/>
    <x v="0"/>
  </r>
  <r>
    <n v="116.77079999999999"/>
    <x v="0"/>
  </r>
  <r>
    <n v="372.33359999999999"/>
    <x v="0"/>
  </r>
  <r>
    <n v="707.77440000000013"/>
    <x v="0"/>
  </r>
  <r>
    <n v="190.83600000000001"/>
    <x v="2"/>
  </r>
  <r>
    <n v="169.9854"/>
    <x v="2"/>
  </r>
  <r>
    <n v="486.06330000000003"/>
    <x v="3"/>
  </r>
  <r>
    <n v="783.30449999999996"/>
    <x v="1"/>
  </r>
  <r>
    <n v="1592.4947999999999"/>
    <x v="0"/>
  </r>
  <r>
    <n v="783.59400000000005"/>
    <x v="0"/>
  </r>
  <r>
    <n v="1567.356"/>
    <x v="3"/>
  </r>
  <r>
    <n v="979.43039999999996"/>
    <x v="0"/>
  </r>
  <r>
    <n v="2552.3015999999998"/>
    <x v="2"/>
  </r>
  <r>
    <n v="767.17410000000007"/>
    <x v="0"/>
  </r>
  <r>
    <n v="180.93530000000001"/>
    <x v="0"/>
  </r>
  <r>
    <n v="307.43439999999998"/>
    <x v="2"/>
  </r>
  <r>
    <n v="412.66719999999998"/>
    <x v="0"/>
  </r>
  <r>
    <n v="230.60300000000001"/>
    <x v="0"/>
  </r>
  <r>
    <n v="1088.6371340062115"/>
    <x v="0"/>
  </r>
  <r>
    <n v="1301.9864"/>
    <x v="0"/>
  </r>
  <r>
    <n v="2670.74"/>
    <x v="2"/>
  </r>
  <r>
    <n v="791.33600000000001"/>
    <x v="2"/>
  </r>
  <r>
    <n v="204.93440000000001"/>
    <x v="0"/>
  </r>
  <r>
    <n v="1706.1695999999999"/>
    <x v="0"/>
  </r>
  <r>
    <n v="1087.997808251168"/>
    <x v="0"/>
  </r>
  <r>
    <n v="1243.038"/>
    <x v="0"/>
  </r>
  <r>
    <n v="503.97620000000012"/>
    <x v="0"/>
  </r>
  <r>
    <n v="968.18819999999994"/>
    <x v="0"/>
  </r>
  <r>
    <n v="166.482"/>
    <x v="1"/>
  </r>
  <r>
    <n v="2156.5544"/>
    <x v="0"/>
  </r>
  <r>
    <n v="1029.4649999999999"/>
    <x v="0"/>
  </r>
  <r>
    <n v="502.10860000000002"/>
    <x v="0"/>
  </r>
  <r>
    <n v="1512.924"/>
    <x v="1"/>
  </r>
  <r>
    <n v="289.99450000000002"/>
    <x v="2"/>
  </r>
  <r>
    <n v="415.73379999999997"/>
    <x v="1"/>
  </r>
  <r>
    <n v="272.79750000000001"/>
    <x v="2"/>
  </r>
  <r>
    <n v="1010.2344000000001"/>
    <x v="0"/>
  </r>
  <r>
    <n v="133.4332"/>
    <x v="0"/>
  </r>
  <r>
    <n v="1090.0558237722053"/>
    <x v="0"/>
  </r>
  <r>
    <n v="386.38400000000001"/>
    <x v="2"/>
  </r>
  <r>
    <n v="1943.0927999999999"/>
    <x v="0"/>
  </r>
  <r>
    <n v="2777.4432000000002"/>
    <x v="0"/>
  </r>
  <r>
    <n v="374.66759999999999"/>
    <x v="3"/>
  </r>
  <r>
    <n v="705.78959999999995"/>
    <x v="0"/>
  </r>
  <r>
    <n v="616.21119999999996"/>
    <x v="0"/>
  </r>
  <r>
    <n v="339.27080000000001"/>
    <x v="0"/>
  </r>
  <r>
    <n v="578.11989999999992"/>
    <x v="2"/>
  </r>
  <r>
    <n v="556.78399999999999"/>
    <x v="2"/>
  </r>
  <r>
    <n v="1090.8604113385834"/>
    <x v="0"/>
  </r>
  <r>
    <n v="117.4588"/>
    <x v="3"/>
  </r>
  <r>
    <n v="792.32599999999991"/>
    <x v="0"/>
  </r>
  <r>
    <n v="1669.3068000000001"/>
    <x v="0"/>
  </r>
  <r>
    <n v="1581.2496000000001"/>
    <x v="2"/>
  </r>
  <r>
    <n v="1235.7372"/>
    <x v="0"/>
  </r>
  <r>
    <n v="658.46"/>
    <x v="0"/>
  </r>
  <r>
    <n v="895.30439999999999"/>
    <x v="0"/>
  </r>
  <r>
    <n v="717.25760000000002"/>
    <x v="0"/>
  </r>
  <r>
    <n v="2997.615600000001"/>
    <x v="2"/>
  </r>
  <r>
    <n v="1636.1117999999999"/>
    <x v="0"/>
  </r>
  <r>
    <n v="602.25120000000004"/>
    <x v="0"/>
  </r>
  <r>
    <n v="1605.5052000000001"/>
    <x v="0"/>
  </r>
  <r>
    <n v="2060.3912"/>
    <x v="2"/>
  </r>
  <r>
    <n v="2372.5230000000001"/>
    <x v="0"/>
  </r>
  <r>
    <n v="1027.7357999999999"/>
    <x v="3"/>
  </r>
  <r>
    <n v="882.57440000000008"/>
    <x v="1"/>
  </r>
  <r>
    <n v="1674.5057999999999"/>
    <x v="0"/>
  </r>
  <r>
    <n v="2020.7097000000001"/>
    <x v="0"/>
  </r>
  <r>
    <n v="225.57599999999999"/>
    <x v="0"/>
  </r>
  <r>
    <n v="1388.9190000000001"/>
    <x v="2"/>
  </r>
  <r>
    <n v="3239.3580000000002"/>
    <x v="2"/>
  </r>
  <r>
    <n v="2404.8024"/>
    <x v="1"/>
  </r>
  <r>
    <n v="1007.223"/>
    <x v="2"/>
  </r>
  <r>
    <n v="115.5"/>
    <x v="0"/>
  </r>
  <r>
    <n v="215.14420000000001"/>
    <x v="1"/>
  </r>
  <r>
    <n v="1239.5606"/>
    <x v="0"/>
  </r>
  <r>
    <n v="1245.3119999999999"/>
    <x v="0"/>
  </r>
  <r>
    <n v="379.69920000000002"/>
    <x v="2"/>
  </r>
  <r>
    <n v="893.38200000000006"/>
    <x v="2"/>
  </r>
  <r>
    <n v="70.960000000000008"/>
    <x v="0"/>
  </r>
  <r>
    <n v="803.9944999999999"/>
    <x v="3"/>
  </r>
  <r>
    <n v="926.7263999999999"/>
    <x v="0"/>
  </r>
  <r>
    <n v="2762.1428999999998"/>
    <x v="3"/>
  </r>
  <r>
    <n v="1304.9459999999999"/>
    <x v="2"/>
  </r>
  <r>
    <n v="548.27499999999998"/>
    <x v="0"/>
  </r>
  <r>
    <n v="782.17539999999997"/>
    <x v="0"/>
  </r>
  <r>
    <n v="850.29750000000001"/>
    <x v="0"/>
  </r>
  <r>
    <n v="3306.1392000000001"/>
    <x v="0"/>
  </r>
  <r>
    <n v="496.97340000000003"/>
    <x v="2"/>
  </r>
  <r>
    <n v="273.08879999999999"/>
    <x v="0"/>
  </r>
  <r>
    <n v="1349.0568000000001"/>
    <x v="0"/>
  </r>
  <r>
    <n v="2471.6376"/>
    <x v="2"/>
  </r>
  <r>
    <n v="201.59700000000001"/>
    <x v="3"/>
  </r>
  <r>
    <n v="641.73599999999999"/>
    <x v="0"/>
  </r>
  <r>
    <n v="2147.5500000000002"/>
    <x v="0"/>
  </r>
  <r>
    <n v="948.12300000000005"/>
    <x v="0"/>
  </r>
  <r>
    <n v="372.923"/>
    <x v="3"/>
  </r>
  <r>
    <n v="1443.7103999999999"/>
    <x v="0"/>
  </r>
  <r>
    <n v="1278.3407999999999"/>
    <x v="0"/>
  </r>
  <r>
    <n v="540.90719999999999"/>
    <x v="1"/>
  </r>
  <r>
    <n v="977.04880000000014"/>
    <x v="0"/>
  </r>
  <r>
    <n v="1753.23"/>
    <x v="0"/>
  </r>
  <r>
    <n v="562.32820000000004"/>
    <x v="0"/>
  </r>
  <r>
    <n v="475.9819"/>
    <x v="3"/>
  </r>
  <r>
    <n v="1432.2744"/>
    <x v="0"/>
  </r>
  <r>
    <n v="1194.9503999999999"/>
    <x v="0"/>
  </r>
  <r>
    <n v="1584.7840000000001"/>
    <x v="1"/>
  </r>
  <r>
    <n v="193.55719999999999"/>
    <x v="0"/>
  </r>
  <r>
    <n v="1491.7896000000001"/>
    <x v="0"/>
  </r>
  <r>
    <n v="300.2022"/>
    <x v="2"/>
  </r>
  <r>
    <n v="3077.5992000000001"/>
    <x v="0"/>
  </r>
  <r>
    <n v="1843.04"/>
    <x v="3"/>
  </r>
  <r>
    <n v="79.775999999999996"/>
    <x v="0"/>
  </r>
  <r>
    <n v="93.909199999999998"/>
    <x v="0"/>
  </r>
  <r>
    <n v="193.1234"/>
    <x v="0"/>
  </r>
  <r>
    <n v="1084.6812"/>
    <x v="0"/>
  </r>
  <r>
    <n v="455.60099999999989"/>
    <x v="3"/>
  </r>
  <r>
    <n v="952.84559999999999"/>
    <x v="3"/>
  </r>
  <r>
    <n v="473.66070000000002"/>
    <x v="0"/>
  </r>
  <r>
    <n v="485.55839999999989"/>
    <x v="0"/>
  </r>
  <r>
    <n v="1741.557"/>
    <x v="0"/>
  </r>
  <r>
    <n v="2343.4616000000001"/>
    <x v="1"/>
  </r>
  <r>
    <n v="1620.8255999999999"/>
    <x v="2"/>
  </r>
  <r>
    <n v="798.55200000000013"/>
    <x v="2"/>
  </r>
  <r>
    <n v="604.41920000000005"/>
    <x v="2"/>
  </r>
  <r>
    <n v="109.5624"/>
    <x v="3"/>
  </r>
  <r>
    <n v="240.5592"/>
    <x v="0"/>
  </r>
  <r>
    <n v="1241.8800000000001"/>
    <x v="0"/>
  </r>
  <r>
    <n v="1068.2460000000001"/>
    <x v="2"/>
  </r>
  <r>
    <n v="2873.864"/>
    <x v="2"/>
  </r>
  <r>
    <n v="1217.1579999999999"/>
    <x v="0"/>
  </r>
  <r>
    <n v="617.29200000000003"/>
    <x v="0"/>
  </r>
  <r>
    <n v="75.84"/>
    <x v="1"/>
  </r>
  <r>
    <n v="2555.64"/>
    <x v="0"/>
  </r>
  <r>
    <n v="762.36819999999989"/>
    <x v="3"/>
  </r>
  <r>
    <n v="2089.8951000000002"/>
    <x v="0"/>
  </r>
  <r>
    <n v="137.49600000000001"/>
    <x v="0"/>
  </r>
  <r>
    <n v="2908.1696000000002"/>
    <x v="3"/>
  </r>
  <r>
    <n v="541.6191"/>
    <x v="0"/>
  </r>
  <r>
    <n v="678.84100000000001"/>
    <x v="0"/>
  </r>
  <r>
    <n v="1301.6094000000001"/>
    <x v="0"/>
  </r>
  <r>
    <n v="968.17919999999992"/>
    <x v="0"/>
  </r>
  <r>
    <n v="1087.6733999999999"/>
    <x v="3"/>
  </r>
  <r>
    <n v="1786.2336"/>
    <x v="0"/>
  </r>
  <r>
    <n v="522.68399999999997"/>
    <x v="0"/>
  </r>
  <r>
    <n v="1146.9390000000001"/>
    <x v="2"/>
  </r>
  <r>
    <n v="780.75299999999993"/>
    <x v="0"/>
  </r>
  <r>
    <n v="922.20749999999987"/>
    <x v="0"/>
  </r>
  <r>
    <n v="263.60719999999998"/>
    <x v="2"/>
  </r>
  <r>
    <n v="2184.5819999999999"/>
    <x v="0"/>
  </r>
  <r>
    <n v="862.51430000000005"/>
    <x v="0"/>
  </r>
  <r>
    <n v="2620.7460000000001"/>
    <x v="0"/>
  </r>
  <r>
    <n v="525.00279999999998"/>
    <x v="0"/>
  </r>
  <r>
    <n v="381.95639999999997"/>
    <x v="3"/>
  </r>
  <r>
    <n v="588.49239999999998"/>
    <x v="0"/>
  </r>
  <r>
    <n v="1661.8032000000001"/>
    <x v="3"/>
  </r>
  <r>
    <n v="752.86199999999997"/>
    <x v="2"/>
  </r>
  <r>
    <n v="1175.2416000000001"/>
    <x v="0"/>
  </r>
  <r>
    <n v="859.7808"/>
    <x v="2"/>
  </r>
  <r>
    <n v="1909.9608000000001"/>
    <x v="2"/>
  </r>
  <r>
    <n v="374.34539999999998"/>
    <x v="0"/>
  </r>
  <r>
    <n v="1146.4795999999999"/>
    <x v="0"/>
  </r>
  <r>
    <n v="125.8389"/>
    <x v="0"/>
  </r>
  <r>
    <n v="3576.0383999999999"/>
    <x v="0"/>
  </r>
  <r>
    <n v="595.97759999999994"/>
    <x v="1"/>
  </r>
  <r>
    <n v="600.97979999999995"/>
    <x v="2"/>
  </r>
  <r>
    <n v="1491.4119000000001"/>
    <x v="1"/>
  </r>
  <r>
    <n v="417.00839999999999"/>
    <x v="0"/>
  </r>
  <r>
    <n v="558.39019999999994"/>
    <x v="2"/>
  </r>
  <r>
    <n v="574.12160000000006"/>
    <x v="0"/>
  </r>
  <r>
    <n v="907.52549999999997"/>
    <x v="2"/>
  </r>
  <r>
    <n v="390.81599999999997"/>
    <x v="1"/>
  </r>
  <r>
    <n v="286.22519999999997"/>
    <x v="0"/>
  </r>
  <r>
    <n v="2281.8532"/>
    <x v="0"/>
  </r>
  <r>
    <n v="295.4504"/>
    <x v="0"/>
  </r>
  <r>
    <n v="1199.3579999999999"/>
    <x v="0"/>
  </r>
  <r>
    <n v="2217.752"/>
    <x v="0"/>
  </r>
  <r>
    <n v="529.8900000000001"/>
    <x v="0"/>
  </r>
  <r>
    <n v="1495.74"/>
    <x v="0"/>
  </r>
  <r>
    <n v="1447.2216000000001"/>
    <x v="3"/>
  </r>
  <r>
    <n v="2532.348"/>
    <x v="2"/>
  </r>
  <r>
    <n v="1825.3248000000001"/>
    <x v="0"/>
  </r>
  <r>
    <n v="1819.7998"/>
    <x v="2"/>
  </r>
  <r>
    <n v="1630.0416"/>
    <x v="0"/>
  </r>
  <r>
    <n v="2123.9856"/>
    <x v="0"/>
  </r>
  <r>
    <n v="1214.6759999999999"/>
    <x v="0"/>
  </r>
  <r>
    <n v="1519.6104"/>
    <x v="0"/>
  </r>
  <r>
    <n v="2416.7087999999999"/>
    <x v="0"/>
  </r>
  <r>
    <n v="940.1484999999999"/>
    <x v="0"/>
  </r>
  <r>
    <n v="348.78480000000002"/>
    <x v="3"/>
  </r>
  <r>
    <n v="672.29899999999998"/>
    <x v="3"/>
  </r>
  <r>
    <n v="1521.7632000000001"/>
    <x v="3"/>
  </r>
  <r>
    <n v="1026.048"/>
    <x v="0"/>
  </r>
  <r>
    <n v="469.60759999999999"/>
    <x v="0"/>
  </r>
  <r>
    <n v="253.09200000000001"/>
    <x v="1"/>
  </r>
  <r>
    <n v="2157.2703000000001"/>
    <x v="0"/>
  </r>
  <r>
    <n v="655.17379999999991"/>
    <x v="0"/>
  </r>
  <r>
    <n v="358.85849999999999"/>
    <x v="0"/>
  </r>
  <r>
    <n v="1365.663"/>
    <x v="0"/>
  </r>
  <r>
    <n v="1303.6895999999999"/>
    <x v="3"/>
  </r>
  <r>
    <n v="641.41"/>
    <x v="2"/>
  </r>
  <r>
    <n v="200.9392"/>
    <x v="2"/>
  </r>
  <r>
    <n v="736.59950000000003"/>
    <x v="0"/>
  </r>
  <r>
    <n v="1422.492"/>
    <x v="2"/>
  </r>
  <r>
    <n v="1341.87"/>
    <x v="0"/>
  </r>
  <r>
    <n v="2290.4243999999999"/>
    <x v="2"/>
  </r>
  <r>
    <n v="3143.84"/>
    <x v="0"/>
  </r>
  <r>
    <n v="494.56799999999998"/>
    <x v="0"/>
  </r>
  <r>
    <n v="403.06560000000002"/>
    <x v="0"/>
  </r>
  <r>
    <n v="1562.9290000000001"/>
    <x v="3"/>
  </r>
  <r>
    <n v="1329.1128000000001"/>
    <x v="2"/>
  </r>
  <r>
    <n v="111.96120000000001"/>
    <x v="0"/>
  </r>
  <r>
    <n v="1060.5816"/>
    <x v="0"/>
  </r>
  <r>
    <n v="180.5814"/>
    <x v="0"/>
  </r>
  <r>
    <n v="589.798"/>
    <x v="2"/>
  </r>
  <r>
    <n v="2176.2280000000001"/>
    <x v="0"/>
  </r>
  <r>
    <n v="3159.0612000000001"/>
    <x v="1"/>
  </r>
  <r>
    <n v="1194.7392"/>
    <x v="2"/>
  </r>
  <r>
    <n v="1481.0512000000001"/>
    <x v="2"/>
  </r>
  <r>
    <n v="2407.2647999999999"/>
    <x v="0"/>
  </r>
  <r>
    <n v="388.5"/>
    <x v="3"/>
  </r>
  <r>
    <n v="2337.75"/>
    <x v="2"/>
  </r>
  <r>
    <n v="692.27"/>
    <x v="2"/>
  </r>
  <r>
    <n v="315.24779999999998"/>
    <x v="0"/>
  </r>
  <r>
    <n v="2599.5947999999999"/>
    <x v="3"/>
  </r>
  <r>
    <n v="1330.0704000000001"/>
    <x v="0"/>
  </r>
  <r>
    <n v="197.68199999999999"/>
    <x v="1"/>
  </r>
  <r>
    <n v="1519.4975999999999"/>
    <x v="0"/>
  </r>
  <r>
    <n v="811.07159999999999"/>
    <x v="1"/>
  </r>
  <r>
    <n v="394.58629999999999"/>
    <x v="0"/>
  </r>
  <r>
    <n v="581.76959999999997"/>
    <x v="0"/>
  </r>
  <r>
    <n v="1212.9007999999999"/>
    <x v="0"/>
  </r>
  <r>
    <n v="1741.5192"/>
    <x v="0"/>
  </r>
  <r>
    <n v="937.4896"/>
    <x v="2"/>
  </r>
  <r>
    <n v="2687.5259999999998"/>
    <x v="0"/>
  </r>
  <r>
    <n v="299.6721"/>
    <x v="1"/>
  </r>
  <r>
    <n v="177.19200000000001"/>
    <x v="0"/>
  </r>
  <r>
    <n v="1568.5425"/>
    <x v="0"/>
  </r>
  <r>
    <n v="346.49400000000003"/>
    <x v="0"/>
  </r>
  <r>
    <n v="442.79050000000001"/>
    <x v="0"/>
  </r>
  <r>
    <n v="553.18960000000004"/>
    <x v="2"/>
  </r>
  <r>
    <n v="2181.4650000000011"/>
    <x v="0"/>
  </r>
  <r>
    <n v="2175.5252"/>
    <x v="3"/>
  </r>
  <r>
    <n v="1504.4760000000001"/>
    <x v="1"/>
  </r>
  <r>
    <n v="154.74359999999999"/>
    <x v="2"/>
  </r>
  <r>
    <n v="1501.152"/>
    <x v="0"/>
  </r>
  <r>
    <n v="480.41250000000002"/>
    <x v="0"/>
  </r>
  <r>
    <n v="491.77100000000002"/>
    <x v="2"/>
  </r>
  <r>
    <n v="425.41759999999999"/>
    <x v="1"/>
  </r>
  <r>
    <n v="378.59399999999999"/>
    <x v="1"/>
  </r>
  <r>
    <n v="1879.05"/>
    <x v="0"/>
  </r>
  <r>
    <n v="356.04399999999998"/>
    <x v="0"/>
  </r>
  <r>
    <n v="1372.2396000000001"/>
    <x v="0"/>
  </r>
  <r>
    <n v="208.25280000000001"/>
    <x v="0"/>
  </r>
  <r>
    <n v="1536.6559999999999"/>
    <x v="0"/>
  </r>
  <r>
    <n v="2703.9888000000001"/>
    <x v="0"/>
  </r>
  <r>
    <n v="1953.1368"/>
    <x v="0"/>
  </r>
  <r>
    <n v="1384.2239999999999"/>
    <x v="0"/>
  </r>
  <r>
    <n v="1283.086"/>
    <x v="2"/>
  </r>
  <r>
    <n v="2062.8696"/>
    <x v="0"/>
  </r>
  <r>
    <n v="2156.6952000000001"/>
    <x v="0"/>
  </r>
  <r>
    <n v="1625.2544"/>
    <x v="0"/>
  </r>
  <r>
    <n v="326.25599999999997"/>
    <x v="0"/>
  </r>
  <r>
    <n v="1475.0916"/>
    <x v="0"/>
  </r>
  <r>
    <n v="1127.0219999999999"/>
    <x v="0"/>
  </r>
  <r>
    <n v="271.28359999999998"/>
    <x v="2"/>
  </r>
  <r>
    <n v="2699.0963999999999"/>
    <x v="2"/>
  </r>
  <r>
    <n v="954.01800000000003"/>
    <x v="0"/>
  </r>
  <r>
    <n v="72.025200000000012"/>
    <x v="2"/>
  </r>
  <r>
    <n v="269.21699999999998"/>
    <x v="0"/>
  </r>
  <r>
    <n v="844.38199999999995"/>
    <x v="0"/>
  </r>
  <r>
    <n v="2873.9969999999989"/>
    <x v="0"/>
  </r>
  <r>
    <n v="330.7824"/>
    <x v="0"/>
  </r>
  <r>
    <n v="199.56780000000001"/>
    <x v="2"/>
  </r>
  <r>
    <n v="218.49100000000001"/>
    <x v="0"/>
  </r>
  <r>
    <n v="1552.9793999999999"/>
    <x v="2"/>
  </r>
  <r>
    <n v="547.17700000000002"/>
    <x v="2"/>
  </r>
  <r>
    <n v="423.62840000000011"/>
    <x v="0"/>
  </r>
  <r>
    <n v="831.92750000000001"/>
    <x v="0"/>
  </r>
  <r>
    <n v="2084.0720000000001"/>
    <x v="2"/>
  </r>
  <r>
    <n v="1018.3302"/>
    <x v="0"/>
  </r>
  <r>
    <n v="1098.6659999999999"/>
    <x v="0"/>
  </r>
  <r>
    <n v="190.54"/>
    <x v="0"/>
  </r>
  <r>
    <n v="1444.212"/>
    <x v="3"/>
  </r>
  <r>
    <n v="71.193599999999989"/>
    <x v="3"/>
  </r>
  <r>
    <n v="750.20309999999995"/>
    <x v="2"/>
  </r>
  <r>
    <n v="65.155000000000001"/>
    <x v="2"/>
  </r>
  <r>
    <n v="1174.2947999999999"/>
    <x v="2"/>
  </r>
  <r>
    <n v="1353.7854"/>
    <x v="0"/>
  </r>
  <r>
    <n v="1042.491"/>
    <x v="0"/>
  </r>
  <r>
    <n v="2799.0720000000001"/>
    <x v="0"/>
  </r>
  <r>
    <n v="2495.4744000000001"/>
    <x v="2"/>
  </r>
  <r>
    <n v="96.25"/>
    <x v="2"/>
  </r>
  <r>
    <n v="346.38"/>
    <x v="0"/>
  </r>
  <r>
    <n v="1032.3599999999999"/>
    <x v="3"/>
  </r>
  <r>
    <n v="2724.4034999999999"/>
    <x v="0"/>
  </r>
  <r>
    <n v="339.37560000000002"/>
    <x v="0"/>
  </r>
  <r>
    <n v="1205.3327999999999"/>
    <x v="0"/>
  </r>
  <r>
    <n v="2312.2568999999999"/>
    <x v="0"/>
  </r>
  <r>
    <n v="817.15500000000009"/>
    <x v="2"/>
  </r>
  <r>
    <n v="1083.7284"/>
    <x v="3"/>
  </r>
  <r>
    <n v="1321.9595999999999"/>
    <x v="1"/>
  </r>
  <r>
    <n v="437.37720000000002"/>
    <x v="0"/>
  </r>
  <r>
    <n v="148.30019999999999"/>
    <x v="0"/>
  </r>
  <r>
    <n v="833.68399999999997"/>
    <x v="0"/>
  </r>
  <r>
    <n v="1589.3951999999999"/>
    <x v="0"/>
  </r>
  <r>
    <n v="2317.1543999999999"/>
    <x v="0"/>
  </r>
  <r>
    <n v="1446.1376"/>
    <x v="2"/>
  </r>
  <r>
    <n v="612.16679999999997"/>
    <x v="0"/>
  </r>
  <r>
    <n v="868.98"/>
    <x v="1"/>
  </r>
  <r>
    <n v="1492.7882"/>
    <x v="0"/>
  </r>
  <r>
    <n v="615.32820000000004"/>
    <x v="0"/>
  </r>
  <r>
    <n v="414.25920000000002"/>
    <x v="3"/>
  </r>
  <r>
    <n v="2019.684"/>
    <x v="0"/>
  </r>
  <r>
    <n v="2199.3449999999998"/>
    <x v="2"/>
  </r>
  <r>
    <n v="2329.7399999999998"/>
    <x v="0"/>
  </r>
  <r>
    <n v="477.65519999999998"/>
    <x v="0"/>
  </r>
  <r>
    <n v="1307.5999999999999"/>
    <x v="2"/>
  </r>
  <r>
    <n v="535.62400000000002"/>
    <x v="2"/>
  </r>
  <r>
    <n v="153.85679999999999"/>
    <x v="0"/>
  </r>
  <r>
    <n v="158.56"/>
    <x v="0"/>
  </r>
  <r>
    <n v="610.11059999999998"/>
    <x v="0"/>
  </r>
  <r>
    <n v="2097.1008000000002"/>
    <x v="2"/>
  </r>
  <r>
    <n v="228.79599999999999"/>
    <x v="0"/>
  </r>
  <r>
    <n v="1002.5028"/>
    <x v="0"/>
  </r>
  <r>
    <n v="583.25200000000007"/>
    <x v="0"/>
  </r>
  <r>
    <n v="594.43550000000005"/>
    <x v="0"/>
  </r>
  <r>
    <n v="331.26280000000003"/>
    <x v="0"/>
  </r>
  <r>
    <n v="1331.91"/>
    <x v="0"/>
  </r>
  <r>
    <n v="456.4948"/>
    <x v="0"/>
  </r>
  <r>
    <n v="303.29640000000001"/>
    <x v="0"/>
  </r>
  <r>
    <n v="2634.0079999999998"/>
    <x v="2"/>
  </r>
  <r>
    <n v="776.50559999999996"/>
    <x v="0"/>
  </r>
  <r>
    <n v="685.34879999999998"/>
    <x v="0"/>
  </r>
  <r>
    <n v="1793.6045999999999"/>
    <x v="0"/>
  </r>
  <r>
    <n v="2051.2539999999999"/>
    <x v="0"/>
  </r>
  <r>
    <n v="959.13239999999985"/>
    <x v="0"/>
  </r>
  <r>
    <n v="104.7144"/>
    <x v="2"/>
  </r>
  <r>
    <n v="127.611"/>
    <x v="3"/>
  </r>
  <r>
    <n v="1193.2704000000001"/>
    <x v="0"/>
  </r>
  <r>
    <n v="3265.2919999999999"/>
    <x v="3"/>
  </r>
  <r>
    <n v="2389.1322"/>
    <x v="0"/>
  </r>
  <r>
    <n v="2847.6208000000001"/>
    <x v="0"/>
  </r>
  <r>
    <n v="598.23900000000003"/>
    <x v="0"/>
  </r>
  <r>
    <n v="1793.2632000000001"/>
    <x v="2"/>
  </r>
  <r>
    <n v="3225.5819999999999"/>
    <x v="0"/>
  </r>
  <r>
    <n v="224.60640000000001"/>
    <x v="0"/>
  </r>
  <r>
    <n v="836.47409999999991"/>
    <x v="3"/>
  </r>
  <r>
    <n v="299.73419999999999"/>
    <x v="1"/>
  </r>
  <r>
    <n v="1810.0827999999999"/>
    <x v="0"/>
  </r>
  <r>
    <n v="972.32960000000003"/>
    <x v="3"/>
  </r>
  <r>
    <n v="2676.6990000000001"/>
    <x v="0"/>
  </r>
  <r>
    <n v="2785.7894999999999"/>
    <x v="0"/>
  </r>
  <r>
    <n v="493.92"/>
    <x v="0"/>
  </r>
  <r>
    <n v="1320.9659999999999"/>
    <x v="0"/>
  </r>
  <r>
    <n v="35.053199999999997"/>
    <x v="0"/>
  </r>
  <r>
    <n v="2266.7328000000002"/>
    <x v="0"/>
  </r>
  <r>
    <n v="723.25439999999992"/>
    <x v="0"/>
  </r>
  <r>
    <n v="2989.0783999999999"/>
    <x v="0"/>
  </r>
  <r>
    <n v="1756.35"/>
    <x v="3"/>
  </r>
  <r>
    <n v="558.86249999999995"/>
    <x v="0"/>
  </r>
  <r>
    <n v="814.74239999999998"/>
    <x v="2"/>
  </r>
  <r>
    <n v="445.80599999999998"/>
    <x v="0"/>
  </r>
  <r>
    <n v="648.29939999999999"/>
    <x v="0"/>
  </r>
  <r>
    <n v="1363.9184"/>
    <x v="0"/>
  </r>
  <r>
    <n v="1245.4304"/>
    <x v="0"/>
  </r>
  <r>
    <n v="693.78300000000002"/>
    <x v="0"/>
  </r>
  <r>
    <n v="1430.6705999999999"/>
    <x v="0"/>
  </r>
  <r>
    <n v="82.513199999999998"/>
    <x v="2"/>
  </r>
  <r>
    <n v="1204.6944000000001"/>
    <x v="2"/>
  </r>
  <r>
    <n v="97.442999999999998"/>
    <x v="0"/>
  </r>
  <r>
    <n v="1325.9992"/>
    <x v="0"/>
  </r>
  <r>
    <n v="829.9606"/>
    <x v="0"/>
  </r>
  <r>
    <n v="2851.3002000000001"/>
    <x v="0"/>
  </r>
  <r>
    <n v="1298.3026"/>
    <x v="0"/>
  </r>
  <r>
    <n v="147.76740000000001"/>
    <x v="0"/>
  </r>
  <r>
    <n v="1176.2550000000001"/>
    <x v="3"/>
  </r>
  <r>
    <n v="175.48249999999999"/>
    <x v="0"/>
  </r>
  <r>
    <n v="570.87099999999998"/>
    <x v="0"/>
  </r>
  <r>
    <n v="592.99919999999997"/>
    <x v="0"/>
  </r>
  <r>
    <n v="419.92"/>
    <x v="2"/>
  </r>
  <r>
    <n v="3412.134"/>
    <x v="0"/>
  </r>
  <r>
    <n v="3111.192"/>
    <x v="3"/>
  </r>
  <r>
    <n v="1111.7945999999999"/>
    <x v="3"/>
  </r>
  <r>
    <n v="587.33360000000005"/>
    <x v="2"/>
  </r>
  <r>
    <n v="837.23609999999985"/>
    <x v="0"/>
  </r>
  <r>
    <n v="1597.624"/>
    <x v="3"/>
  </r>
  <r>
    <n v="1042.3728000000001"/>
    <x v="0"/>
  </r>
  <r>
    <n v="129.4"/>
    <x v="2"/>
  </r>
  <r>
    <n v="1309.4226000000001"/>
    <x v="0"/>
  </r>
  <r>
    <n v="2548.5264000000002"/>
    <x v="2"/>
  </r>
  <r>
    <n v="2721.1183999999998"/>
    <x v="0"/>
  </r>
  <r>
    <n v="1455.2208000000001"/>
    <x v="0"/>
  </r>
  <r>
    <n v="874.91959999999983"/>
    <x v="0"/>
  </r>
  <r>
    <n v="2556.1972000000001"/>
    <x v="0"/>
  </r>
  <r>
    <n v="439.27420000000001"/>
    <x v="3"/>
  </r>
  <r>
    <n v="513.702"/>
    <x v="0"/>
  </r>
  <r>
    <n v="566.21899999999994"/>
    <x v="0"/>
  </r>
  <r>
    <n v="2230.3303999999998"/>
    <x v="2"/>
  </r>
  <r>
    <n v="216.44739999999999"/>
    <x v="0"/>
  </r>
  <r>
    <n v="649.51920000000007"/>
    <x v="2"/>
  </r>
  <r>
    <n v="865.1164"/>
    <x v="2"/>
  </r>
  <r>
    <n v="1394.5596"/>
    <x v="0"/>
  </r>
  <r>
    <n v="810.57139999999993"/>
    <x v="0"/>
  </r>
  <r>
    <n v="1050.2965999999999"/>
    <x v="0"/>
  </r>
  <r>
    <n v="2148.2759999999989"/>
    <x v="0"/>
  </r>
  <r>
    <n v="2952.5216"/>
    <x v="2"/>
  </r>
  <r>
    <n v="773.60919999999999"/>
    <x v="0"/>
  </r>
  <r>
    <n v="1640.0519999999999"/>
    <x v="3"/>
  </r>
  <r>
    <n v="1729.4748"/>
    <x v="1"/>
  </r>
  <r>
    <n v="1372.8879999999999"/>
    <x v="0"/>
  </r>
  <r>
    <n v="1023.678"/>
    <x v="2"/>
  </r>
  <r>
    <n v="1182.8481999999999"/>
    <x v="2"/>
  </r>
  <r>
    <n v="1484.7293999999999"/>
    <x v="2"/>
  </r>
  <r>
    <n v="1208.27"/>
    <x v="0"/>
  </r>
  <r>
    <n v="2240.9920000000002"/>
    <x v="2"/>
  </r>
  <r>
    <n v="615.47840000000008"/>
    <x v="0"/>
  </r>
  <r>
    <n v="437.76"/>
    <x v="0"/>
  </r>
  <r>
    <n v="434.05680000000001"/>
    <x v="0"/>
  </r>
  <r>
    <n v="612.59760000000006"/>
    <x v="0"/>
  </r>
  <r>
    <n v="79.638499999999993"/>
    <x v="2"/>
  </r>
  <r>
    <n v="1403.8920000000001"/>
    <x v="0"/>
  </r>
  <r>
    <n v="3066.6687999999999"/>
    <x v="3"/>
  </r>
  <r>
    <n v="766.37429999999995"/>
    <x v="0"/>
  </r>
  <r>
    <n v="2198.16"/>
    <x v="1"/>
  </r>
  <r>
    <n v="411.35200000000009"/>
    <x v="0"/>
  </r>
  <r>
    <n v="426.03600000000012"/>
    <x v="0"/>
  </r>
  <r>
    <n v="1223.0694000000001"/>
    <x v="3"/>
  </r>
  <r>
    <n v="24.442599999999999"/>
    <x v="0"/>
  </r>
  <r>
    <n v="1579.3443"/>
    <x v="0"/>
  </r>
  <r>
    <n v="235.3212"/>
    <x v="0"/>
  </r>
  <r>
    <n v="2859.9407999999999"/>
    <x v="0"/>
  </r>
  <r>
    <n v="645.08080000000007"/>
    <x v="0"/>
  </r>
  <r>
    <n v="600.95479999999998"/>
    <x v="2"/>
  </r>
  <r>
    <n v="1733.9049"/>
    <x v="2"/>
  </r>
  <r>
    <n v="633.14800000000002"/>
    <x v="0"/>
  </r>
  <r>
    <n v="462.01499999999999"/>
    <x v="0"/>
  </r>
  <r>
    <n v="1286.56"/>
    <x v="1"/>
  </r>
  <r>
    <n v="617.38400000000001"/>
    <x v="0"/>
  </r>
  <r>
    <n v="426.98430000000002"/>
    <x v="0"/>
  </r>
  <r>
    <n v="678.93999999999994"/>
    <x v="2"/>
  </r>
  <r>
    <n v="387.59039999999999"/>
    <x v="0"/>
  </r>
  <r>
    <n v="1115.0047999999999"/>
    <x v="2"/>
  </r>
  <r>
    <n v="3100.2384000000002"/>
    <x v="0"/>
  </r>
  <r>
    <n v="1429.2719999999999"/>
    <x v="3"/>
  </r>
  <r>
    <n v="165.31710000000001"/>
    <x v="0"/>
  </r>
  <r>
    <n v="1398.2841000000001"/>
    <x v="2"/>
  </r>
  <r>
    <n v="1357.0372"/>
    <x v="2"/>
  </r>
  <r>
    <n v="712.50919999999996"/>
    <x v="3"/>
  </r>
  <r>
    <n v="797.93790000000001"/>
    <x v="3"/>
  </r>
  <r>
    <n v="569.04399999999998"/>
    <x v="0"/>
  </r>
  <r>
    <n v="470.61419999999998"/>
    <x v="3"/>
  </r>
  <r>
    <n v="323.67660000000001"/>
    <x v="0"/>
  </r>
  <r>
    <n v="933.61599999999999"/>
    <x v="0"/>
  </r>
  <r>
    <n v="560.37950000000001"/>
    <x v="0"/>
  </r>
  <r>
    <n v="341.31200000000001"/>
    <x v="2"/>
  </r>
  <r>
    <n v="573.07000000000005"/>
    <x v="0"/>
  </r>
  <r>
    <n v="216.69820000000001"/>
    <x v="2"/>
  </r>
  <r>
    <n v="618.41340000000002"/>
    <x v="0"/>
  </r>
  <r>
    <n v="1973.6496"/>
    <x v="2"/>
  </r>
  <r>
    <n v="220.16800000000001"/>
    <x v="0"/>
  </r>
  <r>
    <n v="54.406799999999997"/>
    <x v="2"/>
  </r>
  <r>
    <n v="1034.6335999999999"/>
    <x v="2"/>
  </r>
  <r>
    <n v="139.86799999999999"/>
    <x v="2"/>
  </r>
  <r>
    <n v="962.47320000000002"/>
    <x v="0"/>
  </r>
  <r>
    <n v="279.00959999999998"/>
    <x v="0"/>
  </r>
  <r>
    <n v="701.0544000000001"/>
    <x v="2"/>
  </r>
  <r>
    <n v="449.65469999999999"/>
    <x v="0"/>
  </r>
  <r>
    <n v="691.02719999999999"/>
    <x v="0"/>
  </r>
  <r>
    <n v="620.94600000000003"/>
    <x v="2"/>
  </r>
  <r>
    <n v="132.35820000000001"/>
    <x v="0"/>
  </r>
  <r>
    <n v="133.79560000000001"/>
    <x v="0"/>
  </r>
  <r>
    <n v="2750.1219999999998"/>
    <x v="0"/>
  </r>
  <r>
    <n v="798.21719999999993"/>
    <x v="2"/>
  </r>
  <r>
    <n v="1154.6808000000001"/>
    <x v="3"/>
  </r>
  <r>
    <n v="1813.5174"/>
    <x v="3"/>
  </r>
  <r>
    <n v="2107.8629999999998"/>
    <x v="3"/>
  </r>
  <r>
    <n v="70.470799999999997"/>
    <x v="2"/>
  </r>
  <r>
    <n v="3178.2564000000002"/>
    <x v="3"/>
  </r>
  <r>
    <n v="769.8975999999999"/>
    <x v="0"/>
  </r>
  <r>
    <n v="643.78679999999997"/>
    <x v="0"/>
  </r>
  <r>
    <n v="524.76480000000004"/>
    <x v="1"/>
  </r>
  <r>
    <n v="1719.4431999999999"/>
    <x v="3"/>
  </r>
  <r>
    <n v="50.407799999999988"/>
    <x v="0"/>
  </r>
  <r>
    <n v="421.27800000000002"/>
    <x v="0"/>
  </r>
  <r>
    <n v="2775.3519999999999"/>
    <x v="0"/>
  </r>
  <r>
    <n v="2589.8643999999999"/>
    <x v="1"/>
  </r>
  <r>
    <n v="2584.6271999999999"/>
    <x v="0"/>
  </r>
  <r>
    <n v="666.71699999999998"/>
    <x v="2"/>
  </r>
  <r>
    <n v="680.44199999999989"/>
    <x v="2"/>
  </r>
  <r>
    <n v="743.87839999999994"/>
    <x v="3"/>
  </r>
  <r>
    <n v="2485.364"/>
    <x v="0"/>
  </r>
  <r>
    <n v="437.0256"/>
    <x v="2"/>
  </r>
  <r>
    <n v="2221.9061999999999"/>
    <x v="1"/>
  </r>
  <r>
    <n v="1106.3052"/>
    <x v="2"/>
  </r>
  <r>
    <n v="929.02079999999989"/>
    <x v="2"/>
  </r>
  <r>
    <n v="632.76480000000004"/>
    <x v="3"/>
  </r>
  <r>
    <n v="380.42959999999999"/>
    <x v="0"/>
  </r>
  <r>
    <n v="679.37260000000003"/>
    <x v="3"/>
  </r>
  <r>
    <n v="454.46100000000001"/>
    <x v="0"/>
  </r>
  <r>
    <n v="332.37759999999997"/>
    <x v="0"/>
  </r>
  <r>
    <n v="1112.79"/>
    <x v="3"/>
  </r>
  <r>
    <n v="303.08980000000003"/>
    <x v="0"/>
  </r>
  <r>
    <n v="900.75200000000007"/>
    <x v="0"/>
  </r>
  <r>
    <n v="460.108"/>
    <x v="2"/>
  </r>
  <r>
    <n v="2430.6260000000002"/>
    <x v="0"/>
  </r>
  <r>
    <n v="305.84940000000012"/>
    <x v="2"/>
  </r>
  <r>
    <n v="2017.5011999999999"/>
    <x v="0"/>
  </r>
  <r>
    <n v="1267.1328000000001"/>
    <x v="0"/>
  </r>
  <r>
    <n v="1548.1769999999999"/>
    <x v="0"/>
  </r>
  <r>
    <n v="1824.2927999999999"/>
    <x v="2"/>
  </r>
  <r>
    <n v="1111.0344"/>
    <x v="0"/>
  </r>
  <r>
    <n v="1043.328"/>
    <x v="0"/>
  </r>
  <r>
    <n v="1553.7023999999999"/>
    <x v="0"/>
  </r>
  <r>
    <n v="484.60230000000001"/>
    <x v="0"/>
  </r>
  <r>
    <n v="792.09600000000012"/>
    <x v="1"/>
  </r>
  <r>
    <n v="1528.4588000000001"/>
    <x v="0"/>
  </r>
  <r>
    <n v="794.62400000000002"/>
    <x v="2"/>
  </r>
  <r>
    <n v="2163.1104"/>
    <x v="0"/>
  </r>
  <r>
    <n v="2509.1999999999998"/>
    <x v="2"/>
  </r>
  <r>
    <n v="764.55679999999995"/>
    <x v="0"/>
  </r>
  <r>
    <n v="1331.4911999999999"/>
    <x v="0"/>
  </r>
  <r>
    <n v="1005.6288"/>
    <x v="2"/>
  </r>
  <r>
    <n v="1451.7328"/>
    <x v="3"/>
  </r>
  <r>
    <n v="1279.2354"/>
    <x v="2"/>
  </r>
  <r>
    <n v="808.65719999999999"/>
    <x v="0"/>
  </r>
  <r>
    <n v="964.77480000000003"/>
    <x v="0"/>
  </r>
  <r>
    <n v="787.70069999999998"/>
    <x v="0"/>
  </r>
  <r>
    <n v="576.7944"/>
    <x v="0"/>
  </r>
  <r>
    <n v="1385.8368"/>
    <x v="2"/>
  </r>
  <r>
    <n v="918.92480000000012"/>
    <x v="0"/>
  </r>
  <r>
    <n v="922.36099999999988"/>
    <x v="0"/>
  </r>
  <r>
    <n v="1451.7072000000001"/>
    <x v="2"/>
  </r>
  <r>
    <n v="51.302599999999998"/>
    <x v="0"/>
  </r>
  <r>
    <n v="1015.32"/>
    <x v="2"/>
  </r>
  <r>
    <n v="3756.8876"/>
    <x v="2"/>
  </r>
  <r>
    <n v="1633.056"/>
    <x v="0"/>
  </r>
  <r>
    <n v="257.03719999999998"/>
    <x v="0"/>
  </r>
  <r>
    <n v="122.7324"/>
    <x v="0"/>
  </r>
  <r>
    <n v="31.239000000000001"/>
    <x v="2"/>
  </r>
  <r>
    <n v="1475.8869999999999"/>
    <x v="0"/>
  </r>
  <r>
    <n v="867.34800000000007"/>
    <x v="0"/>
  </r>
  <r>
    <n v="2965.1507999999999"/>
    <x v="2"/>
  </r>
  <r>
    <n v="243.42150000000001"/>
    <x v="0"/>
  </r>
  <r>
    <n v="2383.6680000000001"/>
    <x v="0"/>
  </r>
  <r>
    <n v="2201.7408"/>
    <x v="0"/>
  </r>
  <r>
    <n v="1793.4336000000001"/>
    <x v="0"/>
  </r>
  <r>
    <n v="592.20720000000006"/>
    <x v="0"/>
  </r>
  <r>
    <n v="3271.7496000000001"/>
    <x v="0"/>
  </r>
  <r>
    <n v="55.216700000000003"/>
    <x v="2"/>
  </r>
  <r>
    <n v="3400.733999999999"/>
    <x v="2"/>
  </r>
  <r>
    <n v="3028.2264"/>
    <x v="1"/>
  </r>
  <r>
    <n v="1039.1135999999999"/>
    <x v="2"/>
  </r>
  <r>
    <n v="2080.2770999999998"/>
    <x v="1"/>
  </r>
  <r>
    <n v="1349.7692"/>
    <x v="2"/>
  </r>
  <r>
    <n v="92.722300000000004"/>
    <x v="3"/>
  </r>
  <r>
    <n v="469.6508"/>
    <x v="0"/>
  </r>
  <r>
    <n v="1376.721"/>
    <x v="0"/>
  </r>
  <r>
    <n v="796.63200000000006"/>
    <x v="2"/>
  </r>
  <r>
    <n v="2592.2763"/>
    <x v="0"/>
  </r>
  <r>
    <n v="54.999000000000002"/>
    <x v="3"/>
  </r>
  <r>
    <n v="2011.7483999999999"/>
    <x v="1"/>
  </r>
  <r>
    <n v="2280.0509999999999"/>
    <x v="0"/>
  </r>
  <r>
    <n v="620.95889999999997"/>
    <x v="0"/>
  </r>
  <r>
    <n v="1456.4944"/>
    <x v="0"/>
  </r>
  <r>
    <n v="389.59829999999999"/>
    <x v="0"/>
  </r>
  <r>
    <n v="2832.9380000000001"/>
    <x v="0"/>
  </r>
  <r>
    <n v="2651.3568"/>
    <x v="0"/>
  </r>
  <r>
    <n v="2240.7020000000002"/>
    <x v="0"/>
  </r>
  <r>
    <n v="275.36079999999998"/>
    <x v="2"/>
  </r>
  <r>
    <n v="2512.0783999999999"/>
    <x v="0"/>
  </r>
  <r>
    <n v="1344.7067999999999"/>
    <x v="0"/>
  </r>
  <r>
    <n v="733.85640000000001"/>
    <x v="0"/>
  </r>
  <r>
    <n v="499.24360000000001"/>
    <x v="0"/>
  </r>
  <r>
    <n v="560.18999999999994"/>
    <x v="0"/>
  </r>
  <r>
    <n v="1172.0625"/>
    <x v="2"/>
  </r>
  <r>
    <n v="1565.982"/>
    <x v="2"/>
  </r>
  <r>
    <n v="1045.6292000000001"/>
    <x v="0"/>
  </r>
  <r>
    <n v="2242.8216000000002"/>
    <x v="0"/>
  </r>
  <r>
    <n v="615.46699999999998"/>
    <x v="2"/>
  </r>
  <r>
    <n v="323.35199999999998"/>
    <x v="3"/>
  </r>
  <r>
    <n v="977.69849999999985"/>
    <x v="2"/>
  </r>
  <r>
    <n v="3529.1619999999998"/>
    <x v="0"/>
  </r>
  <r>
    <n v="959.13179999999988"/>
    <x v="0"/>
  </r>
  <r>
    <n v="68.694199999999995"/>
    <x v="3"/>
  </r>
  <r>
    <n v="1452.4944"/>
    <x v="0"/>
  </r>
  <r>
    <n v="1592.3416"/>
    <x v="0"/>
  </r>
  <r>
    <n v="239.32259999999999"/>
    <x v="0"/>
  </r>
  <r>
    <n v="246.99600000000001"/>
    <x v="0"/>
  </r>
  <r>
    <n v="332.02339999999998"/>
    <x v="2"/>
  </r>
  <r>
    <n v="116.23139999999999"/>
    <x v="0"/>
  </r>
  <r>
    <n v="655.61040000000003"/>
    <x v="0"/>
  </r>
  <r>
    <n v="557.68680000000006"/>
    <x v="0"/>
  </r>
  <r>
    <n v="264.93889999999999"/>
    <x v="3"/>
  </r>
  <r>
    <n v="1211.0416"/>
    <x v="0"/>
  </r>
  <r>
    <n v="2681.3406"/>
    <x v="0"/>
  </r>
  <r>
    <n v="1006.2063000000001"/>
    <x v="0"/>
  </r>
  <r>
    <n v="2380.7628"/>
    <x v="0"/>
  </r>
  <r>
    <n v="215.47200000000001"/>
    <x v="3"/>
  </r>
  <r>
    <n v="165.1584"/>
    <x v="0"/>
  </r>
  <r>
    <n v="369.74"/>
    <x v="0"/>
  </r>
  <r>
    <n v="2286.1343999999999"/>
    <x v="0"/>
  </r>
  <r>
    <n v="191.88"/>
    <x v="0"/>
  </r>
  <r>
    <n v="424.875"/>
    <x v="2"/>
  </r>
  <r>
    <n v="605.43299999999999"/>
    <x v="3"/>
  </r>
  <r>
    <n v="426.411"/>
    <x v="0"/>
  </r>
  <r>
    <n v="710.44"/>
    <x v="0"/>
  </r>
  <r>
    <n v="1197.9756"/>
    <x v="0"/>
  </r>
  <r>
    <n v="729.07759999999996"/>
    <x v="0"/>
  </r>
  <r>
    <n v="3908.2428"/>
    <x v="0"/>
  </r>
  <r>
    <n v="1547.9168"/>
    <x v="0"/>
  </r>
  <r>
    <n v="1211.364"/>
    <x v="0"/>
  </r>
  <r>
    <n v="1548.0453"/>
    <x v="0"/>
  </r>
  <r>
    <n v="1768.96"/>
    <x v="3"/>
  </r>
  <r>
    <n v="1745.2989"/>
    <x v="2"/>
  </r>
  <r>
    <n v="235.2936"/>
    <x v="0"/>
  </r>
  <r>
    <n v="2094.8568"/>
    <x v="0"/>
  </r>
  <r>
    <n v="711.05579999999986"/>
    <x v="3"/>
  </r>
  <r>
    <n v="739.55970000000002"/>
    <x v="3"/>
  </r>
  <r>
    <n v="2158.7103999999999"/>
    <x v="1"/>
  </r>
  <r>
    <n v="67.502399999999994"/>
    <x v="0"/>
  </r>
  <r>
    <n v="2092.2192"/>
    <x v="0"/>
  </r>
  <r>
    <n v="198.50559999999999"/>
    <x v="3"/>
  </r>
  <r>
    <n v="391.77640000000002"/>
    <x v="2"/>
  </r>
  <r>
    <n v="214.8664"/>
    <x v="2"/>
  </r>
  <r>
    <n v="231.0198"/>
    <x v="2"/>
  </r>
  <r>
    <n v="2346.4584"/>
    <x v="2"/>
  </r>
  <r>
    <n v="1730.1479999999999"/>
    <x v="0"/>
  </r>
  <r>
    <n v="878.0687999999999"/>
    <x v="0"/>
  </r>
  <r>
    <n v="427.49560000000002"/>
    <x v="0"/>
  </r>
  <r>
    <n v="3179.3807999999999"/>
    <x v="3"/>
  </r>
  <r>
    <n v="191.4016"/>
    <x v="2"/>
  </r>
  <r>
    <n v="60.280200000000008"/>
    <x v="0"/>
  </r>
  <r>
    <n v="318.46080000000001"/>
    <x v="0"/>
  </r>
  <r>
    <n v="837.31829999999991"/>
    <x v="0"/>
  </r>
  <r>
    <n v="1396.5696"/>
    <x v="3"/>
  </r>
  <r>
    <n v="78.194399999999987"/>
    <x v="0"/>
  </r>
  <r>
    <n v="1402.7832000000001"/>
    <x v="3"/>
  </r>
  <r>
    <n v="1192.2174"/>
    <x v="0"/>
  </r>
  <r>
    <n v="1663.9503999999999"/>
    <x v="1"/>
  </r>
  <r>
    <n v="1697.3016"/>
    <x v="0"/>
  </r>
  <r>
    <n v="1641.63"/>
    <x v="2"/>
  </r>
  <r>
    <n v="783.42399999999998"/>
    <x v="2"/>
  </r>
  <r>
    <n v="1012.1856"/>
    <x v="2"/>
  </r>
  <r>
    <n v="616.54750000000001"/>
    <x v="0"/>
  </r>
  <r>
    <n v="424.20510000000002"/>
    <x v="0"/>
  </r>
  <r>
    <n v="695.95499999999993"/>
    <x v="2"/>
  </r>
  <r>
    <n v="1169.2264"/>
    <x v="0"/>
  </r>
  <r>
    <n v="268.10359999999997"/>
    <x v="2"/>
  </r>
  <r>
    <n v="1276.7118"/>
    <x v="0"/>
  </r>
  <r>
    <n v="1620.8416"/>
    <x v="0"/>
  </r>
  <r>
    <n v="570.62200000000007"/>
    <x v="0"/>
  </r>
  <r>
    <n v="1043.8271999999999"/>
    <x v="0"/>
  </r>
  <r>
    <n v="853.05420000000004"/>
    <x v="2"/>
  </r>
  <r>
    <n v="1555.992"/>
    <x v="0"/>
  </r>
  <r>
    <n v="958.57439999999997"/>
    <x v="2"/>
  </r>
  <r>
    <n v="320.76"/>
    <x v="2"/>
  </r>
  <r>
    <n v="810.84600000000012"/>
    <x v="2"/>
  </r>
  <r>
    <n v="756.54719999999986"/>
    <x v="0"/>
  </r>
  <r>
    <n v="497.76479999999998"/>
    <x v="2"/>
  </r>
  <r>
    <n v="2364.6480000000001"/>
    <x v="0"/>
  </r>
  <r>
    <n v="778.35680000000002"/>
    <x v="0"/>
  </r>
  <r>
    <n v="447.45299999999992"/>
    <x v="2"/>
  </r>
  <r>
    <n v="2724.32"/>
    <x v="2"/>
  </r>
  <r>
    <n v="2488.6336000000001"/>
    <x v="2"/>
  </r>
  <r>
    <n v="1661.0527999999999"/>
    <x v="0"/>
  </r>
  <r>
    <n v="527.33479999999997"/>
    <x v="0"/>
  </r>
  <r>
    <n v="494.99560000000002"/>
    <x v="2"/>
  </r>
  <r>
    <n v="1143.252"/>
    <x v="3"/>
  </r>
  <r>
    <n v="3139.3784000000001"/>
    <x v="0"/>
  </r>
  <r>
    <n v="217.77209999999999"/>
    <x v="2"/>
  </r>
  <r>
    <n v="1810.56"/>
    <x v="0"/>
  </r>
  <r>
    <n v="1395.6096"/>
    <x v="0"/>
  </r>
  <r>
    <n v="1656.395"/>
    <x v="2"/>
  </r>
  <r>
    <n v="161.238"/>
    <x v="0"/>
  </r>
  <r>
    <n v="1574.4498000000001"/>
    <x v="0"/>
  </r>
  <r>
    <n v="207.27930000000001"/>
    <x v="0"/>
  </r>
  <r>
    <n v="24.7744"/>
    <x v="0"/>
  </r>
  <r>
    <n v="955.54599999999994"/>
    <x v="0"/>
  </r>
  <r>
    <n v="3030.5223999999998"/>
    <x v="0"/>
  </r>
  <r>
    <n v="364.71600000000001"/>
    <x v="0"/>
  </r>
  <r>
    <n v="84.348600000000005"/>
    <x v="0"/>
  </r>
  <r>
    <n v="81.673900000000003"/>
    <x v="2"/>
  </r>
  <r>
    <n v="1089.5352"/>
    <x v="3"/>
  </r>
  <r>
    <n v="701.4348"/>
    <x v="0"/>
  </r>
  <r>
    <n v="392.04"/>
    <x v="0"/>
  </r>
  <r>
    <n v="2811.1181999999999"/>
    <x v="2"/>
  </r>
  <r>
    <n v="478.66559999999998"/>
    <x v="0"/>
  </r>
  <r>
    <n v="2881.4259999999999"/>
    <x v="3"/>
  </r>
  <r>
    <n v="571.38619999999992"/>
    <x v="2"/>
  </r>
  <r>
    <n v="218.804"/>
    <x v="0"/>
  </r>
  <r>
    <n v="1419.0192"/>
    <x v="3"/>
  </r>
  <r>
    <n v="689.5"/>
    <x v="2"/>
  </r>
  <r>
    <n v="307.71359999999999"/>
    <x v="0"/>
  </r>
  <r>
    <n v="2277.2944000000002"/>
    <x v="1"/>
  </r>
  <r>
    <n v="136.34880000000001"/>
    <x v="0"/>
  </r>
  <r>
    <n v="392.83789999999999"/>
    <x v="2"/>
  </r>
  <r>
    <n v="934.32449999999983"/>
    <x v="0"/>
  </r>
  <r>
    <n v="753.49019999999996"/>
    <x v="0"/>
  </r>
  <r>
    <n v="2681.1651999999999"/>
    <x v="2"/>
  </r>
  <r>
    <n v="611.68040000000008"/>
    <x v="1"/>
  </r>
  <r>
    <n v="317.32470000000001"/>
    <x v="2"/>
  </r>
  <r>
    <n v="119.7855"/>
    <x v="0"/>
  </r>
  <r>
    <n v="1951.7436"/>
    <x v="0"/>
  </r>
  <r>
    <n v="1316.2085999999999"/>
    <x v="0"/>
  </r>
  <r>
    <n v="101.2608"/>
    <x v="0"/>
  </r>
  <r>
    <n v="1375.2876000000001"/>
    <x v="0"/>
  </r>
  <r>
    <n v="2569.1024000000002"/>
    <x v="3"/>
  </r>
  <r>
    <n v="467.91"/>
    <x v="0"/>
  </r>
  <r>
    <n v="999.5920000000001"/>
    <x v="0"/>
  </r>
  <r>
    <n v="1088.1378"/>
    <x v="0"/>
  </r>
  <r>
    <n v="407.57679999999999"/>
    <x v="2"/>
  </r>
  <r>
    <n v="821.92160000000001"/>
    <x v="0"/>
  </r>
  <r>
    <n v="175.85310000000001"/>
    <x v="0"/>
  </r>
  <r>
    <n v="366.95339999999999"/>
    <x v="0"/>
  </r>
  <r>
    <n v="2574.9856"/>
    <x v="0"/>
  </r>
  <r>
    <n v="1306.4175"/>
    <x v="0"/>
  </r>
  <r>
    <n v="835.84800000000007"/>
    <x v="3"/>
  </r>
  <r>
    <n v="612.56039999999996"/>
    <x v="0"/>
  </r>
  <r>
    <n v="271.59300000000002"/>
    <x v="0"/>
  </r>
  <r>
    <n v="573.61920000000009"/>
    <x v="3"/>
  </r>
  <r>
    <n v="1900.2672"/>
    <x v="1"/>
  </r>
  <r>
    <n v="654.0489"/>
    <x v="0"/>
  </r>
  <r>
    <n v="230.88040000000001"/>
    <x v="3"/>
  </r>
  <r>
    <n v="629.36520000000007"/>
    <x v="3"/>
  </r>
  <r>
    <n v="2148.8544000000002"/>
    <x v="0"/>
  </r>
  <r>
    <n v="629.96500000000003"/>
    <x v="2"/>
  </r>
  <r>
    <n v="624.49519999999995"/>
    <x v="0"/>
  </r>
  <r>
    <n v="1383.2583999999999"/>
    <x v="2"/>
  </r>
  <r>
    <n v="2081.9225999999999"/>
    <x v="0"/>
  </r>
  <r>
    <n v="251.04419999999999"/>
    <x v="0"/>
  </r>
  <r>
    <n v="1936.7025000000001"/>
    <x v="2"/>
  </r>
  <r>
    <n v="363.09980000000002"/>
    <x v="0"/>
  </r>
  <r>
    <n v="1247.4552000000001"/>
    <x v="0"/>
  </r>
  <r>
    <n v="1228.8078"/>
    <x v="0"/>
  </r>
  <r>
    <n v="261.58"/>
    <x v="0"/>
  </r>
  <r>
    <n v="368.83280000000002"/>
    <x v="0"/>
  </r>
  <r>
    <n v="312.67360000000002"/>
    <x v="2"/>
  </r>
  <r>
    <n v="846.98459999999989"/>
    <x v="0"/>
  </r>
  <r>
    <n v="823.27499999999998"/>
    <x v="0"/>
  </r>
  <r>
    <n v="1646.3879999999999"/>
    <x v="0"/>
  </r>
  <r>
    <n v="1759.9428"/>
    <x v="0"/>
  </r>
  <r>
    <n v="427.58760000000001"/>
    <x v="0"/>
  </r>
  <r>
    <n v="2168.64"/>
    <x v="2"/>
  </r>
  <r>
    <n v="1245.1189999999999"/>
    <x v="0"/>
  </r>
  <r>
    <n v="1146.0820000000001"/>
    <x v="0"/>
  </r>
  <r>
    <n v="868.45639999999992"/>
    <x v="0"/>
  </r>
  <r>
    <n v="501.91680000000002"/>
    <x v="0"/>
  </r>
  <r>
    <n v="927.92699999999991"/>
    <x v="0"/>
  </r>
  <r>
    <n v="2310.0987"/>
    <x v="3"/>
  </r>
  <r>
    <n v="359.7783"/>
    <x v="1"/>
  </r>
  <r>
    <n v="355.5342"/>
    <x v="0"/>
  </r>
  <r>
    <n v="480.75359999999989"/>
    <x v="0"/>
  </r>
  <r>
    <n v="347.25360000000012"/>
    <x v="2"/>
  </r>
  <r>
    <n v="84.852000000000004"/>
    <x v="0"/>
  </r>
  <r>
    <n v="1715.8679999999999"/>
    <x v="0"/>
  </r>
  <r>
    <n v="1045.2354"/>
    <x v="2"/>
  </r>
  <r>
    <n v="494.0684"/>
    <x v="2"/>
  </r>
  <r>
    <n v="1134.4007999999999"/>
    <x v="0"/>
  </r>
  <r>
    <n v="835.95240000000001"/>
    <x v="0"/>
  </r>
  <r>
    <n v="1016.0784"/>
    <x v="0"/>
  </r>
  <r>
    <n v="1609.9962"/>
    <x v="1"/>
  </r>
  <r>
    <n v="485.51580000000001"/>
    <x v="0"/>
  </r>
  <r>
    <n v="925.74649999999997"/>
    <x v="2"/>
  </r>
  <r>
    <n v="1333.4780000000001"/>
    <x v="2"/>
  </r>
  <r>
    <n v="2729.8292000000001"/>
    <x v="0"/>
  </r>
  <r>
    <n v="373.59129999999999"/>
    <x v="0"/>
  </r>
  <r>
    <n v="237.6524"/>
    <x v="0"/>
  </r>
  <r>
    <n v="902.30399999999997"/>
    <x v="0"/>
  </r>
  <r>
    <n v="1254.9264000000001"/>
    <x v="0"/>
  </r>
  <r>
    <n v="1144.4248"/>
    <x v="2"/>
  </r>
  <r>
    <n v="707.02719999999999"/>
    <x v="0"/>
  </r>
  <r>
    <n v="2326.4778000000001"/>
    <x v="0"/>
  </r>
  <r>
    <n v="1314.0072"/>
    <x v="3"/>
  </r>
  <r>
    <n v="554.35380000000009"/>
    <x v="3"/>
  </r>
  <r>
    <n v="433.92960000000011"/>
    <x v="2"/>
  </r>
  <r>
    <n v="563.48699999999997"/>
    <x v="0"/>
  </r>
  <r>
    <n v="320.04199999999997"/>
    <x v="0"/>
  </r>
  <r>
    <n v="1643.4792"/>
    <x v="0"/>
  </r>
  <r>
    <n v="3026.6716000000001"/>
    <x v="2"/>
  </r>
  <r>
    <n v="531.5616"/>
    <x v="0"/>
  </r>
  <r>
    <n v="866.04959999999994"/>
    <x v="2"/>
  </r>
  <r>
    <n v="30.175999999999998"/>
    <x v="0"/>
  </r>
  <r>
    <n v="463.85820000000001"/>
    <x v="3"/>
  </r>
  <r>
    <n v="19.481000000000002"/>
    <x v="0"/>
  </r>
  <r>
    <n v="1509.2352000000001"/>
    <x v="2"/>
  </r>
  <r>
    <n v="1795.982"/>
    <x v="0"/>
  </r>
  <r>
    <n v="1186.9680000000001"/>
    <x v="0"/>
  </r>
  <r>
    <n v="919.29179999999997"/>
    <x v="0"/>
  </r>
  <r>
    <n v="1149.066"/>
    <x v="0"/>
  </r>
  <r>
    <n v="611.17420000000004"/>
    <x v="0"/>
  </r>
  <r>
    <n v="615.79719999999998"/>
    <x v="0"/>
  </r>
  <r>
    <n v="612.68850000000009"/>
    <x v="0"/>
  </r>
  <r>
    <n v="891.53279999999995"/>
    <x v="0"/>
  </r>
  <r>
    <n v="1913.8391999999999"/>
    <x v="3"/>
  </r>
  <r>
    <n v="2164.6943999999999"/>
    <x v="0"/>
  </r>
  <r>
    <n v="262.78019999999998"/>
    <x v="0"/>
  </r>
  <r>
    <n v="800.21129999999994"/>
    <x v="2"/>
  </r>
  <r>
    <n v="245.80199999999999"/>
    <x v="3"/>
  </r>
  <r>
    <n v="1686.4275"/>
    <x v="0"/>
  </r>
  <r>
    <n v="460.96080000000001"/>
    <x v="0"/>
  </r>
  <r>
    <n v="1555.4619"/>
    <x v="0"/>
  </r>
  <r>
    <n v="171.45179999999999"/>
    <x v="0"/>
  </r>
  <r>
    <n v="2579.2651999999998"/>
    <x v="0"/>
  </r>
  <r>
    <n v="1263.5904"/>
    <x v="0"/>
  </r>
  <r>
    <n v="907.70659999999998"/>
    <x v="0"/>
  </r>
  <r>
    <n v="1912.96"/>
    <x v="0"/>
  </r>
  <r>
    <n v="897.05280000000005"/>
    <x v="0"/>
  </r>
  <r>
    <n v="1048.1238000000001"/>
    <x v="0"/>
  </r>
  <r>
    <n v="705.11850000000004"/>
    <x v="3"/>
  </r>
  <r>
    <n v="1558.4646"/>
    <x v="0"/>
  </r>
  <r>
    <n v="667.20539999999994"/>
    <x v="2"/>
  </r>
  <r>
    <n v="1289.3399999999999"/>
    <x v="0"/>
  </r>
  <r>
    <n v="661.59"/>
    <x v="0"/>
  </r>
  <r>
    <n v="1278.3675000000001"/>
    <x v="2"/>
  </r>
  <r>
    <n v="2524.8384000000001"/>
    <x v="0"/>
  </r>
  <r>
    <n v="1373.2991999999999"/>
    <x v="0"/>
  </r>
  <r>
    <n v="2250.2979999999998"/>
    <x v="0"/>
  </r>
  <r>
    <n v="629.74340000000007"/>
    <x v="3"/>
  </r>
  <r>
    <n v="607.64800000000002"/>
    <x v="0"/>
  </r>
  <r>
    <n v="2495.2049999999999"/>
    <x v="1"/>
  </r>
  <r>
    <n v="308.14710000000002"/>
    <x v="0"/>
  </r>
  <r>
    <n v="1200.9059999999999"/>
    <x v="0"/>
  </r>
  <r>
    <n v="767.98800000000006"/>
    <x v="0"/>
  </r>
  <r>
    <n v="139.29"/>
    <x v="1"/>
  </r>
  <r>
    <n v="1240.8389999999999"/>
    <x v="1"/>
  </r>
  <r>
    <n v="367.65219999999999"/>
    <x v="0"/>
  </r>
  <r>
    <n v="802.1579999999999"/>
    <x v="3"/>
  </r>
  <r>
    <n v="595.14840000000004"/>
    <x v="2"/>
  </r>
  <r>
    <n v="229.88249999999999"/>
    <x v="0"/>
  </r>
  <r>
    <n v="2777.1016"/>
    <x v="0"/>
  </r>
  <r>
    <n v="306.77249999999998"/>
    <x v="0"/>
  </r>
  <r>
    <n v="1550.5662"/>
    <x v="0"/>
  </r>
  <r>
    <n v="437.17020000000002"/>
    <x v="0"/>
  </r>
  <r>
    <n v="1095.864"/>
    <x v="0"/>
  </r>
  <r>
    <n v="637.50080000000014"/>
    <x v="2"/>
  </r>
  <r>
    <n v="1128.9969000000001"/>
    <x v="0"/>
  </r>
  <r>
    <n v="523.71"/>
    <x v="0"/>
  </r>
  <r>
    <n v="2240.2800000000002"/>
    <x v="3"/>
  </r>
  <r>
    <n v="41.875999999999998"/>
    <x v="0"/>
  </r>
  <r>
    <n v="754.20119999999997"/>
    <x v="0"/>
  </r>
  <r>
    <n v="991.30199999999979"/>
    <x v="0"/>
  </r>
  <r>
    <n v="1179.1369999999999"/>
    <x v="0"/>
  </r>
  <r>
    <n v="1731.4914000000001"/>
    <x v="1"/>
  </r>
  <r>
    <n v="200.1354"/>
    <x v="2"/>
  </r>
  <r>
    <n v="1185.4584"/>
    <x v="2"/>
  </r>
  <r>
    <n v="353.56760000000003"/>
    <x v="0"/>
  </r>
  <r>
    <n v="389.67399999999998"/>
    <x v="3"/>
  </r>
  <r>
    <n v="1113.6584"/>
    <x v="0"/>
  </r>
  <r>
    <n v="383.32799999999997"/>
    <x v="0"/>
  </r>
  <r>
    <n v="28.044"/>
    <x v="0"/>
  </r>
  <r>
    <n v="818.46659999999997"/>
    <x v="0"/>
  </r>
  <r>
    <n v="85.933199999999999"/>
    <x v="0"/>
  </r>
  <r>
    <n v="695.04819999999995"/>
    <x v="0"/>
  </r>
  <r>
    <n v="1561.9212"/>
    <x v="3"/>
  </r>
  <r>
    <n v="139.03120000000001"/>
    <x v="2"/>
  </r>
  <r>
    <n v="122.9456"/>
    <x v="2"/>
  </r>
  <r>
    <n v="751.58879999999988"/>
    <x v="0"/>
  </r>
  <r>
    <n v="493.91449999999992"/>
    <x v="0"/>
  </r>
  <r>
    <n v="1613.556"/>
    <x v="0"/>
  </r>
  <r>
    <n v="537.11840000000007"/>
    <x v="0"/>
  </r>
  <r>
    <n v="621.27"/>
    <x v="0"/>
  </r>
  <r>
    <n v="867.5"/>
    <x v="1"/>
  </r>
  <r>
    <n v="272.30130000000003"/>
    <x v="0"/>
  </r>
  <r>
    <n v="212.83199999999999"/>
    <x v="0"/>
  </r>
  <r>
    <n v="844.96719999999993"/>
    <x v="0"/>
  </r>
  <r>
    <n v="3138.6759999999999"/>
    <x v="1"/>
  </r>
  <r>
    <n v="1375.6759999999999"/>
    <x v="2"/>
  </r>
  <r>
    <n v="246.77549999999999"/>
    <x v="2"/>
  </r>
  <r>
    <n v="1748.7384"/>
    <x v="0"/>
  </r>
  <r>
    <n v="623.19839999999999"/>
    <x v="3"/>
  </r>
  <r>
    <n v="502.95960000000002"/>
    <x v="0"/>
  </r>
  <r>
    <n v="520.43039999999996"/>
    <x v="0"/>
  </r>
  <r>
    <n v="316.22199999999998"/>
    <x v="0"/>
  </r>
  <r>
    <n v="544.55939999999998"/>
    <x v="3"/>
  </r>
  <r>
    <n v="56.010599999999997"/>
    <x v="2"/>
  </r>
  <r>
    <n v="1641.3904"/>
    <x v="0"/>
  </r>
  <r>
    <n v="107.0748"/>
    <x v="3"/>
  </r>
  <r>
    <n v="523.66020000000003"/>
    <x v="0"/>
  </r>
  <r>
    <n v="18.459"/>
    <x v="2"/>
  </r>
  <r>
    <n v="3205.3728000000001"/>
    <x v="0"/>
  </r>
  <r>
    <n v="2470.6439999999998"/>
    <x v="0"/>
  </r>
  <r>
    <n v="474.41449999999998"/>
    <x v="0"/>
  </r>
  <r>
    <n v="370.75619999999998"/>
    <x v="0"/>
  </r>
  <r>
    <n v="571.26209999999992"/>
    <x v="3"/>
  </r>
  <r>
    <n v="934.46460000000013"/>
    <x v="0"/>
  </r>
  <r>
    <n v="647.2349999999999"/>
    <x v="0"/>
  </r>
  <r>
    <n v="1060.4369999999999"/>
    <x v="0"/>
  </r>
  <r>
    <n v="1754.4059999999999"/>
    <x v="0"/>
  </r>
  <r>
    <n v="1874.787"/>
    <x v="2"/>
  </r>
  <r>
    <n v="124.336"/>
    <x v="0"/>
  </r>
  <r>
    <n v="2746.7712000000001"/>
    <x v="0"/>
  </r>
  <r>
    <n v="2143.6176"/>
    <x v="0"/>
  </r>
  <r>
    <n v="2486.2139999999999"/>
    <x v="0"/>
  </r>
  <r>
    <n v="154.93799999999999"/>
    <x v="0"/>
  </r>
  <r>
    <n v="2421.7944000000002"/>
    <x v="0"/>
  </r>
  <r>
    <n v="541.10160000000008"/>
    <x v="0"/>
  </r>
  <r>
    <n v="844.77059999999994"/>
    <x v="0"/>
  </r>
  <r>
    <n v="1196.5536"/>
    <x v="0"/>
  </r>
  <r>
    <n v="1082.835"/>
    <x v="2"/>
  </r>
  <r>
    <n v="3817.6880000000001"/>
    <x v="0"/>
  </r>
  <r>
    <n v="267.20600000000002"/>
    <x v="0"/>
  </r>
  <r>
    <n v="603.71640000000002"/>
    <x v="0"/>
  </r>
  <r>
    <n v="1866.2719999999999"/>
    <x v="0"/>
  </r>
  <r>
    <n v="1661.6624999999999"/>
    <x v="1"/>
  </r>
  <r>
    <n v="1206.6407999999999"/>
    <x v="0"/>
  </r>
  <r>
    <n v="824.48639999999989"/>
    <x v="0"/>
  </r>
  <r>
    <n v="1069.5302999999999"/>
    <x v="0"/>
  </r>
  <r>
    <n v="1968.5753999999999"/>
    <x v="1"/>
  </r>
  <r>
    <n v="1483.8119999999999"/>
    <x v="0"/>
  </r>
  <r>
    <n v="345.32479999999998"/>
    <x v="1"/>
  </r>
  <r>
    <n v="59.593499999999999"/>
    <x v="3"/>
  </r>
  <r>
    <n v="568.09620000000007"/>
    <x v="1"/>
  </r>
  <r>
    <n v="671.02289999999994"/>
    <x v="0"/>
  </r>
  <r>
    <n v="1573.9359999999999"/>
    <x v="0"/>
  </r>
  <r>
    <n v="488.90660000000003"/>
    <x v="2"/>
  </r>
  <r>
    <n v="2286.4674"/>
    <x v="0"/>
  </r>
  <r>
    <n v="1901.4159999999999"/>
    <x v="2"/>
  </r>
  <r>
    <n v="675.94240000000013"/>
    <x v="3"/>
  </r>
  <r>
    <n v="2066.3663999999999"/>
    <x v="0"/>
  </r>
  <r>
    <n v="711.42959999999994"/>
    <x v="3"/>
  </r>
  <r>
    <n v="443.327"/>
    <x v="0"/>
  </r>
  <r>
    <n v="1255.8393000000001"/>
    <x v="0"/>
  </r>
  <r>
    <n v="1583.806"/>
    <x v="0"/>
  </r>
  <r>
    <n v="355.23840000000001"/>
    <x v="2"/>
  </r>
  <r>
    <n v="1813.1728000000001"/>
    <x v="0"/>
  </r>
  <r>
    <n v="2593.9104000000002"/>
    <x v="0"/>
  </r>
  <r>
    <n v="326.00070000000011"/>
    <x v="0"/>
  </r>
  <r>
    <n v="803.01599999999996"/>
    <x v="0"/>
  </r>
  <r>
    <n v="1799.55"/>
    <x v="3"/>
  </r>
  <r>
    <n v="113.0128"/>
    <x v="2"/>
  </r>
  <r>
    <n v="820.89920000000006"/>
    <x v="0"/>
  </r>
  <r>
    <n v="1968.1116"/>
    <x v="0"/>
  </r>
  <r>
    <n v="1930.761"/>
    <x v="0"/>
  </r>
  <r>
    <n v="1733.2565999999999"/>
    <x v="0"/>
  </r>
  <r>
    <n v="2312.2912000000001"/>
    <x v="1"/>
  </r>
  <r>
    <n v="1472.5308"/>
    <x v="1"/>
  </r>
  <r>
    <n v="2090.2723999999998"/>
    <x v="1"/>
  </r>
  <r>
    <n v="1690.7814000000001"/>
    <x v="1"/>
  </r>
  <r>
    <n v="1377.6432"/>
    <x v="2"/>
  </r>
  <r>
    <n v="3133.7256000000002"/>
    <x v="0"/>
  </r>
  <r>
    <n v="981.97259999999994"/>
    <x v="0"/>
  </r>
  <r>
    <n v="441.55169999999998"/>
    <x v="0"/>
  </r>
  <r>
    <n v="476.91660000000002"/>
    <x v="0"/>
  </r>
  <r>
    <n v="56.880400000000002"/>
    <x v="0"/>
  </r>
  <r>
    <n v="2408.6664000000001"/>
    <x v="2"/>
  </r>
  <r>
    <n v="787.28039999999999"/>
    <x v="0"/>
  </r>
  <r>
    <n v="1087.8444"/>
    <x v="2"/>
  </r>
  <r>
    <n v="1723.5719999999999"/>
    <x v="3"/>
  </r>
  <r>
    <n v="584.78399999999988"/>
    <x v="0"/>
  </r>
  <r>
    <n v="1281.8937000000001"/>
    <x v="3"/>
  </r>
  <r>
    <n v="2380.4639999999999"/>
    <x v="3"/>
  </r>
  <r>
    <n v="1304.2182"/>
    <x v="0"/>
  </r>
  <r>
    <n v="968.16959999999995"/>
    <x v="0"/>
  </r>
  <r>
    <n v="65.729200000000006"/>
    <x v="1"/>
  </r>
  <r>
    <n v="1327.8846000000001"/>
    <x v="2"/>
  </r>
  <r>
    <n v="1805.2736"/>
    <x v="0"/>
  </r>
  <r>
    <n v="2100.0441000000001"/>
    <x v="0"/>
  </r>
  <r>
    <n v="3030.424"/>
    <x v="0"/>
  </r>
  <r>
    <n v="491.32860000000011"/>
    <x v="0"/>
  </r>
  <r>
    <n v="689.17200000000014"/>
    <x v="0"/>
  </r>
  <r>
    <n v="1914.8480999999999"/>
    <x v="0"/>
  </r>
  <r>
    <n v="801.44959999999992"/>
    <x v="2"/>
  </r>
  <r>
    <n v="359.61380000000003"/>
    <x v="0"/>
  </r>
  <r>
    <n v="187.14840000000001"/>
    <x v="1"/>
  </r>
  <r>
    <n v="761.73839999999996"/>
    <x v="2"/>
  </r>
  <r>
    <n v="680.88400000000001"/>
    <x v="0"/>
  </r>
  <r>
    <n v="246.5856"/>
    <x v="0"/>
  </r>
  <r>
    <n v="2862.1208000000001"/>
    <x v="0"/>
  </r>
  <r>
    <n v="159.3408"/>
    <x v="0"/>
  </r>
  <r>
    <n v="394.90199999999999"/>
    <x v="2"/>
  </r>
  <r>
    <n v="453.58170000000001"/>
    <x v="2"/>
  </r>
  <r>
    <n v="447.82960000000003"/>
    <x v="0"/>
  </r>
  <r>
    <n v="1638.3912"/>
    <x v="3"/>
  </r>
  <r>
    <n v="1320.0640000000001"/>
    <x v="2"/>
  </r>
  <r>
    <n v="828.83359999999993"/>
    <x v="0"/>
  </r>
  <r>
    <n v="209.65119999999999"/>
    <x v="3"/>
  </r>
  <r>
    <n v="726.36479999999995"/>
    <x v="0"/>
  </r>
  <r>
    <n v="373.83839999999998"/>
    <x v="2"/>
  </r>
  <r>
    <n v="283.7484"/>
    <x v="1"/>
  </r>
  <r>
    <n v="208.3134"/>
    <x v="1"/>
  </r>
  <r>
    <n v="1299.9000000000001"/>
    <x v="3"/>
  </r>
  <r>
    <n v="70.924799999999991"/>
    <x v="0"/>
  </r>
  <r>
    <n v="721.8119999999999"/>
    <x v="0"/>
  </r>
  <r>
    <n v="2897.233999999999"/>
    <x v="3"/>
  </r>
  <r>
    <n v="262.80799999999999"/>
    <x v="3"/>
  </r>
  <r>
    <n v="33.129600000000003"/>
    <x v="2"/>
  </r>
  <r>
    <n v="1871.7185999999999"/>
    <x v="0"/>
  </r>
  <r>
    <n v="356.18669999999997"/>
    <x v="2"/>
  </r>
  <r>
    <n v="1230.9501"/>
    <x v="0"/>
  </r>
  <r>
    <n v="1489.8743999999999"/>
    <x v="0"/>
  </r>
  <r>
    <n v="1818.3263999999999"/>
    <x v="0"/>
  </r>
  <r>
    <n v="489.78199999999993"/>
    <x v="2"/>
  </r>
  <r>
    <n v="509.14980000000008"/>
    <x v="2"/>
  </r>
  <r>
    <n v="998.18729999999994"/>
    <x v="0"/>
  </r>
  <r>
    <n v="466.78170000000011"/>
    <x v="0"/>
  </r>
  <r>
    <n v="698.76"/>
    <x v="1"/>
  </r>
  <r>
    <n v="1988.568"/>
    <x v="0"/>
  </r>
  <r>
    <n v="1177.0512000000001"/>
    <x v="0"/>
  </r>
  <r>
    <n v="680.65200000000004"/>
    <x v="0"/>
  </r>
  <r>
    <n v="808.64189999999996"/>
    <x v="2"/>
  </r>
  <r>
    <n v="150.76079999999999"/>
    <x v="0"/>
  </r>
  <r>
    <n v="626.67989999999998"/>
    <x v="2"/>
  </r>
  <r>
    <n v="116.39700000000001"/>
    <x v="3"/>
  </r>
  <r>
    <n v="3181.8919999999998"/>
    <x v="0"/>
  </r>
  <r>
    <n v="127.3944"/>
    <x v="0"/>
  </r>
  <r>
    <n v="2826.5160000000001"/>
    <x v="1"/>
  </r>
  <r>
    <n v="1542.1751999999999"/>
    <x v="0"/>
  </r>
  <r>
    <n v="467.77280000000002"/>
    <x v="0"/>
  </r>
  <r>
    <n v="1413.93"/>
    <x v="0"/>
  </r>
  <r>
    <n v="1066.0735999999999"/>
    <x v="0"/>
  </r>
  <r>
    <n v="355.71519999999998"/>
    <x v="0"/>
  </r>
  <r>
    <n v="2404.6821"/>
    <x v="0"/>
  </r>
  <r>
    <n v="606.73080000000004"/>
    <x v="1"/>
  </r>
  <r>
    <n v="1173.508"/>
    <x v="0"/>
  </r>
  <r>
    <n v="1191.6812"/>
    <x v="0"/>
  </r>
  <r>
    <n v="955.01519999999994"/>
    <x v="2"/>
  </r>
  <r>
    <n v="1690.3040000000001"/>
    <x v="0"/>
  </r>
  <r>
    <n v="136.5984"/>
    <x v="2"/>
  </r>
  <r>
    <n v="1270.7460000000001"/>
    <x v="0"/>
  </r>
  <r>
    <n v="1968.6941999999999"/>
    <x v="0"/>
  </r>
  <r>
    <n v="809.04560000000004"/>
    <x v="0"/>
  </r>
  <r>
    <n v="144.9624"/>
    <x v="0"/>
  </r>
  <r>
    <n v="1018.668"/>
    <x v="2"/>
  </r>
  <r>
    <n v="2468.4387000000002"/>
    <x v="2"/>
  </r>
  <r>
    <n v="2278.3208"/>
    <x v="2"/>
  </r>
  <r>
    <n v="2291.6432"/>
    <x v="2"/>
  </r>
  <r>
    <n v="64.895600000000002"/>
    <x v="1"/>
  </r>
  <r>
    <n v="1266.356"/>
    <x v="0"/>
  </r>
  <r>
    <n v="991.26239999999996"/>
    <x v="2"/>
  </r>
  <r>
    <n v="1742.0255999999999"/>
    <x v="0"/>
  </r>
  <r>
    <n v="1628.1702"/>
    <x v="0"/>
  </r>
  <r>
    <n v="1518.6335999999999"/>
    <x v="0"/>
  </r>
  <r>
    <n v="646.29599999999994"/>
    <x v="0"/>
  </r>
  <r>
    <n v="197.7336"/>
    <x v="0"/>
  </r>
  <r>
    <n v="433.77199999999999"/>
    <x v="0"/>
  </r>
  <r>
    <n v="721.8211"/>
    <x v="0"/>
  </r>
  <r>
    <n v="1267.6251"/>
    <x v="0"/>
  </r>
  <r>
    <n v="603.54259999999988"/>
    <x v="0"/>
  </r>
  <r>
    <n v="1251.5072"/>
    <x v="0"/>
  </r>
  <r>
    <n v="895.68809999999996"/>
    <x v="0"/>
  </r>
  <r>
    <n v="946.53000000000009"/>
    <x v="0"/>
  </r>
  <r>
    <n v="1787.3469"/>
    <x v="0"/>
  </r>
  <r>
    <n v="528.3066"/>
    <x v="0"/>
  </r>
  <r>
    <n v="305.94240000000002"/>
    <x v="0"/>
  </r>
  <r>
    <n v="1369.6744000000001"/>
    <x v="0"/>
  </r>
  <r>
    <n v="1228.4412"/>
    <x v="0"/>
  </r>
  <r>
    <n v="1896.72"/>
    <x v="0"/>
  </r>
  <r>
    <n v="1386.2428"/>
    <x v="0"/>
  </r>
  <r>
    <n v="478.03019999999998"/>
    <x v="0"/>
  </r>
  <r>
    <n v="671.89779999999996"/>
    <x v="0"/>
  </r>
  <r>
    <n v="91.402000000000001"/>
    <x v="0"/>
  </r>
  <r>
    <n v="591.58360000000005"/>
    <x v="0"/>
  </r>
  <r>
    <n v="566.42039999999997"/>
    <x v="0"/>
  </r>
  <r>
    <n v="674.63560000000007"/>
    <x v="0"/>
  </r>
  <r>
    <n v="155.22720000000001"/>
    <x v="0"/>
  </r>
  <r>
    <n v="817.21080000000006"/>
    <x v="0"/>
  </r>
  <r>
    <n v="956.16639999999995"/>
    <x v="0"/>
  </r>
  <r>
    <n v="664.35"/>
    <x v="0"/>
  </r>
  <r>
    <n v="353.27339999999998"/>
    <x v="0"/>
  </r>
  <r>
    <n v="2691.7435999999998"/>
    <x v="0"/>
  </r>
  <r>
    <n v="763.30799999999999"/>
    <x v="0"/>
  </r>
  <r>
    <n v="222.26750000000001"/>
    <x v="0"/>
  </r>
  <r>
    <n v="2135.4168"/>
    <x v="0"/>
  </r>
  <r>
    <n v="2478.4499999999998"/>
    <x v="2"/>
  </r>
  <r>
    <n v="1439.136"/>
    <x v="0"/>
  </r>
  <r>
    <n v="871.41929999999991"/>
    <x v="0"/>
  </r>
  <r>
    <n v="1236.48"/>
    <x v="0"/>
  </r>
  <r>
    <n v="1794.3030000000001"/>
    <x v="0"/>
  </r>
  <r>
    <n v="199.2928"/>
    <x v="2"/>
  </r>
  <r>
    <n v="1022.6838"/>
    <x v="0"/>
  </r>
  <r>
    <n v="810.08579999999995"/>
    <x v="1"/>
  </r>
  <r>
    <n v="2807.8008"/>
    <x v="0"/>
  </r>
  <r>
    <n v="616.029"/>
    <x v="2"/>
  </r>
  <r>
    <n v="1442.76"/>
    <x v="2"/>
  </r>
  <r>
    <n v="69.273600000000002"/>
    <x v="0"/>
  </r>
  <r>
    <n v="2263.0068000000001"/>
    <x v="2"/>
  </r>
  <r>
    <n v="1149.558"/>
    <x v="3"/>
  </r>
  <r>
    <n v="803.22879999999998"/>
    <x v="0"/>
  </r>
  <r>
    <n v="611.20500000000004"/>
    <x v="0"/>
  </r>
  <r>
    <n v="676.73919999999998"/>
    <x v="0"/>
  </r>
  <r>
    <n v="514.69319999999993"/>
    <x v="0"/>
  </r>
  <r>
    <n v="92.848399999999998"/>
    <x v="0"/>
  </r>
  <r>
    <n v="756.76580000000001"/>
    <x v="0"/>
  </r>
  <r>
    <n v="2545.44"/>
    <x v="0"/>
  </r>
  <r>
    <n v="887.56200000000013"/>
    <x v="1"/>
  </r>
  <r>
    <n v="769.04399999999998"/>
    <x v="0"/>
  </r>
  <r>
    <n v="780.69119999999998"/>
    <x v="0"/>
  </r>
  <r>
    <n v="398.95310000000012"/>
    <x v="0"/>
  </r>
  <r>
    <n v="124.8768"/>
    <x v="0"/>
  </r>
  <r>
    <n v="2167.9223999999999"/>
    <x v="3"/>
  </r>
  <r>
    <n v="526.24439999999993"/>
    <x v="3"/>
  </r>
  <r>
    <n v="435.27359999999999"/>
    <x v="0"/>
  </r>
  <r>
    <n v="616.50819999999999"/>
    <x v="3"/>
  </r>
  <r>
    <n v="514.9"/>
    <x v="2"/>
  </r>
  <r>
    <n v="1156.3725999999999"/>
    <x v="0"/>
  </r>
  <r>
    <n v="258.822"/>
    <x v="2"/>
  </r>
  <r>
    <n v="1120.0599"/>
    <x v="0"/>
  </r>
  <r>
    <n v="131.047"/>
    <x v="2"/>
  </r>
  <r>
    <n v="2168.9369999999999"/>
    <x v="0"/>
  </r>
  <r>
    <n v="815.07200000000012"/>
    <x v="0"/>
  </r>
  <r>
    <n v="1665.692"/>
    <x v="2"/>
  </r>
  <r>
    <n v="1570.4166"/>
    <x v="3"/>
  </r>
  <r>
    <n v="405.32"/>
    <x v="3"/>
  </r>
  <r>
    <n v="2269.4976000000001"/>
    <x v="1"/>
  </r>
  <r>
    <n v="3225.9468000000002"/>
    <x v="0"/>
  </r>
  <r>
    <n v="2107.5246000000002"/>
    <x v="0"/>
  </r>
  <r>
    <n v="774.18000000000006"/>
    <x v="0"/>
  </r>
  <r>
    <n v="1080.2103999999999"/>
    <x v="0"/>
  </r>
  <r>
    <n v="689.38279999999997"/>
    <x v="3"/>
  </r>
  <r>
    <n v="36.027200000000001"/>
    <x v="0"/>
  </r>
  <r>
    <n v="600.29549999999995"/>
    <x v="2"/>
  </r>
  <r>
    <n v="1631.3309999999999"/>
    <x v="2"/>
  </r>
  <r>
    <n v="649.74"/>
    <x v="0"/>
  </r>
  <r>
    <n v="231.55500000000001"/>
    <x v="0"/>
  </r>
  <r>
    <n v="1404.075"/>
    <x v="0"/>
  </r>
  <r>
    <n v="193.2576"/>
    <x v="0"/>
  </r>
  <r>
    <n v="1351.3584000000001"/>
    <x v="0"/>
  </r>
  <r>
    <n v="570.11760000000004"/>
    <x v="0"/>
  </r>
  <r>
    <n v="52.003"/>
    <x v="0"/>
  </r>
  <r>
    <n v="1404.0527999999999"/>
    <x v="3"/>
  </r>
  <r>
    <n v="81.647999999999996"/>
    <x v="0"/>
  </r>
  <r>
    <n v="385.2996"/>
    <x v="2"/>
  </r>
  <r>
    <n v="159.87549999999999"/>
    <x v="2"/>
  </r>
  <r>
    <n v="352.59300000000002"/>
    <x v="0"/>
  </r>
  <r>
    <n v="403.58850000000001"/>
    <x v="0"/>
  </r>
  <r>
    <n v="449.51400000000001"/>
    <x v="0"/>
  </r>
  <r>
    <n v="1187.1780000000001"/>
    <x v="0"/>
  </r>
  <r>
    <n v="1175.4168"/>
    <x v="0"/>
  </r>
  <r>
    <n v="3440.0272"/>
    <x v="2"/>
  </r>
  <r>
    <n v="645.30080000000009"/>
    <x v="0"/>
  </r>
  <r>
    <n v="190.7064"/>
    <x v="0"/>
  </r>
  <r>
    <n v="906.23660000000007"/>
    <x v="0"/>
  </r>
  <r>
    <n v="1482.0798"/>
    <x v="0"/>
  </r>
  <r>
    <n v="2102.424"/>
    <x v="0"/>
  </r>
  <r>
    <n v="1219.2570000000001"/>
    <x v="2"/>
  </r>
  <r>
    <n v="1655.7170000000001"/>
    <x v="1"/>
  </r>
  <r>
    <n v="422.01299999999998"/>
    <x v="2"/>
  </r>
  <r>
    <n v="429.32159999999999"/>
    <x v="0"/>
  </r>
  <r>
    <n v="1639.2095999999999"/>
    <x v="0"/>
  </r>
  <r>
    <n v="85.169700000000006"/>
    <x v="0"/>
  </r>
  <r>
    <n v="2397.4079999999999"/>
    <x v="0"/>
  </r>
  <r>
    <n v="296.31689999999998"/>
    <x v="0"/>
  </r>
  <r>
    <n v="285.96719999999999"/>
    <x v="2"/>
  </r>
  <r>
    <n v="304.76749999999998"/>
    <x v="0"/>
  </r>
  <r>
    <n v="767.48159999999996"/>
    <x v="2"/>
  </r>
  <r>
    <n v="1147.4495999999999"/>
    <x v="0"/>
  </r>
  <r>
    <n v="1776.3743999999999"/>
    <x v="0"/>
  </r>
  <r>
    <n v="545.80500000000006"/>
    <x v="3"/>
  </r>
  <r>
    <n v="945.12599999999998"/>
    <x v="0"/>
  </r>
  <r>
    <n v="2232.5688"/>
    <x v="0"/>
  </r>
  <r>
    <n v="2971.0295999999998"/>
    <x v="0"/>
  </r>
  <r>
    <n v="942.01600000000008"/>
    <x v="0"/>
  </r>
  <r>
    <n v="1628.0208"/>
    <x v="2"/>
  </r>
  <r>
    <n v="889.30799999999999"/>
    <x v="0"/>
  </r>
  <r>
    <n v="661.7595"/>
    <x v="2"/>
  </r>
  <r>
    <n v="1845.9659999999999"/>
    <x v="0"/>
  </r>
  <r>
    <n v="1828.1120000000001"/>
    <x v="2"/>
  </r>
  <r>
    <n v="593.79"/>
    <x v="0"/>
  </r>
  <r>
    <n v="1900.1135999999999"/>
    <x v="0"/>
  </r>
  <r>
    <n v="2950.14"/>
    <x v="2"/>
  </r>
  <r>
    <n v="821.35159999999996"/>
    <x v="2"/>
  </r>
  <r>
    <n v="1756.5324000000001"/>
    <x v="0"/>
  </r>
  <r>
    <n v="1568.943"/>
    <x v="0"/>
  </r>
  <r>
    <n v="548.06200000000001"/>
    <x v="2"/>
  </r>
  <r>
    <n v="954.06080000000009"/>
    <x v="1"/>
  </r>
  <r>
    <n v="1194.9028000000001"/>
    <x v="3"/>
  </r>
  <r>
    <n v="3220.3444"/>
    <x v="0"/>
  </r>
  <r>
    <n v="40.976100000000002"/>
    <x v="2"/>
  </r>
  <r>
    <n v="189.61760000000001"/>
    <x v="2"/>
  </r>
  <r>
    <n v="264.91500000000002"/>
    <x v="2"/>
  </r>
  <r>
    <n v="1369.1215999999999"/>
    <x v="0"/>
  </r>
  <r>
    <n v="331.17"/>
    <x v="0"/>
  </r>
  <r>
    <n v="1275.799"/>
    <x v="2"/>
  </r>
  <r>
    <n v="1926.15"/>
    <x v="0"/>
  </r>
  <r>
    <n v="1370.5232000000001"/>
    <x v="2"/>
  </r>
  <r>
    <n v="679.18619999999999"/>
    <x v="0"/>
  </r>
  <r>
    <n v="1053.7551000000001"/>
    <x v="2"/>
  </r>
  <r>
    <n v="333.85090000000002"/>
    <x v="2"/>
  </r>
  <r>
    <n v="819.71759999999995"/>
    <x v="3"/>
  </r>
  <r>
    <n v="1187.8979999999999"/>
    <x v="0"/>
  </r>
  <r>
    <n v="2093.6736000000001"/>
    <x v="0"/>
  </r>
  <r>
    <n v="202.9836"/>
    <x v="2"/>
  </r>
  <r>
    <n v="32.659199999999998"/>
    <x v="0"/>
  </r>
  <r>
    <n v="1031.7507000000001"/>
    <x v="0"/>
  </r>
  <r>
    <n v="1746.712"/>
    <x v="0"/>
  </r>
  <r>
    <n v="1754.94"/>
    <x v="3"/>
  </r>
  <r>
    <n v="530.21159999999998"/>
    <x v="0"/>
  </r>
  <r>
    <n v="2035.854"/>
    <x v="0"/>
  </r>
  <r>
    <n v="361.45920000000001"/>
    <x v="0"/>
  </r>
  <r>
    <n v="953.45100000000014"/>
    <x v="0"/>
  </r>
  <r>
    <n v="685.3069999999999"/>
    <x v="2"/>
  </r>
  <r>
    <n v="584.04599999999994"/>
    <x v="0"/>
  </r>
  <r>
    <n v="530.14499999999998"/>
    <x v="1"/>
  </r>
  <r>
    <n v="3721.52"/>
    <x v="2"/>
  </r>
  <r>
    <n v="665.51679999999999"/>
    <x v="0"/>
  </r>
  <r>
    <n v="229.35640000000001"/>
    <x v="0"/>
  </r>
  <r>
    <n v="800.58119999999997"/>
    <x v="0"/>
  </r>
  <r>
    <n v="122.968"/>
    <x v="0"/>
  </r>
  <r>
    <n v="1363.4544000000001"/>
    <x v="0"/>
  </r>
  <r>
    <n v="912.00359999999989"/>
    <x v="0"/>
  </r>
  <r>
    <n v="112.4496"/>
    <x v="3"/>
  </r>
  <r>
    <n v="1287.6084000000001"/>
    <x v="1"/>
  </r>
  <r>
    <n v="3602.7264"/>
    <x v="2"/>
  </r>
  <r>
    <n v="1538.4005999999999"/>
    <x v="0"/>
  </r>
  <r>
    <n v="82.54679999999999"/>
    <x v="1"/>
  </r>
  <r>
    <n v="1417.8240000000001"/>
    <x v="0"/>
  </r>
  <r>
    <n v="213.709"/>
    <x v="3"/>
  </r>
  <r>
    <n v="800.33699999999999"/>
    <x v="0"/>
  </r>
  <r>
    <n v="333.04919999999998"/>
    <x v="0"/>
  </r>
  <r>
    <n v="514.29959999999994"/>
    <x v="0"/>
  </r>
  <r>
    <n v="2299.5983999999999"/>
    <x v="0"/>
  </r>
  <r>
    <n v="2013.7872"/>
    <x v="2"/>
  </r>
  <r>
    <n v="1228.4894999999999"/>
    <x v="1"/>
  </r>
  <r>
    <n v="77.022000000000006"/>
    <x v="0"/>
  </r>
  <r>
    <n v="2560"/>
    <x v="0"/>
  </r>
  <r>
    <n v="262.51499999999999"/>
    <x v="0"/>
  </r>
  <r>
    <n v="158.50749999999999"/>
    <x v="0"/>
  </r>
  <r>
    <n v="2205.0239999999999"/>
    <x v="2"/>
  </r>
  <r>
    <n v="1538.942"/>
    <x v="0"/>
  </r>
  <r>
    <n v="909.83199999999999"/>
    <x v="0"/>
  </r>
  <r>
    <n v="194.17859999999999"/>
    <x v="0"/>
  </r>
  <r>
    <n v="2566.404"/>
    <x v="0"/>
  </r>
  <r>
    <n v="786.19040000000007"/>
    <x v="0"/>
  </r>
  <r>
    <n v="1125.896"/>
    <x v="3"/>
  </r>
  <r>
    <n v="1715.0595000000001"/>
    <x v="2"/>
  </r>
  <r>
    <n v="887.30400000000009"/>
    <x v="0"/>
  </r>
  <r>
    <n v="800.72879999999998"/>
    <x v="2"/>
  </r>
  <r>
    <n v="2859.2928000000002"/>
    <x v="1"/>
  </r>
  <r>
    <n v="570.78420000000006"/>
    <x v="0"/>
  </r>
  <r>
    <n v="2481.5216"/>
    <x v="0"/>
  </r>
  <r>
    <n v="2358.1583999999998"/>
    <x v="0"/>
  </r>
  <r>
    <n v="445.10399999999998"/>
    <x v="0"/>
  </r>
  <r>
    <n v="1371.5504000000001"/>
    <x v="3"/>
  </r>
  <r>
    <n v="673.875"/>
    <x v="0"/>
  </r>
  <r>
    <n v="223.87280000000001"/>
    <x v="3"/>
  </r>
  <r>
    <n v="574.10699999999997"/>
    <x v="0"/>
  </r>
  <r>
    <n v="529.88580000000002"/>
    <x v="0"/>
  </r>
  <r>
    <n v="929.16320000000007"/>
    <x v="0"/>
  </r>
  <r>
    <n v="1071.904"/>
    <x v="1"/>
  </r>
  <r>
    <n v="763.97759999999994"/>
    <x v="0"/>
  </r>
  <r>
    <n v="712.59749999999985"/>
    <x v="0"/>
  </r>
  <r>
    <n v="2013.5178000000001"/>
    <x v="1"/>
  </r>
  <r>
    <n v="1438.8352"/>
    <x v="0"/>
  </r>
  <r>
    <n v="213.55879999999999"/>
    <x v="2"/>
  </r>
  <r>
    <n v="1925.8533"/>
    <x v="0"/>
  </r>
  <r>
    <n v="1146.6271999999999"/>
    <x v="0"/>
  </r>
  <r>
    <n v="64.878399999999999"/>
    <x v="3"/>
  </r>
  <r>
    <n v="36.225000000000001"/>
    <x v="2"/>
  </r>
  <r>
    <n v="1537.404"/>
    <x v="0"/>
  </r>
  <r>
    <n v="1548.9465"/>
    <x v="2"/>
  </r>
  <r>
    <n v="1969.9559999999999"/>
    <x v="3"/>
  </r>
  <r>
    <n v="1659.9756"/>
    <x v="0"/>
  </r>
  <r>
    <n v="1280.115"/>
    <x v="1"/>
  </r>
  <r>
    <n v="150.7902"/>
    <x v="2"/>
  </r>
  <r>
    <n v="812.75739999999996"/>
    <x v="0"/>
  </r>
  <r>
    <n v="1005.3216"/>
    <x v="1"/>
  </r>
  <r>
    <n v="590.84100000000001"/>
    <x v="0"/>
  </r>
  <r>
    <n v="1040.2403999999999"/>
    <x v="3"/>
  </r>
  <r>
    <n v="2182.4463999999998"/>
    <x v="2"/>
  </r>
  <r>
    <n v="105.47280000000001"/>
    <x v="0"/>
  </r>
  <r>
    <n v="343.6694"/>
    <x v="0"/>
  </r>
  <r>
    <n v="103.9311"/>
    <x v="0"/>
  </r>
  <r>
    <n v="900.59199999999998"/>
    <x v="2"/>
  </r>
  <r>
    <n v="1505.2575999999999"/>
    <x v="1"/>
  </r>
  <r>
    <n v="926.40100000000007"/>
    <x v="0"/>
  </r>
  <r>
    <n v="242.03899999999999"/>
    <x v="0"/>
  </r>
  <r>
    <n v="1627.4391000000001"/>
    <x v="1"/>
  </r>
  <r>
    <n v="138.4229"/>
    <x v="0"/>
  </r>
  <r>
    <n v="1774.3440000000001"/>
    <x v="2"/>
  </r>
  <r>
    <n v="1477.5"/>
    <x v="0"/>
  </r>
  <r>
    <n v="615.74040000000002"/>
    <x v="0"/>
  </r>
  <r>
    <n v="2774.6131999999998"/>
    <x v="2"/>
  </r>
  <r>
    <n v="450.52399999999989"/>
    <x v="2"/>
  </r>
  <r>
    <n v="2549.4839999999999"/>
    <x v="1"/>
  </r>
  <r>
    <n v="1359.5925"/>
    <x v="0"/>
  </r>
  <r>
    <n v="1373.7651000000001"/>
    <x v="2"/>
  </r>
  <r>
    <n v="502.62119999999999"/>
    <x v="0"/>
  </r>
  <r>
    <n v="1861.9880000000001"/>
    <x v="0"/>
  </r>
  <r>
    <n v="1904.5440000000001"/>
    <x v="0"/>
  </r>
  <r>
    <n v="273.52260000000001"/>
    <x v="0"/>
  </r>
  <r>
    <n v="95.408200000000008"/>
    <x v="0"/>
  </r>
  <r>
    <n v="700.5544000000001"/>
    <x v="0"/>
  </r>
  <r>
    <n v="257.24009999999998"/>
    <x v="1"/>
  </r>
  <r>
    <n v="2460.3708000000001"/>
    <x v="0"/>
  </r>
  <r>
    <n v="142.52520000000001"/>
    <x v="2"/>
  </r>
  <r>
    <n v="287.38799999999998"/>
    <x v="0"/>
  </r>
  <r>
    <n v="2760.5439999999999"/>
    <x v="0"/>
  </r>
  <r>
    <n v="54.489600000000003"/>
    <x v="3"/>
  </r>
  <r>
    <n v="1448.752"/>
    <x v="3"/>
  </r>
  <r>
    <n v="469.00080000000003"/>
    <x v="0"/>
  </r>
  <r>
    <n v="1741.35"/>
    <x v="3"/>
  </r>
  <r>
    <n v="1482.1808000000001"/>
    <x v="0"/>
  </r>
  <r>
    <n v="634.17840000000001"/>
    <x v="0"/>
  </r>
  <r>
    <n v="3034.2824000000001"/>
    <x v="2"/>
  </r>
  <r>
    <n v="1867.9205999999999"/>
    <x v="0"/>
  </r>
  <r>
    <n v="2839.6248000000001"/>
    <x v="2"/>
  </r>
  <r>
    <n v="1602.7067999999999"/>
    <x v="0"/>
  </r>
  <r>
    <n v="2281.14"/>
    <x v="0"/>
  </r>
  <r>
    <n v="1451.6960999999999"/>
    <x v="3"/>
  </r>
  <r>
    <n v="1792.1180999999999"/>
    <x v="0"/>
  </r>
  <r>
    <n v="954.76499999999999"/>
    <x v="2"/>
  </r>
  <r>
    <n v="1142.4972"/>
    <x v="1"/>
  </r>
  <r>
    <n v="396.23039999999992"/>
    <x v="0"/>
  </r>
  <r>
    <n v="3019.2287999999999"/>
    <x v="0"/>
  </r>
  <r>
    <n v="342.92250000000001"/>
    <x v="2"/>
  </r>
  <r>
    <n v="2100.7728000000002"/>
    <x v="0"/>
  </r>
  <r>
    <n v="523.77599999999995"/>
    <x v="0"/>
  </r>
  <r>
    <n v="372.0299"/>
    <x v="0"/>
  </r>
  <r>
    <n v="1311.4192"/>
    <x v="0"/>
  </r>
  <r>
    <n v="2487.3809999999989"/>
    <x v="0"/>
  </r>
  <r>
    <n v="373.66559999999998"/>
    <x v="1"/>
  </r>
  <r>
    <n v="192.88499999999999"/>
    <x v="2"/>
  </r>
  <r>
    <n v="1171.2978000000001"/>
    <x v="3"/>
  </r>
  <r>
    <n v="255.88800000000001"/>
    <x v="3"/>
  </r>
  <r>
    <n v="377.10980000000001"/>
    <x v="0"/>
  </r>
  <r>
    <n v="2585.8643999999999"/>
    <x v="0"/>
  </r>
  <r>
    <n v="2367.15"/>
    <x v="0"/>
  </r>
  <r>
    <n v="570.52"/>
    <x v="3"/>
  </r>
  <r>
    <n v="969.66480000000013"/>
    <x v="0"/>
  </r>
  <r>
    <n v="848.82439999999997"/>
    <x v="0"/>
  </r>
  <r>
    <n v="487.18799999999999"/>
    <x v="0"/>
  </r>
  <r>
    <n v="896.04000000000019"/>
    <x v="0"/>
  </r>
  <r>
    <n v="46.216799999999999"/>
    <x v="0"/>
  </r>
  <r>
    <n v="586.71719999999993"/>
    <x v="2"/>
  </r>
  <r>
    <n v="2033.9405999999999"/>
    <x v="0"/>
  </r>
  <r>
    <n v="2576.2302"/>
    <x v="0"/>
  </r>
  <r>
    <n v="736.66800000000001"/>
    <x v="2"/>
  </r>
  <r>
    <n v="1022.2128"/>
    <x v="2"/>
  </r>
  <r>
    <n v="547.74720000000002"/>
    <x v="0"/>
  </r>
  <r>
    <n v="813.04719999999998"/>
    <x v="0"/>
  </r>
  <r>
    <n v="48.101500000000001"/>
    <x v="3"/>
  </r>
  <r>
    <n v="2906.5680000000002"/>
    <x v="2"/>
  </r>
  <r>
    <n v="898.8216000000001"/>
    <x v="0"/>
  </r>
  <r>
    <n v="311.43279999999999"/>
    <x v="0"/>
  </r>
  <r>
    <n v="1005.3944"/>
    <x v="0"/>
  </r>
  <r>
    <n v="1512.2267999999999"/>
    <x v="0"/>
  </r>
  <r>
    <n v="1176.4536000000001"/>
    <x v="0"/>
  </r>
  <r>
    <n v="291.5822"/>
    <x v="0"/>
  </r>
  <r>
    <n v="513.81359999999995"/>
    <x v="0"/>
  </r>
  <r>
    <n v="359.50400000000002"/>
    <x v="2"/>
  </r>
  <r>
    <n v="1392.2716"/>
    <x v="0"/>
  </r>
  <r>
    <n v="577.82339999999999"/>
    <x v="0"/>
  </r>
  <r>
    <n v="103.8609"/>
    <x v="0"/>
  </r>
  <r>
    <n v="457.73700000000002"/>
    <x v="0"/>
  </r>
  <r>
    <n v="758.38120000000004"/>
    <x v="0"/>
  </r>
  <r>
    <n v="127.2171"/>
    <x v="0"/>
  </r>
  <r>
    <n v="2110.1255999999998"/>
    <x v="2"/>
  </r>
  <r>
    <n v="449.03949999999998"/>
    <x v="2"/>
  </r>
  <r>
    <n v="384.11040000000003"/>
    <x v="2"/>
  </r>
  <r>
    <n v="372.28500000000003"/>
    <x v="0"/>
  </r>
  <r>
    <n v="241.03399999999999"/>
    <x v="2"/>
  </r>
  <r>
    <n v="1832.3789999999999"/>
    <x v="0"/>
  </r>
  <r>
    <n v="1813.0716"/>
    <x v="0"/>
  </r>
  <r>
    <n v="538.5634"/>
    <x v="0"/>
  </r>
  <r>
    <n v="2163.7055999999998"/>
    <x v="0"/>
  </r>
  <r>
    <n v="794.45699999999999"/>
    <x v="2"/>
  </r>
  <r>
    <n v="888.0444"/>
    <x v="0"/>
  </r>
  <r>
    <n v="1169.6238000000001"/>
    <x v="0"/>
  </r>
  <r>
    <n v="269.87189999999998"/>
    <x v="2"/>
  </r>
  <r>
    <n v="925.18960000000004"/>
    <x v="2"/>
  </r>
  <r>
    <n v="1685.1573000000001"/>
    <x v="3"/>
  </r>
  <r>
    <n v="660.11400000000003"/>
    <x v="0"/>
  </r>
  <r>
    <n v="726.80000000000007"/>
    <x v="2"/>
  </r>
  <r>
    <n v="1272.5920000000001"/>
    <x v="0"/>
  </r>
  <r>
    <n v="542.57100000000003"/>
    <x v="2"/>
  </r>
  <r>
    <n v="411.71490000000011"/>
    <x v="0"/>
  </r>
  <r>
    <n v="229.023"/>
    <x v="3"/>
  </r>
  <r>
    <n v="2234.7188000000001"/>
    <x v="0"/>
  </r>
  <r>
    <n v="1138.83"/>
    <x v="0"/>
  </r>
  <r>
    <n v="1677.4903999999999"/>
    <x v="0"/>
  </r>
  <r>
    <n v="599.58359999999993"/>
    <x v="0"/>
  </r>
  <r>
    <n v="101.3886"/>
    <x v="0"/>
  </r>
  <r>
    <n v="3316.16"/>
    <x v="0"/>
  </r>
  <r>
    <n v="125.8888"/>
    <x v="2"/>
  </r>
  <r>
    <n v="1023.33"/>
    <x v="0"/>
  </r>
  <r>
    <n v="1984.7356"/>
    <x v="0"/>
  </r>
  <r>
    <n v="713.4"/>
    <x v="0"/>
  </r>
  <r>
    <n v="1249.5006000000001"/>
    <x v="0"/>
  </r>
  <r>
    <n v="340.06259999999997"/>
    <x v="0"/>
  </r>
  <r>
    <n v="1171.2288000000001"/>
    <x v="0"/>
  </r>
  <r>
    <n v="728.12040000000002"/>
    <x v="0"/>
  </r>
  <r>
    <n v="2107.4004"/>
    <x v="0"/>
  </r>
  <r>
    <n v="1818.4914000000001"/>
    <x v="0"/>
  </r>
  <r>
    <n v="1283.2403999999999"/>
    <x v="0"/>
  </r>
  <r>
    <n v="323.56099999999998"/>
    <x v="2"/>
  </r>
  <r>
    <n v="339.42459999999988"/>
    <x v="0"/>
  </r>
  <r>
    <n v="172.76669999999999"/>
    <x v="0"/>
  </r>
  <r>
    <n v="1974.2418"/>
    <x v="0"/>
  </r>
  <r>
    <n v="971.39200000000005"/>
    <x v="0"/>
  </r>
  <r>
    <n v="519.15329999999994"/>
    <x v="3"/>
  </r>
  <r>
    <n v="953.55000000000007"/>
    <x v="0"/>
  </r>
  <r>
    <n v="165.84469999999999"/>
    <x v="0"/>
  </r>
  <r>
    <n v="297.28919999999999"/>
    <x v="0"/>
  </r>
  <r>
    <n v="1523.124"/>
    <x v="2"/>
  </r>
  <r>
    <n v="730.19159999999999"/>
    <x v="0"/>
  </r>
  <r>
    <n v="1657.5455999999999"/>
    <x v="0"/>
  </r>
  <r>
    <n v="3228.8760000000002"/>
    <x v="2"/>
  </r>
  <r>
    <n v="1426.6980000000001"/>
    <x v="0"/>
  </r>
  <r>
    <n v="1450.89"/>
    <x v="0"/>
  </r>
  <r>
    <n v="360.85559999999998"/>
    <x v="3"/>
  </r>
  <r>
    <n v="1972.92"/>
    <x v="0"/>
  </r>
  <r>
    <n v="86.285399999999996"/>
    <x v="0"/>
  </r>
  <r>
    <n v="2748.2224000000001"/>
    <x v="1"/>
  </r>
  <r>
    <n v="272.62180000000001"/>
    <x v="2"/>
  </r>
  <r>
    <n v="426.12240000000003"/>
    <x v="2"/>
  </r>
  <r>
    <n v="799.13340000000005"/>
    <x v="0"/>
  </r>
  <r>
    <n v="2026.1829"/>
    <x v="0"/>
  </r>
  <r>
    <n v="1395.6948"/>
    <x v="0"/>
  </r>
  <r>
    <n v="1583.0316"/>
    <x v="0"/>
  </r>
  <r>
    <n v="2801.768"/>
    <x v="0"/>
  </r>
  <r>
    <n v="1857.2175999999999"/>
    <x v="0"/>
  </r>
  <r>
    <n v="3745.8047999999999"/>
    <x v="0"/>
  </r>
  <r>
    <n v="1776.5286000000001"/>
    <x v="2"/>
  </r>
  <r>
    <n v="1905.1724999999999"/>
    <x v="2"/>
  </r>
  <r>
    <n v="1462.0029999999999"/>
    <x v="2"/>
  </r>
  <r>
    <n v="113.33580000000001"/>
    <x v="0"/>
  </r>
  <r>
    <n v="90.479799999999997"/>
    <x v="0"/>
  </r>
  <r>
    <n v="325.54419999999999"/>
    <x v="2"/>
  </r>
  <r>
    <n v="535.35019999999997"/>
    <x v="2"/>
  </r>
  <r>
    <n v="678.60799999999995"/>
    <x v="3"/>
  </r>
  <r>
    <n v="1352.076"/>
    <x v="1"/>
  </r>
  <r>
    <n v="347.82000000000011"/>
    <x v="1"/>
  </r>
  <r>
    <n v="81.619199999999992"/>
    <x v="0"/>
  </r>
  <r>
    <n v="1536.7439999999999"/>
    <x v="2"/>
  </r>
  <r>
    <n v="1846.08"/>
    <x v="0"/>
  </r>
  <r>
    <n v="541.66739999999993"/>
    <x v="0"/>
  </r>
  <r>
    <n v="2467.4495999999999"/>
    <x v="0"/>
  </r>
  <r>
    <n v="419.46480000000003"/>
    <x v="0"/>
  </r>
  <r>
    <n v="891.87199999999996"/>
    <x v="0"/>
  </r>
  <r>
    <n v="1740.6279999999999"/>
    <x v="1"/>
  </r>
  <r>
    <n v="714.41759999999999"/>
    <x v="0"/>
  </r>
  <r>
    <n v="3293.5448000000001"/>
    <x v="0"/>
  </r>
  <r>
    <n v="529.74900000000002"/>
    <x v="0"/>
  </r>
  <r>
    <n v="2728.2024000000001"/>
    <x v="0"/>
  </r>
  <r>
    <n v="333.81279999999998"/>
    <x v="0"/>
  </r>
  <r>
    <n v="312.08049999999997"/>
    <x v="0"/>
  </r>
  <r>
    <n v="1032.0813000000001"/>
    <x v="0"/>
  </r>
  <r>
    <n v="683.00099999999998"/>
    <x v="0"/>
  </r>
  <r>
    <n v="2974.6439999999998"/>
    <x v="0"/>
  </r>
  <r>
    <n v="818.42499999999995"/>
    <x v="0"/>
  </r>
  <r>
    <n v="435.34199999999998"/>
    <x v="0"/>
  </r>
  <r>
    <n v="871.39699999999993"/>
    <x v="2"/>
  </r>
  <r>
    <n v="344.53680000000003"/>
    <x v="0"/>
  </r>
  <r>
    <n v="502.51319999999998"/>
    <x v="2"/>
  </r>
  <r>
    <n v="515.9325"/>
    <x v="2"/>
  </r>
  <r>
    <n v="2101.0626000000002"/>
    <x v="2"/>
  </r>
  <r>
    <n v="359.19650000000001"/>
    <x v="0"/>
  </r>
  <r>
    <n v="857.1"/>
    <x v="0"/>
  </r>
  <r>
    <n v="1112.9536000000001"/>
    <x v="0"/>
  </r>
  <r>
    <n v="413.5335"/>
    <x v="0"/>
  </r>
  <r>
    <n v="2010.6432"/>
    <x v="0"/>
  </r>
  <r>
    <n v="444.61439999999988"/>
    <x v="0"/>
  </r>
  <r>
    <n v="1533.8240000000001"/>
    <x v="2"/>
  </r>
  <r>
    <n v="1081.0134"/>
    <x v="0"/>
  </r>
  <r>
    <n v="618.69359999999995"/>
    <x v="0"/>
  </r>
  <r>
    <n v="377.28"/>
    <x v="0"/>
  </r>
  <r>
    <n v="1630.3391999999999"/>
    <x v="0"/>
  </r>
  <r>
    <n v="229.3109"/>
    <x v="0"/>
  </r>
  <r>
    <n v="189.21600000000001"/>
    <x v="0"/>
  </r>
  <r>
    <n v="692.38839999999993"/>
    <x v="0"/>
  </r>
  <r>
    <n v="1884.54"/>
    <x v="1"/>
  </r>
  <r>
    <n v="906.50339999999994"/>
    <x v="0"/>
  </r>
  <r>
    <n v="716.1336"/>
    <x v="0"/>
  </r>
  <r>
    <n v="137.697"/>
    <x v="3"/>
  </r>
  <r>
    <n v="1345.6368"/>
    <x v="0"/>
  </r>
  <r>
    <n v="148.49160000000001"/>
    <x v="0"/>
  </r>
  <r>
    <n v="2936.0144"/>
    <x v="1"/>
  </r>
  <r>
    <n v="328.02"/>
    <x v="0"/>
  </r>
  <r>
    <n v="944.47099999999989"/>
    <x v="2"/>
  </r>
  <r>
    <n v="126.5916"/>
    <x v="0"/>
  </r>
  <r>
    <n v="1579.7805000000001"/>
    <x v="0"/>
  </r>
  <r>
    <n v="682.55600000000004"/>
    <x v="3"/>
  </r>
  <r>
    <n v="1877.6687999999999"/>
    <x v="0"/>
  </r>
  <r>
    <n v="1289.6099999999999"/>
    <x v="3"/>
  </r>
  <r>
    <n v="1631.2854"/>
    <x v="0"/>
  </r>
  <r>
    <n v="392.02720000000011"/>
    <x v="0"/>
  </r>
  <r>
    <n v="576.97299999999996"/>
    <x v="0"/>
  </r>
  <r>
    <n v="953.48760000000004"/>
    <x v="0"/>
  </r>
  <r>
    <n v="1136.7583999999999"/>
    <x v="0"/>
  </r>
  <r>
    <n v="468.78320000000002"/>
    <x v="0"/>
  </r>
  <r>
    <n v="385.67880000000002"/>
    <x v="0"/>
  </r>
  <r>
    <n v="1084.7936"/>
    <x v="1"/>
  </r>
  <r>
    <n v="1616.8104000000001"/>
    <x v="2"/>
  </r>
  <r>
    <n v="753.50399999999991"/>
    <x v="0"/>
  </r>
  <r>
    <n v="184.22909999999999"/>
    <x v="0"/>
  </r>
  <r>
    <n v="2801.19"/>
    <x v="0"/>
  </r>
  <r>
    <n v="1587.4998000000001"/>
    <x v="0"/>
  </r>
  <r>
    <n v="2465.9856"/>
    <x v="0"/>
  </r>
  <r>
    <n v="189.244"/>
    <x v="0"/>
  </r>
  <r>
    <n v="1898.2482"/>
    <x v="0"/>
  </r>
  <r>
    <n v="860.31959999999992"/>
    <x v="0"/>
  </r>
  <r>
    <n v="1220.0219999999999"/>
    <x v="0"/>
  </r>
  <r>
    <n v="1261.6379999999999"/>
    <x v="0"/>
  </r>
  <r>
    <n v="3332.0888"/>
    <x v="0"/>
  </r>
  <r>
    <n v="502.10700000000003"/>
    <x v="0"/>
  </r>
  <r>
    <n v="269.01659999999998"/>
    <x v="3"/>
  </r>
  <r>
    <n v="1823.1948"/>
    <x v="2"/>
  </r>
  <r>
    <n v="905.85"/>
    <x v="0"/>
  </r>
  <r>
    <n v="2019.6945000000001"/>
    <x v="0"/>
  </r>
  <r>
    <n v="980.35440000000006"/>
    <x v="0"/>
  </r>
  <r>
    <n v="136.09960000000001"/>
    <x v="0"/>
  </r>
  <r>
    <n v="641.91689999999994"/>
    <x v="0"/>
  </r>
  <r>
    <n v="248.17830000000001"/>
    <x v="2"/>
  </r>
  <r>
    <n v="230.12520000000001"/>
    <x v="0"/>
  </r>
  <r>
    <n v="169.72800000000001"/>
    <x v="2"/>
  </r>
  <r>
    <n v="37.328000000000003"/>
    <x v="0"/>
  </r>
  <r>
    <n v="2474.2080000000001"/>
    <x v="0"/>
  </r>
  <r>
    <n v="1065.4896000000001"/>
    <x v="0"/>
  </r>
  <r>
    <n v="706.77879999999993"/>
    <x v="0"/>
  </r>
  <r>
    <n v="3393.88"/>
    <x v="3"/>
  </r>
  <r>
    <n v="878.50620000000004"/>
    <x v="3"/>
  </r>
  <r>
    <n v="958.95360000000005"/>
    <x v="0"/>
  </r>
  <r>
    <n v="287.39620000000002"/>
    <x v="3"/>
  </r>
  <r>
    <n v="487.8535"/>
    <x v="0"/>
  </r>
  <r>
    <n v="129.72479999999999"/>
    <x v="0"/>
  </r>
  <r>
    <n v="1407.6017999999999"/>
    <x v="0"/>
  </r>
  <r>
    <n v="349.22250000000003"/>
    <x v="3"/>
  </r>
  <r>
    <n v="1243.1224"/>
    <x v="0"/>
  </r>
  <r>
    <n v="661.47080000000005"/>
    <x v="3"/>
  </r>
  <r>
    <n v="1081.04"/>
    <x v="0"/>
  </r>
  <r>
    <n v="1023.264"/>
    <x v="0"/>
  </r>
  <r>
    <n v="77.293200000000013"/>
    <x v="0"/>
  </r>
  <r>
    <n v="1302.3671999999999"/>
    <x v="0"/>
  </r>
  <r>
    <n v="2677.0619999999999"/>
    <x v="0"/>
  </r>
  <r>
    <n v="2434.0672"/>
    <x v="0"/>
  </r>
  <r>
    <n v="2733.2267999999999"/>
    <x v="0"/>
  </r>
  <r>
    <n v="361.16199999999998"/>
    <x v="0"/>
  </r>
  <r>
    <n v="1758.2940000000001"/>
    <x v="2"/>
  </r>
  <r>
    <n v="605.50099999999998"/>
    <x v="2"/>
  </r>
  <r>
    <n v="362.32350000000002"/>
    <x v="0"/>
  </r>
  <r>
    <n v="1455.1325999999999"/>
    <x v="3"/>
  </r>
  <r>
    <n v="2320.2784000000001"/>
    <x v="0"/>
  </r>
  <r>
    <n v="324.02999999999997"/>
    <x v="0"/>
  </r>
  <r>
    <n v="1202.4012"/>
    <x v="0"/>
  </r>
  <r>
    <n v="863.60260000000005"/>
    <x v="0"/>
  </r>
  <r>
    <n v="167.76"/>
    <x v="0"/>
  </r>
  <r>
    <n v="579.24950000000001"/>
    <x v="3"/>
  </r>
  <r>
    <n v="1578.9780000000001"/>
    <x v="0"/>
  </r>
  <r>
    <n v="758.03660000000002"/>
    <x v="0"/>
  </r>
  <r>
    <n v="140.72"/>
    <x v="0"/>
  </r>
  <r>
    <n v="1176.9449999999999"/>
    <x v="3"/>
  </r>
  <r>
    <n v="229.614"/>
    <x v="0"/>
  </r>
  <r>
    <n v="2103.1763999999998"/>
    <x v="1"/>
  </r>
  <r>
    <n v="1801.4190000000001"/>
    <x v="2"/>
  </r>
  <r>
    <n v="221.61"/>
    <x v="0"/>
  </r>
  <r>
    <n v="727.28659999999991"/>
    <x v="0"/>
  </r>
  <r>
    <n v="1758.4811999999999"/>
    <x v="0"/>
  </r>
  <r>
    <n v="84.527199999999993"/>
    <x v="0"/>
  </r>
  <r>
    <n v="2155.2719999999999"/>
    <x v="0"/>
  </r>
  <r>
    <n v="104.6199"/>
    <x v="0"/>
  </r>
  <r>
    <n v="384.4665"/>
    <x v="3"/>
  </r>
  <r>
    <n v="1398.712"/>
    <x v="2"/>
  </r>
  <r>
    <n v="1250.8044"/>
    <x v="0"/>
  </r>
  <r>
    <n v="104.227"/>
    <x v="0"/>
  </r>
  <r>
    <n v="1340.0001999999999"/>
    <x v="0"/>
  </r>
  <r>
    <n v="299.4939"/>
    <x v="0"/>
  </r>
  <r>
    <n v="226.22540000000001"/>
    <x v="3"/>
  </r>
  <r>
    <n v="902.25379999999996"/>
    <x v="0"/>
  </r>
  <r>
    <n v="390.95979999999997"/>
    <x v="0"/>
  </r>
  <r>
    <n v="2280.3669"/>
    <x v="0"/>
  </r>
  <r>
    <n v="2291.73"/>
    <x v="1"/>
  </r>
  <r>
    <n v="1155.2436"/>
    <x v="0"/>
  </r>
  <r>
    <n v="511.35"/>
    <x v="0"/>
  </r>
  <r>
    <n v="125.1588"/>
    <x v="0"/>
  </r>
  <r>
    <n v="1523.0640000000001"/>
    <x v="0"/>
  </r>
  <r>
    <n v="1423.7184"/>
    <x v="2"/>
  </r>
  <r>
    <n v="642.90499999999997"/>
    <x v="3"/>
  </r>
  <r>
    <n v="174.40440000000001"/>
    <x v="0"/>
  </r>
  <r>
    <n v="1939.2012"/>
    <x v="2"/>
  </r>
  <r>
    <n v="2249.4911999999999"/>
    <x v="2"/>
  </r>
  <r>
    <n v="456.14399999999989"/>
    <x v="2"/>
  </r>
  <r>
    <n v="57.389600000000002"/>
    <x v="3"/>
  </r>
  <r>
    <n v="781.61599999999999"/>
    <x v="2"/>
  </r>
  <r>
    <n v="1348.2149999999999"/>
    <x v="2"/>
  </r>
  <r>
    <n v="607.86720000000003"/>
    <x v="0"/>
  </r>
  <r>
    <n v="314.82319999999999"/>
    <x v="0"/>
  </r>
  <r>
    <n v="1688.3248000000001"/>
    <x v="0"/>
  </r>
  <r>
    <n v="398.23939999999999"/>
    <x v="0"/>
  </r>
  <r>
    <n v="587.1508"/>
    <x v="0"/>
  </r>
  <r>
    <n v="705.5856"/>
    <x v="2"/>
  </r>
  <r>
    <n v="768.46379999999999"/>
    <x v="0"/>
  </r>
  <r>
    <n v="173.5488"/>
    <x v="0"/>
  </r>
  <r>
    <n v="308.79000000000002"/>
    <x v="2"/>
  </r>
  <r>
    <n v="435.0138"/>
    <x v="0"/>
  </r>
  <r>
    <n v="646.99899999999991"/>
    <x v="0"/>
  </r>
  <r>
    <n v="1207.7603999999999"/>
    <x v="2"/>
  </r>
  <r>
    <n v="1469.8719000000001"/>
    <x v="0"/>
  </r>
  <r>
    <n v="654.36219999999992"/>
    <x v="0"/>
  </r>
  <r>
    <n v="583.16999999999996"/>
    <x v="3"/>
  </r>
  <r>
    <n v="305.73"/>
    <x v="0"/>
  </r>
  <r>
    <n v="1352.4272000000001"/>
    <x v="0"/>
  </r>
  <r>
    <n v="1501.3362"/>
    <x v="0"/>
  </r>
  <r>
    <n v="2645.6747999999998"/>
    <x v="2"/>
  </r>
  <r>
    <n v="1142.2529999999999"/>
    <x v="0"/>
  </r>
  <r>
    <n v="86.620999999999995"/>
    <x v="2"/>
  </r>
  <r>
    <n v="3110.9863999999998"/>
    <x v="3"/>
  </r>
  <r>
    <n v="637.05600000000004"/>
    <x v="0"/>
  </r>
  <r>
    <n v="853.54520000000002"/>
    <x v="0"/>
  </r>
  <r>
    <n v="844.01370000000009"/>
    <x v="0"/>
  </r>
  <r>
    <n v="582.88409999999999"/>
    <x v="0"/>
  </r>
  <r>
    <n v="561.33439999999996"/>
    <x v="0"/>
  </r>
  <r>
    <n v="313.99"/>
    <x v="3"/>
  </r>
  <r>
    <n v="2280.0664000000002"/>
    <x v="0"/>
  </r>
  <r>
    <n v="196.67339999999999"/>
    <x v="2"/>
  </r>
  <r>
    <n v="719.27200000000005"/>
    <x v="0"/>
  </r>
  <r>
    <n v="649.89"/>
    <x v="1"/>
  </r>
  <r>
    <n v="454.01639999999998"/>
    <x v="0"/>
  </r>
  <r>
    <n v="1367.1368"/>
    <x v="0"/>
  </r>
  <r>
    <n v="581.58359999999993"/>
    <x v="3"/>
  </r>
  <r>
    <n v="1253.0011999999999"/>
    <x v="2"/>
  </r>
  <r>
    <n v="1017.7704"/>
    <x v="2"/>
  </r>
  <r>
    <n v="1666.95"/>
    <x v="0"/>
  </r>
  <r>
    <n v="188.78960000000001"/>
    <x v="0"/>
  </r>
  <r>
    <n v="2797.8164999999999"/>
    <x v="0"/>
  </r>
  <r>
    <n v="1544.9434000000001"/>
    <x v="0"/>
  </r>
  <r>
    <n v="1746.96"/>
    <x v="0"/>
  </r>
  <r>
    <n v="1321.5336"/>
    <x v="0"/>
  </r>
  <r>
    <n v="60.392200000000003"/>
    <x v="2"/>
  </r>
  <r>
    <n v="990.6336"/>
    <x v="0"/>
  </r>
  <r>
    <n v="813.46889999999996"/>
    <x v="0"/>
  </r>
  <r>
    <n v="825.02639999999997"/>
    <x v="2"/>
  </r>
  <r>
    <n v="103.56480000000001"/>
    <x v="0"/>
  </r>
  <r>
    <n v="2976.6039999999998"/>
    <x v="2"/>
  </r>
  <r>
    <n v="638.88440000000003"/>
    <x v="2"/>
  </r>
  <r>
    <n v="1383.5663999999999"/>
    <x v="0"/>
  </r>
  <r>
    <n v="3094.2208000000001"/>
    <x v="2"/>
  </r>
  <r>
    <n v="614.51080000000002"/>
    <x v="0"/>
  </r>
  <r>
    <n v="617.66549999999995"/>
    <x v="0"/>
  </r>
  <r>
    <n v="705.93360000000007"/>
    <x v="0"/>
  </r>
  <r>
    <n v="540.42079999999999"/>
    <x v="0"/>
  </r>
  <r>
    <n v="1654.7328"/>
    <x v="0"/>
  </r>
  <r>
    <n v="19.871600000000001"/>
    <x v="0"/>
  </r>
  <r>
    <n v="288.14519999999999"/>
    <x v="1"/>
  </r>
  <r>
    <n v="238.9716"/>
    <x v="0"/>
  </r>
  <r>
    <n v="217.26060000000001"/>
    <x v="0"/>
  </r>
  <r>
    <n v="837.42119999999989"/>
    <x v="0"/>
  </r>
  <r>
    <n v="2439.2984000000001"/>
    <x v="0"/>
  </r>
  <r>
    <n v="111.1434"/>
    <x v="2"/>
  </r>
  <r>
    <n v="2083.8663999999999"/>
    <x v="0"/>
  </r>
  <r>
    <n v="1802.1120000000001"/>
    <x v="0"/>
  </r>
  <r>
    <n v="1701.7506000000001"/>
    <x v="0"/>
  </r>
  <r>
    <n v="1554.5838000000001"/>
    <x v="0"/>
  </r>
  <r>
    <n v="53.817999999999998"/>
    <x v="0"/>
  </r>
  <r>
    <n v="2671.74"/>
    <x v="0"/>
  </r>
  <r>
    <n v="497.16419999999999"/>
    <x v="2"/>
  </r>
  <r>
    <n v="605.76"/>
    <x v="0"/>
  </r>
  <r>
    <n v="3502.9688000000001"/>
    <x v="0"/>
  </r>
  <r>
    <n v="271.17919999999998"/>
    <x v="0"/>
  </r>
  <r>
    <n v="263.04629999999997"/>
    <x v="2"/>
  </r>
  <r>
    <n v="52.150799999999997"/>
    <x v="2"/>
  </r>
  <r>
    <n v="843.02359999999999"/>
    <x v="0"/>
  </r>
  <r>
    <n v="223.51599999999999"/>
    <x v="0"/>
  </r>
  <r>
    <n v="1124.3964000000001"/>
    <x v="0"/>
  </r>
  <r>
    <n v="1618.6016"/>
    <x v="0"/>
  </r>
  <r>
    <n v="1759.434"/>
    <x v="2"/>
  </r>
  <r>
    <n v="2190.1320000000001"/>
    <x v="0"/>
  </r>
  <r>
    <n v="1892.7167999999999"/>
    <x v="2"/>
  </r>
  <r>
    <n v="178.51400000000001"/>
    <x v="0"/>
  </r>
  <r>
    <n v="152.0343"/>
    <x v="1"/>
  </r>
  <r>
    <n v="2282.2626"/>
    <x v="0"/>
  </r>
  <r>
    <n v="1990.0350000000001"/>
    <x v="1"/>
  </r>
  <r>
    <n v="1366.8979999999999"/>
    <x v="0"/>
  </r>
  <r>
    <n v="1885.5162"/>
    <x v="2"/>
  </r>
  <r>
    <n v="571.33180000000004"/>
    <x v="0"/>
  </r>
  <r>
    <n v="240.44820000000001"/>
    <x v="0"/>
  </r>
  <r>
    <n v="502.53"/>
    <x v="3"/>
  </r>
  <r>
    <n v="905.16559999999993"/>
    <x v="0"/>
  </r>
  <r>
    <n v="364.08"/>
    <x v="0"/>
  </r>
  <r>
    <n v="2925.7312000000002"/>
    <x v="0"/>
  </r>
  <r>
    <n v="111.1636"/>
    <x v="0"/>
  </r>
  <r>
    <n v="97.000199999999992"/>
    <x v="0"/>
  </r>
  <r>
    <n v="1492.9516000000001"/>
    <x v="0"/>
  </r>
  <r>
    <n v="1136.0935999999999"/>
    <x v="0"/>
  </r>
  <r>
    <n v="727.81799999999998"/>
    <x v="0"/>
  </r>
  <r>
    <n v="413.07299999999998"/>
    <x v="0"/>
  </r>
  <r>
    <n v="922.9692"/>
    <x v="2"/>
  </r>
  <r>
    <n v="336.45780000000002"/>
    <x v="3"/>
  </r>
  <r>
    <n v="2798.4132"/>
    <x v="0"/>
  </r>
  <r>
    <n v="1303.3905"/>
    <x v="0"/>
  </r>
  <r>
    <n v="1113.8820000000001"/>
    <x v="0"/>
  </r>
  <r>
    <n v="2700.3312000000001"/>
    <x v="0"/>
  </r>
  <r>
    <n v="130.93199999999999"/>
    <x v="3"/>
  </r>
  <r>
    <n v="2483.2800000000002"/>
    <x v="0"/>
  </r>
  <r>
    <n v="514.3424"/>
    <x v="0"/>
  </r>
  <r>
    <n v="973.02799999999991"/>
    <x v="0"/>
  </r>
  <r>
    <n v="1347.7384"/>
    <x v="0"/>
  </r>
  <r>
    <n v="1624.4892"/>
    <x v="0"/>
  </r>
  <r>
    <n v="428.89699999999999"/>
    <x v="2"/>
  </r>
  <r>
    <n v="303.81139999999999"/>
    <x v="0"/>
  </r>
  <r>
    <n v="3237.0576000000001"/>
    <x v="0"/>
  </r>
  <r>
    <n v="2243.3928000000001"/>
    <x v="0"/>
  </r>
  <r>
    <n v="72.799600000000012"/>
    <x v="2"/>
  </r>
  <r>
    <n v="1744.8368"/>
    <x v="2"/>
  </r>
  <r>
    <n v="883.71660000000008"/>
    <x v="3"/>
  </r>
  <r>
    <n v="1629.7616"/>
    <x v="0"/>
  </r>
  <r>
    <n v="1616.2152000000001"/>
    <x v="2"/>
  </r>
  <r>
    <n v="24.13"/>
    <x v="0"/>
  </r>
  <r>
    <n v="510.22019999999998"/>
    <x v="0"/>
  </r>
  <r>
    <n v="529.67700000000002"/>
    <x v="0"/>
  </r>
  <r>
    <n v="102.172"/>
    <x v="0"/>
  </r>
  <r>
    <n v="2409.8216000000002"/>
    <x v="2"/>
  </r>
  <r>
    <n v="1810.8324"/>
    <x v="0"/>
  </r>
  <r>
    <n v="50.048000000000002"/>
    <x v="0"/>
  </r>
  <r>
    <n v="1276.6415999999999"/>
    <x v="3"/>
  </r>
  <r>
    <n v="1418.3784000000001"/>
    <x v="0"/>
  </r>
  <r>
    <n v="2031.7927999999999"/>
    <x v="0"/>
  </r>
  <r>
    <n v="2407.0583999999999"/>
    <x v="2"/>
  </r>
  <r>
    <n v="1058.1600000000001"/>
    <x v="0"/>
  </r>
  <r>
    <n v="380.84580000000011"/>
    <x v="0"/>
  </r>
  <r>
    <n v="865.03629999999998"/>
    <x v="0"/>
  </r>
  <r>
    <n v="649.60500000000002"/>
    <x v="0"/>
  </r>
  <r>
    <n v="1748.5209"/>
    <x v="0"/>
  </r>
  <r>
    <n v="609.45839999999998"/>
    <x v="3"/>
  </r>
  <r>
    <n v="2922.2952"/>
    <x v="0"/>
  </r>
  <r>
    <n v="545.68079999999998"/>
    <x v="0"/>
  </r>
  <r>
    <n v="99.269200000000012"/>
    <x v="0"/>
  </r>
  <r>
    <n v="1025.8499999999999"/>
    <x v="0"/>
  </r>
  <r>
    <n v="1140.4559999999999"/>
    <x v="0"/>
  </r>
  <r>
    <n v="508.88639999999998"/>
    <x v="0"/>
  </r>
  <r>
    <n v="1181.7431999999999"/>
    <x v="3"/>
  </r>
  <r>
    <n v="1566.5663999999999"/>
    <x v="1"/>
  </r>
  <r>
    <n v="568.61479999999995"/>
    <x v="0"/>
  </r>
  <r>
    <n v="1208.2028"/>
    <x v="3"/>
  </r>
  <r>
    <n v="493.64280000000002"/>
    <x v="3"/>
  </r>
  <r>
    <n v="2065.5936000000002"/>
    <x v="0"/>
  </r>
  <r>
    <n v="199.7961"/>
    <x v="2"/>
  </r>
  <r>
    <n v="880.66160000000002"/>
    <x v="0"/>
  </r>
  <r>
    <n v="93.8232"/>
    <x v="0"/>
  </r>
  <r>
    <n v="3539.8656000000001"/>
    <x v="0"/>
  </r>
  <r>
    <n v="1595.0952"/>
    <x v="0"/>
  </r>
  <r>
    <n v="1815.7539999999999"/>
    <x v="3"/>
  </r>
  <r>
    <n v="1308.5927999999999"/>
    <x v="0"/>
  </r>
  <r>
    <n v="782.16000000000008"/>
    <x v="0"/>
  </r>
  <r>
    <n v="1876.3152"/>
    <x v="2"/>
  </r>
  <r>
    <n v="982.22879999999998"/>
    <x v="0"/>
  </r>
  <r>
    <n v="517.89649999999995"/>
    <x v="3"/>
  </r>
  <r>
    <n v="198.7782"/>
    <x v="1"/>
  </r>
  <r>
    <n v="1814.9831999999999"/>
    <x v="0"/>
  </r>
  <r>
    <n v="1278.4896000000001"/>
    <x v="0"/>
  </r>
  <r>
    <n v="339.2466"/>
    <x v="0"/>
  </r>
  <r>
    <n v="1343.0316"/>
    <x v="0"/>
  </r>
  <r>
    <n v="361.49579999999997"/>
    <x v="0"/>
  </r>
  <r>
    <n v="318.30759999999998"/>
    <x v="0"/>
  </r>
  <r>
    <n v="751.27260000000001"/>
    <x v="0"/>
  </r>
  <r>
    <n v="615.08299999999997"/>
    <x v="0"/>
  </r>
  <r>
    <n v="153.11150000000001"/>
    <x v="0"/>
  </r>
  <r>
    <n v="1123.434"/>
    <x v="0"/>
  </r>
  <r>
    <n v="354.56400000000002"/>
    <x v="1"/>
  </r>
  <r>
    <n v="553.68640000000005"/>
    <x v="3"/>
  </r>
  <r>
    <n v="1078.8173999999999"/>
    <x v="2"/>
  </r>
  <r>
    <n v="790.76589999999999"/>
    <x v="3"/>
  </r>
  <r>
    <n v="2462.34"/>
    <x v="0"/>
  </r>
  <r>
    <n v="940.69"/>
    <x v="0"/>
  </r>
  <r>
    <n v="1347.4559999999999"/>
    <x v="1"/>
  </r>
  <r>
    <n v="763.15719999999999"/>
    <x v="1"/>
  </r>
  <r>
    <n v="285.83940000000001"/>
    <x v="0"/>
  </r>
  <r>
    <n v="2324.556"/>
    <x v="0"/>
  </r>
  <r>
    <n v="1232.952"/>
    <x v="0"/>
  </r>
  <r>
    <n v="341.00299999999999"/>
    <x v="0"/>
  </r>
  <r>
    <n v="1737.9911999999999"/>
    <x v="0"/>
  </r>
  <r>
    <n v="1765.1759999999999"/>
    <x v="0"/>
  </r>
  <r>
    <n v="127.794"/>
    <x v="0"/>
  </r>
  <r>
    <n v="491.46989999999988"/>
    <x v="3"/>
  </r>
  <r>
    <n v="133.339"/>
    <x v="0"/>
  </r>
  <r>
    <n v="487.74599999999998"/>
    <x v="2"/>
  </r>
  <r>
    <n v="2145.7485000000001"/>
    <x v="0"/>
  </r>
  <r>
    <n v="1575.0724"/>
    <x v="0"/>
  </r>
  <r>
    <n v="1635.2616"/>
    <x v="0"/>
  </r>
  <r>
    <n v="236.7372"/>
    <x v="3"/>
  </r>
  <r>
    <n v="488.71679999999998"/>
    <x v="0"/>
  </r>
  <r>
    <n v="2315.8519999999999"/>
    <x v="2"/>
  </r>
  <r>
    <n v="1267.9744000000001"/>
    <x v="2"/>
  </r>
  <r>
    <n v="981.9864"/>
    <x v="0"/>
  </r>
  <r>
    <n v="442.61489999999998"/>
    <x v="0"/>
  </r>
  <r>
    <n v="989.93680000000006"/>
    <x v="0"/>
  </r>
  <r>
    <n v="551.25900000000001"/>
    <x v="1"/>
  </r>
  <r>
    <n v="43.144199999999998"/>
    <x v="0"/>
  </r>
  <r>
    <n v="1210.8714"/>
    <x v="2"/>
  </r>
  <r>
    <n v="2943.5295999999998"/>
    <x v="1"/>
  </r>
  <r>
    <n v="1058.4480000000001"/>
    <x v="0"/>
  </r>
  <r>
    <n v="1695.3074999999999"/>
    <x v="0"/>
  </r>
  <r>
    <n v="2141.85"/>
    <x v="3"/>
  </r>
  <r>
    <n v="1287.3599999999999"/>
    <x v="0"/>
  </r>
  <r>
    <n v="328.75240000000002"/>
    <x v="2"/>
  </r>
  <r>
    <n v="1958.144"/>
    <x v="0"/>
  </r>
  <r>
    <n v="39.973999999999997"/>
    <x v="0"/>
  </r>
  <r>
    <n v="654.36559999999997"/>
    <x v="0"/>
  </r>
  <r>
    <n v="3032.6559999999999"/>
    <x v="0"/>
  </r>
  <r>
    <n v="166.82490000000001"/>
    <x v="0"/>
  </r>
  <r>
    <n v="465.83199999999999"/>
    <x v="0"/>
  </r>
  <r>
    <n v="188.04239999999999"/>
    <x v="3"/>
  </r>
  <r>
    <n v="614.07420000000002"/>
    <x v="0"/>
  </r>
  <r>
    <n v="1664.8109999999999"/>
    <x v="0"/>
  </r>
  <r>
    <n v="1657.0092"/>
    <x v="0"/>
  </r>
  <r>
    <n v="127.29600000000001"/>
    <x v="0"/>
  </r>
  <r>
    <n v="1720.7438"/>
    <x v="0"/>
  </r>
  <r>
    <n v="1503.1768"/>
    <x v="0"/>
  </r>
  <r>
    <n v="102.37520000000001"/>
    <x v="0"/>
  </r>
  <r>
    <n v="791.88479999999993"/>
    <x v="0"/>
  </r>
  <r>
    <n v="2319.4512"/>
    <x v="0"/>
  </r>
  <r>
    <n v="1296.261"/>
    <x v="1"/>
  </r>
  <r>
    <n v="910.2636"/>
    <x v="0"/>
  </r>
  <r>
    <n v="794.50919999999996"/>
    <x v="0"/>
  </r>
  <r>
    <n v="2458.46"/>
    <x v="0"/>
  </r>
  <r>
    <n v="749.03039999999999"/>
    <x v="2"/>
  </r>
  <r>
    <n v="2224.2815999999998"/>
    <x v="0"/>
  </r>
  <r>
    <n v="774.57599999999991"/>
    <x v="2"/>
  </r>
  <r>
    <n v="34.178400000000003"/>
    <x v="2"/>
  </r>
  <r>
    <n v="2396.0799000000002"/>
    <x v="0"/>
  </r>
  <r>
    <n v="1624.443"/>
    <x v="0"/>
  </r>
  <r>
    <n v="910.36439999999993"/>
    <x v="0"/>
  </r>
  <r>
    <n v="537.38969999999995"/>
    <x v="0"/>
  </r>
  <r>
    <n v="758.24"/>
    <x v="0"/>
  </r>
  <r>
    <n v="773.03039999999999"/>
    <x v="0"/>
  </r>
  <r>
    <n v="1558.9272000000001"/>
    <x v="0"/>
  </r>
  <r>
    <n v="948.69359999999983"/>
    <x v="0"/>
  </r>
  <r>
    <n v="96.459199999999996"/>
    <x v="3"/>
  </r>
  <r>
    <n v="2871.3679999999999"/>
    <x v="2"/>
  </r>
  <r>
    <n v="483.94639999999998"/>
    <x v="0"/>
  </r>
  <r>
    <n v="2916.42"/>
    <x v="0"/>
  </r>
  <r>
    <n v="1146.8154"/>
    <x v="2"/>
  </r>
  <r>
    <n v="2819.0064000000002"/>
    <x v="2"/>
  </r>
  <r>
    <n v="2650.2919999999999"/>
    <x v="0"/>
  </r>
  <r>
    <n v="2235.4787999999999"/>
    <x v="1"/>
  </r>
  <r>
    <n v="459.28840000000002"/>
    <x v="0"/>
  </r>
  <r>
    <n v="464.42550000000011"/>
    <x v="3"/>
  </r>
  <r>
    <n v="562.35899999999992"/>
    <x v="0"/>
  </r>
  <r>
    <n v="725.3442"/>
    <x v="0"/>
  </r>
  <r>
    <n v="1894.08"/>
    <x v="0"/>
  </r>
  <r>
    <n v="650.91600000000005"/>
    <x v="0"/>
  </r>
  <r>
    <n v="143.24039999999999"/>
    <x v="2"/>
  </r>
  <r>
    <n v="1093.2937999999999"/>
    <x v="3"/>
  </r>
  <r>
    <n v="1487.4636"/>
    <x v="2"/>
  </r>
  <r>
    <n v="64.125600000000006"/>
    <x v="0"/>
  </r>
  <r>
    <n v="383.00200000000001"/>
    <x v="0"/>
  </r>
  <r>
    <n v="3339.8263999999999"/>
    <x v="0"/>
  </r>
  <r>
    <n v="122.1327"/>
    <x v="0"/>
  </r>
  <r>
    <n v="571.63920000000007"/>
    <x v="0"/>
  </r>
  <r>
    <n v="625.46579999999994"/>
    <x v="2"/>
  </r>
  <r>
    <n v="838.12279999999998"/>
    <x v="0"/>
  </r>
  <r>
    <n v="1061.9100000000001"/>
    <x v="0"/>
  </r>
  <r>
    <n v="146.57919999999999"/>
    <x v="0"/>
  </r>
  <r>
    <n v="2350.4888000000001"/>
    <x v="1"/>
  </r>
  <r>
    <n v="128.95679999999999"/>
    <x v="0"/>
  </r>
  <r>
    <n v="2282.9663999999998"/>
    <x v="0"/>
  </r>
  <r>
    <n v="1956.0320999999999"/>
    <x v="0"/>
  </r>
  <r>
    <n v="93.653999999999996"/>
    <x v="0"/>
  </r>
  <r>
    <n v="319.07839999999999"/>
    <x v="0"/>
  </r>
  <r>
    <n v="1549.9155000000001"/>
    <x v="0"/>
  </r>
  <r>
    <n v="1307.3345999999999"/>
    <x v="0"/>
  </r>
  <r>
    <n v="2829.7228"/>
    <x v="1"/>
  </r>
  <r>
    <n v="232.42320000000001"/>
    <x v="3"/>
  </r>
  <r>
    <n v="2084.3328000000001"/>
    <x v="0"/>
  </r>
  <r>
    <n v="984.37"/>
    <x v="0"/>
  </r>
  <r>
    <n v="418.15839999999997"/>
    <x v="0"/>
  </r>
  <r>
    <n v="38.003799999999998"/>
    <x v="1"/>
  </r>
  <r>
    <n v="1046.5488"/>
    <x v="0"/>
  </r>
  <r>
    <n v="1356.885"/>
    <x v="3"/>
  </r>
  <r>
    <n v="502.75240000000002"/>
    <x v="3"/>
  </r>
  <r>
    <n v="793.38690000000008"/>
    <x v="0"/>
  </r>
  <r>
    <n v="2075.913"/>
    <x v="2"/>
  </r>
  <r>
    <n v="2513.8984"/>
    <x v="0"/>
  </r>
  <r>
    <n v="895.53420000000006"/>
    <x v="0"/>
  </r>
  <r>
    <n v="1443.2418"/>
    <x v="0"/>
  </r>
  <r>
    <n v="762.00299999999993"/>
    <x v="1"/>
  </r>
  <r>
    <n v="223.59200000000001"/>
    <x v="3"/>
  </r>
  <r>
    <n v="846.74879999999996"/>
    <x v="3"/>
  </r>
  <r>
    <n v="757.16760000000011"/>
    <x v="0"/>
  </r>
  <r>
    <n v="709.12709999999993"/>
    <x v="2"/>
  </r>
  <r>
    <n v="810.09719999999993"/>
    <x v="0"/>
  </r>
  <r>
    <n v="942.22800000000007"/>
    <x v="2"/>
  </r>
  <r>
    <n v="1099.76"/>
    <x v="3"/>
  </r>
  <r>
    <n v="47.621200000000002"/>
    <x v="1"/>
  </r>
  <r>
    <n v="1505.1168"/>
    <x v="1"/>
  </r>
  <r>
    <n v="855.98310000000004"/>
    <x v="0"/>
  </r>
  <r>
    <n v="1734.18"/>
    <x v="0"/>
  </r>
  <r>
    <n v="1662.5311999999999"/>
    <x v="0"/>
  </r>
  <r>
    <n v="1184.8900000000001"/>
    <x v="2"/>
  </r>
  <r>
    <n v="559.79949999999997"/>
    <x v="2"/>
  </r>
  <r>
    <n v="630.1866"/>
    <x v="0"/>
  </r>
  <r>
    <n v="355.2448"/>
    <x v="0"/>
  </r>
  <r>
    <n v="2373.462"/>
    <x v="0"/>
  </r>
  <r>
    <n v="579.58840000000009"/>
    <x v="0"/>
  </r>
  <r>
    <n v="626.37120000000004"/>
    <x v="0"/>
  </r>
  <r>
    <n v="715.30049999999994"/>
    <x v="2"/>
  </r>
  <r>
    <n v="134.95679999999999"/>
    <x v="0"/>
  </r>
  <r>
    <n v="994.48200000000008"/>
    <x v="1"/>
  </r>
  <r>
    <n v="1301.8758"/>
    <x v="3"/>
  </r>
  <r>
    <n v="574.88300000000004"/>
    <x v="0"/>
  </r>
  <r>
    <n v="2139.3312000000001"/>
    <x v="2"/>
  </r>
  <r>
    <n v="274.45229999999998"/>
    <x v="0"/>
  </r>
  <r>
    <n v="1706.43"/>
    <x v="0"/>
  </r>
  <r>
    <n v="599.471"/>
    <x v="0"/>
  </r>
  <r>
    <n v="1070.7619999999999"/>
    <x v="0"/>
  </r>
  <r>
    <n v="591.70319999999992"/>
    <x v="0"/>
  </r>
  <r>
    <n v="2504.067"/>
    <x v="2"/>
  </r>
  <r>
    <n v="270.51639999999998"/>
    <x v="0"/>
  </r>
  <r>
    <n v="1128.732"/>
    <x v="2"/>
  </r>
  <r>
    <n v="1119.4092000000001"/>
    <x v="2"/>
  </r>
  <r>
    <n v="259.37630000000001"/>
    <x v="0"/>
  </r>
  <r>
    <n v="729.39"/>
    <x v="0"/>
  </r>
  <r>
    <n v="591.30719999999997"/>
    <x v="0"/>
  </r>
  <r>
    <n v="340.2"/>
    <x v="0"/>
  </r>
  <r>
    <n v="2779.5931999999998"/>
    <x v="0"/>
  </r>
  <r>
    <n v="548.52240000000006"/>
    <x v="0"/>
  </r>
  <r>
    <n v="1034.7036000000001"/>
    <x v="0"/>
  </r>
  <r>
    <n v="1532.3904"/>
    <x v="0"/>
  </r>
  <r>
    <n v="1648.6679999999999"/>
    <x v="0"/>
  </r>
  <r>
    <n v="786.03139999999996"/>
    <x v="0"/>
  </r>
  <r>
    <n v="887.86320000000001"/>
    <x v="1"/>
  </r>
  <r>
    <n v="2935.8252000000002"/>
    <x v="3"/>
  </r>
  <r>
    <n v="1882.1952000000001"/>
    <x v="2"/>
  </r>
  <r>
    <n v="1120.4751000000001"/>
    <x v="0"/>
  </r>
  <r>
    <n v="493.05959999999999"/>
    <x v="0"/>
  </r>
  <r>
    <n v="637.37399999999991"/>
    <x v="0"/>
  </r>
  <r>
    <n v="163.5744"/>
    <x v="2"/>
  </r>
  <r>
    <n v="1051.7360000000001"/>
    <x v="2"/>
  </r>
  <r>
    <n v="3242.1668"/>
    <x v="0"/>
  </r>
  <r>
    <n v="322.98989999999998"/>
    <x v="0"/>
  </r>
  <r>
    <n v="51.138399999999997"/>
    <x v="2"/>
  </r>
  <r>
    <n v="817.79430000000002"/>
    <x v="3"/>
  </r>
  <r>
    <n v="1313.1166000000001"/>
    <x v="0"/>
  </r>
  <r>
    <n v="509.75909999999999"/>
    <x v="0"/>
  </r>
  <r>
    <n v="78.586799999999997"/>
    <x v="1"/>
  </r>
  <r>
    <n v="889.83"/>
    <x v="0"/>
  </r>
  <r>
    <n v="366.858"/>
    <x v="0"/>
  </r>
  <r>
    <n v="565.90890000000002"/>
    <x v="0"/>
  </r>
  <r>
    <n v="64.799499999999995"/>
    <x v="0"/>
  </r>
  <r>
    <n v="1264.335"/>
    <x v="2"/>
  </r>
  <r>
    <n v="346.48399999999998"/>
    <x v="2"/>
  </r>
  <r>
    <n v="1564.0116"/>
    <x v="0"/>
  </r>
  <r>
    <n v="592.50740000000008"/>
    <x v="2"/>
  </r>
  <r>
    <n v="1510.7190000000001"/>
    <x v="0"/>
  </r>
  <r>
    <n v="1106.3094000000001"/>
    <x v="0"/>
  </r>
  <r>
    <n v="700.40520000000004"/>
    <x v="2"/>
  </r>
  <r>
    <n v="320.892"/>
    <x v="2"/>
  </r>
  <r>
    <n v="2704.47"/>
    <x v="2"/>
  </r>
  <r>
    <n v="506.709"/>
    <x v="0"/>
  </r>
  <r>
    <n v="595.41"/>
    <x v="3"/>
  </r>
  <r>
    <n v="953.38679999999999"/>
    <x v="0"/>
  </r>
  <r>
    <n v="2317.6383999999998"/>
    <x v="2"/>
  </r>
  <r>
    <n v="88.814799999999991"/>
    <x v="0"/>
  </r>
  <r>
    <n v="316.89359999999999"/>
    <x v="1"/>
  </r>
  <r>
    <n v="545.48239999999998"/>
    <x v="3"/>
  </r>
  <r>
    <n v="757.39"/>
    <x v="0"/>
  </r>
  <r>
    <n v="152.2801"/>
    <x v="0"/>
  </r>
  <r>
    <n v="1755.5383999999999"/>
    <x v="0"/>
  </r>
  <r>
    <n v="2155.2228"/>
    <x v="0"/>
  </r>
  <r>
    <n v="905.23"/>
    <x v="1"/>
  </r>
  <r>
    <n v="274.03109999999998"/>
    <x v="0"/>
  </r>
  <r>
    <n v="2391.4526999999998"/>
    <x v="1"/>
  </r>
  <r>
    <n v="1014.2588"/>
    <x v="0"/>
  </r>
  <r>
    <n v="2694.3045000000002"/>
    <x v="0"/>
  </r>
  <r>
    <n v="170.44049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0A456-54BB-4152-B07A-E29CA1C9ACAE}" name="PivotTable20"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2:P6" firstHeaderRow="1" firstDataRow="1" firstDataCol="1"/>
  <pivotFields count="5">
    <pivotField axis="axisRow"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h="1" sd="0" x="0"/>
        <item sd="0" x="1"/>
        <item sd="0" x="2"/>
        <item sd="0" x="3"/>
        <item h="1" sd="0" x="4"/>
        <item t="default" sd="0"/>
      </items>
    </pivotField>
  </pivotFields>
  <rowFields count="4">
    <field x="4"/>
    <field x="3"/>
    <field x="2"/>
    <field x="0"/>
  </rowFields>
  <rowItems count="4">
    <i>
      <x v="1"/>
    </i>
    <i>
      <x v="2"/>
    </i>
    <i>
      <x v="3"/>
    </i>
    <i t="grand">
      <x/>
    </i>
  </rowItems>
  <colItems count="1">
    <i/>
  </colItems>
  <dataFields count="1">
    <dataField name="Sum of Total_Amount" fld="1" baseField="0" baseItem="0"/>
  </dataFields>
  <chartFormats count="10">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2"/>
          </reference>
        </references>
      </pivotArea>
    </chartFormat>
    <chartFormat chart="10" format="3">
      <pivotArea type="data" outline="0" fieldPosition="0">
        <references count="2">
          <reference field="4294967294" count="1" selected="0">
            <x v="0"/>
          </reference>
          <reference field="4"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C3DF88-118E-4A70-8FFA-3EB507B48E06}" name="PivotTable25"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H4:AI9" firstHeaderRow="1" firstDataRow="1" firstDataCol="1"/>
  <pivotFields count="2">
    <pivotField dataField="1" showAll="0"/>
    <pivotField axis="axisRow" showAll="0">
      <items count="5">
        <item x="3"/>
        <item x="0"/>
        <item x="2"/>
        <item x="1"/>
        <item t="default"/>
      </items>
    </pivotField>
  </pivotFields>
  <rowFields count="1">
    <field x="1"/>
  </rowFields>
  <rowItems count="5">
    <i>
      <x/>
    </i>
    <i>
      <x v="1"/>
    </i>
    <i>
      <x v="2"/>
    </i>
    <i>
      <x v="3"/>
    </i>
    <i t="grand">
      <x/>
    </i>
  </rowItems>
  <colItems count="1">
    <i/>
  </colItems>
  <dataFields count="1">
    <dataField name="Sum of Total_Amount" fld="0" baseField="0" baseItem="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739480-8230-4690-98A4-E884E04FC409}" name="PivotTable2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3:AC10" firstHeaderRow="1" firstDataRow="2" firstDataCol="1"/>
  <pivotFields count="3">
    <pivotField axis="axisCol" showAll="0">
      <items count="3">
        <item x="0"/>
        <item x="1"/>
        <item t="default"/>
      </items>
    </pivotField>
    <pivotField axis="axisRow" showAll="0">
      <items count="6">
        <item x="2"/>
        <item x="4"/>
        <item x="1"/>
        <item x="3"/>
        <item x="0"/>
        <item t="default"/>
      </items>
    </pivotField>
    <pivotField dataField="1" showAll="0"/>
  </pivotFields>
  <rowFields count="1">
    <field x="1"/>
  </rowFields>
  <rowItems count="6">
    <i>
      <x/>
    </i>
    <i>
      <x v="1"/>
    </i>
    <i>
      <x v="2"/>
    </i>
    <i>
      <x v="3"/>
    </i>
    <i>
      <x v="4"/>
    </i>
    <i t="grand">
      <x/>
    </i>
  </rowItems>
  <colFields count="1">
    <field x="0"/>
  </colFields>
  <colItems count="3">
    <i>
      <x/>
    </i>
    <i>
      <x v="1"/>
    </i>
    <i t="grand">
      <x/>
    </i>
  </colItems>
  <dataFields count="1">
    <dataField name="Sum of Total_Amount" fld="2" baseField="0" baseItem="0"/>
  </dataFields>
  <chartFormats count="4">
    <chartFormat chart="2" format="0"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5FEA5A-022B-4FDD-8CF9-ED94BD27CC70}" name="PivotTable2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T3:U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Total_Amount" fld="1" baseField="0" baseItem="0"/>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708B5F0-9F33-4B81-924C-C027422F9721}" sourceName="Years (Order_Date)">
  <pivotTables>
    <pivotTable tabId="11" name="PivotTable20"/>
  </pivotTables>
  <data>
    <tabular pivotCacheId="339378091">
      <items count="5">
        <i x="1" s="1"/>
        <i x="2" s="1"/>
        <i x="3" s="1"/>
        <i x="0"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4674789-3DDB-4961-9258-01CA622FA07C}" sourceName="Payment_Type">
  <pivotTables>
    <pivotTable tabId="11" name="PivotTable21"/>
  </pivotTables>
  <data>
    <tabular pivotCacheId="56087550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E5009A-4888-46CF-8F0B-4C8E8AA0AC03}" sourceName="Gender">
  <pivotTables>
    <pivotTable tabId="11" name="PivotTable24"/>
  </pivotTables>
  <data>
    <tabular pivotCacheId="105110293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CEC0B3-D152-49E0-BD97-AAAF03C6EA38}" sourceName="Region">
  <pivotTables>
    <pivotTable tabId="11" name="PivotTable25"/>
  </pivotTables>
  <data>
    <tabular pivotCacheId="37389137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1BB3E9B3-62CF-4C78-B257-0DA3045C8E05}" cache="Slicer_Years__Order_Date" caption="Years (Order_Date)" rowHeight="234950"/>
  <slicer name="Payment_Type" xr10:uid="{D712FF48-E93D-46E9-94DF-EF880AD14293}" cache="Slicer_Payment_Type" caption="Payment_Type" rowHeight="234950"/>
  <slicer name="Gender" xr10:uid="{1D1AEA3F-6473-4CBF-9175-DA379316026C}" cache="Slicer_Gender" caption="Gender" rowHeight="234950"/>
  <slicer name="Region" xr10:uid="{1F269D16-AF7C-4186-B5BF-17A82C3F0908}"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DA81AEEF-FBEB-4B92-B8CE-F9D93B62ABB7}" cache="Slicer_Years__Order_Date" caption="Years (Order_Date)" rowHeight="234950"/>
  <slicer name="Payment_Type 1" xr10:uid="{C579A17F-5794-4015-B556-6DAA11A6199A}" cache="Slicer_Payment_Type" caption="Payment_Type" rowHeight="234950"/>
  <slicer name="Gender 1" xr10:uid="{F2377C22-7A6D-4E1C-BD9A-772B519E2FC8}" cache="Slicer_Gender" caption="Gender" rowHeight="234950"/>
  <slicer name="Region 1" xr10:uid="{CF3FFC4B-01E2-4984-8703-1518C864F31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0C051E-112F-4AE8-A2E9-7C83A3BC55B6}" name="Table3" displayName="Table3" ref="B1:I501" totalsRowShown="0" headerRowDxfId="30" headerRowBorderDxfId="29" tableBorderDxfId="28">
  <autoFilter ref="B1:I501" xr:uid="{0D0C051E-112F-4AE8-A2E9-7C83A3BC55B6}"/>
  <tableColumns count="8">
    <tableColumn id="1" xr3:uid="{8CB2C542-2F42-45B3-B16D-EE8BF27B034F}" name="Customer_ID"/>
    <tableColumn id="2" xr3:uid="{D6B2B0E7-52E9-4EAD-B7FF-666A2199C271}" name="Name"/>
    <tableColumn id="3" xr3:uid="{24495C7C-E9F0-4D3C-92D1-79FE35909940}" name="Age"/>
    <tableColumn id="4" xr3:uid="{5E44C39B-0F07-4280-A6B5-963862A313E7}" name="Gender"/>
    <tableColumn id="5" xr3:uid="{D948B371-1FB5-43D7-865B-71CCB9239D74}" name="City"/>
    <tableColumn id="6" xr3:uid="{45E40C81-B1F8-4C11-BC64-963A03F61471}" name="State"/>
    <tableColumn id="7" xr3:uid="{348B45E2-CD93-4E68-AA1F-700D53243DAA}" name="Country"/>
    <tableColumn id="8" xr3:uid="{93D567F7-0CCC-44CB-AA9D-4E121D9394B4}"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5B9739-5184-491C-A96A-E35911A6F5B4}" name="Table4" displayName="Table4" ref="A1:G1048576" totalsRowShown="0" headerRowDxfId="27" headerRowBorderDxfId="26" tableBorderDxfId="25">
  <autoFilter ref="A1:G1048576" xr:uid="{4F5B9739-5184-491C-A96A-E35911A6F5B4}"/>
  <tableColumns count="7">
    <tableColumn id="1" xr3:uid="{73A5DAAD-37EB-4B8B-9C31-9ED38637B7B9}" name="Product_ID"/>
    <tableColumn id="2" xr3:uid="{F5F82256-81A9-4AC7-868C-2DC68549A8FE}" name="Product_Name"/>
    <tableColumn id="3" xr3:uid="{DD3D48C5-723E-44CF-849D-E1AC3F1E1667}" name="Category"/>
    <tableColumn id="4" xr3:uid="{39A532C4-4946-4BB4-9681-D0B13B2A62C4}" name="Sub_Category"/>
    <tableColumn id="5" xr3:uid="{B91A6C89-DAE6-4482-9503-97C439EA1AB2}" name="Brand"/>
    <tableColumn id="6" xr3:uid="{712547EF-FC90-4342-8327-720AE6C6DDCE}" name="Cost"/>
    <tableColumn id="7" xr3:uid="{5AAD8137-F2AE-4003-878B-45DE0E3C2A16}"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76ED79-40A4-43B8-9A16-A1D19A3B0223}" name="Table5" displayName="Table5" ref="A1:E21" totalsRowShown="0" headerRowDxfId="24" headerRowBorderDxfId="23" tableBorderDxfId="22">
  <autoFilter ref="A1:E21" xr:uid="{7376ED79-40A4-43B8-9A16-A1D19A3B0223}"/>
  <tableColumns count="5">
    <tableColumn id="1" xr3:uid="{734458A2-8B24-4EAB-9FB7-45AB8CBE3E7D}" name="Store_ID"/>
    <tableColumn id="2" xr3:uid="{453ACEF9-E132-49B8-8AD8-97F9A4CD80C2}" name="Store_Name"/>
    <tableColumn id="3" xr3:uid="{88B121A3-6489-4D97-8741-E9AACF737000}" name="Region"/>
    <tableColumn id="4" xr3:uid="{A1C5350F-EDD2-4629-B64D-360BE1B116AE}" name="City"/>
    <tableColumn id="5" xr3:uid="{B25863F9-6334-41FC-968D-E1E997603E67}"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CAEAFF-B570-47BE-974D-A012C74C1E14}" name="Table7" displayName="Table7" ref="A1:X2001" totalsRowShown="0">
  <tableColumns count="24">
    <tableColumn id="1" xr3:uid="{1AC47CF1-CC13-46C4-8FB5-7899B77393D8}" name="Sales_ID"/>
    <tableColumn id="2" xr3:uid="{984692F6-3292-4E81-9038-DC88196FFBF5}" name="Order_Date" dataDxfId="38"/>
    <tableColumn id="3" xr3:uid="{85DD3351-20B6-420B-99C2-1E6FFF964633}" name="Customer_ID"/>
    <tableColumn id="4" xr3:uid="{2937ED39-8BAB-47AB-A38A-3F8BC831B295}" name="Product_ID"/>
    <tableColumn id="5" xr3:uid="{851E802E-AB59-4098-A056-E930BAD62B47}" name="Store_ID"/>
    <tableColumn id="6" xr3:uid="{E6B9BF25-B088-4456-9919-63C7391E1A50}" name="Quantity"/>
    <tableColumn id="7" xr3:uid="{7CB97A4C-B47B-4E5D-862E-6BE1F56A37A2}" name="Unit_Price"/>
    <tableColumn id="8" xr3:uid="{1395FDC5-607C-4060-8922-9359B6792E99}" name="Discount"/>
    <tableColumn id="9" xr3:uid="{C5E6B83D-C721-40B9-B21B-DF932C338B1A}" name="Payment_Type"/>
    <tableColumn id="10" xr3:uid="{8A215A06-8DA4-46EB-8D5D-6F5758B5F4E0}" name="Total_Amount"/>
    <tableColumn id="11" xr3:uid="{726E961D-CA9E-4BC1-B327-21D62232CDB9}" name="Name"/>
    <tableColumn id="12" xr3:uid="{835BC432-DD25-480C-A86A-1ECBA023FA84}" name="Age"/>
    <tableColumn id="13" xr3:uid="{42C1BDBF-372A-4590-AFB9-932445CBAFDA}" name="Gender"/>
    <tableColumn id="14" xr3:uid="{50CD3904-1397-4E44-9F59-C0216BB7AD95}" name="City"/>
    <tableColumn id="15" xr3:uid="{2C40117E-EDCE-484C-82B9-9C768947D395}" name="State"/>
    <tableColumn id="16" xr3:uid="{9DD03DEA-4758-4FBE-BAE1-4234B22AAE68}" name="Country"/>
    <tableColumn id="17" xr3:uid="{38819867-535F-428A-9D21-AF25207023EE}" name="Loyalty_Level"/>
    <tableColumn id="21" xr3:uid="{7F005782-F590-4F81-8348-D85C025FEEC5}" name="Product_Name" dataDxfId="37"/>
    <tableColumn id="22" xr3:uid="{F9779609-D049-41C3-8333-04F9C733DE4F}" name="Category" dataDxfId="36"/>
    <tableColumn id="23" xr3:uid="{376B0BAD-FDB6-445E-9B83-9AF37DA84F4D}" name="Sub_Category" dataDxfId="35"/>
    <tableColumn id="24" xr3:uid="{2EDD2DD2-A5BB-411B-AD60-082A7AF5735B}" name="Brand" dataDxfId="34"/>
    <tableColumn id="28" xr3:uid="{33C228B6-7FD4-4FCF-8FA6-29DC8CCBF77D}" name="Store_Name" dataDxfId="33"/>
    <tableColumn id="29" xr3:uid="{C3103080-D50E-40CC-A007-C6E7DF07552F}" name="Region" dataDxfId="32"/>
    <tableColumn id="31" xr3:uid="{89B3B0B1-FCE3-4B17-A007-D75CBAFBF664}" name="Store_Type" dataDxfId="31"/>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438D74-4C76-4F40-A033-B3FBDA012F1B}" name="Table9" displayName="Table9" ref="A1:H2001" totalsRowShown="0">
  <autoFilter ref="A1:H2001" xr:uid="{4C438D74-4C76-4F40-A033-B3FBDA012F1B}"/>
  <tableColumns count="8">
    <tableColumn id="1" xr3:uid="{BA7B4E76-ED26-4190-8376-071B816E2B62}" name="Name"/>
    <tableColumn id="2" xr3:uid="{26146B3B-F07A-409E-8DB9-623993B5FA1B}" name="Order_Date" dataDxfId="21"/>
    <tableColumn id="3" xr3:uid="{0F4873FF-5B21-4664-9559-EFB811592C76}" name="Total_Amount"/>
    <tableColumn id="4" xr3:uid="{6F4D2468-2CEB-4A62-B83F-88F71E8A86CA}" name="Payment_Type"/>
    <tableColumn id="5" xr3:uid="{EF6C0546-F4BF-43CD-9DFA-436230BF07DA}" name="Age"/>
    <tableColumn id="6" xr3:uid="{F6916324-22B3-4537-B172-26C7AE098F93}" name="Gender"/>
    <tableColumn id="7" xr3:uid="{B96158C7-EADA-4D02-BEED-4471335C752E}" name="Category"/>
    <tableColumn id="8" xr3:uid="{B8F5426B-4224-4D03-96A8-CF080007B58A}" name="Regio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B7FE4CD-B63A-406B-96E1-1FEABED73907}" name="Table10" displayName="Table10" ref="L1:M2001" totalsRowShown="0">
  <autoFilter ref="L1:M2001" xr:uid="{0B7FE4CD-B63A-406B-96E1-1FEABED73907}"/>
  <tableColumns count="2">
    <tableColumn id="1" xr3:uid="{1CF2942B-E8AB-4116-9BE1-48B7BF992B63}" name="Order_Date" dataDxfId="20"/>
    <tableColumn id="2" xr3:uid="{E4B9CE99-F45C-42CB-9757-D9269C19A44E}" name="Total_Amou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75F122A-B9C2-446E-8893-3E63768BDB85}" name="Table11" displayName="Table11" ref="R1:S2001" totalsRowShown="0">
  <autoFilter ref="R1:S2001" xr:uid="{975F122A-B9C2-446E-8893-3E63768BDB85}"/>
  <tableColumns count="2">
    <tableColumn id="1" xr3:uid="{18A9D64E-5E6B-4D68-B585-9249B8C0EEAF}" name="Payment_Type"/>
    <tableColumn id="2" xr3:uid="{77089887-A8B4-4507-99C2-3E49A7EE3496}" name="Total_Amou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8C1DCB-8EE8-4735-AAC3-1628E31F17C1}" name="Table12" displayName="Table12" ref="W1:Y2001" totalsRowShown="0">
  <autoFilter ref="W1:Y2001" xr:uid="{0B8C1DCB-8EE8-4735-AAC3-1628E31F17C1}"/>
  <tableColumns count="3">
    <tableColumn id="1" xr3:uid="{328E0DA2-26C6-4677-A4F2-43720224A577}" name="Gender" dataDxfId="1"/>
    <tableColumn id="2" xr3:uid="{9C51A67A-F623-480A-9EA0-2027FE391F1D}" name="Category" dataDxfId="0"/>
    <tableColumn id="3" xr3:uid="{198F17B4-C6E9-4E31-A4A0-2D3825BF9A18}" name="Total_Amoun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C4BB11-A97E-4E70-A181-08F2FBB51669}" name="Table13" displayName="Table13" ref="AF1:AG2001" totalsRowShown="0">
  <autoFilter ref="AF1:AG2001" xr:uid="{3AC4BB11-A97E-4E70-A181-08F2FBB51669}"/>
  <tableColumns count="2">
    <tableColumn id="1" xr3:uid="{E320AD87-4300-420A-8EE6-528A1BF41D71}" name="Total_Amount"/>
    <tableColumn id="2" xr3:uid="{EBBC790C-F553-4BAB-B582-E96C4688455F}"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ivotTable" Target="../pivotTables/pivotTable3.xml"/><Relationship Id="rId7" Type="http://schemas.openxmlformats.org/officeDocument/2006/relationships/table" Target="../tables/table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table" Target="../tables/table9.xml"/><Relationship Id="rId4" Type="http://schemas.openxmlformats.org/officeDocument/2006/relationships/pivotTable" Target="../pivotTables/pivotTable4.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opLeftCell="B1" workbookViewId="0">
      <selection activeCell="J1" sqref="J1"/>
    </sheetView>
  </sheetViews>
  <sheetFormatPr defaultRowHeight="14.4" x14ac:dyDescent="0.3"/>
  <cols>
    <col min="1" max="2" width="19" customWidth="1"/>
    <col min="3" max="3" width="18.21875" customWidth="1"/>
    <col min="5" max="5" width="9" customWidth="1"/>
    <col min="8" max="8" width="9.6640625" customWidth="1"/>
    <col min="9" max="9" width="14.33203125" customWidth="1"/>
  </cols>
  <sheetData>
    <row r="1" spans="1:9" x14ac:dyDescent="0.3">
      <c r="A1" s="1" t="s">
        <v>0</v>
      </c>
      <c r="B1" s="5" t="s">
        <v>0</v>
      </c>
      <c r="C1" s="5" t="s">
        <v>1</v>
      </c>
      <c r="D1" s="5" t="s">
        <v>2</v>
      </c>
      <c r="E1" s="5" t="s">
        <v>3</v>
      </c>
      <c r="F1" s="5" t="s">
        <v>4</v>
      </c>
      <c r="G1" s="5" t="s">
        <v>5</v>
      </c>
      <c r="H1" s="5" t="s">
        <v>6</v>
      </c>
      <c r="I1" s="5" t="s">
        <v>7</v>
      </c>
    </row>
    <row r="2" spans="1:9" x14ac:dyDescent="0.3">
      <c r="A2" t="s">
        <v>8</v>
      </c>
      <c r="B2" t="s">
        <v>8</v>
      </c>
      <c r="C2" t="s">
        <v>3952</v>
      </c>
      <c r="D2">
        <v>26</v>
      </c>
      <c r="E2" t="s">
        <v>16</v>
      </c>
      <c r="F2" t="s">
        <v>10</v>
      </c>
      <c r="G2" t="s">
        <v>11</v>
      </c>
      <c r="H2" t="s">
        <v>12</v>
      </c>
      <c r="I2" t="s">
        <v>19</v>
      </c>
    </row>
    <row r="3" spans="1:9" x14ac:dyDescent="0.3">
      <c r="A3" t="s">
        <v>14</v>
      </c>
      <c r="B3" t="s">
        <v>14</v>
      </c>
      <c r="C3" t="s">
        <v>15</v>
      </c>
      <c r="D3">
        <v>29</v>
      </c>
      <c r="E3" t="s">
        <v>16</v>
      </c>
      <c r="F3" t="s">
        <v>17</v>
      </c>
      <c r="G3" t="s">
        <v>18</v>
      </c>
      <c r="H3" t="s">
        <v>12</v>
      </c>
      <c r="I3" t="s">
        <v>19</v>
      </c>
    </row>
    <row r="4" spans="1:9" x14ac:dyDescent="0.3">
      <c r="A4" t="s">
        <v>20</v>
      </c>
      <c r="B4" t="s">
        <v>20</v>
      </c>
      <c r="C4" t="s">
        <v>3933</v>
      </c>
      <c r="D4">
        <v>59</v>
      </c>
      <c r="E4" t="s">
        <v>16</v>
      </c>
      <c r="F4" t="s">
        <v>21</v>
      </c>
      <c r="G4" t="s">
        <v>22</v>
      </c>
      <c r="H4" t="s">
        <v>12</v>
      </c>
      <c r="I4" t="s">
        <v>19</v>
      </c>
    </row>
    <row r="5" spans="1:9" x14ac:dyDescent="0.3">
      <c r="A5" t="s">
        <v>23</v>
      </c>
      <c r="B5" t="s">
        <v>23</v>
      </c>
      <c r="C5" t="s">
        <v>3934</v>
      </c>
      <c r="D5">
        <v>64</v>
      </c>
      <c r="E5" t="s">
        <v>16</v>
      </c>
      <c r="F5" t="s">
        <v>24</v>
      </c>
      <c r="G5" t="s">
        <v>25</v>
      </c>
      <c r="H5" t="s">
        <v>12</v>
      </c>
      <c r="I5" t="s">
        <v>26</v>
      </c>
    </row>
    <row r="6" spans="1:9" x14ac:dyDescent="0.3">
      <c r="A6" t="s">
        <v>27</v>
      </c>
      <c r="B6" t="s">
        <v>27</v>
      </c>
      <c r="C6" t="s">
        <v>28</v>
      </c>
      <c r="D6">
        <v>24</v>
      </c>
      <c r="E6" t="s">
        <v>9</v>
      </c>
      <c r="F6" t="s">
        <v>29</v>
      </c>
      <c r="G6" t="s">
        <v>30</v>
      </c>
      <c r="H6" t="s">
        <v>12</v>
      </c>
      <c r="I6" t="s">
        <v>31</v>
      </c>
    </row>
    <row r="7" spans="1:9" x14ac:dyDescent="0.3">
      <c r="A7" t="s">
        <v>32</v>
      </c>
      <c r="B7" t="s">
        <v>32</v>
      </c>
      <c r="C7" t="s">
        <v>33</v>
      </c>
      <c r="D7">
        <v>29</v>
      </c>
      <c r="E7" t="s">
        <v>16</v>
      </c>
      <c r="F7" t="s">
        <v>34</v>
      </c>
      <c r="G7" t="s">
        <v>35</v>
      </c>
      <c r="H7" t="s">
        <v>12</v>
      </c>
      <c r="I7" t="s">
        <v>26</v>
      </c>
    </row>
    <row r="8" spans="1:9" x14ac:dyDescent="0.3">
      <c r="A8" t="s">
        <v>36</v>
      </c>
      <c r="B8" t="s">
        <v>36</v>
      </c>
      <c r="C8" t="s">
        <v>37</v>
      </c>
      <c r="D8">
        <v>29</v>
      </c>
      <c r="E8" t="s">
        <v>16</v>
      </c>
      <c r="F8" t="s">
        <v>38</v>
      </c>
      <c r="G8" t="s">
        <v>39</v>
      </c>
      <c r="H8" t="s">
        <v>12</v>
      </c>
      <c r="I8" t="s">
        <v>19</v>
      </c>
    </row>
    <row r="9" spans="1:9" x14ac:dyDescent="0.3">
      <c r="A9" t="s">
        <v>40</v>
      </c>
      <c r="B9" t="s">
        <v>40</v>
      </c>
      <c r="C9" t="s">
        <v>41</v>
      </c>
      <c r="D9">
        <v>53</v>
      </c>
      <c r="E9" t="s">
        <v>16</v>
      </c>
      <c r="F9" t="s">
        <v>42</v>
      </c>
      <c r="G9" t="s">
        <v>43</v>
      </c>
      <c r="H9" t="s">
        <v>12</v>
      </c>
      <c r="I9" t="s">
        <v>26</v>
      </c>
    </row>
    <row r="10" spans="1:9" x14ac:dyDescent="0.3">
      <c r="A10" t="s">
        <v>44</v>
      </c>
      <c r="B10" t="s">
        <v>44</v>
      </c>
      <c r="C10" t="s">
        <v>45</v>
      </c>
      <c r="D10">
        <v>64</v>
      </c>
      <c r="E10" t="s">
        <v>9</v>
      </c>
      <c r="F10" t="s">
        <v>46</v>
      </c>
      <c r="G10" t="s">
        <v>47</v>
      </c>
      <c r="H10" t="s">
        <v>12</v>
      </c>
      <c r="I10" t="s">
        <v>13</v>
      </c>
    </row>
    <row r="11" spans="1:9" x14ac:dyDescent="0.3">
      <c r="A11" t="s">
        <v>48</v>
      </c>
      <c r="B11" t="s">
        <v>48</v>
      </c>
      <c r="C11" t="s">
        <v>49</v>
      </c>
      <c r="D11">
        <v>53</v>
      </c>
      <c r="E11" t="s">
        <v>9</v>
      </c>
      <c r="F11" t="s">
        <v>50</v>
      </c>
      <c r="G11" t="s">
        <v>51</v>
      </c>
      <c r="H11" t="s">
        <v>12</v>
      </c>
      <c r="I11" t="s">
        <v>19</v>
      </c>
    </row>
    <row r="12" spans="1:9" x14ac:dyDescent="0.3">
      <c r="A12" t="s">
        <v>52</v>
      </c>
      <c r="B12" t="s">
        <v>52</v>
      </c>
      <c r="C12" t="s">
        <v>53</v>
      </c>
      <c r="D12">
        <v>28</v>
      </c>
      <c r="E12" t="s">
        <v>16</v>
      </c>
      <c r="F12" t="s">
        <v>54</v>
      </c>
      <c r="G12" t="s">
        <v>51</v>
      </c>
      <c r="H12" t="s">
        <v>12</v>
      </c>
      <c r="I12" t="s">
        <v>26</v>
      </c>
    </row>
    <row r="13" spans="1:9" x14ac:dyDescent="0.3">
      <c r="A13" t="s">
        <v>55</v>
      </c>
      <c r="B13" t="s">
        <v>55</v>
      </c>
      <c r="C13" t="s">
        <v>56</v>
      </c>
      <c r="D13">
        <v>55</v>
      </c>
      <c r="E13" t="s">
        <v>16</v>
      </c>
      <c r="F13" t="s">
        <v>57</v>
      </c>
      <c r="G13" t="s">
        <v>58</v>
      </c>
      <c r="H13" t="s">
        <v>12</v>
      </c>
      <c r="I13" t="s">
        <v>13</v>
      </c>
    </row>
    <row r="14" spans="1:9" x14ac:dyDescent="0.3">
      <c r="A14" t="s">
        <v>59</v>
      </c>
      <c r="B14" t="s">
        <v>59</v>
      </c>
      <c r="C14" t="s">
        <v>60</v>
      </c>
      <c r="D14">
        <v>32</v>
      </c>
      <c r="E14" t="s">
        <v>16</v>
      </c>
      <c r="F14" t="s">
        <v>61</v>
      </c>
      <c r="G14" t="s">
        <v>62</v>
      </c>
      <c r="H14" t="s">
        <v>12</v>
      </c>
      <c r="I14" t="s">
        <v>19</v>
      </c>
    </row>
    <row r="15" spans="1:9" x14ac:dyDescent="0.3">
      <c r="A15" t="s">
        <v>63</v>
      </c>
      <c r="B15" t="s">
        <v>63</v>
      </c>
      <c r="C15" t="s">
        <v>64</v>
      </c>
      <c r="D15">
        <v>53</v>
      </c>
      <c r="E15" t="s">
        <v>16</v>
      </c>
      <c r="F15" t="s">
        <v>65</v>
      </c>
      <c r="G15" t="s">
        <v>66</v>
      </c>
      <c r="H15" t="s">
        <v>12</v>
      </c>
      <c r="I15" t="s">
        <v>31</v>
      </c>
    </row>
    <row r="16" spans="1:9" x14ac:dyDescent="0.3">
      <c r="A16" t="s">
        <v>67</v>
      </c>
      <c r="B16" t="s">
        <v>67</v>
      </c>
      <c r="C16" t="s">
        <v>68</v>
      </c>
      <c r="D16">
        <v>49</v>
      </c>
      <c r="E16" t="s">
        <v>16</v>
      </c>
      <c r="F16" t="s">
        <v>69</v>
      </c>
      <c r="G16" t="s">
        <v>70</v>
      </c>
      <c r="H16" t="s">
        <v>12</v>
      </c>
      <c r="I16" t="s">
        <v>31</v>
      </c>
    </row>
    <row r="17" spans="1:9" x14ac:dyDescent="0.3">
      <c r="A17" t="s">
        <v>71</v>
      </c>
      <c r="B17" t="s">
        <v>71</v>
      </c>
      <c r="C17" t="s">
        <v>72</v>
      </c>
      <c r="D17">
        <v>24</v>
      </c>
      <c r="E17" t="s">
        <v>16</v>
      </c>
      <c r="F17" t="s">
        <v>73</v>
      </c>
      <c r="G17" t="s">
        <v>74</v>
      </c>
      <c r="H17" t="s">
        <v>12</v>
      </c>
      <c r="I17" t="s">
        <v>19</v>
      </c>
    </row>
    <row r="18" spans="1:9" x14ac:dyDescent="0.3">
      <c r="A18" t="s">
        <v>75</v>
      </c>
      <c r="B18" t="s">
        <v>75</v>
      </c>
      <c r="C18" t="s">
        <v>76</v>
      </c>
      <c r="D18">
        <v>60</v>
      </c>
      <c r="E18" t="s">
        <v>16</v>
      </c>
      <c r="F18" t="s">
        <v>77</v>
      </c>
      <c r="G18" t="s">
        <v>51</v>
      </c>
      <c r="H18" t="s">
        <v>12</v>
      </c>
      <c r="I18" t="s">
        <v>26</v>
      </c>
    </row>
    <row r="19" spans="1:9" x14ac:dyDescent="0.3">
      <c r="A19" t="s">
        <v>78</v>
      </c>
      <c r="B19" t="s">
        <v>78</v>
      </c>
      <c r="C19" t="s">
        <v>79</v>
      </c>
      <c r="D19">
        <v>43</v>
      </c>
      <c r="E19" t="s">
        <v>9</v>
      </c>
      <c r="F19" t="s">
        <v>80</v>
      </c>
      <c r="G19" t="s">
        <v>81</v>
      </c>
      <c r="H19" t="s">
        <v>12</v>
      </c>
      <c r="I19" t="s">
        <v>19</v>
      </c>
    </row>
    <row r="20" spans="1:9" x14ac:dyDescent="0.3">
      <c r="A20" t="s">
        <v>82</v>
      </c>
      <c r="B20" t="s">
        <v>82</v>
      </c>
      <c r="C20" t="s">
        <v>83</v>
      </c>
      <c r="D20">
        <v>46</v>
      </c>
      <c r="E20" t="s">
        <v>16</v>
      </c>
      <c r="F20" t="s">
        <v>84</v>
      </c>
      <c r="G20" t="s">
        <v>62</v>
      </c>
      <c r="H20" t="s">
        <v>12</v>
      </c>
      <c r="I20" t="s">
        <v>19</v>
      </c>
    </row>
    <row r="21" spans="1:9" x14ac:dyDescent="0.3">
      <c r="A21" t="s">
        <v>85</v>
      </c>
      <c r="B21" t="s">
        <v>85</v>
      </c>
      <c r="C21" t="s">
        <v>86</v>
      </c>
      <c r="D21">
        <v>59</v>
      </c>
      <c r="E21" t="s">
        <v>9</v>
      </c>
      <c r="F21" t="s">
        <v>87</v>
      </c>
      <c r="G21" t="s">
        <v>88</v>
      </c>
      <c r="H21" t="s">
        <v>12</v>
      </c>
      <c r="I21" t="s">
        <v>19</v>
      </c>
    </row>
    <row r="22" spans="1:9" x14ac:dyDescent="0.3">
      <c r="A22" t="s">
        <v>89</v>
      </c>
      <c r="B22" t="s">
        <v>89</v>
      </c>
      <c r="C22" t="s">
        <v>90</v>
      </c>
      <c r="D22">
        <v>36</v>
      </c>
      <c r="E22" t="s">
        <v>16</v>
      </c>
      <c r="F22" t="s">
        <v>91</v>
      </c>
      <c r="G22" t="s">
        <v>92</v>
      </c>
      <c r="H22" t="s">
        <v>12</v>
      </c>
      <c r="I22" t="s">
        <v>31</v>
      </c>
    </row>
    <row r="23" spans="1:9" x14ac:dyDescent="0.3">
      <c r="A23" t="s">
        <v>93</v>
      </c>
      <c r="B23" t="s">
        <v>93</v>
      </c>
      <c r="C23" t="s">
        <v>94</v>
      </c>
      <c r="D23">
        <v>33</v>
      </c>
      <c r="E23" t="s">
        <v>16</v>
      </c>
      <c r="F23" t="s">
        <v>95</v>
      </c>
      <c r="G23" t="s">
        <v>96</v>
      </c>
      <c r="H23" t="s">
        <v>12</v>
      </c>
      <c r="I23" t="s">
        <v>13</v>
      </c>
    </row>
    <row r="24" spans="1:9" x14ac:dyDescent="0.3">
      <c r="A24" t="s">
        <v>97</v>
      </c>
      <c r="B24" t="s">
        <v>97</v>
      </c>
      <c r="C24" t="s">
        <v>3953</v>
      </c>
      <c r="D24">
        <v>52</v>
      </c>
      <c r="E24" t="s">
        <v>16</v>
      </c>
      <c r="F24" t="s">
        <v>98</v>
      </c>
      <c r="G24" t="s">
        <v>99</v>
      </c>
      <c r="H24" t="s">
        <v>12</v>
      </c>
      <c r="I24" t="s">
        <v>31</v>
      </c>
    </row>
    <row r="25" spans="1:9" x14ac:dyDescent="0.3">
      <c r="A25" t="s">
        <v>100</v>
      </c>
      <c r="B25" t="s">
        <v>100</v>
      </c>
      <c r="C25" t="s">
        <v>101</v>
      </c>
      <c r="D25">
        <v>40</v>
      </c>
      <c r="E25" t="s">
        <v>9</v>
      </c>
      <c r="F25" t="s">
        <v>102</v>
      </c>
      <c r="G25" t="s">
        <v>35</v>
      </c>
      <c r="H25" t="s">
        <v>12</v>
      </c>
      <c r="I25" t="s">
        <v>31</v>
      </c>
    </row>
    <row r="26" spans="1:9" x14ac:dyDescent="0.3">
      <c r="A26" t="s">
        <v>103</v>
      </c>
      <c r="B26" t="s">
        <v>103</v>
      </c>
      <c r="C26" t="s">
        <v>104</v>
      </c>
      <c r="D26">
        <v>59</v>
      </c>
      <c r="E26" t="s">
        <v>16</v>
      </c>
      <c r="F26" t="s">
        <v>105</v>
      </c>
      <c r="G26" t="s">
        <v>106</v>
      </c>
      <c r="H26" t="s">
        <v>12</v>
      </c>
      <c r="I26" t="s">
        <v>19</v>
      </c>
    </row>
    <row r="27" spans="1:9" x14ac:dyDescent="0.3">
      <c r="A27" t="s">
        <v>107</v>
      </c>
      <c r="B27" t="s">
        <v>107</v>
      </c>
      <c r="C27" t="s">
        <v>108</v>
      </c>
      <c r="D27">
        <v>18</v>
      </c>
      <c r="E27" t="s">
        <v>16</v>
      </c>
      <c r="F27" t="s">
        <v>109</v>
      </c>
      <c r="G27" t="s">
        <v>30</v>
      </c>
      <c r="H27" t="s">
        <v>12</v>
      </c>
      <c r="I27" t="s">
        <v>26</v>
      </c>
    </row>
    <row r="28" spans="1:9" x14ac:dyDescent="0.3">
      <c r="A28" t="s">
        <v>110</v>
      </c>
      <c r="B28" t="s">
        <v>110</v>
      </c>
      <c r="C28" t="s">
        <v>111</v>
      </c>
      <c r="D28">
        <v>31</v>
      </c>
      <c r="E28" t="s">
        <v>9</v>
      </c>
      <c r="F28" t="s">
        <v>112</v>
      </c>
      <c r="G28" t="s">
        <v>113</v>
      </c>
      <c r="H28" t="s">
        <v>12</v>
      </c>
      <c r="I28" t="s">
        <v>13</v>
      </c>
    </row>
    <row r="29" spans="1:9" x14ac:dyDescent="0.3">
      <c r="A29" t="s">
        <v>114</v>
      </c>
      <c r="B29" t="s">
        <v>114</v>
      </c>
      <c r="C29" t="s">
        <v>115</v>
      </c>
      <c r="D29">
        <v>27</v>
      </c>
      <c r="E29" t="s">
        <v>16</v>
      </c>
      <c r="F29" t="s">
        <v>116</v>
      </c>
      <c r="G29" t="s">
        <v>117</v>
      </c>
      <c r="H29" t="s">
        <v>12</v>
      </c>
      <c r="I29" t="s">
        <v>19</v>
      </c>
    </row>
    <row r="30" spans="1:9" x14ac:dyDescent="0.3">
      <c r="A30" t="s">
        <v>118</v>
      </c>
      <c r="B30" t="s">
        <v>118</v>
      </c>
      <c r="C30" t="s">
        <v>119</v>
      </c>
      <c r="D30">
        <v>54</v>
      </c>
      <c r="E30" t="s">
        <v>16</v>
      </c>
      <c r="F30" t="s">
        <v>120</v>
      </c>
      <c r="G30" t="s">
        <v>88</v>
      </c>
      <c r="H30" t="s">
        <v>12</v>
      </c>
      <c r="I30" t="s">
        <v>19</v>
      </c>
    </row>
    <row r="31" spans="1:9" x14ac:dyDescent="0.3">
      <c r="A31" t="s">
        <v>121</v>
      </c>
      <c r="B31" t="s">
        <v>121</v>
      </c>
      <c r="C31" t="s">
        <v>122</v>
      </c>
      <c r="D31">
        <v>64</v>
      </c>
      <c r="E31" t="s">
        <v>16</v>
      </c>
      <c r="F31" t="s">
        <v>123</v>
      </c>
      <c r="G31" t="s">
        <v>30</v>
      </c>
      <c r="H31" t="s">
        <v>12</v>
      </c>
      <c r="I31" t="s">
        <v>31</v>
      </c>
    </row>
    <row r="32" spans="1:9" x14ac:dyDescent="0.3">
      <c r="A32" t="s">
        <v>124</v>
      </c>
      <c r="B32" t="s">
        <v>124</v>
      </c>
      <c r="C32" t="s">
        <v>125</v>
      </c>
      <c r="D32">
        <v>41</v>
      </c>
      <c r="E32" t="s">
        <v>9</v>
      </c>
      <c r="F32" t="s">
        <v>126</v>
      </c>
      <c r="G32" t="s">
        <v>51</v>
      </c>
      <c r="H32" t="s">
        <v>12</v>
      </c>
      <c r="I32" t="s">
        <v>26</v>
      </c>
    </row>
    <row r="33" spans="1:9" x14ac:dyDescent="0.3">
      <c r="A33" t="s">
        <v>127</v>
      </c>
      <c r="B33" t="s">
        <v>127</v>
      </c>
      <c r="C33" t="s">
        <v>128</v>
      </c>
      <c r="D33">
        <v>48</v>
      </c>
      <c r="E33" t="s">
        <v>16</v>
      </c>
      <c r="F33" t="s">
        <v>129</v>
      </c>
      <c r="G33" t="s">
        <v>35</v>
      </c>
      <c r="H33" t="s">
        <v>12</v>
      </c>
      <c r="I33" t="s">
        <v>31</v>
      </c>
    </row>
    <row r="34" spans="1:9" x14ac:dyDescent="0.3">
      <c r="A34" t="s">
        <v>130</v>
      </c>
      <c r="B34" t="s">
        <v>130</v>
      </c>
      <c r="C34" t="s">
        <v>131</v>
      </c>
      <c r="D34">
        <v>25</v>
      </c>
      <c r="E34" t="s">
        <v>9</v>
      </c>
      <c r="F34" t="s">
        <v>132</v>
      </c>
      <c r="G34" t="s">
        <v>133</v>
      </c>
      <c r="H34" t="s">
        <v>12</v>
      </c>
      <c r="I34" t="s">
        <v>13</v>
      </c>
    </row>
    <row r="35" spans="1:9" x14ac:dyDescent="0.3">
      <c r="A35" t="s">
        <v>134</v>
      </c>
      <c r="B35" t="s">
        <v>134</v>
      </c>
      <c r="C35" t="s">
        <v>3935</v>
      </c>
      <c r="D35">
        <v>27</v>
      </c>
      <c r="E35" t="s">
        <v>16</v>
      </c>
      <c r="F35" t="s">
        <v>135</v>
      </c>
      <c r="G35" t="s">
        <v>96</v>
      </c>
      <c r="H35" t="s">
        <v>12</v>
      </c>
      <c r="I35" t="s">
        <v>19</v>
      </c>
    </row>
    <row r="36" spans="1:9" x14ac:dyDescent="0.3">
      <c r="A36" t="s">
        <v>136</v>
      </c>
      <c r="B36" t="s">
        <v>136</v>
      </c>
      <c r="C36" t="s">
        <v>137</v>
      </c>
      <c r="D36">
        <v>52</v>
      </c>
      <c r="E36" t="s">
        <v>9</v>
      </c>
      <c r="F36" t="s">
        <v>138</v>
      </c>
      <c r="G36" t="s">
        <v>139</v>
      </c>
      <c r="H36" t="s">
        <v>12</v>
      </c>
      <c r="I36" t="s">
        <v>19</v>
      </c>
    </row>
    <row r="37" spans="1:9" x14ac:dyDescent="0.3">
      <c r="A37" t="s">
        <v>140</v>
      </c>
      <c r="B37" t="s">
        <v>140</v>
      </c>
      <c r="C37" t="s">
        <v>141</v>
      </c>
      <c r="D37">
        <v>20</v>
      </c>
      <c r="E37" t="s">
        <v>16</v>
      </c>
      <c r="F37" t="s">
        <v>142</v>
      </c>
      <c r="G37" t="s">
        <v>18</v>
      </c>
      <c r="H37" t="s">
        <v>12</v>
      </c>
      <c r="I37" t="s">
        <v>31</v>
      </c>
    </row>
    <row r="38" spans="1:9" x14ac:dyDescent="0.3">
      <c r="A38" t="s">
        <v>143</v>
      </c>
      <c r="B38" t="s">
        <v>143</v>
      </c>
      <c r="C38" t="s">
        <v>144</v>
      </c>
      <c r="D38">
        <v>27</v>
      </c>
      <c r="E38" t="s">
        <v>16</v>
      </c>
      <c r="F38" t="s">
        <v>145</v>
      </c>
      <c r="G38" t="s">
        <v>81</v>
      </c>
      <c r="H38" t="s">
        <v>12</v>
      </c>
      <c r="I38" t="s">
        <v>13</v>
      </c>
    </row>
    <row r="39" spans="1:9" x14ac:dyDescent="0.3">
      <c r="A39" t="s">
        <v>146</v>
      </c>
      <c r="B39" t="s">
        <v>146</v>
      </c>
      <c r="C39" t="s">
        <v>147</v>
      </c>
      <c r="D39">
        <v>35</v>
      </c>
      <c r="E39" t="s">
        <v>16</v>
      </c>
      <c r="F39" t="s">
        <v>148</v>
      </c>
      <c r="G39" t="s">
        <v>39</v>
      </c>
      <c r="H39" t="s">
        <v>12</v>
      </c>
      <c r="I39" t="s">
        <v>19</v>
      </c>
    </row>
    <row r="40" spans="1:9" x14ac:dyDescent="0.3">
      <c r="A40" t="s">
        <v>149</v>
      </c>
      <c r="B40" t="s">
        <v>149</v>
      </c>
      <c r="C40" t="s">
        <v>150</v>
      </c>
      <c r="D40">
        <v>55</v>
      </c>
      <c r="E40" t="s">
        <v>16</v>
      </c>
      <c r="F40" t="s">
        <v>151</v>
      </c>
      <c r="G40" t="s">
        <v>18</v>
      </c>
      <c r="H40" t="s">
        <v>12</v>
      </c>
      <c r="I40" t="s">
        <v>26</v>
      </c>
    </row>
    <row r="41" spans="1:9" x14ac:dyDescent="0.3">
      <c r="A41" t="s">
        <v>152</v>
      </c>
      <c r="B41" t="s">
        <v>152</v>
      </c>
      <c r="C41" t="s">
        <v>153</v>
      </c>
      <c r="D41">
        <v>50</v>
      </c>
      <c r="E41" t="s">
        <v>9</v>
      </c>
      <c r="F41" t="s">
        <v>154</v>
      </c>
      <c r="G41" t="s">
        <v>155</v>
      </c>
      <c r="H41" t="s">
        <v>12</v>
      </c>
      <c r="I41" t="s">
        <v>13</v>
      </c>
    </row>
    <row r="42" spans="1:9" x14ac:dyDescent="0.3">
      <c r="A42" t="s">
        <v>156</v>
      </c>
      <c r="B42" t="s">
        <v>156</v>
      </c>
      <c r="C42" t="s">
        <v>157</v>
      </c>
      <c r="D42">
        <v>21</v>
      </c>
      <c r="E42" t="s">
        <v>9</v>
      </c>
      <c r="F42" t="s">
        <v>158</v>
      </c>
      <c r="G42" t="s">
        <v>62</v>
      </c>
      <c r="H42" t="s">
        <v>12</v>
      </c>
      <c r="I42" t="s">
        <v>13</v>
      </c>
    </row>
    <row r="43" spans="1:9" x14ac:dyDescent="0.3">
      <c r="A43" t="s">
        <v>159</v>
      </c>
      <c r="B43" t="s">
        <v>159</v>
      </c>
      <c r="C43" t="s">
        <v>160</v>
      </c>
      <c r="D43">
        <v>19</v>
      </c>
      <c r="E43" t="s">
        <v>9</v>
      </c>
      <c r="F43" t="s">
        <v>161</v>
      </c>
      <c r="G43" t="s">
        <v>162</v>
      </c>
      <c r="H43" t="s">
        <v>12</v>
      </c>
      <c r="I43" t="s">
        <v>19</v>
      </c>
    </row>
    <row r="44" spans="1:9" x14ac:dyDescent="0.3">
      <c r="A44" t="s">
        <v>163</v>
      </c>
      <c r="B44" t="s">
        <v>163</v>
      </c>
      <c r="C44" t="s">
        <v>164</v>
      </c>
      <c r="D44">
        <v>45</v>
      </c>
      <c r="E44" t="s">
        <v>9</v>
      </c>
      <c r="F44" t="s">
        <v>165</v>
      </c>
      <c r="G44" t="s">
        <v>166</v>
      </c>
      <c r="H44" t="s">
        <v>12</v>
      </c>
      <c r="I44" t="s">
        <v>19</v>
      </c>
    </row>
    <row r="45" spans="1:9" x14ac:dyDescent="0.3">
      <c r="A45" t="s">
        <v>167</v>
      </c>
      <c r="B45" t="s">
        <v>167</v>
      </c>
      <c r="C45" t="s">
        <v>168</v>
      </c>
      <c r="D45">
        <v>34</v>
      </c>
      <c r="E45" t="s">
        <v>9</v>
      </c>
      <c r="F45" t="s">
        <v>169</v>
      </c>
      <c r="G45" t="s">
        <v>170</v>
      </c>
      <c r="H45" t="s">
        <v>12</v>
      </c>
      <c r="I45" t="s">
        <v>13</v>
      </c>
    </row>
    <row r="46" spans="1:9" x14ac:dyDescent="0.3">
      <c r="A46" t="s">
        <v>171</v>
      </c>
      <c r="B46" t="s">
        <v>171</v>
      </c>
      <c r="C46" t="s">
        <v>172</v>
      </c>
      <c r="D46">
        <v>54</v>
      </c>
      <c r="E46" t="s">
        <v>9</v>
      </c>
      <c r="F46" t="s">
        <v>173</v>
      </c>
      <c r="G46" t="s">
        <v>99</v>
      </c>
      <c r="H46" t="s">
        <v>12</v>
      </c>
      <c r="I46" t="s">
        <v>26</v>
      </c>
    </row>
    <row r="47" spans="1:9" x14ac:dyDescent="0.3">
      <c r="A47" t="s">
        <v>174</v>
      </c>
      <c r="B47" t="s">
        <v>174</v>
      </c>
      <c r="C47" t="s">
        <v>3936</v>
      </c>
      <c r="D47">
        <v>55</v>
      </c>
      <c r="E47" t="s">
        <v>16</v>
      </c>
      <c r="F47" t="s">
        <v>175</v>
      </c>
      <c r="G47" t="s">
        <v>133</v>
      </c>
      <c r="H47" t="s">
        <v>12</v>
      </c>
      <c r="I47" t="s">
        <v>13</v>
      </c>
    </row>
    <row r="48" spans="1:9" x14ac:dyDescent="0.3">
      <c r="A48" t="s">
        <v>176</v>
      </c>
      <c r="B48" t="s">
        <v>176</v>
      </c>
      <c r="C48" t="s">
        <v>3937</v>
      </c>
      <c r="D48">
        <v>54</v>
      </c>
      <c r="E48" t="s">
        <v>16</v>
      </c>
      <c r="F48" t="s">
        <v>177</v>
      </c>
      <c r="G48" t="s">
        <v>25</v>
      </c>
      <c r="H48" t="s">
        <v>12</v>
      </c>
      <c r="I48" t="s">
        <v>19</v>
      </c>
    </row>
    <row r="49" spans="1:9" x14ac:dyDescent="0.3">
      <c r="A49" t="s">
        <v>178</v>
      </c>
      <c r="B49" t="s">
        <v>178</v>
      </c>
      <c r="C49" t="s">
        <v>179</v>
      </c>
      <c r="D49">
        <v>54</v>
      </c>
      <c r="E49" t="s">
        <v>9</v>
      </c>
      <c r="F49" t="s">
        <v>180</v>
      </c>
      <c r="G49" t="s">
        <v>181</v>
      </c>
      <c r="H49" t="s">
        <v>12</v>
      </c>
      <c r="I49" t="s">
        <v>31</v>
      </c>
    </row>
    <row r="50" spans="1:9" x14ac:dyDescent="0.3">
      <c r="A50" t="s">
        <v>182</v>
      </c>
      <c r="B50" t="s">
        <v>182</v>
      </c>
      <c r="C50" t="s">
        <v>183</v>
      </c>
      <c r="D50">
        <v>45</v>
      </c>
      <c r="E50" t="s">
        <v>16</v>
      </c>
      <c r="F50" t="s">
        <v>184</v>
      </c>
      <c r="G50" t="s">
        <v>11</v>
      </c>
      <c r="H50" t="s">
        <v>12</v>
      </c>
      <c r="I50" t="s">
        <v>19</v>
      </c>
    </row>
    <row r="51" spans="1:9" x14ac:dyDescent="0.3">
      <c r="A51" t="s">
        <v>185</v>
      </c>
      <c r="B51" t="s">
        <v>185</v>
      </c>
      <c r="C51" t="s">
        <v>186</v>
      </c>
      <c r="D51">
        <v>61</v>
      </c>
      <c r="E51" t="s">
        <v>16</v>
      </c>
      <c r="F51" t="s">
        <v>187</v>
      </c>
      <c r="G51" t="s">
        <v>25</v>
      </c>
      <c r="H51" t="s">
        <v>12</v>
      </c>
      <c r="I51" t="s">
        <v>13</v>
      </c>
    </row>
    <row r="52" spans="1:9" x14ac:dyDescent="0.3">
      <c r="A52" t="s">
        <v>188</v>
      </c>
      <c r="B52" t="s">
        <v>188</v>
      </c>
      <c r="C52" t="s">
        <v>189</v>
      </c>
      <c r="D52">
        <v>23</v>
      </c>
      <c r="E52" t="s">
        <v>16</v>
      </c>
      <c r="F52" t="s">
        <v>190</v>
      </c>
      <c r="G52" t="s">
        <v>191</v>
      </c>
      <c r="H52" t="s">
        <v>12</v>
      </c>
      <c r="I52" t="s">
        <v>13</v>
      </c>
    </row>
    <row r="53" spans="1:9" x14ac:dyDescent="0.3">
      <c r="A53" t="s">
        <v>192</v>
      </c>
      <c r="B53" t="s">
        <v>192</v>
      </c>
      <c r="C53" t="s">
        <v>193</v>
      </c>
      <c r="D53">
        <v>55</v>
      </c>
      <c r="E53" t="s">
        <v>9</v>
      </c>
      <c r="F53" t="s">
        <v>194</v>
      </c>
      <c r="G53" t="s">
        <v>43</v>
      </c>
      <c r="H53" t="s">
        <v>12</v>
      </c>
      <c r="I53" t="s">
        <v>13</v>
      </c>
    </row>
    <row r="54" spans="1:9" x14ac:dyDescent="0.3">
      <c r="A54" t="s">
        <v>195</v>
      </c>
      <c r="B54" t="s">
        <v>195</v>
      </c>
      <c r="C54" t="s">
        <v>196</v>
      </c>
      <c r="D54">
        <v>37</v>
      </c>
      <c r="E54" t="s">
        <v>16</v>
      </c>
      <c r="F54" t="s">
        <v>197</v>
      </c>
      <c r="G54" t="s">
        <v>198</v>
      </c>
      <c r="H54" t="s">
        <v>12</v>
      </c>
      <c r="I54" t="s">
        <v>26</v>
      </c>
    </row>
    <row r="55" spans="1:9" x14ac:dyDescent="0.3">
      <c r="A55" t="s">
        <v>199</v>
      </c>
      <c r="B55" t="s">
        <v>199</v>
      </c>
      <c r="C55" t="s">
        <v>200</v>
      </c>
      <c r="D55">
        <v>24</v>
      </c>
      <c r="E55" t="s">
        <v>9</v>
      </c>
      <c r="F55" t="s">
        <v>201</v>
      </c>
      <c r="G55" t="s">
        <v>155</v>
      </c>
      <c r="H55" t="s">
        <v>12</v>
      </c>
      <c r="I55" t="s">
        <v>13</v>
      </c>
    </row>
    <row r="56" spans="1:9" x14ac:dyDescent="0.3">
      <c r="A56" t="s">
        <v>202</v>
      </c>
      <c r="B56" t="s">
        <v>202</v>
      </c>
      <c r="C56" t="s">
        <v>203</v>
      </c>
      <c r="D56">
        <v>56</v>
      </c>
      <c r="E56" t="s">
        <v>16</v>
      </c>
      <c r="F56" t="s">
        <v>204</v>
      </c>
      <c r="G56" t="s">
        <v>96</v>
      </c>
      <c r="H56" t="s">
        <v>12</v>
      </c>
      <c r="I56" t="s">
        <v>19</v>
      </c>
    </row>
    <row r="57" spans="1:9" x14ac:dyDescent="0.3">
      <c r="A57" t="s">
        <v>205</v>
      </c>
      <c r="B57" t="s">
        <v>205</v>
      </c>
      <c r="C57" t="s">
        <v>206</v>
      </c>
      <c r="D57">
        <v>49</v>
      </c>
      <c r="E57" t="s">
        <v>16</v>
      </c>
      <c r="F57" t="s">
        <v>207</v>
      </c>
      <c r="G57" t="s">
        <v>198</v>
      </c>
      <c r="H57" t="s">
        <v>12</v>
      </c>
      <c r="I57" t="s">
        <v>26</v>
      </c>
    </row>
    <row r="58" spans="1:9" x14ac:dyDescent="0.3">
      <c r="A58" t="s">
        <v>208</v>
      </c>
      <c r="B58" t="s">
        <v>208</v>
      </c>
      <c r="C58" t="s">
        <v>209</v>
      </c>
      <c r="D58">
        <v>43</v>
      </c>
      <c r="E58" t="s">
        <v>16</v>
      </c>
      <c r="F58" t="s">
        <v>210</v>
      </c>
      <c r="G58" t="s">
        <v>51</v>
      </c>
      <c r="H58" t="s">
        <v>12</v>
      </c>
      <c r="I58" t="s">
        <v>13</v>
      </c>
    </row>
    <row r="59" spans="1:9" x14ac:dyDescent="0.3">
      <c r="A59" t="s">
        <v>211</v>
      </c>
      <c r="B59" t="s">
        <v>211</v>
      </c>
      <c r="C59" t="s">
        <v>212</v>
      </c>
      <c r="D59">
        <v>51</v>
      </c>
      <c r="E59" t="s">
        <v>9</v>
      </c>
      <c r="F59" t="s">
        <v>213</v>
      </c>
      <c r="G59" t="s">
        <v>214</v>
      </c>
      <c r="H59" t="s">
        <v>12</v>
      </c>
      <c r="I59" t="s">
        <v>19</v>
      </c>
    </row>
    <row r="60" spans="1:9" x14ac:dyDescent="0.3">
      <c r="A60" t="s">
        <v>215</v>
      </c>
      <c r="B60" t="s">
        <v>215</v>
      </c>
      <c r="C60" t="s">
        <v>216</v>
      </c>
      <c r="D60">
        <v>53</v>
      </c>
      <c r="E60" t="s">
        <v>9</v>
      </c>
      <c r="F60" t="s">
        <v>217</v>
      </c>
      <c r="G60" t="s">
        <v>139</v>
      </c>
      <c r="H60" t="s">
        <v>12</v>
      </c>
      <c r="I60" t="s">
        <v>19</v>
      </c>
    </row>
    <row r="61" spans="1:9" x14ac:dyDescent="0.3">
      <c r="A61" t="s">
        <v>218</v>
      </c>
      <c r="B61" t="s">
        <v>218</v>
      </c>
      <c r="C61" t="s">
        <v>219</v>
      </c>
      <c r="D61">
        <v>22</v>
      </c>
      <c r="E61" t="s">
        <v>16</v>
      </c>
      <c r="F61" t="s">
        <v>220</v>
      </c>
      <c r="G61" t="s">
        <v>66</v>
      </c>
      <c r="H61" t="s">
        <v>12</v>
      </c>
      <c r="I61" t="s">
        <v>19</v>
      </c>
    </row>
    <row r="62" spans="1:9" x14ac:dyDescent="0.3">
      <c r="A62" t="s">
        <v>221</v>
      </c>
      <c r="B62" t="s">
        <v>221</v>
      </c>
      <c r="C62" t="s">
        <v>222</v>
      </c>
      <c r="D62">
        <v>23</v>
      </c>
      <c r="E62" t="s">
        <v>9</v>
      </c>
      <c r="F62" t="s">
        <v>223</v>
      </c>
      <c r="G62" t="s">
        <v>162</v>
      </c>
      <c r="H62" t="s">
        <v>12</v>
      </c>
      <c r="I62" t="s">
        <v>31</v>
      </c>
    </row>
    <row r="63" spans="1:9" x14ac:dyDescent="0.3">
      <c r="A63" t="s">
        <v>224</v>
      </c>
      <c r="B63" t="s">
        <v>224</v>
      </c>
      <c r="C63" t="s">
        <v>225</v>
      </c>
      <c r="D63">
        <v>50</v>
      </c>
      <c r="E63" t="s">
        <v>9</v>
      </c>
      <c r="F63" t="s">
        <v>226</v>
      </c>
      <c r="G63" t="s">
        <v>113</v>
      </c>
      <c r="H63" t="s">
        <v>12</v>
      </c>
      <c r="I63" t="s">
        <v>31</v>
      </c>
    </row>
    <row r="64" spans="1:9" x14ac:dyDescent="0.3">
      <c r="A64" t="s">
        <v>227</v>
      </c>
      <c r="B64" t="s">
        <v>227</v>
      </c>
      <c r="C64" t="s">
        <v>228</v>
      </c>
      <c r="D64">
        <v>51</v>
      </c>
      <c r="E64" t="s">
        <v>9</v>
      </c>
      <c r="F64" t="s">
        <v>229</v>
      </c>
      <c r="G64" t="s">
        <v>230</v>
      </c>
      <c r="H64" t="s">
        <v>12</v>
      </c>
      <c r="I64" t="s">
        <v>26</v>
      </c>
    </row>
    <row r="65" spans="1:9" x14ac:dyDescent="0.3">
      <c r="A65" t="s">
        <v>231</v>
      </c>
      <c r="B65" t="s">
        <v>231</v>
      </c>
      <c r="C65" t="s">
        <v>232</v>
      </c>
      <c r="D65">
        <v>33</v>
      </c>
      <c r="E65" t="s">
        <v>9</v>
      </c>
      <c r="F65" t="s">
        <v>233</v>
      </c>
      <c r="G65" t="s">
        <v>234</v>
      </c>
      <c r="H65" t="s">
        <v>12</v>
      </c>
      <c r="I65" t="s">
        <v>19</v>
      </c>
    </row>
    <row r="66" spans="1:9" x14ac:dyDescent="0.3">
      <c r="A66" t="s">
        <v>235</v>
      </c>
      <c r="B66" t="s">
        <v>235</v>
      </c>
      <c r="C66" t="s">
        <v>236</v>
      </c>
      <c r="D66">
        <v>21</v>
      </c>
      <c r="E66" t="s">
        <v>16</v>
      </c>
      <c r="F66" t="s">
        <v>237</v>
      </c>
      <c r="G66" t="s">
        <v>133</v>
      </c>
      <c r="H66" t="s">
        <v>12</v>
      </c>
      <c r="I66" t="s">
        <v>13</v>
      </c>
    </row>
    <row r="67" spans="1:9" x14ac:dyDescent="0.3">
      <c r="A67" t="s">
        <v>238</v>
      </c>
      <c r="B67" t="s">
        <v>238</v>
      </c>
      <c r="C67" t="s">
        <v>239</v>
      </c>
      <c r="D67">
        <v>27</v>
      </c>
      <c r="E67" t="s">
        <v>16</v>
      </c>
      <c r="F67" t="s">
        <v>240</v>
      </c>
      <c r="G67" t="s">
        <v>181</v>
      </c>
      <c r="H67" t="s">
        <v>12</v>
      </c>
      <c r="I67" t="s">
        <v>31</v>
      </c>
    </row>
    <row r="68" spans="1:9" x14ac:dyDescent="0.3">
      <c r="A68" t="s">
        <v>241</v>
      </c>
      <c r="B68" t="s">
        <v>241</v>
      </c>
      <c r="C68" t="s">
        <v>242</v>
      </c>
      <c r="D68">
        <v>58</v>
      </c>
      <c r="E68" t="s">
        <v>9</v>
      </c>
      <c r="F68" t="s">
        <v>243</v>
      </c>
      <c r="G68" t="s">
        <v>47</v>
      </c>
      <c r="H68" t="s">
        <v>12</v>
      </c>
      <c r="I68" t="s">
        <v>31</v>
      </c>
    </row>
    <row r="69" spans="1:9" x14ac:dyDescent="0.3">
      <c r="A69" t="s">
        <v>244</v>
      </c>
      <c r="B69" t="s">
        <v>244</v>
      </c>
      <c r="C69" t="s">
        <v>245</v>
      </c>
      <c r="D69">
        <v>24</v>
      </c>
      <c r="E69" t="s">
        <v>16</v>
      </c>
      <c r="F69" t="s">
        <v>246</v>
      </c>
      <c r="G69" t="s">
        <v>247</v>
      </c>
      <c r="H69" t="s">
        <v>12</v>
      </c>
      <c r="I69" t="s">
        <v>31</v>
      </c>
    </row>
    <row r="70" spans="1:9" x14ac:dyDescent="0.3">
      <c r="A70" t="s">
        <v>248</v>
      </c>
      <c r="B70" t="s">
        <v>248</v>
      </c>
      <c r="C70" t="s">
        <v>249</v>
      </c>
      <c r="D70">
        <v>24</v>
      </c>
      <c r="E70" t="s">
        <v>16</v>
      </c>
      <c r="F70" t="s">
        <v>250</v>
      </c>
      <c r="G70" t="s">
        <v>251</v>
      </c>
      <c r="H70" t="s">
        <v>12</v>
      </c>
      <c r="I70" t="s">
        <v>31</v>
      </c>
    </row>
    <row r="71" spans="1:9" x14ac:dyDescent="0.3">
      <c r="A71" t="s">
        <v>252</v>
      </c>
      <c r="B71" t="s">
        <v>252</v>
      </c>
      <c r="C71" t="s">
        <v>253</v>
      </c>
      <c r="D71">
        <v>29</v>
      </c>
      <c r="E71" t="s">
        <v>16</v>
      </c>
      <c r="F71" t="s">
        <v>254</v>
      </c>
      <c r="G71" t="s">
        <v>88</v>
      </c>
      <c r="H71" t="s">
        <v>12</v>
      </c>
      <c r="I71" t="s">
        <v>19</v>
      </c>
    </row>
    <row r="72" spans="1:9" x14ac:dyDescent="0.3">
      <c r="A72" t="s">
        <v>255</v>
      </c>
      <c r="B72" t="s">
        <v>255</v>
      </c>
      <c r="C72" t="s">
        <v>256</v>
      </c>
      <c r="D72">
        <v>61</v>
      </c>
      <c r="E72" t="s">
        <v>16</v>
      </c>
      <c r="F72" t="s">
        <v>257</v>
      </c>
      <c r="G72" t="s">
        <v>230</v>
      </c>
      <c r="H72" t="s">
        <v>12</v>
      </c>
      <c r="I72" t="s">
        <v>13</v>
      </c>
    </row>
    <row r="73" spans="1:9" x14ac:dyDescent="0.3">
      <c r="A73" t="s">
        <v>258</v>
      </c>
      <c r="B73" t="s">
        <v>258</v>
      </c>
      <c r="C73" t="s">
        <v>259</v>
      </c>
      <c r="D73">
        <v>39</v>
      </c>
      <c r="E73" t="s">
        <v>16</v>
      </c>
      <c r="F73" t="s">
        <v>260</v>
      </c>
      <c r="G73" t="s">
        <v>230</v>
      </c>
      <c r="H73" t="s">
        <v>12</v>
      </c>
      <c r="I73" t="s">
        <v>13</v>
      </c>
    </row>
    <row r="74" spans="1:9" x14ac:dyDescent="0.3">
      <c r="A74" t="s">
        <v>261</v>
      </c>
      <c r="B74" t="s">
        <v>261</v>
      </c>
      <c r="C74" t="s">
        <v>262</v>
      </c>
      <c r="D74">
        <v>56</v>
      </c>
      <c r="E74" t="s">
        <v>16</v>
      </c>
      <c r="F74" t="s">
        <v>263</v>
      </c>
      <c r="G74" t="s">
        <v>264</v>
      </c>
      <c r="H74" t="s">
        <v>12</v>
      </c>
      <c r="I74" t="s">
        <v>13</v>
      </c>
    </row>
    <row r="75" spans="1:9" x14ac:dyDescent="0.3">
      <c r="A75" t="s">
        <v>265</v>
      </c>
      <c r="B75" t="s">
        <v>265</v>
      </c>
      <c r="C75" t="s">
        <v>266</v>
      </c>
      <c r="D75">
        <v>58</v>
      </c>
      <c r="E75" t="s">
        <v>9</v>
      </c>
      <c r="F75" t="s">
        <v>267</v>
      </c>
      <c r="G75" t="s">
        <v>43</v>
      </c>
      <c r="H75" t="s">
        <v>12</v>
      </c>
      <c r="I75" t="s">
        <v>31</v>
      </c>
    </row>
    <row r="76" spans="1:9" x14ac:dyDescent="0.3">
      <c r="A76" t="s">
        <v>268</v>
      </c>
      <c r="B76" t="s">
        <v>268</v>
      </c>
      <c r="C76" t="s">
        <v>269</v>
      </c>
      <c r="D76">
        <v>61</v>
      </c>
      <c r="E76" t="s">
        <v>16</v>
      </c>
      <c r="F76" t="s">
        <v>270</v>
      </c>
      <c r="G76" t="s">
        <v>271</v>
      </c>
      <c r="H76" t="s">
        <v>12</v>
      </c>
      <c r="I76" t="s">
        <v>26</v>
      </c>
    </row>
    <row r="77" spans="1:9" x14ac:dyDescent="0.3">
      <c r="A77" t="s">
        <v>272</v>
      </c>
      <c r="B77" t="s">
        <v>272</v>
      </c>
      <c r="C77" t="s">
        <v>273</v>
      </c>
      <c r="D77">
        <v>37</v>
      </c>
      <c r="E77" t="s">
        <v>9</v>
      </c>
      <c r="F77" t="s">
        <v>274</v>
      </c>
      <c r="G77" t="s">
        <v>30</v>
      </c>
      <c r="H77" t="s">
        <v>12</v>
      </c>
      <c r="I77" t="s">
        <v>13</v>
      </c>
    </row>
    <row r="78" spans="1:9" x14ac:dyDescent="0.3">
      <c r="A78" t="s">
        <v>275</v>
      </c>
      <c r="B78" t="s">
        <v>275</v>
      </c>
      <c r="C78" t="s">
        <v>276</v>
      </c>
      <c r="D78">
        <v>29</v>
      </c>
      <c r="E78" t="s">
        <v>9</v>
      </c>
      <c r="F78" t="s">
        <v>277</v>
      </c>
      <c r="G78" t="s">
        <v>96</v>
      </c>
      <c r="H78" t="s">
        <v>12</v>
      </c>
      <c r="I78" t="s">
        <v>13</v>
      </c>
    </row>
    <row r="79" spans="1:9" x14ac:dyDescent="0.3">
      <c r="A79" t="s">
        <v>278</v>
      </c>
      <c r="B79" t="s">
        <v>278</v>
      </c>
      <c r="C79" t="s">
        <v>279</v>
      </c>
      <c r="D79">
        <v>21</v>
      </c>
      <c r="E79" t="s">
        <v>9</v>
      </c>
      <c r="F79" t="s">
        <v>280</v>
      </c>
      <c r="G79" t="s">
        <v>170</v>
      </c>
      <c r="H79" t="s">
        <v>12</v>
      </c>
      <c r="I79" t="s">
        <v>13</v>
      </c>
    </row>
    <row r="80" spans="1:9" x14ac:dyDescent="0.3">
      <c r="A80" t="s">
        <v>281</v>
      </c>
      <c r="B80" t="s">
        <v>281</v>
      </c>
      <c r="C80" t="s">
        <v>282</v>
      </c>
      <c r="D80">
        <v>22</v>
      </c>
      <c r="E80" t="s">
        <v>16</v>
      </c>
      <c r="F80" t="s">
        <v>283</v>
      </c>
      <c r="G80" t="s">
        <v>284</v>
      </c>
      <c r="H80" t="s">
        <v>12</v>
      </c>
      <c r="I80" t="s">
        <v>13</v>
      </c>
    </row>
    <row r="81" spans="1:9" x14ac:dyDescent="0.3">
      <c r="A81" t="s">
        <v>285</v>
      </c>
      <c r="B81" t="s">
        <v>285</v>
      </c>
      <c r="C81" t="s">
        <v>286</v>
      </c>
      <c r="D81">
        <v>61</v>
      </c>
      <c r="E81" t="s">
        <v>16</v>
      </c>
      <c r="F81" t="s">
        <v>287</v>
      </c>
      <c r="G81" t="s">
        <v>288</v>
      </c>
      <c r="H81" t="s">
        <v>12</v>
      </c>
      <c r="I81" t="s">
        <v>19</v>
      </c>
    </row>
    <row r="82" spans="1:9" x14ac:dyDescent="0.3">
      <c r="A82" t="s">
        <v>289</v>
      </c>
      <c r="B82" t="s">
        <v>289</v>
      </c>
      <c r="C82" t="s">
        <v>290</v>
      </c>
      <c r="D82">
        <v>34</v>
      </c>
      <c r="E82" t="s">
        <v>16</v>
      </c>
      <c r="F82" t="s">
        <v>291</v>
      </c>
      <c r="G82" t="s">
        <v>230</v>
      </c>
      <c r="H82" t="s">
        <v>12</v>
      </c>
      <c r="I82" t="s">
        <v>26</v>
      </c>
    </row>
    <row r="83" spans="1:9" x14ac:dyDescent="0.3">
      <c r="A83" t="s">
        <v>292</v>
      </c>
      <c r="B83" t="s">
        <v>292</v>
      </c>
      <c r="C83" t="s">
        <v>293</v>
      </c>
      <c r="D83">
        <v>53</v>
      </c>
      <c r="E83" t="s">
        <v>9</v>
      </c>
      <c r="F83" t="s">
        <v>294</v>
      </c>
      <c r="G83" t="s">
        <v>133</v>
      </c>
      <c r="H83" t="s">
        <v>12</v>
      </c>
      <c r="I83" t="s">
        <v>19</v>
      </c>
    </row>
    <row r="84" spans="1:9" x14ac:dyDescent="0.3">
      <c r="A84" t="s">
        <v>295</v>
      </c>
      <c r="B84" t="s">
        <v>295</v>
      </c>
      <c r="C84" t="s">
        <v>296</v>
      </c>
      <c r="D84">
        <v>48</v>
      </c>
      <c r="E84" t="s">
        <v>16</v>
      </c>
      <c r="F84" t="s">
        <v>297</v>
      </c>
      <c r="G84" t="s">
        <v>247</v>
      </c>
      <c r="H84" t="s">
        <v>12</v>
      </c>
      <c r="I84" t="s">
        <v>26</v>
      </c>
    </row>
    <row r="85" spans="1:9" x14ac:dyDescent="0.3">
      <c r="A85" t="s">
        <v>298</v>
      </c>
      <c r="B85" t="s">
        <v>298</v>
      </c>
      <c r="C85" t="s">
        <v>299</v>
      </c>
      <c r="D85">
        <v>26</v>
      </c>
      <c r="E85" t="s">
        <v>16</v>
      </c>
      <c r="F85" t="s">
        <v>300</v>
      </c>
      <c r="G85" t="s">
        <v>81</v>
      </c>
      <c r="H85" t="s">
        <v>12</v>
      </c>
      <c r="I85" t="s">
        <v>26</v>
      </c>
    </row>
    <row r="86" spans="1:9" x14ac:dyDescent="0.3">
      <c r="A86" t="s">
        <v>301</v>
      </c>
      <c r="B86" t="s">
        <v>301</v>
      </c>
      <c r="C86" t="s">
        <v>302</v>
      </c>
      <c r="D86">
        <v>36</v>
      </c>
      <c r="E86" t="s">
        <v>9</v>
      </c>
      <c r="F86" t="s">
        <v>303</v>
      </c>
      <c r="G86" t="s">
        <v>251</v>
      </c>
      <c r="H86" t="s">
        <v>12</v>
      </c>
      <c r="I86" t="s">
        <v>19</v>
      </c>
    </row>
    <row r="87" spans="1:9" x14ac:dyDescent="0.3">
      <c r="A87" t="s">
        <v>304</v>
      </c>
      <c r="B87" t="s">
        <v>304</v>
      </c>
      <c r="C87" t="s">
        <v>305</v>
      </c>
      <c r="D87">
        <v>19</v>
      </c>
      <c r="E87" t="s">
        <v>16</v>
      </c>
      <c r="F87" t="s">
        <v>306</v>
      </c>
      <c r="G87" t="s">
        <v>51</v>
      </c>
      <c r="H87" t="s">
        <v>12</v>
      </c>
      <c r="I87" t="s">
        <v>31</v>
      </c>
    </row>
    <row r="88" spans="1:9" x14ac:dyDescent="0.3">
      <c r="A88" t="s">
        <v>307</v>
      </c>
      <c r="B88" t="s">
        <v>307</v>
      </c>
      <c r="C88" t="s">
        <v>3938</v>
      </c>
      <c r="D88">
        <v>58</v>
      </c>
      <c r="E88" t="s">
        <v>16</v>
      </c>
      <c r="F88" t="s">
        <v>308</v>
      </c>
      <c r="G88" t="s">
        <v>309</v>
      </c>
      <c r="H88" t="s">
        <v>12</v>
      </c>
      <c r="I88" t="s">
        <v>13</v>
      </c>
    </row>
    <row r="89" spans="1:9" x14ac:dyDescent="0.3">
      <c r="A89" t="s">
        <v>310</v>
      </c>
      <c r="B89" t="s">
        <v>310</v>
      </c>
      <c r="C89" t="s">
        <v>3939</v>
      </c>
      <c r="D89">
        <v>58</v>
      </c>
      <c r="E89" t="s">
        <v>9</v>
      </c>
      <c r="F89" t="s">
        <v>311</v>
      </c>
      <c r="G89" t="s">
        <v>312</v>
      </c>
      <c r="H89" t="s">
        <v>12</v>
      </c>
      <c r="I89" t="s">
        <v>26</v>
      </c>
    </row>
    <row r="90" spans="1:9" x14ac:dyDescent="0.3">
      <c r="A90" t="s">
        <v>313</v>
      </c>
      <c r="B90" t="s">
        <v>313</v>
      </c>
      <c r="C90" t="s">
        <v>314</v>
      </c>
      <c r="D90">
        <v>43</v>
      </c>
      <c r="E90" t="s">
        <v>9</v>
      </c>
      <c r="F90" t="s">
        <v>315</v>
      </c>
      <c r="G90" t="s">
        <v>288</v>
      </c>
      <c r="H90" t="s">
        <v>12</v>
      </c>
      <c r="I90" t="s">
        <v>31</v>
      </c>
    </row>
    <row r="91" spans="1:9" x14ac:dyDescent="0.3">
      <c r="A91" t="s">
        <v>316</v>
      </c>
      <c r="B91" t="s">
        <v>316</v>
      </c>
      <c r="C91" t="s">
        <v>317</v>
      </c>
      <c r="D91">
        <v>58</v>
      </c>
      <c r="E91" t="s">
        <v>16</v>
      </c>
      <c r="F91" t="s">
        <v>318</v>
      </c>
      <c r="G91" t="s">
        <v>319</v>
      </c>
      <c r="H91" t="s">
        <v>12</v>
      </c>
      <c r="I91" t="s">
        <v>19</v>
      </c>
    </row>
    <row r="92" spans="1:9" x14ac:dyDescent="0.3">
      <c r="A92" t="s">
        <v>320</v>
      </c>
      <c r="B92" t="s">
        <v>320</v>
      </c>
      <c r="C92" t="s">
        <v>321</v>
      </c>
      <c r="D92">
        <v>29</v>
      </c>
      <c r="E92" t="s">
        <v>16</v>
      </c>
      <c r="F92" t="s">
        <v>322</v>
      </c>
      <c r="G92" t="s">
        <v>323</v>
      </c>
      <c r="H92" t="s">
        <v>12</v>
      </c>
      <c r="I92" t="s">
        <v>19</v>
      </c>
    </row>
    <row r="93" spans="1:9" x14ac:dyDescent="0.3">
      <c r="A93" t="s">
        <v>324</v>
      </c>
      <c r="B93" t="s">
        <v>324</v>
      </c>
      <c r="C93" t="s">
        <v>325</v>
      </c>
      <c r="D93">
        <v>44</v>
      </c>
      <c r="E93" t="s">
        <v>16</v>
      </c>
      <c r="F93" t="s">
        <v>326</v>
      </c>
      <c r="G93" t="s">
        <v>133</v>
      </c>
      <c r="H93" t="s">
        <v>12</v>
      </c>
      <c r="I93" t="s">
        <v>31</v>
      </c>
    </row>
    <row r="94" spans="1:9" x14ac:dyDescent="0.3">
      <c r="A94" t="s">
        <v>327</v>
      </c>
      <c r="B94" t="s">
        <v>327</v>
      </c>
      <c r="C94" t="s">
        <v>328</v>
      </c>
      <c r="D94">
        <v>28</v>
      </c>
      <c r="E94" t="s">
        <v>16</v>
      </c>
      <c r="F94" t="s">
        <v>329</v>
      </c>
      <c r="G94" t="s">
        <v>234</v>
      </c>
      <c r="H94" t="s">
        <v>12</v>
      </c>
      <c r="I94" t="s">
        <v>19</v>
      </c>
    </row>
    <row r="95" spans="1:9" x14ac:dyDescent="0.3">
      <c r="A95" t="s">
        <v>330</v>
      </c>
      <c r="B95" t="s">
        <v>330</v>
      </c>
      <c r="C95" t="s">
        <v>331</v>
      </c>
      <c r="D95">
        <v>43</v>
      </c>
      <c r="E95" t="s">
        <v>16</v>
      </c>
      <c r="F95" t="s">
        <v>332</v>
      </c>
      <c r="G95" t="s">
        <v>312</v>
      </c>
      <c r="H95" t="s">
        <v>12</v>
      </c>
      <c r="I95" t="s">
        <v>13</v>
      </c>
    </row>
    <row r="96" spans="1:9" x14ac:dyDescent="0.3">
      <c r="A96" t="s">
        <v>333</v>
      </c>
      <c r="B96" t="s">
        <v>333</v>
      </c>
      <c r="C96" t="s">
        <v>334</v>
      </c>
      <c r="D96">
        <v>62</v>
      </c>
      <c r="E96" t="s">
        <v>16</v>
      </c>
      <c r="F96" t="s">
        <v>335</v>
      </c>
      <c r="G96" t="s">
        <v>181</v>
      </c>
      <c r="H96" t="s">
        <v>12</v>
      </c>
      <c r="I96" t="s">
        <v>13</v>
      </c>
    </row>
    <row r="97" spans="1:9" x14ac:dyDescent="0.3">
      <c r="A97" t="s">
        <v>336</v>
      </c>
      <c r="B97" t="s">
        <v>336</v>
      </c>
      <c r="C97" t="s">
        <v>337</v>
      </c>
      <c r="D97">
        <v>30</v>
      </c>
      <c r="E97" t="s">
        <v>16</v>
      </c>
      <c r="F97" t="s">
        <v>338</v>
      </c>
      <c r="G97" t="s">
        <v>58</v>
      </c>
      <c r="H97" t="s">
        <v>12</v>
      </c>
      <c r="I97" t="s">
        <v>19</v>
      </c>
    </row>
    <row r="98" spans="1:9" x14ac:dyDescent="0.3">
      <c r="A98" t="s">
        <v>339</v>
      </c>
      <c r="B98" t="s">
        <v>339</v>
      </c>
      <c r="C98" t="s">
        <v>340</v>
      </c>
      <c r="D98">
        <v>36</v>
      </c>
      <c r="E98" t="s">
        <v>9</v>
      </c>
      <c r="F98" t="s">
        <v>341</v>
      </c>
      <c r="G98" t="s">
        <v>323</v>
      </c>
      <c r="H98" t="s">
        <v>12</v>
      </c>
      <c r="I98" t="s">
        <v>19</v>
      </c>
    </row>
    <row r="99" spans="1:9" x14ac:dyDescent="0.3">
      <c r="A99" t="s">
        <v>342</v>
      </c>
      <c r="B99" t="s">
        <v>342</v>
      </c>
      <c r="C99" t="s">
        <v>343</v>
      </c>
      <c r="D99">
        <v>24</v>
      </c>
      <c r="E99" t="s">
        <v>9</v>
      </c>
      <c r="F99" t="s">
        <v>344</v>
      </c>
      <c r="G99" t="s">
        <v>39</v>
      </c>
      <c r="H99" t="s">
        <v>12</v>
      </c>
      <c r="I99" t="s">
        <v>31</v>
      </c>
    </row>
    <row r="100" spans="1:9" x14ac:dyDescent="0.3">
      <c r="A100" t="s">
        <v>345</v>
      </c>
      <c r="B100" t="s">
        <v>345</v>
      </c>
      <c r="C100" t="s">
        <v>346</v>
      </c>
      <c r="D100">
        <v>35</v>
      </c>
      <c r="E100" t="s">
        <v>9</v>
      </c>
      <c r="F100" t="s">
        <v>347</v>
      </c>
      <c r="G100" t="s">
        <v>162</v>
      </c>
      <c r="H100" t="s">
        <v>12</v>
      </c>
      <c r="I100" t="s">
        <v>13</v>
      </c>
    </row>
    <row r="101" spans="1:9" x14ac:dyDescent="0.3">
      <c r="A101" t="s">
        <v>348</v>
      </c>
      <c r="B101" t="s">
        <v>348</v>
      </c>
      <c r="C101" t="s">
        <v>349</v>
      </c>
      <c r="D101">
        <v>53</v>
      </c>
      <c r="E101" t="s">
        <v>16</v>
      </c>
      <c r="F101" t="s">
        <v>350</v>
      </c>
      <c r="G101" t="s">
        <v>234</v>
      </c>
      <c r="H101" t="s">
        <v>12</v>
      </c>
      <c r="I101" t="s">
        <v>31</v>
      </c>
    </row>
    <row r="102" spans="1:9" x14ac:dyDescent="0.3">
      <c r="A102" t="s">
        <v>351</v>
      </c>
      <c r="B102" t="s">
        <v>351</v>
      </c>
      <c r="C102" t="s">
        <v>352</v>
      </c>
      <c r="D102">
        <v>29</v>
      </c>
      <c r="E102" t="s">
        <v>9</v>
      </c>
      <c r="F102" t="s">
        <v>353</v>
      </c>
      <c r="G102" t="s">
        <v>354</v>
      </c>
      <c r="H102" t="s">
        <v>12</v>
      </c>
      <c r="I102" t="s">
        <v>19</v>
      </c>
    </row>
    <row r="103" spans="1:9" x14ac:dyDescent="0.3">
      <c r="A103" t="s">
        <v>355</v>
      </c>
      <c r="B103" t="s">
        <v>355</v>
      </c>
      <c r="C103" t="s">
        <v>356</v>
      </c>
      <c r="D103">
        <v>34</v>
      </c>
      <c r="E103" t="s">
        <v>16</v>
      </c>
      <c r="F103" t="s">
        <v>357</v>
      </c>
      <c r="G103" t="s">
        <v>117</v>
      </c>
      <c r="H103" t="s">
        <v>12</v>
      </c>
      <c r="I103" t="s">
        <v>13</v>
      </c>
    </row>
    <row r="104" spans="1:9" x14ac:dyDescent="0.3">
      <c r="A104" t="s">
        <v>358</v>
      </c>
      <c r="B104" t="s">
        <v>358</v>
      </c>
      <c r="C104" t="s">
        <v>359</v>
      </c>
      <c r="D104">
        <v>21</v>
      </c>
      <c r="E104" t="s">
        <v>9</v>
      </c>
      <c r="F104" t="s">
        <v>360</v>
      </c>
      <c r="G104" t="s">
        <v>51</v>
      </c>
      <c r="H104" t="s">
        <v>12</v>
      </c>
      <c r="I104" t="s">
        <v>26</v>
      </c>
    </row>
    <row r="105" spans="1:9" x14ac:dyDescent="0.3">
      <c r="A105" t="s">
        <v>361</v>
      </c>
      <c r="B105" t="s">
        <v>361</v>
      </c>
      <c r="C105" t="s">
        <v>362</v>
      </c>
      <c r="D105">
        <v>64</v>
      </c>
      <c r="E105" t="s">
        <v>9</v>
      </c>
      <c r="F105" t="s">
        <v>363</v>
      </c>
      <c r="G105" t="s">
        <v>166</v>
      </c>
      <c r="H105" t="s">
        <v>12</v>
      </c>
      <c r="I105" t="s">
        <v>26</v>
      </c>
    </row>
    <row r="106" spans="1:9" x14ac:dyDescent="0.3">
      <c r="A106" t="s">
        <v>364</v>
      </c>
      <c r="B106" t="s">
        <v>364</v>
      </c>
      <c r="C106" t="s">
        <v>365</v>
      </c>
      <c r="D106">
        <v>50</v>
      </c>
      <c r="E106" t="s">
        <v>16</v>
      </c>
      <c r="F106" t="s">
        <v>366</v>
      </c>
      <c r="G106" t="s">
        <v>81</v>
      </c>
      <c r="H106" t="s">
        <v>12</v>
      </c>
      <c r="I106" t="s">
        <v>31</v>
      </c>
    </row>
    <row r="107" spans="1:9" x14ac:dyDescent="0.3">
      <c r="A107" t="s">
        <v>367</v>
      </c>
      <c r="B107" t="s">
        <v>367</v>
      </c>
      <c r="C107" t="s">
        <v>368</v>
      </c>
      <c r="D107">
        <v>53</v>
      </c>
      <c r="E107" t="s">
        <v>16</v>
      </c>
      <c r="F107" t="s">
        <v>369</v>
      </c>
      <c r="G107" t="s">
        <v>247</v>
      </c>
      <c r="H107" t="s">
        <v>12</v>
      </c>
      <c r="I107" t="s">
        <v>13</v>
      </c>
    </row>
    <row r="108" spans="1:9" x14ac:dyDescent="0.3">
      <c r="A108" t="s">
        <v>370</v>
      </c>
      <c r="B108" t="s">
        <v>370</v>
      </c>
      <c r="C108" t="s">
        <v>371</v>
      </c>
      <c r="D108">
        <v>62</v>
      </c>
      <c r="E108" t="s">
        <v>16</v>
      </c>
      <c r="F108" t="s">
        <v>372</v>
      </c>
      <c r="G108" t="s">
        <v>214</v>
      </c>
      <c r="H108" t="s">
        <v>12</v>
      </c>
      <c r="I108" t="s">
        <v>26</v>
      </c>
    </row>
    <row r="109" spans="1:9" x14ac:dyDescent="0.3">
      <c r="A109" t="s">
        <v>373</v>
      </c>
      <c r="B109" t="s">
        <v>373</v>
      </c>
      <c r="C109" t="s">
        <v>374</v>
      </c>
      <c r="D109">
        <v>38</v>
      </c>
      <c r="E109" t="s">
        <v>9</v>
      </c>
      <c r="F109" t="s">
        <v>375</v>
      </c>
      <c r="G109" t="s">
        <v>18</v>
      </c>
      <c r="H109" t="s">
        <v>12</v>
      </c>
      <c r="I109" t="s">
        <v>19</v>
      </c>
    </row>
    <row r="110" spans="1:9" x14ac:dyDescent="0.3">
      <c r="A110" t="s">
        <v>376</v>
      </c>
      <c r="B110" t="s">
        <v>376</v>
      </c>
      <c r="C110" t="s">
        <v>377</v>
      </c>
      <c r="D110">
        <v>27</v>
      </c>
      <c r="E110" t="s">
        <v>9</v>
      </c>
      <c r="F110" t="s">
        <v>378</v>
      </c>
      <c r="G110" t="s">
        <v>47</v>
      </c>
      <c r="H110" t="s">
        <v>12</v>
      </c>
      <c r="I110" t="s">
        <v>26</v>
      </c>
    </row>
    <row r="111" spans="1:9" x14ac:dyDescent="0.3">
      <c r="A111" t="s">
        <v>379</v>
      </c>
      <c r="B111" t="s">
        <v>379</v>
      </c>
      <c r="C111" t="s">
        <v>380</v>
      </c>
      <c r="D111">
        <v>40</v>
      </c>
      <c r="E111" t="s">
        <v>16</v>
      </c>
      <c r="F111" t="s">
        <v>381</v>
      </c>
      <c r="G111" t="s">
        <v>43</v>
      </c>
      <c r="H111" t="s">
        <v>12</v>
      </c>
      <c r="I111" t="s">
        <v>31</v>
      </c>
    </row>
    <row r="112" spans="1:9" x14ac:dyDescent="0.3">
      <c r="A112" t="s">
        <v>382</v>
      </c>
      <c r="B112" t="s">
        <v>382</v>
      </c>
      <c r="C112" t="s">
        <v>383</v>
      </c>
      <c r="D112">
        <v>18</v>
      </c>
      <c r="E112" t="s">
        <v>16</v>
      </c>
      <c r="F112" t="s">
        <v>384</v>
      </c>
      <c r="G112" t="s">
        <v>139</v>
      </c>
      <c r="H112" t="s">
        <v>12</v>
      </c>
      <c r="I112" t="s">
        <v>13</v>
      </c>
    </row>
    <row r="113" spans="1:9" x14ac:dyDescent="0.3">
      <c r="A113" t="s">
        <v>385</v>
      </c>
      <c r="B113" t="s">
        <v>385</v>
      </c>
      <c r="C113" t="s">
        <v>386</v>
      </c>
      <c r="D113">
        <v>27</v>
      </c>
      <c r="E113" t="s">
        <v>16</v>
      </c>
      <c r="F113" t="s">
        <v>387</v>
      </c>
      <c r="G113" t="s">
        <v>133</v>
      </c>
      <c r="H113" t="s">
        <v>12</v>
      </c>
      <c r="I113" t="s">
        <v>19</v>
      </c>
    </row>
    <row r="114" spans="1:9" x14ac:dyDescent="0.3">
      <c r="A114" t="s">
        <v>388</v>
      </c>
      <c r="B114" t="s">
        <v>388</v>
      </c>
      <c r="C114" t="s">
        <v>389</v>
      </c>
      <c r="D114">
        <v>51</v>
      </c>
      <c r="E114" t="s">
        <v>9</v>
      </c>
      <c r="F114" t="s">
        <v>390</v>
      </c>
      <c r="G114" t="s">
        <v>155</v>
      </c>
      <c r="H114" t="s">
        <v>12</v>
      </c>
      <c r="I114" t="s">
        <v>31</v>
      </c>
    </row>
    <row r="115" spans="1:9" x14ac:dyDescent="0.3">
      <c r="A115" t="s">
        <v>391</v>
      </c>
      <c r="B115" t="s">
        <v>391</v>
      </c>
      <c r="C115" t="s">
        <v>392</v>
      </c>
      <c r="D115">
        <v>30</v>
      </c>
      <c r="E115" t="s">
        <v>9</v>
      </c>
      <c r="F115" t="s">
        <v>393</v>
      </c>
      <c r="G115" t="s">
        <v>230</v>
      </c>
      <c r="H115" t="s">
        <v>12</v>
      </c>
      <c r="I115" t="s">
        <v>13</v>
      </c>
    </row>
    <row r="116" spans="1:9" x14ac:dyDescent="0.3">
      <c r="A116" t="s">
        <v>394</v>
      </c>
      <c r="B116" t="s">
        <v>394</v>
      </c>
      <c r="C116" t="s">
        <v>395</v>
      </c>
      <c r="D116">
        <v>53</v>
      </c>
      <c r="E116" t="s">
        <v>16</v>
      </c>
      <c r="F116" t="s">
        <v>396</v>
      </c>
      <c r="G116" t="s">
        <v>181</v>
      </c>
      <c r="H116" t="s">
        <v>12</v>
      </c>
      <c r="I116" t="s">
        <v>26</v>
      </c>
    </row>
    <row r="117" spans="1:9" x14ac:dyDescent="0.3">
      <c r="A117" t="s">
        <v>397</v>
      </c>
      <c r="B117" t="s">
        <v>397</v>
      </c>
      <c r="C117" t="s">
        <v>398</v>
      </c>
      <c r="D117">
        <v>18</v>
      </c>
      <c r="E117" t="s">
        <v>16</v>
      </c>
      <c r="F117" t="s">
        <v>399</v>
      </c>
      <c r="G117" t="s">
        <v>18</v>
      </c>
      <c r="H117" t="s">
        <v>12</v>
      </c>
      <c r="I117" t="s">
        <v>19</v>
      </c>
    </row>
    <row r="118" spans="1:9" x14ac:dyDescent="0.3">
      <c r="A118" t="s">
        <v>400</v>
      </c>
      <c r="B118" t="s">
        <v>400</v>
      </c>
      <c r="C118" t="s">
        <v>401</v>
      </c>
      <c r="D118">
        <v>21</v>
      </c>
      <c r="E118" t="s">
        <v>16</v>
      </c>
      <c r="F118" t="s">
        <v>402</v>
      </c>
      <c r="G118" t="s">
        <v>214</v>
      </c>
      <c r="H118" t="s">
        <v>12</v>
      </c>
      <c r="I118" t="s">
        <v>19</v>
      </c>
    </row>
    <row r="119" spans="1:9" x14ac:dyDescent="0.3">
      <c r="A119" t="s">
        <v>403</v>
      </c>
      <c r="B119" t="s">
        <v>403</v>
      </c>
      <c r="C119" t="s">
        <v>404</v>
      </c>
      <c r="D119">
        <v>36</v>
      </c>
      <c r="E119" t="s">
        <v>9</v>
      </c>
      <c r="F119" t="s">
        <v>405</v>
      </c>
      <c r="G119" t="s">
        <v>74</v>
      </c>
      <c r="H119" t="s">
        <v>12</v>
      </c>
      <c r="I119" t="s">
        <v>19</v>
      </c>
    </row>
    <row r="120" spans="1:9" x14ac:dyDescent="0.3">
      <c r="A120" t="s">
        <v>406</v>
      </c>
      <c r="B120" t="s">
        <v>406</v>
      </c>
      <c r="C120" t="s">
        <v>407</v>
      </c>
      <c r="D120">
        <v>40</v>
      </c>
      <c r="E120" t="s">
        <v>9</v>
      </c>
      <c r="F120" t="s">
        <v>408</v>
      </c>
      <c r="G120" t="s">
        <v>70</v>
      </c>
      <c r="H120" t="s">
        <v>12</v>
      </c>
      <c r="I120" t="s">
        <v>19</v>
      </c>
    </row>
    <row r="121" spans="1:9" x14ac:dyDescent="0.3">
      <c r="A121" t="s">
        <v>409</v>
      </c>
      <c r="B121" t="s">
        <v>409</v>
      </c>
      <c r="C121" t="s">
        <v>410</v>
      </c>
      <c r="D121">
        <v>44</v>
      </c>
      <c r="E121" t="s">
        <v>16</v>
      </c>
      <c r="F121" t="s">
        <v>411</v>
      </c>
      <c r="G121" t="s">
        <v>234</v>
      </c>
      <c r="H121" t="s">
        <v>12</v>
      </c>
      <c r="I121" t="s">
        <v>26</v>
      </c>
    </row>
    <row r="122" spans="1:9" x14ac:dyDescent="0.3">
      <c r="A122" t="s">
        <v>412</v>
      </c>
      <c r="B122" t="s">
        <v>412</v>
      </c>
      <c r="C122" t="s">
        <v>413</v>
      </c>
      <c r="D122">
        <v>62</v>
      </c>
      <c r="E122" t="s">
        <v>9</v>
      </c>
      <c r="F122" t="s">
        <v>3955</v>
      </c>
      <c r="G122" t="s">
        <v>51</v>
      </c>
      <c r="H122" t="s">
        <v>12</v>
      </c>
      <c r="I122" t="s">
        <v>19</v>
      </c>
    </row>
    <row r="123" spans="1:9" x14ac:dyDescent="0.3">
      <c r="A123" t="s">
        <v>414</v>
      </c>
      <c r="B123" t="s">
        <v>414</v>
      </c>
      <c r="C123" t="s">
        <v>415</v>
      </c>
      <c r="D123">
        <v>50</v>
      </c>
      <c r="E123" t="s">
        <v>9</v>
      </c>
      <c r="F123" t="s">
        <v>416</v>
      </c>
      <c r="G123" t="s">
        <v>99</v>
      </c>
      <c r="H123" t="s">
        <v>12</v>
      </c>
      <c r="I123" t="s">
        <v>19</v>
      </c>
    </row>
    <row r="124" spans="1:9" x14ac:dyDescent="0.3">
      <c r="A124" t="s">
        <v>417</v>
      </c>
      <c r="B124" t="s">
        <v>417</v>
      </c>
      <c r="C124" t="s">
        <v>418</v>
      </c>
      <c r="D124">
        <v>40</v>
      </c>
      <c r="E124" t="s">
        <v>9</v>
      </c>
      <c r="F124" t="s">
        <v>419</v>
      </c>
      <c r="G124" t="s">
        <v>11</v>
      </c>
      <c r="H124" t="s">
        <v>12</v>
      </c>
      <c r="I124" t="s">
        <v>19</v>
      </c>
    </row>
    <row r="125" spans="1:9" x14ac:dyDescent="0.3">
      <c r="A125" t="s">
        <v>420</v>
      </c>
      <c r="B125" t="s">
        <v>420</v>
      </c>
      <c r="C125" t="s">
        <v>421</v>
      </c>
      <c r="D125">
        <v>26</v>
      </c>
      <c r="E125" t="s">
        <v>9</v>
      </c>
      <c r="F125" t="s">
        <v>422</v>
      </c>
      <c r="G125" t="s">
        <v>264</v>
      </c>
      <c r="H125" t="s">
        <v>12</v>
      </c>
      <c r="I125" t="s">
        <v>31</v>
      </c>
    </row>
    <row r="126" spans="1:9" x14ac:dyDescent="0.3">
      <c r="A126" t="s">
        <v>423</v>
      </c>
      <c r="B126" t="s">
        <v>423</v>
      </c>
      <c r="C126" t="s">
        <v>424</v>
      </c>
      <c r="D126">
        <v>64</v>
      </c>
      <c r="E126" t="s">
        <v>16</v>
      </c>
      <c r="F126" t="s">
        <v>425</v>
      </c>
      <c r="G126" t="s">
        <v>191</v>
      </c>
      <c r="H126" t="s">
        <v>12</v>
      </c>
      <c r="I126" t="s">
        <v>26</v>
      </c>
    </row>
    <row r="127" spans="1:9" x14ac:dyDescent="0.3">
      <c r="A127" t="s">
        <v>426</v>
      </c>
      <c r="B127" t="s">
        <v>426</v>
      </c>
      <c r="C127" t="s">
        <v>427</v>
      </c>
      <c r="D127">
        <v>62</v>
      </c>
      <c r="E127" t="s">
        <v>16</v>
      </c>
      <c r="F127" t="s">
        <v>428</v>
      </c>
      <c r="G127" t="s">
        <v>429</v>
      </c>
      <c r="H127" t="s">
        <v>12</v>
      </c>
      <c r="I127" t="s">
        <v>19</v>
      </c>
    </row>
    <row r="128" spans="1:9" x14ac:dyDescent="0.3">
      <c r="A128" t="s">
        <v>430</v>
      </c>
      <c r="B128" t="s">
        <v>430</v>
      </c>
      <c r="C128" t="s">
        <v>431</v>
      </c>
      <c r="D128">
        <v>39</v>
      </c>
      <c r="E128" t="s">
        <v>9</v>
      </c>
      <c r="F128" t="s">
        <v>432</v>
      </c>
      <c r="G128" t="s">
        <v>133</v>
      </c>
      <c r="H128" t="s">
        <v>12</v>
      </c>
      <c r="I128" t="s">
        <v>13</v>
      </c>
    </row>
    <row r="129" spans="1:9" x14ac:dyDescent="0.3">
      <c r="A129" t="s">
        <v>433</v>
      </c>
      <c r="B129" t="s">
        <v>433</v>
      </c>
      <c r="C129" t="s">
        <v>434</v>
      </c>
      <c r="D129">
        <v>45</v>
      </c>
      <c r="E129" t="s">
        <v>9</v>
      </c>
      <c r="F129" t="s">
        <v>435</v>
      </c>
      <c r="G129" t="s">
        <v>170</v>
      </c>
      <c r="H129" t="s">
        <v>12</v>
      </c>
      <c r="I129" t="s">
        <v>19</v>
      </c>
    </row>
    <row r="130" spans="1:9" x14ac:dyDescent="0.3">
      <c r="A130" t="s">
        <v>436</v>
      </c>
      <c r="B130" t="s">
        <v>436</v>
      </c>
      <c r="C130" t="s">
        <v>437</v>
      </c>
      <c r="D130">
        <v>43</v>
      </c>
      <c r="E130" t="s">
        <v>16</v>
      </c>
      <c r="F130" t="s">
        <v>438</v>
      </c>
      <c r="G130" t="s">
        <v>288</v>
      </c>
      <c r="H130" t="s">
        <v>12</v>
      </c>
      <c r="I130" t="s">
        <v>31</v>
      </c>
    </row>
    <row r="131" spans="1:9" x14ac:dyDescent="0.3">
      <c r="A131" t="s">
        <v>439</v>
      </c>
      <c r="B131" t="s">
        <v>439</v>
      </c>
      <c r="C131" t="s">
        <v>440</v>
      </c>
      <c r="D131">
        <v>29</v>
      </c>
      <c r="E131" t="s">
        <v>9</v>
      </c>
      <c r="F131" t="s">
        <v>441</v>
      </c>
      <c r="G131" t="s">
        <v>39</v>
      </c>
      <c r="H131" t="s">
        <v>12</v>
      </c>
      <c r="I131" t="s">
        <v>31</v>
      </c>
    </row>
    <row r="132" spans="1:9" x14ac:dyDescent="0.3">
      <c r="A132" t="s">
        <v>442</v>
      </c>
      <c r="B132" t="s">
        <v>442</v>
      </c>
      <c r="C132" t="s">
        <v>443</v>
      </c>
      <c r="D132">
        <v>34</v>
      </c>
      <c r="E132" t="s">
        <v>16</v>
      </c>
      <c r="F132" t="s">
        <v>3956</v>
      </c>
      <c r="G132" t="s">
        <v>166</v>
      </c>
      <c r="H132" t="s">
        <v>12</v>
      </c>
      <c r="I132" t="s">
        <v>19</v>
      </c>
    </row>
    <row r="133" spans="1:9" x14ac:dyDescent="0.3">
      <c r="A133" t="s">
        <v>444</v>
      </c>
      <c r="B133" t="s">
        <v>444</v>
      </c>
      <c r="C133" t="s">
        <v>445</v>
      </c>
      <c r="D133">
        <v>57</v>
      </c>
      <c r="E133" t="s">
        <v>16</v>
      </c>
      <c r="F133" t="s">
        <v>446</v>
      </c>
      <c r="G133" t="s">
        <v>22</v>
      </c>
      <c r="H133" t="s">
        <v>12</v>
      </c>
      <c r="I133" t="s">
        <v>26</v>
      </c>
    </row>
    <row r="134" spans="1:9" x14ac:dyDescent="0.3">
      <c r="A134" t="s">
        <v>447</v>
      </c>
      <c r="B134" t="s">
        <v>447</v>
      </c>
      <c r="C134" t="s">
        <v>448</v>
      </c>
      <c r="D134">
        <v>62</v>
      </c>
      <c r="E134" t="s">
        <v>16</v>
      </c>
      <c r="F134" t="s">
        <v>449</v>
      </c>
      <c r="G134" t="s">
        <v>25</v>
      </c>
      <c r="H134" t="s">
        <v>12</v>
      </c>
      <c r="I134" t="s">
        <v>13</v>
      </c>
    </row>
    <row r="135" spans="1:9" x14ac:dyDescent="0.3">
      <c r="A135" t="s">
        <v>450</v>
      </c>
      <c r="B135" t="s">
        <v>450</v>
      </c>
      <c r="C135" t="s">
        <v>451</v>
      </c>
      <c r="D135">
        <v>54</v>
      </c>
      <c r="E135" t="s">
        <v>9</v>
      </c>
      <c r="F135" t="s">
        <v>452</v>
      </c>
      <c r="G135" t="s">
        <v>247</v>
      </c>
      <c r="H135" t="s">
        <v>12</v>
      </c>
      <c r="I135" t="s">
        <v>26</v>
      </c>
    </row>
    <row r="136" spans="1:9" x14ac:dyDescent="0.3">
      <c r="A136" t="s">
        <v>453</v>
      </c>
      <c r="B136" t="s">
        <v>453</v>
      </c>
      <c r="C136" t="s">
        <v>454</v>
      </c>
      <c r="D136">
        <v>33</v>
      </c>
      <c r="E136" t="s">
        <v>16</v>
      </c>
      <c r="F136" t="s">
        <v>455</v>
      </c>
      <c r="G136" t="s">
        <v>74</v>
      </c>
      <c r="H136" t="s">
        <v>12</v>
      </c>
      <c r="I136" t="s">
        <v>13</v>
      </c>
    </row>
    <row r="137" spans="1:9" x14ac:dyDescent="0.3">
      <c r="A137" t="s">
        <v>456</v>
      </c>
      <c r="B137" t="s">
        <v>456</v>
      </c>
      <c r="C137" t="s">
        <v>457</v>
      </c>
      <c r="D137">
        <v>29</v>
      </c>
      <c r="E137" t="s">
        <v>9</v>
      </c>
      <c r="F137" t="s">
        <v>458</v>
      </c>
      <c r="G137" t="s">
        <v>155</v>
      </c>
      <c r="H137" t="s">
        <v>12</v>
      </c>
      <c r="I137" t="s">
        <v>19</v>
      </c>
    </row>
    <row r="138" spans="1:9" x14ac:dyDescent="0.3">
      <c r="A138" t="s">
        <v>459</v>
      </c>
      <c r="B138" t="s">
        <v>459</v>
      </c>
      <c r="C138" t="s">
        <v>460</v>
      </c>
      <c r="D138">
        <v>55</v>
      </c>
      <c r="E138" t="s">
        <v>16</v>
      </c>
      <c r="F138" t="s">
        <v>461</v>
      </c>
      <c r="G138" t="s">
        <v>70</v>
      </c>
      <c r="H138" t="s">
        <v>12</v>
      </c>
      <c r="I138" t="s">
        <v>31</v>
      </c>
    </row>
    <row r="139" spans="1:9" x14ac:dyDescent="0.3">
      <c r="A139" t="s">
        <v>462</v>
      </c>
      <c r="B139" t="s">
        <v>462</v>
      </c>
      <c r="C139" t="s">
        <v>463</v>
      </c>
      <c r="D139">
        <v>43</v>
      </c>
      <c r="E139" t="s">
        <v>9</v>
      </c>
      <c r="F139" t="s">
        <v>464</v>
      </c>
      <c r="G139" t="s">
        <v>25</v>
      </c>
      <c r="H139" t="s">
        <v>12</v>
      </c>
      <c r="I139" t="s">
        <v>19</v>
      </c>
    </row>
    <row r="140" spans="1:9" x14ac:dyDescent="0.3">
      <c r="A140" t="s">
        <v>465</v>
      </c>
      <c r="B140" t="s">
        <v>465</v>
      </c>
      <c r="C140" t="s">
        <v>466</v>
      </c>
      <c r="D140">
        <v>32</v>
      </c>
      <c r="E140" t="s">
        <v>9</v>
      </c>
      <c r="F140" t="s">
        <v>390</v>
      </c>
      <c r="G140" t="s">
        <v>284</v>
      </c>
      <c r="H140" t="s">
        <v>12</v>
      </c>
      <c r="I140" t="s">
        <v>13</v>
      </c>
    </row>
    <row r="141" spans="1:9" x14ac:dyDescent="0.3">
      <c r="A141" t="s">
        <v>467</v>
      </c>
      <c r="B141" t="s">
        <v>467</v>
      </c>
      <c r="C141" t="s">
        <v>468</v>
      </c>
      <c r="D141">
        <v>63</v>
      </c>
      <c r="E141" t="s">
        <v>16</v>
      </c>
      <c r="F141" t="s">
        <v>469</v>
      </c>
      <c r="G141" t="s">
        <v>117</v>
      </c>
      <c r="H141" t="s">
        <v>12</v>
      </c>
      <c r="I141" t="s">
        <v>26</v>
      </c>
    </row>
    <row r="142" spans="1:9" x14ac:dyDescent="0.3">
      <c r="A142" t="s">
        <v>470</v>
      </c>
      <c r="B142" t="s">
        <v>470</v>
      </c>
      <c r="C142" t="s">
        <v>471</v>
      </c>
      <c r="D142">
        <v>30</v>
      </c>
      <c r="E142" t="s">
        <v>9</v>
      </c>
      <c r="F142" t="s">
        <v>472</v>
      </c>
      <c r="G142" t="s">
        <v>51</v>
      </c>
      <c r="H142" t="s">
        <v>12</v>
      </c>
      <c r="I142" t="s">
        <v>13</v>
      </c>
    </row>
    <row r="143" spans="1:9" x14ac:dyDescent="0.3">
      <c r="A143" t="s">
        <v>473</v>
      </c>
      <c r="B143" t="s">
        <v>473</v>
      </c>
      <c r="C143" t="s">
        <v>474</v>
      </c>
      <c r="D143">
        <v>37</v>
      </c>
      <c r="E143" t="s">
        <v>9</v>
      </c>
      <c r="F143" t="s">
        <v>475</v>
      </c>
      <c r="G143" t="s">
        <v>30</v>
      </c>
      <c r="H143" t="s">
        <v>12</v>
      </c>
      <c r="I143" t="s">
        <v>26</v>
      </c>
    </row>
    <row r="144" spans="1:9" x14ac:dyDescent="0.3">
      <c r="A144" t="s">
        <v>476</v>
      </c>
      <c r="B144" t="s">
        <v>476</v>
      </c>
      <c r="C144" t="s">
        <v>477</v>
      </c>
      <c r="D144">
        <v>46</v>
      </c>
      <c r="E144" t="s">
        <v>9</v>
      </c>
      <c r="F144" t="s">
        <v>478</v>
      </c>
      <c r="G144" t="s">
        <v>66</v>
      </c>
      <c r="H144" t="s">
        <v>12</v>
      </c>
      <c r="I144" t="s">
        <v>26</v>
      </c>
    </row>
    <row r="145" spans="1:9" x14ac:dyDescent="0.3">
      <c r="A145" t="s">
        <v>479</v>
      </c>
      <c r="B145" t="s">
        <v>479</v>
      </c>
      <c r="C145" t="s">
        <v>480</v>
      </c>
      <c r="D145">
        <v>62</v>
      </c>
      <c r="E145" t="s">
        <v>16</v>
      </c>
      <c r="F145" t="s">
        <v>481</v>
      </c>
      <c r="G145" t="s">
        <v>22</v>
      </c>
      <c r="H145" t="s">
        <v>12</v>
      </c>
      <c r="I145" t="s">
        <v>26</v>
      </c>
    </row>
    <row r="146" spans="1:9" x14ac:dyDescent="0.3">
      <c r="A146" t="s">
        <v>482</v>
      </c>
      <c r="B146" t="s">
        <v>482</v>
      </c>
      <c r="C146" t="s">
        <v>483</v>
      </c>
      <c r="D146">
        <v>46</v>
      </c>
      <c r="E146" t="s">
        <v>9</v>
      </c>
      <c r="F146" t="s">
        <v>484</v>
      </c>
      <c r="G146" t="s">
        <v>181</v>
      </c>
      <c r="H146" t="s">
        <v>12</v>
      </c>
      <c r="I146" t="s">
        <v>26</v>
      </c>
    </row>
    <row r="147" spans="1:9" x14ac:dyDescent="0.3">
      <c r="A147" t="s">
        <v>485</v>
      </c>
      <c r="B147" t="s">
        <v>485</v>
      </c>
      <c r="C147" t="s">
        <v>486</v>
      </c>
      <c r="D147">
        <v>32</v>
      </c>
      <c r="E147" t="s">
        <v>16</v>
      </c>
      <c r="F147" t="s">
        <v>487</v>
      </c>
      <c r="G147" t="s">
        <v>251</v>
      </c>
      <c r="H147" t="s">
        <v>12</v>
      </c>
      <c r="I147" t="s">
        <v>19</v>
      </c>
    </row>
    <row r="148" spans="1:9" x14ac:dyDescent="0.3">
      <c r="A148" t="s">
        <v>488</v>
      </c>
      <c r="B148" t="s">
        <v>488</v>
      </c>
      <c r="C148" t="s">
        <v>489</v>
      </c>
      <c r="D148">
        <v>49</v>
      </c>
      <c r="E148" t="s">
        <v>16</v>
      </c>
      <c r="F148" t="s">
        <v>490</v>
      </c>
      <c r="G148" t="s">
        <v>312</v>
      </c>
      <c r="H148" t="s">
        <v>12</v>
      </c>
      <c r="I148" t="s">
        <v>13</v>
      </c>
    </row>
    <row r="149" spans="1:9" x14ac:dyDescent="0.3">
      <c r="A149" t="s">
        <v>491</v>
      </c>
      <c r="B149" t="s">
        <v>491</v>
      </c>
      <c r="C149" t="s">
        <v>492</v>
      </c>
      <c r="D149">
        <v>42</v>
      </c>
      <c r="E149" t="s">
        <v>16</v>
      </c>
      <c r="F149" t="s">
        <v>493</v>
      </c>
      <c r="G149" t="s">
        <v>162</v>
      </c>
      <c r="H149" t="s">
        <v>12</v>
      </c>
      <c r="I149" t="s">
        <v>19</v>
      </c>
    </row>
    <row r="150" spans="1:9" x14ac:dyDescent="0.3">
      <c r="A150" t="s">
        <v>494</v>
      </c>
      <c r="B150" t="s">
        <v>494</v>
      </c>
      <c r="C150" t="s">
        <v>495</v>
      </c>
      <c r="D150">
        <v>33</v>
      </c>
      <c r="E150" t="s">
        <v>9</v>
      </c>
      <c r="F150" t="s">
        <v>496</v>
      </c>
      <c r="G150" t="s">
        <v>319</v>
      </c>
      <c r="H150" t="s">
        <v>12</v>
      </c>
      <c r="I150" t="s">
        <v>26</v>
      </c>
    </row>
    <row r="151" spans="1:9" x14ac:dyDescent="0.3">
      <c r="A151" t="s">
        <v>497</v>
      </c>
      <c r="B151" t="s">
        <v>497</v>
      </c>
      <c r="C151" t="s">
        <v>498</v>
      </c>
      <c r="D151">
        <v>24</v>
      </c>
      <c r="E151" t="s">
        <v>9</v>
      </c>
      <c r="F151" t="s">
        <v>499</v>
      </c>
      <c r="G151" t="s">
        <v>247</v>
      </c>
      <c r="H151" t="s">
        <v>12</v>
      </c>
      <c r="I151" t="s">
        <v>19</v>
      </c>
    </row>
    <row r="152" spans="1:9" x14ac:dyDescent="0.3">
      <c r="A152" t="s">
        <v>500</v>
      </c>
      <c r="B152" t="s">
        <v>500</v>
      </c>
      <c r="C152" t="s">
        <v>501</v>
      </c>
      <c r="D152">
        <v>25</v>
      </c>
      <c r="E152" t="s">
        <v>16</v>
      </c>
      <c r="F152" t="s">
        <v>502</v>
      </c>
      <c r="G152" t="s">
        <v>309</v>
      </c>
      <c r="H152" t="s">
        <v>12</v>
      </c>
      <c r="I152" t="s">
        <v>13</v>
      </c>
    </row>
    <row r="153" spans="1:9" x14ac:dyDescent="0.3">
      <c r="A153" t="s">
        <v>503</v>
      </c>
      <c r="B153" t="s">
        <v>503</v>
      </c>
      <c r="C153" t="s">
        <v>504</v>
      </c>
      <c r="D153">
        <v>41</v>
      </c>
      <c r="E153" t="s">
        <v>16</v>
      </c>
      <c r="F153" t="s">
        <v>505</v>
      </c>
      <c r="G153" t="s">
        <v>35</v>
      </c>
      <c r="H153" t="s">
        <v>12</v>
      </c>
      <c r="I153" t="s">
        <v>13</v>
      </c>
    </row>
    <row r="154" spans="1:9" x14ac:dyDescent="0.3">
      <c r="A154" t="s">
        <v>506</v>
      </c>
      <c r="B154" t="s">
        <v>506</v>
      </c>
      <c r="C154" t="s">
        <v>507</v>
      </c>
      <c r="D154">
        <v>31</v>
      </c>
      <c r="E154" t="s">
        <v>9</v>
      </c>
      <c r="F154" t="s">
        <v>508</v>
      </c>
      <c r="G154" t="s">
        <v>113</v>
      </c>
      <c r="H154" t="s">
        <v>12</v>
      </c>
      <c r="I154" t="s">
        <v>19</v>
      </c>
    </row>
    <row r="155" spans="1:9" x14ac:dyDescent="0.3">
      <c r="A155" t="s">
        <v>509</v>
      </c>
      <c r="B155" t="s">
        <v>509</v>
      </c>
      <c r="C155" t="s">
        <v>510</v>
      </c>
      <c r="D155">
        <v>35</v>
      </c>
      <c r="E155" t="s">
        <v>16</v>
      </c>
      <c r="F155" t="s">
        <v>511</v>
      </c>
      <c r="G155" t="s">
        <v>18</v>
      </c>
      <c r="H155" t="s">
        <v>12</v>
      </c>
      <c r="I155" t="s">
        <v>26</v>
      </c>
    </row>
    <row r="156" spans="1:9" x14ac:dyDescent="0.3">
      <c r="A156" t="s">
        <v>512</v>
      </c>
      <c r="B156" t="s">
        <v>512</v>
      </c>
      <c r="C156" t="s">
        <v>513</v>
      </c>
      <c r="D156">
        <v>60</v>
      </c>
      <c r="E156" t="s">
        <v>16</v>
      </c>
      <c r="F156" t="s">
        <v>514</v>
      </c>
      <c r="G156" t="s">
        <v>170</v>
      </c>
      <c r="H156" t="s">
        <v>12</v>
      </c>
      <c r="I156" t="s">
        <v>13</v>
      </c>
    </row>
    <row r="157" spans="1:9" x14ac:dyDescent="0.3">
      <c r="A157" t="s">
        <v>515</v>
      </c>
      <c r="B157" t="s">
        <v>515</v>
      </c>
      <c r="C157" t="s">
        <v>516</v>
      </c>
      <c r="D157">
        <v>46</v>
      </c>
      <c r="E157" t="s">
        <v>9</v>
      </c>
      <c r="F157" t="s">
        <v>517</v>
      </c>
      <c r="G157" t="s">
        <v>264</v>
      </c>
      <c r="H157" t="s">
        <v>12</v>
      </c>
      <c r="I157" t="s">
        <v>13</v>
      </c>
    </row>
    <row r="158" spans="1:9" x14ac:dyDescent="0.3">
      <c r="A158" t="s">
        <v>518</v>
      </c>
      <c r="B158" t="s">
        <v>518</v>
      </c>
      <c r="C158" t="s">
        <v>519</v>
      </c>
      <c r="D158">
        <v>59</v>
      </c>
      <c r="E158" t="s">
        <v>9</v>
      </c>
      <c r="F158" t="s">
        <v>520</v>
      </c>
      <c r="G158" t="s">
        <v>18</v>
      </c>
      <c r="H158" t="s">
        <v>12</v>
      </c>
      <c r="I158" t="s">
        <v>26</v>
      </c>
    </row>
    <row r="159" spans="1:9" x14ac:dyDescent="0.3">
      <c r="A159" t="s">
        <v>521</v>
      </c>
      <c r="B159" t="s">
        <v>521</v>
      </c>
      <c r="C159" t="s">
        <v>522</v>
      </c>
      <c r="D159">
        <v>43</v>
      </c>
      <c r="E159" t="s">
        <v>9</v>
      </c>
      <c r="F159" t="s">
        <v>523</v>
      </c>
      <c r="G159" t="s">
        <v>18</v>
      </c>
      <c r="H159" t="s">
        <v>12</v>
      </c>
      <c r="I159" t="s">
        <v>19</v>
      </c>
    </row>
    <row r="160" spans="1:9" x14ac:dyDescent="0.3">
      <c r="A160" t="s">
        <v>524</v>
      </c>
      <c r="B160" t="s">
        <v>524</v>
      </c>
      <c r="C160" t="s">
        <v>525</v>
      </c>
      <c r="D160">
        <v>46</v>
      </c>
      <c r="E160" t="s">
        <v>16</v>
      </c>
      <c r="F160" t="s">
        <v>526</v>
      </c>
      <c r="G160" t="s">
        <v>170</v>
      </c>
      <c r="H160" t="s">
        <v>12</v>
      </c>
      <c r="I160" t="s">
        <v>26</v>
      </c>
    </row>
    <row r="161" spans="1:9" x14ac:dyDescent="0.3">
      <c r="A161" t="s">
        <v>527</v>
      </c>
      <c r="B161" t="s">
        <v>527</v>
      </c>
      <c r="C161" t="s">
        <v>528</v>
      </c>
      <c r="D161">
        <v>41</v>
      </c>
      <c r="E161" t="s">
        <v>16</v>
      </c>
      <c r="F161" t="s">
        <v>529</v>
      </c>
      <c r="G161" t="s">
        <v>88</v>
      </c>
      <c r="H161" t="s">
        <v>12</v>
      </c>
      <c r="I161" t="s">
        <v>13</v>
      </c>
    </row>
    <row r="162" spans="1:9" x14ac:dyDescent="0.3">
      <c r="A162" t="s">
        <v>530</v>
      </c>
      <c r="B162" t="s">
        <v>530</v>
      </c>
      <c r="C162" t="s">
        <v>531</v>
      </c>
      <c r="D162">
        <v>18</v>
      </c>
      <c r="E162" t="s">
        <v>16</v>
      </c>
      <c r="F162" t="s">
        <v>532</v>
      </c>
      <c r="G162" t="s">
        <v>11</v>
      </c>
      <c r="H162" t="s">
        <v>12</v>
      </c>
      <c r="I162" t="s">
        <v>19</v>
      </c>
    </row>
    <row r="163" spans="1:9" x14ac:dyDescent="0.3">
      <c r="A163" t="s">
        <v>533</v>
      </c>
      <c r="B163" t="s">
        <v>533</v>
      </c>
      <c r="C163" t="s">
        <v>534</v>
      </c>
      <c r="D163">
        <v>37</v>
      </c>
      <c r="E163" t="s">
        <v>9</v>
      </c>
      <c r="F163" t="s">
        <v>535</v>
      </c>
      <c r="G163" t="s">
        <v>133</v>
      </c>
      <c r="H163" t="s">
        <v>12</v>
      </c>
      <c r="I163" t="s">
        <v>31</v>
      </c>
    </row>
    <row r="164" spans="1:9" x14ac:dyDescent="0.3">
      <c r="A164" t="s">
        <v>536</v>
      </c>
      <c r="B164" t="s">
        <v>536</v>
      </c>
      <c r="C164" t="s">
        <v>537</v>
      </c>
      <c r="D164">
        <v>21</v>
      </c>
      <c r="E164" t="s">
        <v>9</v>
      </c>
      <c r="F164" t="s">
        <v>538</v>
      </c>
      <c r="G164" t="s">
        <v>234</v>
      </c>
      <c r="H164" t="s">
        <v>12</v>
      </c>
      <c r="I164" t="s">
        <v>31</v>
      </c>
    </row>
    <row r="165" spans="1:9" x14ac:dyDescent="0.3">
      <c r="A165" t="s">
        <v>539</v>
      </c>
      <c r="B165" t="s">
        <v>539</v>
      </c>
      <c r="C165" t="s">
        <v>540</v>
      </c>
      <c r="D165">
        <v>39</v>
      </c>
      <c r="E165" t="s">
        <v>16</v>
      </c>
      <c r="F165" t="s">
        <v>541</v>
      </c>
      <c r="G165" t="s">
        <v>191</v>
      </c>
      <c r="H165" t="s">
        <v>12</v>
      </c>
      <c r="I165" t="s">
        <v>26</v>
      </c>
    </row>
    <row r="166" spans="1:9" x14ac:dyDescent="0.3">
      <c r="A166" t="s">
        <v>542</v>
      </c>
      <c r="B166" t="s">
        <v>542</v>
      </c>
      <c r="C166" t="s">
        <v>543</v>
      </c>
      <c r="D166">
        <v>47</v>
      </c>
      <c r="E166" t="s">
        <v>16</v>
      </c>
      <c r="F166" t="s">
        <v>544</v>
      </c>
      <c r="G166" t="s">
        <v>81</v>
      </c>
      <c r="H166" t="s">
        <v>12</v>
      </c>
      <c r="I166" t="s">
        <v>31</v>
      </c>
    </row>
    <row r="167" spans="1:9" x14ac:dyDescent="0.3">
      <c r="A167" t="s">
        <v>545</v>
      </c>
      <c r="B167" t="s">
        <v>545</v>
      </c>
      <c r="C167" t="s">
        <v>546</v>
      </c>
      <c r="D167">
        <v>25</v>
      </c>
      <c r="E167" t="s">
        <v>16</v>
      </c>
      <c r="F167" t="s">
        <v>547</v>
      </c>
      <c r="G167" t="s">
        <v>191</v>
      </c>
      <c r="H167" t="s">
        <v>12</v>
      </c>
      <c r="I167" t="s">
        <v>19</v>
      </c>
    </row>
    <row r="168" spans="1:9" x14ac:dyDescent="0.3">
      <c r="A168" t="s">
        <v>548</v>
      </c>
      <c r="B168" t="s">
        <v>548</v>
      </c>
      <c r="C168" t="s">
        <v>549</v>
      </c>
      <c r="D168">
        <v>36</v>
      </c>
      <c r="E168" t="s">
        <v>16</v>
      </c>
      <c r="F168" t="s">
        <v>550</v>
      </c>
      <c r="G168" t="s">
        <v>155</v>
      </c>
      <c r="H168" t="s">
        <v>12</v>
      </c>
      <c r="I168" t="s">
        <v>31</v>
      </c>
    </row>
    <row r="169" spans="1:9" x14ac:dyDescent="0.3">
      <c r="A169" t="s">
        <v>551</v>
      </c>
      <c r="B169" t="s">
        <v>551</v>
      </c>
      <c r="C169" t="s">
        <v>552</v>
      </c>
      <c r="D169">
        <v>36</v>
      </c>
      <c r="E169" t="s">
        <v>16</v>
      </c>
      <c r="F169" t="s">
        <v>553</v>
      </c>
      <c r="G169" t="s">
        <v>234</v>
      </c>
      <c r="H169" t="s">
        <v>12</v>
      </c>
      <c r="I169" t="s">
        <v>13</v>
      </c>
    </row>
    <row r="170" spans="1:9" x14ac:dyDescent="0.3">
      <c r="A170" t="s">
        <v>554</v>
      </c>
      <c r="B170" t="s">
        <v>554</v>
      </c>
      <c r="C170" t="s">
        <v>555</v>
      </c>
      <c r="D170">
        <v>64</v>
      </c>
      <c r="E170" t="s">
        <v>9</v>
      </c>
      <c r="F170" t="s">
        <v>556</v>
      </c>
      <c r="G170" t="s">
        <v>247</v>
      </c>
      <c r="H170" t="s">
        <v>12</v>
      </c>
      <c r="I170" t="s">
        <v>19</v>
      </c>
    </row>
    <row r="171" spans="1:9" x14ac:dyDescent="0.3">
      <c r="A171" t="s">
        <v>557</v>
      </c>
      <c r="B171" t="s">
        <v>557</v>
      </c>
      <c r="C171" t="s">
        <v>558</v>
      </c>
      <c r="D171">
        <v>18</v>
      </c>
      <c r="E171" t="s">
        <v>9</v>
      </c>
      <c r="F171" t="s">
        <v>559</v>
      </c>
      <c r="G171" t="s">
        <v>47</v>
      </c>
      <c r="H171" t="s">
        <v>12</v>
      </c>
      <c r="I171" t="s">
        <v>26</v>
      </c>
    </row>
    <row r="172" spans="1:9" x14ac:dyDescent="0.3">
      <c r="A172" t="s">
        <v>560</v>
      </c>
      <c r="B172" t="s">
        <v>560</v>
      </c>
      <c r="C172" t="s">
        <v>3940</v>
      </c>
      <c r="D172">
        <v>44</v>
      </c>
      <c r="E172" t="s">
        <v>16</v>
      </c>
      <c r="F172" t="s">
        <v>561</v>
      </c>
      <c r="G172" t="s">
        <v>113</v>
      </c>
      <c r="H172" t="s">
        <v>12</v>
      </c>
      <c r="I172" t="s">
        <v>13</v>
      </c>
    </row>
    <row r="173" spans="1:9" x14ac:dyDescent="0.3">
      <c r="A173" t="s">
        <v>562</v>
      </c>
      <c r="B173" t="s">
        <v>562</v>
      </c>
      <c r="C173" t="s">
        <v>563</v>
      </c>
      <c r="D173">
        <v>41</v>
      </c>
      <c r="E173" t="s">
        <v>16</v>
      </c>
      <c r="F173" t="s">
        <v>564</v>
      </c>
      <c r="G173" t="s">
        <v>251</v>
      </c>
      <c r="H173" t="s">
        <v>12</v>
      </c>
      <c r="I173" t="s">
        <v>19</v>
      </c>
    </row>
    <row r="174" spans="1:9" x14ac:dyDescent="0.3">
      <c r="A174" t="s">
        <v>565</v>
      </c>
      <c r="B174" t="s">
        <v>565</v>
      </c>
      <c r="C174" t="s">
        <v>566</v>
      </c>
      <c r="D174">
        <v>41</v>
      </c>
      <c r="E174" t="s">
        <v>16</v>
      </c>
      <c r="F174" t="s">
        <v>567</v>
      </c>
      <c r="G174" t="s">
        <v>43</v>
      </c>
      <c r="H174" t="s">
        <v>12</v>
      </c>
      <c r="I174" t="s">
        <v>26</v>
      </c>
    </row>
    <row r="175" spans="1:9" x14ac:dyDescent="0.3">
      <c r="A175" t="s">
        <v>568</v>
      </c>
      <c r="B175" t="s">
        <v>568</v>
      </c>
      <c r="C175" t="s">
        <v>569</v>
      </c>
      <c r="D175">
        <v>26</v>
      </c>
      <c r="E175" t="s">
        <v>16</v>
      </c>
      <c r="F175" t="s">
        <v>393</v>
      </c>
      <c r="G175" t="s">
        <v>264</v>
      </c>
      <c r="H175" t="s">
        <v>12</v>
      </c>
      <c r="I175" t="s">
        <v>19</v>
      </c>
    </row>
    <row r="176" spans="1:9" x14ac:dyDescent="0.3">
      <c r="A176" t="s">
        <v>570</v>
      </c>
      <c r="B176" t="s">
        <v>570</v>
      </c>
      <c r="C176" t="s">
        <v>571</v>
      </c>
      <c r="D176">
        <v>56</v>
      </c>
      <c r="E176" t="s">
        <v>9</v>
      </c>
      <c r="F176" t="s">
        <v>572</v>
      </c>
      <c r="G176" t="s">
        <v>170</v>
      </c>
      <c r="H176" t="s">
        <v>12</v>
      </c>
      <c r="I176" t="s">
        <v>13</v>
      </c>
    </row>
    <row r="177" spans="1:9" x14ac:dyDescent="0.3">
      <c r="A177" t="s">
        <v>573</v>
      </c>
      <c r="B177" t="s">
        <v>573</v>
      </c>
      <c r="C177" t="s">
        <v>574</v>
      </c>
      <c r="D177">
        <v>48</v>
      </c>
      <c r="E177" t="s">
        <v>9</v>
      </c>
      <c r="F177" t="s">
        <v>575</v>
      </c>
      <c r="G177" t="s">
        <v>99</v>
      </c>
      <c r="H177" t="s">
        <v>12</v>
      </c>
      <c r="I177" t="s">
        <v>19</v>
      </c>
    </row>
    <row r="178" spans="1:9" x14ac:dyDescent="0.3">
      <c r="A178" t="s">
        <v>576</v>
      </c>
      <c r="B178" t="s">
        <v>576</v>
      </c>
      <c r="C178" t="s">
        <v>577</v>
      </c>
      <c r="D178">
        <v>55</v>
      </c>
      <c r="E178" t="s">
        <v>9</v>
      </c>
      <c r="F178" t="s">
        <v>578</v>
      </c>
      <c r="G178" t="s">
        <v>170</v>
      </c>
      <c r="H178" t="s">
        <v>12</v>
      </c>
      <c r="I178" t="s">
        <v>31</v>
      </c>
    </row>
    <row r="179" spans="1:9" x14ac:dyDescent="0.3">
      <c r="A179" t="s">
        <v>579</v>
      </c>
      <c r="B179" t="s">
        <v>579</v>
      </c>
      <c r="C179" t="s">
        <v>580</v>
      </c>
      <c r="D179">
        <v>33</v>
      </c>
      <c r="E179" t="s">
        <v>16</v>
      </c>
      <c r="F179" t="s">
        <v>581</v>
      </c>
      <c r="G179" t="s">
        <v>582</v>
      </c>
      <c r="H179" t="s">
        <v>12</v>
      </c>
      <c r="I179" t="s">
        <v>19</v>
      </c>
    </row>
    <row r="180" spans="1:9" x14ac:dyDescent="0.3">
      <c r="A180" t="s">
        <v>583</v>
      </c>
      <c r="B180" t="s">
        <v>583</v>
      </c>
      <c r="C180" t="s">
        <v>584</v>
      </c>
      <c r="D180">
        <v>43</v>
      </c>
      <c r="E180" t="s">
        <v>16</v>
      </c>
      <c r="F180" t="s">
        <v>585</v>
      </c>
      <c r="G180" t="s">
        <v>312</v>
      </c>
      <c r="H180" t="s">
        <v>12</v>
      </c>
      <c r="I180" t="s">
        <v>26</v>
      </c>
    </row>
    <row r="181" spans="1:9" x14ac:dyDescent="0.3">
      <c r="A181" t="s">
        <v>586</v>
      </c>
      <c r="B181" t="s">
        <v>586</v>
      </c>
      <c r="C181" t="s">
        <v>587</v>
      </c>
      <c r="D181">
        <v>38</v>
      </c>
      <c r="E181" t="s">
        <v>9</v>
      </c>
      <c r="F181" t="s">
        <v>588</v>
      </c>
      <c r="G181" t="s">
        <v>117</v>
      </c>
      <c r="H181" t="s">
        <v>12</v>
      </c>
      <c r="I181" t="s">
        <v>31</v>
      </c>
    </row>
    <row r="182" spans="1:9" x14ac:dyDescent="0.3">
      <c r="A182" t="s">
        <v>589</v>
      </c>
      <c r="B182" t="s">
        <v>589</v>
      </c>
      <c r="C182" t="s">
        <v>590</v>
      </c>
      <c r="D182">
        <v>60</v>
      </c>
      <c r="E182" t="s">
        <v>9</v>
      </c>
      <c r="F182" t="s">
        <v>591</v>
      </c>
      <c r="G182" t="s">
        <v>429</v>
      </c>
      <c r="H182" t="s">
        <v>12</v>
      </c>
      <c r="I182" t="s">
        <v>26</v>
      </c>
    </row>
    <row r="183" spans="1:9" x14ac:dyDescent="0.3">
      <c r="A183" t="s">
        <v>592</v>
      </c>
      <c r="B183" t="s">
        <v>592</v>
      </c>
      <c r="C183" t="s">
        <v>593</v>
      </c>
      <c r="D183">
        <v>23</v>
      </c>
      <c r="E183" t="s">
        <v>16</v>
      </c>
      <c r="F183" t="s">
        <v>594</v>
      </c>
      <c r="G183" t="s">
        <v>58</v>
      </c>
      <c r="H183" t="s">
        <v>12</v>
      </c>
      <c r="I183" t="s">
        <v>26</v>
      </c>
    </row>
    <row r="184" spans="1:9" x14ac:dyDescent="0.3">
      <c r="A184" t="s">
        <v>595</v>
      </c>
      <c r="B184" t="s">
        <v>595</v>
      </c>
      <c r="C184" t="s">
        <v>596</v>
      </c>
      <c r="D184">
        <v>18</v>
      </c>
      <c r="E184" t="s">
        <v>9</v>
      </c>
      <c r="F184" t="s">
        <v>597</v>
      </c>
      <c r="G184" t="s">
        <v>96</v>
      </c>
      <c r="H184" t="s">
        <v>12</v>
      </c>
      <c r="I184" t="s">
        <v>31</v>
      </c>
    </row>
    <row r="185" spans="1:9" x14ac:dyDescent="0.3">
      <c r="A185" t="s">
        <v>598</v>
      </c>
      <c r="B185" t="s">
        <v>598</v>
      </c>
      <c r="C185" t="s">
        <v>599</v>
      </c>
      <c r="D185">
        <v>46</v>
      </c>
      <c r="E185" t="s">
        <v>16</v>
      </c>
      <c r="F185" t="s">
        <v>600</v>
      </c>
      <c r="G185" t="s">
        <v>58</v>
      </c>
      <c r="H185" t="s">
        <v>12</v>
      </c>
      <c r="I185" t="s">
        <v>19</v>
      </c>
    </row>
    <row r="186" spans="1:9" x14ac:dyDescent="0.3">
      <c r="A186" t="s">
        <v>601</v>
      </c>
      <c r="B186" t="s">
        <v>601</v>
      </c>
      <c r="C186" t="s">
        <v>602</v>
      </c>
      <c r="D186">
        <v>54</v>
      </c>
      <c r="E186" t="s">
        <v>16</v>
      </c>
      <c r="F186" t="s">
        <v>603</v>
      </c>
      <c r="G186" t="s">
        <v>18</v>
      </c>
      <c r="H186" t="s">
        <v>12</v>
      </c>
      <c r="I186" t="s">
        <v>31</v>
      </c>
    </row>
    <row r="187" spans="1:9" x14ac:dyDescent="0.3">
      <c r="A187" t="s">
        <v>604</v>
      </c>
      <c r="B187" t="s">
        <v>604</v>
      </c>
      <c r="C187" t="s">
        <v>605</v>
      </c>
      <c r="D187">
        <v>53</v>
      </c>
      <c r="E187" t="s">
        <v>9</v>
      </c>
      <c r="F187" t="s">
        <v>606</v>
      </c>
      <c r="G187" t="s">
        <v>88</v>
      </c>
      <c r="H187" t="s">
        <v>12</v>
      </c>
      <c r="I187" t="s">
        <v>19</v>
      </c>
    </row>
    <row r="188" spans="1:9" x14ac:dyDescent="0.3">
      <c r="A188" t="s">
        <v>607</v>
      </c>
      <c r="B188" t="s">
        <v>607</v>
      </c>
      <c r="C188" t="s">
        <v>608</v>
      </c>
      <c r="D188">
        <v>60</v>
      </c>
      <c r="E188" t="s">
        <v>16</v>
      </c>
      <c r="F188" t="s">
        <v>609</v>
      </c>
      <c r="G188" t="s">
        <v>113</v>
      </c>
      <c r="H188" t="s">
        <v>12</v>
      </c>
      <c r="I188" t="s">
        <v>31</v>
      </c>
    </row>
    <row r="189" spans="1:9" x14ac:dyDescent="0.3">
      <c r="A189" t="s">
        <v>610</v>
      </c>
      <c r="B189" t="s">
        <v>610</v>
      </c>
      <c r="C189" t="s">
        <v>611</v>
      </c>
      <c r="D189">
        <v>42</v>
      </c>
      <c r="E189" t="s">
        <v>9</v>
      </c>
      <c r="F189" t="s">
        <v>612</v>
      </c>
      <c r="G189" t="s">
        <v>22</v>
      </c>
      <c r="H189" t="s">
        <v>12</v>
      </c>
      <c r="I189" t="s">
        <v>19</v>
      </c>
    </row>
    <row r="190" spans="1:9" x14ac:dyDescent="0.3">
      <c r="A190" t="s">
        <v>613</v>
      </c>
      <c r="B190" t="s">
        <v>613</v>
      </c>
      <c r="C190" t="s">
        <v>614</v>
      </c>
      <c r="D190">
        <v>29</v>
      </c>
      <c r="E190" t="s">
        <v>9</v>
      </c>
      <c r="F190" t="s">
        <v>615</v>
      </c>
      <c r="G190" t="s">
        <v>230</v>
      </c>
      <c r="H190" t="s">
        <v>12</v>
      </c>
      <c r="I190" t="s">
        <v>31</v>
      </c>
    </row>
    <row r="191" spans="1:9" x14ac:dyDescent="0.3">
      <c r="A191" t="s">
        <v>616</v>
      </c>
      <c r="B191" t="s">
        <v>616</v>
      </c>
      <c r="C191" t="s">
        <v>617</v>
      </c>
      <c r="D191">
        <v>21</v>
      </c>
      <c r="E191" t="s">
        <v>9</v>
      </c>
      <c r="F191" t="s">
        <v>618</v>
      </c>
      <c r="G191" t="s">
        <v>582</v>
      </c>
      <c r="H191" t="s">
        <v>12</v>
      </c>
      <c r="I191" t="s">
        <v>13</v>
      </c>
    </row>
    <row r="192" spans="1:9" x14ac:dyDescent="0.3">
      <c r="A192" t="s">
        <v>619</v>
      </c>
      <c r="B192" t="s">
        <v>619</v>
      </c>
      <c r="C192" t="s">
        <v>620</v>
      </c>
      <c r="D192">
        <v>29</v>
      </c>
      <c r="E192" t="s">
        <v>16</v>
      </c>
      <c r="F192" t="s">
        <v>621</v>
      </c>
      <c r="G192" t="s">
        <v>58</v>
      </c>
      <c r="H192" t="s">
        <v>12</v>
      </c>
      <c r="I192" t="s">
        <v>26</v>
      </c>
    </row>
    <row r="193" spans="1:9" x14ac:dyDescent="0.3">
      <c r="A193" t="s">
        <v>622</v>
      </c>
      <c r="B193" t="s">
        <v>622</v>
      </c>
      <c r="C193" t="s">
        <v>623</v>
      </c>
      <c r="D193">
        <v>26</v>
      </c>
      <c r="E193" t="s">
        <v>9</v>
      </c>
      <c r="F193" t="s">
        <v>624</v>
      </c>
      <c r="G193" t="s">
        <v>25</v>
      </c>
      <c r="H193" t="s">
        <v>12</v>
      </c>
      <c r="I193" t="s">
        <v>26</v>
      </c>
    </row>
    <row r="194" spans="1:9" x14ac:dyDescent="0.3">
      <c r="A194" t="s">
        <v>625</v>
      </c>
      <c r="B194" t="s">
        <v>625</v>
      </c>
      <c r="C194" t="s">
        <v>626</v>
      </c>
      <c r="D194">
        <v>38</v>
      </c>
      <c r="E194" t="s">
        <v>9</v>
      </c>
      <c r="F194" t="s">
        <v>627</v>
      </c>
      <c r="G194" t="s">
        <v>106</v>
      </c>
      <c r="H194" t="s">
        <v>12</v>
      </c>
      <c r="I194" t="s">
        <v>13</v>
      </c>
    </row>
    <row r="195" spans="1:9" x14ac:dyDescent="0.3">
      <c r="A195" t="s">
        <v>628</v>
      </c>
      <c r="B195" t="s">
        <v>628</v>
      </c>
      <c r="C195" t="s">
        <v>629</v>
      </c>
      <c r="D195">
        <v>46</v>
      </c>
      <c r="E195" t="s">
        <v>9</v>
      </c>
      <c r="F195" t="s">
        <v>630</v>
      </c>
      <c r="G195" t="s">
        <v>81</v>
      </c>
      <c r="H195" t="s">
        <v>12</v>
      </c>
      <c r="I195" t="s">
        <v>13</v>
      </c>
    </row>
    <row r="196" spans="1:9" x14ac:dyDescent="0.3">
      <c r="A196" t="s">
        <v>631</v>
      </c>
      <c r="B196" t="s">
        <v>631</v>
      </c>
      <c r="C196" t="s">
        <v>632</v>
      </c>
      <c r="D196">
        <v>60</v>
      </c>
      <c r="E196" t="s">
        <v>9</v>
      </c>
      <c r="F196" t="s">
        <v>633</v>
      </c>
      <c r="G196" t="s">
        <v>51</v>
      </c>
      <c r="H196" t="s">
        <v>12</v>
      </c>
      <c r="I196" t="s">
        <v>13</v>
      </c>
    </row>
    <row r="197" spans="1:9" x14ac:dyDescent="0.3">
      <c r="A197" t="s">
        <v>634</v>
      </c>
      <c r="B197" t="s">
        <v>634</v>
      </c>
      <c r="C197" t="s">
        <v>635</v>
      </c>
      <c r="D197">
        <v>18</v>
      </c>
      <c r="E197" t="s">
        <v>16</v>
      </c>
      <c r="F197" t="s">
        <v>636</v>
      </c>
      <c r="G197" t="s">
        <v>133</v>
      </c>
      <c r="H197" t="s">
        <v>12</v>
      </c>
      <c r="I197" t="s">
        <v>31</v>
      </c>
    </row>
    <row r="198" spans="1:9" x14ac:dyDescent="0.3">
      <c r="A198" t="s">
        <v>637</v>
      </c>
      <c r="B198" t="s">
        <v>637</v>
      </c>
      <c r="C198" t="s">
        <v>638</v>
      </c>
      <c r="D198">
        <v>45</v>
      </c>
      <c r="E198" t="s">
        <v>16</v>
      </c>
      <c r="F198" t="s">
        <v>639</v>
      </c>
      <c r="G198" t="s">
        <v>162</v>
      </c>
      <c r="H198" t="s">
        <v>12</v>
      </c>
      <c r="I198" t="s">
        <v>19</v>
      </c>
    </row>
    <row r="199" spans="1:9" x14ac:dyDescent="0.3">
      <c r="A199" t="s">
        <v>640</v>
      </c>
      <c r="B199" t="s">
        <v>640</v>
      </c>
      <c r="C199" t="s">
        <v>641</v>
      </c>
      <c r="D199">
        <v>54</v>
      </c>
      <c r="E199" t="s">
        <v>9</v>
      </c>
      <c r="F199" t="s">
        <v>204</v>
      </c>
      <c r="G199" t="s">
        <v>198</v>
      </c>
      <c r="H199" t="s">
        <v>12</v>
      </c>
      <c r="I199" t="s">
        <v>19</v>
      </c>
    </row>
    <row r="200" spans="1:9" x14ac:dyDescent="0.3">
      <c r="A200" t="s">
        <v>642</v>
      </c>
      <c r="B200" t="s">
        <v>642</v>
      </c>
      <c r="C200" t="s">
        <v>643</v>
      </c>
      <c r="D200">
        <v>46</v>
      </c>
      <c r="E200" t="s">
        <v>9</v>
      </c>
      <c r="F200" t="s">
        <v>644</v>
      </c>
      <c r="G200" t="s">
        <v>170</v>
      </c>
      <c r="H200" t="s">
        <v>12</v>
      </c>
      <c r="I200" t="s">
        <v>26</v>
      </c>
    </row>
    <row r="201" spans="1:9" x14ac:dyDescent="0.3">
      <c r="A201" t="s">
        <v>645</v>
      </c>
      <c r="B201" t="s">
        <v>645</v>
      </c>
      <c r="C201" t="s">
        <v>646</v>
      </c>
      <c r="D201">
        <v>30</v>
      </c>
      <c r="E201" t="s">
        <v>9</v>
      </c>
      <c r="F201" t="s">
        <v>647</v>
      </c>
      <c r="G201" t="s">
        <v>234</v>
      </c>
      <c r="H201" t="s">
        <v>12</v>
      </c>
      <c r="I201" t="s">
        <v>26</v>
      </c>
    </row>
    <row r="202" spans="1:9" x14ac:dyDescent="0.3">
      <c r="A202" t="s">
        <v>648</v>
      </c>
      <c r="B202" t="s">
        <v>648</v>
      </c>
      <c r="C202" t="s">
        <v>649</v>
      </c>
      <c r="D202">
        <v>25</v>
      </c>
      <c r="E202" t="s">
        <v>16</v>
      </c>
      <c r="F202" t="s">
        <v>650</v>
      </c>
      <c r="G202" t="s">
        <v>429</v>
      </c>
      <c r="H202" t="s">
        <v>12</v>
      </c>
      <c r="I202" t="s">
        <v>19</v>
      </c>
    </row>
    <row r="203" spans="1:9" x14ac:dyDescent="0.3">
      <c r="A203" t="s">
        <v>651</v>
      </c>
      <c r="B203" t="s">
        <v>651</v>
      </c>
      <c r="C203" t="s">
        <v>652</v>
      </c>
      <c r="D203">
        <v>37</v>
      </c>
      <c r="E203" t="s">
        <v>16</v>
      </c>
      <c r="F203" t="s">
        <v>653</v>
      </c>
      <c r="G203" t="s">
        <v>155</v>
      </c>
      <c r="H203" t="s">
        <v>12</v>
      </c>
      <c r="I203" t="s">
        <v>26</v>
      </c>
    </row>
    <row r="204" spans="1:9" x14ac:dyDescent="0.3">
      <c r="A204" t="s">
        <v>654</v>
      </c>
      <c r="B204" t="s">
        <v>654</v>
      </c>
      <c r="C204" t="s">
        <v>655</v>
      </c>
      <c r="D204">
        <v>47</v>
      </c>
      <c r="E204" t="s">
        <v>9</v>
      </c>
      <c r="F204" t="s">
        <v>656</v>
      </c>
      <c r="G204" t="s">
        <v>62</v>
      </c>
      <c r="H204" t="s">
        <v>12</v>
      </c>
      <c r="I204" t="s">
        <v>19</v>
      </c>
    </row>
    <row r="205" spans="1:9" x14ac:dyDescent="0.3">
      <c r="A205" t="s">
        <v>657</v>
      </c>
      <c r="B205" t="s">
        <v>657</v>
      </c>
      <c r="C205" t="s">
        <v>658</v>
      </c>
      <c r="D205">
        <v>52</v>
      </c>
      <c r="E205" t="s">
        <v>9</v>
      </c>
      <c r="F205" t="s">
        <v>659</v>
      </c>
      <c r="G205" t="s">
        <v>264</v>
      </c>
      <c r="H205" t="s">
        <v>12</v>
      </c>
      <c r="I205" t="s">
        <v>19</v>
      </c>
    </row>
    <row r="206" spans="1:9" x14ac:dyDescent="0.3">
      <c r="A206" t="s">
        <v>660</v>
      </c>
      <c r="B206" t="s">
        <v>660</v>
      </c>
      <c r="C206" t="s">
        <v>661</v>
      </c>
      <c r="D206">
        <v>44</v>
      </c>
      <c r="E206" t="s">
        <v>16</v>
      </c>
      <c r="F206" t="s">
        <v>662</v>
      </c>
      <c r="G206" t="s">
        <v>284</v>
      </c>
      <c r="H206" t="s">
        <v>12</v>
      </c>
      <c r="I206" t="s">
        <v>19</v>
      </c>
    </row>
    <row r="207" spans="1:9" x14ac:dyDescent="0.3">
      <c r="A207" t="s">
        <v>663</v>
      </c>
      <c r="B207" t="s">
        <v>663</v>
      </c>
      <c r="C207" t="s">
        <v>664</v>
      </c>
      <c r="D207">
        <v>26</v>
      </c>
      <c r="E207" t="s">
        <v>16</v>
      </c>
      <c r="F207" t="s">
        <v>665</v>
      </c>
      <c r="G207" t="s">
        <v>88</v>
      </c>
      <c r="H207" t="s">
        <v>12</v>
      </c>
      <c r="I207" t="s">
        <v>13</v>
      </c>
    </row>
    <row r="208" spans="1:9" x14ac:dyDescent="0.3">
      <c r="A208" t="s">
        <v>666</v>
      </c>
      <c r="B208" t="s">
        <v>666</v>
      </c>
      <c r="C208" t="s">
        <v>667</v>
      </c>
      <c r="D208">
        <v>28</v>
      </c>
      <c r="E208" t="s">
        <v>16</v>
      </c>
      <c r="F208" t="s">
        <v>668</v>
      </c>
      <c r="G208" t="s">
        <v>234</v>
      </c>
      <c r="H208" t="s">
        <v>12</v>
      </c>
      <c r="I208" t="s">
        <v>31</v>
      </c>
    </row>
    <row r="209" spans="1:9" x14ac:dyDescent="0.3">
      <c r="A209" t="s">
        <v>669</v>
      </c>
      <c r="B209" t="s">
        <v>669</v>
      </c>
      <c r="C209" t="s">
        <v>670</v>
      </c>
      <c r="D209">
        <v>54</v>
      </c>
      <c r="E209" t="s">
        <v>9</v>
      </c>
      <c r="F209" t="s">
        <v>671</v>
      </c>
      <c r="G209" t="s">
        <v>88</v>
      </c>
      <c r="H209" t="s">
        <v>12</v>
      </c>
      <c r="I209" t="s">
        <v>26</v>
      </c>
    </row>
    <row r="210" spans="1:9" x14ac:dyDescent="0.3">
      <c r="A210" t="s">
        <v>672</v>
      </c>
      <c r="B210" t="s">
        <v>672</v>
      </c>
      <c r="C210" t="s">
        <v>673</v>
      </c>
      <c r="D210">
        <v>50</v>
      </c>
      <c r="E210" t="s">
        <v>16</v>
      </c>
      <c r="F210" t="s">
        <v>674</v>
      </c>
      <c r="G210" t="s">
        <v>323</v>
      </c>
      <c r="H210" t="s">
        <v>12</v>
      </c>
      <c r="I210" t="s">
        <v>19</v>
      </c>
    </row>
    <row r="211" spans="1:9" x14ac:dyDescent="0.3">
      <c r="A211" t="s">
        <v>675</v>
      </c>
      <c r="B211" t="s">
        <v>675</v>
      </c>
      <c r="C211" t="s">
        <v>676</v>
      </c>
      <c r="D211">
        <v>48</v>
      </c>
      <c r="E211" t="s">
        <v>9</v>
      </c>
      <c r="F211" t="s">
        <v>677</v>
      </c>
      <c r="G211" t="s">
        <v>429</v>
      </c>
      <c r="H211" t="s">
        <v>12</v>
      </c>
      <c r="I211" t="s">
        <v>19</v>
      </c>
    </row>
    <row r="212" spans="1:9" x14ac:dyDescent="0.3">
      <c r="A212" t="s">
        <v>678</v>
      </c>
      <c r="B212" t="s">
        <v>678</v>
      </c>
      <c r="C212" t="s">
        <v>679</v>
      </c>
      <c r="D212">
        <v>20</v>
      </c>
      <c r="E212" t="s">
        <v>16</v>
      </c>
      <c r="F212" t="s">
        <v>680</v>
      </c>
      <c r="G212" t="s">
        <v>81</v>
      </c>
      <c r="H212" t="s">
        <v>12</v>
      </c>
      <c r="I212" t="s">
        <v>31</v>
      </c>
    </row>
    <row r="213" spans="1:9" x14ac:dyDescent="0.3">
      <c r="A213" t="s">
        <v>681</v>
      </c>
      <c r="B213" t="s">
        <v>681</v>
      </c>
      <c r="C213" t="s">
        <v>682</v>
      </c>
      <c r="D213">
        <v>63</v>
      </c>
      <c r="E213" t="s">
        <v>16</v>
      </c>
      <c r="F213" t="s">
        <v>683</v>
      </c>
      <c r="G213" t="s">
        <v>92</v>
      </c>
      <c r="H213" t="s">
        <v>12</v>
      </c>
      <c r="I213" t="s">
        <v>31</v>
      </c>
    </row>
    <row r="214" spans="1:9" x14ac:dyDescent="0.3">
      <c r="A214" t="s">
        <v>684</v>
      </c>
      <c r="B214" t="s">
        <v>684</v>
      </c>
      <c r="C214" t="s">
        <v>685</v>
      </c>
      <c r="D214">
        <v>42</v>
      </c>
      <c r="E214" t="s">
        <v>16</v>
      </c>
      <c r="F214" t="s">
        <v>686</v>
      </c>
      <c r="G214" t="s">
        <v>74</v>
      </c>
      <c r="H214" t="s">
        <v>12</v>
      </c>
      <c r="I214" t="s">
        <v>19</v>
      </c>
    </row>
    <row r="215" spans="1:9" x14ac:dyDescent="0.3">
      <c r="A215" t="s">
        <v>687</v>
      </c>
      <c r="B215" t="s">
        <v>687</v>
      </c>
      <c r="C215" t="s">
        <v>688</v>
      </c>
      <c r="D215">
        <v>61</v>
      </c>
      <c r="E215" t="s">
        <v>9</v>
      </c>
      <c r="F215" t="s">
        <v>689</v>
      </c>
      <c r="G215" t="s">
        <v>18</v>
      </c>
      <c r="H215" t="s">
        <v>12</v>
      </c>
      <c r="I215" t="s">
        <v>19</v>
      </c>
    </row>
    <row r="216" spans="1:9" x14ac:dyDescent="0.3">
      <c r="A216" t="s">
        <v>690</v>
      </c>
      <c r="B216" t="s">
        <v>690</v>
      </c>
      <c r="C216" t="s">
        <v>691</v>
      </c>
      <c r="D216">
        <v>50</v>
      </c>
      <c r="E216" t="s">
        <v>16</v>
      </c>
      <c r="F216" t="s">
        <v>692</v>
      </c>
      <c r="G216" t="s">
        <v>66</v>
      </c>
      <c r="H216" t="s">
        <v>12</v>
      </c>
      <c r="I216" t="s">
        <v>13</v>
      </c>
    </row>
    <row r="217" spans="1:9" x14ac:dyDescent="0.3">
      <c r="A217" t="s">
        <v>693</v>
      </c>
      <c r="B217" t="s">
        <v>693</v>
      </c>
      <c r="C217" t="s">
        <v>694</v>
      </c>
      <c r="D217">
        <v>44</v>
      </c>
      <c r="E217" t="s">
        <v>9</v>
      </c>
      <c r="F217" t="s">
        <v>695</v>
      </c>
      <c r="G217" t="s">
        <v>35</v>
      </c>
      <c r="H217" t="s">
        <v>12</v>
      </c>
      <c r="I217" t="s">
        <v>13</v>
      </c>
    </row>
    <row r="218" spans="1:9" x14ac:dyDescent="0.3">
      <c r="A218" t="s">
        <v>696</v>
      </c>
      <c r="B218" t="s">
        <v>696</v>
      </c>
      <c r="C218" t="s">
        <v>697</v>
      </c>
      <c r="D218">
        <v>42</v>
      </c>
      <c r="E218" t="s">
        <v>9</v>
      </c>
      <c r="F218" t="s">
        <v>698</v>
      </c>
      <c r="G218" t="s">
        <v>30</v>
      </c>
      <c r="H218" t="s">
        <v>12</v>
      </c>
      <c r="I218" t="s">
        <v>19</v>
      </c>
    </row>
    <row r="219" spans="1:9" x14ac:dyDescent="0.3">
      <c r="A219" t="s">
        <v>699</v>
      </c>
      <c r="B219" t="s">
        <v>699</v>
      </c>
      <c r="C219" t="s">
        <v>700</v>
      </c>
      <c r="D219">
        <v>46</v>
      </c>
      <c r="E219" t="s">
        <v>9</v>
      </c>
      <c r="F219" t="s">
        <v>701</v>
      </c>
      <c r="G219" t="s">
        <v>113</v>
      </c>
      <c r="H219" t="s">
        <v>12</v>
      </c>
      <c r="I219" t="s">
        <v>31</v>
      </c>
    </row>
    <row r="220" spans="1:9" x14ac:dyDescent="0.3">
      <c r="A220" t="s">
        <v>702</v>
      </c>
      <c r="B220" t="s">
        <v>702</v>
      </c>
      <c r="C220" t="s">
        <v>703</v>
      </c>
      <c r="D220">
        <v>47</v>
      </c>
      <c r="E220" t="s">
        <v>16</v>
      </c>
      <c r="F220" t="s">
        <v>704</v>
      </c>
      <c r="G220" t="s">
        <v>30</v>
      </c>
      <c r="H220" t="s">
        <v>12</v>
      </c>
      <c r="I220" t="s">
        <v>19</v>
      </c>
    </row>
    <row r="221" spans="1:9" x14ac:dyDescent="0.3">
      <c r="A221" t="s">
        <v>705</v>
      </c>
      <c r="B221" t="s">
        <v>705</v>
      </c>
      <c r="C221" t="s">
        <v>706</v>
      </c>
      <c r="D221">
        <v>50</v>
      </c>
      <c r="E221" t="s">
        <v>16</v>
      </c>
      <c r="F221" t="s">
        <v>3809</v>
      </c>
      <c r="G221" t="s">
        <v>88</v>
      </c>
      <c r="H221" t="s">
        <v>12</v>
      </c>
      <c r="I221" t="s">
        <v>13</v>
      </c>
    </row>
    <row r="222" spans="1:9" x14ac:dyDescent="0.3">
      <c r="A222" t="s">
        <v>707</v>
      </c>
      <c r="B222" t="s">
        <v>707</v>
      </c>
      <c r="C222" t="s">
        <v>708</v>
      </c>
      <c r="D222">
        <v>38</v>
      </c>
      <c r="E222" t="s">
        <v>9</v>
      </c>
      <c r="F222" t="s">
        <v>3957</v>
      </c>
      <c r="G222" t="s">
        <v>709</v>
      </c>
      <c r="H222" t="s">
        <v>12</v>
      </c>
      <c r="I222" t="s">
        <v>26</v>
      </c>
    </row>
    <row r="223" spans="1:9" x14ac:dyDescent="0.3">
      <c r="A223" t="s">
        <v>710</v>
      </c>
      <c r="B223" t="s">
        <v>710</v>
      </c>
      <c r="C223" t="s">
        <v>711</v>
      </c>
      <c r="D223">
        <v>35</v>
      </c>
      <c r="E223" t="s">
        <v>9</v>
      </c>
      <c r="F223" t="s">
        <v>712</v>
      </c>
      <c r="G223" t="s">
        <v>81</v>
      </c>
      <c r="H223" t="s">
        <v>12</v>
      </c>
      <c r="I223" t="s">
        <v>19</v>
      </c>
    </row>
    <row r="224" spans="1:9" x14ac:dyDescent="0.3">
      <c r="A224" t="s">
        <v>713</v>
      </c>
      <c r="B224" t="s">
        <v>713</v>
      </c>
      <c r="C224" t="s">
        <v>714</v>
      </c>
      <c r="D224">
        <v>50</v>
      </c>
      <c r="E224" t="s">
        <v>9</v>
      </c>
      <c r="F224" t="s">
        <v>715</v>
      </c>
      <c r="G224" t="s">
        <v>230</v>
      </c>
      <c r="H224" t="s">
        <v>12</v>
      </c>
      <c r="I224" t="s">
        <v>19</v>
      </c>
    </row>
    <row r="225" spans="1:9" x14ac:dyDescent="0.3">
      <c r="A225" t="s">
        <v>716</v>
      </c>
      <c r="B225" t="s">
        <v>716</v>
      </c>
      <c r="C225" t="s">
        <v>717</v>
      </c>
      <c r="D225">
        <v>29</v>
      </c>
      <c r="E225" t="s">
        <v>9</v>
      </c>
      <c r="F225" t="s">
        <v>3958</v>
      </c>
      <c r="G225" t="s">
        <v>264</v>
      </c>
      <c r="H225" t="s">
        <v>12</v>
      </c>
      <c r="I225" t="s">
        <v>19</v>
      </c>
    </row>
    <row r="226" spans="1:9" x14ac:dyDescent="0.3">
      <c r="A226" t="s">
        <v>718</v>
      </c>
      <c r="B226" t="s">
        <v>718</v>
      </c>
      <c r="C226" t="s">
        <v>719</v>
      </c>
      <c r="D226">
        <v>46</v>
      </c>
      <c r="E226" t="s">
        <v>16</v>
      </c>
      <c r="F226" t="s">
        <v>720</v>
      </c>
      <c r="G226" t="s">
        <v>113</v>
      </c>
      <c r="H226" t="s">
        <v>12</v>
      </c>
      <c r="I226" t="s">
        <v>31</v>
      </c>
    </row>
    <row r="227" spans="1:9" x14ac:dyDescent="0.3">
      <c r="A227" t="s">
        <v>721</v>
      </c>
      <c r="B227" t="s">
        <v>721</v>
      </c>
      <c r="C227" t="s">
        <v>722</v>
      </c>
      <c r="D227">
        <v>54</v>
      </c>
      <c r="E227" t="s">
        <v>9</v>
      </c>
      <c r="F227" t="s">
        <v>723</v>
      </c>
      <c r="G227" t="s">
        <v>117</v>
      </c>
      <c r="H227" t="s">
        <v>12</v>
      </c>
      <c r="I227" t="s">
        <v>19</v>
      </c>
    </row>
    <row r="228" spans="1:9" x14ac:dyDescent="0.3">
      <c r="A228" t="s">
        <v>724</v>
      </c>
      <c r="B228" t="s">
        <v>724</v>
      </c>
      <c r="C228" t="s">
        <v>725</v>
      </c>
      <c r="D228">
        <v>63</v>
      </c>
      <c r="E228" t="s">
        <v>16</v>
      </c>
      <c r="F228" t="s">
        <v>213</v>
      </c>
      <c r="G228" t="s">
        <v>162</v>
      </c>
      <c r="H228" t="s">
        <v>12</v>
      </c>
      <c r="I228" t="s">
        <v>13</v>
      </c>
    </row>
    <row r="229" spans="1:9" x14ac:dyDescent="0.3">
      <c r="A229" t="s">
        <v>726</v>
      </c>
      <c r="B229" t="s">
        <v>726</v>
      </c>
      <c r="C229" t="s">
        <v>727</v>
      </c>
      <c r="D229">
        <v>52</v>
      </c>
      <c r="E229" t="s">
        <v>16</v>
      </c>
      <c r="F229" t="s">
        <v>728</v>
      </c>
      <c r="G229" t="s">
        <v>62</v>
      </c>
      <c r="H229" t="s">
        <v>12</v>
      </c>
      <c r="I229" t="s">
        <v>13</v>
      </c>
    </row>
    <row r="230" spans="1:9" x14ac:dyDescent="0.3">
      <c r="A230" t="s">
        <v>729</v>
      </c>
      <c r="B230" t="s">
        <v>729</v>
      </c>
      <c r="C230" t="s">
        <v>730</v>
      </c>
      <c r="D230">
        <v>32</v>
      </c>
      <c r="E230" t="s">
        <v>16</v>
      </c>
      <c r="F230" t="s">
        <v>390</v>
      </c>
      <c r="G230" t="s">
        <v>117</v>
      </c>
      <c r="H230" t="s">
        <v>12</v>
      </c>
      <c r="I230" t="s">
        <v>13</v>
      </c>
    </row>
    <row r="231" spans="1:9" x14ac:dyDescent="0.3">
      <c r="A231" t="s">
        <v>731</v>
      </c>
      <c r="B231" t="s">
        <v>731</v>
      </c>
      <c r="C231" t="s">
        <v>732</v>
      </c>
      <c r="D231">
        <v>29</v>
      </c>
      <c r="E231" t="s">
        <v>9</v>
      </c>
      <c r="F231" t="s">
        <v>733</v>
      </c>
      <c r="G231" t="s">
        <v>139</v>
      </c>
      <c r="H231" t="s">
        <v>12</v>
      </c>
      <c r="I231" t="s">
        <v>26</v>
      </c>
    </row>
    <row r="232" spans="1:9" x14ac:dyDescent="0.3">
      <c r="A232" t="s">
        <v>734</v>
      </c>
      <c r="B232" t="s">
        <v>734</v>
      </c>
      <c r="C232" t="s">
        <v>735</v>
      </c>
      <c r="D232">
        <v>22</v>
      </c>
      <c r="E232" t="s">
        <v>16</v>
      </c>
      <c r="F232" t="s">
        <v>736</v>
      </c>
      <c r="G232" t="s">
        <v>247</v>
      </c>
      <c r="H232" t="s">
        <v>12</v>
      </c>
      <c r="I232" t="s">
        <v>26</v>
      </c>
    </row>
    <row r="233" spans="1:9" x14ac:dyDescent="0.3">
      <c r="A233" t="s">
        <v>737</v>
      </c>
      <c r="B233" t="s">
        <v>737</v>
      </c>
      <c r="C233" t="s">
        <v>738</v>
      </c>
      <c r="D233">
        <v>27</v>
      </c>
      <c r="E233" t="s">
        <v>16</v>
      </c>
      <c r="F233" t="s">
        <v>739</v>
      </c>
      <c r="G233" t="s">
        <v>312</v>
      </c>
      <c r="H233" t="s">
        <v>12</v>
      </c>
      <c r="I233" t="s">
        <v>26</v>
      </c>
    </row>
    <row r="234" spans="1:9" x14ac:dyDescent="0.3">
      <c r="A234" t="s">
        <v>740</v>
      </c>
      <c r="B234" t="s">
        <v>740</v>
      </c>
      <c r="C234" t="s">
        <v>741</v>
      </c>
      <c r="D234">
        <v>59</v>
      </c>
      <c r="E234" t="s">
        <v>9</v>
      </c>
      <c r="F234" t="s">
        <v>742</v>
      </c>
      <c r="G234" t="s">
        <v>88</v>
      </c>
      <c r="H234" t="s">
        <v>12</v>
      </c>
      <c r="I234" t="s">
        <v>19</v>
      </c>
    </row>
    <row r="235" spans="1:9" x14ac:dyDescent="0.3">
      <c r="A235" t="s">
        <v>743</v>
      </c>
      <c r="B235" t="s">
        <v>743</v>
      </c>
      <c r="C235" t="s">
        <v>744</v>
      </c>
      <c r="D235">
        <v>43</v>
      </c>
      <c r="E235" t="s">
        <v>16</v>
      </c>
      <c r="F235" t="s">
        <v>745</v>
      </c>
      <c r="G235" t="s">
        <v>43</v>
      </c>
      <c r="H235" t="s">
        <v>12</v>
      </c>
      <c r="I235" t="s">
        <v>31</v>
      </c>
    </row>
    <row r="236" spans="1:9" x14ac:dyDescent="0.3">
      <c r="A236" t="s">
        <v>746</v>
      </c>
      <c r="B236" t="s">
        <v>746</v>
      </c>
      <c r="C236" t="s">
        <v>747</v>
      </c>
      <c r="D236">
        <v>28</v>
      </c>
      <c r="E236" t="s">
        <v>16</v>
      </c>
      <c r="F236" t="s">
        <v>748</v>
      </c>
      <c r="G236" t="s">
        <v>62</v>
      </c>
      <c r="H236" t="s">
        <v>12</v>
      </c>
      <c r="I236" t="s">
        <v>13</v>
      </c>
    </row>
    <row r="237" spans="1:9" x14ac:dyDescent="0.3">
      <c r="A237" t="s">
        <v>749</v>
      </c>
      <c r="B237" t="s">
        <v>749</v>
      </c>
      <c r="C237" t="s">
        <v>750</v>
      </c>
      <c r="D237">
        <v>42</v>
      </c>
      <c r="E237" t="s">
        <v>16</v>
      </c>
      <c r="F237" t="s">
        <v>751</v>
      </c>
      <c r="G237" t="s">
        <v>92</v>
      </c>
      <c r="H237" t="s">
        <v>12</v>
      </c>
      <c r="I237" t="s">
        <v>26</v>
      </c>
    </row>
    <row r="238" spans="1:9" x14ac:dyDescent="0.3">
      <c r="A238" t="s">
        <v>752</v>
      </c>
      <c r="B238" t="s">
        <v>752</v>
      </c>
      <c r="C238" t="s">
        <v>753</v>
      </c>
      <c r="D238">
        <v>41</v>
      </c>
      <c r="E238" t="s">
        <v>16</v>
      </c>
      <c r="F238" t="s">
        <v>754</v>
      </c>
      <c r="G238" t="s">
        <v>284</v>
      </c>
      <c r="H238" t="s">
        <v>12</v>
      </c>
      <c r="I238" t="s">
        <v>26</v>
      </c>
    </row>
    <row r="239" spans="1:9" x14ac:dyDescent="0.3">
      <c r="A239" t="s">
        <v>755</v>
      </c>
      <c r="B239" t="s">
        <v>755</v>
      </c>
      <c r="C239" t="s">
        <v>756</v>
      </c>
      <c r="D239">
        <v>40</v>
      </c>
      <c r="E239" t="s">
        <v>9</v>
      </c>
      <c r="F239" t="s">
        <v>757</v>
      </c>
      <c r="G239" t="s">
        <v>66</v>
      </c>
      <c r="H239" t="s">
        <v>12</v>
      </c>
      <c r="I239" t="s">
        <v>13</v>
      </c>
    </row>
    <row r="240" spans="1:9" x14ac:dyDescent="0.3">
      <c r="A240" t="s">
        <v>758</v>
      </c>
      <c r="B240" t="s">
        <v>758</v>
      </c>
      <c r="C240" t="s">
        <v>759</v>
      </c>
      <c r="D240">
        <v>58</v>
      </c>
      <c r="E240" t="s">
        <v>16</v>
      </c>
      <c r="F240" t="s">
        <v>760</v>
      </c>
      <c r="G240" t="s">
        <v>43</v>
      </c>
      <c r="H240" t="s">
        <v>12</v>
      </c>
      <c r="I240" t="s">
        <v>19</v>
      </c>
    </row>
    <row r="241" spans="1:9" x14ac:dyDescent="0.3">
      <c r="A241" t="s">
        <v>761</v>
      </c>
      <c r="B241" t="s">
        <v>761</v>
      </c>
      <c r="C241" t="s">
        <v>762</v>
      </c>
      <c r="D241">
        <v>59</v>
      </c>
      <c r="E241" t="s">
        <v>16</v>
      </c>
      <c r="F241" t="s">
        <v>763</v>
      </c>
      <c r="G241" t="s">
        <v>181</v>
      </c>
      <c r="H241" t="s">
        <v>12</v>
      </c>
      <c r="I241" t="s">
        <v>19</v>
      </c>
    </row>
    <row r="242" spans="1:9" x14ac:dyDescent="0.3">
      <c r="A242" t="s">
        <v>764</v>
      </c>
      <c r="B242" t="s">
        <v>764</v>
      </c>
      <c r="C242" t="s">
        <v>765</v>
      </c>
      <c r="D242">
        <v>31</v>
      </c>
      <c r="E242" t="s">
        <v>9</v>
      </c>
      <c r="F242" t="s">
        <v>766</v>
      </c>
      <c r="G242" t="s">
        <v>155</v>
      </c>
      <c r="H242" t="s">
        <v>12</v>
      </c>
      <c r="I242" t="s">
        <v>19</v>
      </c>
    </row>
    <row r="243" spans="1:9" x14ac:dyDescent="0.3">
      <c r="A243" t="s">
        <v>767</v>
      </c>
      <c r="B243" t="s">
        <v>767</v>
      </c>
      <c r="C243" t="s">
        <v>768</v>
      </c>
      <c r="D243">
        <v>58</v>
      </c>
      <c r="E243" t="s">
        <v>16</v>
      </c>
      <c r="F243" t="s">
        <v>769</v>
      </c>
      <c r="G243" t="s">
        <v>284</v>
      </c>
      <c r="H243" t="s">
        <v>12</v>
      </c>
      <c r="I243" t="s">
        <v>19</v>
      </c>
    </row>
    <row r="244" spans="1:9" x14ac:dyDescent="0.3">
      <c r="A244" t="s">
        <v>770</v>
      </c>
      <c r="B244" t="s">
        <v>770</v>
      </c>
      <c r="C244" t="s">
        <v>771</v>
      </c>
      <c r="D244">
        <v>56</v>
      </c>
      <c r="E244" t="s">
        <v>16</v>
      </c>
      <c r="F244" t="s">
        <v>772</v>
      </c>
      <c r="G244" t="s">
        <v>166</v>
      </c>
      <c r="H244" t="s">
        <v>12</v>
      </c>
      <c r="I244" t="s">
        <v>31</v>
      </c>
    </row>
    <row r="245" spans="1:9" x14ac:dyDescent="0.3">
      <c r="A245" t="s">
        <v>773</v>
      </c>
      <c r="B245" t="s">
        <v>773</v>
      </c>
      <c r="C245" t="s">
        <v>774</v>
      </c>
      <c r="D245">
        <v>19</v>
      </c>
      <c r="E245" t="s">
        <v>9</v>
      </c>
      <c r="F245" t="s">
        <v>775</v>
      </c>
      <c r="G245" t="s">
        <v>354</v>
      </c>
      <c r="H245" t="s">
        <v>12</v>
      </c>
      <c r="I245" t="s">
        <v>13</v>
      </c>
    </row>
    <row r="246" spans="1:9" x14ac:dyDescent="0.3">
      <c r="A246" t="s">
        <v>776</v>
      </c>
      <c r="B246" t="s">
        <v>776</v>
      </c>
      <c r="C246" t="s">
        <v>777</v>
      </c>
      <c r="D246">
        <v>57</v>
      </c>
      <c r="E246" t="s">
        <v>16</v>
      </c>
      <c r="F246" t="s">
        <v>778</v>
      </c>
      <c r="G246" t="s">
        <v>117</v>
      </c>
      <c r="H246" t="s">
        <v>12</v>
      </c>
      <c r="I246" t="s">
        <v>26</v>
      </c>
    </row>
    <row r="247" spans="1:9" x14ac:dyDescent="0.3">
      <c r="A247" t="s">
        <v>779</v>
      </c>
      <c r="B247" t="s">
        <v>779</v>
      </c>
      <c r="C247" t="s">
        <v>780</v>
      </c>
      <c r="D247">
        <v>58</v>
      </c>
      <c r="E247" t="s">
        <v>9</v>
      </c>
      <c r="F247" t="s">
        <v>781</v>
      </c>
      <c r="G247" t="s">
        <v>155</v>
      </c>
      <c r="H247" t="s">
        <v>12</v>
      </c>
      <c r="I247" t="s">
        <v>19</v>
      </c>
    </row>
    <row r="248" spans="1:9" x14ac:dyDescent="0.3">
      <c r="A248" t="s">
        <v>782</v>
      </c>
      <c r="B248" t="s">
        <v>782</v>
      </c>
      <c r="C248" t="s">
        <v>783</v>
      </c>
      <c r="D248">
        <v>32</v>
      </c>
      <c r="E248" t="s">
        <v>9</v>
      </c>
      <c r="F248" t="s">
        <v>784</v>
      </c>
      <c r="G248" t="s">
        <v>288</v>
      </c>
      <c r="H248" t="s">
        <v>12</v>
      </c>
      <c r="I248" t="s">
        <v>26</v>
      </c>
    </row>
    <row r="249" spans="1:9" x14ac:dyDescent="0.3">
      <c r="A249" t="s">
        <v>785</v>
      </c>
      <c r="B249" t="s">
        <v>785</v>
      </c>
      <c r="C249" t="s">
        <v>786</v>
      </c>
      <c r="D249">
        <v>19</v>
      </c>
      <c r="E249" t="s">
        <v>9</v>
      </c>
      <c r="F249" t="s">
        <v>787</v>
      </c>
      <c r="G249" t="s">
        <v>47</v>
      </c>
      <c r="H249" t="s">
        <v>12</v>
      </c>
      <c r="I249" t="s">
        <v>19</v>
      </c>
    </row>
    <row r="250" spans="1:9" x14ac:dyDescent="0.3">
      <c r="A250" t="s">
        <v>788</v>
      </c>
      <c r="B250" t="s">
        <v>788</v>
      </c>
      <c r="C250" t="s">
        <v>789</v>
      </c>
      <c r="D250">
        <v>41</v>
      </c>
      <c r="E250" t="s">
        <v>16</v>
      </c>
      <c r="F250" t="s">
        <v>790</v>
      </c>
      <c r="G250" t="s">
        <v>181</v>
      </c>
      <c r="H250" t="s">
        <v>12</v>
      </c>
      <c r="I250" t="s">
        <v>13</v>
      </c>
    </row>
    <row r="251" spans="1:9" x14ac:dyDescent="0.3">
      <c r="A251" t="s">
        <v>791</v>
      </c>
      <c r="B251" t="s">
        <v>791</v>
      </c>
      <c r="C251" t="s">
        <v>792</v>
      </c>
      <c r="D251">
        <v>48</v>
      </c>
      <c r="E251" t="s">
        <v>9</v>
      </c>
      <c r="F251" t="s">
        <v>793</v>
      </c>
      <c r="G251" t="s">
        <v>58</v>
      </c>
      <c r="H251" t="s">
        <v>12</v>
      </c>
      <c r="I251" t="s">
        <v>13</v>
      </c>
    </row>
    <row r="252" spans="1:9" x14ac:dyDescent="0.3">
      <c r="A252" t="s">
        <v>794</v>
      </c>
      <c r="B252" t="s">
        <v>794</v>
      </c>
      <c r="C252" t="s">
        <v>795</v>
      </c>
      <c r="D252">
        <v>64</v>
      </c>
      <c r="E252" t="s">
        <v>9</v>
      </c>
      <c r="F252" t="s">
        <v>796</v>
      </c>
      <c r="G252" t="s">
        <v>92</v>
      </c>
      <c r="H252" t="s">
        <v>12</v>
      </c>
      <c r="I252" t="s">
        <v>19</v>
      </c>
    </row>
    <row r="253" spans="1:9" x14ac:dyDescent="0.3">
      <c r="A253" t="s">
        <v>797</v>
      </c>
      <c r="B253" t="s">
        <v>797</v>
      </c>
      <c r="C253" t="s">
        <v>798</v>
      </c>
      <c r="D253">
        <v>26</v>
      </c>
      <c r="E253" t="s">
        <v>9</v>
      </c>
      <c r="F253" t="s">
        <v>799</v>
      </c>
      <c r="G253" t="s">
        <v>22</v>
      </c>
      <c r="H253" t="s">
        <v>12</v>
      </c>
      <c r="I253" t="s">
        <v>31</v>
      </c>
    </row>
    <row r="254" spans="1:9" x14ac:dyDescent="0.3">
      <c r="A254" t="s">
        <v>800</v>
      </c>
      <c r="B254" t="s">
        <v>800</v>
      </c>
      <c r="C254" t="s">
        <v>801</v>
      </c>
      <c r="D254">
        <v>32</v>
      </c>
      <c r="E254" t="s">
        <v>9</v>
      </c>
      <c r="F254" t="s">
        <v>802</v>
      </c>
      <c r="G254" t="s">
        <v>39</v>
      </c>
      <c r="H254" t="s">
        <v>12</v>
      </c>
      <c r="I254" t="s">
        <v>31</v>
      </c>
    </row>
    <row r="255" spans="1:9" x14ac:dyDescent="0.3">
      <c r="A255" t="s">
        <v>803</v>
      </c>
      <c r="B255" t="s">
        <v>803</v>
      </c>
      <c r="C255" t="s">
        <v>3941</v>
      </c>
      <c r="D255">
        <v>34</v>
      </c>
      <c r="E255" t="s">
        <v>9</v>
      </c>
      <c r="F255" t="s">
        <v>804</v>
      </c>
      <c r="G255" t="s">
        <v>319</v>
      </c>
      <c r="H255" t="s">
        <v>12</v>
      </c>
      <c r="I255" t="s">
        <v>26</v>
      </c>
    </row>
    <row r="256" spans="1:9" x14ac:dyDescent="0.3">
      <c r="A256" t="s">
        <v>805</v>
      </c>
      <c r="B256" t="s">
        <v>805</v>
      </c>
      <c r="C256" t="s">
        <v>806</v>
      </c>
      <c r="D256">
        <v>21</v>
      </c>
      <c r="E256" t="s">
        <v>9</v>
      </c>
      <c r="F256" t="s">
        <v>807</v>
      </c>
      <c r="G256" t="s">
        <v>162</v>
      </c>
      <c r="H256" t="s">
        <v>12</v>
      </c>
      <c r="I256" t="s">
        <v>31</v>
      </c>
    </row>
    <row r="257" spans="1:9" x14ac:dyDescent="0.3">
      <c r="A257" t="s">
        <v>808</v>
      </c>
      <c r="B257" t="s">
        <v>808</v>
      </c>
      <c r="C257" t="s">
        <v>809</v>
      </c>
      <c r="D257">
        <v>57</v>
      </c>
      <c r="E257" t="s">
        <v>9</v>
      </c>
      <c r="F257" t="s">
        <v>810</v>
      </c>
      <c r="G257" t="s">
        <v>25</v>
      </c>
      <c r="H257" t="s">
        <v>12</v>
      </c>
      <c r="I257" t="s">
        <v>13</v>
      </c>
    </row>
    <row r="258" spans="1:9" x14ac:dyDescent="0.3">
      <c r="A258" t="s">
        <v>811</v>
      </c>
      <c r="B258" t="s">
        <v>811</v>
      </c>
      <c r="C258" t="s">
        <v>812</v>
      </c>
      <c r="D258">
        <v>42</v>
      </c>
      <c r="E258" t="s">
        <v>9</v>
      </c>
      <c r="F258" t="s">
        <v>813</v>
      </c>
      <c r="G258" t="s">
        <v>288</v>
      </c>
      <c r="H258" t="s">
        <v>12</v>
      </c>
      <c r="I258" t="s">
        <v>19</v>
      </c>
    </row>
    <row r="259" spans="1:9" x14ac:dyDescent="0.3">
      <c r="A259" t="s">
        <v>814</v>
      </c>
      <c r="B259" t="s">
        <v>814</v>
      </c>
      <c r="C259" t="s">
        <v>815</v>
      </c>
      <c r="D259">
        <v>24</v>
      </c>
      <c r="E259" t="s">
        <v>16</v>
      </c>
      <c r="F259" t="s">
        <v>816</v>
      </c>
      <c r="G259" t="s">
        <v>709</v>
      </c>
      <c r="H259" t="s">
        <v>12</v>
      </c>
      <c r="I259" t="s">
        <v>31</v>
      </c>
    </row>
    <row r="260" spans="1:9" x14ac:dyDescent="0.3">
      <c r="A260" t="s">
        <v>817</v>
      </c>
      <c r="B260" t="s">
        <v>817</v>
      </c>
      <c r="C260" t="s">
        <v>818</v>
      </c>
      <c r="D260">
        <v>32</v>
      </c>
      <c r="E260" t="s">
        <v>16</v>
      </c>
      <c r="F260" t="s">
        <v>819</v>
      </c>
      <c r="G260" t="s">
        <v>354</v>
      </c>
      <c r="H260" t="s">
        <v>12</v>
      </c>
      <c r="I260" t="s">
        <v>19</v>
      </c>
    </row>
    <row r="261" spans="1:9" x14ac:dyDescent="0.3">
      <c r="A261" t="s">
        <v>820</v>
      </c>
      <c r="B261" t="s">
        <v>820</v>
      </c>
      <c r="C261" t="s">
        <v>821</v>
      </c>
      <c r="D261">
        <v>63</v>
      </c>
      <c r="E261" t="s">
        <v>16</v>
      </c>
      <c r="F261" t="s">
        <v>822</v>
      </c>
      <c r="G261" t="s">
        <v>96</v>
      </c>
      <c r="H261" t="s">
        <v>12</v>
      </c>
      <c r="I261" t="s">
        <v>31</v>
      </c>
    </row>
    <row r="262" spans="1:9" x14ac:dyDescent="0.3">
      <c r="A262" t="s">
        <v>823</v>
      </c>
      <c r="B262" t="s">
        <v>823</v>
      </c>
      <c r="C262" t="s">
        <v>824</v>
      </c>
      <c r="D262">
        <v>27</v>
      </c>
      <c r="E262" t="s">
        <v>16</v>
      </c>
      <c r="F262" t="s">
        <v>825</v>
      </c>
      <c r="G262" t="s">
        <v>133</v>
      </c>
      <c r="H262" t="s">
        <v>12</v>
      </c>
      <c r="I262" t="s">
        <v>19</v>
      </c>
    </row>
    <row r="263" spans="1:9" x14ac:dyDescent="0.3">
      <c r="A263" t="s">
        <v>826</v>
      </c>
      <c r="B263" t="s">
        <v>826</v>
      </c>
      <c r="C263" t="s">
        <v>827</v>
      </c>
      <c r="D263">
        <v>60</v>
      </c>
      <c r="E263" t="s">
        <v>16</v>
      </c>
      <c r="F263" t="s">
        <v>828</v>
      </c>
      <c r="G263" t="s">
        <v>35</v>
      </c>
      <c r="H263" t="s">
        <v>12</v>
      </c>
      <c r="I263" t="s">
        <v>31</v>
      </c>
    </row>
    <row r="264" spans="1:9" x14ac:dyDescent="0.3">
      <c r="A264" t="s">
        <v>829</v>
      </c>
      <c r="B264" t="s">
        <v>829</v>
      </c>
      <c r="C264" t="s">
        <v>830</v>
      </c>
      <c r="D264">
        <v>50</v>
      </c>
      <c r="E264" t="s">
        <v>9</v>
      </c>
      <c r="F264" t="s">
        <v>831</v>
      </c>
      <c r="G264" t="s">
        <v>66</v>
      </c>
      <c r="H264" t="s">
        <v>12</v>
      </c>
      <c r="I264" t="s">
        <v>31</v>
      </c>
    </row>
    <row r="265" spans="1:9" x14ac:dyDescent="0.3">
      <c r="A265" t="s">
        <v>832</v>
      </c>
      <c r="B265" t="s">
        <v>832</v>
      </c>
      <c r="C265" t="s">
        <v>833</v>
      </c>
      <c r="D265">
        <v>25</v>
      </c>
      <c r="E265" t="s">
        <v>9</v>
      </c>
      <c r="F265" t="s">
        <v>834</v>
      </c>
      <c r="G265" t="s">
        <v>323</v>
      </c>
      <c r="H265" t="s">
        <v>12</v>
      </c>
      <c r="I265" t="s">
        <v>26</v>
      </c>
    </row>
    <row r="266" spans="1:9" x14ac:dyDescent="0.3">
      <c r="A266" t="s">
        <v>835</v>
      </c>
      <c r="B266" t="s">
        <v>835</v>
      </c>
      <c r="C266" t="s">
        <v>836</v>
      </c>
      <c r="D266">
        <v>38</v>
      </c>
      <c r="E266" t="s">
        <v>9</v>
      </c>
      <c r="F266" t="s">
        <v>837</v>
      </c>
      <c r="G266" t="s">
        <v>838</v>
      </c>
      <c r="H266" t="s">
        <v>12</v>
      </c>
      <c r="I266" t="s">
        <v>13</v>
      </c>
    </row>
    <row r="267" spans="1:9" x14ac:dyDescent="0.3">
      <c r="A267" t="s">
        <v>839</v>
      </c>
      <c r="B267" t="s">
        <v>839</v>
      </c>
      <c r="C267" t="s">
        <v>840</v>
      </c>
      <c r="D267">
        <v>32</v>
      </c>
      <c r="E267" t="s">
        <v>16</v>
      </c>
      <c r="F267" t="s">
        <v>841</v>
      </c>
      <c r="G267" t="s">
        <v>234</v>
      </c>
      <c r="H267" t="s">
        <v>12</v>
      </c>
      <c r="I267" t="s">
        <v>31</v>
      </c>
    </row>
    <row r="268" spans="1:9" x14ac:dyDescent="0.3">
      <c r="A268" t="s">
        <v>842</v>
      </c>
      <c r="B268" t="s">
        <v>842</v>
      </c>
      <c r="C268" t="s">
        <v>843</v>
      </c>
      <c r="D268">
        <v>18</v>
      </c>
      <c r="E268" t="s">
        <v>9</v>
      </c>
      <c r="F268" t="s">
        <v>844</v>
      </c>
      <c r="G268" t="s">
        <v>582</v>
      </c>
      <c r="H268" t="s">
        <v>12</v>
      </c>
      <c r="I268" t="s">
        <v>26</v>
      </c>
    </row>
    <row r="269" spans="1:9" x14ac:dyDescent="0.3">
      <c r="A269" t="s">
        <v>845</v>
      </c>
      <c r="B269" t="s">
        <v>845</v>
      </c>
      <c r="C269" t="s">
        <v>846</v>
      </c>
      <c r="D269">
        <v>53</v>
      </c>
      <c r="E269" t="s">
        <v>16</v>
      </c>
      <c r="F269" t="s">
        <v>775</v>
      </c>
      <c r="G269" t="s">
        <v>66</v>
      </c>
      <c r="H269" t="s">
        <v>12</v>
      </c>
      <c r="I269" t="s">
        <v>26</v>
      </c>
    </row>
    <row r="270" spans="1:9" x14ac:dyDescent="0.3">
      <c r="A270" t="s">
        <v>847</v>
      </c>
      <c r="B270" t="s">
        <v>847</v>
      </c>
      <c r="C270" t="s">
        <v>848</v>
      </c>
      <c r="D270">
        <v>45</v>
      </c>
      <c r="E270" t="s">
        <v>16</v>
      </c>
      <c r="F270" t="s">
        <v>849</v>
      </c>
      <c r="G270" t="s">
        <v>198</v>
      </c>
      <c r="H270" t="s">
        <v>12</v>
      </c>
      <c r="I270" t="s">
        <v>26</v>
      </c>
    </row>
    <row r="271" spans="1:9" x14ac:dyDescent="0.3">
      <c r="A271" t="s">
        <v>850</v>
      </c>
      <c r="B271" t="s">
        <v>850</v>
      </c>
      <c r="C271" t="s">
        <v>851</v>
      </c>
      <c r="D271">
        <v>31</v>
      </c>
      <c r="E271" t="s">
        <v>16</v>
      </c>
      <c r="F271" t="s">
        <v>852</v>
      </c>
      <c r="G271" t="s">
        <v>30</v>
      </c>
      <c r="H271" t="s">
        <v>12</v>
      </c>
      <c r="I271" t="s">
        <v>31</v>
      </c>
    </row>
    <row r="272" spans="1:9" x14ac:dyDescent="0.3">
      <c r="A272" t="s">
        <v>853</v>
      </c>
      <c r="B272" t="s">
        <v>853</v>
      </c>
      <c r="C272" t="s">
        <v>854</v>
      </c>
      <c r="D272">
        <v>64</v>
      </c>
      <c r="E272" t="s">
        <v>9</v>
      </c>
      <c r="F272" t="s">
        <v>855</v>
      </c>
      <c r="G272" t="s">
        <v>323</v>
      </c>
      <c r="H272" t="s">
        <v>12</v>
      </c>
      <c r="I272" t="s">
        <v>13</v>
      </c>
    </row>
    <row r="273" spans="1:9" x14ac:dyDescent="0.3">
      <c r="A273" t="s">
        <v>856</v>
      </c>
      <c r="B273" t="s">
        <v>856</v>
      </c>
      <c r="C273" t="s">
        <v>3942</v>
      </c>
      <c r="D273">
        <v>48</v>
      </c>
      <c r="E273" t="s">
        <v>16</v>
      </c>
      <c r="F273" t="s">
        <v>857</v>
      </c>
      <c r="G273" t="s">
        <v>70</v>
      </c>
      <c r="H273" t="s">
        <v>12</v>
      </c>
      <c r="I273" t="s">
        <v>19</v>
      </c>
    </row>
    <row r="274" spans="1:9" x14ac:dyDescent="0.3">
      <c r="A274" t="s">
        <v>858</v>
      </c>
      <c r="B274" t="s">
        <v>858</v>
      </c>
      <c r="C274" t="s">
        <v>859</v>
      </c>
      <c r="D274">
        <v>23</v>
      </c>
      <c r="E274" t="s">
        <v>9</v>
      </c>
      <c r="F274" t="s">
        <v>860</v>
      </c>
      <c r="G274" t="s">
        <v>30</v>
      </c>
      <c r="H274" t="s">
        <v>12</v>
      </c>
      <c r="I274" t="s">
        <v>13</v>
      </c>
    </row>
    <row r="275" spans="1:9" x14ac:dyDescent="0.3">
      <c r="A275" t="s">
        <v>861</v>
      </c>
      <c r="B275" t="s">
        <v>861</v>
      </c>
      <c r="C275" t="s">
        <v>862</v>
      </c>
      <c r="D275">
        <v>38</v>
      </c>
      <c r="E275" t="s">
        <v>9</v>
      </c>
      <c r="F275" t="s">
        <v>863</v>
      </c>
      <c r="G275" t="s">
        <v>309</v>
      </c>
      <c r="H275" t="s">
        <v>12</v>
      </c>
      <c r="I275" t="s">
        <v>26</v>
      </c>
    </row>
    <row r="276" spans="1:9" x14ac:dyDescent="0.3">
      <c r="A276" t="s">
        <v>864</v>
      </c>
      <c r="B276" t="s">
        <v>864</v>
      </c>
      <c r="C276" t="s">
        <v>865</v>
      </c>
      <c r="D276">
        <v>22</v>
      </c>
      <c r="E276" t="s">
        <v>9</v>
      </c>
      <c r="F276" t="s">
        <v>866</v>
      </c>
      <c r="G276" t="s">
        <v>170</v>
      </c>
      <c r="H276" t="s">
        <v>12</v>
      </c>
      <c r="I276" t="s">
        <v>31</v>
      </c>
    </row>
    <row r="277" spans="1:9" x14ac:dyDescent="0.3">
      <c r="A277" t="s">
        <v>867</v>
      </c>
      <c r="B277" t="s">
        <v>867</v>
      </c>
      <c r="C277" t="s">
        <v>868</v>
      </c>
      <c r="D277">
        <v>38</v>
      </c>
      <c r="E277" t="s">
        <v>9</v>
      </c>
      <c r="F277" t="s">
        <v>869</v>
      </c>
      <c r="G277" t="s">
        <v>582</v>
      </c>
      <c r="H277" t="s">
        <v>12</v>
      </c>
      <c r="I277" t="s">
        <v>13</v>
      </c>
    </row>
    <row r="278" spans="1:9" x14ac:dyDescent="0.3">
      <c r="A278" t="s">
        <v>870</v>
      </c>
      <c r="B278" t="s">
        <v>870</v>
      </c>
      <c r="C278" t="s">
        <v>871</v>
      </c>
      <c r="D278">
        <v>22</v>
      </c>
      <c r="E278" t="s">
        <v>16</v>
      </c>
      <c r="F278" t="s">
        <v>872</v>
      </c>
      <c r="G278" t="s">
        <v>181</v>
      </c>
      <c r="H278" t="s">
        <v>12</v>
      </c>
      <c r="I278" t="s">
        <v>13</v>
      </c>
    </row>
    <row r="279" spans="1:9" x14ac:dyDescent="0.3">
      <c r="A279" t="s">
        <v>873</v>
      </c>
      <c r="B279" t="s">
        <v>873</v>
      </c>
      <c r="C279" t="s">
        <v>874</v>
      </c>
      <c r="D279">
        <v>42</v>
      </c>
      <c r="E279" t="s">
        <v>16</v>
      </c>
      <c r="F279" t="s">
        <v>875</v>
      </c>
      <c r="G279" t="s">
        <v>271</v>
      </c>
      <c r="H279" t="s">
        <v>12</v>
      </c>
      <c r="I279" t="s">
        <v>19</v>
      </c>
    </row>
    <row r="280" spans="1:9" x14ac:dyDescent="0.3">
      <c r="A280" t="s">
        <v>876</v>
      </c>
      <c r="B280" t="s">
        <v>876</v>
      </c>
      <c r="C280" t="s">
        <v>877</v>
      </c>
      <c r="D280">
        <v>21</v>
      </c>
      <c r="E280" t="s">
        <v>16</v>
      </c>
      <c r="F280" t="s">
        <v>878</v>
      </c>
      <c r="G280" t="s">
        <v>214</v>
      </c>
      <c r="H280" t="s">
        <v>12</v>
      </c>
      <c r="I280" t="s">
        <v>19</v>
      </c>
    </row>
    <row r="281" spans="1:9" x14ac:dyDescent="0.3">
      <c r="A281" t="s">
        <v>879</v>
      </c>
      <c r="B281" t="s">
        <v>879</v>
      </c>
      <c r="C281" t="s">
        <v>880</v>
      </c>
      <c r="D281">
        <v>48</v>
      </c>
      <c r="E281" t="s">
        <v>9</v>
      </c>
      <c r="F281" t="s">
        <v>881</v>
      </c>
      <c r="G281" t="s">
        <v>25</v>
      </c>
      <c r="H281" t="s">
        <v>12</v>
      </c>
      <c r="I281" t="s">
        <v>26</v>
      </c>
    </row>
    <row r="282" spans="1:9" x14ac:dyDescent="0.3">
      <c r="A282" t="s">
        <v>882</v>
      </c>
      <c r="B282" t="s">
        <v>882</v>
      </c>
      <c r="C282" t="s">
        <v>883</v>
      </c>
      <c r="D282">
        <v>59</v>
      </c>
      <c r="E282" t="s">
        <v>9</v>
      </c>
      <c r="F282" t="s">
        <v>884</v>
      </c>
      <c r="G282" t="s">
        <v>99</v>
      </c>
      <c r="H282" t="s">
        <v>12</v>
      </c>
      <c r="I282" t="s">
        <v>26</v>
      </c>
    </row>
    <row r="283" spans="1:9" x14ac:dyDescent="0.3">
      <c r="A283" t="s">
        <v>885</v>
      </c>
      <c r="B283" t="s">
        <v>885</v>
      </c>
      <c r="C283" t="s">
        <v>886</v>
      </c>
      <c r="D283">
        <v>46</v>
      </c>
      <c r="E283" t="s">
        <v>16</v>
      </c>
      <c r="F283" t="s">
        <v>887</v>
      </c>
      <c r="G283" t="s">
        <v>166</v>
      </c>
      <c r="H283" t="s">
        <v>12</v>
      </c>
      <c r="I283" t="s">
        <v>19</v>
      </c>
    </row>
    <row r="284" spans="1:9" x14ac:dyDescent="0.3">
      <c r="A284" t="s">
        <v>888</v>
      </c>
      <c r="B284" t="s">
        <v>888</v>
      </c>
      <c r="C284" t="s">
        <v>889</v>
      </c>
      <c r="D284">
        <v>54</v>
      </c>
      <c r="E284" t="s">
        <v>16</v>
      </c>
      <c r="F284" t="s">
        <v>890</v>
      </c>
      <c r="G284" t="s">
        <v>88</v>
      </c>
      <c r="H284" t="s">
        <v>12</v>
      </c>
      <c r="I284" t="s">
        <v>13</v>
      </c>
    </row>
    <row r="285" spans="1:9" x14ac:dyDescent="0.3">
      <c r="A285" t="s">
        <v>891</v>
      </c>
      <c r="B285" t="s">
        <v>891</v>
      </c>
      <c r="C285" t="s">
        <v>892</v>
      </c>
      <c r="D285">
        <v>54</v>
      </c>
      <c r="E285" t="s">
        <v>9</v>
      </c>
      <c r="F285" t="s">
        <v>893</v>
      </c>
      <c r="G285" t="s">
        <v>838</v>
      </c>
      <c r="H285" t="s">
        <v>12</v>
      </c>
      <c r="I285" t="s">
        <v>31</v>
      </c>
    </row>
    <row r="286" spans="1:9" x14ac:dyDescent="0.3">
      <c r="A286" t="s">
        <v>894</v>
      </c>
      <c r="B286" t="s">
        <v>894</v>
      </c>
      <c r="C286" t="s">
        <v>895</v>
      </c>
      <c r="D286">
        <v>46</v>
      </c>
      <c r="E286" t="s">
        <v>16</v>
      </c>
      <c r="F286" t="s">
        <v>896</v>
      </c>
      <c r="G286" t="s">
        <v>166</v>
      </c>
      <c r="H286" t="s">
        <v>12</v>
      </c>
      <c r="I286" t="s">
        <v>13</v>
      </c>
    </row>
    <row r="287" spans="1:9" x14ac:dyDescent="0.3">
      <c r="A287" t="s">
        <v>897</v>
      </c>
      <c r="B287" t="s">
        <v>897</v>
      </c>
      <c r="C287" t="s">
        <v>898</v>
      </c>
      <c r="D287">
        <v>22</v>
      </c>
      <c r="E287" t="s">
        <v>9</v>
      </c>
      <c r="F287" t="s">
        <v>899</v>
      </c>
      <c r="G287" t="s">
        <v>709</v>
      </c>
      <c r="H287" t="s">
        <v>12</v>
      </c>
      <c r="I287" t="s">
        <v>31</v>
      </c>
    </row>
    <row r="288" spans="1:9" x14ac:dyDescent="0.3">
      <c r="A288" t="s">
        <v>900</v>
      </c>
      <c r="B288" t="s">
        <v>900</v>
      </c>
      <c r="C288" t="s">
        <v>901</v>
      </c>
      <c r="D288">
        <v>22</v>
      </c>
      <c r="E288" t="s">
        <v>16</v>
      </c>
      <c r="F288" t="s">
        <v>902</v>
      </c>
      <c r="G288" t="s">
        <v>39</v>
      </c>
      <c r="H288" t="s">
        <v>12</v>
      </c>
      <c r="I288" t="s">
        <v>31</v>
      </c>
    </row>
    <row r="289" spans="1:9" x14ac:dyDescent="0.3">
      <c r="A289" t="s">
        <v>903</v>
      </c>
      <c r="B289" t="s">
        <v>903</v>
      </c>
      <c r="C289" t="s">
        <v>904</v>
      </c>
      <c r="D289">
        <v>58</v>
      </c>
      <c r="E289" t="s">
        <v>9</v>
      </c>
      <c r="F289" t="s">
        <v>905</v>
      </c>
      <c r="G289" t="s">
        <v>170</v>
      </c>
      <c r="H289" t="s">
        <v>12</v>
      </c>
      <c r="I289" t="s">
        <v>13</v>
      </c>
    </row>
    <row r="290" spans="1:9" x14ac:dyDescent="0.3">
      <c r="A290" t="s">
        <v>906</v>
      </c>
      <c r="B290" t="s">
        <v>906</v>
      </c>
      <c r="C290" t="s">
        <v>907</v>
      </c>
      <c r="D290">
        <v>45</v>
      </c>
      <c r="E290" t="s">
        <v>9</v>
      </c>
      <c r="F290" t="s">
        <v>908</v>
      </c>
      <c r="G290" t="s">
        <v>166</v>
      </c>
      <c r="H290" t="s">
        <v>12</v>
      </c>
      <c r="I290" t="s">
        <v>13</v>
      </c>
    </row>
    <row r="291" spans="1:9" x14ac:dyDescent="0.3">
      <c r="A291" t="s">
        <v>909</v>
      </c>
      <c r="B291" t="s">
        <v>909</v>
      </c>
      <c r="C291" t="s">
        <v>910</v>
      </c>
      <c r="D291">
        <v>52</v>
      </c>
      <c r="E291" t="s">
        <v>16</v>
      </c>
      <c r="F291" t="s">
        <v>911</v>
      </c>
      <c r="G291" t="s">
        <v>25</v>
      </c>
      <c r="H291" t="s">
        <v>12</v>
      </c>
      <c r="I291" t="s">
        <v>26</v>
      </c>
    </row>
    <row r="292" spans="1:9" x14ac:dyDescent="0.3">
      <c r="A292" t="s">
        <v>912</v>
      </c>
      <c r="B292" t="s">
        <v>912</v>
      </c>
      <c r="C292" t="s">
        <v>3943</v>
      </c>
      <c r="D292">
        <v>40</v>
      </c>
      <c r="E292" t="s">
        <v>16</v>
      </c>
      <c r="F292" t="s">
        <v>913</v>
      </c>
      <c r="G292" t="s">
        <v>284</v>
      </c>
      <c r="H292" t="s">
        <v>12</v>
      </c>
      <c r="I292" t="s">
        <v>31</v>
      </c>
    </row>
    <row r="293" spans="1:9" x14ac:dyDescent="0.3">
      <c r="A293" t="s">
        <v>914</v>
      </c>
      <c r="B293" t="s">
        <v>914</v>
      </c>
      <c r="C293" t="s">
        <v>915</v>
      </c>
      <c r="D293">
        <v>30</v>
      </c>
      <c r="E293" t="s">
        <v>9</v>
      </c>
      <c r="F293" t="s">
        <v>916</v>
      </c>
      <c r="G293" t="s">
        <v>113</v>
      </c>
      <c r="H293" t="s">
        <v>12</v>
      </c>
      <c r="I293" t="s">
        <v>26</v>
      </c>
    </row>
    <row r="294" spans="1:9" x14ac:dyDescent="0.3">
      <c r="A294" t="s">
        <v>917</v>
      </c>
      <c r="B294" t="s">
        <v>917</v>
      </c>
      <c r="C294" t="s">
        <v>918</v>
      </c>
      <c r="D294">
        <v>56</v>
      </c>
      <c r="E294" t="s">
        <v>16</v>
      </c>
      <c r="F294" t="s">
        <v>919</v>
      </c>
      <c r="G294" t="s">
        <v>198</v>
      </c>
      <c r="H294" t="s">
        <v>12</v>
      </c>
      <c r="I294" t="s">
        <v>31</v>
      </c>
    </row>
    <row r="295" spans="1:9" x14ac:dyDescent="0.3">
      <c r="A295" t="s">
        <v>920</v>
      </c>
      <c r="B295" t="s">
        <v>920</v>
      </c>
      <c r="C295" t="s">
        <v>921</v>
      </c>
      <c r="D295">
        <v>29</v>
      </c>
      <c r="E295" t="s">
        <v>9</v>
      </c>
      <c r="F295" t="s">
        <v>922</v>
      </c>
      <c r="G295" t="s">
        <v>323</v>
      </c>
      <c r="H295" t="s">
        <v>12</v>
      </c>
      <c r="I295" t="s">
        <v>19</v>
      </c>
    </row>
    <row r="296" spans="1:9" x14ac:dyDescent="0.3">
      <c r="A296" t="s">
        <v>923</v>
      </c>
      <c r="B296" t="s">
        <v>923</v>
      </c>
      <c r="C296" t="s">
        <v>924</v>
      </c>
      <c r="D296">
        <v>19</v>
      </c>
      <c r="E296" t="s">
        <v>16</v>
      </c>
      <c r="F296" t="s">
        <v>567</v>
      </c>
      <c r="G296" t="s">
        <v>66</v>
      </c>
      <c r="H296" t="s">
        <v>12</v>
      </c>
      <c r="I296" t="s">
        <v>19</v>
      </c>
    </row>
    <row r="297" spans="1:9" x14ac:dyDescent="0.3">
      <c r="A297" t="s">
        <v>925</v>
      </c>
      <c r="B297" t="s">
        <v>925</v>
      </c>
      <c r="C297" t="s">
        <v>926</v>
      </c>
      <c r="D297">
        <v>28</v>
      </c>
      <c r="E297" t="s">
        <v>16</v>
      </c>
      <c r="F297" t="s">
        <v>927</v>
      </c>
      <c r="G297" t="s">
        <v>62</v>
      </c>
      <c r="H297" t="s">
        <v>12</v>
      </c>
      <c r="I297" t="s">
        <v>26</v>
      </c>
    </row>
    <row r="298" spans="1:9" x14ac:dyDescent="0.3">
      <c r="A298" t="s">
        <v>928</v>
      </c>
      <c r="B298" t="s">
        <v>928</v>
      </c>
      <c r="C298" t="s">
        <v>929</v>
      </c>
      <c r="D298">
        <v>47</v>
      </c>
      <c r="E298" t="s">
        <v>16</v>
      </c>
      <c r="F298" t="s">
        <v>294</v>
      </c>
      <c r="G298" t="s">
        <v>43</v>
      </c>
      <c r="H298" t="s">
        <v>12</v>
      </c>
      <c r="I298" t="s">
        <v>26</v>
      </c>
    </row>
    <row r="299" spans="1:9" x14ac:dyDescent="0.3">
      <c r="A299" t="s">
        <v>930</v>
      </c>
      <c r="B299" t="s">
        <v>930</v>
      </c>
      <c r="C299" t="s">
        <v>931</v>
      </c>
      <c r="D299">
        <v>64</v>
      </c>
      <c r="E299" t="s">
        <v>9</v>
      </c>
      <c r="F299" t="s">
        <v>932</v>
      </c>
      <c r="G299" t="s">
        <v>113</v>
      </c>
      <c r="H299" t="s">
        <v>12</v>
      </c>
      <c r="I299" t="s">
        <v>31</v>
      </c>
    </row>
    <row r="300" spans="1:9" x14ac:dyDescent="0.3">
      <c r="A300" t="s">
        <v>933</v>
      </c>
      <c r="B300" t="s">
        <v>933</v>
      </c>
      <c r="C300" t="s">
        <v>934</v>
      </c>
      <c r="D300">
        <v>48</v>
      </c>
      <c r="E300" t="s">
        <v>16</v>
      </c>
      <c r="F300" t="s">
        <v>935</v>
      </c>
      <c r="G300" t="s">
        <v>429</v>
      </c>
      <c r="H300" t="s">
        <v>12</v>
      </c>
      <c r="I300" t="s">
        <v>19</v>
      </c>
    </row>
    <row r="301" spans="1:9" x14ac:dyDescent="0.3">
      <c r="A301" t="s">
        <v>936</v>
      </c>
      <c r="B301" t="s">
        <v>936</v>
      </c>
      <c r="C301" t="s">
        <v>937</v>
      </c>
      <c r="D301">
        <v>29</v>
      </c>
      <c r="E301" t="s">
        <v>9</v>
      </c>
      <c r="F301" t="s">
        <v>938</v>
      </c>
      <c r="G301" t="s">
        <v>323</v>
      </c>
      <c r="H301" t="s">
        <v>12</v>
      </c>
      <c r="I301" t="s">
        <v>19</v>
      </c>
    </row>
    <row r="302" spans="1:9" x14ac:dyDescent="0.3">
      <c r="A302" t="s">
        <v>939</v>
      </c>
      <c r="B302" t="s">
        <v>939</v>
      </c>
      <c r="C302" t="s">
        <v>940</v>
      </c>
      <c r="D302">
        <v>50</v>
      </c>
      <c r="E302" t="s">
        <v>9</v>
      </c>
      <c r="F302" t="s">
        <v>941</v>
      </c>
      <c r="G302" t="s">
        <v>35</v>
      </c>
      <c r="H302" t="s">
        <v>12</v>
      </c>
      <c r="I302" t="s">
        <v>31</v>
      </c>
    </row>
    <row r="303" spans="1:9" x14ac:dyDescent="0.3">
      <c r="A303" t="s">
        <v>942</v>
      </c>
      <c r="B303" t="s">
        <v>942</v>
      </c>
      <c r="C303" t="s">
        <v>943</v>
      </c>
      <c r="D303">
        <v>36</v>
      </c>
      <c r="E303" t="s">
        <v>9</v>
      </c>
      <c r="F303" t="s">
        <v>944</v>
      </c>
      <c r="G303" t="s">
        <v>284</v>
      </c>
      <c r="H303" t="s">
        <v>12</v>
      </c>
      <c r="I303" t="s">
        <v>13</v>
      </c>
    </row>
    <row r="304" spans="1:9" x14ac:dyDescent="0.3">
      <c r="A304" t="s">
        <v>945</v>
      </c>
      <c r="B304" t="s">
        <v>945</v>
      </c>
      <c r="C304" t="s">
        <v>946</v>
      </c>
      <c r="D304">
        <v>23</v>
      </c>
      <c r="E304" t="s">
        <v>16</v>
      </c>
      <c r="F304" t="s">
        <v>947</v>
      </c>
      <c r="G304" t="s">
        <v>133</v>
      </c>
      <c r="H304" t="s">
        <v>12</v>
      </c>
      <c r="I304" t="s">
        <v>13</v>
      </c>
    </row>
    <row r="305" spans="1:9" x14ac:dyDescent="0.3">
      <c r="A305" t="s">
        <v>948</v>
      </c>
      <c r="B305" t="s">
        <v>948</v>
      </c>
      <c r="C305" t="s">
        <v>949</v>
      </c>
      <c r="D305">
        <v>41</v>
      </c>
      <c r="E305" t="s">
        <v>9</v>
      </c>
      <c r="F305" t="s">
        <v>950</v>
      </c>
      <c r="G305" t="s">
        <v>92</v>
      </c>
      <c r="H305" t="s">
        <v>12</v>
      </c>
      <c r="I305" t="s">
        <v>19</v>
      </c>
    </row>
    <row r="306" spans="1:9" x14ac:dyDescent="0.3">
      <c r="A306" t="s">
        <v>951</v>
      </c>
      <c r="B306" t="s">
        <v>951</v>
      </c>
      <c r="C306" t="s">
        <v>3944</v>
      </c>
      <c r="D306">
        <v>64</v>
      </c>
      <c r="E306" t="s">
        <v>9</v>
      </c>
      <c r="F306" t="s">
        <v>952</v>
      </c>
      <c r="G306" t="s">
        <v>62</v>
      </c>
      <c r="H306" t="s">
        <v>12</v>
      </c>
      <c r="I306" t="s">
        <v>31</v>
      </c>
    </row>
    <row r="307" spans="1:9" x14ac:dyDescent="0.3">
      <c r="A307" t="s">
        <v>953</v>
      </c>
      <c r="B307" t="s">
        <v>953</v>
      </c>
      <c r="C307" t="s">
        <v>954</v>
      </c>
      <c r="D307">
        <v>44</v>
      </c>
      <c r="E307" t="s">
        <v>9</v>
      </c>
      <c r="F307" t="s">
        <v>955</v>
      </c>
      <c r="G307" t="s">
        <v>74</v>
      </c>
      <c r="H307" t="s">
        <v>12</v>
      </c>
      <c r="I307" t="s">
        <v>19</v>
      </c>
    </row>
    <row r="308" spans="1:9" x14ac:dyDescent="0.3">
      <c r="A308" t="s">
        <v>956</v>
      </c>
      <c r="B308" t="s">
        <v>956</v>
      </c>
      <c r="C308" t="s">
        <v>957</v>
      </c>
      <c r="D308">
        <v>56</v>
      </c>
      <c r="E308" t="s">
        <v>16</v>
      </c>
      <c r="F308" t="s">
        <v>958</v>
      </c>
      <c r="G308" t="s">
        <v>234</v>
      </c>
      <c r="H308" t="s">
        <v>12</v>
      </c>
      <c r="I308" t="s">
        <v>19</v>
      </c>
    </row>
    <row r="309" spans="1:9" x14ac:dyDescent="0.3">
      <c r="A309" t="s">
        <v>959</v>
      </c>
      <c r="B309" t="s">
        <v>959</v>
      </c>
      <c r="C309" t="s">
        <v>960</v>
      </c>
      <c r="D309">
        <v>60</v>
      </c>
      <c r="E309" t="s">
        <v>16</v>
      </c>
      <c r="F309" t="s">
        <v>961</v>
      </c>
      <c r="G309" t="s">
        <v>22</v>
      </c>
      <c r="H309" t="s">
        <v>12</v>
      </c>
      <c r="I309" t="s">
        <v>26</v>
      </c>
    </row>
    <row r="310" spans="1:9" x14ac:dyDescent="0.3">
      <c r="A310" t="s">
        <v>962</v>
      </c>
      <c r="B310" t="s">
        <v>962</v>
      </c>
      <c r="C310" t="s">
        <v>963</v>
      </c>
      <c r="D310">
        <v>41</v>
      </c>
      <c r="E310" t="s">
        <v>16</v>
      </c>
      <c r="F310" t="s">
        <v>964</v>
      </c>
      <c r="G310" t="s">
        <v>264</v>
      </c>
      <c r="H310" t="s">
        <v>12</v>
      </c>
      <c r="I310" t="s">
        <v>13</v>
      </c>
    </row>
    <row r="311" spans="1:9" x14ac:dyDescent="0.3">
      <c r="A311" t="s">
        <v>965</v>
      </c>
      <c r="B311" t="s">
        <v>965</v>
      </c>
      <c r="C311" t="s">
        <v>966</v>
      </c>
      <c r="D311">
        <v>20</v>
      </c>
      <c r="E311" t="s">
        <v>9</v>
      </c>
      <c r="F311" t="s">
        <v>967</v>
      </c>
      <c r="G311" t="s">
        <v>30</v>
      </c>
      <c r="H311" t="s">
        <v>12</v>
      </c>
      <c r="I311" t="s">
        <v>26</v>
      </c>
    </row>
    <row r="312" spans="1:9" x14ac:dyDescent="0.3">
      <c r="A312" t="s">
        <v>968</v>
      </c>
      <c r="B312" t="s">
        <v>968</v>
      </c>
      <c r="C312" t="s">
        <v>969</v>
      </c>
      <c r="D312">
        <v>35</v>
      </c>
      <c r="E312" t="s">
        <v>9</v>
      </c>
      <c r="F312" t="s">
        <v>970</v>
      </c>
      <c r="G312" t="s">
        <v>170</v>
      </c>
      <c r="H312" t="s">
        <v>12</v>
      </c>
      <c r="I312" t="s">
        <v>31</v>
      </c>
    </row>
    <row r="313" spans="1:9" x14ac:dyDescent="0.3">
      <c r="A313" t="s">
        <v>971</v>
      </c>
      <c r="B313" t="s">
        <v>971</v>
      </c>
      <c r="C313" t="s">
        <v>972</v>
      </c>
      <c r="D313">
        <v>47</v>
      </c>
      <c r="E313" t="s">
        <v>16</v>
      </c>
      <c r="F313" t="s">
        <v>973</v>
      </c>
      <c r="G313" t="s">
        <v>35</v>
      </c>
      <c r="H313" t="s">
        <v>12</v>
      </c>
      <c r="I313" t="s">
        <v>19</v>
      </c>
    </row>
    <row r="314" spans="1:9" x14ac:dyDescent="0.3">
      <c r="A314" t="s">
        <v>974</v>
      </c>
      <c r="B314" t="s">
        <v>974</v>
      </c>
      <c r="C314" t="s">
        <v>975</v>
      </c>
      <c r="D314">
        <v>62</v>
      </c>
      <c r="E314" t="s">
        <v>9</v>
      </c>
      <c r="F314" t="s">
        <v>976</v>
      </c>
      <c r="G314" t="s">
        <v>92</v>
      </c>
      <c r="H314" t="s">
        <v>12</v>
      </c>
      <c r="I314" t="s">
        <v>31</v>
      </c>
    </row>
    <row r="315" spans="1:9" x14ac:dyDescent="0.3">
      <c r="A315" t="s">
        <v>977</v>
      </c>
      <c r="B315" t="s">
        <v>977</v>
      </c>
      <c r="C315" t="s">
        <v>978</v>
      </c>
      <c r="D315">
        <v>53</v>
      </c>
      <c r="E315" t="s">
        <v>16</v>
      </c>
      <c r="F315" t="s">
        <v>979</v>
      </c>
      <c r="G315" t="s">
        <v>139</v>
      </c>
      <c r="H315" t="s">
        <v>12</v>
      </c>
      <c r="I315" t="s">
        <v>19</v>
      </c>
    </row>
    <row r="316" spans="1:9" x14ac:dyDescent="0.3">
      <c r="A316" t="s">
        <v>980</v>
      </c>
      <c r="B316" t="s">
        <v>980</v>
      </c>
      <c r="C316" t="s">
        <v>981</v>
      </c>
      <c r="D316">
        <v>49</v>
      </c>
      <c r="E316" t="s">
        <v>9</v>
      </c>
      <c r="F316" t="s">
        <v>982</v>
      </c>
      <c r="G316" t="s">
        <v>74</v>
      </c>
      <c r="H316" t="s">
        <v>12</v>
      </c>
      <c r="I316" t="s">
        <v>31</v>
      </c>
    </row>
    <row r="317" spans="1:9" x14ac:dyDescent="0.3">
      <c r="A317" t="s">
        <v>983</v>
      </c>
      <c r="B317" t="s">
        <v>983</v>
      </c>
      <c r="C317" t="s">
        <v>984</v>
      </c>
      <c r="D317">
        <v>34</v>
      </c>
      <c r="E317" t="s">
        <v>9</v>
      </c>
      <c r="F317" t="s">
        <v>985</v>
      </c>
      <c r="G317" t="s">
        <v>709</v>
      </c>
      <c r="H317" t="s">
        <v>12</v>
      </c>
      <c r="I317" t="s">
        <v>31</v>
      </c>
    </row>
    <row r="318" spans="1:9" x14ac:dyDescent="0.3">
      <c r="A318" t="s">
        <v>986</v>
      </c>
      <c r="B318" t="s">
        <v>986</v>
      </c>
      <c r="C318" t="s">
        <v>987</v>
      </c>
      <c r="D318">
        <v>64</v>
      </c>
      <c r="E318" t="s">
        <v>16</v>
      </c>
      <c r="F318" t="s">
        <v>988</v>
      </c>
      <c r="G318" t="s">
        <v>139</v>
      </c>
      <c r="H318" t="s">
        <v>12</v>
      </c>
      <c r="I318" t="s">
        <v>13</v>
      </c>
    </row>
    <row r="319" spans="1:9" x14ac:dyDescent="0.3">
      <c r="A319" t="s">
        <v>989</v>
      </c>
      <c r="B319" t="s">
        <v>989</v>
      </c>
      <c r="C319" t="s">
        <v>990</v>
      </c>
      <c r="D319">
        <v>25</v>
      </c>
      <c r="E319" t="s">
        <v>9</v>
      </c>
      <c r="F319" t="s">
        <v>991</v>
      </c>
      <c r="G319" t="s">
        <v>47</v>
      </c>
      <c r="H319" t="s">
        <v>12</v>
      </c>
      <c r="I319" t="s">
        <v>13</v>
      </c>
    </row>
    <row r="320" spans="1:9" x14ac:dyDescent="0.3">
      <c r="A320" t="s">
        <v>992</v>
      </c>
      <c r="B320" t="s">
        <v>992</v>
      </c>
      <c r="C320" t="s">
        <v>993</v>
      </c>
      <c r="D320">
        <v>54</v>
      </c>
      <c r="E320" t="s">
        <v>9</v>
      </c>
      <c r="F320" t="s">
        <v>994</v>
      </c>
      <c r="G320" t="s">
        <v>62</v>
      </c>
      <c r="H320" t="s">
        <v>12</v>
      </c>
      <c r="I320" t="s">
        <v>19</v>
      </c>
    </row>
    <row r="321" spans="1:9" x14ac:dyDescent="0.3">
      <c r="A321" t="s">
        <v>995</v>
      </c>
      <c r="B321" t="s">
        <v>995</v>
      </c>
      <c r="C321" t="s">
        <v>996</v>
      </c>
      <c r="D321">
        <v>34</v>
      </c>
      <c r="E321" t="s">
        <v>16</v>
      </c>
      <c r="F321" t="s">
        <v>997</v>
      </c>
      <c r="G321" t="s">
        <v>309</v>
      </c>
      <c r="H321" t="s">
        <v>12</v>
      </c>
      <c r="I321" t="s">
        <v>19</v>
      </c>
    </row>
    <row r="322" spans="1:9" x14ac:dyDescent="0.3">
      <c r="A322" t="s">
        <v>998</v>
      </c>
      <c r="B322" t="s">
        <v>998</v>
      </c>
      <c r="C322" t="s">
        <v>999</v>
      </c>
      <c r="D322">
        <v>21</v>
      </c>
      <c r="E322" t="s">
        <v>16</v>
      </c>
      <c r="F322" t="s">
        <v>1000</v>
      </c>
      <c r="G322" t="s">
        <v>264</v>
      </c>
      <c r="H322" t="s">
        <v>12</v>
      </c>
      <c r="I322" t="s">
        <v>26</v>
      </c>
    </row>
    <row r="323" spans="1:9" x14ac:dyDescent="0.3">
      <c r="A323" t="s">
        <v>1001</v>
      </c>
      <c r="B323" t="s">
        <v>1001</v>
      </c>
      <c r="C323" t="s">
        <v>1002</v>
      </c>
      <c r="D323">
        <v>54</v>
      </c>
      <c r="E323" t="s">
        <v>9</v>
      </c>
      <c r="F323" t="s">
        <v>1003</v>
      </c>
      <c r="G323" t="s">
        <v>234</v>
      </c>
      <c r="H323" t="s">
        <v>12</v>
      </c>
      <c r="I323" t="s">
        <v>26</v>
      </c>
    </row>
    <row r="324" spans="1:9" x14ac:dyDescent="0.3">
      <c r="A324" t="s">
        <v>1004</v>
      </c>
      <c r="B324" t="s">
        <v>1004</v>
      </c>
      <c r="C324" t="s">
        <v>1005</v>
      </c>
      <c r="D324">
        <v>64</v>
      </c>
      <c r="E324" t="s">
        <v>16</v>
      </c>
      <c r="F324" t="s">
        <v>1006</v>
      </c>
      <c r="G324" t="s">
        <v>838</v>
      </c>
      <c r="H324" t="s">
        <v>12</v>
      </c>
      <c r="I324" t="s">
        <v>26</v>
      </c>
    </row>
    <row r="325" spans="1:9" x14ac:dyDescent="0.3">
      <c r="A325" t="s">
        <v>1007</v>
      </c>
      <c r="B325" t="s">
        <v>1007</v>
      </c>
      <c r="C325" t="s">
        <v>1008</v>
      </c>
      <c r="D325">
        <v>58</v>
      </c>
      <c r="E325" t="s">
        <v>9</v>
      </c>
      <c r="F325" t="s">
        <v>1009</v>
      </c>
      <c r="G325" t="s">
        <v>11</v>
      </c>
      <c r="H325" t="s">
        <v>12</v>
      </c>
      <c r="I325" t="s">
        <v>19</v>
      </c>
    </row>
    <row r="326" spans="1:9" x14ac:dyDescent="0.3">
      <c r="A326" t="s">
        <v>1010</v>
      </c>
      <c r="B326" t="s">
        <v>1010</v>
      </c>
      <c r="C326" t="s">
        <v>3945</v>
      </c>
      <c r="D326">
        <v>60</v>
      </c>
      <c r="E326" t="s">
        <v>9</v>
      </c>
      <c r="F326" t="s">
        <v>1011</v>
      </c>
      <c r="G326" t="s">
        <v>96</v>
      </c>
      <c r="H326" t="s">
        <v>12</v>
      </c>
      <c r="I326" t="s">
        <v>26</v>
      </c>
    </row>
    <row r="327" spans="1:9" x14ac:dyDescent="0.3">
      <c r="A327" t="s">
        <v>1012</v>
      </c>
      <c r="B327" t="s">
        <v>1012</v>
      </c>
      <c r="C327" t="s">
        <v>1013</v>
      </c>
      <c r="D327">
        <v>58</v>
      </c>
      <c r="E327" t="s">
        <v>16</v>
      </c>
      <c r="F327" t="s">
        <v>1014</v>
      </c>
      <c r="G327" t="s">
        <v>319</v>
      </c>
      <c r="H327" t="s">
        <v>12</v>
      </c>
      <c r="I327" t="s">
        <v>26</v>
      </c>
    </row>
    <row r="328" spans="1:9" x14ac:dyDescent="0.3">
      <c r="A328" t="s">
        <v>1015</v>
      </c>
      <c r="B328" t="s">
        <v>1015</v>
      </c>
      <c r="C328" t="s">
        <v>1016</v>
      </c>
      <c r="D328">
        <v>62</v>
      </c>
      <c r="E328" t="s">
        <v>16</v>
      </c>
      <c r="F328" t="s">
        <v>1017</v>
      </c>
      <c r="G328" t="s">
        <v>214</v>
      </c>
      <c r="H328" t="s">
        <v>12</v>
      </c>
      <c r="I328" t="s">
        <v>13</v>
      </c>
    </row>
    <row r="329" spans="1:9" x14ac:dyDescent="0.3">
      <c r="A329" t="s">
        <v>1018</v>
      </c>
      <c r="B329" t="s">
        <v>1018</v>
      </c>
      <c r="C329" t="s">
        <v>1019</v>
      </c>
      <c r="D329">
        <v>46</v>
      </c>
      <c r="E329" t="s">
        <v>9</v>
      </c>
      <c r="F329" t="s">
        <v>1020</v>
      </c>
      <c r="G329" t="s">
        <v>58</v>
      </c>
      <c r="H329" t="s">
        <v>12</v>
      </c>
      <c r="I329" t="s">
        <v>26</v>
      </c>
    </row>
    <row r="330" spans="1:9" x14ac:dyDescent="0.3">
      <c r="A330" t="s">
        <v>1021</v>
      </c>
      <c r="B330" t="s">
        <v>1021</v>
      </c>
      <c r="C330" t="s">
        <v>1022</v>
      </c>
      <c r="D330">
        <v>62</v>
      </c>
      <c r="E330" t="s">
        <v>16</v>
      </c>
      <c r="F330" t="s">
        <v>1023</v>
      </c>
      <c r="G330" t="s">
        <v>198</v>
      </c>
      <c r="H330" t="s">
        <v>12</v>
      </c>
      <c r="I330" t="s">
        <v>19</v>
      </c>
    </row>
    <row r="331" spans="1:9" x14ac:dyDescent="0.3">
      <c r="A331" t="s">
        <v>1024</v>
      </c>
      <c r="B331" t="s">
        <v>1024</v>
      </c>
      <c r="C331" t="s">
        <v>1025</v>
      </c>
      <c r="D331">
        <v>54</v>
      </c>
      <c r="E331" t="s">
        <v>9</v>
      </c>
      <c r="F331" t="s">
        <v>1026</v>
      </c>
      <c r="G331" t="s">
        <v>198</v>
      </c>
      <c r="H331" t="s">
        <v>12</v>
      </c>
      <c r="I331" t="s">
        <v>26</v>
      </c>
    </row>
    <row r="332" spans="1:9" x14ac:dyDescent="0.3">
      <c r="A332" t="s">
        <v>1027</v>
      </c>
      <c r="B332" t="s">
        <v>1027</v>
      </c>
      <c r="C332" t="s">
        <v>1028</v>
      </c>
      <c r="D332">
        <v>38</v>
      </c>
      <c r="E332" t="s">
        <v>16</v>
      </c>
      <c r="F332" t="s">
        <v>1029</v>
      </c>
      <c r="G332" t="s">
        <v>191</v>
      </c>
      <c r="H332" t="s">
        <v>12</v>
      </c>
      <c r="I332" t="s">
        <v>19</v>
      </c>
    </row>
    <row r="333" spans="1:9" x14ac:dyDescent="0.3">
      <c r="A333" t="s">
        <v>1030</v>
      </c>
      <c r="B333" t="s">
        <v>1030</v>
      </c>
      <c r="C333" t="s">
        <v>1031</v>
      </c>
      <c r="D333">
        <v>34</v>
      </c>
      <c r="E333" t="s">
        <v>16</v>
      </c>
      <c r="F333" t="s">
        <v>1032</v>
      </c>
      <c r="G333" t="s">
        <v>66</v>
      </c>
      <c r="H333" t="s">
        <v>12</v>
      </c>
      <c r="I333" t="s">
        <v>26</v>
      </c>
    </row>
    <row r="334" spans="1:9" x14ac:dyDescent="0.3">
      <c r="A334" t="s">
        <v>1033</v>
      </c>
      <c r="B334" t="s">
        <v>1033</v>
      </c>
      <c r="C334" t="s">
        <v>1034</v>
      </c>
      <c r="D334">
        <v>64</v>
      </c>
      <c r="E334" t="s">
        <v>16</v>
      </c>
      <c r="F334" t="s">
        <v>1035</v>
      </c>
      <c r="G334" t="s">
        <v>99</v>
      </c>
      <c r="H334" t="s">
        <v>12</v>
      </c>
      <c r="I334" t="s">
        <v>26</v>
      </c>
    </row>
    <row r="335" spans="1:9" x14ac:dyDescent="0.3">
      <c r="A335" t="s">
        <v>1036</v>
      </c>
      <c r="B335" t="s">
        <v>1036</v>
      </c>
      <c r="C335" t="s">
        <v>1037</v>
      </c>
      <c r="D335">
        <v>50</v>
      </c>
      <c r="E335" t="s">
        <v>16</v>
      </c>
      <c r="F335" t="s">
        <v>1038</v>
      </c>
      <c r="G335" t="s">
        <v>81</v>
      </c>
      <c r="H335" t="s">
        <v>12</v>
      </c>
      <c r="I335" t="s">
        <v>13</v>
      </c>
    </row>
    <row r="336" spans="1:9" x14ac:dyDescent="0.3">
      <c r="A336" t="s">
        <v>1039</v>
      </c>
      <c r="B336" t="s">
        <v>1039</v>
      </c>
      <c r="C336" t="s">
        <v>1040</v>
      </c>
      <c r="D336">
        <v>37</v>
      </c>
      <c r="E336" t="s">
        <v>9</v>
      </c>
      <c r="F336" t="s">
        <v>1041</v>
      </c>
      <c r="G336" t="s">
        <v>166</v>
      </c>
      <c r="H336" t="s">
        <v>12</v>
      </c>
      <c r="I336" t="s">
        <v>31</v>
      </c>
    </row>
    <row r="337" spans="1:9" x14ac:dyDescent="0.3">
      <c r="A337" t="s">
        <v>1042</v>
      </c>
      <c r="B337" t="s">
        <v>1042</v>
      </c>
      <c r="C337" t="s">
        <v>1043</v>
      </c>
      <c r="D337">
        <v>58</v>
      </c>
      <c r="E337" t="s">
        <v>16</v>
      </c>
      <c r="F337" t="s">
        <v>1044</v>
      </c>
      <c r="G337" t="s">
        <v>11</v>
      </c>
      <c r="H337" t="s">
        <v>12</v>
      </c>
      <c r="I337" t="s">
        <v>19</v>
      </c>
    </row>
    <row r="338" spans="1:9" x14ac:dyDescent="0.3">
      <c r="A338" t="s">
        <v>1045</v>
      </c>
      <c r="B338" t="s">
        <v>1045</v>
      </c>
      <c r="C338" t="s">
        <v>1046</v>
      </c>
      <c r="D338">
        <v>40</v>
      </c>
      <c r="E338" t="s">
        <v>16</v>
      </c>
      <c r="F338" t="s">
        <v>1047</v>
      </c>
      <c r="G338" t="s">
        <v>35</v>
      </c>
      <c r="H338" t="s">
        <v>12</v>
      </c>
      <c r="I338" t="s">
        <v>31</v>
      </c>
    </row>
    <row r="339" spans="1:9" x14ac:dyDescent="0.3">
      <c r="A339" t="s">
        <v>1048</v>
      </c>
      <c r="B339" t="s">
        <v>1048</v>
      </c>
      <c r="C339" t="s">
        <v>1049</v>
      </c>
      <c r="D339">
        <v>46</v>
      </c>
      <c r="E339" t="s">
        <v>16</v>
      </c>
      <c r="F339" t="s">
        <v>1050</v>
      </c>
      <c r="G339" t="s">
        <v>11</v>
      </c>
      <c r="H339" t="s">
        <v>12</v>
      </c>
      <c r="I339" t="s">
        <v>26</v>
      </c>
    </row>
    <row r="340" spans="1:9" x14ac:dyDescent="0.3">
      <c r="A340" t="s">
        <v>1051</v>
      </c>
      <c r="B340" t="s">
        <v>1051</v>
      </c>
      <c r="C340" t="s">
        <v>1052</v>
      </c>
      <c r="D340">
        <v>52</v>
      </c>
      <c r="E340" t="s">
        <v>16</v>
      </c>
      <c r="F340" t="s">
        <v>1053</v>
      </c>
      <c r="G340" t="s">
        <v>166</v>
      </c>
      <c r="H340" t="s">
        <v>12</v>
      </c>
      <c r="I340" t="s">
        <v>31</v>
      </c>
    </row>
    <row r="341" spans="1:9" x14ac:dyDescent="0.3">
      <c r="A341" t="s">
        <v>1054</v>
      </c>
      <c r="B341" t="s">
        <v>1054</v>
      </c>
      <c r="C341" t="s">
        <v>1055</v>
      </c>
      <c r="D341">
        <v>27</v>
      </c>
      <c r="E341" t="s">
        <v>9</v>
      </c>
      <c r="F341" t="s">
        <v>1056</v>
      </c>
      <c r="G341" t="s">
        <v>133</v>
      </c>
      <c r="H341" t="s">
        <v>12</v>
      </c>
      <c r="I341" t="s">
        <v>19</v>
      </c>
    </row>
    <row r="342" spans="1:9" x14ac:dyDescent="0.3">
      <c r="A342" t="s">
        <v>1057</v>
      </c>
      <c r="B342" t="s">
        <v>1057</v>
      </c>
      <c r="C342" t="s">
        <v>1058</v>
      </c>
      <c r="D342">
        <v>56</v>
      </c>
      <c r="E342" t="s">
        <v>16</v>
      </c>
      <c r="F342" t="s">
        <v>1059</v>
      </c>
      <c r="G342" t="s">
        <v>271</v>
      </c>
      <c r="H342" t="s">
        <v>12</v>
      </c>
      <c r="I342" t="s">
        <v>26</v>
      </c>
    </row>
    <row r="343" spans="1:9" x14ac:dyDescent="0.3">
      <c r="A343" t="s">
        <v>1060</v>
      </c>
      <c r="B343" t="s">
        <v>1060</v>
      </c>
      <c r="C343" t="s">
        <v>1061</v>
      </c>
      <c r="D343">
        <v>30</v>
      </c>
      <c r="E343" t="s">
        <v>16</v>
      </c>
      <c r="F343" t="s">
        <v>1062</v>
      </c>
      <c r="G343" t="s">
        <v>191</v>
      </c>
      <c r="H343" t="s">
        <v>12</v>
      </c>
      <c r="I343" t="s">
        <v>26</v>
      </c>
    </row>
    <row r="344" spans="1:9" x14ac:dyDescent="0.3">
      <c r="A344" t="s">
        <v>1063</v>
      </c>
      <c r="B344" t="s">
        <v>1063</v>
      </c>
      <c r="C344" t="s">
        <v>1064</v>
      </c>
      <c r="D344">
        <v>38</v>
      </c>
      <c r="E344" t="s">
        <v>9</v>
      </c>
      <c r="F344" t="s">
        <v>1065</v>
      </c>
      <c r="G344" t="s">
        <v>166</v>
      </c>
      <c r="H344" t="s">
        <v>12</v>
      </c>
      <c r="I344" t="s">
        <v>26</v>
      </c>
    </row>
    <row r="345" spans="1:9" x14ac:dyDescent="0.3">
      <c r="A345" t="s">
        <v>1066</v>
      </c>
      <c r="B345" t="s">
        <v>1066</v>
      </c>
      <c r="C345" t="s">
        <v>1067</v>
      </c>
      <c r="D345">
        <v>39</v>
      </c>
      <c r="E345" t="s">
        <v>9</v>
      </c>
      <c r="F345" t="s">
        <v>1068</v>
      </c>
      <c r="G345" t="s">
        <v>284</v>
      </c>
      <c r="H345" t="s">
        <v>12</v>
      </c>
      <c r="I345" t="s">
        <v>26</v>
      </c>
    </row>
    <row r="346" spans="1:9" x14ac:dyDescent="0.3">
      <c r="A346" t="s">
        <v>1069</v>
      </c>
      <c r="B346" t="s">
        <v>1069</v>
      </c>
      <c r="C346" t="s">
        <v>1070</v>
      </c>
      <c r="D346">
        <v>33</v>
      </c>
      <c r="E346" t="s">
        <v>9</v>
      </c>
      <c r="F346" t="s">
        <v>1071</v>
      </c>
      <c r="G346" t="s">
        <v>230</v>
      </c>
      <c r="H346" t="s">
        <v>12</v>
      </c>
      <c r="I346" t="s">
        <v>13</v>
      </c>
    </row>
    <row r="347" spans="1:9" x14ac:dyDescent="0.3">
      <c r="A347" t="s">
        <v>1072</v>
      </c>
      <c r="B347" t="s">
        <v>1072</v>
      </c>
      <c r="C347" t="s">
        <v>1073</v>
      </c>
      <c r="D347">
        <v>58</v>
      </c>
      <c r="E347" t="s">
        <v>16</v>
      </c>
      <c r="F347" t="s">
        <v>1074</v>
      </c>
      <c r="G347" t="s">
        <v>96</v>
      </c>
      <c r="H347" t="s">
        <v>12</v>
      </c>
      <c r="I347" t="s">
        <v>26</v>
      </c>
    </row>
    <row r="348" spans="1:9" x14ac:dyDescent="0.3">
      <c r="A348" t="s">
        <v>1075</v>
      </c>
      <c r="B348" t="s">
        <v>1075</v>
      </c>
      <c r="C348" t="s">
        <v>1076</v>
      </c>
      <c r="D348">
        <v>39</v>
      </c>
      <c r="E348" t="s">
        <v>16</v>
      </c>
      <c r="F348" t="s">
        <v>1077</v>
      </c>
      <c r="G348" t="s">
        <v>234</v>
      </c>
      <c r="H348" t="s">
        <v>12</v>
      </c>
      <c r="I348" t="s">
        <v>19</v>
      </c>
    </row>
    <row r="349" spans="1:9" x14ac:dyDescent="0.3">
      <c r="A349" t="s">
        <v>1078</v>
      </c>
      <c r="B349" t="s">
        <v>1078</v>
      </c>
      <c r="C349" t="s">
        <v>3946</v>
      </c>
      <c r="D349">
        <v>55</v>
      </c>
      <c r="E349" t="s">
        <v>9</v>
      </c>
      <c r="F349" t="s">
        <v>1079</v>
      </c>
      <c r="G349" t="s">
        <v>166</v>
      </c>
      <c r="H349" t="s">
        <v>12</v>
      </c>
      <c r="I349" t="s">
        <v>13</v>
      </c>
    </row>
    <row r="350" spans="1:9" x14ac:dyDescent="0.3">
      <c r="A350" t="s">
        <v>1080</v>
      </c>
      <c r="B350" t="s">
        <v>1080</v>
      </c>
      <c r="C350" t="s">
        <v>1081</v>
      </c>
      <c r="D350">
        <v>31</v>
      </c>
      <c r="E350" t="s">
        <v>9</v>
      </c>
      <c r="F350" t="s">
        <v>1082</v>
      </c>
      <c r="G350" t="s">
        <v>51</v>
      </c>
      <c r="H350" t="s">
        <v>12</v>
      </c>
      <c r="I350" t="s">
        <v>31</v>
      </c>
    </row>
    <row r="351" spans="1:9" x14ac:dyDescent="0.3">
      <c r="A351" t="s">
        <v>1083</v>
      </c>
      <c r="B351" t="s">
        <v>1083</v>
      </c>
      <c r="C351" t="s">
        <v>1084</v>
      </c>
      <c r="D351">
        <v>26</v>
      </c>
      <c r="E351" t="s">
        <v>9</v>
      </c>
      <c r="F351" t="s">
        <v>1085</v>
      </c>
      <c r="G351" t="s">
        <v>162</v>
      </c>
      <c r="H351" t="s">
        <v>12</v>
      </c>
      <c r="I351" t="s">
        <v>26</v>
      </c>
    </row>
    <row r="352" spans="1:9" x14ac:dyDescent="0.3">
      <c r="A352" t="s">
        <v>1086</v>
      </c>
      <c r="B352" t="s">
        <v>1086</v>
      </c>
      <c r="C352" t="s">
        <v>1087</v>
      </c>
      <c r="D352">
        <v>25</v>
      </c>
      <c r="E352" t="s">
        <v>16</v>
      </c>
      <c r="F352" t="s">
        <v>1088</v>
      </c>
      <c r="G352" t="s">
        <v>264</v>
      </c>
      <c r="H352" t="s">
        <v>12</v>
      </c>
      <c r="I352" t="s">
        <v>31</v>
      </c>
    </row>
    <row r="353" spans="1:9" x14ac:dyDescent="0.3">
      <c r="A353" t="s">
        <v>1089</v>
      </c>
      <c r="B353" t="s">
        <v>1089</v>
      </c>
      <c r="C353" t="s">
        <v>1090</v>
      </c>
      <c r="D353">
        <v>52</v>
      </c>
      <c r="E353" t="s">
        <v>16</v>
      </c>
      <c r="F353" t="s">
        <v>1091</v>
      </c>
      <c r="G353" t="s">
        <v>70</v>
      </c>
      <c r="H353" t="s">
        <v>12</v>
      </c>
      <c r="I353" t="s">
        <v>26</v>
      </c>
    </row>
    <row r="354" spans="1:9" x14ac:dyDescent="0.3">
      <c r="A354" t="s">
        <v>1092</v>
      </c>
      <c r="B354" t="s">
        <v>1092</v>
      </c>
      <c r="C354" t="s">
        <v>1093</v>
      </c>
      <c r="D354">
        <v>56</v>
      </c>
      <c r="E354" t="s">
        <v>16</v>
      </c>
      <c r="F354" t="s">
        <v>1094</v>
      </c>
      <c r="G354" t="s">
        <v>319</v>
      </c>
      <c r="H354" t="s">
        <v>12</v>
      </c>
      <c r="I354" t="s">
        <v>31</v>
      </c>
    </row>
    <row r="355" spans="1:9" x14ac:dyDescent="0.3">
      <c r="A355" t="s">
        <v>1095</v>
      </c>
      <c r="B355" t="s">
        <v>1095</v>
      </c>
      <c r="C355" t="s">
        <v>3954</v>
      </c>
      <c r="D355">
        <v>38</v>
      </c>
      <c r="E355" t="s">
        <v>9</v>
      </c>
      <c r="F355" t="s">
        <v>1096</v>
      </c>
      <c r="G355" t="s">
        <v>35</v>
      </c>
      <c r="H355" t="s">
        <v>12</v>
      </c>
      <c r="I355" t="s">
        <v>19</v>
      </c>
    </row>
    <row r="356" spans="1:9" x14ac:dyDescent="0.3">
      <c r="A356" t="s">
        <v>1097</v>
      </c>
      <c r="B356" t="s">
        <v>1097</v>
      </c>
      <c r="C356" t="s">
        <v>1098</v>
      </c>
      <c r="D356">
        <v>20</v>
      </c>
      <c r="E356" t="s">
        <v>9</v>
      </c>
      <c r="F356" t="s">
        <v>1099</v>
      </c>
      <c r="G356" t="s">
        <v>166</v>
      </c>
      <c r="H356" t="s">
        <v>12</v>
      </c>
      <c r="I356" t="s">
        <v>31</v>
      </c>
    </row>
    <row r="357" spans="1:9" x14ac:dyDescent="0.3">
      <c r="A357" t="s">
        <v>1100</v>
      </c>
      <c r="B357" t="s">
        <v>1100</v>
      </c>
      <c r="C357" t="s">
        <v>1101</v>
      </c>
      <c r="D357">
        <v>54</v>
      </c>
      <c r="E357" t="s">
        <v>9</v>
      </c>
      <c r="F357" t="s">
        <v>1102</v>
      </c>
      <c r="G357" t="s">
        <v>74</v>
      </c>
      <c r="H357" t="s">
        <v>12</v>
      </c>
      <c r="I357" t="s">
        <v>13</v>
      </c>
    </row>
    <row r="358" spans="1:9" x14ac:dyDescent="0.3">
      <c r="A358" t="s">
        <v>1103</v>
      </c>
      <c r="B358" t="s">
        <v>1103</v>
      </c>
      <c r="C358" t="s">
        <v>1104</v>
      </c>
      <c r="D358">
        <v>41</v>
      </c>
      <c r="E358" t="s">
        <v>9</v>
      </c>
      <c r="F358" t="s">
        <v>1105</v>
      </c>
      <c r="G358" t="s">
        <v>284</v>
      </c>
      <c r="H358" t="s">
        <v>12</v>
      </c>
      <c r="I358" t="s">
        <v>26</v>
      </c>
    </row>
    <row r="359" spans="1:9" x14ac:dyDescent="0.3">
      <c r="A359" t="s">
        <v>1106</v>
      </c>
      <c r="B359" t="s">
        <v>1106</v>
      </c>
      <c r="C359" t="s">
        <v>1107</v>
      </c>
      <c r="D359">
        <v>60</v>
      </c>
      <c r="E359" t="s">
        <v>16</v>
      </c>
      <c r="F359" t="s">
        <v>1108</v>
      </c>
      <c r="G359" t="s">
        <v>234</v>
      </c>
      <c r="H359" t="s">
        <v>12</v>
      </c>
      <c r="I359" t="s">
        <v>13</v>
      </c>
    </row>
    <row r="360" spans="1:9" x14ac:dyDescent="0.3">
      <c r="A360" t="s">
        <v>1109</v>
      </c>
      <c r="B360" t="s">
        <v>1109</v>
      </c>
      <c r="C360" t="s">
        <v>1110</v>
      </c>
      <c r="D360">
        <v>32</v>
      </c>
      <c r="E360" t="s">
        <v>9</v>
      </c>
      <c r="F360" t="s">
        <v>1111</v>
      </c>
      <c r="G360" t="s">
        <v>309</v>
      </c>
      <c r="H360" t="s">
        <v>12</v>
      </c>
      <c r="I360" t="s">
        <v>13</v>
      </c>
    </row>
    <row r="361" spans="1:9" x14ac:dyDescent="0.3">
      <c r="A361" t="s">
        <v>1112</v>
      </c>
      <c r="B361" t="s">
        <v>1112</v>
      </c>
      <c r="C361" t="s">
        <v>1113</v>
      </c>
      <c r="D361">
        <v>34</v>
      </c>
      <c r="E361" t="s">
        <v>9</v>
      </c>
      <c r="F361" t="s">
        <v>1114</v>
      </c>
      <c r="G361" t="s">
        <v>62</v>
      </c>
      <c r="H361" t="s">
        <v>12</v>
      </c>
      <c r="I361" t="s">
        <v>31</v>
      </c>
    </row>
    <row r="362" spans="1:9" x14ac:dyDescent="0.3">
      <c r="A362" t="s">
        <v>1115</v>
      </c>
      <c r="B362" t="s">
        <v>1115</v>
      </c>
      <c r="C362" t="s">
        <v>1116</v>
      </c>
      <c r="D362">
        <v>64</v>
      </c>
      <c r="E362" t="s">
        <v>9</v>
      </c>
      <c r="F362" t="s">
        <v>1117</v>
      </c>
      <c r="G362" t="s">
        <v>288</v>
      </c>
      <c r="H362" t="s">
        <v>12</v>
      </c>
      <c r="I362" t="s">
        <v>19</v>
      </c>
    </row>
    <row r="363" spans="1:9" x14ac:dyDescent="0.3">
      <c r="A363" t="s">
        <v>1118</v>
      </c>
      <c r="B363" t="s">
        <v>1118</v>
      </c>
      <c r="C363" t="s">
        <v>1119</v>
      </c>
      <c r="D363">
        <v>60</v>
      </c>
      <c r="E363" t="s">
        <v>9</v>
      </c>
      <c r="F363" t="s">
        <v>1120</v>
      </c>
      <c r="G363" t="s">
        <v>251</v>
      </c>
      <c r="H363" t="s">
        <v>12</v>
      </c>
      <c r="I363" t="s">
        <v>19</v>
      </c>
    </row>
    <row r="364" spans="1:9" x14ac:dyDescent="0.3">
      <c r="A364" t="s">
        <v>1121</v>
      </c>
      <c r="B364" t="s">
        <v>1121</v>
      </c>
      <c r="C364" t="s">
        <v>3947</v>
      </c>
      <c r="D364">
        <v>23</v>
      </c>
      <c r="E364" t="s">
        <v>9</v>
      </c>
      <c r="F364" t="s">
        <v>1122</v>
      </c>
      <c r="G364" t="s">
        <v>162</v>
      </c>
      <c r="H364" t="s">
        <v>12</v>
      </c>
      <c r="I364" t="s">
        <v>13</v>
      </c>
    </row>
    <row r="365" spans="1:9" x14ac:dyDescent="0.3">
      <c r="A365" t="s">
        <v>1123</v>
      </c>
      <c r="B365" t="s">
        <v>1123</v>
      </c>
      <c r="C365" t="s">
        <v>1124</v>
      </c>
      <c r="D365">
        <v>58</v>
      </c>
      <c r="E365" t="s">
        <v>9</v>
      </c>
      <c r="F365" t="s">
        <v>1125</v>
      </c>
      <c r="G365" t="s">
        <v>25</v>
      </c>
      <c r="H365" t="s">
        <v>12</v>
      </c>
      <c r="I365" t="s">
        <v>26</v>
      </c>
    </row>
    <row r="366" spans="1:9" x14ac:dyDescent="0.3">
      <c r="A366" t="s">
        <v>1126</v>
      </c>
      <c r="B366" t="s">
        <v>1126</v>
      </c>
      <c r="C366" t="s">
        <v>1127</v>
      </c>
      <c r="D366">
        <v>63</v>
      </c>
      <c r="E366" t="s">
        <v>16</v>
      </c>
      <c r="F366" t="s">
        <v>1128</v>
      </c>
      <c r="G366" t="s">
        <v>133</v>
      </c>
      <c r="H366" t="s">
        <v>12</v>
      </c>
      <c r="I366" t="s">
        <v>26</v>
      </c>
    </row>
    <row r="367" spans="1:9" x14ac:dyDescent="0.3">
      <c r="A367" t="s">
        <v>1129</v>
      </c>
      <c r="B367" t="s">
        <v>1129</v>
      </c>
      <c r="C367" t="s">
        <v>1130</v>
      </c>
      <c r="D367">
        <v>40</v>
      </c>
      <c r="E367" t="s">
        <v>16</v>
      </c>
      <c r="F367" t="s">
        <v>1131</v>
      </c>
      <c r="G367" t="s">
        <v>162</v>
      </c>
      <c r="H367" t="s">
        <v>12</v>
      </c>
      <c r="I367" t="s">
        <v>19</v>
      </c>
    </row>
    <row r="368" spans="1:9" x14ac:dyDescent="0.3">
      <c r="A368" t="s">
        <v>1132</v>
      </c>
      <c r="B368" t="s">
        <v>1132</v>
      </c>
      <c r="C368" t="s">
        <v>1133</v>
      </c>
      <c r="D368">
        <v>51</v>
      </c>
      <c r="E368" t="s">
        <v>9</v>
      </c>
      <c r="F368" t="s">
        <v>1134</v>
      </c>
      <c r="G368" t="s">
        <v>22</v>
      </c>
      <c r="H368" t="s">
        <v>12</v>
      </c>
      <c r="I368" t="s">
        <v>19</v>
      </c>
    </row>
    <row r="369" spans="1:9" x14ac:dyDescent="0.3">
      <c r="A369" t="s">
        <v>1135</v>
      </c>
      <c r="B369" t="s">
        <v>1135</v>
      </c>
      <c r="C369" t="s">
        <v>1136</v>
      </c>
      <c r="D369">
        <v>34</v>
      </c>
      <c r="E369" t="s">
        <v>16</v>
      </c>
      <c r="F369" t="s">
        <v>1137</v>
      </c>
      <c r="G369" t="s">
        <v>25</v>
      </c>
      <c r="H369" t="s">
        <v>12</v>
      </c>
      <c r="I369" t="s">
        <v>26</v>
      </c>
    </row>
    <row r="370" spans="1:9" x14ac:dyDescent="0.3">
      <c r="A370" t="s">
        <v>1138</v>
      </c>
      <c r="B370" t="s">
        <v>1138</v>
      </c>
      <c r="C370" t="s">
        <v>1139</v>
      </c>
      <c r="D370">
        <v>20</v>
      </c>
      <c r="E370" t="s">
        <v>16</v>
      </c>
      <c r="F370" t="s">
        <v>1140</v>
      </c>
      <c r="G370" t="s">
        <v>58</v>
      </c>
      <c r="H370" t="s">
        <v>12</v>
      </c>
      <c r="I370" t="s">
        <v>19</v>
      </c>
    </row>
    <row r="371" spans="1:9" x14ac:dyDescent="0.3">
      <c r="A371" t="s">
        <v>1141</v>
      </c>
      <c r="B371" t="s">
        <v>1141</v>
      </c>
      <c r="C371" t="s">
        <v>1142</v>
      </c>
      <c r="D371">
        <v>45</v>
      </c>
      <c r="E371" t="s">
        <v>9</v>
      </c>
      <c r="F371" t="s">
        <v>1143</v>
      </c>
      <c r="G371" t="s">
        <v>170</v>
      </c>
      <c r="H371" t="s">
        <v>12</v>
      </c>
      <c r="I371" t="s">
        <v>19</v>
      </c>
    </row>
    <row r="372" spans="1:9" x14ac:dyDescent="0.3">
      <c r="A372" t="s">
        <v>1144</v>
      </c>
      <c r="B372" t="s">
        <v>1144</v>
      </c>
      <c r="C372" t="s">
        <v>1145</v>
      </c>
      <c r="D372">
        <v>21</v>
      </c>
      <c r="E372" t="s">
        <v>16</v>
      </c>
      <c r="F372" t="s">
        <v>1146</v>
      </c>
      <c r="G372" t="s">
        <v>251</v>
      </c>
      <c r="H372" t="s">
        <v>12</v>
      </c>
      <c r="I372" t="s">
        <v>31</v>
      </c>
    </row>
    <row r="373" spans="1:9" x14ac:dyDescent="0.3">
      <c r="A373" t="s">
        <v>1147</v>
      </c>
      <c r="B373" t="s">
        <v>1147</v>
      </c>
      <c r="C373" t="s">
        <v>1148</v>
      </c>
      <c r="D373">
        <v>28</v>
      </c>
      <c r="E373" t="s">
        <v>9</v>
      </c>
      <c r="F373" t="s">
        <v>1149</v>
      </c>
      <c r="G373" t="s">
        <v>47</v>
      </c>
      <c r="H373" t="s">
        <v>12</v>
      </c>
      <c r="I373" t="s">
        <v>19</v>
      </c>
    </row>
    <row r="374" spans="1:9" x14ac:dyDescent="0.3">
      <c r="A374" t="s">
        <v>1150</v>
      </c>
      <c r="B374" t="s">
        <v>1150</v>
      </c>
      <c r="C374" t="s">
        <v>1151</v>
      </c>
      <c r="D374">
        <v>37</v>
      </c>
      <c r="E374" t="s">
        <v>16</v>
      </c>
      <c r="F374" t="s">
        <v>1152</v>
      </c>
      <c r="G374" t="s">
        <v>25</v>
      </c>
      <c r="H374" t="s">
        <v>12</v>
      </c>
      <c r="I374" t="s">
        <v>26</v>
      </c>
    </row>
    <row r="375" spans="1:9" x14ac:dyDescent="0.3">
      <c r="A375" t="s">
        <v>1153</v>
      </c>
      <c r="B375" t="s">
        <v>1153</v>
      </c>
      <c r="C375" t="s">
        <v>1154</v>
      </c>
      <c r="D375">
        <v>60</v>
      </c>
      <c r="E375" t="s">
        <v>9</v>
      </c>
      <c r="F375" t="s">
        <v>1155</v>
      </c>
      <c r="G375" t="s">
        <v>429</v>
      </c>
      <c r="H375" t="s">
        <v>12</v>
      </c>
      <c r="I375" t="s">
        <v>13</v>
      </c>
    </row>
    <row r="376" spans="1:9" x14ac:dyDescent="0.3">
      <c r="A376" t="s">
        <v>1156</v>
      </c>
      <c r="B376" t="s">
        <v>1156</v>
      </c>
      <c r="C376" t="s">
        <v>1157</v>
      </c>
      <c r="D376">
        <v>26</v>
      </c>
      <c r="E376" t="s">
        <v>9</v>
      </c>
      <c r="F376" t="s">
        <v>1158</v>
      </c>
      <c r="G376" t="s">
        <v>99</v>
      </c>
      <c r="H376" t="s">
        <v>12</v>
      </c>
      <c r="I376" t="s">
        <v>19</v>
      </c>
    </row>
    <row r="377" spans="1:9" x14ac:dyDescent="0.3">
      <c r="A377" t="s">
        <v>1159</v>
      </c>
      <c r="B377" t="s">
        <v>1159</v>
      </c>
      <c r="C377" t="s">
        <v>1160</v>
      </c>
      <c r="D377">
        <v>30</v>
      </c>
      <c r="E377" t="s">
        <v>9</v>
      </c>
      <c r="F377" t="s">
        <v>1161</v>
      </c>
      <c r="G377" t="s">
        <v>198</v>
      </c>
      <c r="H377" t="s">
        <v>12</v>
      </c>
      <c r="I377" t="s">
        <v>19</v>
      </c>
    </row>
    <row r="378" spans="1:9" x14ac:dyDescent="0.3">
      <c r="A378" t="s">
        <v>1162</v>
      </c>
      <c r="B378" t="s">
        <v>1162</v>
      </c>
      <c r="C378" t="s">
        <v>1163</v>
      </c>
      <c r="D378">
        <v>39</v>
      </c>
      <c r="E378" t="s">
        <v>16</v>
      </c>
      <c r="F378" t="s">
        <v>1164</v>
      </c>
      <c r="G378" t="s">
        <v>166</v>
      </c>
      <c r="H378" t="s">
        <v>12</v>
      </c>
      <c r="I378" t="s">
        <v>26</v>
      </c>
    </row>
    <row r="379" spans="1:9" x14ac:dyDescent="0.3">
      <c r="A379" t="s">
        <v>1165</v>
      </c>
      <c r="B379" t="s">
        <v>1165</v>
      </c>
      <c r="C379" t="s">
        <v>1166</v>
      </c>
      <c r="D379">
        <v>44</v>
      </c>
      <c r="E379" t="s">
        <v>16</v>
      </c>
      <c r="F379" t="s">
        <v>1167</v>
      </c>
      <c r="G379" t="s">
        <v>429</v>
      </c>
      <c r="H379" t="s">
        <v>12</v>
      </c>
      <c r="I379" t="s">
        <v>13</v>
      </c>
    </row>
    <row r="380" spans="1:9" x14ac:dyDescent="0.3">
      <c r="A380" t="s">
        <v>1168</v>
      </c>
      <c r="B380" t="s">
        <v>1168</v>
      </c>
      <c r="C380" t="s">
        <v>1169</v>
      </c>
      <c r="D380">
        <v>34</v>
      </c>
      <c r="E380" t="s">
        <v>16</v>
      </c>
      <c r="F380" t="s">
        <v>1170</v>
      </c>
      <c r="G380" t="s">
        <v>92</v>
      </c>
      <c r="H380" t="s">
        <v>12</v>
      </c>
      <c r="I380" t="s">
        <v>26</v>
      </c>
    </row>
    <row r="381" spans="1:9" x14ac:dyDescent="0.3">
      <c r="A381" t="s">
        <v>1171</v>
      </c>
      <c r="B381" t="s">
        <v>1171</v>
      </c>
      <c r="C381" t="s">
        <v>1172</v>
      </c>
      <c r="D381">
        <v>23</v>
      </c>
      <c r="E381" t="s">
        <v>9</v>
      </c>
      <c r="F381" t="s">
        <v>1173</v>
      </c>
      <c r="G381" t="s">
        <v>264</v>
      </c>
      <c r="H381" t="s">
        <v>12</v>
      </c>
      <c r="I381" t="s">
        <v>13</v>
      </c>
    </row>
    <row r="382" spans="1:9" x14ac:dyDescent="0.3">
      <c r="A382" t="s">
        <v>1174</v>
      </c>
      <c r="B382" t="s">
        <v>1174</v>
      </c>
      <c r="C382" t="s">
        <v>1175</v>
      </c>
      <c r="D382">
        <v>50</v>
      </c>
      <c r="E382" t="s">
        <v>9</v>
      </c>
      <c r="F382" t="s">
        <v>1176</v>
      </c>
      <c r="G382" t="s">
        <v>214</v>
      </c>
      <c r="H382" t="s">
        <v>12</v>
      </c>
      <c r="I382" t="s">
        <v>13</v>
      </c>
    </row>
    <row r="383" spans="1:9" x14ac:dyDescent="0.3">
      <c r="A383" t="s">
        <v>1177</v>
      </c>
      <c r="B383" t="s">
        <v>1177</v>
      </c>
      <c r="C383" t="s">
        <v>1178</v>
      </c>
      <c r="D383">
        <v>20</v>
      </c>
      <c r="E383" t="s">
        <v>16</v>
      </c>
      <c r="F383" t="s">
        <v>1179</v>
      </c>
      <c r="G383" t="s">
        <v>22</v>
      </c>
      <c r="H383" t="s">
        <v>12</v>
      </c>
      <c r="I383" t="s">
        <v>31</v>
      </c>
    </row>
    <row r="384" spans="1:9" x14ac:dyDescent="0.3">
      <c r="A384" t="s">
        <v>1180</v>
      </c>
      <c r="B384" t="s">
        <v>1180</v>
      </c>
      <c r="C384" t="s">
        <v>1181</v>
      </c>
      <c r="D384">
        <v>27</v>
      </c>
      <c r="E384" t="s">
        <v>16</v>
      </c>
      <c r="F384" t="s">
        <v>1182</v>
      </c>
      <c r="G384" t="s">
        <v>30</v>
      </c>
      <c r="H384" t="s">
        <v>12</v>
      </c>
      <c r="I384" t="s">
        <v>13</v>
      </c>
    </row>
    <row r="385" spans="1:9" x14ac:dyDescent="0.3">
      <c r="A385" t="s">
        <v>1183</v>
      </c>
      <c r="B385" t="s">
        <v>1183</v>
      </c>
      <c r="C385" t="s">
        <v>1184</v>
      </c>
      <c r="D385">
        <v>52</v>
      </c>
      <c r="E385" t="s">
        <v>16</v>
      </c>
      <c r="F385" t="s">
        <v>1185</v>
      </c>
      <c r="G385" t="s">
        <v>312</v>
      </c>
      <c r="H385" t="s">
        <v>12</v>
      </c>
      <c r="I385" t="s">
        <v>31</v>
      </c>
    </row>
    <row r="386" spans="1:9" x14ac:dyDescent="0.3">
      <c r="A386" t="s">
        <v>1186</v>
      </c>
      <c r="B386" t="s">
        <v>1186</v>
      </c>
      <c r="C386" t="s">
        <v>1187</v>
      </c>
      <c r="D386">
        <v>60</v>
      </c>
      <c r="E386" t="s">
        <v>9</v>
      </c>
      <c r="F386" t="s">
        <v>1188</v>
      </c>
      <c r="G386" t="s">
        <v>264</v>
      </c>
      <c r="H386" t="s">
        <v>12</v>
      </c>
      <c r="I386" t="s">
        <v>26</v>
      </c>
    </row>
    <row r="387" spans="1:9" x14ac:dyDescent="0.3">
      <c r="A387" t="s">
        <v>1189</v>
      </c>
      <c r="B387" t="s">
        <v>1189</v>
      </c>
      <c r="C387" t="s">
        <v>1190</v>
      </c>
      <c r="D387">
        <v>18</v>
      </c>
      <c r="E387" t="s">
        <v>16</v>
      </c>
      <c r="F387" t="s">
        <v>1191</v>
      </c>
      <c r="G387" t="s">
        <v>312</v>
      </c>
      <c r="H387" t="s">
        <v>12</v>
      </c>
      <c r="I387" t="s">
        <v>13</v>
      </c>
    </row>
    <row r="388" spans="1:9" x14ac:dyDescent="0.3">
      <c r="A388" t="s">
        <v>1192</v>
      </c>
      <c r="B388" t="s">
        <v>1192</v>
      </c>
      <c r="C388" t="s">
        <v>1193</v>
      </c>
      <c r="D388">
        <v>28</v>
      </c>
      <c r="E388" t="s">
        <v>16</v>
      </c>
      <c r="F388" t="s">
        <v>1194</v>
      </c>
      <c r="G388" t="s">
        <v>139</v>
      </c>
      <c r="H388" t="s">
        <v>12</v>
      </c>
      <c r="I388" t="s">
        <v>26</v>
      </c>
    </row>
    <row r="389" spans="1:9" x14ac:dyDescent="0.3">
      <c r="A389" t="s">
        <v>1195</v>
      </c>
      <c r="B389" t="s">
        <v>1195</v>
      </c>
      <c r="C389" t="s">
        <v>1196</v>
      </c>
      <c r="D389">
        <v>53</v>
      </c>
      <c r="E389" t="s">
        <v>9</v>
      </c>
      <c r="F389" t="s">
        <v>1197</v>
      </c>
      <c r="G389" t="s">
        <v>88</v>
      </c>
      <c r="H389" t="s">
        <v>12</v>
      </c>
      <c r="I389" t="s">
        <v>31</v>
      </c>
    </row>
    <row r="390" spans="1:9" x14ac:dyDescent="0.3">
      <c r="A390" t="s">
        <v>1198</v>
      </c>
      <c r="B390" t="s">
        <v>1198</v>
      </c>
      <c r="C390" t="s">
        <v>1199</v>
      </c>
      <c r="D390">
        <v>50</v>
      </c>
      <c r="E390" t="s">
        <v>9</v>
      </c>
      <c r="F390" t="s">
        <v>1200</v>
      </c>
      <c r="G390" t="s">
        <v>113</v>
      </c>
      <c r="H390" t="s">
        <v>12</v>
      </c>
      <c r="I390" t="s">
        <v>19</v>
      </c>
    </row>
    <row r="391" spans="1:9" x14ac:dyDescent="0.3">
      <c r="A391" t="s">
        <v>1201</v>
      </c>
      <c r="B391" t="s">
        <v>1201</v>
      </c>
      <c r="C391" t="s">
        <v>1202</v>
      </c>
      <c r="D391">
        <v>56</v>
      </c>
      <c r="E391" t="s">
        <v>9</v>
      </c>
      <c r="F391" t="s">
        <v>1203</v>
      </c>
      <c r="G391" t="s">
        <v>70</v>
      </c>
      <c r="H391" t="s">
        <v>12</v>
      </c>
      <c r="I391" t="s">
        <v>19</v>
      </c>
    </row>
    <row r="392" spans="1:9" x14ac:dyDescent="0.3">
      <c r="A392" t="s">
        <v>1204</v>
      </c>
      <c r="B392" t="s">
        <v>1204</v>
      </c>
      <c r="C392" t="s">
        <v>1205</v>
      </c>
      <c r="D392">
        <v>40</v>
      </c>
      <c r="E392" t="s">
        <v>16</v>
      </c>
      <c r="F392" t="s">
        <v>1206</v>
      </c>
      <c r="G392" t="s">
        <v>288</v>
      </c>
      <c r="H392" t="s">
        <v>12</v>
      </c>
      <c r="I392" t="s">
        <v>31</v>
      </c>
    </row>
    <row r="393" spans="1:9" x14ac:dyDescent="0.3">
      <c r="A393" t="s">
        <v>1207</v>
      </c>
      <c r="B393" t="s">
        <v>1207</v>
      </c>
      <c r="C393" t="s">
        <v>1208</v>
      </c>
      <c r="D393">
        <v>46</v>
      </c>
      <c r="E393" t="s">
        <v>9</v>
      </c>
      <c r="F393" t="s">
        <v>1209</v>
      </c>
      <c r="G393" t="s">
        <v>35</v>
      </c>
      <c r="H393" t="s">
        <v>12</v>
      </c>
      <c r="I393" t="s">
        <v>26</v>
      </c>
    </row>
    <row r="394" spans="1:9" x14ac:dyDescent="0.3">
      <c r="A394" t="s">
        <v>1210</v>
      </c>
      <c r="B394" t="s">
        <v>1210</v>
      </c>
      <c r="C394" t="s">
        <v>1211</v>
      </c>
      <c r="D394">
        <v>46</v>
      </c>
      <c r="E394" t="s">
        <v>9</v>
      </c>
      <c r="F394" t="s">
        <v>1212</v>
      </c>
      <c r="G394" t="s">
        <v>113</v>
      </c>
      <c r="H394" t="s">
        <v>12</v>
      </c>
      <c r="I394" t="s">
        <v>13</v>
      </c>
    </row>
    <row r="395" spans="1:9" x14ac:dyDescent="0.3">
      <c r="A395" t="s">
        <v>1213</v>
      </c>
      <c r="B395" t="s">
        <v>1213</v>
      </c>
      <c r="C395" t="s">
        <v>1214</v>
      </c>
      <c r="D395">
        <v>43</v>
      </c>
      <c r="E395" t="s">
        <v>16</v>
      </c>
      <c r="F395" t="s">
        <v>1215</v>
      </c>
      <c r="G395" t="s">
        <v>117</v>
      </c>
      <c r="H395" t="s">
        <v>12</v>
      </c>
      <c r="I395" t="s">
        <v>26</v>
      </c>
    </row>
    <row r="396" spans="1:9" x14ac:dyDescent="0.3">
      <c r="A396" t="s">
        <v>1216</v>
      </c>
      <c r="B396" t="s">
        <v>1216</v>
      </c>
      <c r="C396" t="s">
        <v>1217</v>
      </c>
      <c r="D396">
        <v>50</v>
      </c>
      <c r="E396" t="s">
        <v>9</v>
      </c>
      <c r="F396" t="s">
        <v>1218</v>
      </c>
      <c r="G396" t="s">
        <v>166</v>
      </c>
      <c r="H396" t="s">
        <v>12</v>
      </c>
      <c r="I396" t="s">
        <v>26</v>
      </c>
    </row>
    <row r="397" spans="1:9" x14ac:dyDescent="0.3">
      <c r="A397" t="s">
        <v>1219</v>
      </c>
      <c r="B397" t="s">
        <v>1219</v>
      </c>
      <c r="C397" t="s">
        <v>1220</v>
      </c>
      <c r="D397">
        <v>25</v>
      </c>
      <c r="E397" t="s">
        <v>16</v>
      </c>
      <c r="F397" t="s">
        <v>1221</v>
      </c>
      <c r="G397" t="s">
        <v>62</v>
      </c>
      <c r="H397" t="s">
        <v>12</v>
      </c>
      <c r="I397" t="s">
        <v>13</v>
      </c>
    </row>
    <row r="398" spans="1:9" x14ac:dyDescent="0.3">
      <c r="A398" t="s">
        <v>1222</v>
      </c>
      <c r="B398" t="s">
        <v>1222</v>
      </c>
      <c r="C398" t="s">
        <v>1223</v>
      </c>
      <c r="D398">
        <v>62</v>
      </c>
      <c r="E398" t="s">
        <v>16</v>
      </c>
      <c r="F398" t="s">
        <v>1224</v>
      </c>
      <c r="G398" t="s">
        <v>58</v>
      </c>
      <c r="H398" t="s">
        <v>12</v>
      </c>
      <c r="I398" t="s">
        <v>31</v>
      </c>
    </row>
    <row r="399" spans="1:9" x14ac:dyDescent="0.3">
      <c r="A399" t="s">
        <v>1225</v>
      </c>
      <c r="B399" t="s">
        <v>1225</v>
      </c>
      <c r="C399" t="s">
        <v>3948</v>
      </c>
      <c r="D399">
        <v>54</v>
      </c>
      <c r="E399" t="s">
        <v>9</v>
      </c>
      <c r="F399" t="s">
        <v>123</v>
      </c>
      <c r="G399" t="s">
        <v>62</v>
      </c>
      <c r="H399" t="s">
        <v>12</v>
      </c>
      <c r="I399" t="s">
        <v>19</v>
      </c>
    </row>
    <row r="400" spans="1:9" x14ac:dyDescent="0.3">
      <c r="A400" t="s">
        <v>1226</v>
      </c>
      <c r="B400" t="s">
        <v>1226</v>
      </c>
      <c r="C400" t="s">
        <v>1227</v>
      </c>
      <c r="D400">
        <v>27</v>
      </c>
      <c r="E400" t="s">
        <v>9</v>
      </c>
      <c r="F400" t="s">
        <v>1228</v>
      </c>
      <c r="G400" t="s">
        <v>47</v>
      </c>
      <c r="H400" t="s">
        <v>12</v>
      </c>
      <c r="I400" t="s">
        <v>26</v>
      </c>
    </row>
    <row r="401" spans="1:9" x14ac:dyDescent="0.3">
      <c r="A401" t="s">
        <v>1229</v>
      </c>
      <c r="B401" t="s">
        <v>1229</v>
      </c>
      <c r="C401" t="s">
        <v>1230</v>
      </c>
      <c r="D401">
        <v>57</v>
      </c>
      <c r="E401" t="s">
        <v>16</v>
      </c>
      <c r="F401" t="s">
        <v>1231</v>
      </c>
      <c r="G401" t="s">
        <v>429</v>
      </c>
      <c r="H401" t="s">
        <v>12</v>
      </c>
      <c r="I401" t="s">
        <v>26</v>
      </c>
    </row>
    <row r="402" spans="1:9" x14ac:dyDescent="0.3">
      <c r="A402" t="s">
        <v>1232</v>
      </c>
      <c r="B402" t="s">
        <v>1232</v>
      </c>
      <c r="C402" t="s">
        <v>1233</v>
      </c>
      <c r="D402">
        <v>51</v>
      </c>
      <c r="E402" t="s">
        <v>16</v>
      </c>
      <c r="F402" t="s">
        <v>1234</v>
      </c>
      <c r="G402" t="s">
        <v>96</v>
      </c>
      <c r="H402" t="s">
        <v>12</v>
      </c>
      <c r="I402" t="s">
        <v>19</v>
      </c>
    </row>
    <row r="403" spans="1:9" x14ac:dyDescent="0.3">
      <c r="A403" t="s">
        <v>1235</v>
      </c>
      <c r="B403" t="s">
        <v>1235</v>
      </c>
      <c r="C403" t="s">
        <v>1236</v>
      </c>
      <c r="D403">
        <v>31</v>
      </c>
      <c r="E403" t="s">
        <v>9</v>
      </c>
      <c r="F403" t="s">
        <v>1237</v>
      </c>
      <c r="G403" t="s">
        <v>181</v>
      </c>
      <c r="H403" t="s">
        <v>12</v>
      </c>
      <c r="I403" t="s">
        <v>19</v>
      </c>
    </row>
    <row r="404" spans="1:9" x14ac:dyDescent="0.3">
      <c r="A404" t="s">
        <v>1238</v>
      </c>
      <c r="B404" t="s">
        <v>1238</v>
      </c>
      <c r="C404" t="s">
        <v>1239</v>
      </c>
      <c r="D404">
        <v>34</v>
      </c>
      <c r="E404" t="s">
        <v>9</v>
      </c>
      <c r="F404" t="s">
        <v>80</v>
      </c>
      <c r="G404" t="s">
        <v>309</v>
      </c>
      <c r="H404" t="s">
        <v>12</v>
      </c>
      <c r="I404" t="s">
        <v>26</v>
      </c>
    </row>
    <row r="405" spans="1:9" x14ac:dyDescent="0.3">
      <c r="A405" t="s">
        <v>1240</v>
      </c>
      <c r="B405" t="s">
        <v>1240</v>
      </c>
      <c r="C405" t="s">
        <v>1241</v>
      </c>
      <c r="D405">
        <v>22</v>
      </c>
      <c r="E405" t="s">
        <v>16</v>
      </c>
      <c r="F405" t="s">
        <v>1242</v>
      </c>
      <c r="G405" t="s">
        <v>323</v>
      </c>
      <c r="H405" t="s">
        <v>12</v>
      </c>
      <c r="I405" t="s">
        <v>26</v>
      </c>
    </row>
    <row r="406" spans="1:9" x14ac:dyDescent="0.3">
      <c r="A406" t="s">
        <v>1243</v>
      </c>
      <c r="B406" t="s">
        <v>1243</v>
      </c>
      <c r="C406" t="s">
        <v>1244</v>
      </c>
      <c r="D406">
        <v>18</v>
      </c>
      <c r="E406" t="s">
        <v>16</v>
      </c>
      <c r="F406" t="s">
        <v>1245</v>
      </c>
      <c r="G406" t="s">
        <v>288</v>
      </c>
      <c r="H406" t="s">
        <v>12</v>
      </c>
      <c r="I406" t="s">
        <v>31</v>
      </c>
    </row>
    <row r="407" spans="1:9" x14ac:dyDescent="0.3">
      <c r="A407" t="s">
        <v>1246</v>
      </c>
      <c r="B407" t="s">
        <v>1246</v>
      </c>
      <c r="C407" t="s">
        <v>1247</v>
      </c>
      <c r="D407">
        <v>23</v>
      </c>
      <c r="E407" t="s">
        <v>16</v>
      </c>
      <c r="F407" t="s">
        <v>1248</v>
      </c>
      <c r="G407" t="s">
        <v>323</v>
      </c>
      <c r="H407" t="s">
        <v>12</v>
      </c>
      <c r="I407" t="s">
        <v>13</v>
      </c>
    </row>
    <row r="408" spans="1:9" x14ac:dyDescent="0.3">
      <c r="A408" t="s">
        <v>1249</v>
      </c>
      <c r="B408" t="s">
        <v>1249</v>
      </c>
      <c r="C408" t="s">
        <v>1250</v>
      </c>
      <c r="D408">
        <v>33</v>
      </c>
      <c r="E408" t="s">
        <v>9</v>
      </c>
      <c r="F408" t="s">
        <v>1251</v>
      </c>
      <c r="G408" t="s">
        <v>319</v>
      </c>
      <c r="H408" t="s">
        <v>12</v>
      </c>
      <c r="I408" t="s">
        <v>13</v>
      </c>
    </row>
    <row r="409" spans="1:9" x14ac:dyDescent="0.3">
      <c r="A409" t="s">
        <v>1252</v>
      </c>
      <c r="B409" t="s">
        <v>1252</v>
      </c>
      <c r="C409" t="s">
        <v>1253</v>
      </c>
      <c r="D409">
        <v>36</v>
      </c>
      <c r="E409" t="s">
        <v>9</v>
      </c>
      <c r="F409" t="s">
        <v>1254</v>
      </c>
      <c r="G409" t="s">
        <v>139</v>
      </c>
      <c r="H409" t="s">
        <v>12</v>
      </c>
      <c r="I409" t="s">
        <v>13</v>
      </c>
    </row>
    <row r="410" spans="1:9" x14ac:dyDescent="0.3">
      <c r="A410" t="s">
        <v>1255</v>
      </c>
      <c r="B410" t="s">
        <v>1255</v>
      </c>
      <c r="C410" t="s">
        <v>1256</v>
      </c>
      <c r="D410">
        <v>55</v>
      </c>
      <c r="E410" t="s">
        <v>9</v>
      </c>
      <c r="F410" t="s">
        <v>1257</v>
      </c>
      <c r="G410" t="s">
        <v>88</v>
      </c>
      <c r="H410" t="s">
        <v>12</v>
      </c>
      <c r="I410" t="s">
        <v>13</v>
      </c>
    </row>
    <row r="411" spans="1:9" x14ac:dyDescent="0.3">
      <c r="A411" t="s">
        <v>1258</v>
      </c>
      <c r="B411" t="s">
        <v>1258</v>
      </c>
      <c r="C411" t="s">
        <v>1259</v>
      </c>
      <c r="D411">
        <v>48</v>
      </c>
      <c r="E411" t="s">
        <v>16</v>
      </c>
      <c r="F411" t="s">
        <v>1260</v>
      </c>
      <c r="G411" t="s">
        <v>838</v>
      </c>
      <c r="H411" t="s">
        <v>12</v>
      </c>
      <c r="I411" t="s">
        <v>13</v>
      </c>
    </row>
    <row r="412" spans="1:9" x14ac:dyDescent="0.3">
      <c r="A412" t="s">
        <v>1261</v>
      </c>
      <c r="B412" t="s">
        <v>1261</v>
      </c>
      <c r="C412" t="s">
        <v>1262</v>
      </c>
      <c r="D412">
        <v>63</v>
      </c>
      <c r="E412" t="s">
        <v>9</v>
      </c>
      <c r="F412" t="s">
        <v>1263</v>
      </c>
      <c r="G412" t="s">
        <v>88</v>
      </c>
      <c r="H412" t="s">
        <v>12</v>
      </c>
      <c r="I412" t="s">
        <v>26</v>
      </c>
    </row>
    <row r="413" spans="1:9" x14ac:dyDescent="0.3">
      <c r="A413" t="s">
        <v>1264</v>
      </c>
      <c r="B413" t="s">
        <v>1264</v>
      </c>
      <c r="C413" t="s">
        <v>1265</v>
      </c>
      <c r="D413">
        <v>23</v>
      </c>
      <c r="E413" t="s">
        <v>16</v>
      </c>
      <c r="F413" t="s">
        <v>1266</v>
      </c>
      <c r="G413" t="s">
        <v>25</v>
      </c>
      <c r="H413" t="s">
        <v>12</v>
      </c>
      <c r="I413" t="s">
        <v>31</v>
      </c>
    </row>
    <row r="414" spans="1:9" x14ac:dyDescent="0.3">
      <c r="A414" t="s">
        <v>1267</v>
      </c>
      <c r="B414" t="s">
        <v>1267</v>
      </c>
      <c r="C414" t="s">
        <v>1268</v>
      </c>
      <c r="D414">
        <v>59</v>
      </c>
      <c r="E414" t="s">
        <v>16</v>
      </c>
      <c r="F414" t="s">
        <v>201</v>
      </c>
      <c r="G414" t="s">
        <v>155</v>
      </c>
      <c r="H414" t="s">
        <v>12</v>
      </c>
      <c r="I414" t="s">
        <v>13</v>
      </c>
    </row>
    <row r="415" spans="1:9" x14ac:dyDescent="0.3">
      <c r="A415" t="s">
        <v>1269</v>
      </c>
      <c r="B415" t="s">
        <v>1269</v>
      </c>
      <c r="C415" t="s">
        <v>1270</v>
      </c>
      <c r="D415">
        <v>35</v>
      </c>
      <c r="E415" t="s">
        <v>16</v>
      </c>
      <c r="F415" t="s">
        <v>1271</v>
      </c>
      <c r="G415" t="s">
        <v>106</v>
      </c>
      <c r="H415" t="s">
        <v>12</v>
      </c>
      <c r="I415" t="s">
        <v>26</v>
      </c>
    </row>
    <row r="416" spans="1:9" x14ac:dyDescent="0.3">
      <c r="A416" t="s">
        <v>1272</v>
      </c>
      <c r="B416" t="s">
        <v>1272</v>
      </c>
      <c r="C416" t="s">
        <v>1273</v>
      </c>
      <c r="D416">
        <v>26</v>
      </c>
      <c r="E416" t="s">
        <v>16</v>
      </c>
      <c r="F416" t="s">
        <v>1274</v>
      </c>
      <c r="G416" t="s">
        <v>113</v>
      </c>
      <c r="H416" t="s">
        <v>12</v>
      </c>
      <c r="I416" t="s">
        <v>13</v>
      </c>
    </row>
    <row r="417" spans="1:9" x14ac:dyDescent="0.3">
      <c r="A417" t="s">
        <v>1275</v>
      </c>
      <c r="B417" t="s">
        <v>1275</v>
      </c>
      <c r="C417" t="s">
        <v>1276</v>
      </c>
      <c r="D417">
        <v>46</v>
      </c>
      <c r="E417" t="s">
        <v>9</v>
      </c>
      <c r="F417" t="s">
        <v>1277</v>
      </c>
      <c r="G417" t="s">
        <v>162</v>
      </c>
      <c r="H417" t="s">
        <v>12</v>
      </c>
      <c r="I417" t="s">
        <v>31</v>
      </c>
    </row>
    <row r="418" spans="1:9" x14ac:dyDescent="0.3">
      <c r="A418" t="s">
        <v>1278</v>
      </c>
      <c r="B418" t="s">
        <v>1278</v>
      </c>
      <c r="C418" t="s">
        <v>1279</v>
      </c>
      <c r="D418">
        <v>64</v>
      </c>
      <c r="E418" t="s">
        <v>16</v>
      </c>
      <c r="F418" t="s">
        <v>1280</v>
      </c>
      <c r="G418" t="s">
        <v>319</v>
      </c>
      <c r="H418" t="s">
        <v>12</v>
      </c>
      <c r="I418" t="s">
        <v>19</v>
      </c>
    </row>
    <row r="419" spans="1:9" x14ac:dyDescent="0.3">
      <c r="A419" t="s">
        <v>1281</v>
      </c>
      <c r="B419" t="s">
        <v>1281</v>
      </c>
      <c r="C419" t="s">
        <v>1282</v>
      </c>
      <c r="D419">
        <v>60</v>
      </c>
      <c r="E419" t="s">
        <v>16</v>
      </c>
      <c r="F419" t="s">
        <v>1283</v>
      </c>
      <c r="G419" t="s">
        <v>11</v>
      </c>
      <c r="H419" t="s">
        <v>12</v>
      </c>
      <c r="I419" t="s">
        <v>26</v>
      </c>
    </row>
    <row r="420" spans="1:9" x14ac:dyDescent="0.3">
      <c r="A420" t="s">
        <v>1284</v>
      </c>
      <c r="B420" t="s">
        <v>1284</v>
      </c>
      <c r="C420" t="s">
        <v>1285</v>
      </c>
      <c r="D420">
        <v>33</v>
      </c>
      <c r="E420" t="s">
        <v>9</v>
      </c>
      <c r="F420" t="s">
        <v>1286</v>
      </c>
      <c r="G420" t="s">
        <v>47</v>
      </c>
      <c r="H420" t="s">
        <v>12</v>
      </c>
      <c r="I420" t="s">
        <v>31</v>
      </c>
    </row>
    <row r="421" spans="1:9" x14ac:dyDescent="0.3">
      <c r="A421" t="s">
        <v>1287</v>
      </c>
      <c r="B421" t="s">
        <v>1287</v>
      </c>
      <c r="C421" t="s">
        <v>1288</v>
      </c>
      <c r="D421">
        <v>60</v>
      </c>
      <c r="E421" t="s">
        <v>9</v>
      </c>
      <c r="F421" t="s">
        <v>1289</v>
      </c>
      <c r="G421" t="s">
        <v>309</v>
      </c>
      <c r="H421" t="s">
        <v>12</v>
      </c>
      <c r="I421" t="s">
        <v>13</v>
      </c>
    </row>
    <row r="422" spans="1:9" x14ac:dyDescent="0.3">
      <c r="A422" t="s">
        <v>1290</v>
      </c>
      <c r="B422" t="s">
        <v>1290</v>
      </c>
      <c r="C422" t="s">
        <v>3949</v>
      </c>
      <c r="D422">
        <v>45</v>
      </c>
      <c r="E422" t="s">
        <v>16</v>
      </c>
      <c r="F422" t="s">
        <v>1291</v>
      </c>
      <c r="G422" t="s">
        <v>11</v>
      </c>
      <c r="H422" t="s">
        <v>12</v>
      </c>
      <c r="I422" t="s">
        <v>26</v>
      </c>
    </row>
    <row r="423" spans="1:9" x14ac:dyDescent="0.3">
      <c r="A423" t="s">
        <v>1292</v>
      </c>
      <c r="B423" t="s">
        <v>1292</v>
      </c>
      <c r="C423" t="s">
        <v>1293</v>
      </c>
      <c r="D423">
        <v>42</v>
      </c>
      <c r="E423" t="s">
        <v>16</v>
      </c>
      <c r="F423" t="s">
        <v>1294</v>
      </c>
      <c r="G423" t="s">
        <v>74</v>
      </c>
      <c r="H423" t="s">
        <v>12</v>
      </c>
      <c r="I423" t="s">
        <v>19</v>
      </c>
    </row>
    <row r="424" spans="1:9" x14ac:dyDescent="0.3">
      <c r="A424" t="s">
        <v>1295</v>
      </c>
      <c r="B424" t="s">
        <v>1295</v>
      </c>
      <c r="C424" t="s">
        <v>3950</v>
      </c>
      <c r="D424">
        <v>35</v>
      </c>
      <c r="E424" t="s">
        <v>9</v>
      </c>
      <c r="F424" t="s">
        <v>1296</v>
      </c>
      <c r="G424" t="s">
        <v>62</v>
      </c>
      <c r="H424" t="s">
        <v>12</v>
      </c>
      <c r="I424" t="s">
        <v>19</v>
      </c>
    </row>
    <row r="425" spans="1:9" x14ac:dyDescent="0.3">
      <c r="A425" t="s">
        <v>1297</v>
      </c>
      <c r="B425" t="s">
        <v>1297</v>
      </c>
      <c r="C425" t="s">
        <v>1298</v>
      </c>
      <c r="D425">
        <v>53</v>
      </c>
      <c r="E425" t="s">
        <v>9</v>
      </c>
      <c r="F425" t="s">
        <v>1299</v>
      </c>
      <c r="G425" t="s">
        <v>62</v>
      </c>
      <c r="H425" t="s">
        <v>12</v>
      </c>
      <c r="I425" t="s">
        <v>31</v>
      </c>
    </row>
    <row r="426" spans="1:9" x14ac:dyDescent="0.3">
      <c r="A426" t="s">
        <v>1300</v>
      </c>
      <c r="B426" t="s">
        <v>1300</v>
      </c>
      <c r="C426" t="s">
        <v>1301</v>
      </c>
      <c r="D426">
        <v>40</v>
      </c>
      <c r="E426" t="s">
        <v>9</v>
      </c>
      <c r="F426" t="s">
        <v>1302</v>
      </c>
      <c r="G426" t="s">
        <v>11</v>
      </c>
      <c r="H426" t="s">
        <v>12</v>
      </c>
      <c r="I426" t="s">
        <v>26</v>
      </c>
    </row>
    <row r="427" spans="1:9" x14ac:dyDescent="0.3">
      <c r="A427" t="s">
        <v>1303</v>
      </c>
      <c r="B427" t="s">
        <v>1303</v>
      </c>
      <c r="C427" t="s">
        <v>1304</v>
      </c>
      <c r="D427">
        <v>28</v>
      </c>
      <c r="E427" t="s">
        <v>9</v>
      </c>
      <c r="F427" t="s">
        <v>1305</v>
      </c>
      <c r="G427" t="s">
        <v>117</v>
      </c>
      <c r="H427" t="s">
        <v>12</v>
      </c>
      <c r="I427" t="s">
        <v>26</v>
      </c>
    </row>
    <row r="428" spans="1:9" x14ac:dyDescent="0.3">
      <c r="A428" t="s">
        <v>1306</v>
      </c>
      <c r="B428" t="s">
        <v>1306</v>
      </c>
      <c r="C428" t="s">
        <v>1307</v>
      </c>
      <c r="D428">
        <v>18</v>
      </c>
      <c r="E428" t="s">
        <v>16</v>
      </c>
      <c r="F428" t="s">
        <v>1308</v>
      </c>
      <c r="G428" t="s">
        <v>11</v>
      </c>
      <c r="H428" t="s">
        <v>12</v>
      </c>
      <c r="I428" t="s">
        <v>19</v>
      </c>
    </row>
    <row r="429" spans="1:9" x14ac:dyDescent="0.3">
      <c r="A429" t="s">
        <v>1309</v>
      </c>
      <c r="B429" t="s">
        <v>1309</v>
      </c>
      <c r="C429" t="s">
        <v>1310</v>
      </c>
      <c r="D429">
        <v>27</v>
      </c>
      <c r="E429" t="s">
        <v>16</v>
      </c>
      <c r="F429" t="s">
        <v>1311</v>
      </c>
      <c r="G429" t="s">
        <v>429</v>
      </c>
      <c r="H429" t="s">
        <v>12</v>
      </c>
      <c r="I429" t="s">
        <v>13</v>
      </c>
    </row>
    <row r="430" spans="1:9" x14ac:dyDescent="0.3">
      <c r="A430" t="s">
        <v>1312</v>
      </c>
      <c r="B430" t="s">
        <v>1312</v>
      </c>
      <c r="C430" t="s">
        <v>1313</v>
      </c>
      <c r="D430">
        <v>43</v>
      </c>
      <c r="E430" t="s">
        <v>9</v>
      </c>
      <c r="F430" t="s">
        <v>1314</v>
      </c>
      <c r="G430" t="s">
        <v>323</v>
      </c>
      <c r="H430" t="s">
        <v>12</v>
      </c>
      <c r="I430" t="s">
        <v>26</v>
      </c>
    </row>
    <row r="431" spans="1:9" x14ac:dyDescent="0.3">
      <c r="A431" t="s">
        <v>1315</v>
      </c>
      <c r="B431" t="s">
        <v>1315</v>
      </c>
      <c r="C431" t="s">
        <v>1316</v>
      </c>
      <c r="D431">
        <v>36</v>
      </c>
      <c r="E431" t="s">
        <v>16</v>
      </c>
      <c r="F431" t="s">
        <v>1317</v>
      </c>
      <c r="G431" t="s">
        <v>106</v>
      </c>
      <c r="H431" t="s">
        <v>12</v>
      </c>
      <c r="I431" t="s">
        <v>19</v>
      </c>
    </row>
    <row r="432" spans="1:9" x14ac:dyDescent="0.3">
      <c r="A432" t="s">
        <v>1318</v>
      </c>
      <c r="B432" t="s">
        <v>1318</v>
      </c>
      <c r="C432" t="s">
        <v>1319</v>
      </c>
      <c r="D432">
        <v>27</v>
      </c>
      <c r="E432" t="s">
        <v>9</v>
      </c>
      <c r="F432" t="s">
        <v>1320</v>
      </c>
      <c r="G432" t="s">
        <v>88</v>
      </c>
      <c r="H432" t="s">
        <v>12</v>
      </c>
      <c r="I432" t="s">
        <v>13</v>
      </c>
    </row>
    <row r="433" spans="1:9" x14ac:dyDescent="0.3">
      <c r="A433" t="s">
        <v>1321</v>
      </c>
      <c r="B433" t="s">
        <v>1321</v>
      </c>
      <c r="C433" t="s">
        <v>1322</v>
      </c>
      <c r="D433">
        <v>37</v>
      </c>
      <c r="E433" t="s">
        <v>9</v>
      </c>
      <c r="F433" t="s">
        <v>1323</v>
      </c>
      <c r="G433" t="s">
        <v>30</v>
      </c>
      <c r="H433" t="s">
        <v>12</v>
      </c>
      <c r="I433" t="s">
        <v>19</v>
      </c>
    </row>
    <row r="434" spans="1:9" x14ac:dyDescent="0.3">
      <c r="A434" t="s">
        <v>1324</v>
      </c>
      <c r="B434" t="s">
        <v>1324</v>
      </c>
      <c r="C434" t="s">
        <v>1325</v>
      </c>
      <c r="D434">
        <v>51</v>
      </c>
      <c r="E434" t="s">
        <v>16</v>
      </c>
      <c r="F434" t="s">
        <v>1326</v>
      </c>
      <c r="G434" t="s">
        <v>88</v>
      </c>
      <c r="H434" t="s">
        <v>12</v>
      </c>
      <c r="I434" t="s">
        <v>26</v>
      </c>
    </row>
    <row r="435" spans="1:9" x14ac:dyDescent="0.3">
      <c r="A435" t="s">
        <v>1327</v>
      </c>
      <c r="B435" t="s">
        <v>1327</v>
      </c>
      <c r="C435" t="s">
        <v>1328</v>
      </c>
      <c r="D435">
        <v>48</v>
      </c>
      <c r="E435" t="s">
        <v>16</v>
      </c>
      <c r="F435" t="s">
        <v>1329</v>
      </c>
      <c r="G435" t="s">
        <v>58</v>
      </c>
      <c r="H435" t="s">
        <v>12</v>
      </c>
      <c r="I435" t="s">
        <v>31</v>
      </c>
    </row>
    <row r="436" spans="1:9" x14ac:dyDescent="0.3">
      <c r="A436" t="s">
        <v>1330</v>
      </c>
      <c r="B436" t="s">
        <v>1330</v>
      </c>
      <c r="C436" t="s">
        <v>1331</v>
      </c>
      <c r="D436">
        <v>37</v>
      </c>
      <c r="E436" t="s">
        <v>16</v>
      </c>
      <c r="F436" t="s">
        <v>1332</v>
      </c>
      <c r="G436" t="s">
        <v>251</v>
      </c>
      <c r="H436" t="s">
        <v>12</v>
      </c>
      <c r="I436" t="s">
        <v>13</v>
      </c>
    </row>
    <row r="437" spans="1:9" x14ac:dyDescent="0.3">
      <c r="A437" t="s">
        <v>1333</v>
      </c>
      <c r="B437" t="s">
        <v>1333</v>
      </c>
      <c r="C437" t="s">
        <v>1334</v>
      </c>
      <c r="D437">
        <v>61</v>
      </c>
      <c r="E437" t="s">
        <v>9</v>
      </c>
      <c r="F437" t="s">
        <v>1335</v>
      </c>
      <c r="G437" t="s">
        <v>106</v>
      </c>
      <c r="H437" t="s">
        <v>12</v>
      </c>
      <c r="I437" t="s">
        <v>31</v>
      </c>
    </row>
    <row r="438" spans="1:9" x14ac:dyDescent="0.3">
      <c r="A438" t="s">
        <v>1336</v>
      </c>
      <c r="B438" t="s">
        <v>1336</v>
      </c>
      <c r="C438" t="s">
        <v>1337</v>
      </c>
      <c r="D438">
        <v>47</v>
      </c>
      <c r="E438" t="s">
        <v>16</v>
      </c>
      <c r="F438" t="s">
        <v>1338</v>
      </c>
      <c r="G438" t="s">
        <v>39</v>
      </c>
      <c r="H438" t="s">
        <v>12</v>
      </c>
      <c r="I438" t="s">
        <v>13</v>
      </c>
    </row>
    <row r="439" spans="1:9" x14ac:dyDescent="0.3">
      <c r="A439" t="s">
        <v>1339</v>
      </c>
      <c r="B439" t="s">
        <v>1339</v>
      </c>
      <c r="C439" t="s">
        <v>1340</v>
      </c>
      <c r="D439">
        <v>59</v>
      </c>
      <c r="E439" t="s">
        <v>16</v>
      </c>
      <c r="F439" t="s">
        <v>591</v>
      </c>
      <c r="G439" t="s">
        <v>47</v>
      </c>
      <c r="H439" t="s">
        <v>12</v>
      </c>
      <c r="I439" t="s">
        <v>19</v>
      </c>
    </row>
    <row r="440" spans="1:9" x14ac:dyDescent="0.3">
      <c r="A440" t="s">
        <v>1341</v>
      </c>
      <c r="B440" t="s">
        <v>1341</v>
      </c>
      <c r="C440" t="s">
        <v>1342</v>
      </c>
      <c r="D440">
        <v>53</v>
      </c>
      <c r="E440" t="s">
        <v>9</v>
      </c>
      <c r="F440" t="s">
        <v>1343</v>
      </c>
      <c r="G440" t="s">
        <v>234</v>
      </c>
      <c r="H440" t="s">
        <v>12</v>
      </c>
      <c r="I440" t="s">
        <v>19</v>
      </c>
    </row>
    <row r="441" spans="1:9" x14ac:dyDescent="0.3">
      <c r="A441" t="s">
        <v>1344</v>
      </c>
      <c r="B441" t="s">
        <v>1344</v>
      </c>
      <c r="C441" t="s">
        <v>1345</v>
      </c>
      <c r="D441">
        <v>60</v>
      </c>
      <c r="E441" t="s">
        <v>9</v>
      </c>
      <c r="F441" t="s">
        <v>922</v>
      </c>
      <c r="G441" t="s">
        <v>155</v>
      </c>
      <c r="H441" t="s">
        <v>12</v>
      </c>
      <c r="I441" t="s">
        <v>31</v>
      </c>
    </row>
    <row r="442" spans="1:9" x14ac:dyDescent="0.3">
      <c r="A442" t="s">
        <v>1346</v>
      </c>
      <c r="B442" t="s">
        <v>1346</v>
      </c>
      <c r="C442" t="s">
        <v>1347</v>
      </c>
      <c r="D442">
        <v>31</v>
      </c>
      <c r="E442" t="s">
        <v>9</v>
      </c>
      <c r="F442" t="s">
        <v>1348</v>
      </c>
      <c r="G442" t="s">
        <v>18</v>
      </c>
      <c r="H442" t="s">
        <v>12</v>
      </c>
      <c r="I442" t="s">
        <v>31</v>
      </c>
    </row>
    <row r="443" spans="1:9" x14ac:dyDescent="0.3">
      <c r="A443" t="s">
        <v>1349</v>
      </c>
      <c r="B443" t="s">
        <v>1349</v>
      </c>
      <c r="C443" t="s">
        <v>1350</v>
      </c>
      <c r="D443">
        <v>42</v>
      </c>
      <c r="E443" t="s">
        <v>16</v>
      </c>
      <c r="F443" t="s">
        <v>1351</v>
      </c>
      <c r="G443" t="s">
        <v>319</v>
      </c>
      <c r="H443" t="s">
        <v>12</v>
      </c>
      <c r="I443" t="s">
        <v>31</v>
      </c>
    </row>
    <row r="444" spans="1:9" x14ac:dyDescent="0.3">
      <c r="A444" t="s">
        <v>1352</v>
      </c>
      <c r="B444" t="s">
        <v>1352</v>
      </c>
      <c r="C444" t="s">
        <v>1353</v>
      </c>
      <c r="D444">
        <v>51</v>
      </c>
      <c r="E444" t="s">
        <v>9</v>
      </c>
      <c r="F444" t="s">
        <v>1354</v>
      </c>
      <c r="G444" t="s">
        <v>35</v>
      </c>
      <c r="H444" t="s">
        <v>12</v>
      </c>
      <c r="I444" t="s">
        <v>26</v>
      </c>
    </row>
    <row r="445" spans="1:9" x14ac:dyDescent="0.3">
      <c r="A445" t="s">
        <v>1355</v>
      </c>
      <c r="B445" t="s">
        <v>1355</v>
      </c>
      <c r="C445" t="s">
        <v>1356</v>
      </c>
      <c r="D445">
        <v>19</v>
      </c>
      <c r="E445" t="s">
        <v>9</v>
      </c>
      <c r="F445" t="s">
        <v>1357</v>
      </c>
      <c r="G445" t="s">
        <v>354</v>
      </c>
      <c r="H445" t="s">
        <v>12</v>
      </c>
      <c r="I445" t="s">
        <v>31</v>
      </c>
    </row>
    <row r="446" spans="1:9" x14ac:dyDescent="0.3">
      <c r="A446" t="s">
        <v>1358</v>
      </c>
      <c r="B446" t="s">
        <v>1358</v>
      </c>
      <c r="C446" t="s">
        <v>1359</v>
      </c>
      <c r="D446">
        <v>41</v>
      </c>
      <c r="E446" t="s">
        <v>16</v>
      </c>
      <c r="F446" t="s">
        <v>1360</v>
      </c>
      <c r="G446" t="s">
        <v>838</v>
      </c>
      <c r="H446" t="s">
        <v>12</v>
      </c>
      <c r="I446" t="s">
        <v>13</v>
      </c>
    </row>
    <row r="447" spans="1:9" x14ac:dyDescent="0.3">
      <c r="A447" t="s">
        <v>1361</v>
      </c>
      <c r="B447" t="s">
        <v>1361</v>
      </c>
      <c r="C447" t="s">
        <v>1362</v>
      </c>
      <c r="D447">
        <v>35</v>
      </c>
      <c r="E447" t="s">
        <v>9</v>
      </c>
      <c r="F447" t="s">
        <v>1363</v>
      </c>
      <c r="G447" t="s">
        <v>284</v>
      </c>
      <c r="H447" t="s">
        <v>12</v>
      </c>
      <c r="I447" t="s">
        <v>19</v>
      </c>
    </row>
    <row r="448" spans="1:9" x14ac:dyDescent="0.3">
      <c r="A448" t="s">
        <v>1364</v>
      </c>
      <c r="B448" t="s">
        <v>1364</v>
      </c>
      <c r="C448" t="s">
        <v>1365</v>
      </c>
      <c r="D448">
        <v>45</v>
      </c>
      <c r="E448" t="s">
        <v>9</v>
      </c>
      <c r="F448" t="s">
        <v>1366</v>
      </c>
      <c r="G448" t="s">
        <v>96</v>
      </c>
      <c r="H448" t="s">
        <v>12</v>
      </c>
      <c r="I448" t="s">
        <v>31</v>
      </c>
    </row>
    <row r="449" spans="1:9" x14ac:dyDescent="0.3">
      <c r="A449" t="s">
        <v>1367</v>
      </c>
      <c r="B449" t="s">
        <v>1367</v>
      </c>
      <c r="C449" t="s">
        <v>1368</v>
      </c>
      <c r="D449">
        <v>64</v>
      </c>
      <c r="E449" t="s">
        <v>16</v>
      </c>
      <c r="F449" t="s">
        <v>1369</v>
      </c>
      <c r="G449" t="s">
        <v>11</v>
      </c>
      <c r="H449" t="s">
        <v>12</v>
      </c>
      <c r="I449" t="s">
        <v>13</v>
      </c>
    </row>
    <row r="450" spans="1:9" x14ac:dyDescent="0.3">
      <c r="A450" t="s">
        <v>1370</v>
      </c>
      <c r="B450" t="s">
        <v>1370</v>
      </c>
      <c r="C450" t="s">
        <v>1371</v>
      </c>
      <c r="D450">
        <v>29</v>
      </c>
      <c r="E450" t="s">
        <v>9</v>
      </c>
      <c r="F450" t="s">
        <v>1372</v>
      </c>
      <c r="G450" t="s">
        <v>838</v>
      </c>
      <c r="H450" t="s">
        <v>12</v>
      </c>
      <c r="I450" t="s">
        <v>26</v>
      </c>
    </row>
    <row r="451" spans="1:9" x14ac:dyDescent="0.3">
      <c r="A451" t="s">
        <v>1373</v>
      </c>
      <c r="B451" t="s">
        <v>1373</v>
      </c>
      <c r="C451" t="s">
        <v>1374</v>
      </c>
      <c r="D451">
        <v>59</v>
      </c>
      <c r="E451" t="s">
        <v>9</v>
      </c>
      <c r="F451" t="s">
        <v>1375</v>
      </c>
      <c r="G451" t="s">
        <v>25</v>
      </c>
      <c r="H451" t="s">
        <v>12</v>
      </c>
      <c r="I451" t="s">
        <v>26</v>
      </c>
    </row>
    <row r="452" spans="1:9" x14ac:dyDescent="0.3">
      <c r="A452" t="s">
        <v>1376</v>
      </c>
      <c r="B452" t="s">
        <v>1376</v>
      </c>
      <c r="C452" t="s">
        <v>1377</v>
      </c>
      <c r="D452">
        <v>46</v>
      </c>
      <c r="E452" t="s">
        <v>9</v>
      </c>
      <c r="F452" t="s">
        <v>1378</v>
      </c>
      <c r="G452" t="s">
        <v>70</v>
      </c>
      <c r="H452" t="s">
        <v>12</v>
      </c>
      <c r="I452" t="s">
        <v>26</v>
      </c>
    </row>
    <row r="453" spans="1:9" x14ac:dyDescent="0.3">
      <c r="A453" t="s">
        <v>1379</v>
      </c>
      <c r="B453" t="s">
        <v>1379</v>
      </c>
      <c r="C453" t="s">
        <v>1380</v>
      </c>
      <c r="D453">
        <v>60</v>
      </c>
      <c r="E453" t="s">
        <v>16</v>
      </c>
      <c r="F453" t="s">
        <v>559</v>
      </c>
      <c r="G453" t="s">
        <v>230</v>
      </c>
      <c r="H453" t="s">
        <v>12</v>
      </c>
      <c r="I453" t="s">
        <v>13</v>
      </c>
    </row>
    <row r="454" spans="1:9" x14ac:dyDescent="0.3">
      <c r="A454" t="s">
        <v>1381</v>
      </c>
      <c r="B454" t="s">
        <v>1381</v>
      </c>
      <c r="C454" t="s">
        <v>1382</v>
      </c>
      <c r="D454">
        <v>62</v>
      </c>
      <c r="E454" t="s">
        <v>16</v>
      </c>
      <c r="F454" t="s">
        <v>1383</v>
      </c>
      <c r="G454" t="s">
        <v>309</v>
      </c>
      <c r="H454" t="s">
        <v>12</v>
      </c>
      <c r="I454" t="s">
        <v>26</v>
      </c>
    </row>
    <row r="455" spans="1:9" x14ac:dyDescent="0.3">
      <c r="A455" t="s">
        <v>1384</v>
      </c>
      <c r="B455" t="s">
        <v>1384</v>
      </c>
      <c r="C455" t="s">
        <v>1385</v>
      </c>
      <c r="D455">
        <v>60</v>
      </c>
      <c r="E455" t="s">
        <v>9</v>
      </c>
      <c r="F455" t="s">
        <v>1386</v>
      </c>
      <c r="G455" t="s">
        <v>99</v>
      </c>
      <c r="H455" t="s">
        <v>12</v>
      </c>
      <c r="I455" t="s">
        <v>19</v>
      </c>
    </row>
    <row r="456" spans="1:9" x14ac:dyDescent="0.3">
      <c r="A456" t="s">
        <v>1387</v>
      </c>
      <c r="B456" t="s">
        <v>1387</v>
      </c>
      <c r="C456" t="s">
        <v>1388</v>
      </c>
      <c r="D456">
        <v>54</v>
      </c>
      <c r="E456" t="s">
        <v>9</v>
      </c>
      <c r="F456" t="s">
        <v>129</v>
      </c>
      <c r="G456" t="s">
        <v>96</v>
      </c>
      <c r="H456" t="s">
        <v>12</v>
      </c>
      <c r="I456" t="s">
        <v>13</v>
      </c>
    </row>
    <row r="457" spans="1:9" x14ac:dyDescent="0.3">
      <c r="A457" t="s">
        <v>1389</v>
      </c>
      <c r="B457" t="s">
        <v>1389</v>
      </c>
      <c r="C457" t="s">
        <v>1390</v>
      </c>
      <c r="D457">
        <v>59</v>
      </c>
      <c r="E457" t="s">
        <v>16</v>
      </c>
      <c r="F457" t="s">
        <v>1391</v>
      </c>
      <c r="G457" t="s">
        <v>191</v>
      </c>
      <c r="H457" t="s">
        <v>12</v>
      </c>
      <c r="I457" t="s">
        <v>13</v>
      </c>
    </row>
    <row r="458" spans="1:9" x14ac:dyDescent="0.3">
      <c r="A458" t="s">
        <v>1392</v>
      </c>
      <c r="B458" t="s">
        <v>1392</v>
      </c>
      <c r="C458" t="s">
        <v>1393</v>
      </c>
      <c r="D458">
        <v>59</v>
      </c>
      <c r="E458" t="s">
        <v>9</v>
      </c>
      <c r="F458" t="s">
        <v>1394</v>
      </c>
      <c r="G458" t="s">
        <v>288</v>
      </c>
      <c r="H458" t="s">
        <v>12</v>
      </c>
      <c r="I458" t="s">
        <v>13</v>
      </c>
    </row>
    <row r="459" spans="1:9" x14ac:dyDescent="0.3">
      <c r="A459" t="s">
        <v>1395</v>
      </c>
      <c r="B459" t="s">
        <v>1395</v>
      </c>
      <c r="C459" t="s">
        <v>1396</v>
      </c>
      <c r="D459">
        <v>62</v>
      </c>
      <c r="E459" t="s">
        <v>16</v>
      </c>
      <c r="F459" t="s">
        <v>1397</v>
      </c>
      <c r="G459" t="s">
        <v>582</v>
      </c>
      <c r="H459" t="s">
        <v>12</v>
      </c>
      <c r="I459" t="s">
        <v>19</v>
      </c>
    </row>
    <row r="460" spans="1:9" x14ac:dyDescent="0.3">
      <c r="A460" t="s">
        <v>1398</v>
      </c>
      <c r="B460" t="s">
        <v>1398</v>
      </c>
      <c r="C460" t="s">
        <v>1399</v>
      </c>
      <c r="D460">
        <v>29</v>
      </c>
      <c r="E460" t="s">
        <v>16</v>
      </c>
      <c r="F460" t="s">
        <v>1400</v>
      </c>
      <c r="G460" t="s">
        <v>51</v>
      </c>
      <c r="H460" t="s">
        <v>12</v>
      </c>
      <c r="I460" t="s">
        <v>31</v>
      </c>
    </row>
    <row r="461" spans="1:9" x14ac:dyDescent="0.3">
      <c r="A461" t="s">
        <v>1401</v>
      </c>
      <c r="B461" t="s">
        <v>1401</v>
      </c>
      <c r="C461" t="s">
        <v>673</v>
      </c>
      <c r="D461">
        <v>35</v>
      </c>
      <c r="E461" t="s">
        <v>9</v>
      </c>
      <c r="F461" t="s">
        <v>1402</v>
      </c>
      <c r="G461" t="s">
        <v>312</v>
      </c>
      <c r="H461" t="s">
        <v>12</v>
      </c>
      <c r="I461" t="s">
        <v>13</v>
      </c>
    </row>
    <row r="462" spans="1:9" x14ac:dyDescent="0.3">
      <c r="A462" t="s">
        <v>1403</v>
      </c>
      <c r="B462" t="s">
        <v>1403</v>
      </c>
      <c r="C462" t="s">
        <v>1404</v>
      </c>
      <c r="D462">
        <v>60</v>
      </c>
      <c r="E462" t="s">
        <v>16</v>
      </c>
      <c r="F462" t="s">
        <v>1405</v>
      </c>
      <c r="G462" t="s">
        <v>264</v>
      </c>
      <c r="H462" t="s">
        <v>12</v>
      </c>
      <c r="I462" t="s">
        <v>13</v>
      </c>
    </row>
    <row r="463" spans="1:9" x14ac:dyDescent="0.3">
      <c r="A463" t="s">
        <v>1406</v>
      </c>
      <c r="B463" t="s">
        <v>1406</v>
      </c>
      <c r="C463" t="s">
        <v>1407</v>
      </c>
      <c r="D463">
        <v>34</v>
      </c>
      <c r="E463" t="s">
        <v>16</v>
      </c>
      <c r="F463" t="s">
        <v>1408</v>
      </c>
      <c r="G463" t="s">
        <v>62</v>
      </c>
      <c r="H463" t="s">
        <v>12</v>
      </c>
      <c r="I463" t="s">
        <v>31</v>
      </c>
    </row>
    <row r="464" spans="1:9" x14ac:dyDescent="0.3">
      <c r="A464" t="s">
        <v>1409</v>
      </c>
      <c r="B464" t="s">
        <v>1409</v>
      </c>
      <c r="C464" t="s">
        <v>1410</v>
      </c>
      <c r="D464">
        <v>36</v>
      </c>
      <c r="E464" t="s">
        <v>16</v>
      </c>
      <c r="F464" t="s">
        <v>1411</v>
      </c>
      <c r="G464" t="s">
        <v>43</v>
      </c>
      <c r="H464" t="s">
        <v>12</v>
      </c>
      <c r="I464" t="s">
        <v>31</v>
      </c>
    </row>
    <row r="465" spans="1:9" x14ac:dyDescent="0.3">
      <c r="A465" t="s">
        <v>1412</v>
      </c>
      <c r="B465" t="s">
        <v>1412</v>
      </c>
      <c r="C465" t="s">
        <v>1413</v>
      </c>
      <c r="D465">
        <v>45</v>
      </c>
      <c r="E465" t="s">
        <v>16</v>
      </c>
      <c r="F465" t="s">
        <v>1414</v>
      </c>
      <c r="G465" t="s">
        <v>166</v>
      </c>
      <c r="H465" t="s">
        <v>12</v>
      </c>
      <c r="I465" t="s">
        <v>26</v>
      </c>
    </row>
    <row r="466" spans="1:9" x14ac:dyDescent="0.3">
      <c r="A466" t="s">
        <v>1415</v>
      </c>
      <c r="B466" t="s">
        <v>1415</v>
      </c>
      <c r="C466" t="s">
        <v>1416</v>
      </c>
      <c r="D466">
        <v>28</v>
      </c>
      <c r="E466" t="s">
        <v>16</v>
      </c>
      <c r="F466" t="s">
        <v>1417</v>
      </c>
      <c r="G466" t="s">
        <v>74</v>
      </c>
      <c r="H466" t="s">
        <v>12</v>
      </c>
      <c r="I466" t="s">
        <v>19</v>
      </c>
    </row>
    <row r="467" spans="1:9" x14ac:dyDescent="0.3">
      <c r="A467" t="s">
        <v>1418</v>
      </c>
      <c r="B467" t="s">
        <v>1418</v>
      </c>
      <c r="C467" t="s">
        <v>1419</v>
      </c>
      <c r="D467">
        <v>18</v>
      </c>
      <c r="E467" t="s">
        <v>9</v>
      </c>
      <c r="F467" t="s">
        <v>1420</v>
      </c>
      <c r="G467" t="s">
        <v>11</v>
      </c>
      <c r="H467" t="s">
        <v>12</v>
      </c>
      <c r="I467" t="s">
        <v>31</v>
      </c>
    </row>
    <row r="468" spans="1:9" x14ac:dyDescent="0.3">
      <c r="A468" t="s">
        <v>1421</v>
      </c>
      <c r="B468" t="s">
        <v>1421</v>
      </c>
      <c r="C468" t="s">
        <v>1422</v>
      </c>
      <c r="D468">
        <v>63</v>
      </c>
      <c r="E468" t="s">
        <v>16</v>
      </c>
      <c r="F468" t="s">
        <v>1423</v>
      </c>
      <c r="G468" t="s">
        <v>198</v>
      </c>
      <c r="H468" t="s">
        <v>12</v>
      </c>
      <c r="I468" t="s">
        <v>31</v>
      </c>
    </row>
    <row r="469" spans="1:9" x14ac:dyDescent="0.3">
      <c r="A469" t="s">
        <v>1424</v>
      </c>
      <c r="B469" t="s">
        <v>1424</v>
      </c>
      <c r="C469" t="s">
        <v>1425</v>
      </c>
      <c r="D469">
        <v>45</v>
      </c>
      <c r="E469" t="s">
        <v>9</v>
      </c>
      <c r="F469" t="s">
        <v>1426</v>
      </c>
      <c r="G469" t="s">
        <v>170</v>
      </c>
      <c r="H469" t="s">
        <v>12</v>
      </c>
      <c r="I469" t="s">
        <v>13</v>
      </c>
    </row>
    <row r="470" spans="1:9" x14ac:dyDescent="0.3">
      <c r="A470" t="s">
        <v>1427</v>
      </c>
      <c r="B470" t="s">
        <v>1427</v>
      </c>
      <c r="C470" t="s">
        <v>1428</v>
      </c>
      <c r="D470">
        <v>19</v>
      </c>
      <c r="E470" t="s">
        <v>9</v>
      </c>
      <c r="F470" t="s">
        <v>1429</v>
      </c>
      <c r="G470" t="s">
        <v>170</v>
      </c>
      <c r="H470" t="s">
        <v>12</v>
      </c>
      <c r="I470" t="s">
        <v>26</v>
      </c>
    </row>
    <row r="471" spans="1:9" x14ac:dyDescent="0.3">
      <c r="A471" t="s">
        <v>1430</v>
      </c>
      <c r="B471" t="s">
        <v>1430</v>
      </c>
      <c r="C471" t="s">
        <v>1431</v>
      </c>
      <c r="D471">
        <v>21</v>
      </c>
      <c r="E471" t="s">
        <v>16</v>
      </c>
      <c r="F471" t="s">
        <v>1432</v>
      </c>
      <c r="G471" t="s">
        <v>117</v>
      </c>
      <c r="H471" t="s">
        <v>12</v>
      </c>
      <c r="I471" t="s">
        <v>13</v>
      </c>
    </row>
    <row r="472" spans="1:9" x14ac:dyDescent="0.3">
      <c r="A472" t="s">
        <v>1433</v>
      </c>
      <c r="B472" t="s">
        <v>1433</v>
      </c>
      <c r="C472" t="s">
        <v>1434</v>
      </c>
      <c r="D472">
        <v>42</v>
      </c>
      <c r="E472" t="s">
        <v>9</v>
      </c>
      <c r="F472" t="s">
        <v>1435</v>
      </c>
      <c r="G472" t="s">
        <v>47</v>
      </c>
      <c r="H472" t="s">
        <v>12</v>
      </c>
      <c r="I472" t="s">
        <v>13</v>
      </c>
    </row>
    <row r="473" spans="1:9" x14ac:dyDescent="0.3">
      <c r="A473" t="s">
        <v>1436</v>
      </c>
      <c r="B473" t="s">
        <v>1436</v>
      </c>
      <c r="C473" t="s">
        <v>1437</v>
      </c>
      <c r="D473">
        <v>42</v>
      </c>
      <c r="E473" t="s">
        <v>9</v>
      </c>
      <c r="F473" t="s">
        <v>1438</v>
      </c>
      <c r="G473" t="s">
        <v>66</v>
      </c>
      <c r="H473" t="s">
        <v>12</v>
      </c>
      <c r="I473" t="s">
        <v>19</v>
      </c>
    </row>
    <row r="474" spans="1:9" x14ac:dyDescent="0.3">
      <c r="A474" t="s">
        <v>1439</v>
      </c>
      <c r="B474" t="s">
        <v>1439</v>
      </c>
      <c r="C474" t="s">
        <v>1440</v>
      </c>
      <c r="D474">
        <v>53</v>
      </c>
      <c r="E474" t="s">
        <v>9</v>
      </c>
      <c r="F474" t="s">
        <v>1441</v>
      </c>
      <c r="G474" t="s">
        <v>709</v>
      </c>
      <c r="H474" t="s">
        <v>12</v>
      </c>
      <c r="I474" t="s">
        <v>31</v>
      </c>
    </row>
    <row r="475" spans="1:9" x14ac:dyDescent="0.3">
      <c r="A475" t="s">
        <v>1442</v>
      </c>
      <c r="B475" t="s">
        <v>1442</v>
      </c>
      <c r="C475" t="s">
        <v>1443</v>
      </c>
      <c r="D475">
        <v>32</v>
      </c>
      <c r="E475" t="s">
        <v>16</v>
      </c>
      <c r="F475" t="s">
        <v>1444</v>
      </c>
      <c r="G475" t="s">
        <v>319</v>
      </c>
      <c r="H475" t="s">
        <v>12</v>
      </c>
      <c r="I475" t="s">
        <v>26</v>
      </c>
    </row>
    <row r="476" spans="1:9" x14ac:dyDescent="0.3">
      <c r="A476" t="s">
        <v>1445</v>
      </c>
      <c r="B476" t="s">
        <v>1445</v>
      </c>
      <c r="C476" t="s">
        <v>1446</v>
      </c>
      <c r="D476">
        <v>18</v>
      </c>
      <c r="E476" t="s">
        <v>16</v>
      </c>
      <c r="F476" t="s">
        <v>1447</v>
      </c>
      <c r="G476" t="s">
        <v>39</v>
      </c>
      <c r="H476" t="s">
        <v>12</v>
      </c>
      <c r="I476" t="s">
        <v>19</v>
      </c>
    </row>
    <row r="477" spans="1:9" x14ac:dyDescent="0.3">
      <c r="A477" t="s">
        <v>1448</v>
      </c>
      <c r="B477" t="s">
        <v>1448</v>
      </c>
      <c r="C477" t="s">
        <v>1449</v>
      </c>
      <c r="D477">
        <v>33</v>
      </c>
      <c r="E477" t="s">
        <v>16</v>
      </c>
      <c r="F477" t="s">
        <v>390</v>
      </c>
      <c r="G477" t="s">
        <v>170</v>
      </c>
      <c r="H477" t="s">
        <v>12</v>
      </c>
      <c r="I477" t="s">
        <v>19</v>
      </c>
    </row>
    <row r="478" spans="1:9" x14ac:dyDescent="0.3">
      <c r="A478" t="s">
        <v>1450</v>
      </c>
      <c r="B478" t="s">
        <v>1450</v>
      </c>
      <c r="C478" t="s">
        <v>1451</v>
      </c>
      <c r="D478">
        <v>41</v>
      </c>
      <c r="E478" t="s">
        <v>16</v>
      </c>
      <c r="F478" t="s">
        <v>1452</v>
      </c>
      <c r="G478" t="s">
        <v>96</v>
      </c>
      <c r="H478" t="s">
        <v>12</v>
      </c>
      <c r="I478" t="s">
        <v>13</v>
      </c>
    </row>
    <row r="479" spans="1:9" x14ac:dyDescent="0.3">
      <c r="A479" t="s">
        <v>1453</v>
      </c>
      <c r="B479" t="s">
        <v>1453</v>
      </c>
      <c r="C479" t="s">
        <v>1454</v>
      </c>
      <c r="D479">
        <v>59</v>
      </c>
      <c r="E479" t="s">
        <v>9</v>
      </c>
      <c r="F479" t="s">
        <v>1455</v>
      </c>
      <c r="G479" t="s">
        <v>62</v>
      </c>
      <c r="H479" t="s">
        <v>12</v>
      </c>
      <c r="I479" t="s">
        <v>19</v>
      </c>
    </row>
    <row r="480" spans="1:9" x14ac:dyDescent="0.3">
      <c r="A480" t="s">
        <v>1456</v>
      </c>
      <c r="B480" t="s">
        <v>1456</v>
      </c>
      <c r="C480" t="s">
        <v>3951</v>
      </c>
      <c r="D480">
        <v>40</v>
      </c>
      <c r="E480" t="s">
        <v>9</v>
      </c>
      <c r="F480" t="s">
        <v>1457</v>
      </c>
      <c r="G480" t="s">
        <v>39</v>
      </c>
      <c r="H480" t="s">
        <v>12</v>
      </c>
      <c r="I480" t="s">
        <v>13</v>
      </c>
    </row>
    <row r="481" spans="1:9" x14ac:dyDescent="0.3">
      <c r="A481" t="s">
        <v>1458</v>
      </c>
      <c r="B481" t="s">
        <v>1458</v>
      </c>
      <c r="C481" t="s">
        <v>1459</v>
      </c>
      <c r="D481">
        <v>33</v>
      </c>
      <c r="E481" t="s">
        <v>9</v>
      </c>
      <c r="F481" t="s">
        <v>1460</v>
      </c>
      <c r="G481" t="s">
        <v>43</v>
      </c>
      <c r="H481" t="s">
        <v>12</v>
      </c>
      <c r="I481" t="s">
        <v>26</v>
      </c>
    </row>
    <row r="482" spans="1:9" x14ac:dyDescent="0.3">
      <c r="A482" t="s">
        <v>1461</v>
      </c>
      <c r="B482" t="s">
        <v>1461</v>
      </c>
      <c r="C482" t="s">
        <v>1462</v>
      </c>
      <c r="D482">
        <v>21</v>
      </c>
      <c r="E482" t="s">
        <v>9</v>
      </c>
      <c r="F482" t="s">
        <v>1463</v>
      </c>
      <c r="G482" t="s">
        <v>247</v>
      </c>
      <c r="H482" t="s">
        <v>12</v>
      </c>
      <c r="I482" t="s">
        <v>26</v>
      </c>
    </row>
    <row r="483" spans="1:9" x14ac:dyDescent="0.3">
      <c r="A483" t="s">
        <v>1464</v>
      </c>
      <c r="B483" t="s">
        <v>1464</v>
      </c>
      <c r="C483" t="s">
        <v>1465</v>
      </c>
      <c r="D483">
        <v>26</v>
      </c>
      <c r="E483" t="s">
        <v>9</v>
      </c>
      <c r="F483" t="s">
        <v>1466</v>
      </c>
      <c r="G483" t="s">
        <v>81</v>
      </c>
      <c r="H483" t="s">
        <v>12</v>
      </c>
      <c r="I483" t="s">
        <v>13</v>
      </c>
    </row>
    <row r="484" spans="1:9" x14ac:dyDescent="0.3">
      <c r="A484" t="s">
        <v>1467</v>
      </c>
      <c r="B484" t="s">
        <v>1467</v>
      </c>
      <c r="C484" t="s">
        <v>1468</v>
      </c>
      <c r="D484">
        <v>48</v>
      </c>
      <c r="E484" t="s">
        <v>9</v>
      </c>
      <c r="F484" t="s">
        <v>1469</v>
      </c>
      <c r="G484" t="s">
        <v>582</v>
      </c>
      <c r="H484" t="s">
        <v>12</v>
      </c>
      <c r="I484" t="s">
        <v>19</v>
      </c>
    </row>
    <row r="485" spans="1:9" x14ac:dyDescent="0.3">
      <c r="A485" t="s">
        <v>1470</v>
      </c>
      <c r="B485" t="s">
        <v>1470</v>
      </c>
      <c r="C485" t="s">
        <v>1259</v>
      </c>
      <c r="D485">
        <v>32</v>
      </c>
      <c r="E485" t="s">
        <v>9</v>
      </c>
      <c r="F485" t="s">
        <v>1471</v>
      </c>
      <c r="G485" t="s">
        <v>181</v>
      </c>
      <c r="H485" t="s">
        <v>12</v>
      </c>
      <c r="I485" t="s">
        <v>13</v>
      </c>
    </row>
    <row r="486" spans="1:9" x14ac:dyDescent="0.3">
      <c r="A486" t="s">
        <v>1472</v>
      </c>
      <c r="B486" t="s">
        <v>1472</v>
      </c>
      <c r="C486" t="s">
        <v>1473</v>
      </c>
      <c r="D486">
        <v>46</v>
      </c>
      <c r="E486" t="s">
        <v>16</v>
      </c>
      <c r="F486" t="s">
        <v>1474</v>
      </c>
      <c r="G486" t="s">
        <v>709</v>
      </c>
      <c r="H486" t="s">
        <v>12</v>
      </c>
      <c r="I486" t="s">
        <v>26</v>
      </c>
    </row>
    <row r="487" spans="1:9" x14ac:dyDescent="0.3">
      <c r="A487" t="s">
        <v>1475</v>
      </c>
      <c r="B487" t="s">
        <v>1475</v>
      </c>
      <c r="C487" t="s">
        <v>1476</v>
      </c>
      <c r="D487">
        <v>22</v>
      </c>
      <c r="E487" t="s">
        <v>16</v>
      </c>
      <c r="F487" t="s">
        <v>1477</v>
      </c>
      <c r="G487" t="s">
        <v>284</v>
      </c>
      <c r="H487" t="s">
        <v>12</v>
      </c>
      <c r="I487" t="s">
        <v>26</v>
      </c>
    </row>
    <row r="488" spans="1:9" x14ac:dyDescent="0.3">
      <c r="A488" t="s">
        <v>1478</v>
      </c>
      <c r="B488" t="s">
        <v>1478</v>
      </c>
      <c r="C488" t="s">
        <v>1479</v>
      </c>
      <c r="D488">
        <v>36</v>
      </c>
      <c r="E488" t="s">
        <v>16</v>
      </c>
      <c r="F488" t="s">
        <v>1480</v>
      </c>
      <c r="G488" t="s">
        <v>170</v>
      </c>
      <c r="H488" t="s">
        <v>12</v>
      </c>
      <c r="I488" t="s">
        <v>26</v>
      </c>
    </row>
    <row r="489" spans="1:9" x14ac:dyDescent="0.3">
      <c r="A489" t="s">
        <v>1481</v>
      </c>
      <c r="B489" t="s">
        <v>1481</v>
      </c>
      <c r="C489" t="s">
        <v>1482</v>
      </c>
      <c r="D489">
        <v>23</v>
      </c>
      <c r="E489" t="s">
        <v>16</v>
      </c>
      <c r="F489" t="s">
        <v>1483</v>
      </c>
      <c r="G489" t="s">
        <v>117</v>
      </c>
      <c r="H489" t="s">
        <v>12</v>
      </c>
      <c r="I489" t="s">
        <v>19</v>
      </c>
    </row>
    <row r="490" spans="1:9" x14ac:dyDescent="0.3">
      <c r="A490" t="s">
        <v>1484</v>
      </c>
      <c r="B490" t="s">
        <v>1484</v>
      </c>
      <c r="C490" t="s">
        <v>1485</v>
      </c>
      <c r="D490">
        <v>42</v>
      </c>
      <c r="E490" t="s">
        <v>16</v>
      </c>
      <c r="F490" t="s">
        <v>1486</v>
      </c>
      <c r="G490" t="s">
        <v>30</v>
      </c>
      <c r="H490" t="s">
        <v>12</v>
      </c>
      <c r="I490" t="s">
        <v>19</v>
      </c>
    </row>
    <row r="491" spans="1:9" x14ac:dyDescent="0.3">
      <c r="A491" t="s">
        <v>1487</v>
      </c>
      <c r="B491" t="s">
        <v>1487</v>
      </c>
      <c r="C491" t="s">
        <v>1488</v>
      </c>
      <c r="D491">
        <v>23</v>
      </c>
      <c r="E491" t="s">
        <v>9</v>
      </c>
      <c r="F491" t="s">
        <v>1489</v>
      </c>
      <c r="G491" t="s">
        <v>251</v>
      </c>
      <c r="H491" t="s">
        <v>12</v>
      </c>
      <c r="I491" t="s">
        <v>31</v>
      </c>
    </row>
    <row r="492" spans="1:9" x14ac:dyDescent="0.3">
      <c r="A492" t="s">
        <v>1490</v>
      </c>
      <c r="B492" t="s">
        <v>1490</v>
      </c>
      <c r="C492" t="s">
        <v>1491</v>
      </c>
      <c r="D492">
        <v>52</v>
      </c>
      <c r="E492" t="s">
        <v>16</v>
      </c>
      <c r="F492" t="s">
        <v>1492</v>
      </c>
      <c r="G492" t="s">
        <v>139</v>
      </c>
      <c r="H492" t="s">
        <v>12</v>
      </c>
      <c r="I492" t="s">
        <v>19</v>
      </c>
    </row>
    <row r="493" spans="1:9" x14ac:dyDescent="0.3">
      <c r="A493" t="s">
        <v>1493</v>
      </c>
      <c r="B493" t="s">
        <v>1493</v>
      </c>
      <c r="C493" t="s">
        <v>1494</v>
      </c>
      <c r="D493">
        <v>59</v>
      </c>
      <c r="E493" t="s">
        <v>16</v>
      </c>
      <c r="F493" t="s">
        <v>1495</v>
      </c>
      <c r="G493" t="s">
        <v>39</v>
      </c>
      <c r="H493" t="s">
        <v>12</v>
      </c>
      <c r="I493" t="s">
        <v>13</v>
      </c>
    </row>
    <row r="494" spans="1:9" x14ac:dyDescent="0.3">
      <c r="A494" t="s">
        <v>1496</v>
      </c>
      <c r="B494" t="s">
        <v>1496</v>
      </c>
      <c r="C494" t="s">
        <v>1497</v>
      </c>
      <c r="D494">
        <v>28</v>
      </c>
      <c r="E494" t="s">
        <v>9</v>
      </c>
      <c r="F494" t="s">
        <v>1498</v>
      </c>
      <c r="G494" t="s">
        <v>247</v>
      </c>
      <c r="H494" t="s">
        <v>12</v>
      </c>
      <c r="I494" t="s">
        <v>19</v>
      </c>
    </row>
    <row r="495" spans="1:9" x14ac:dyDescent="0.3">
      <c r="A495" t="s">
        <v>1499</v>
      </c>
      <c r="B495" t="s">
        <v>1499</v>
      </c>
      <c r="C495" t="s">
        <v>1500</v>
      </c>
      <c r="D495">
        <v>21</v>
      </c>
      <c r="E495" t="s">
        <v>9</v>
      </c>
      <c r="F495" t="s">
        <v>84</v>
      </c>
      <c r="G495" t="s">
        <v>22</v>
      </c>
      <c r="H495" t="s">
        <v>12</v>
      </c>
      <c r="I495" t="s">
        <v>31</v>
      </c>
    </row>
    <row r="496" spans="1:9" x14ac:dyDescent="0.3">
      <c r="A496" t="s">
        <v>1501</v>
      </c>
      <c r="B496" t="s">
        <v>1501</v>
      </c>
      <c r="C496" t="s">
        <v>1502</v>
      </c>
      <c r="D496">
        <v>23</v>
      </c>
      <c r="E496" t="s">
        <v>16</v>
      </c>
      <c r="F496" t="s">
        <v>1503</v>
      </c>
      <c r="G496" t="s">
        <v>354</v>
      </c>
      <c r="H496" t="s">
        <v>12</v>
      </c>
      <c r="I496" t="s">
        <v>13</v>
      </c>
    </row>
    <row r="497" spans="1:9" x14ac:dyDescent="0.3">
      <c r="A497" t="s">
        <v>1504</v>
      </c>
      <c r="B497" t="s">
        <v>1504</v>
      </c>
      <c r="C497" t="s">
        <v>1505</v>
      </c>
      <c r="D497">
        <v>56</v>
      </c>
      <c r="E497" t="s">
        <v>9</v>
      </c>
      <c r="F497" t="s">
        <v>1506</v>
      </c>
      <c r="G497" t="s">
        <v>92</v>
      </c>
      <c r="H497" t="s">
        <v>12</v>
      </c>
      <c r="I497" t="s">
        <v>26</v>
      </c>
    </row>
    <row r="498" spans="1:9" x14ac:dyDescent="0.3">
      <c r="A498" t="s">
        <v>1507</v>
      </c>
      <c r="B498" t="s">
        <v>1507</v>
      </c>
      <c r="C498" t="s">
        <v>1508</v>
      </c>
      <c r="D498">
        <v>47</v>
      </c>
      <c r="E498" t="s">
        <v>16</v>
      </c>
      <c r="F498" t="s">
        <v>1509</v>
      </c>
      <c r="G498" t="s">
        <v>25</v>
      </c>
      <c r="H498" t="s">
        <v>12</v>
      </c>
      <c r="I498" t="s">
        <v>26</v>
      </c>
    </row>
    <row r="499" spans="1:9" x14ac:dyDescent="0.3">
      <c r="A499" t="s">
        <v>1510</v>
      </c>
      <c r="B499" t="s">
        <v>1510</v>
      </c>
      <c r="C499" t="s">
        <v>1511</v>
      </c>
      <c r="D499">
        <v>35</v>
      </c>
      <c r="E499" t="s">
        <v>9</v>
      </c>
      <c r="F499" t="s">
        <v>1512</v>
      </c>
      <c r="G499" t="s">
        <v>58</v>
      </c>
      <c r="H499" t="s">
        <v>12</v>
      </c>
      <c r="I499" t="s">
        <v>13</v>
      </c>
    </row>
    <row r="500" spans="1:9" x14ac:dyDescent="0.3">
      <c r="A500" t="s">
        <v>1513</v>
      </c>
      <c r="B500" t="s">
        <v>1513</v>
      </c>
      <c r="C500" t="s">
        <v>1514</v>
      </c>
      <c r="D500">
        <v>27</v>
      </c>
      <c r="E500" t="s">
        <v>16</v>
      </c>
      <c r="F500" t="s">
        <v>1515</v>
      </c>
      <c r="G500" t="s">
        <v>230</v>
      </c>
      <c r="H500" t="s">
        <v>12</v>
      </c>
      <c r="I500" t="s">
        <v>31</v>
      </c>
    </row>
    <row r="501" spans="1:9" x14ac:dyDescent="0.3">
      <c r="A501" t="s">
        <v>1516</v>
      </c>
      <c r="B501" t="s">
        <v>1516</v>
      </c>
      <c r="C501" t="s">
        <v>1517</v>
      </c>
      <c r="D501">
        <v>27</v>
      </c>
      <c r="E501" t="s">
        <v>16</v>
      </c>
      <c r="F501" t="s">
        <v>1518</v>
      </c>
      <c r="G501" t="s">
        <v>35</v>
      </c>
      <c r="H501" t="s">
        <v>12</v>
      </c>
      <c r="I501" t="s">
        <v>19</v>
      </c>
    </row>
  </sheetData>
  <autoFilter ref="A1:A501" xr:uid="{00000000-0001-0000-0000-000000000000}"/>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selection activeCell="B1" sqref="B1:G1"/>
    </sheetView>
  </sheetViews>
  <sheetFormatPr defaultRowHeight="14.4" x14ac:dyDescent="0.3"/>
  <cols>
    <col min="1" max="1" width="14.109375" customWidth="1"/>
    <col min="2" max="2" width="26.5546875" customWidth="1"/>
    <col min="3" max="3" width="13.6640625" customWidth="1"/>
    <col min="4" max="4" width="14.6640625" customWidth="1"/>
    <col min="5" max="5" width="14.88671875" customWidth="1"/>
    <col min="8" max="8" width="9.109375" customWidth="1"/>
    <col min="9" max="9" width="12.109375" bestFit="1" customWidth="1"/>
  </cols>
  <sheetData>
    <row r="1" spans="1:8" x14ac:dyDescent="0.3">
      <c r="A1" s="6" t="s">
        <v>1519</v>
      </c>
      <c r="B1" s="6" t="s">
        <v>1520</v>
      </c>
      <c r="C1" s="6" t="s">
        <v>1521</v>
      </c>
      <c r="D1" s="6" t="s">
        <v>1522</v>
      </c>
      <c r="E1" s="6" t="s">
        <v>1523</v>
      </c>
      <c r="F1" s="5" t="s">
        <v>1524</v>
      </c>
      <c r="G1" s="5" t="s">
        <v>1525</v>
      </c>
      <c r="H1" s="3"/>
    </row>
    <row r="2" spans="1:8" x14ac:dyDescent="0.3">
      <c r="A2" t="s">
        <v>1526</v>
      </c>
      <c r="B2" t="s">
        <v>3810</v>
      </c>
      <c r="C2" t="s">
        <v>1546</v>
      </c>
      <c r="D2" t="s">
        <v>3811</v>
      </c>
      <c r="E2" t="s">
        <v>1528</v>
      </c>
      <c r="F2" s="4">
        <v>112.42</v>
      </c>
      <c r="G2" s="4">
        <v>416</v>
      </c>
      <c r="H2" s="4"/>
    </row>
    <row r="3" spans="1:8" x14ac:dyDescent="0.3">
      <c r="A3" t="s">
        <v>1529</v>
      </c>
      <c r="B3" t="s">
        <v>3812</v>
      </c>
      <c r="C3" t="s">
        <v>1530</v>
      </c>
      <c r="D3" t="s">
        <v>3813</v>
      </c>
      <c r="E3" t="s">
        <v>1531</v>
      </c>
      <c r="F3" s="4">
        <v>342.56</v>
      </c>
      <c r="G3" s="4">
        <v>181</v>
      </c>
      <c r="H3" s="4"/>
    </row>
    <row r="4" spans="1:8" x14ac:dyDescent="0.3">
      <c r="A4" t="s">
        <v>1532</v>
      </c>
      <c r="B4" t="s">
        <v>3814</v>
      </c>
      <c r="C4" t="s">
        <v>1530</v>
      </c>
      <c r="D4" t="s">
        <v>3815</v>
      </c>
      <c r="E4" t="s">
        <v>1533</v>
      </c>
      <c r="F4" s="4">
        <v>254.62086956521742</v>
      </c>
      <c r="G4" s="4">
        <v>352</v>
      </c>
      <c r="H4" s="4"/>
    </row>
    <row r="5" spans="1:8" x14ac:dyDescent="0.3">
      <c r="A5" t="s">
        <v>1534</v>
      </c>
      <c r="B5" t="s">
        <v>3816</v>
      </c>
      <c r="C5" t="s">
        <v>1530</v>
      </c>
      <c r="D5" t="s">
        <v>3815</v>
      </c>
      <c r="E5" t="s">
        <v>1535</v>
      </c>
      <c r="F5" s="4">
        <v>364.67</v>
      </c>
      <c r="G5" s="4">
        <v>452</v>
      </c>
      <c r="H5" s="4"/>
    </row>
    <row r="6" spans="1:8" x14ac:dyDescent="0.3">
      <c r="A6" t="s">
        <v>1536</v>
      </c>
      <c r="B6" t="s">
        <v>3817</v>
      </c>
      <c r="C6" t="s">
        <v>1530</v>
      </c>
      <c r="D6" t="s">
        <v>3818</v>
      </c>
      <c r="E6" t="s">
        <v>1537</v>
      </c>
      <c r="F6" s="4">
        <v>306.45999999999998</v>
      </c>
      <c r="G6" s="4">
        <v>487</v>
      </c>
      <c r="H6" s="4"/>
    </row>
    <row r="7" spans="1:8" x14ac:dyDescent="0.3">
      <c r="A7" t="s">
        <v>1538</v>
      </c>
      <c r="B7" t="s">
        <v>3819</v>
      </c>
      <c r="C7" t="s">
        <v>1530</v>
      </c>
      <c r="D7" t="s">
        <v>3820</v>
      </c>
      <c r="E7" t="s">
        <v>1539</v>
      </c>
      <c r="F7" s="4">
        <v>261</v>
      </c>
      <c r="G7" s="4">
        <v>59</v>
      </c>
      <c r="H7" s="4"/>
    </row>
    <row r="8" spans="1:8" x14ac:dyDescent="0.3">
      <c r="A8" t="s">
        <v>1540</v>
      </c>
      <c r="B8" t="s">
        <v>3821</v>
      </c>
      <c r="C8" t="s">
        <v>1541</v>
      </c>
      <c r="D8" t="s">
        <v>3822</v>
      </c>
      <c r="E8" t="s">
        <v>1542</v>
      </c>
      <c r="F8" s="4">
        <v>312.8</v>
      </c>
      <c r="G8" s="4">
        <v>350</v>
      </c>
      <c r="H8" s="4"/>
    </row>
    <row r="9" spans="1:8" x14ac:dyDescent="0.3">
      <c r="A9" t="s">
        <v>1543</v>
      </c>
      <c r="B9" t="s">
        <v>3823</v>
      </c>
      <c r="C9" t="s">
        <v>1527</v>
      </c>
      <c r="D9" t="s">
        <v>3824</v>
      </c>
      <c r="E9" t="s">
        <v>1544</v>
      </c>
      <c r="F9" s="4">
        <v>218.86</v>
      </c>
      <c r="G9" s="4">
        <v>170</v>
      </c>
      <c r="H9" s="4"/>
    </row>
    <row r="10" spans="1:8" x14ac:dyDescent="0.3">
      <c r="A10" t="s">
        <v>1545</v>
      </c>
      <c r="B10" t="s">
        <v>3825</v>
      </c>
      <c r="C10" t="s">
        <v>1546</v>
      </c>
      <c r="D10" t="s">
        <v>3826</v>
      </c>
      <c r="E10" t="s">
        <v>1547</v>
      </c>
      <c r="F10" s="4">
        <v>439.07</v>
      </c>
      <c r="G10" s="4">
        <v>142</v>
      </c>
      <c r="H10" s="4"/>
    </row>
    <row r="11" spans="1:8" x14ac:dyDescent="0.3">
      <c r="A11" t="s">
        <v>1548</v>
      </c>
      <c r="B11" t="s">
        <v>3827</v>
      </c>
      <c r="C11" t="s">
        <v>1549</v>
      </c>
      <c r="D11" t="s">
        <v>3828</v>
      </c>
      <c r="E11" t="s">
        <v>1550</v>
      </c>
      <c r="F11" s="4">
        <v>495.72</v>
      </c>
      <c r="G11" s="4">
        <v>323</v>
      </c>
      <c r="H11" s="4"/>
    </row>
    <row r="12" spans="1:8" x14ac:dyDescent="0.3">
      <c r="A12" t="s">
        <v>1551</v>
      </c>
      <c r="B12" t="s">
        <v>3829</v>
      </c>
      <c r="C12" t="s">
        <v>1527</v>
      </c>
      <c r="D12" t="s">
        <v>3830</v>
      </c>
      <c r="E12" t="s">
        <v>1552</v>
      </c>
      <c r="F12" s="4">
        <v>298.86</v>
      </c>
      <c r="G12" s="4">
        <v>308</v>
      </c>
      <c r="H12" s="4"/>
    </row>
    <row r="13" spans="1:8" x14ac:dyDescent="0.3">
      <c r="A13" t="s">
        <v>1553</v>
      </c>
      <c r="B13" t="s">
        <v>3831</v>
      </c>
      <c r="C13" t="s">
        <v>1546</v>
      </c>
      <c r="D13" t="s">
        <v>3820</v>
      </c>
      <c r="E13" t="s">
        <v>1554</v>
      </c>
      <c r="F13" s="4">
        <v>449.4</v>
      </c>
      <c r="G13" s="4">
        <v>270.80232558139534</v>
      </c>
      <c r="H13" s="4"/>
    </row>
    <row r="14" spans="1:8" x14ac:dyDescent="0.3">
      <c r="A14" t="s">
        <v>1555</v>
      </c>
      <c r="B14" t="s">
        <v>3832</v>
      </c>
      <c r="C14" t="s">
        <v>1541</v>
      </c>
      <c r="D14" t="s">
        <v>3833</v>
      </c>
      <c r="E14" t="s">
        <v>1556</v>
      </c>
      <c r="F14" s="4">
        <v>115.82</v>
      </c>
      <c r="G14" s="4">
        <v>460</v>
      </c>
      <c r="H14" s="4"/>
    </row>
    <row r="15" spans="1:8" x14ac:dyDescent="0.3">
      <c r="A15" t="s">
        <v>1557</v>
      </c>
      <c r="B15" t="s">
        <v>3834</v>
      </c>
      <c r="C15" t="s">
        <v>1546</v>
      </c>
      <c r="D15" t="s">
        <v>3820</v>
      </c>
      <c r="E15" t="s">
        <v>1558</v>
      </c>
      <c r="F15" s="4">
        <v>242.23</v>
      </c>
      <c r="G15" s="4">
        <v>453</v>
      </c>
      <c r="H15" s="4"/>
    </row>
    <row r="16" spans="1:8" x14ac:dyDescent="0.3">
      <c r="A16" t="s">
        <v>1559</v>
      </c>
      <c r="B16" t="s">
        <v>3835</v>
      </c>
      <c r="C16" t="s">
        <v>1527</v>
      </c>
      <c r="D16" t="s">
        <v>3836</v>
      </c>
      <c r="E16" t="s">
        <v>1560</v>
      </c>
      <c r="F16" s="4">
        <v>48.01</v>
      </c>
      <c r="G16" s="4">
        <v>439</v>
      </c>
      <c r="H16" s="4"/>
    </row>
    <row r="17" spans="1:8" x14ac:dyDescent="0.3">
      <c r="A17" t="s">
        <v>1561</v>
      </c>
      <c r="B17" t="s">
        <v>3837</v>
      </c>
      <c r="C17" t="s">
        <v>1546</v>
      </c>
      <c r="D17" t="s">
        <v>3838</v>
      </c>
      <c r="E17" t="s">
        <v>1562</v>
      </c>
      <c r="F17" s="4">
        <v>465.34</v>
      </c>
      <c r="G17" s="4">
        <v>301</v>
      </c>
      <c r="H17" s="4"/>
    </row>
    <row r="18" spans="1:8" x14ac:dyDescent="0.3">
      <c r="A18" t="s">
        <v>1563</v>
      </c>
      <c r="B18" t="s">
        <v>3839</v>
      </c>
      <c r="C18" t="s">
        <v>1541</v>
      </c>
      <c r="D18" t="s">
        <v>3840</v>
      </c>
      <c r="E18" t="s">
        <v>1564</v>
      </c>
      <c r="F18" s="4">
        <v>337.42</v>
      </c>
      <c r="G18" s="4">
        <v>256</v>
      </c>
      <c r="H18" s="4"/>
    </row>
    <row r="19" spans="1:8" x14ac:dyDescent="0.3">
      <c r="A19" t="s">
        <v>1565</v>
      </c>
      <c r="B19" t="s">
        <v>3841</v>
      </c>
      <c r="C19" t="s">
        <v>1549</v>
      </c>
      <c r="D19" t="s">
        <v>3820</v>
      </c>
      <c r="E19" t="s">
        <v>1566</v>
      </c>
      <c r="F19" s="4">
        <v>144.53</v>
      </c>
      <c r="G19" s="4">
        <v>367</v>
      </c>
      <c r="H19" s="4"/>
    </row>
    <row r="20" spans="1:8" x14ac:dyDescent="0.3">
      <c r="A20" t="s">
        <v>1567</v>
      </c>
      <c r="B20" t="s">
        <v>3842</v>
      </c>
      <c r="C20" t="s">
        <v>1530</v>
      </c>
      <c r="D20" t="s">
        <v>3818</v>
      </c>
      <c r="E20" t="s">
        <v>1568</v>
      </c>
      <c r="F20" s="4">
        <v>245.7783116883117</v>
      </c>
      <c r="G20" s="4">
        <v>343</v>
      </c>
      <c r="H20" s="4"/>
    </row>
    <row r="21" spans="1:8" x14ac:dyDescent="0.3">
      <c r="A21" t="s">
        <v>1569</v>
      </c>
      <c r="B21" t="s">
        <v>3843</v>
      </c>
      <c r="C21" t="s">
        <v>1549</v>
      </c>
      <c r="D21" t="s">
        <v>3844</v>
      </c>
      <c r="E21" t="s">
        <v>1570</v>
      </c>
      <c r="F21" s="4">
        <v>21.34</v>
      </c>
      <c r="G21" s="4">
        <v>65</v>
      </c>
      <c r="H21" s="4"/>
    </row>
    <row r="22" spans="1:8" x14ac:dyDescent="0.3">
      <c r="A22" t="s">
        <v>1571</v>
      </c>
      <c r="B22" t="s">
        <v>3845</v>
      </c>
      <c r="C22" t="s">
        <v>1549</v>
      </c>
      <c r="D22" t="s">
        <v>3820</v>
      </c>
      <c r="E22" t="s">
        <v>1572</v>
      </c>
      <c r="F22" s="4">
        <v>131.51</v>
      </c>
      <c r="G22" s="4">
        <v>264.16666666666669</v>
      </c>
      <c r="H22" s="4"/>
    </row>
    <row r="23" spans="1:8" x14ac:dyDescent="0.3">
      <c r="A23" t="s">
        <v>1573</v>
      </c>
      <c r="B23" t="s">
        <v>3846</v>
      </c>
      <c r="C23" t="s">
        <v>1527</v>
      </c>
      <c r="D23" t="s">
        <v>3847</v>
      </c>
      <c r="E23" t="s">
        <v>1574</v>
      </c>
      <c r="F23" s="4">
        <v>123.46</v>
      </c>
      <c r="G23" s="4">
        <v>76</v>
      </c>
      <c r="H23" s="4"/>
    </row>
    <row r="24" spans="1:8" x14ac:dyDescent="0.3">
      <c r="A24" t="s">
        <v>1575</v>
      </c>
      <c r="B24" t="s">
        <v>3848</v>
      </c>
      <c r="C24" t="s">
        <v>1549</v>
      </c>
      <c r="D24" t="s">
        <v>3844</v>
      </c>
      <c r="E24" t="s">
        <v>1576</v>
      </c>
      <c r="F24" s="4">
        <v>484.62</v>
      </c>
      <c r="G24" s="4">
        <v>432</v>
      </c>
      <c r="H24" s="4"/>
    </row>
    <row r="25" spans="1:8" x14ac:dyDescent="0.3">
      <c r="A25" t="s">
        <v>1577</v>
      </c>
      <c r="B25" t="s">
        <v>3849</v>
      </c>
      <c r="C25" t="s">
        <v>1530</v>
      </c>
      <c r="D25" t="s">
        <v>3813</v>
      </c>
      <c r="E25" t="s">
        <v>1578</v>
      </c>
      <c r="F25" s="4">
        <v>248.82191780821913</v>
      </c>
      <c r="G25" s="4">
        <v>360</v>
      </c>
      <c r="H25" s="4"/>
    </row>
    <row r="26" spans="1:8" x14ac:dyDescent="0.3">
      <c r="A26" t="s">
        <v>1579</v>
      </c>
      <c r="B26" t="s">
        <v>3850</v>
      </c>
      <c r="C26" t="s">
        <v>1549</v>
      </c>
      <c r="D26" t="s">
        <v>3851</v>
      </c>
      <c r="E26" t="s">
        <v>1580</v>
      </c>
      <c r="F26" s="4">
        <v>166.06</v>
      </c>
      <c r="G26" s="4">
        <v>340</v>
      </c>
      <c r="H26" s="4"/>
    </row>
    <row r="27" spans="1:8" x14ac:dyDescent="0.3">
      <c r="A27" t="s">
        <v>1581</v>
      </c>
      <c r="B27" t="s">
        <v>3852</v>
      </c>
      <c r="C27" t="s">
        <v>1530</v>
      </c>
      <c r="D27" t="s">
        <v>3820</v>
      </c>
      <c r="E27" t="s">
        <v>1582</v>
      </c>
      <c r="F27" s="4">
        <v>174.02</v>
      </c>
      <c r="G27" s="4">
        <v>268</v>
      </c>
      <c r="H27" s="4"/>
    </row>
    <row r="28" spans="1:8" x14ac:dyDescent="0.3">
      <c r="A28" t="s">
        <v>1583</v>
      </c>
      <c r="B28" t="s">
        <v>3853</v>
      </c>
      <c r="C28" t="s">
        <v>1546</v>
      </c>
      <c r="D28" t="s">
        <v>3826</v>
      </c>
      <c r="E28" t="s">
        <v>1584</v>
      </c>
      <c r="F28" s="4">
        <v>322.41000000000003</v>
      </c>
      <c r="G28" s="4">
        <v>213</v>
      </c>
      <c r="H28" s="4"/>
    </row>
    <row r="29" spans="1:8" x14ac:dyDescent="0.3">
      <c r="A29" t="s">
        <v>1585</v>
      </c>
      <c r="B29" t="s">
        <v>3854</v>
      </c>
      <c r="C29" t="s">
        <v>1527</v>
      </c>
      <c r="D29" t="s">
        <v>3836</v>
      </c>
      <c r="E29" t="s">
        <v>1586</v>
      </c>
      <c r="F29" s="4">
        <v>250.02157142857135</v>
      </c>
      <c r="G29" s="4">
        <v>378</v>
      </c>
      <c r="H29" s="4"/>
    </row>
    <row r="30" spans="1:8" x14ac:dyDescent="0.3">
      <c r="A30" t="s">
        <v>1587</v>
      </c>
      <c r="B30" t="s">
        <v>3855</v>
      </c>
      <c r="C30" t="s">
        <v>1549</v>
      </c>
      <c r="D30" t="s">
        <v>3820</v>
      </c>
      <c r="E30" t="s">
        <v>1588</v>
      </c>
      <c r="F30" s="4">
        <v>38.76</v>
      </c>
      <c r="G30" s="4">
        <v>137</v>
      </c>
      <c r="H30" s="4"/>
    </row>
    <row r="31" spans="1:8" x14ac:dyDescent="0.3">
      <c r="A31" t="s">
        <v>1589</v>
      </c>
      <c r="B31" t="s">
        <v>3856</v>
      </c>
      <c r="C31" t="s">
        <v>1527</v>
      </c>
      <c r="D31" t="s">
        <v>3836</v>
      </c>
      <c r="E31" t="s">
        <v>1590</v>
      </c>
      <c r="F31" s="4">
        <v>218.48</v>
      </c>
      <c r="G31" s="4">
        <v>276</v>
      </c>
      <c r="H31" s="4"/>
    </row>
    <row r="32" spans="1:8" x14ac:dyDescent="0.3">
      <c r="A32" t="s">
        <v>1591</v>
      </c>
      <c r="B32" t="s">
        <v>3857</v>
      </c>
      <c r="C32" t="s">
        <v>1527</v>
      </c>
      <c r="D32" t="s">
        <v>3830</v>
      </c>
      <c r="E32" t="s">
        <v>1592</v>
      </c>
      <c r="F32" s="4">
        <v>19.52</v>
      </c>
      <c r="G32" s="4">
        <v>57</v>
      </c>
      <c r="H32" s="4"/>
    </row>
    <row r="33" spans="1:8" x14ac:dyDescent="0.3">
      <c r="A33" t="s">
        <v>1593</v>
      </c>
      <c r="B33" t="s">
        <v>3858</v>
      </c>
      <c r="C33" t="s">
        <v>1549</v>
      </c>
      <c r="D33" t="s">
        <v>3859</v>
      </c>
      <c r="E33" t="s">
        <v>1594</v>
      </c>
      <c r="F33" s="4">
        <v>204.39</v>
      </c>
      <c r="G33" s="4">
        <v>281</v>
      </c>
      <c r="H33" s="4"/>
    </row>
    <row r="34" spans="1:8" x14ac:dyDescent="0.3">
      <c r="A34" t="s">
        <v>1595</v>
      </c>
      <c r="B34" t="s">
        <v>3860</v>
      </c>
      <c r="C34" t="s">
        <v>1541</v>
      </c>
      <c r="D34" t="s">
        <v>3822</v>
      </c>
      <c r="E34" t="s">
        <v>1596</v>
      </c>
      <c r="F34" s="4">
        <v>283.83</v>
      </c>
      <c r="G34" s="4">
        <v>244</v>
      </c>
      <c r="H34" s="4"/>
    </row>
    <row r="35" spans="1:8" x14ac:dyDescent="0.3">
      <c r="A35" t="s">
        <v>1597</v>
      </c>
      <c r="B35" t="s">
        <v>3861</v>
      </c>
      <c r="C35" t="s">
        <v>1527</v>
      </c>
      <c r="D35" t="s">
        <v>3836</v>
      </c>
      <c r="E35" t="s">
        <v>1598</v>
      </c>
      <c r="F35" s="4">
        <v>179.77</v>
      </c>
      <c r="G35" s="4">
        <v>305</v>
      </c>
      <c r="H35" s="4"/>
    </row>
    <row r="36" spans="1:8" x14ac:dyDescent="0.3">
      <c r="A36" t="s">
        <v>1599</v>
      </c>
      <c r="B36" t="s">
        <v>3862</v>
      </c>
      <c r="C36" t="s">
        <v>1546</v>
      </c>
      <c r="D36" t="s">
        <v>3811</v>
      </c>
      <c r="E36" t="s">
        <v>1600</v>
      </c>
      <c r="F36" s="4">
        <v>419.28</v>
      </c>
      <c r="G36" s="4">
        <v>86</v>
      </c>
      <c r="H36" s="4"/>
    </row>
    <row r="37" spans="1:8" x14ac:dyDescent="0.3">
      <c r="A37" t="s">
        <v>1601</v>
      </c>
      <c r="B37" t="s">
        <v>3863</v>
      </c>
      <c r="C37" t="s">
        <v>1527</v>
      </c>
      <c r="D37" t="s">
        <v>3824</v>
      </c>
      <c r="E37" t="s">
        <v>1602</v>
      </c>
      <c r="F37" s="4">
        <v>382.22</v>
      </c>
      <c r="G37" s="4">
        <v>329</v>
      </c>
      <c r="H37" s="4"/>
    </row>
    <row r="38" spans="1:8" x14ac:dyDescent="0.3">
      <c r="A38" t="s">
        <v>1603</v>
      </c>
      <c r="B38" t="s">
        <v>3864</v>
      </c>
      <c r="C38" t="s">
        <v>1530</v>
      </c>
      <c r="D38" t="s">
        <v>3813</v>
      </c>
      <c r="E38" t="s">
        <v>1604</v>
      </c>
      <c r="F38" s="4">
        <v>223.43</v>
      </c>
      <c r="G38" s="4">
        <v>154</v>
      </c>
      <c r="H38" s="4"/>
    </row>
    <row r="39" spans="1:8" x14ac:dyDescent="0.3">
      <c r="A39" t="s">
        <v>1605</v>
      </c>
      <c r="B39" t="s">
        <v>3865</v>
      </c>
      <c r="C39" t="s">
        <v>1530</v>
      </c>
      <c r="D39" t="s">
        <v>3866</v>
      </c>
      <c r="E39" t="s">
        <v>1606</v>
      </c>
      <c r="F39" s="4">
        <v>353.47</v>
      </c>
      <c r="G39" s="4">
        <v>214</v>
      </c>
      <c r="H39" s="4"/>
    </row>
    <row r="40" spans="1:8" x14ac:dyDescent="0.3">
      <c r="A40" t="s">
        <v>1607</v>
      </c>
      <c r="B40" t="s">
        <v>3867</v>
      </c>
      <c r="C40" t="s">
        <v>1549</v>
      </c>
      <c r="D40" t="s">
        <v>3851</v>
      </c>
      <c r="E40" t="s">
        <v>1608</v>
      </c>
      <c r="F40" s="4">
        <v>135.61000000000001</v>
      </c>
      <c r="G40" s="4">
        <v>394</v>
      </c>
      <c r="H40" s="4"/>
    </row>
    <row r="41" spans="1:8" x14ac:dyDescent="0.3">
      <c r="A41" t="s">
        <v>1609</v>
      </c>
      <c r="B41" t="s">
        <v>3868</v>
      </c>
      <c r="C41" t="s">
        <v>1546</v>
      </c>
      <c r="D41" t="s">
        <v>3869</v>
      </c>
      <c r="E41" t="s">
        <v>1610</v>
      </c>
      <c r="F41" s="4">
        <v>326.06</v>
      </c>
      <c r="G41" s="4">
        <v>301</v>
      </c>
      <c r="H41" s="4"/>
    </row>
    <row r="42" spans="1:8" x14ac:dyDescent="0.3">
      <c r="A42" t="s">
        <v>1611</v>
      </c>
      <c r="B42" t="s">
        <v>3870</v>
      </c>
      <c r="C42" t="s">
        <v>1546</v>
      </c>
      <c r="D42" t="s">
        <v>3826</v>
      </c>
      <c r="E42" t="s">
        <v>1612</v>
      </c>
      <c r="F42" s="4">
        <v>38.520000000000003</v>
      </c>
      <c r="G42" s="4">
        <v>378</v>
      </c>
      <c r="H42" s="4"/>
    </row>
    <row r="43" spans="1:8" x14ac:dyDescent="0.3">
      <c r="A43" t="s">
        <v>1613</v>
      </c>
      <c r="B43" t="s">
        <v>3871</v>
      </c>
      <c r="C43" t="s">
        <v>1549</v>
      </c>
      <c r="D43" t="s">
        <v>3828</v>
      </c>
      <c r="E43" t="s">
        <v>1614</v>
      </c>
      <c r="F43" s="4">
        <v>313.26</v>
      </c>
      <c r="G43" s="4">
        <v>369</v>
      </c>
      <c r="H43" s="4"/>
    </row>
    <row r="44" spans="1:8" x14ac:dyDescent="0.3">
      <c r="A44" t="s">
        <v>1615</v>
      </c>
      <c r="B44" t="s">
        <v>3872</v>
      </c>
      <c r="C44" t="s">
        <v>1546</v>
      </c>
      <c r="D44" t="s">
        <v>3820</v>
      </c>
      <c r="E44" t="s">
        <v>1616</v>
      </c>
      <c r="F44" s="4">
        <v>450.71</v>
      </c>
      <c r="G44" s="4">
        <v>389</v>
      </c>
      <c r="H44" s="4"/>
    </row>
    <row r="45" spans="1:8" x14ac:dyDescent="0.3">
      <c r="A45" t="s">
        <v>1617</v>
      </c>
      <c r="B45" t="s">
        <v>3873</v>
      </c>
      <c r="C45" t="s">
        <v>1546</v>
      </c>
      <c r="D45" t="s">
        <v>3811</v>
      </c>
      <c r="E45" t="s">
        <v>1618</v>
      </c>
      <c r="F45" s="4">
        <v>253.33</v>
      </c>
      <c r="G45" s="4">
        <v>266</v>
      </c>
      <c r="H45" s="4"/>
    </row>
    <row r="46" spans="1:8" x14ac:dyDescent="0.3">
      <c r="A46" t="s">
        <v>1619</v>
      </c>
      <c r="B46" t="s">
        <v>3874</v>
      </c>
      <c r="C46" t="s">
        <v>1549</v>
      </c>
      <c r="D46" t="s">
        <v>3828</v>
      </c>
      <c r="E46" t="s">
        <v>1620</v>
      </c>
      <c r="F46" s="4">
        <v>167.12</v>
      </c>
      <c r="G46" s="4">
        <v>316</v>
      </c>
      <c r="H46" s="4"/>
    </row>
    <row r="47" spans="1:8" x14ac:dyDescent="0.3">
      <c r="A47" t="s">
        <v>1621</v>
      </c>
      <c r="B47" t="s">
        <v>3875</v>
      </c>
      <c r="C47" t="s">
        <v>1549</v>
      </c>
      <c r="D47" t="s">
        <v>3859</v>
      </c>
      <c r="E47" t="s">
        <v>1622</v>
      </c>
      <c r="F47" s="4">
        <v>318.91000000000003</v>
      </c>
      <c r="G47" s="4">
        <v>114</v>
      </c>
      <c r="H47" s="4"/>
    </row>
    <row r="48" spans="1:8" x14ac:dyDescent="0.3">
      <c r="A48" t="s">
        <v>1623</v>
      </c>
      <c r="B48" t="s">
        <v>3876</v>
      </c>
      <c r="C48" t="s">
        <v>1530</v>
      </c>
      <c r="D48" t="s">
        <v>3815</v>
      </c>
      <c r="E48" t="s">
        <v>1624</v>
      </c>
      <c r="F48" s="4">
        <v>167.34</v>
      </c>
      <c r="G48" s="4">
        <v>296</v>
      </c>
      <c r="H48" s="4"/>
    </row>
    <row r="49" spans="1:8" x14ac:dyDescent="0.3">
      <c r="A49" t="s">
        <v>1625</v>
      </c>
      <c r="B49" t="s">
        <v>3877</v>
      </c>
      <c r="C49" t="s">
        <v>1541</v>
      </c>
      <c r="D49" t="s">
        <v>3878</v>
      </c>
      <c r="E49" t="s">
        <v>1626</v>
      </c>
      <c r="F49" s="4">
        <v>255.04901960784306</v>
      </c>
      <c r="G49" s="4">
        <v>431</v>
      </c>
      <c r="H49" s="4"/>
    </row>
    <row r="50" spans="1:8" x14ac:dyDescent="0.3">
      <c r="A50" t="s">
        <v>1627</v>
      </c>
      <c r="B50" t="s">
        <v>3879</v>
      </c>
      <c r="C50" t="s">
        <v>1546</v>
      </c>
      <c r="D50" t="s">
        <v>3820</v>
      </c>
      <c r="E50" t="s">
        <v>1628</v>
      </c>
      <c r="F50" s="4">
        <v>177.98</v>
      </c>
      <c r="G50" s="4">
        <v>103</v>
      </c>
      <c r="H50" s="4"/>
    </row>
    <row r="51" spans="1:8" x14ac:dyDescent="0.3">
      <c r="A51" t="s">
        <v>1629</v>
      </c>
      <c r="B51" t="s">
        <v>3880</v>
      </c>
      <c r="C51" t="s">
        <v>1541</v>
      </c>
      <c r="D51" t="s">
        <v>3881</v>
      </c>
      <c r="E51" t="s">
        <v>1630</v>
      </c>
      <c r="F51" s="4">
        <v>43.29</v>
      </c>
      <c r="G51" s="4">
        <v>267</v>
      </c>
      <c r="H51" s="4"/>
    </row>
    <row r="52" spans="1:8" x14ac:dyDescent="0.3">
      <c r="A52" t="s">
        <v>1631</v>
      </c>
      <c r="B52" t="s">
        <v>3882</v>
      </c>
      <c r="C52" t="s">
        <v>1549</v>
      </c>
      <c r="D52" t="s">
        <v>3828</v>
      </c>
      <c r="E52" t="s">
        <v>1632</v>
      </c>
      <c r="F52" s="4">
        <v>190.29</v>
      </c>
      <c r="G52" s="4">
        <v>260</v>
      </c>
      <c r="H52" s="4"/>
    </row>
    <row r="53" spans="1:8" x14ac:dyDescent="0.3">
      <c r="A53" t="s">
        <v>1633</v>
      </c>
      <c r="B53" t="s">
        <v>3883</v>
      </c>
      <c r="C53" t="s">
        <v>1546</v>
      </c>
      <c r="D53" t="s">
        <v>3820</v>
      </c>
      <c r="E53" t="s">
        <v>1634</v>
      </c>
      <c r="F53" s="4">
        <v>88.49</v>
      </c>
      <c r="G53" s="4">
        <v>246</v>
      </c>
      <c r="H53" s="4"/>
    </row>
    <row r="54" spans="1:8" x14ac:dyDescent="0.3">
      <c r="A54" t="s">
        <v>1635</v>
      </c>
      <c r="B54" t="s">
        <v>3884</v>
      </c>
      <c r="C54" t="s">
        <v>1549</v>
      </c>
      <c r="D54" t="s">
        <v>3859</v>
      </c>
      <c r="E54" t="s">
        <v>1636</v>
      </c>
      <c r="F54" s="4">
        <v>212.26</v>
      </c>
      <c r="G54" s="4">
        <v>82</v>
      </c>
      <c r="H54" s="4"/>
    </row>
    <row r="55" spans="1:8" x14ac:dyDescent="0.3">
      <c r="A55" t="s">
        <v>1637</v>
      </c>
      <c r="B55" t="s">
        <v>3885</v>
      </c>
      <c r="C55" t="s">
        <v>1530</v>
      </c>
      <c r="D55" t="s">
        <v>3818</v>
      </c>
      <c r="E55" t="s">
        <v>1638</v>
      </c>
      <c r="F55" s="4">
        <v>386.56</v>
      </c>
      <c r="G55" s="4">
        <v>125</v>
      </c>
      <c r="H55" s="4"/>
    </row>
    <row r="56" spans="1:8" x14ac:dyDescent="0.3">
      <c r="A56" t="s">
        <v>1639</v>
      </c>
      <c r="B56" t="s">
        <v>3886</v>
      </c>
      <c r="C56" t="s">
        <v>1549</v>
      </c>
      <c r="D56" t="s">
        <v>3820</v>
      </c>
      <c r="E56" t="s">
        <v>1640</v>
      </c>
      <c r="F56" s="4">
        <v>434.84</v>
      </c>
      <c r="G56" s="4">
        <v>185</v>
      </c>
      <c r="H56" s="4"/>
    </row>
    <row r="57" spans="1:8" x14ac:dyDescent="0.3">
      <c r="A57" t="s">
        <v>1641</v>
      </c>
      <c r="B57" t="s">
        <v>3887</v>
      </c>
      <c r="C57" t="s">
        <v>1527</v>
      </c>
      <c r="D57" t="s">
        <v>3836</v>
      </c>
      <c r="E57" t="s">
        <v>1642</v>
      </c>
      <c r="F57" s="4">
        <v>81.75</v>
      </c>
      <c r="G57" s="4">
        <v>271.20454545454544</v>
      </c>
      <c r="H57" s="4"/>
    </row>
    <row r="58" spans="1:8" x14ac:dyDescent="0.3">
      <c r="A58" t="s">
        <v>1643</v>
      </c>
      <c r="B58" t="s">
        <v>3888</v>
      </c>
      <c r="C58" t="s">
        <v>1527</v>
      </c>
      <c r="D58" t="s">
        <v>3836</v>
      </c>
      <c r="E58" t="s">
        <v>1644</v>
      </c>
      <c r="F58" s="4">
        <v>461.47</v>
      </c>
      <c r="G58" s="4">
        <v>190</v>
      </c>
      <c r="H58" s="4"/>
    </row>
    <row r="59" spans="1:8" x14ac:dyDescent="0.3">
      <c r="A59" t="s">
        <v>1645</v>
      </c>
      <c r="B59" t="s">
        <v>3889</v>
      </c>
      <c r="C59" t="s">
        <v>1549</v>
      </c>
      <c r="D59" t="s">
        <v>3828</v>
      </c>
      <c r="E59" t="s">
        <v>1646</v>
      </c>
      <c r="F59" s="4">
        <v>30.62</v>
      </c>
      <c r="G59" s="4">
        <v>138</v>
      </c>
      <c r="H59" s="4"/>
    </row>
    <row r="60" spans="1:8" x14ac:dyDescent="0.3">
      <c r="A60" t="s">
        <v>1647</v>
      </c>
      <c r="B60" t="s">
        <v>3890</v>
      </c>
      <c r="C60" t="s">
        <v>1530</v>
      </c>
      <c r="D60" t="s">
        <v>3820</v>
      </c>
      <c r="E60" t="s">
        <v>1648</v>
      </c>
      <c r="F60" s="4">
        <v>113.83</v>
      </c>
      <c r="G60" s="4">
        <v>485</v>
      </c>
      <c r="H60" s="4"/>
    </row>
    <row r="61" spans="1:8" x14ac:dyDescent="0.3">
      <c r="A61" t="s">
        <v>1649</v>
      </c>
      <c r="B61" t="s">
        <v>3891</v>
      </c>
      <c r="C61" t="s">
        <v>1541</v>
      </c>
      <c r="D61" t="s">
        <v>3833</v>
      </c>
      <c r="E61" t="s">
        <v>1650</v>
      </c>
      <c r="F61" s="4">
        <v>17.309999999999999</v>
      </c>
      <c r="G61" s="4">
        <v>399</v>
      </c>
      <c r="H61" s="4"/>
    </row>
    <row r="62" spans="1:8" x14ac:dyDescent="0.3">
      <c r="A62" t="s">
        <v>1651</v>
      </c>
      <c r="B62" t="s">
        <v>3892</v>
      </c>
      <c r="C62" t="s">
        <v>1541</v>
      </c>
      <c r="D62" t="s">
        <v>3881</v>
      </c>
      <c r="E62" t="s">
        <v>1652</v>
      </c>
      <c r="F62" s="4">
        <v>482.75</v>
      </c>
      <c r="G62" s="4">
        <v>444</v>
      </c>
      <c r="H62" s="4"/>
    </row>
    <row r="63" spans="1:8" x14ac:dyDescent="0.3">
      <c r="A63" t="s">
        <v>1653</v>
      </c>
      <c r="B63" t="s">
        <v>3893</v>
      </c>
      <c r="C63" t="s">
        <v>1549</v>
      </c>
      <c r="D63" t="s">
        <v>3844</v>
      </c>
      <c r="E63" t="s">
        <v>1654</v>
      </c>
      <c r="F63" s="4">
        <v>103.45</v>
      </c>
      <c r="G63" s="4">
        <v>465</v>
      </c>
      <c r="H63" s="4"/>
    </row>
    <row r="64" spans="1:8" x14ac:dyDescent="0.3">
      <c r="A64" t="s">
        <v>1655</v>
      </c>
      <c r="B64" t="s">
        <v>3894</v>
      </c>
      <c r="C64" t="s">
        <v>1546</v>
      </c>
      <c r="D64" t="s">
        <v>3811</v>
      </c>
      <c r="E64" t="s">
        <v>1656</v>
      </c>
      <c r="F64" s="4">
        <v>86.42</v>
      </c>
      <c r="G64" s="4">
        <v>222</v>
      </c>
      <c r="H64" s="4"/>
    </row>
    <row r="65" spans="1:8" x14ac:dyDescent="0.3">
      <c r="A65" t="s">
        <v>1657</v>
      </c>
      <c r="B65" t="s">
        <v>3895</v>
      </c>
      <c r="C65" t="s">
        <v>1541</v>
      </c>
      <c r="D65" t="s">
        <v>3822</v>
      </c>
      <c r="E65" t="s">
        <v>1658</v>
      </c>
      <c r="F65" s="4">
        <v>266.86</v>
      </c>
      <c r="G65" s="4">
        <v>458</v>
      </c>
      <c r="H65" s="4"/>
    </row>
    <row r="66" spans="1:8" x14ac:dyDescent="0.3">
      <c r="A66" t="s">
        <v>1659</v>
      </c>
      <c r="B66" t="s">
        <v>3896</v>
      </c>
      <c r="C66" t="s">
        <v>1541</v>
      </c>
      <c r="D66" t="s">
        <v>3878</v>
      </c>
      <c r="E66" t="s">
        <v>1660</v>
      </c>
      <c r="F66" s="4">
        <v>299.11</v>
      </c>
      <c r="G66" s="4">
        <v>118</v>
      </c>
      <c r="H66" s="4"/>
    </row>
    <row r="67" spans="1:8" x14ac:dyDescent="0.3">
      <c r="A67" t="s">
        <v>1661</v>
      </c>
      <c r="B67" t="s">
        <v>3897</v>
      </c>
      <c r="C67" t="s">
        <v>1549</v>
      </c>
      <c r="D67" t="s">
        <v>3828</v>
      </c>
      <c r="E67" t="s">
        <v>1662</v>
      </c>
      <c r="F67" s="4">
        <v>240.63</v>
      </c>
      <c r="G67" s="4">
        <v>423</v>
      </c>
      <c r="H67" s="4"/>
    </row>
    <row r="68" spans="1:8" x14ac:dyDescent="0.3">
      <c r="A68" t="s">
        <v>1663</v>
      </c>
      <c r="B68" t="s">
        <v>3898</v>
      </c>
      <c r="C68" t="s">
        <v>1541</v>
      </c>
      <c r="D68" t="s">
        <v>3833</v>
      </c>
      <c r="E68" t="s">
        <v>1664</v>
      </c>
      <c r="F68" s="4">
        <v>340.39</v>
      </c>
      <c r="G68" s="4">
        <v>177</v>
      </c>
      <c r="H68" s="4"/>
    </row>
    <row r="69" spans="1:8" x14ac:dyDescent="0.3">
      <c r="A69" t="s">
        <v>1665</v>
      </c>
      <c r="B69" t="s">
        <v>3899</v>
      </c>
      <c r="C69" t="s">
        <v>1546</v>
      </c>
      <c r="D69" t="s">
        <v>3820</v>
      </c>
      <c r="E69" t="s">
        <v>1666</v>
      </c>
      <c r="F69" s="4">
        <v>349.17</v>
      </c>
      <c r="G69" s="4">
        <v>476</v>
      </c>
      <c r="H69" s="4"/>
    </row>
    <row r="70" spans="1:8" x14ac:dyDescent="0.3">
      <c r="A70" t="s">
        <v>1667</v>
      </c>
      <c r="B70" t="s">
        <v>3900</v>
      </c>
      <c r="C70" t="s">
        <v>1527</v>
      </c>
      <c r="D70" t="s">
        <v>3901</v>
      </c>
      <c r="E70" t="s">
        <v>1668</v>
      </c>
      <c r="F70" s="4">
        <v>243.7</v>
      </c>
      <c r="G70" s="4">
        <v>130</v>
      </c>
      <c r="H70" s="4"/>
    </row>
    <row r="71" spans="1:8" x14ac:dyDescent="0.3">
      <c r="A71" t="s">
        <v>1669</v>
      </c>
      <c r="B71" t="s">
        <v>3902</v>
      </c>
      <c r="C71" t="s">
        <v>1530</v>
      </c>
      <c r="D71" t="s">
        <v>3818</v>
      </c>
      <c r="E71" t="s">
        <v>1670</v>
      </c>
      <c r="F71" s="4">
        <v>218.22</v>
      </c>
      <c r="G71" s="4">
        <v>224</v>
      </c>
      <c r="H71" s="4"/>
    </row>
    <row r="72" spans="1:8" x14ac:dyDescent="0.3">
      <c r="A72" t="s">
        <v>1671</v>
      </c>
      <c r="B72" t="s">
        <v>3903</v>
      </c>
      <c r="C72" t="s">
        <v>1527</v>
      </c>
      <c r="D72" t="s">
        <v>3847</v>
      </c>
      <c r="E72" t="s">
        <v>1672</v>
      </c>
      <c r="F72" s="4">
        <v>138.05000000000001</v>
      </c>
      <c r="G72" s="4">
        <v>89</v>
      </c>
      <c r="H72" s="4"/>
    </row>
    <row r="73" spans="1:8" x14ac:dyDescent="0.3">
      <c r="A73" t="s">
        <v>1673</v>
      </c>
      <c r="B73" t="s">
        <v>3904</v>
      </c>
      <c r="C73" t="s">
        <v>1541</v>
      </c>
      <c r="D73" t="s">
        <v>3833</v>
      </c>
      <c r="E73" t="s">
        <v>1674</v>
      </c>
      <c r="F73" s="4">
        <v>214.32</v>
      </c>
      <c r="G73" s="4">
        <v>383</v>
      </c>
      <c r="H73" s="4"/>
    </row>
    <row r="74" spans="1:8" x14ac:dyDescent="0.3">
      <c r="A74" t="s">
        <v>1675</v>
      </c>
      <c r="B74" t="s">
        <v>3905</v>
      </c>
      <c r="C74" t="s">
        <v>1549</v>
      </c>
      <c r="D74" t="s">
        <v>3828</v>
      </c>
      <c r="E74" t="s">
        <v>1676</v>
      </c>
      <c r="F74" s="4">
        <v>477.61</v>
      </c>
      <c r="G74" s="4">
        <v>300</v>
      </c>
      <c r="H74" s="4"/>
    </row>
    <row r="75" spans="1:8" x14ac:dyDescent="0.3">
      <c r="A75" t="s">
        <v>1677</v>
      </c>
      <c r="B75" t="s">
        <v>3906</v>
      </c>
      <c r="C75" t="s">
        <v>1549</v>
      </c>
      <c r="D75" t="s">
        <v>3859</v>
      </c>
      <c r="E75" t="s">
        <v>1678</v>
      </c>
      <c r="F75" s="4">
        <v>107.06</v>
      </c>
      <c r="G75" s="4">
        <v>359</v>
      </c>
      <c r="H75" s="4"/>
    </row>
    <row r="76" spans="1:8" x14ac:dyDescent="0.3">
      <c r="A76" t="s">
        <v>1679</v>
      </c>
      <c r="B76" t="s">
        <v>3907</v>
      </c>
      <c r="C76" t="s">
        <v>1546</v>
      </c>
      <c r="D76" t="s">
        <v>3826</v>
      </c>
      <c r="E76" t="s">
        <v>1680</v>
      </c>
      <c r="F76" s="4">
        <v>403.71</v>
      </c>
      <c r="G76" s="4">
        <v>159</v>
      </c>
      <c r="H76" s="4"/>
    </row>
    <row r="77" spans="1:8" x14ac:dyDescent="0.3">
      <c r="A77" t="s">
        <v>1681</v>
      </c>
      <c r="B77" t="s">
        <v>3908</v>
      </c>
      <c r="C77" t="s">
        <v>1530</v>
      </c>
      <c r="D77" t="s">
        <v>3866</v>
      </c>
      <c r="E77" t="s">
        <v>1682</v>
      </c>
      <c r="F77" s="4">
        <v>158.13999999999999</v>
      </c>
      <c r="G77" s="4">
        <v>82</v>
      </c>
      <c r="H77" s="4"/>
    </row>
    <row r="78" spans="1:8" x14ac:dyDescent="0.3">
      <c r="A78" t="s">
        <v>1683</v>
      </c>
      <c r="B78" t="s">
        <v>3909</v>
      </c>
      <c r="C78" t="s">
        <v>1546</v>
      </c>
      <c r="D78" t="s">
        <v>3811</v>
      </c>
      <c r="E78" t="s">
        <v>1684</v>
      </c>
      <c r="F78" s="4">
        <v>392.89</v>
      </c>
      <c r="G78" s="4">
        <v>320</v>
      </c>
      <c r="H78" s="4"/>
    </row>
    <row r="79" spans="1:8" x14ac:dyDescent="0.3">
      <c r="A79" t="s">
        <v>1685</v>
      </c>
      <c r="B79" t="s">
        <v>3910</v>
      </c>
      <c r="C79" t="s">
        <v>1546</v>
      </c>
      <c r="D79" t="s">
        <v>3838</v>
      </c>
      <c r="E79" t="s">
        <v>1686</v>
      </c>
      <c r="F79" s="4">
        <v>480.9</v>
      </c>
      <c r="G79" s="4">
        <v>104</v>
      </c>
      <c r="H79" s="4"/>
    </row>
    <row r="80" spans="1:8" x14ac:dyDescent="0.3">
      <c r="A80" t="s">
        <v>1687</v>
      </c>
      <c r="B80" t="s">
        <v>3911</v>
      </c>
      <c r="C80" t="s">
        <v>1527</v>
      </c>
      <c r="D80" t="s">
        <v>3836</v>
      </c>
      <c r="E80" t="s">
        <v>1688</v>
      </c>
      <c r="F80" s="4">
        <v>325.26</v>
      </c>
      <c r="G80" s="4">
        <v>400</v>
      </c>
      <c r="H80" s="4"/>
    </row>
    <row r="81" spans="1:8" x14ac:dyDescent="0.3">
      <c r="A81" t="s">
        <v>1689</v>
      </c>
      <c r="B81" t="s">
        <v>3912</v>
      </c>
      <c r="C81" t="s">
        <v>1527</v>
      </c>
      <c r="D81" t="s">
        <v>3824</v>
      </c>
      <c r="E81" t="s">
        <v>1690</v>
      </c>
      <c r="F81" s="4">
        <v>228.53</v>
      </c>
      <c r="G81" s="4">
        <v>469</v>
      </c>
      <c r="H81" s="4"/>
    </row>
    <row r="82" spans="1:8" x14ac:dyDescent="0.3">
      <c r="A82" t="s">
        <v>1691</v>
      </c>
      <c r="B82" t="s">
        <v>3913</v>
      </c>
      <c r="C82" t="s">
        <v>1527</v>
      </c>
      <c r="D82" t="s">
        <v>3830</v>
      </c>
      <c r="E82" t="s">
        <v>1692</v>
      </c>
      <c r="F82" s="4">
        <v>143.43</v>
      </c>
      <c r="G82" s="4">
        <v>58</v>
      </c>
      <c r="H82" s="4"/>
    </row>
    <row r="83" spans="1:8" x14ac:dyDescent="0.3">
      <c r="A83" t="s">
        <v>1693</v>
      </c>
      <c r="B83" t="s">
        <v>3914</v>
      </c>
      <c r="C83" t="s">
        <v>1549</v>
      </c>
      <c r="D83" t="s">
        <v>3844</v>
      </c>
      <c r="E83" t="s">
        <v>1694</v>
      </c>
      <c r="F83" s="4">
        <v>285.54000000000002</v>
      </c>
      <c r="G83" s="4">
        <v>358</v>
      </c>
      <c r="H83" s="4"/>
    </row>
    <row r="84" spans="1:8" x14ac:dyDescent="0.3">
      <c r="A84" t="s">
        <v>1695</v>
      </c>
      <c r="B84" t="s">
        <v>3915</v>
      </c>
      <c r="C84" t="s">
        <v>1549</v>
      </c>
      <c r="D84" t="s">
        <v>3828</v>
      </c>
      <c r="E84" t="s">
        <v>1696</v>
      </c>
      <c r="F84" s="4">
        <v>152.91999999999999</v>
      </c>
      <c r="G84" s="4">
        <v>281</v>
      </c>
      <c r="H84" s="4"/>
    </row>
    <row r="85" spans="1:8" x14ac:dyDescent="0.3">
      <c r="A85" t="s">
        <v>1697</v>
      </c>
      <c r="B85" t="s">
        <v>3916</v>
      </c>
      <c r="C85" t="s">
        <v>1541</v>
      </c>
      <c r="D85" t="s">
        <v>3822</v>
      </c>
      <c r="E85" t="s">
        <v>1698</v>
      </c>
      <c r="F85" s="4">
        <v>289.35937499999994</v>
      </c>
      <c r="G85" s="4">
        <v>159</v>
      </c>
      <c r="H85" s="4"/>
    </row>
    <row r="86" spans="1:8" x14ac:dyDescent="0.3">
      <c r="A86" t="s">
        <v>1699</v>
      </c>
      <c r="B86" t="s">
        <v>3917</v>
      </c>
      <c r="C86" t="s">
        <v>1527</v>
      </c>
      <c r="D86" t="s">
        <v>3901</v>
      </c>
      <c r="E86" t="s">
        <v>1700</v>
      </c>
      <c r="F86" s="4">
        <v>388.46</v>
      </c>
      <c r="G86" s="4">
        <v>208</v>
      </c>
      <c r="H86" s="4"/>
    </row>
    <row r="87" spans="1:8" x14ac:dyDescent="0.3">
      <c r="A87" t="s">
        <v>1701</v>
      </c>
      <c r="B87" t="s">
        <v>3918</v>
      </c>
      <c r="C87" t="s">
        <v>1530</v>
      </c>
      <c r="D87" t="s">
        <v>3820</v>
      </c>
      <c r="E87" t="s">
        <v>1702</v>
      </c>
      <c r="F87" s="4">
        <v>119.57</v>
      </c>
      <c r="G87" s="4">
        <v>210</v>
      </c>
      <c r="H87" s="4"/>
    </row>
    <row r="88" spans="1:8" x14ac:dyDescent="0.3">
      <c r="A88" t="s">
        <v>1703</v>
      </c>
      <c r="B88" t="s">
        <v>3919</v>
      </c>
      <c r="C88" t="s">
        <v>1527</v>
      </c>
      <c r="D88" t="s">
        <v>3830</v>
      </c>
      <c r="E88" t="s">
        <v>1704</v>
      </c>
      <c r="F88" s="4">
        <v>176.07</v>
      </c>
      <c r="G88" s="4">
        <v>82</v>
      </c>
      <c r="H88" s="4"/>
    </row>
    <row r="89" spans="1:8" x14ac:dyDescent="0.3">
      <c r="A89" t="s">
        <v>1705</v>
      </c>
      <c r="B89" t="s">
        <v>3920</v>
      </c>
      <c r="C89" t="s">
        <v>1527</v>
      </c>
      <c r="D89" t="s">
        <v>3824</v>
      </c>
      <c r="E89" t="s">
        <v>1706</v>
      </c>
      <c r="F89" s="4">
        <v>371.38</v>
      </c>
      <c r="G89" s="4">
        <v>220</v>
      </c>
      <c r="H89" s="4"/>
    </row>
    <row r="90" spans="1:8" x14ac:dyDescent="0.3">
      <c r="A90" t="s">
        <v>1707</v>
      </c>
      <c r="B90" t="s">
        <v>3921</v>
      </c>
      <c r="C90" t="s">
        <v>1549</v>
      </c>
      <c r="D90" t="s">
        <v>3820</v>
      </c>
      <c r="E90" t="s">
        <v>1708</v>
      </c>
      <c r="F90" s="4">
        <v>131.24</v>
      </c>
      <c r="G90" s="4">
        <v>232</v>
      </c>
      <c r="H90" s="4"/>
    </row>
    <row r="91" spans="1:8" x14ac:dyDescent="0.3">
      <c r="A91" t="s">
        <v>1709</v>
      </c>
      <c r="B91" t="s">
        <v>3922</v>
      </c>
      <c r="C91" t="s">
        <v>1541</v>
      </c>
      <c r="D91" t="s">
        <v>3878</v>
      </c>
      <c r="E91" t="s">
        <v>1710</v>
      </c>
      <c r="F91" s="4">
        <v>183.04</v>
      </c>
      <c r="G91" s="4">
        <v>457</v>
      </c>
      <c r="H91" s="4"/>
    </row>
    <row r="92" spans="1:8" x14ac:dyDescent="0.3">
      <c r="A92" t="s">
        <v>1711</v>
      </c>
      <c r="B92" t="s">
        <v>3923</v>
      </c>
      <c r="C92" t="s">
        <v>1546</v>
      </c>
      <c r="D92" t="s">
        <v>3820</v>
      </c>
      <c r="E92" t="s">
        <v>1712</v>
      </c>
      <c r="F92" s="4">
        <v>340.14</v>
      </c>
      <c r="G92" s="4">
        <v>361</v>
      </c>
      <c r="H92" s="4"/>
    </row>
    <row r="93" spans="1:8" x14ac:dyDescent="0.3">
      <c r="A93" t="s">
        <v>1713</v>
      </c>
      <c r="B93" t="s">
        <v>3924</v>
      </c>
      <c r="C93" t="s">
        <v>1530</v>
      </c>
      <c r="D93" t="s">
        <v>3866</v>
      </c>
      <c r="E93" t="s">
        <v>1714</v>
      </c>
      <c r="F93" s="4">
        <v>438.25</v>
      </c>
      <c r="G93" s="4">
        <v>496</v>
      </c>
      <c r="H93" s="4"/>
    </row>
    <row r="94" spans="1:8" x14ac:dyDescent="0.3">
      <c r="A94" t="s">
        <v>1715</v>
      </c>
      <c r="B94" t="s">
        <v>3925</v>
      </c>
      <c r="C94" t="s">
        <v>1527</v>
      </c>
      <c r="D94" t="s">
        <v>3838</v>
      </c>
      <c r="E94" t="s">
        <v>1716</v>
      </c>
      <c r="F94" s="4">
        <v>447.43</v>
      </c>
      <c r="G94" s="4">
        <v>191</v>
      </c>
      <c r="H94" s="4"/>
    </row>
    <row r="95" spans="1:8" x14ac:dyDescent="0.3">
      <c r="A95" t="s">
        <v>1717</v>
      </c>
      <c r="B95" t="s">
        <v>3926</v>
      </c>
      <c r="C95" t="s">
        <v>1546</v>
      </c>
      <c r="D95" t="s">
        <v>3811</v>
      </c>
      <c r="E95" t="s">
        <v>1718</v>
      </c>
      <c r="F95" s="4">
        <v>377.52</v>
      </c>
      <c r="G95" s="4">
        <v>485</v>
      </c>
      <c r="H95" s="4"/>
    </row>
    <row r="96" spans="1:8" x14ac:dyDescent="0.3">
      <c r="A96" t="s">
        <v>1719</v>
      </c>
      <c r="B96" t="s">
        <v>3927</v>
      </c>
      <c r="C96" t="s">
        <v>1541</v>
      </c>
      <c r="D96" t="s">
        <v>3822</v>
      </c>
      <c r="E96" t="s">
        <v>1720</v>
      </c>
      <c r="F96" s="4">
        <v>358.47</v>
      </c>
      <c r="G96" s="4">
        <v>213</v>
      </c>
      <c r="H96" s="4"/>
    </row>
    <row r="97" spans="1:8" x14ac:dyDescent="0.3">
      <c r="A97" t="s">
        <v>1721</v>
      </c>
      <c r="B97" t="s">
        <v>3928</v>
      </c>
      <c r="C97" t="s">
        <v>1549</v>
      </c>
      <c r="D97" t="s">
        <v>3820</v>
      </c>
      <c r="E97" t="s">
        <v>1722</v>
      </c>
      <c r="F97" s="4">
        <v>60.65</v>
      </c>
      <c r="G97" s="4">
        <v>75</v>
      </c>
      <c r="H97" s="4"/>
    </row>
    <row r="98" spans="1:8" x14ac:dyDescent="0.3">
      <c r="A98" t="s">
        <v>1723</v>
      </c>
      <c r="B98" t="s">
        <v>3929</v>
      </c>
      <c r="C98" t="s">
        <v>1530</v>
      </c>
      <c r="D98" t="s">
        <v>3815</v>
      </c>
      <c r="E98" t="s">
        <v>1724</v>
      </c>
      <c r="F98" s="4">
        <v>358.47</v>
      </c>
      <c r="G98" s="4">
        <v>143</v>
      </c>
      <c r="H98" s="4"/>
    </row>
    <row r="99" spans="1:8" x14ac:dyDescent="0.3">
      <c r="A99" t="s">
        <v>1725</v>
      </c>
      <c r="B99" t="s">
        <v>3930</v>
      </c>
      <c r="C99" t="s">
        <v>1549</v>
      </c>
      <c r="D99" t="s">
        <v>3859</v>
      </c>
      <c r="E99" t="s">
        <v>1726</v>
      </c>
      <c r="F99" s="4">
        <v>245.98</v>
      </c>
      <c r="G99" s="4">
        <v>471</v>
      </c>
      <c r="H99" s="4"/>
    </row>
    <row r="100" spans="1:8" x14ac:dyDescent="0.3">
      <c r="A100" t="s">
        <v>1727</v>
      </c>
      <c r="B100" t="s">
        <v>3931</v>
      </c>
      <c r="C100" t="s">
        <v>1546</v>
      </c>
      <c r="D100" t="s">
        <v>3826</v>
      </c>
      <c r="E100" t="s">
        <v>1728</v>
      </c>
      <c r="F100" s="4">
        <v>431.67</v>
      </c>
      <c r="G100" s="4">
        <v>73</v>
      </c>
      <c r="H100" s="4"/>
    </row>
    <row r="101" spans="1:8" x14ac:dyDescent="0.3">
      <c r="A101" t="s">
        <v>1729</v>
      </c>
      <c r="B101" t="s">
        <v>3932</v>
      </c>
      <c r="C101" t="s">
        <v>1527</v>
      </c>
      <c r="D101" t="s">
        <v>3830</v>
      </c>
      <c r="E101" t="s">
        <v>1730</v>
      </c>
      <c r="F101" s="4">
        <v>201.41</v>
      </c>
      <c r="G101" s="4">
        <v>146</v>
      </c>
      <c r="H101" s="4"/>
    </row>
  </sheetData>
  <phoneticPr fontId="3" type="noConversion"/>
  <conditionalFormatting sqref="A1:B1048576">
    <cfRule type="duplicateValues" dxfId="19"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5" t="s">
        <v>1731</v>
      </c>
      <c r="B1" s="5" t="s">
        <v>1732</v>
      </c>
      <c r="C1" s="5" t="s">
        <v>1733</v>
      </c>
      <c r="D1" s="5" t="s">
        <v>4</v>
      </c>
      <c r="E1" s="5" t="s">
        <v>1734</v>
      </c>
    </row>
    <row r="2" spans="1:5" x14ac:dyDescent="0.3">
      <c r="A2" t="s">
        <v>1735</v>
      </c>
      <c r="B2" t="s">
        <v>1736</v>
      </c>
      <c r="C2" t="s">
        <v>1737</v>
      </c>
      <c r="D2" t="s">
        <v>1738</v>
      </c>
      <c r="E2" t="s">
        <v>1739</v>
      </c>
    </row>
    <row r="3" spans="1:5" x14ac:dyDescent="0.3">
      <c r="A3" t="s">
        <v>1740</v>
      </c>
      <c r="B3" t="s">
        <v>1741</v>
      </c>
      <c r="C3" t="s">
        <v>1742</v>
      </c>
      <c r="D3" t="s">
        <v>1743</v>
      </c>
      <c r="E3" t="s">
        <v>1739</v>
      </c>
    </row>
    <row r="4" spans="1:5" x14ac:dyDescent="0.3">
      <c r="A4" t="s">
        <v>1744</v>
      </c>
      <c r="B4" t="s">
        <v>1745</v>
      </c>
      <c r="C4" t="s">
        <v>1746</v>
      </c>
      <c r="D4" t="s">
        <v>1747</v>
      </c>
      <c r="E4" t="s">
        <v>1748</v>
      </c>
    </row>
    <row r="5" spans="1:5" x14ac:dyDescent="0.3">
      <c r="A5" t="s">
        <v>1749</v>
      </c>
      <c r="B5" t="s">
        <v>1750</v>
      </c>
      <c r="C5" t="s">
        <v>1742</v>
      </c>
      <c r="D5" t="s">
        <v>1751</v>
      </c>
      <c r="E5" t="s">
        <v>1748</v>
      </c>
    </row>
    <row r="6" spans="1:5" x14ac:dyDescent="0.3">
      <c r="A6" t="s">
        <v>1752</v>
      </c>
      <c r="B6" t="s">
        <v>1753</v>
      </c>
      <c r="C6" t="s">
        <v>1746</v>
      </c>
      <c r="D6" t="s">
        <v>1754</v>
      </c>
      <c r="E6" t="s">
        <v>1755</v>
      </c>
    </row>
    <row r="7" spans="1:5" x14ac:dyDescent="0.3">
      <c r="A7" t="s">
        <v>1756</v>
      </c>
      <c r="B7" t="s">
        <v>1757</v>
      </c>
      <c r="C7" t="s">
        <v>1742</v>
      </c>
      <c r="D7" t="s">
        <v>1758</v>
      </c>
      <c r="E7" t="s">
        <v>1748</v>
      </c>
    </row>
    <row r="8" spans="1:5" x14ac:dyDescent="0.3">
      <c r="A8" t="s">
        <v>1759</v>
      </c>
      <c r="B8" t="s">
        <v>1760</v>
      </c>
      <c r="C8" t="s">
        <v>1737</v>
      </c>
      <c r="D8" t="s">
        <v>1761</v>
      </c>
      <c r="E8" t="s">
        <v>1755</v>
      </c>
    </row>
    <row r="9" spans="1:5" x14ac:dyDescent="0.3">
      <c r="A9" t="s">
        <v>1762</v>
      </c>
      <c r="B9" t="s">
        <v>1763</v>
      </c>
      <c r="C9" t="s">
        <v>1746</v>
      </c>
      <c r="D9" t="s">
        <v>1764</v>
      </c>
      <c r="E9" t="s">
        <v>1755</v>
      </c>
    </row>
    <row r="10" spans="1:5" x14ac:dyDescent="0.3">
      <c r="A10" t="s">
        <v>1765</v>
      </c>
      <c r="B10" t="s">
        <v>1766</v>
      </c>
      <c r="C10" t="s">
        <v>1767</v>
      </c>
      <c r="D10" t="s">
        <v>1768</v>
      </c>
      <c r="E10" t="s">
        <v>1755</v>
      </c>
    </row>
    <row r="11" spans="1:5" x14ac:dyDescent="0.3">
      <c r="A11" t="s">
        <v>1769</v>
      </c>
      <c r="B11" t="s">
        <v>1770</v>
      </c>
      <c r="C11" t="s">
        <v>1746</v>
      </c>
      <c r="D11" t="s">
        <v>1771</v>
      </c>
      <c r="E11" t="s">
        <v>1739</v>
      </c>
    </row>
    <row r="12" spans="1:5" x14ac:dyDescent="0.3">
      <c r="A12" t="s">
        <v>1772</v>
      </c>
      <c r="B12" t="s">
        <v>1773</v>
      </c>
      <c r="C12" t="s">
        <v>1737</v>
      </c>
      <c r="D12" t="s">
        <v>1774</v>
      </c>
      <c r="E12" t="s">
        <v>1755</v>
      </c>
    </row>
    <row r="13" spans="1:5" x14ac:dyDescent="0.3">
      <c r="A13" t="s">
        <v>1775</v>
      </c>
      <c r="B13" t="s">
        <v>1776</v>
      </c>
      <c r="C13" t="s">
        <v>1746</v>
      </c>
      <c r="D13" t="s">
        <v>390</v>
      </c>
      <c r="E13" t="s">
        <v>1755</v>
      </c>
    </row>
    <row r="14" spans="1:5" x14ac:dyDescent="0.3">
      <c r="A14" t="s">
        <v>1777</v>
      </c>
      <c r="B14" t="s">
        <v>1778</v>
      </c>
      <c r="C14" t="s">
        <v>1742</v>
      </c>
      <c r="D14" t="s">
        <v>1779</v>
      </c>
      <c r="E14" t="s">
        <v>1755</v>
      </c>
    </row>
    <row r="15" spans="1:5" x14ac:dyDescent="0.3">
      <c r="A15" t="s">
        <v>1780</v>
      </c>
      <c r="B15" t="s">
        <v>1781</v>
      </c>
      <c r="C15" t="s">
        <v>1737</v>
      </c>
      <c r="D15" t="s">
        <v>129</v>
      </c>
      <c r="E15" t="s">
        <v>1739</v>
      </c>
    </row>
    <row r="16" spans="1:5" x14ac:dyDescent="0.3">
      <c r="A16" t="s">
        <v>1782</v>
      </c>
      <c r="B16" t="s">
        <v>1783</v>
      </c>
      <c r="C16" t="s">
        <v>1746</v>
      </c>
      <c r="D16" t="s">
        <v>204</v>
      </c>
      <c r="E16" t="s">
        <v>1748</v>
      </c>
    </row>
    <row r="17" spans="1:5" x14ac:dyDescent="0.3">
      <c r="A17" t="s">
        <v>1784</v>
      </c>
      <c r="B17" t="s">
        <v>1785</v>
      </c>
      <c r="C17" t="s">
        <v>1742</v>
      </c>
      <c r="D17" t="s">
        <v>1786</v>
      </c>
      <c r="E17" t="s">
        <v>1739</v>
      </c>
    </row>
    <row r="18" spans="1:5" x14ac:dyDescent="0.3">
      <c r="A18" t="s">
        <v>1787</v>
      </c>
      <c r="B18" t="s">
        <v>1788</v>
      </c>
      <c r="C18" t="s">
        <v>1767</v>
      </c>
      <c r="D18" t="s">
        <v>1789</v>
      </c>
      <c r="E18" t="s">
        <v>1739</v>
      </c>
    </row>
    <row r="19" spans="1:5" x14ac:dyDescent="0.3">
      <c r="A19" t="s">
        <v>1790</v>
      </c>
      <c r="B19" t="s">
        <v>1791</v>
      </c>
      <c r="C19" t="s">
        <v>1742</v>
      </c>
      <c r="D19" t="s">
        <v>1792</v>
      </c>
      <c r="E19" t="s">
        <v>1739</v>
      </c>
    </row>
    <row r="20" spans="1:5" x14ac:dyDescent="0.3">
      <c r="A20" t="s">
        <v>1793</v>
      </c>
      <c r="B20" t="s">
        <v>1794</v>
      </c>
      <c r="C20" t="s">
        <v>1737</v>
      </c>
      <c r="D20" t="s">
        <v>1795</v>
      </c>
      <c r="E20" t="s">
        <v>1739</v>
      </c>
    </row>
    <row r="21" spans="1:5" x14ac:dyDescent="0.3">
      <c r="A21" t="s">
        <v>1796</v>
      </c>
      <c r="B21" t="s">
        <v>1797</v>
      </c>
      <c r="C21" t="s">
        <v>1737</v>
      </c>
      <c r="D21" t="s">
        <v>1798</v>
      </c>
      <c r="E21"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1"/>
  <sheetViews>
    <sheetView zoomScale="106" zoomScaleNormal="106" workbookViewId="0">
      <selection activeCell="J1" sqref="J1:J1048576"/>
    </sheetView>
  </sheetViews>
  <sheetFormatPr defaultRowHeight="14.4" x14ac:dyDescent="0.3"/>
  <cols>
    <col min="1" max="1" width="11.77734375" customWidth="1"/>
    <col min="2" max="2" width="18.77734375" customWidth="1"/>
    <col min="3" max="3" width="17.5546875" customWidth="1"/>
    <col min="5" max="5" width="8.21875" customWidth="1"/>
  </cols>
  <sheetData>
    <row r="1" spans="1:27" x14ac:dyDescent="0.3">
      <c r="A1" s="1" t="s">
        <v>1799</v>
      </c>
      <c r="B1" s="1" t="s">
        <v>1800</v>
      </c>
      <c r="C1" s="1" t="s">
        <v>0</v>
      </c>
      <c r="D1" s="1" t="s">
        <v>1519</v>
      </c>
      <c r="E1" s="1" t="s">
        <v>1731</v>
      </c>
      <c r="F1" s="1" t="s">
        <v>1801</v>
      </c>
      <c r="G1" s="1" t="s">
        <v>1802</v>
      </c>
      <c r="H1" s="1" t="s">
        <v>1803</v>
      </c>
      <c r="I1" s="1" t="s">
        <v>1804</v>
      </c>
      <c r="J1" s="1" t="s">
        <v>1805</v>
      </c>
      <c r="K1" s="5" t="s">
        <v>1</v>
      </c>
      <c r="L1" s="5" t="s">
        <v>2</v>
      </c>
      <c r="M1" s="5" t="s">
        <v>3</v>
      </c>
      <c r="N1" s="5" t="s">
        <v>4</v>
      </c>
      <c r="O1" s="5" t="s">
        <v>5</v>
      </c>
      <c r="P1" s="5" t="s">
        <v>6</v>
      </c>
      <c r="Q1" s="5" t="s">
        <v>7</v>
      </c>
      <c r="S1" s="1" t="s">
        <v>1801</v>
      </c>
      <c r="T1" s="1" t="s">
        <v>1802</v>
      </c>
      <c r="U1" s="1" t="s">
        <v>1803</v>
      </c>
      <c r="V1" s="1" t="s">
        <v>1805</v>
      </c>
      <c r="X1" s="1" t="s">
        <v>1801</v>
      </c>
      <c r="Y1" s="1" t="s">
        <v>1802</v>
      </c>
      <c r="Z1" s="1" t="s">
        <v>1803</v>
      </c>
      <c r="AA1" s="1" t="s">
        <v>1805</v>
      </c>
    </row>
    <row r="2" spans="1:27" x14ac:dyDescent="0.3">
      <c r="A2" t="s">
        <v>1806</v>
      </c>
      <c r="B2" s="2">
        <v>45480</v>
      </c>
      <c r="C2" t="s">
        <v>1258</v>
      </c>
      <c r="D2" t="s">
        <v>1725</v>
      </c>
      <c r="E2" t="s">
        <v>1749</v>
      </c>
      <c r="F2" s="4">
        <v>1</v>
      </c>
      <c r="G2">
        <v>218.04</v>
      </c>
      <c r="H2">
        <v>0.09</v>
      </c>
      <c r="I2" t="s">
        <v>1807</v>
      </c>
      <c r="J2">
        <v>198.41640000000001</v>
      </c>
      <c r="K2" t="s">
        <v>1259</v>
      </c>
      <c r="L2">
        <v>48</v>
      </c>
      <c r="M2" t="str" cm="1">
        <f t="array" ref="M2:M2001">VLOOKUP(C2:C2001,Table3[#All],4,1)</f>
        <v>Female</v>
      </c>
      <c r="N2" t="str">
        <f>VLOOKUP(C:C,Customer_Dim!B:I,5,1)</f>
        <v>Kathleenport</v>
      </c>
      <c r="O2" t="str">
        <f>VLOOKUP(C:C,Customer_Dim!B:I,6,1)</f>
        <v>Wyoming</v>
      </c>
      <c r="P2" t="str">
        <f>VLOOKUP(C:C,Customer_Dim!B:I,7,1)</f>
        <v>USA</v>
      </c>
      <c r="Q2" t="str">
        <f>VLOOKUP(C:C,Customer_Dim!B:I,8,1)</f>
        <v>Gold</v>
      </c>
      <c r="S2">
        <v>1</v>
      </c>
      <c r="T2">
        <v>218.04</v>
      </c>
      <c r="U2">
        <v>0.09</v>
      </c>
      <c r="V2">
        <v>198.41640000000001</v>
      </c>
      <c r="X2" s="4">
        <v>1</v>
      </c>
      <c r="Y2">
        <v>218.04</v>
      </c>
      <c r="Z2">
        <v>0.09</v>
      </c>
      <c r="AA2">
        <v>198.41640000000001</v>
      </c>
    </row>
    <row r="3" spans="1:27" x14ac:dyDescent="0.3">
      <c r="A3" t="s">
        <v>1808</v>
      </c>
      <c r="B3" s="2">
        <v>45285</v>
      </c>
      <c r="C3" t="s">
        <v>1424</v>
      </c>
      <c r="D3" t="s">
        <v>1679</v>
      </c>
      <c r="E3" t="s">
        <v>1790</v>
      </c>
      <c r="F3" s="4">
        <v>3</v>
      </c>
      <c r="G3">
        <v>104.47</v>
      </c>
      <c r="H3">
        <v>0.27</v>
      </c>
      <c r="I3" t="s">
        <v>1809</v>
      </c>
      <c r="J3">
        <v>228.7893</v>
      </c>
      <c r="K3" t="s">
        <v>1425</v>
      </c>
      <c r="L3">
        <v>45</v>
      </c>
      <c r="M3" t="str">
        <v>Male</v>
      </c>
      <c r="N3" t="str">
        <f>VLOOKUP(C:C,Customer_Dim!B:I,5,1)</f>
        <v>Oneillfurt</v>
      </c>
      <c r="O3" t="str">
        <f>VLOOKUP(C:C,Customer_Dim!B:I,6,1)</f>
        <v>Vermont</v>
      </c>
      <c r="P3" t="str">
        <f>VLOOKUP(C:C,Customer_Dim!B:I,7,1)</f>
        <v>USA</v>
      </c>
      <c r="Q3" t="str">
        <f>VLOOKUP(C:C,Customer_Dim!B:I,8,1)</f>
        <v>Gold</v>
      </c>
      <c r="S3">
        <v>3</v>
      </c>
      <c r="T3">
        <v>104.47</v>
      </c>
      <c r="U3">
        <v>0.27</v>
      </c>
      <c r="V3">
        <v>228.7893</v>
      </c>
      <c r="X3" s="4">
        <v>3</v>
      </c>
      <c r="Y3">
        <v>104.47</v>
      </c>
      <c r="Z3">
        <v>0.27</v>
      </c>
      <c r="AA3">
        <v>228.7893</v>
      </c>
    </row>
    <row r="4" spans="1:27" x14ac:dyDescent="0.3">
      <c r="A4" t="s">
        <v>1810</v>
      </c>
      <c r="B4" s="2">
        <v>45446</v>
      </c>
      <c r="C4" t="s">
        <v>208</v>
      </c>
      <c r="D4" t="s">
        <v>1629</v>
      </c>
      <c r="E4" t="s">
        <v>1765</v>
      </c>
      <c r="F4" s="4">
        <v>4</v>
      </c>
      <c r="G4">
        <v>914.05</v>
      </c>
      <c r="H4">
        <v>0.25</v>
      </c>
      <c r="I4" t="s">
        <v>1807</v>
      </c>
      <c r="J4">
        <v>2742.15</v>
      </c>
      <c r="K4" t="s">
        <v>209</v>
      </c>
      <c r="L4">
        <v>43</v>
      </c>
      <c r="M4" t="str">
        <v>Female</v>
      </c>
      <c r="N4" t="str">
        <f>VLOOKUP(C:C,Customer_Dim!B:I,5,1)</f>
        <v>Deborahberg</v>
      </c>
      <c r="O4" t="str">
        <f>VLOOKUP(C:C,Customer_Dim!B:I,6,1)</f>
        <v>Pennsylvania</v>
      </c>
      <c r="P4" t="str">
        <f>VLOOKUP(C:C,Customer_Dim!B:I,7,1)</f>
        <v>USA</v>
      </c>
      <c r="Q4" t="str">
        <f>VLOOKUP(C:C,Customer_Dim!B:I,8,1)</f>
        <v>Gold</v>
      </c>
      <c r="S4">
        <v>4</v>
      </c>
      <c r="T4">
        <v>914.05</v>
      </c>
      <c r="U4">
        <v>0.25</v>
      </c>
      <c r="V4">
        <v>2742.15</v>
      </c>
      <c r="X4" s="4">
        <v>4</v>
      </c>
      <c r="Y4">
        <v>914.05</v>
      </c>
      <c r="Z4">
        <v>0.25</v>
      </c>
      <c r="AA4">
        <v>2742.15</v>
      </c>
    </row>
    <row r="5" spans="1:27" x14ac:dyDescent="0.3">
      <c r="A5" t="s">
        <v>1811</v>
      </c>
      <c r="B5" s="2">
        <v>45259</v>
      </c>
      <c r="C5" t="s">
        <v>1075</v>
      </c>
      <c r="D5" t="s">
        <v>1683</v>
      </c>
      <c r="E5" t="s">
        <v>1765</v>
      </c>
      <c r="F5" s="4">
        <v>1</v>
      </c>
      <c r="G5">
        <v>921.51</v>
      </c>
      <c r="H5">
        <v>0.16</v>
      </c>
      <c r="I5" t="s">
        <v>1812</v>
      </c>
      <c r="J5">
        <v>774.0684</v>
      </c>
      <c r="K5" t="s">
        <v>1076</v>
      </c>
      <c r="L5">
        <v>39</v>
      </c>
      <c r="M5" t="str">
        <v>Female</v>
      </c>
      <c r="N5" t="str">
        <f>VLOOKUP(C:C,Customer_Dim!B:I,5,1)</f>
        <v>Port Crystalberg</v>
      </c>
      <c r="O5" t="str">
        <f>VLOOKUP(C:C,Customer_Dim!B:I,6,1)</f>
        <v>Tennessee</v>
      </c>
      <c r="P5" t="str">
        <f>VLOOKUP(C:C,Customer_Dim!B:I,7,1)</f>
        <v>USA</v>
      </c>
      <c r="Q5" t="str">
        <f>VLOOKUP(C:C,Customer_Dim!B:I,8,1)</f>
        <v>Platinum</v>
      </c>
      <c r="S5">
        <v>1</v>
      </c>
      <c r="T5">
        <v>921.51</v>
      </c>
      <c r="U5">
        <v>0.16</v>
      </c>
      <c r="V5">
        <v>774.0684</v>
      </c>
      <c r="X5" s="4">
        <v>1</v>
      </c>
      <c r="Y5">
        <v>921.51</v>
      </c>
      <c r="Z5">
        <v>0.16</v>
      </c>
      <c r="AA5">
        <v>774.0684</v>
      </c>
    </row>
    <row r="6" spans="1:27" x14ac:dyDescent="0.3">
      <c r="A6" t="s">
        <v>1813</v>
      </c>
      <c r="B6" s="2">
        <v>45297</v>
      </c>
      <c r="C6" t="s">
        <v>1499</v>
      </c>
      <c r="D6" t="s">
        <v>1649</v>
      </c>
      <c r="E6" t="s">
        <v>1756</v>
      </c>
      <c r="F6" s="4">
        <v>3</v>
      </c>
      <c r="G6">
        <v>745.3</v>
      </c>
      <c r="H6">
        <v>0.18</v>
      </c>
      <c r="I6" t="s">
        <v>1807</v>
      </c>
      <c r="J6">
        <v>1833.4380000000001</v>
      </c>
      <c r="K6" t="s">
        <v>1500</v>
      </c>
      <c r="L6">
        <v>21</v>
      </c>
      <c r="M6" t="str">
        <v>Male</v>
      </c>
      <c r="N6" t="str">
        <f>VLOOKUP(C:C,Customer_Dim!B:I,5,1)</f>
        <v>South William</v>
      </c>
      <c r="O6" t="str">
        <f>VLOOKUP(C:C,Customer_Dim!B:I,6,1)</f>
        <v>Alabama</v>
      </c>
      <c r="P6" t="str">
        <f>VLOOKUP(C:C,Customer_Dim!B:I,7,1)</f>
        <v>USA</v>
      </c>
      <c r="Q6" t="str">
        <f>VLOOKUP(C:C,Customer_Dim!B:I,8,1)</f>
        <v>Silver</v>
      </c>
      <c r="S6">
        <v>3</v>
      </c>
      <c r="T6">
        <v>745.3</v>
      </c>
      <c r="U6">
        <v>0.18</v>
      </c>
      <c r="V6">
        <v>1833.4380000000001</v>
      </c>
      <c r="X6" s="4">
        <v>3</v>
      </c>
      <c r="Y6">
        <v>745.3</v>
      </c>
      <c r="Z6">
        <v>0.18</v>
      </c>
      <c r="AA6">
        <v>1833.4380000000001</v>
      </c>
    </row>
    <row r="7" spans="1:27" x14ac:dyDescent="0.3">
      <c r="A7" t="s">
        <v>1814</v>
      </c>
      <c r="B7" s="2">
        <v>45499</v>
      </c>
      <c r="C7" t="s">
        <v>400</v>
      </c>
      <c r="D7" t="s">
        <v>1561</v>
      </c>
      <c r="E7" t="s">
        <v>1762</v>
      </c>
      <c r="F7" s="4">
        <v>3</v>
      </c>
      <c r="G7">
        <v>147.01</v>
      </c>
      <c r="H7">
        <v>0.19</v>
      </c>
      <c r="I7" t="s">
        <v>1812</v>
      </c>
      <c r="J7">
        <v>357.23430000000002</v>
      </c>
      <c r="K7" t="s">
        <v>401</v>
      </c>
      <c r="L7">
        <v>21</v>
      </c>
      <c r="M7" t="str">
        <v>Female</v>
      </c>
      <c r="N7" t="str">
        <f>VLOOKUP(C:C,Customer_Dim!B:I,5,1)</f>
        <v>North Davidport</v>
      </c>
      <c r="O7" t="str">
        <f>VLOOKUP(C:C,Customer_Dim!B:I,6,1)</f>
        <v>Rhode Island</v>
      </c>
      <c r="P7" t="str">
        <f>VLOOKUP(C:C,Customer_Dim!B:I,7,1)</f>
        <v>USA</v>
      </c>
      <c r="Q7" t="str">
        <f>VLOOKUP(C:C,Customer_Dim!B:I,8,1)</f>
        <v>Platinum</v>
      </c>
      <c r="S7">
        <v>3</v>
      </c>
      <c r="T7">
        <v>147.01</v>
      </c>
      <c r="U7">
        <v>0.19</v>
      </c>
      <c r="V7">
        <v>357.23430000000002</v>
      </c>
      <c r="X7" s="4">
        <v>3</v>
      </c>
      <c r="Y7">
        <v>147.01</v>
      </c>
      <c r="Z7">
        <v>0.19</v>
      </c>
      <c r="AA7">
        <v>357.23430000000002</v>
      </c>
    </row>
    <row r="8" spans="1:27" x14ac:dyDescent="0.3">
      <c r="A8" t="s">
        <v>1815</v>
      </c>
      <c r="B8" s="2">
        <v>45850</v>
      </c>
      <c r="C8" t="s">
        <v>75</v>
      </c>
      <c r="D8" t="s">
        <v>1643</v>
      </c>
      <c r="E8" t="s">
        <v>1752</v>
      </c>
      <c r="F8" s="4">
        <v>2</v>
      </c>
      <c r="G8">
        <v>785.31</v>
      </c>
      <c r="H8">
        <v>0.15</v>
      </c>
      <c r="I8" t="s">
        <v>1809</v>
      </c>
      <c r="J8">
        <v>1335.027</v>
      </c>
      <c r="K8" t="s">
        <v>76</v>
      </c>
      <c r="L8">
        <v>60</v>
      </c>
      <c r="M8" t="str">
        <v>Female</v>
      </c>
      <c r="N8" t="str">
        <f>VLOOKUP(C:C,Customer_Dim!B:I,5,1)</f>
        <v>South Christopher</v>
      </c>
      <c r="O8" t="str">
        <f>VLOOKUP(C:C,Customer_Dim!B:I,6,1)</f>
        <v>Pennsylvania</v>
      </c>
      <c r="P8" t="str">
        <f>VLOOKUP(C:C,Customer_Dim!B:I,7,1)</f>
        <v>USA</v>
      </c>
      <c r="Q8" t="str">
        <f>VLOOKUP(C:C,Customer_Dim!B:I,8,1)</f>
        <v>Bronze</v>
      </c>
      <c r="S8">
        <v>2</v>
      </c>
      <c r="T8">
        <v>785.31</v>
      </c>
      <c r="U8">
        <v>0.15</v>
      </c>
      <c r="V8">
        <v>1335.027</v>
      </c>
      <c r="X8" s="4">
        <v>2</v>
      </c>
      <c r="Y8">
        <v>785.31</v>
      </c>
      <c r="Z8">
        <v>0.15</v>
      </c>
      <c r="AA8">
        <v>1335.027</v>
      </c>
    </row>
    <row r="9" spans="1:27" x14ac:dyDescent="0.3">
      <c r="A9" t="s">
        <v>1816</v>
      </c>
      <c r="B9" s="2">
        <v>45248</v>
      </c>
      <c r="C9" t="s">
        <v>506</v>
      </c>
      <c r="D9" t="s">
        <v>1671</v>
      </c>
      <c r="E9" t="s">
        <v>1765</v>
      </c>
      <c r="F9" s="4">
        <v>4</v>
      </c>
      <c r="G9">
        <v>342.39</v>
      </c>
      <c r="H9">
        <v>0.23</v>
      </c>
      <c r="I9" t="s">
        <v>1809</v>
      </c>
      <c r="J9">
        <v>1054.5612000000001</v>
      </c>
      <c r="K9" t="s">
        <v>507</v>
      </c>
      <c r="L9">
        <v>31</v>
      </c>
      <c r="M9" t="str">
        <v>Male</v>
      </c>
      <c r="N9" t="str">
        <f>VLOOKUP(C:C,Customer_Dim!B:I,5,1)</f>
        <v>Jaredville</v>
      </c>
      <c r="O9" t="str">
        <f>VLOOKUP(C:C,Customer_Dim!B:I,6,1)</f>
        <v>Missouri</v>
      </c>
      <c r="P9" t="str">
        <f>VLOOKUP(C:C,Customer_Dim!B:I,7,1)</f>
        <v>USA</v>
      </c>
      <c r="Q9" t="str">
        <f>VLOOKUP(C:C,Customer_Dim!B:I,8,1)</f>
        <v>Platinum</v>
      </c>
      <c r="S9">
        <v>4</v>
      </c>
      <c r="T9">
        <v>342.39</v>
      </c>
      <c r="U9">
        <v>0.23</v>
      </c>
      <c r="V9">
        <v>1054.5612000000001</v>
      </c>
      <c r="X9" s="4">
        <v>4</v>
      </c>
      <c r="Y9">
        <v>342.39</v>
      </c>
      <c r="Z9">
        <v>0.23</v>
      </c>
      <c r="AA9">
        <v>1054.5612000000001</v>
      </c>
    </row>
    <row r="10" spans="1:27" x14ac:dyDescent="0.3">
      <c r="A10" t="s">
        <v>1817</v>
      </c>
      <c r="B10" s="2">
        <v>45781</v>
      </c>
      <c r="C10" t="s">
        <v>610</v>
      </c>
      <c r="D10" t="s">
        <v>1729</v>
      </c>
      <c r="E10" t="s">
        <v>1756</v>
      </c>
      <c r="F10" s="4">
        <v>2.4796175138399597</v>
      </c>
      <c r="G10">
        <v>448.25</v>
      </c>
      <c r="H10">
        <v>7.0000000000000007E-2</v>
      </c>
      <c r="I10" t="s">
        <v>1809</v>
      </c>
      <c r="J10">
        <v>1250.6175000000001</v>
      </c>
      <c r="K10" t="s">
        <v>611</v>
      </c>
      <c r="L10">
        <v>42</v>
      </c>
      <c r="M10" t="str">
        <v>Male</v>
      </c>
      <c r="N10" t="str">
        <f>VLOOKUP(C:C,Customer_Dim!B:I,5,1)</f>
        <v>Lake Blaketon</v>
      </c>
      <c r="O10" t="str">
        <f>VLOOKUP(C:C,Customer_Dim!B:I,6,1)</f>
        <v>Alabama</v>
      </c>
      <c r="P10" t="str">
        <f>VLOOKUP(C:C,Customer_Dim!B:I,7,1)</f>
        <v>USA</v>
      </c>
      <c r="Q10" t="str">
        <f>VLOOKUP(C:C,Customer_Dim!B:I,8,1)</f>
        <v>Platinum</v>
      </c>
      <c r="T10">
        <v>448.25</v>
      </c>
      <c r="U10">
        <v>7.0000000000000007E-2</v>
      </c>
      <c r="V10">
        <v>1250.6175000000001</v>
      </c>
      <c r="X10" s="4">
        <v>2.4796175138399597</v>
      </c>
      <c r="Y10">
        <v>448.25</v>
      </c>
      <c r="Z10">
        <v>7.0000000000000007E-2</v>
      </c>
      <c r="AA10">
        <v>1250.6175000000001</v>
      </c>
    </row>
    <row r="11" spans="1:27" x14ac:dyDescent="0.3">
      <c r="A11" t="s">
        <v>1818</v>
      </c>
      <c r="B11" s="2">
        <v>45869</v>
      </c>
      <c r="C11" t="s">
        <v>1415</v>
      </c>
      <c r="D11" t="s">
        <v>1597</v>
      </c>
      <c r="E11" t="s">
        <v>1735</v>
      </c>
      <c r="F11" s="4">
        <v>2</v>
      </c>
      <c r="G11">
        <v>873.17</v>
      </c>
      <c r="H11">
        <v>0.23</v>
      </c>
      <c r="I11" t="s">
        <v>1809</v>
      </c>
      <c r="J11">
        <v>1344.6818000000001</v>
      </c>
      <c r="K11" t="s">
        <v>1416</v>
      </c>
      <c r="L11">
        <v>28</v>
      </c>
      <c r="M11" t="str">
        <v>Female</v>
      </c>
      <c r="N11" t="str">
        <f>VLOOKUP(C:C,Customer_Dim!B:I,5,1)</f>
        <v>Grayland</v>
      </c>
      <c r="O11" t="str">
        <f>VLOOKUP(C:C,Customer_Dim!B:I,6,1)</f>
        <v>Washington</v>
      </c>
      <c r="P11" t="str">
        <f>VLOOKUP(C:C,Customer_Dim!B:I,7,1)</f>
        <v>USA</v>
      </c>
      <c r="Q11" t="str">
        <f>VLOOKUP(C:C,Customer_Dim!B:I,8,1)</f>
        <v>Platinum</v>
      </c>
      <c r="S11">
        <v>2</v>
      </c>
      <c r="T11">
        <v>873.17</v>
      </c>
      <c r="U11">
        <v>0.23</v>
      </c>
      <c r="V11">
        <v>1344.6818000000001</v>
      </c>
      <c r="X11" s="4">
        <v>2</v>
      </c>
      <c r="Y11">
        <v>873.17</v>
      </c>
      <c r="Z11">
        <v>0.23</v>
      </c>
      <c r="AA11">
        <v>1344.6818000000001</v>
      </c>
    </row>
    <row r="12" spans="1:27" x14ac:dyDescent="0.3">
      <c r="A12" t="s">
        <v>1819</v>
      </c>
      <c r="B12" s="2">
        <v>45335</v>
      </c>
      <c r="C12" t="s">
        <v>238</v>
      </c>
      <c r="D12" t="s">
        <v>1579</v>
      </c>
      <c r="E12" t="s">
        <v>1782</v>
      </c>
      <c r="F12" s="4">
        <v>1</v>
      </c>
      <c r="G12">
        <v>278.63</v>
      </c>
      <c r="H12">
        <v>7.0000000000000007E-2</v>
      </c>
      <c r="I12" t="s">
        <v>1807</v>
      </c>
      <c r="J12">
        <v>259.1259</v>
      </c>
      <c r="K12" t="s">
        <v>239</v>
      </c>
      <c r="L12">
        <v>27</v>
      </c>
      <c r="M12" t="str">
        <v>Female</v>
      </c>
      <c r="N12" t="str">
        <f>VLOOKUP(C:C,Customer_Dim!B:I,5,1)</f>
        <v>Woodmouth</v>
      </c>
      <c r="O12" t="str">
        <f>VLOOKUP(C:C,Customer_Dim!B:I,6,1)</f>
        <v>Nevada</v>
      </c>
      <c r="P12" t="str">
        <f>VLOOKUP(C:C,Customer_Dim!B:I,7,1)</f>
        <v>USA</v>
      </c>
      <c r="Q12" t="str">
        <f>VLOOKUP(C:C,Customer_Dim!B:I,8,1)</f>
        <v>Silver</v>
      </c>
      <c r="S12">
        <v>1</v>
      </c>
      <c r="T12">
        <v>278.63</v>
      </c>
      <c r="U12">
        <v>7.0000000000000007E-2</v>
      </c>
      <c r="V12">
        <v>259.1259</v>
      </c>
      <c r="X12" s="4">
        <v>1</v>
      </c>
      <c r="Y12">
        <v>278.63</v>
      </c>
      <c r="Z12">
        <v>7.0000000000000007E-2</v>
      </c>
      <c r="AA12">
        <v>259.1259</v>
      </c>
    </row>
    <row r="13" spans="1:27" x14ac:dyDescent="0.3">
      <c r="A13" t="s">
        <v>1820</v>
      </c>
      <c r="B13" s="2">
        <v>45801</v>
      </c>
      <c r="C13" t="s">
        <v>998</v>
      </c>
      <c r="D13" t="s">
        <v>1609</v>
      </c>
      <c r="E13" t="s">
        <v>1740</v>
      </c>
      <c r="F13" s="4">
        <v>4</v>
      </c>
      <c r="G13">
        <v>286.92</v>
      </c>
      <c r="H13">
        <v>0.17</v>
      </c>
      <c r="I13" t="s">
        <v>1807</v>
      </c>
      <c r="J13">
        <v>952.57439999999997</v>
      </c>
      <c r="K13" t="s">
        <v>999</v>
      </c>
      <c r="L13">
        <v>21</v>
      </c>
      <c r="M13" t="str">
        <v>Female</v>
      </c>
      <c r="N13" t="str">
        <f>VLOOKUP(C:C,Customer_Dim!B:I,5,1)</f>
        <v>South Darrenland</v>
      </c>
      <c r="O13" t="str">
        <f>VLOOKUP(C:C,Customer_Dim!B:I,6,1)</f>
        <v>Iowa</v>
      </c>
      <c r="P13" t="str">
        <f>VLOOKUP(C:C,Customer_Dim!B:I,7,1)</f>
        <v>USA</v>
      </c>
      <c r="Q13" t="str">
        <f>VLOOKUP(C:C,Customer_Dim!B:I,8,1)</f>
        <v>Bronze</v>
      </c>
      <c r="S13">
        <v>4</v>
      </c>
      <c r="T13">
        <v>286.92</v>
      </c>
      <c r="U13">
        <v>0.17</v>
      </c>
      <c r="V13">
        <v>952.57439999999997</v>
      </c>
      <c r="X13" s="4">
        <v>4</v>
      </c>
      <c r="Y13">
        <v>286.92</v>
      </c>
      <c r="Z13">
        <v>0.17</v>
      </c>
      <c r="AA13">
        <v>952.57439999999997</v>
      </c>
    </row>
    <row r="14" spans="1:27" x14ac:dyDescent="0.3">
      <c r="A14" t="s">
        <v>1821</v>
      </c>
      <c r="B14" s="2">
        <v>45528</v>
      </c>
      <c r="C14" t="s">
        <v>755</v>
      </c>
      <c r="D14" t="s">
        <v>1707</v>
      </c>
      <c r="E14" t="s">
        <v>1752</v>
      </c>
      <c r="F14" s="4">
        <v>4</v>
      </c>
      <c r="G14">
        <v>644.58000000000004</v>
      </c>
      <c r="H14">
        <v>0.01</v>
      </c>
      <c r="I14" t="s">
        <v>1807</v>
      </c>
      <c r="J14">
        <v>2552.5367999999999</v>
      </c>
      <c r="K14" t="s">
        <v>756</v>
      </c>
      <c r="L14">
        <v>40</v>
      </c>
      <c r="M14" t="str">
        <v>Male</v>
      </c>
      <c r="N14" t="str">
        <f>VLOOKUP(C:C,Customer_Dim!B:I,5,1)</f>
        <v>Susanstad</v>
      </c>
      <c r="O14" t="str">
        <f>VLOOKUP(C:C,Customer_Dim!B:I,6,1)</f>
        <v>Montana</v>
      </c>
      <c r="P14" t="str">
        <f>VLOOKUP(C:C,Customer_Dim!B:I,7,1)</f>
        <v>USA</v>
      </c>
      <c r="Q14" t="str">
        <f>VLOOKUP(C:C,Customer_Dim!B:I,8,1)</f>
        <v>Gold</v>
      </c>
      <c r="S14">
        <v>4</v>
      </c>
      <c r="T14">
        <v>644.58000000000004</v>
      </c>
      <c r="U14">
        <v>0.01</v>
      </c>
      <c r="V14">
        <v>2552.5367999999999</v>
      </c>
      <c r="X14" s="4">
        <v>4</v>
      </c>
      <c r="Y14">
        <v>644.58000000000004</v>
      </c>
      <c r="Z14">
        <v>0.01</v>
      </c>
      <c r="AA14">
        <v>2552.5367999999999</v>
      </c>
    </row>
    <row r="15" spans="1:27" x14ac:dyDescent="0.3">
      <c r="A15" t="s">
        <v>1822</v>
      </c>
      <c r="B15" s="2">
        <v>45875</v>
      </c>
      <c r="C15" t="s">
        <v>1355</v>
      </c>
      <c r="D15" t="s">
        <v>1599</v>
      </c>
      <c r="E15" t="s">
        <v>1787</v>
      </c>
      <c r="F15" s="4">
        <v>2</v>
      </c>
      <c r="G15">
        <v>316.89999999999998</v>
      </c>
      <c r="H15">
        <v>0.3</v>
      </c>
      <c r="I15" t="s">
        <v>1809</v>
      </c>
      <c r="J15">
        <v>443.66</v>
      </c>
      <c r="K15" t="s">
        <v>1356</v>
      </c>
      <c r="L15">
        <v>19</v>
      </c>
      <c r="M15" t="str">
        <v>Male</v>
      </c>
      <c r="N15" t="str">
        <f>VLOOKUP(C:C,Customer_Dim!B:I,5,1)</f>
        <v>New Donnabury</v>
      </c>
      <c r="O15" t="str">
        <f>VLOOKUP(C:C,Customer_Dim!B:I,6,1)</f>
        <v>Texas</v>
      </c>
      <c r="P15" t="str">
        <f>VLOOKUP(C:C,Customer_Dim!B:I,7,1)</f>
        <v>USA</v>
      </c>
      <c r="Q15" t="str">
        <f>VLOOKUP(C:C,Customer_Dim!B:I,8,1)</f>
        <v>Silver</v>
      </c>
      <c r="S15">
        <v>2</v>
      </c>
      <c r="T15">
        <v>316.89999999999998</v>
      </c>
      <c r="U15">
        <v>0.3</v>
      </c>
      <c r="V15">
        <v>443.66</v>
      </c>
      <c r="X15" s="4">
        <v>2</v>
      </c>
      <c r="Y15">
        <v>316.89999999999998</v>
      </c>
      <c r="Z15">
        <v>0.3</v>
      </c>
      <c r="AA15">
        <v>443.66</v>
      </c>
    </row>
    <row r="16" spans="1:27" x14ac:dyDescent="0.3">
      <c r="A16" t="s">
        <v>1823</v>
      </c>
      <c r="B16" s="2">
        <v>45829</v>
      </c>
      <c r="C16" t="s">
        <v>1080</v>
      </c>
      <c r="D16" t="s">
        <v>1579</v>
      </c>
      <c r="E16" t="s">
        <v>1784</v>
      </c>
      <c r="F16" s="4">
        <v>4</v>
      </c>
      <c r="G16">
        <v>403.47</v>
      </c>
      <c r="H16">
        <v>0.28999999999999998</v>
      </c>
      <c r="I16" t="s">
        <v>1809</v>
      </c>
      <c r="J16">
        <v>1145.8548000000001</v>
      </c>
      <c r="K16" t="s">
        <v>1081</v>
      </c>
      <c r="L16">
        <v>31</v>
      </c>
      <c r="M16" t="str">
        <v>Male</v>
      </c>
      <c r="N16" t="str">
        <f>VLOOKUP(C:C,Customer_Dim!B:I,5,1)</f>
        <v>Shannonview</v>
      </c>
      <c r="O16" t="str">
        <f>VLOOKUP(C:C,Customer_Dim!B:I,6,1)</f>
        <v>Pennsylvania</v>
      </c>
      <c r="P16" t="str">
        <f>VLOOKUP(C:C,Customer_Dim!B:I,7,1)</f>
        <v>USA</v>
      </c>
      <c r="Q16" t="str">
        <f>VLOOKUP(C:C,Customer_Dim!B:I,8,1)</f>
        <v>Silver</v>
      </c>
      <c r="S16">
        <v>4</v>
      </c>
      <c r="T16">
        <v>403.47</v>
      </c>
      <c r="U16">
        <v>0.28999999999999998</v>
      </c>
      <c r="V16">
        <v>1145.8548000000001</v>
      </c>
      <c r="X16" s="4">
        <v>4</v>
      </c>
      <c r="Y16">
        <v>403.47</v>
      </c>
      <c r="Z16">
        <v>0.28999999999999998</v>
      </c>
      <c r="AA16">
        <v>1145.8548000000001</v>
      </c>
    </row>
    <row r="17" spans="1:27" x14ac:dyDescent="0.3">
      <c r="A17" t="s">
        <v>1824</v>
      </c>
      <c r="B17" s="2">
        <v>45636</v>
      </c>
      <c r="C17" t="s">
        <v>1333</v>
      </c>
      <c r="D17" t="s">
        <v>1603</v>
      </c>
      <c r="E17" t="s">
        <v>1769</v>
      </c>
      <c r="F17" s="4">
        <v>2.4785461887935387</v>
      </c>
      <c r="G17">
        <v>871.34</v>
      </c>
      <c r="H17">
        <v>0.04</v>
      </c>
      <c r="I17" t="s">
        <v>1812</v>
      </c>
      <c r="J17">
        <v>2509.4591999999998</v>
      </c>
      <c r="K17" t="s">
        <v>1334</v>
      </c>
      <c r="L17">
        <v>61</v>
      </c>
      <c r="M17" t="str">
        <v>Male</v>
      </c>
      <c r="N17" t="str">
        <f>VLOOKUP(C:C,Customer_Dim!B:I,5,1)</f>
        <v>Wesleyhaven</v>
      </c>
      <c r="O17" t="str">
        <f>VLOOKUP(C:C,Customer_Dim!B:I,6,1)</f>
        <v>Idaho</v>
      </c>
      <c r="P17" t="str">
        <f>VLOOKUP(C:C,Customer_Dim!B:I,7,1)</f>
        <v>USA</v>
      </c>
      <c r="Q17" t="str">
        <f>VLOOKUP(C:C,Customer_Dim!B:I,8,1)</f>
        <v>Silver</v>
      </c>
      <c r="T17">
        <v>871.34</v>
      </c>
      <c r="U17">
        <v>0.04</v>
      </c>
      <c r="V17">
        <v>2509.4591999999998</v>
      </c>
      <c r="X17" s="4">
        <v>2.4785461887935387</v>
      </c>
      <c r="Y17">
        <v>871.34</v>
      </c>
      <c r="Z17">
        <v>0.04</v>
      </c>
      <c r="AA17">
        <v>2509.4591999999998</v>
      </c>
    </row>
    <row r="18" spans="1:27" x14ac:dyDescent="0.3">
      <c r="A18" t="s">
        <v>1825</v>
      </c>
      <c r="B18" s="2">
        <v>45913</v>
      </c>
      <c r="C18" t="s">
        <v>870</v>
      </c>
      <c r="D18" t="s">
        <v>1661</v>
      </c>
      <c r="E18" t="s">
        <v>1796</v>
      </c>
      <c r="F18" s="4">
        <v>2</v>
      </c>
      <c r="G18">
        <v>451.98</v>
      </c>
      <c r="H18">
        <v>0.25</v>
      </c>
      <c r="I18" t="s">
        <v>1807</v>
      </c>
      <c r="J18">
        <v>677.97</v>
      </c>
      <c r="K18" t="s">
        <v>871</v>
      </c>
      <c r="L18">
        <v>22</v>
      </c>
      <c r="M18" t="str">
        <v>Female</v>
      </c>
      <c r="N18" t="str">
        <f>VLOOKUP(C:C,Customer_Dim!B:I,5,1)</f>
        <v>Ericshire</v>
      </c>
      <c r="O18" t="str">
        <f>VLOOKUP(C:C,Customer_Dim!B:I,6,1)</f>
        <v>Nevada</v>
      </c>
      <c r="P18" t="str">
        <f>VLOOKUP(C:C,Customer_Dim!B:I,7,1)</f>
        <v>USA</v>
      </c>
      <c r="Q18" t="str">
        <f>VLOOKUP(C:C,Customer_Dim!B:I,8,1)</f>
        <v>Gold</v>
      </c>
      <c r="S18">
        <v>2</v>
      </c>
      <c r="T18">
        <v>451.98</v>
      </c>
      <c r="U18">
        <v>0.25</v>
      </c>
      <c r="V18">
        <v>677.97</v>
      </c>
      <c r="X18" s="4">
        <v>2</v>
      </c>
      <c r="Y18">
        <v>451.98</v>
      </c>
      <c r="Z18">
        <v>0.25</v>
      </c>
      <c r="AA18">
        <v>677.97</v>
      </c>
    </row>
    <row r="19" spans="1:27" x14ac:dyDescent="0.3">
      <c r="A19" t="s">
        <v>1826</v>
      </c>
      <c r="B19" s="2">
        <v>45637</v>
      </c>
      <c r="C19" t="s">
        <v>285</v>
      </c>
      <c r="D19" t="s">
        <v>1585</v>
      </c>
      <c r="E19" t="s">
        <v>1752</v>
      </c>
      <c r="F19" s="4">
        <v>2</v>
      </c>
      <c r="G19">
        <v>502.69</v>
      </c>
      <c r="H19">
        <v>0.23</v>
      </c>
      <c r="I19" t="s">
        <v>1807</v>
      </c>
      <c r="J19">
        <v>774.14260000000002</v>
      </c>
      <c r="K19" t="s">
        <v>286</v>
      </c>
      <c r="L19">
        <v>61</v>
      </c>
      <c r="M19" t="str">
        <v>Female</v>
      </c>
      <c r="N19" t="str">
        <f>VLOOKUP(C:C,Customer_Dim!B:I,5,1)</f>
        <v>Nicoleborough</v>
      </c>
      <c r="O19" t="str">
        <f>VLOOKUP(C:C,Customer_Dim!B:I,6,1)</f>
        <v>Arkansas</v>
      </c>
      <c r="P19" t="str">
        <f>VLOOKUP(C:C,Customer_Dim!B:I,7,1)</f>
        <v>USA</v>
      </c>
      <c r="Q19" t="str">
        <f>VLOOKUP(C:C,Customer_Dim!B:I,8,1)</f>
        <v>Platinum</v>
      </c>
      <c r="S19">
        <v>2</v>
      </c>
      <c r="T19">
        <v>502.69</v>
      </c>
      <c r="U19">
        <v>0.23</v>
      </c>
      <c r="V19">
        <v>774.14260000000002</v>
      </c>
      <c r="X19" s="4">
        <v>2</v>
      </c>
      <c r="Y19">
        <v>502.69</v>
      </c>
      <c r="Z19">
        <v>0.23</v>
      </c>
      <c r="AA19">
        <v>774.14260000000002</v>
      </c>
    </row>
    <row r="20" spans="1:27" x14ac:dyDescent="0.3">
      <c r="A20" t="s">
        <v>1827</v>
      </c>
      <c r="B20" s="2">
        <v>45517</v>
      </c>
      <c r="C20" t="s">
        <v>333</v>
      </c>
      <c r="D20" t="s">
        <v>1609</v>
      </c>
      <c r="E20" t="s">
        <v>1752</v>
      </c>
      <c r="F20" s="4">
        <v>2</v>
      </c>
      <c r="G20">
        <v>559.23</v>
      </c>
      <c r="H20">
        <v>0.25</v>
      </c>
      <c r="I20" t="s">
        <v>1812</v>
      </c>
      <c r="J20">
        <v>838.84500000000003</v>
      </c>
      <c r="K20" t="s">
        <v>334</v>
      </c>
      <c r="L20">
        <v>62</v>
      </c>
      <c r="M20" t="str">
        <v>Female</v>
      </c>
      <c r="N20" t="str">
        <f>VLOOKUP(C:C,Customer_Dim!B:I,5,1)</f>
        <v>New Amyport</v>
      </c>
      <c r="O20" t="str">
        <f>VLOOKUP(C:C,Customer_Dim!B:I,6,1)</f>
        <v>Nevada</v>
      </c>
      <c r="P20" t="str">
        <f>VLOOKUP(C:C,Customer_Dim!B:I,7,1)</f>
        <v>USA</v>
      </c>
      <c r="Q20" t="str">
        <f>VLOOKUP(C:C,Customer_Dim!B:I,8,1)</f>
        <v>Gold</v>
      </c>
      <c r="S20">
        <v>2</v>
      </c>
      <c r="T20">
        <v>559.23</v>
      </c>
      <c r="U20">
        <v>0.25</v>
      </c>
      <c r="V20">
        <v>838.84500000000003</v>
      </c>
      <c r="X20" s="4">
        <v>2</v>
      </c>
      <c r="Y20">
        <v>559.23</v>
      </c>
      <c r="Z20">
        <v>0.25</v>
      </c>
      <c r="AA20">
        <v>838.84500000000003</v>
      </c>
    </row>
    <row r="21" spans="1:27" x14ac:dyDescent="0.3">
      <c r="A21" t="s">
        <v>1828</v>
      </c>
      <c r="B21" s="2">
        <v>45369</v>
      </c>
      <c r="C21" t="s">
        <v>761</v>
      </c>
      <c r="D21" t="s">
        <v>1651</v>
      </c>
      <c r="E21" t="s">
        <v>1780</v>
      </c>
      <c r="F21" s="4">
        <v>4</v>
      </c>
      <c r="G21">
        <v>513.95973205257826</v>
      </c>
      <c r="H21">
        <v>0.04</v>
      </c>
      <c r="I21" t="s">
        <v>1812</v>
      </c>
      <c r="J21">
        <v>1782.4512</v>
      </c>
      <c r="K21" t="s">
        <v>762</v>
      </c>
      <c r="L21">
        <v>59</v>
      </c>
      <c r="M21" t="str">
        <v>Female</v>
      </c>
      <c r="N21" t="str">
        <f>VLOOKUP(C:C,Customer_Dim!B:I,5,1)</f>
        <v>Zamoraborough</v>
      </c>
      <c r="O21" t="str">
        <f>VLOOKUP(C:C,Customer_Dim!B:I,6,1)</f>
        <v>Nevada</v>
      </c>
      <c r="P21" t="str">
        <f>VLOOKUP(C:C,Customer_Dim!B:I,7,1)</f>
        <v>USA</v>
      </c>
      <c r="Q21" t="str">
        <f>VLOOKUP(C:C,Customer_Dim!B:I,8,1)</f>
        <v>Platinum</v>
      </c>
      <c r="S21">
        <v>4</v>
      </c>
      <c r="U21">
        <v>0.04</v>
      </c>
      <c r="V21">
        <v>1782.4512</v>
      </c>
      <c r="X21" s="4">
        <v>4</v>
      </c>
      <c r="Y21">
        <v>513.95973205257826</v>
      </c>
      <c r="Z21">
        <v>0.04</v>
      </c>
      <c r="AA21">
        <v>1782.4512</v>
      </c>
    </row>
    <row r="22" spans="1:27" x14ac:dyDescent="0.3">
      <c r="A22" t="s">
        <v>1829</v>
      </c>
      <c r="B22" s="2">
        <v>45843</v>
      </c>
      <c r="C22" t="s">
        <v>482</v>
      </c>
      <c r="D22" t="s">
        <v>1675</v>
      </c>
      <c r="E22" t="s">
        <v>1790</v>
      </c>
      <c r="F22" s="4">
        <v>3</v>
      </c>
      <c r="G22">
        <v>986.04</v>
      </c>
      <c r="H22">
        <v>0.27</v>
      </c>
      <c r="I22" t="s">
        <v>1812</v>
      </c>
      <c r="J22">
        <v>2159.4276</v>
      </c>
      <c r="K22" t="s">
        <v>483</v>
      </c>
      <c r="L22">
        <v>46</v>
      </c>
      <c r="M22" t="str">
        <v>Male</v>
      </c>
      <c r="N22" t="str">
        <f>VLOOKUP(C:C,Customer_Dim!B:I,5,1)</f>
        <v>North Anthonychester</v>
      </c>
      <c r="O22" t="str">
        <f>VLOOKUP(C:C,Customer_Dim!B:I,6,1)</f>
        <v>Nevada</v>
      </c>
      <c r="P22" t="str">
        <f>VLOOKUP(C:C,Customer_Dim!B:I,7,1)</f>
        <v>USA</v>
      </c>
      <c r="Q22" t="str">
        <f>VLOOKUP(C:C,Customer_Dim!B:I,8,1)</f>
        <v>Bronze</v>
      </c>
      <c r="S22">
        <v>3</v>
      </c>
      <c r="T22">
        <v>986.04</v>
      </c>
      <c r="U22">
        <v>0.27</v>
      </c>
      <c r="V22">
        <v>2159.4276</v>
      </c>
      <c r="X22" s="4">
        <v>3</v>
      </c>
      <c r="Y22">
        <v>986.04</v>
      </c>
      <c r="Z22">
        <v>0.27</v>
      </c>
      <c r="AA22">
        <v>2159.4276</v>
      </c>
    </row>
    <row r="23" spans="1:27" x14ac:dyDescent="0.3">
      <c r="A23" t="s">
        <v>1830</v>
      </c>
      <c r="B23" s="2">
        <v>45447</v>
      </c>
      <c r="C23" t="s">
        <v>1222</v>
      </c>
      <c r="D23" t="s">
        <v>1617</v>
      </c>
      <c r="E23" t="s">
        <v>1793</v>
      </c>
      <c r="F23" s="4">
        <v>1</v>
      </c>
      <c r="G23">
        <v>589.55999999999995</v>
      </c>
      <c r="H23">
        <v>0.22</v>
      </c>
      <c r="I23" t="s">
        <v>1807</v>
      </c>
      <c r="J23">
        <v>459.85680000000002</v>
      </c>
      <c r="K23" t="s">
        <v>1223</v>
      </c>
      <c r="L23">
        <v>62</v>
      </c>
      <c r="M23" t="str">
        <v>Female</v>
      </c>
      <c r="N23" t="str">
        <f>VLOOKUP(C:C,Customer_Dim!B:I,5,1)</f>
        <v>Parkerview</v>
      </c>
      <c r="O23" t="str">
        <f>VLOOKUP(C:C,Customer_Dim!B:I,6,1)</f>
        <v>New York</v>
      </c>
      <c r="P23" t="str">
        <f>VLOOKUP(C:C,Customer_Dim!B:I,7,1)</f>
        <v>USA</v>
      </c>
      <c r="Q23" t="str">
        <f>VLOOKUP(C:C,Customer_Dim!B:I,8,1)</f>
        <v>Silver</v>
      </c>
      <c r="S23">
        <v>1</v>
      </c>
      <c r="T23">
        <v>589.55999999999995</v>
      </c>
      <c r="U23">
        <v>0.22</v>
      </c>
      <c r="V23">
        <v>459.85680000000002</v>
      </c>
      <c r="X23" s="4">
        <v>1</v>
      </c>
      <c r="Y23">
        <v>589.55999999999995</v>
      </c>
      <c r="Z23">
        <v>0.22</v>
      </c>
      <c r="AA23">
        <v>459.85680000000002</v>
      </c>
    </row>
    <row r="24" spans="1:27" x14ac:dyDescent="0.3">
      <c r="A24" t="s">
        <v>1831</v>
      </c>
      <c r="B24" s="2">
        <v>45394</v>
      </c>
      <c r="C24" t="s">
        <v>1450</v>
      </c>
      <c r="D24" t="s">
        <v>1669</v>
      </c>
      <c r="E24" t="s">
        <v>1772</v>
      </c>
      <c r="F24" s="4">
        <v>3</v>
      </c>
      <c r="G24">
        <v>979.42</v>
      </c>
      <c r="H24">
        <v>0.03</v>
      </c>
      <c r="I24" t="s">
        <v>1809</v>
      </c>
      <c r="J24">
        <v>2850.1122</v>
      </c>
      <c r="K24" t="s">
        <v>1451</v>
      </c>
      <c r="L24">
        <v>41</v>
      </c>
      <c r="M24" t="str">
        <v>Female</v>
      </c>
      <c r="N24" t="str">
        <f>VLOOKUP(C:C,Customer_Dim!B:I,5,1)</f>
        <v>Anthonymouth</v>
      </c>
      <c r="O24" t="str">
        <f>VLOOKUP(C:C,Customer_Dim!B:I,6,1)</f>
        <v>Oklahoma</v>
      </c>
      <c r="P24" t="str">
        <f>VLOOKUP(C:C,Customer_Dim!B:I,7,1)</f>
        <v>USA</v>
      </c>
      <c r="Q24" t="str">
        <f>VLOOKUP(C:C,Customer_Dim!B:I,8,1)</f>
        <v>Gold</v>
      </c>
      <c r="S24">
        <v>3</v>
      </c>
      <c r="T24">
        <v>979.42</v>
      </c>
      <c r="U24">
        <v>0.03</v>
      </c>
      <c r="V24">
        <v>2850.1122</v>
      </c>
      <c r="X24" s="4">
        <v>3</v>
      </c>
      <c r="Y24">
        <v>979.42</v>
      </c>
      <c r="Z24">
        <v>0.03</v>
      </c>
      <c r="AA24">
        <v>2850.1122</v>
      </c>
    </row>
    <row r="25" spans="1:27" x14ac:dyDescent="0.3">
      <c r="A25" t="s">
        <v>1832</v>
      </c>
      <c r="B25" s="2">
        <v>45466</v>
      </c>
      <c r="C25" t="s">
        <v>1138</v>
      </c>
      <c r="D25" t="s">
        <v>1555</v>
      </c>
      <c r="E25" t="s">
        <v>1765</v>
      </c>
      <c r="F25" s="4">
        <v>1</v>
      </c>
      <c r="G25">
        <v>719.28</v>
      </c>
      <c r="H25">
        <v>0.08</v>
      </c>
      <c r="I25" t="s">
        <v>1807</v>
      </c>
      <c r="J25">
        <v>661.73760000000004</v>
      </c>
      <c r="K25" t="s">
        <v>1139</v>
      </c>
      <c r="L25">
        <v>20</v>
      </c>
      <c r="M25" t="str">
        <v>Female</v>
      </c>
      <c r="N25" t="str">
        <f>VLOOKUP(C:C,Customer_Dim!B:I,5,1)</f>
        <v>West Mathew</v>
      </c>
      <c r="O25" t="str">
        <f>VLOOKUP(C:C,Customer_Dim!B:I,6,1)</f>
        <v>New York</v>
      </c>
      <c r="P25" t="str">
        <f>VLOOKUP(C:C,Customer_Dim!B:I,7,1)</f>
        <v>USA</v>
      </c>
      <c r="Q25" t="str">
        <f>VLOOKUP(C:C,Customer_Dim!B:I,8,1)</f>
        <v>Platinum</v>
      </c>
      <c r="S25">
        <v>1</v>
      </c>
      <c r="T25">
        <v>719.28</v>
      </c>
      <c r="U25">
        <v>0.08</v>
      </c>
      <c r="V25">
        <v>661.73760000000004</v>
      </c>
      <c r="X25" s="4">
        <v>1</v>
      </c>
      <c r="Y25">
        <v>719.28</v>
      </c>
      <c r="Z25">
        <v>0.08</v>
      </c>
      <c r="AA25">
        <v>661.73760000000004</v>
      </c>
    </row>
    <row r="26" spans="1:27" x14ac:dyDescent="0.3">
      <c r="A26" t="s">
        <v>1833</v>
      </c>
      <c r="B26" s="2">
        <v>45908</v>
      </c>
      <c r="C26" t="s">
        <v>607</v>
      </c>
      <c r="D26" t="s">
        <v>1665</v>
      </c>
      <c r="E26" t="s">
        <v>1759</v>
      </c>
      <c r="F26" s="4">
        <v>3</v>
      </c>
      <c r="G26">
        <v>77.599999999999994</v>
      </c>
      <c r="H26">
        <v>7.0000000000000007E-2</v>
      </c>
      <c r="I26" t="s">
        <v>1807</v>
      </c>
      <c r="J26">
        <v>216.50399999999999</v>
      </c>
      <c r="K26" t="s">
        <v>608</v>
      </c>
      <c r="L26">
        <v>60</v>
      </c>
      <c r="M26" t="str">
        <v>Female</v>
      </c>
      <c r="N26" t="str">
        <f>VLOOKUP(C:C,Customer_Dim!B:I,5,1)</f>
        <v>East Justin</v>
      </c>
      <c r="O26" t="str">
        <f>VLOOKUP(C:C,Customer_Dim!B:I,6,1)</f>
        <v>Missouri</v>
      </c>
      <c r="P26" t="str">
        <f>VLOOKUP(C:C,Customer_Dim!B:I,7,1)</f>
        <v>USA</v>
      </c>
      <c r="Q26" t="str">
        <f>VLOOKUP(C:C,Customer_Dim!B:I,8,1)</f>
        <v>Silver</v>
      </c>
      <c r="S26">
        <v>3</v>
      </c>
      <c r="T26">
        <v>77.599999999999994</v>
      </c>
      <c r="U26">
        <v>7.0000000000000007E-2</v>
      </c>
      <c r="V26">
        <v>216.50399999999999</v>
      </c>
      <c r="X26" s="4">
        <v>3</v>
      </c>
      <c r="Y26">
        <v>77.599999999999994</v>
      </c>
      <c r="Z26">
        <v>7.0000000000000007E-2</v>
      </c>
      <c r="AA26">
        <v>216.50399999999999</v>
      </c>
    </row>
    <row r="27" spans="1:27" x14ac:dyDescent="0.3">
      <c r="A27" t="s">
        <v>1834</v>
      </c>
      <c r="B27" s="2">
        <v>45552</v>
      </c>
      <c r="C27" t="s">
        <v>1177</v>
      </c>
      <c r="D27" t="s">
        <v>1538</v>
      </c>
      <c r="E27" t="s">
        <v>1749</v>
      </c>
      <c r="F27" s="4">
        <v>4</v>
      </c>
      <c r="G27">
        <v>852.71</v>
      </c>
      <c r="H27">
        <v>0.14000000000000001</v>
      </c>
      <c r="I27" t="s">
        <v>1809</v>
      </c>
      <c r="J27">
        <v>2933.3224</v>
      </c>
      <c r="K27" t="s">
        <v>1178</v>
      </c>
      <c r="L27">
        <v>20</v>
      </c>
      <c r="M27" t="str">
        <v>Female</v>
      </c>
      <c r="N27" t="str">
        <f>VLOOKUP(C:C,Customer_Dim!B:I,5,1)</f>
        <v>Andrewsland</v>
      </c>
      <c r="O27" t="str">
        <f>VLOOKUP(C:C,Customer_Dim!B:I,6,1)</f>
        <v>Alabama</v>
      </c>
      <c r="P27" t="str">
        <f>VLOOKUP(C:C,Customer_Dim!B:I,7,1)</f>
        <v>USA</v>
      </c>
      <c r="Q27" t="str">
        <f>VLOOKUP(C:C,Customer_Dim!B:I,8,1)</f>
        <v>Silver</v>
      </c>
      <c r="S27">
        <v>4</v>
      </c>
      <c r="T27">
        <v>852.71</v>
      </c>
      <c r="U27">
        <v>0.14000000000000001</v>
      </c>
      <c r="V27">
        <v>2933.3224</v>
      </c>
      <c r="X27" s="4">
        <v>4</v>
      </c>
      <c r="Y27">
        <v>852.71</v>
      </c>
      <c r="Z27">
        <v>0.14000000000000001</v>
      </c>
      <c r="AA27">
        <v>2933.3224</v>
      </c>
    </row>
    <row r="28" spans="1:27" x14ac:dyDescent="0.3">
      <c r="A28" t="s">
        <v>1835</v>
      </c>
      <c r="B28" s="2">
        <v>45294</v>
      </c>
      <c r="C28" t="s">
        <v>687</v>
      </c>
      <c r="D28" t="s">
        <v>1727</v>
      </c>
      <c r="E28" t="s">
        <v>1765</v>
      </c>
      <c r="F28" s="4">
        <v>4</v>
      </c>
      <c r="G28">
        <v>156.16</v>
      </c>
      <c r="H28">
        <v>0.14786802030456855</v>
      </c>
      <c r="I28" t="s">
        <v>1807</v>
      </c>
      <c r="J28">
        <v>599.65440000000001</v>
      </c>
      <c r="K28" t="s">
        <v>688</v>
      </c>
      <c r="L28">
        <v>61</v>
      </c>
      <c r="M28" t="str">
        <v>Male</v>
      </c>
      <c r="N28" t="str">
        <f>VLOOKUP(C:C,Customer_Dim!B:I,5,1)</f>
        <v>West Markport</v>
      </c>
      <c r="O28" t="str">
        <f>VLOOKUP(C:C,Customer_Dim!B:I,6,1)</f>
        <v>North Dakota</v>
      </c>
      <c r="P28" t="str">
        <f>VLOOKUP(C:C,Customer_Dim!B:I,7,1)</f>
        <v>USA</v>
      </c>
      <c r="Q28" t="str">
        <f>VLOOKUP(C:C,Customer_Dim!B:I,8,1)</f>
        <v>Platinum</v>
      </c>
      <c r="S28">
        <v>4</v>
      </c>
      <c r="T28">
        <v>156.16</v>
      </c>
      <c r="V28">
        <v>599.65440000000001</v>
      </c>
      <c r="X28" s="4">
        <v>4</v>
      </c>
      <c r="Y28">
        <v>156.16</v>
      </c>
      <c r="Z28">
        <v>0.14786802030456855</v>
      </c>
      <c r="AA28">
        <v>599.65440000000001</v>
      </c>
    </row>
    <row r="29" spans="1:27" x14ac:dyDescent="0.3">
      <c r="A29" t="s">
        <v>1836</v>
      </c>
      <c r="B29" s="2">
        <v>45710</v>
      </c>
      <c r="C29" t="s">
        <v>648</v>
      </c>
      <c r="D29" t="s">
        <v>1685</v>
      </c>
      <c r="E29" t="s">
        <v>1765</v>
      </c>
      <c r="F29" s="4">
        <v>3</v>
      </c>
      <c r="G29">
        <v>815.49</v>
      </c>
      <c r="H29">
        <v>0.17</v>
      </c>
      <c r="I29" t="s">
        <v>1807</v>
      </c>
      <c r="J29">
        <v>2030.5700999999999</v>
      </c>
      <c r="K29" t="s">
        <v>649</v>
      </c>
      <c r="L29">
        <v>25</v>
      </c>
      <c r="M29" t="str">
        <v>Female</v>
      </c>
      <c r="N29" t="str">
        <f>VLOOKUP(C:C,Customer_Dim!B:I,5,1)</f>
        <v>South Jerry</v>
      </c>
      <c r="O29" t="str">
        <f>VLOOKUP(C:C,Customer_Dim!B:I,6,1)</f>
        <v>Maine</v>
      </c>
      <c r="P29" t="str">
        <f>VLOOKUP(C:C,Customer_Dim!B:I,7,1)</f>
        <v>USA</v>
      </c>
      <c r="Q29" t="str">
        <f>VLOOKUP(C:C,Customer_Dim!B:I,8,1)</f>
        <v>Platinum</v>
      </c>
      <c r="S29">
        <v>3</v>
      </c>
      <c r="T29">
        <v>815.49</v>
      </c>
      <c r="U29">
        <v>0.17</v>
      </c>
      <c r="V29">
        <v>2030.5700999999999</v>
      </c>
      <c r="X29" s="4">
        <v>3</v>
      </c>
      <c r="Y29">
        <v>815.49</v>
      </c>
      <c r="Z29">
        <v>0.17</v>
      </c>
      <c r="AA29">
        <v>2030.5700999999999</v>
      </c>
    </row>
    <row r="30" spans="1:27" x14ac:dyDescent="0.3">
      <c r="A30" t="s">
        <v>1837</v>
      </c>
      <c r="B30" s="2">
        <v>45923</v>
      </c>
      <c r="C30" t="s">
        <v>494</v>
      </c>
      <c r="D30" t="s">
        <v>1557</v>
      </c>
      <c r="E30" t="s">
        <v>1744</v>
      </c>
      <c r="F30" s="4">
        <v>2</v>
      </c>
      <c r="G30">
        <v>74.209999999999994</v>
      </c>
      <c r="H30">
        <v>0.11</v>
      </c>
      <c r="I30" t="s">
        <v>1809</v>
      </c>
      <c r="J30">
        <v>132.09379999999999</v>
      </c>
      <c r="K30" t="s">
        <v>495</v>
      </c>
      <c r="L30">
        <v>33</v>
      </c>
      <c r="M30" t="str">
        <v>Male</v>
      </c>
      <c r="N30" t="str">
        <f>VLOOKUP(C:C,Customer_Dim!B:I,5,1)</f>
        <v>New Brian</v>
      </c>
      <c r="O30" t="str">
        <f>VLOOKUP(C:C,Customer_Dim!B:I,6,1)</f>
        <v>Wisconsin</v>
      </c>
      <c r="P30" t="str">
        <f>VLOOKUP(C:C,Customer_Dim!B:I,7,1)</f>
        <v>USA</v>
      </c>
      <c r="Q30" t="str">
        <f>VLOOKUP(C:C,Customer_Dim!B:I,8,1)</f>
        <v>Bronze</v>
      </c>
      <c r="S30">
        <v>2</v>
      </c>
      <c r="T30">
        <v>74.209999999999994</v>
      </c>
      <c r="U30">
        <v>0.11</v>
      </c>
      <c r="V30">
        <v>132.09379999999999</v>
      </c>
      <c r="X30" s="4">
        <v>2</v>
      </c>
      <c r="Y30">
        <v>74.209999999999994</v>
      </c>
      <c r="Z30">
        <v>0.11</v>
      </c>
      <c r="AA30">
        <v>132.09379999999999</v>
      </c>
    </row>
    <row r="31" spans="1:27" x14ac:dyDescent="0.3">
      <c r="A31" t="s">
        <v>1838</v>
      </c>
      <c r="B31" s="2">
        <v>45302</v>
      </c>
      <c r="C31" t="s">
        <v>1080</v>
      </c>
      <c r="D31" t="s">
        <v>1729</v>
      </c>
      <c r="E31" t="s">
        <v>1749</v>
      </c>
      <c r="F31" s="4">
        <v>2.4776422764227641</v>
      </c>
      <c r="G31">
        <v>451.67</v>
      </c>
      <c r="H31">
        <v>0.15</v>
      </c>
      <c r="I31" t="s">
        <v>1807</v>
      </c>
      <c r="J31">
        <v>1535.6780000000001</v>
      </c>
      <c r="K31" t="s">
        <v>1081</v>
      </c>
      <c r="L31">
        <v>31</v>
      </c>
      <c r="M31" t="str">
        <v>Male</v>
      </c>
      <c r="N31" t="str">
        <f>VLOOKUP(C:C,Customer_Dim!B:I,5,1)</f>
        <v>Shannonview</v>
      </c>
      <c r="O31" t="str">
        <f>VLOOKUP(C:C,Customer_Dim!B:I,6,1)</f>
        <v>Pennsylvania</v>
      </c>
      <c r="P31" t="str">
        <f>VLOOKUP(C:C,Customer_Dim!B:I,7,1)</f>
        <v>USA</v>
      </c>
      <c r="Q31" t="str">
        <f>VLOOKUP(C:C,Customer_Dim!B:I,8,1)</f>
        <v>Silver</v>
      </c>
      <c r="T31">
        <v>451.67</v>
      </c>
      <c r="U31">
        <v>0.15</v>
      </c>
      <c r="V31">
        <v>1535.6780000000001</v>
      </c>
      <c r="X31" s="4">
        <v>2.4776422764227641</v>
      </c>
      <c r="Y31">
        <v>451.67</v>
      </c>
      <c r="Z31">
        <v>0.15</v>
      </c>
      <c r="AA31">
        <v>1535.6780000000001</v>
      </c>
    </row>
    <row r="32" spans="1:27" x14ac:dyDescent="0.3">
      <c r="A32" t="s">
        <v>1839</v>
      </c>
      <c r="B32" s="2">
        <v>45217</v>
      </c>
      <c r="C32" t="s">
        <v>118</v>
      </c>
      <c r="D32" t="s">
        <v>1538</v>
      </c>
      <c r="E32" t="s">
        <v>1796</v>
      </c>
      <c r="F32" s="4">
        <v>1</v>
      </c>
      <c r="G32">
        <v>429.38</v>
      </c>
      <c r="H32">
        <v>0.13</v>
      </c>
      <c r="I32" t="s">
        <v>1809</v>
      </c>
      <c r="J32">
        <v>373.56060000000002</v>
      </c>
      <c r="K32" t="s">
        <v>119</v>
      </c>
      <c r="L32">
        <v>54</v>
      </c>
      <c r="M32" t="str">
        <v>Female</v>
      </c>
      <c r="N32" t="str">
        <f>VLOOKUP(C:C,Customer_Dim!B:I,5,1)</f>
        <v>New David</v>
      </c>
      <c r="O32" t="str">
        <f>VLOOKUP(C:C,Customer_Dim!B:I,6,1)</f>
        <v>New Jersey</v>
      </c>
      <c r="P32" t="str">
        <f>VLOOKUP(C:C,Customer_Dim!B:I,7,1)</f>
        <v>USA</v>
      </c>
      <c r="Q32" t="str">
        <f>VLOOKUP(C:C,Customer_Dim!B:I,8,1)</f>
        <v>Platinum</v>
      </c>
      <c r="S32">
        <v>1</v>
      </c>
      <c r="T32">
        <v>429.38</v>
      </c>
      <c r="U32">
        <v>0.13</v>
      </c>
      <c r="V32">
        <v>373.56060000000002</v>
      </c>
      <c r="X32" s="4">
        <v>1</v>
      </c>
      <c r="Y32">
        <v>429.38</v>
      </c>
      <c r="Z32">
        <v>0.13</v>
      </c>
      <c r="AA32">
        <v>373.56060000000002</v>
      </c>
    </row>
    <row r="33" spans="1:27" x14ac:dyDescent="0.3">
      <c r="A33" t="s">
        <v>1840</v>
      </c>
      <c r="B33" s="2">
        <v>45593</v>
      </c>
      <c r="C33" t="s">
        <v>1267</v>
      </c>
      <c r="D33" t="s">
        <v>1637</v>
      </c>
      <c r="E33" t="s">
        <v>1777</v>
      </c>
      <c r="F33" s="4">
        <v>2</v>
      </c>
      <c r="G33">
        <v>148.96</v>
      </c>
      <c r="H33">
        <v>0.03</v>
      </c>
      <c r="I33" t="s">
        <v>1812</v>
      </c>
      <c r="J33">
        <v>288.98239999999998</v>
      </c>
      <c r="K33" t="s">
        <v>1268</v>
      </c>
      <c r="L33">
        <v>59</v>
      </c>
      <c r="M33" t="str">
        <v>Female</v>
      </c>
      <c r="N33" t="str">
        <f>VLOOKUP(C:C,Customer_Dim!B:I,5,1)</f>
        <v>East Andrea</v>
      </c>
      <c r="O33" t="str">
        <f>VLOOKUP(C:C,Customer_Dim!B:I,6,1)</f>
        <v>Michigan</v>
      </c>
      <c r="P33" t="str">
        <f>VLOOKUP(C:C,Customer_Dim!B:I,7,1)</f>
        <v>USA</v>
      </c>
      <c r="Q33" t="str">
        <f>VLOOKUP(C:C,Customer_Dim!B:I,8,1)</f>
        <v>Gold</v>
      </c>
      <c r="S33">
        <v>2</v>
      </c>
      <c r="T33">
        <v>148.96</v>
      </c>
      <c r="U33">
        <v>0.03</v>
      </c>
      <c r="V33">
        <v>288.98239999999998</v>
      </c>
      <c r="X33" s="4">
        <v>2</v>
      </c>
      <c r="Y33">
        <v>148.96</v>
      </c>
      <c r="Z33">
        <v>0.03</v>
      </c>
      <c r="AA33">
        <v>288.98239999999998</v>
      </c>
    </row>
    <row r="34" spans="1:27" x14ac:dyDescent="0.3">
      <c r="A34" t="s">
        <v>1841</v>
      </c>
      <c r="B34" s="2">
        <v>45597</v>
      </c>
      <c r="C34" t="s">
        <v>1226</v>
      </c>
      <c r="D34" t="s">
        <v>1681</v>
      </c>
      <c r="E34" t="s">
        <v>1765</v>
      </c>
      <c r="F34" s="4">
        <v>4</v>
      </c>
      <c r="G34">
        <v>313.83</v>
      </c>
      <c r="H34">
        <v>0.08</v>
      </c>
      <c r="I34" t="s">
        <v>1807</v>
      </c>
      <c r="J34">
        <v>1154.8943999999999</v>
      </c>
      <c r="K34" t="s">
        <v>1227</v>
      </c>
      <c r="L34">
        <v>27</v>
      </c>
      <c r="M34" t="str">
        <v>Male</v>
      </c>
      <c r="N34" t="str">
        <f>VLOOKUP(C:C,Customer_Dim!B:I,5,1)</f>
        <v>Cheyenneborough</v>
      </c>
      <c r="O34" t="str">
        <f>VLOOKUP(C:C,Customer_Dim!B:I,6,1)</f>
        <v>New Hampshire</v>
      </c>
      <c r="P34" t="str">
        <f>VLOOKUP(C:C,Customer_Dim!B:I,7,1)</f>
        <v>USA</v>
      </c>
      <c r="Q34" t="str">
        <f>VLOOKUP(C:C,Customer_Dim!B:I,8,1)</f>
        <v>Bronze</v>
      </c>
      <c r="S34">
        <v>4</v>
      </c>
      <c r="T34">
        <v>313.83</v>
      </c>
      <c r="U34">
        <v>0.08</v>
      </c>
      <c r="V34">
        <v>1154.8943999999999</v>
      </c>
      <c r="X34" s="4">
        <v>4</v>
      </c>
      <c r="Y34">
        <v>313.83</v>
      </c>
      <c r="Z34">
        <v>0.08</v>
      </c>
      <c r="AA34">
        <v>1154.8943999999999</v>
      </c>
    </row>
    <row r="35" spans="1:27" x14ac:dyDescent="0.3">
      <c r="A35" t="s">
        <v>1842</v>
      </c>
      <c r="B35" s="2">
        <v>45620</v>
      </c>
      <c r="C35" t="s">
        <v>1384</v>
      </c>
      <c r="D35" t="s">
        <v>1555</v>
      </c>
      <c r="E35" t="s">
        <v>1759</v>
      </c>
      <c r="F35" s="4">
        <v>2</v>
      </c>
      <c r="G35">
        <v>717.31</v>
      </c>
      <c r="H35">
        <v>0.15</v>
      </c>
      <c r="I35" t="s">
        <v>1807</v>
      </c>
      <c r="J35">
        <v>1219.4269999999999</v>
      </c>
      <c r="K35" t="s">
        <v>1385</v>
      </c>
      <c r="L35">
        <v>60</v>
      </c>
      <c r="M35" t="str">
        <v>Male</v>
      </c>
      <c r="N35" t="str">
        <f>VLOOKUP(C:C,Customer_Dim!B:I,5,1)</f>
        <v>Lake Carolyn</v>
      </c>
      <c r="O35" t="str">
        <f>VLOOKUP(C:C,Customer_Dim!B:I,6,1)</f>
        <v>Hawaii</v>
      </c>
      <c r="P35" t="str">
        <f>VLOOKUP(C:C,Customer_Dim!B:I,7,1)</f>
        <v>USA</v>
      </c>
      <c r="Q35" t="str">
        <f>VLOOKUP(C:C,Customer_Dim!B:I,8,1)</f>
        <v>Platinum</v>
      </c>
      <c r="S35">
        <v>2</v>
      </c>
      <c r="T35">
        <v>717.31</v>
      </c>
      <c r="U35">
        <v>0.15</v>
      </c>
      <c r="V35">
        <v>1219.4269999999999</v>
      </c>
      <c r="X35" s="4">
        <v>2</v>
      </c>
      <c r="Y35">
        <v>717.31</v>
      </c>
      <c r="Z35">
        <v>0.15</v>
      </c>
      <c r="AA35">
        <v>1219.4269999999999</v>
      </c>
    </row>
    <row r="36" spans="1:27" x14ac:dyDescent="0.3">
      <c r="A36" t="s">
        <v>1843</v>
      </c>
      <c r="B36" s="2">
        <v>45215</v>
      </c>
      <c r="C36" t="s">
        <v>1069</v>
      </c>
      <c r="D36" t="s">
        <v>1689</v>
      </c>
      <c r="E36" t="s">
        <v>1740</v>
      </c>
      <c r="F36" s="4">
        <v>2.4781059063136457</v>
      </c>
      <c r="G36">
        <v>873.22</v>
      </c>
      <c r="H36">
        <v>0.18</v>
      </c>
      <c r="I36" t="s">
        <v>1807</v>
      </c>
      <c r="J36">
        <v>2148.1212</v>
      </c>
      <c r="K36" t="s">
        <v>1070</v>
      </c>
      <c r="L36">
        <v>33</v>
      </c>
      <c r="M36" t="str">
        <v>Male</v>
      </c>
      <c r="N36" t="str">
        <f>VLOOKUP(C:C,Customer_Dim!B:I,5,1)</f>
        <v>West Victoriaborough</v>
      </c>
      <c r="O36" t="str">
        <f>VLOOKUP(C:C,Customer_Dim!B:I,6,1)</f>
        <v>New Mexico</v>
      </c>
      <c r="P36" t="str">
        <f>VLOOKUP(C:C,Customer_Dim!B:I,7,1)</f>
        <v>USA</v>
      </c>
      <c r="Q36" t="str">
        <f>VLOOKUP(C:C,Customer_Dim!B:I,8,1)</f>
        <v>Gold</v>
      </c>
      <c r="T36">
        <v>873.22</v>
      </c>
      <c r="U36">
        <v>0.18</v>
      </c>
      <c r="V36">
        <v>2148.1212</v>
      </c>
      <c r="X36" s="4">
        <v>2.4781059063136457</v>
      </c>
      <c r="Y36">
        <v>873.22</v>
      </c>
      <c r="Z36">
        <v>0.18</v>
      </c>
      <c r="AA36">
        <v>2148.1212</v>
      </c>
    </row>
    <row r="37" spans="1:27" x14ac:dyDescent="0.3">
      <c r="A37" t="s">
        <v>1844</v>
      </c>
      <c r="B37" s="2">
        <v>45878</v>
      </c>
      <c r="C37" t="s">
        <v>702</v>
      </c>
      <c r="D37" t="s">
        <v>1563</v>
      </c>
      <c r="E37" t="s">
        <v>1749</v>
      </c>
      <c r="F37" s="4">
        <v>4</v>
      </c>
      <c r="G37">
        <v>109.36</v>
      </c>
      <c r="H37">
        <v>0.19</v>
      </c>
      <c r="I37" t="s">
        <v>1812</v>
      </c>
      <c r="J37">
        <v>354.32639999999998</v>
      </c>
      <c r="K37" t="s">
        <v>703</v>
      </c>
      <c r="L37">
        <v>47</v>
      </c>
      <c r="M37" t="str">
        <v>Female</v>
      </c>
      <c r="N37" t="str">
        <f>VLOOKUP(C:C,Customer_Dim!B:I,5,1)</f>
        <v>Edwardland</v>
      </c>
      <c r="O37" t="str">
        <f>VLOOKUP(C:C,Customer_Dim!B:I,6,1)</f>
        <v>California</v>
      </c>
      <c r="P37" t="str">
        <f>VLOOKUP(C:C,Customer_Dim!B:I,7,1)</f>
        <v>USA</v>
      </c>
      <c r="Q37" t="str">
        <f>VLOOKUP(C:C,Customer_Dim!B:I,8,1)</f>
        <v>Platinum</v>
      </c>
      <c r="S37">
        <v>4</v>
      </c>
      <c r="T37">
        <v>109.36</v>
      </c>
      <c r="U37">
        <v>0.19</v>
      </c>
      <c r="V37">
        <v>354.32639999999998</v>
      </c>
      <c r="X37" s="4">
        <v>4</v>
      </c>
      <c r="Y37">
        <v>109.36</v>
      </c>
      <c r="Z37">
        <v>0.19</v>
      </c>
      <c r="AA37">
        <v>354.32639999999998</v>
      </c>
    </row>
    <row r="38" spans="1:27" x14ac:dyDescent="0.3">
      <c r="A38" t="s">
        <v>1845</v>
      </c>
      <c r="B38" s="2">
        <v>45635</v>
      </c>
      <c r="C38" t="s">
        <v>307</v>
      </c>
      <c r="D38" t="s">
        <v>1538</v>
      </c>
      <c r="E38" t="s">
        <v>1762</v>
      </c>
      <c r="F38" s="4">
        <v>3</v>
      </c>
      <c r="G38">
        <v>559.52</v>
      </c>
      <c r="H38">
        <v>0.16</v>
      </c>
      <c r="I38" t="s">
        <v>1809</v>
      </c>
      <c r="J38">
        <v>1409.9903999999999</v>
      </c>
      <c r="K38" t="s">
        <v>3938</v>
      </c>
      <c r="L38">
        <v>58</v>
      </c>
      <c r="M38" t="str">
        <v>Female</v>
      </c>
      <c r="N38" t="str">
        <f>VLOOKUP(C:C,Customer_Dim!B:I,5,1)</f>
        <v>Austinfurt</v>
      </c>
      <c r="O38" t="str">
        <f>VLOOKUP(C:C,Customer_Dim!B:I,6,1)</f>
        <v>Mississippi</v>
      </c>
      <c r="P38" t="str">
        <f>VLOOKUP(C:C,Customer_Dim!B:I,7,1)</f>
        <v>USA</v>
      </c>
      <c r="Q38" t="str">
        <f>VLOOKUP(C:C,Customer_Dim!B:I,8,1)</f>
        <v>Gold</v>
      </c>
      <c r="S38">
        <v>3</v>
      </c>
      <c r="T38">
        <v>559.52</v>
      </c>
      <c r="U38">
        <v>0.16</v>
      </c>
      <c r="V38">
        <v>1409.9903999999999</v>
      </c>
      <c r="X38" s="4">
        <v>3</v>
      </c>
      <c r="Y38">
        <v>559.52</v>
      </c>
      <c r="Z38">
        <v>0.16</v>
      </c>
      <c r="AA38">
        <v>1409.9903999999999</v>
      </c>
    </row>
    <row r="39" spans="1:27" x14ac:dyDescent="0.3">
      <c r="A39" t="s">
        <v>1846</v>
      </c>
      <c r="B39" s="2">
        <v>45329</v>
      </c>
      <c r="C39" t="s">
        <v>1496</v>
      </c>
      <c r="D39" t="s">
        <v>1551</v>
      </c>
      <c r="E39" t="s">
        <v>1790</v>
      </c>
      <c r="F39" s="4">
        <v>3</v>
      </c>
      <c r="G39">
        <v>121.76</v>
      </c>
      <c r="H39">
        <v>0.27</v>
      </c>
      <c r="I39" t="s">
        <v>1809</v>
      </c>
      <c r="J39">
        <v>266.65440000000001</v>
      </c>
      <c r="K39" t="s">
        <v>1497</v>
      </c>
      <c r="L39">
        <v>28</v>
      </c>
      <c r="M39" t="str">
        <v>Male</v>
      </c>
      <c r="N39" t="str">
        <f>VLOOKUP(C:C,Customer_Dim!B:I,5,1)</f>
        <v>Port Carol</v>
      </c>
      <c r="O39" t="str">
        <f>VLOOKUP(C:C,Customer_Dim!B:I,6,1)</f>
        <v>Florida</v>
      </c>
      <c r="P39" t="str">
        <f>VLOOKUP(C:C,Customer_Dim!B:I,7,1)</f>
        <v>USA</v>
      </c>
      <c r="Q39" t="str">
        <f>VLOOKUP(C:C,Customer_Dim!B:I,8,1)</f>
        <v>Platinum</v>
      </c>
      <c r="S39">
        <v>3</v>
      </c>
      <c r="T39">
        <v>121.76</v>
      </c>
      <c r="U39">
        <v>0.27</v>
      </c>
      <c r="V39">
        <v>266.65440000000001</v>
      </c>
      <c r="X39" s="4">
        <v>3</v>
      </c>
      <c r="Y39">
        <v>121.76</v>
      </c>
      <c r="Z39">
        <v>0.27</v>
      </c>
      <c r="AA39">
        <v>266.65440000000001</v>
      </c>
    </row>
    <row r="40" spans="1:27" x14ac:dyDescent="0.3">
      <c r="A40" t="s">
        <v>1847</v>
      </c>
      <c r="B40" s="2">
        <v>45378</v>
      </c>
      <c r="C40" t="s">
        <v>616</v>
      </c>
      <c r="D40" t="s">
        <v>1597</v>
      </c>
      <c r="E40" t="s">
        <v>1780</v>
      </c>
      <c r="F40" s="4">
        <v>4</v>
      </c>
      <c r="G40">
        <v>735.32</v>
      </c>
      <c r="H40">
        <v>0.06</v>
      </c>
      <c r="I40" t="s">
        <v>1812</v>
      </c>
      <c r="J40">
        <v>2764.8031999999998</v>
      </c>
      <c r="K40" t="s">
        <v>617</v>
      </c>
      <c r="L40">
        <v>21</v>
      </c>
      <c r="M40" t="str">
        <v>Male</v>
      </c>
      <c r="N40" t="str">
        <f>VLOOKUP(C:C,Customer_Dim!B:I,5,1)</f>
        <v>Lake Howardberg</v>
      </c>
      <c r="O40" t="str">
        <f>VLOOKUP(C:C,Customer_Dim!B:I,6,1)</f>
        <v>Kentucky</v>
      </c>
      <c r="P40" t="str">
        <f>VLOOKUP(C:C,Customer_Dim!B:I,7,1)</f>
        <v>USA</v>
      </c>
      <c r="Q40" t="str">
        <f>VLOOKUP(C:C,Customer_Dim!B:I,8,1)</f>
        <v>Gold</v>
      </c>
      <c r="S40">
        <v>4</v>
      </c>
      <c r="T40">
        <v>735.32</v>
      </c>
      <c r="U40">
        <v>0.06</v>
      </c>
      <c r="V40">
        <v>2764.8031999999998</v>
      </c>
      <c r="X40" s="4">
        <v>4</v>
      </c>
      <c r="Y40">
        <v>735.32</v>
      </c>
      <c r="Z40">
        <v>0.06</v>
      </c>
      <c r="AA40">
        <v>2764.8031999999998</v>
      </c>
    </row>
    <row r="41" spans="1:27" x14ac:dyDescent="0.3">
      <c r="A41" t="s">
        <v>1848</v>
      </c>
      <c r="B41" s="2">
        <v>45264</v>
      </c>
      <c r="C41" t="s">
        <v>1321</v>
      </c>
      <c r="D41" t="s">
        <v>1719</v>
      </c>
      <c r="E41" t="s">
        <v>1749</v>
      </c>
      <c r="F41" s="4">
        <v>2</v>
      </c>
      <c r="G41">
        <v>600.73</v>
      </c>
      <c r="H41">
        <v>0.08</v>
      </c>
      <c r="I41" t="s">
        <v>1807</v>
      </c>
      <c r="J41">
        <v>1105.3432</v>
      </c>
      <c r="K41" t="s">
        <v>1322</v>
      </c>
      <c r="L41">
        <v>37</v>
      </c>
      <c r="M41" t="str">
        <v>Male</v>
      </c>
      <c r="N41" t="str">
        <f>VLOOKUP(C:C,Customer_Dim!B:I,5,1)</f>
        <v>South Andrewport</v>
      </c>
      <c r="O41" t="str">
        <f>VLOOKUP(C:C,Customer_Dim!B:I,6,1)</f>
        <v>California</v>
      </c>
      <c r="P41" t="str">
        <f>VLOOKUP(C:C,Customer_Dim!B:I,7,1)</f>
        <v>USA</v>
      </c>
      <c r="Q41" t="str">
        <f>VLOOKUP(C:C,Customer_Dim!B:I,8,1)</f>
        <v>Platinum</v>
      </c>
      <c r="S41">
        <v>2</v>
      </c>
      <c r="T41">
        <v>600.73</v>
      </c>
      <c r="U41">
        <v>0.08</v>
      </c>
      <c r="V41">
        <v>1105.3432</v>
      </c>
      <c r="X41" s="4">
        <v>2</v>
      </c>
      <c r="Y41">
        <v>600.73</v>
      </c>
      <c r="Z41">
        <v>0.08</v>
      </c>
      <c r="AA41">
        <v>1105.3432</v>
      </c>
    </row>
    <row r="42" spans="1:27" x14ac:dyDescent="0.3">
      <c r="A42" t="s">
        <v>1849</v>
      </c>
      <c r="B42" s="2">
        <v>45486</v>
      </c>
      <c r="C42" t="s">
        <v>261</v>
      </c>
      <c r="D42" t="s">
        <v>1583</v>
      </c>
      <c r="E42" t="s">
        <v>1796</v>
      </c>
      <c r="F42" s="4">
        <v>2</v>
      </c>
      <c r="G42">
        <v>873.86</v>
      </c>
      <c r="H42">
        <v>7.0000000000000007E-2</v>
      </c>
      <c r="I42" t="s">
        <v>1812</v>
      </c>
      <c r="J42">
        <v>1625.3796</v>
      </c>
      <c r="K42" t="s">
        <v>262</v>
      </c>
      <c r="L42">
        <v>56</v>
      </c>
      <c r="M42" t="str">
        <v>Female</v>
      </c>
      <c r="N42" t="str">
        <f>VLOOKUP(C:C,Customer_Dim!B:I,5,1)</f>
        <v>Olsonhaven</v>
      </c>
      <c r="O42" t="str">
        <f>VLOOKUP(C:C,Customer_Dim!B:I,6,1)</f>
        <v>Iowa</v>
      </c>
      <c r="P42" t="str">
        <f>VLOOKUP(C:C,Customer_Dim!B:I,7,1)</f>
        <v>USA</v>
      </c>
      <c r="Q42" t="str">
        <f>VLOOKUP(C:C,Customer_Dim!B:I,8,1)</f>
        <v>Gold</v>
      </c>
      <c r="S42">
        <v>2</v>
      </c>
      <c r="T42">
        <v>873.86</v>
      </c>
      <c r="U42">
        <v>7.0000000000000007E-2</v>
      </c>
      <c r="V42">
        <v>1625.3796</v>
      </c>
      <c r="X42" s="4">
        <v>2</v>
      </c>
      <c r="Y42">
        <v>873.86</v>
      </c>
      <c r="Z42">
        <v>7.0000000000000007E-2</v>
      </c>
      <c r="AA42">
        <v>1625.3796</v>
      </c>
    </row>
    <row r="43" spans="1:27" x14ac:dyDescent="0.3">
      <c r="A43" t="s">
        <v>1850</v>
      </c>
      <c r="B43" s="2">
        <v>45241</v>
      </c>
      <c r="C43" t="s">
        <v>945</v>
      </c>
      <c r="D43" t="s">
        <v>1577</v>
      </c>
      <c r="E43" t="s">
        <v>1765</v>
      </c>
      <c r="F43" s="4">
        <v>3</v>
      </c>
      <c r="G43">
        <v>342.47</v>
      </c>
      <c r="H43">
        <v>0.08</v>
      </c>
      <c r="I43" t="s">
        <v>1809</v>
      </c>
      <c r="J43">
        <v>945.21720000000016</v>
      </c>
      <c r="K43" t="s">
        <v>946</v>
      </c>
      <c r="L43">
        <v>23</v>
      </c>
      <c r="M43" t="str">
        <v>Female</v>
      </c>
      <c r="N43" t="str">
        <f>VLOOKUP(C:C,Customer_Dim!B:I,5,1)</f>
        <v>Lake Charlotte</v>
      </c>
      <c r="O43" t="str">
        <f>VLOOKUP(C:C,Customer_Dim!B:I,6,1)</f>
        <v>Arizona</v>
      </c>
      <c r="P43" t="str">
        <f>VLOOKUP(C:C,Customer_Dim!B:I,7,1)</f>
        <v>USA</v>
      </c>
      <c r="Q43" t="str">
        <f>VLOOKUP(C:C,Customer_Dim!B:I,8,1)</f>
        <v>Gold</v>
      </c>
      <c r="S43">
        <v>3</v>
      </c>
      <c r="T43">
        <v>342.47</v>
      </c>
      <c r="U43">
        <v>0.08</v>
      </c>
      <c r="V43">
        <v>945.21720000000016</v>
      </c>
      <c r="X43" s="4">
        <v>3</v>
      </c>
      <c r="Y43">
        <v>342.47</v>
      </c>
      <c r="Z43">
        <v>0.08</v>
      </c>
      <c r="AA43">
        <v>945.21720000000016</v>
      </c>
    </row>
    <row r="44" spans="1:27" x14ac:dyDescent="0.3">
      <c r="A44" t="s">
        <v>1851</v>
      </c>
      <c r="B44" s="2">
        <v>45649</v>
      </c>
      <c r="C44" t="s">
        <v>1042</v>
      </c>
      <c r="D44" t="s">
        <v>1589</v>
      </c>
      <c r="E44" t="s">
        <v>1769</v>
      </c>
      <c r="F44" s="4">
        <v>2</v>
      </c>
      <c r="G44">
        <v>915.15</v>
      </c>
      <c r="H44">
        <v>0.16</v>
      </c>
      <c r="I44" t="s">
        <v>1809</v>
      </c>
      <c r="J44">
        <v>1537.452</v>
      </c>
      <c r="K44" t="s">
        <v>1043</v>
      </c>
      <c r="L44">
        <v>58</v>
      </c>
      <c r="M44" t="str">
        <v>Female</v>
      </c>
      <c r="N44" t="str">
        <f>VLOOKUP(C:C,Customer_Dim!B:I,5,1)</f>
        <v>West Brendamouth</v>
      </c>
      <c r="O44" t="str">
        <f>VLOOKUP(C:C,Customer_Dim!B:I,6,1)</f>
        <v>North Carolina</v>
      </c>
      <c r="P44" t="str">
        <f>VLOOKUP(C:C,Customer_Dim!B:I,7,1)</f>
        <v>USA</v>
      </c>
      <c r="Q44" t="str">
        <f>VLOOKUP(C:C,Customer_Dim!B:I,8,1)</f>
        <v>Platinum</v>
      </c>
      <c r="S44">
        <v>2</v>
      </c>
      <c r="T44">
        <v>915.15</v>
      </c>
      <c r="U44">
        <v>0.16</v>
      </c>
      <c r="V44">
        <v>1537.452</v>
      </c>
      <c r="X44" s="4">
        <v>2</v>
      </c>
      <c r="Y44">
        <v>915.15</v>
      </c>
      <c r="Z44">
        <v>0.16</v>
      </c>
      <c r="AA44">
        <v>1537.452</v>
      </c>
    </row>
    <row r="45" spans="1:27" x14ac:dyDescent="0.3">
      <c r="A45" t="s">
        <v>1852</v>
      </c>
      <c r="B45" s="2">
        <v>45677</v>
      </c>
      <c r="C45" t="s">
        <v>301</v>
      </c>
      <c r="D45" t="s">
        <v>1597</v>
      </c>
      <c r="E45" t="s">
        <v>1790</v>
      </c>
      <c r="F45" s="4">
        <v>2.4764826175869121</v>
      </c>
      <c r="G45">
        <v>863.11</v>
      </c>
      <c r="H45">
        <v>0.28000000000000003</v>
      </c>
      <c r="I45" t="s">
        <v>1809</v>
      </c>
      <c r="J45">
        <v>1864.3176000000001</v>
      </c>
      <c r="K45" t="s">
        <v>302</v>
      </c>
      <c r="L45">
        <v>36</v>
      </c>
      <c r="M45" t="str">
        <v>Male</v>
      </c>
      <c r="N45" t="str">
        <f>VLOOKUP(C:C,Customer_Dim!B:I,5,1)</f>
        <v>Garyberg</v>
      </c>
      <c r="O45" t="str">
        <f>VLOOKUP(C:C,Customer_Dim!B:I,6,1)</f>
        <v>Indiana</v>
      </c>
      <c r="P45" t="str">
        <f>VLOOKUP(C:C,Customer_Dim!B:I,7,1)</f>
        <v>USA</v>
      </c>
      <c r="Q45" t="str">
        <f>VLOOKUP(C:C,Customer_Dim!B:I,8,1)</f>
        <v>Platinum</v>
      </c>
      <c r="T45">
        <v>863.11</v>
      </c>
      <c r="U45">
        <v>0.28000000000000003</v>
      </c>
      <c r="V45">
        <v>1864.3176000000001</v>
      </c>
      <c r="X45" s="4">
        <v>2.4764826175869121</v>
      </c>
      <c r="Y45">
        <v>863.11</v>
      </c>
      <c r="Z45">
        <v>0.28000000000000003</v>
      </c>
      <c r="AA45">
        <v>1864.3176000000001</v>
      </c>
    </row>
    <row r="46" spans="1:27" x14ac:dyDescent="0.3">
      <c r="A46" t="s">
        <v>1853</v>
      </c>
      <c r="B46" s="2">
        <v>45538</v>
      </c>
      <c r="C46" t="s">
        <v>657</v>
      </c>
      <c r="D46" t="s">
        <v>1617</v>
      </c>
      <c r="E46" t="s">
        <v>1777</v>
      </c>
      <c r="F46" s="4">
        <v>2</v>
      </c>
      <c r="G46">
        <v>209.32</v>
      </c>
      <c r="H46">
        <v>0.23</v>
      </c>
      <c r="I46" t="s">
        <v>1812</v>
      </c>
      <c r="J46">
        <v>322.3528</v>
      </c>
      <c r="K46" t="s">
        <v>658</v>
      </c>
      <c r="L46">
        <v>52</v>
      </c>
      <c r="M46" t="str">
        <v>Male</v>
      </c>
      <c r="N46" t="str">
        <f>VLOOKUP(C:C,Customer_Dim!B:I,5,1)</f>
        <v>Johnsonland</v>
      </c>
      <c r="O46" t="str">
        <f>VLOOKUP(C:C,Customer_Dim!B:I,6,1)</f>
        <v>Iowa</v>
      </c>
      <c r="P46" t="str">
        <f>VLOOKUP(C:C,Customer_Dim!B:I,7,1)</f>
        <v>USA</v>
      </c>
      <c r="Q46" t="str">
        <f>VLOOKUP(C:C,Customer_Dim!B:I,8,1)</f>
        <v>Platinum</v>
      </c>
      <c r="S46">
        <v>2</v>
      </c>
      <c r="T46">
        <v>209.32</v>
      </c>
      <c r="U46">
        <v>0.23</v>
      </c>
      <c r="V46">
        <v>322.3528</v>
      </c>
      <c r="X46" s="4">
        <v>2</v>
      </c>
      <c r="Y46">
        <v>209.32</v>
      </c>
      <c r="Z46">
        <v>0.23</v>
      </c>
      <c r="AA46">
        <v>322.3528</v>
      </c>
    </row>
    <row r="47" spans="1:27" x14ac:dyDescent="0.3">
      <c r="A47" t="s">
        <v>1854</v>
      </c>
      <c r="B47" s="2">
        <v>45606</v>
      </c>
      <c r="C47" t="s">
        <v>1433</v>
      </c>
      <c r="D47" t="s">
        <v>1649</v>
      </c>
      <c r="E47" t="s">
        <v>1765</v>
      </c>
      <c r="F47" s="4">
        <v>4</v>
      </c>
      <c r="G47">
        <v>288.60000000000002</v>
      </c>
      <c r="H47">
        <v>0.09</v>
      </c>
      <c r="I47" t="s">
        <v>1809</v>
      </c>
      <c r="J47">
        <v>1050.5039999999999</v>
      </c>
      <c r="K47" t="s">
        <v>1434</v>
      </c>
      <c r="L47">
        <v>42</v>
      </c>
      <c r="M47" t="str">
        <v>Male</v>
      </c>
      <c r="N47" t="str">
        <f>VLOOKUP(C:C,Customer_Dim!B:I,5,1)</f>
        <v>Kanebury</v>
      </c>
      <c r="O47" t="str">
        <f>VLOOKUP(C:C,Customer_Dim!B:I,6,1)</f>
        <v>New Hampshire</v>
      </c>
      <c r="P47" t="str">
        <f>VLOOKUP(C:C,Customer_Dim!B:I,7,1)</f>
        <v>USA</v>
      </c>
      <c r="Q47" t="str">
        <f>VLOOKUP(C:C,Customer_Dim!B:I,8,1)</f>
        <v>Gold</v>
      </c>
      <c r="S47">
        <v>4</v>
      </c>
      <c r="T47">
        <v>288.60000000000002</v>
      </c>
      <c r="U47">
        <v>0.09</v>
      </c>
      <c r="V47">
        <v>1050.5039999999999</v>
      </c>
      <c r="X47" s="4">
        <v>4</v>
      </c>
      <c r="Y47">
        <v>288.60000000000002</v>
      </c>
      <c r="Z47">
        <v>0.09</v>
      </c>
      <c r="AA47">
        <v>1050.5039999999999</v>
      </c>
    </row>
    <row r="48" spans="1:27" x14ac:dyDescent="0.3">
      <c r="A48" t="s">
        <v>1855</v>
      </c>
      <c r="B48" s="2">
        <v>45570</v>
      </c>
      <c r="C48" t="s">
        <v>255</v>
      </c>
      <c r="D48" t="s">
        <v>1687</v>
      </c>
      <c r="E48" t="s">
        <v>1787</v>
      </c>
      <c r="F48" s="4">
        <v>1</v>
      </c>
      <c r="G48">
        <v>418.69</v>
      </c>
      <c r="H48">
        <v>0.06</v>
      </c>
      <c r="I48" t="s">
        <v>1809</v>
      </c>
      <c r="J48">
        <v>393.5686</v>
      </c>
      <c r="K48" t="s">
        <v>256</v>
      </c>
      <c r="L48">
        <v>61</v>
      </c>
      <c r="M48" t="str">
        <v>Female</v>
      </c>
      <c r="N48" t="str">
        <f>VLOOKUP(C:C,Customer_Dim!B:I,5,1)</f>
        <v>Port Lisa</v>
      </c>
      <c r="O48" t="str">
        <f>VLOOKUP(C:C,Customer_Dim!B:I,6,1)</f>
        <v>New Mexico</v>
      </c>
      <c r="P48" t="str">
        <f>VLOOKUP(C:C,Customer_Dim!B:I,7,1)</f>
        <v>USA</v>
      </c>
      <c r="Q48" t="str">
        <f>VLOOKUP(C:C,Customer_Dim!B:I,8,1)</f>
        <v>Gold</v>
      </c>
      <c r="S48">
        <v>1</v>
      </c>
      <c r="T48">
        <v>418.69</v>
      </c>
      <c r="U48">
        <v>0.06</v>
      </c>
      <c r="V48">
        <v>393.5686</v>
      </c>
      <c r="X48" s="4">
        <v>1</v>
      </c>
      <c r="Y48">
        <v>418.69</v>
      </c>
      <c r="Z48">
        <v>0.06</v>
      </c>
      <c r="AA48">
        <v>393.5686</v>
      </c>
    </row>
    <row r="49" spans="1:27" x14ac:dyDescent="0.3">
      <c r="A49" t="s">
        <v>1856</v>
      </c>
      <c r="B49" s="2">
        <v>45466</v>
      </c>
      <c r="C49" t="s">
        <v>44</v>
      </c>
      <c r="D49" t="s">
        <v>1591</v>
      </c>
      <c r="E49" t="s">
        <v>1775</v>
      </c>
      <c r="F49" s="4">
        <v>1</v>
      </c>
      <c r="G49">
        <v>135.78</v>
      </c>
      <c r="H49">
        <v>0.14000000000000001</v>
      </c>
      <c r="I49" t="s">
        <v>1809</v>
      </c>
      <c r="J49">
        <v>116.77079999999999</v>
      </c>
      <c r="K49" t="s">
        <v>45</v>
      </c>
      <c r="L49">
        <v>64</v>
      </c>
      <c r="M49" t="str">
        <v>Male</v>
      </c>
      <c r="N49" t="str">
        <f>VLOOKUP(C:C,Customer_Dim!B:I,5,1)</f>
        <v>Maynardton</v>
      </c>
      <c r="O49" t="str">
        <f>VLOOKUP(C:C,Customer_Dim!B:I,6,1)</f>
        <v>New Hampshire</v>
      </c>
      <c r="P49" t="str">
        <f>VLOOKUP(C:C,Customer_Dim!B:I,7,1)</f>
        <v>USA</v>
      </c>
      <c r="Q49" t="str">
        <f>VLOOKUP(C:C,Customer_Dim!B:I,8,1)</f>
        <v>Gold</v>
      </c>
      <c r="S49">
        <v>1</v>
      </c>
      <c r="T49">
        <v>135.78</v>
      </c>
      <c r="U49">
        <v>0.14000000000000001</v>
      </c>
      <c r="V49">
        <v>116.77079999999999</v>
      </c>
      <c r="X49" s="4">
        <v>1</v>
      </c>
      <c r="Y49">
        <v>135.78</v>
      </c>
      <c r="Z49">
        <v>0.14000000000000001</v>
      </c>
      <c r="AA49">
        <v>116.77079999999999</v>
      </c>
    </row>
    <row r="50" spans="1:27" x14ac:dyDescent="0.3">
      <c r="A50" t="s">
        <v>1857</v>
      </c>
      <c r="B50" s="2">
        <v>45218</v>
      </c>
      <c r="C50" t="s">
        <v>657</v>
      </c>
      <c r="D50" t="s">
        <v>1619</v>
      </c>
      <c r="E50" t="s">
        <v>1790</v>
      </c>
      <c r="F50" s="4">
        <v>1</v>
      </c>
      <c r="G50">
        <v>517.13</v>
      </c>
      <c r="H50">
        <v>0.28000000000000003</v>
      </c>
      <c r="I50" t="s">
        <v>1807</v>
      </c>
      <c r="J50">
        <v>372.33359999999999</v>
      </c>
      <c r="K50" t="s">
        <v>658</v>
      </c>
      <c r="L50">
        <v>52</v>
      </c>
      <c r="M50" t="str">
        <v>Male</v>
      </c>
      <c r="N50" t="str">
        <f>VLOOKUP(C:C,Customer_Dim!B:I,5,1)</f>
        <v>Johnsonland</v>
      </c>
      <c r="O50" t="str">
        <f>VLOOKUP(C:C,Customer_Dim!B:I,6,1)</f>
        <v>Iowa</v>
      </c>
      <c r="P50" t="str">
        <f>VLOOKUP(C:C,Customer_Dim!B:I,7,1)</f>
        <v>USA</v>
      </c>
      <c r="Q50" t="str">
        <f>VLOOKUP(C:C,Customer_Dim!B:I,8,1)</f>
        <v>Platinum</v>
      </c>
      <c r="S50">
        <v>1</v>
      </c>
      <c r="T50">
        <v>517.13</v>
      </c>
      <c r="U50">
        <v>0.28000000000000003</v>
      </c>
      <c r="V50">
        <v>372.33359999999999</v>
      </c>
      <c r="X50" s="4">
        <v>1</v>
      </c>
      <c r="Y50">
        <v>517.13</v>
      </c>
      <c r="Z50">
        <v>0.28000000000000003</v>
      </c>
      <c r="AA50">
        <v>372.33359999999999</v>
      </c>
    </row>
    <row r="51" spans="1:27" x14ac:dyDescent="0.3">
      <c r="A51" t="s">
        <v>1858</v>
      </c>
      <c r="B51" s="2">
        <v>45607</v>
      </c>
      <c r="C51" t="s">
        <v>1290</v>
      </c>
      <c r="D51" t="s">
        <v>1573</v>
      </c>
      <c r="E51" t="s">
        <v>1787</v>
      </c>
      <c r="F51" s="4">
        <v>2</v>
      </c>
      <c r="G51">
        <v>384.66</v>
      </c>
      <c r="H51">
        <v>0.08</v>
      </c>
      <c r="I51" t="s">
        <v>1812</v>
      </c>
      <c r="J51">
        <v>707.77440000000013</v>
      </c>
      <c r="K51" t="s">
        <v>3949</v>
      </c>
      <c r="L51">
        <v>45</v>
      </c>
      <c r="M51" t="str">
        <v>Female</v>
      </c>
      <c r="N51" t="str">
        <f>VLOOKUP(C:C,Customer_Dim!B:I,5,1)</f>
        <v>New Benjamin</v>
      </c>
      <c r="O51" t="str">
        <f>VLOOKUP(C:C,Customer_Dim!B:I,6,1)</f>
        <v>North Carolina</v>
      </c>
      <c r="P51" t="str">
        <f>VLOOKUP(C:C,Customer_Dim!B:I,7,1)</f>
        <v>USA</v>
      </c>
      <c r="Q51" t="str">
        <f>VLOOKUP(C:C,Customer_Dim!B:I,8,1)</f>
        <v>Bronze</v>
      </c>
      <c r="S51">
        <v>2</v>
      </c>
      <c r="T51">
        <v>384.66</v>
      </c>
      <c r="U51">
        <v>0.08</v>
      </c>
      <c r="V51">
        <v>707.77440000000013</v>
      </c>
      <c r="X51" s="4">
        <v>2</v>
      </c>
      <c r="Y51">
        <v>384.66</v>
      </c>
      <c r="Z51">
        <v>0.08</v>
      </c>
      <c r="AA51">
        <v>707.77440000000013</v>
      </c>
    </row>
    <row r="52" spans="1:27" x14ac:dyDescent="0.3">
      <c r="A52" t="s">
        <v>1859</v>
      </c>
      <c r="B52" s="2">
        <v>45291</v>
      </c>
      <c r="C52" t="s">
        <v>255</v>
      </c>
      <c r="D52" t="s">
        <v>1635</v>
      </c>
      <c r="E52" t="s">
        <v>1769</v>
      </c>
      <c r="F52" s="4">
        <v>3</v>
      </c>
      <c r="G52">
        <v>83.7</v>
      </c>
      <c r="H52">
        <v>0.24</v>
      </c>
      <c r="I52" t="s">
        <v>1809</v>
      </c>
      <c r="J52">
        <v>190.83600000000001</v>
      </c>
      <c r="K52" t="s">
        <v>256</v>
      </c>
      <c r="L52">
        <v>61</v>
      </c>
      <c r="M52" t="str">
        <v>Female</v>
      </c>
      <c r="N52" t="str">
        <f>VLOOKUP(C:C,Customer_Dim!B:I,5,1)</f>
        <v>Port Lisa</v>
      </c>
      <c r="O52" t="str">
        <f>VLOOKUP(C:C,Customer_Dim!B:I,6,1)</f>
        <v>New Mexico</v>
      </c>
      <c r="P52" t="str">
        <f>VLOOKUP(C:C,Customer_Dim!B:I,7,1)</f>
        <v>USA</v>
      </c>
      <c r="Q52" t="str">
        <f>VLOOKUP(C:C,Customer_Dim!B:I,8,1)</f>
        <v>Gold</v>
      </c>
      <c r="S52">
        <v>3</v>
      </c>
      <c r="T52">
        <v>83.7</v>
      </c>
      <c r="U52">
        <v>0.24</v>
      </c>
      <c r="V52">
        <v>190.83600000000001</v>
      </c>
      <c r="X52" s="4">
        <v>3</v>
      </c>
      <c r="Y52">
        <v>83.7</v>
      </c>
      <c r="Z52">
        <v>0.24</v>
      </c>
      <c r="AA52">
        <v>190.83600000000001</v>
      </c>
    </row>
    <row r="53" spans="1:27" x14ac:dyDescent="0.3">
      <c r="A53" t="s">
        <v>1860</v>
      </c>
      <c r="B53" s="2">
        <v>45689</v>
      </c>
      <c r="C53" t="s">
        <v>476</v>
      </c>
      <c r="D53" t="s">
        <v>1669</v>
      </c>
      <c r="E53" t="s">
        <v>1762</v>
      </c>
      <c r="F53" s="4">
        <v>3</v>
      </c>
      <c r="G53">
        <v>76.569999999999993</v>
      </c>
      <c r="H53">
        <v>0.26</v>
      </c>
      <c r="I53" t="s">
        <v>1807</v>
      </c>
      <c r="J53">
        <v>169.9854</v>
      </c>
      <c r="K53" t="s">
        <v>477</v>
      </c>
      <c r="L53">
        <v>46</v>
      </c>
      <c r="M53" t="str">
        <v>Male</v>
      </c>
      <c r="N53" t="str">
        <f>VLOOKUP(C:C,Customer_Dim!B:I,5,1)</f>
        <v>West Brandon</v>
      </c>
      <c r="O53" t="str">
        <f>VLOOKUP(C:C,Customer_Dim!B:I,6,1)</f>
        <v>Montana</v>
      </c>
      <c r="P53" t="str">
        <f>VLOOKUP(C:C,Customer_Dim!B:I,7,1)</f>
        <v>USA</v>
      </c>
      <c r="Q53" t="str">
        <f>VLOOKUP(C:C,Customer_Dim!B:I,8,1)</f>
        <v>Bronze</v>
      </c>
      <c r="S53">
        <v>3</v>
      </c>
      <c r="T53">
        <v>76.569999999999993</v>
      </c>
      <c r="U53">
        <v>0.26</v>
      </c>
      <c r="V53">
        <v>169.9854</v>
      </c>
      <c r="X53" s="4">
        <v>3</v>
      </c>
      <c r="Y53">
        <v>76.569999999999993</v>
      </c>
      <c r="Z53">
        <v>0.26</v>
      </c>
      <c r="AA53">
        <v>169.9854</v>
      </c>
    </row>
    <row r="54" spans="1:27" x14ac:dyDescent="0.3">
      <c r="A54" t="s">
        <v>1861</v>
      </c>
      <c r="B54" s="2">
        <v>45894</v>
      </c>
      <c r="C54" t="s">
        <v>494</v>
      </c>
      <c r="D54" t="s">
        <v>1709</v>
      </c>
      <c r="E54" t="s">
        <v>1759</v>
      </c>
      <c r="F54" s="4">
        <v>3</v>
      </c>
      <c r="G54">
        <v>514.48704008221978</v>
      </c>
      <c r="H54">
        <v>0.14785089974293064</v>
      </c>
      <c r="I54" t="s">
        <v>1807</v>
      </c>
      <c r="J54">
        <v>486.06330000000003</v>
      </c>
      <c r="K54" t="s">
        <v>495</v>
      </c>
      <c r="L54">
        <v>33</v>
      </c>
      <c r="M54" t="str">
        <v>Male</v>
      </c>
      <c r="N54" t="str">
        <f>VLOOKUP(C:C,Customer_Dim!B:I,5,1)</f>
        <v>New Brian</v>
      </c>
      <c r="O54" t="str">
        <f>VLOOKUP(C:C,Customer_Dim!B:I,6,1)</f>
        <v>Wisconsin</v>
      </c>
      <c r="P54" t="str">
        <f>VLOOKUP(C:C,Customer_Dim!B:I,7,1)</f>
        <v>USA</v>
      </c>
      <c r="Q54" t="str">
        <f>VLOOKUP(C:C,Customer_Dim!B:I,8,1)</f>
        <v>Bronze</v>
      </c>
      <c r="S54">
        <v>3</v>
      </c>
      <c r="V54">
        <v>486.06330000000003</v>
      </c>
      <c r="X54" s="4">
        <v>3</v>
      </c>
      <c r="Y54">
        <v>514.48704008221978</v>
      </c>
      <c r="Z54">
        <v>0.14785089974293064</v>
      </c>
      <c r="AA54">
        <v>486.06330000000003</v>
      </c>
    </row>
    <row r="55" spans="1:27" x14ac:dyDescent="0.3">
      <c r="A55" t="s">
        <v>1862</v>
      </c>
      <c r="B55" s="2">
        <v>45677</v>
      </c>
      <c r="C55" t="s">
        <v>1010</v>
      </c>
      <c r="D55" t="s">
        <v>1571</v>
      </c>
      <c r="E55" t="s">
        <v>1765</v>
      </c>
      <c r="F55" s="4">
        <v>1</v>
      </c>
      <c r="G55">
        <v>900.35</v>
      </c>
      <c r="H55">
        <v>0.13</v>
      </c>
      <c r="I55" t="s">
        <v>1812</v>
      </c>
      <c r="J55">
        <v>783.30449999999996</v>
      </c>
      <c r="K55" t="s">
        <v>3945</v>
      </c>
      <c r="L55">
        <v>60</v>
      </c>
      <c r="M55" t="str">
        <v>Male</v>
      </c>
      <c r="N55" t="str">
        <f>VLOOKUP(C:C,Customer_Dim!B:I,5,1)</f>
        <v>South Zacharychester</v>
      </c>
      <c r="O55" t="str">
        <f>VLOOKUP(C:C,Customer_Dim!B:I,6,1)</f>
        <v>Oklahoma</v>
      </c>
      <c r="P55" t="str">
        <f>VLOOKUP(C:C,Customer_Dim!B:I,7,1)</f>
        <v>USA</v>
      </c>
      <c r="Q55" t="str">
        <f>VLOOKUP(C:C,Customer_Dim!B:I,8,1)</f>
        <v>Bronze</v>
      </c>
      <c r="S55">
        <v>1</v>
      </c>
      <c r="T55">
        <v>900.35</v>
      </c>
      <c r="U55">
        <v>0.13</v>
      </c>
      <c r="V55">
        <v>783.30449999999996</v>
      </c>
      <c r="X55" s="4">
        <v>1</v>
      </c>
      <c r="Y55">
        <v>900.35</v>
      </c>
      <c r="Z55">
        <v>0.13</v>
      </c>
      <c r="AA55">
        <v>783.30449999999996</v>
      </c>
    </row>
    <row r="56" spans="1:27" x14ac:dyDescent="0.3">
      <c r="A56" t="s">
        <v>1863</v>
      </c>
      <c r="B56" s="2">
        <v>45706</v>
      </c>
      <c r="C56" t="s">
        <v>336</v>
      </c>
      <c r="D56" t="s">
        <v>1611</v>
      </c>
      <c r="E56" t="s">
        <v>1772</v>
      </c>
      <c r="F56" s="4">
        <v>4</v>
      </c>
      <c r="G56">
        <v>428.09</v>
      </c>
      <c r="H56">
        <v>7.0000000000000007E-2</v>
      </c>
      <c r="I56" t="s">
        <v>1807</v>
      </c>
      <c r="J56">
        <v>1592.4947999999999</v>
      </c>
      <c r="K56" t="s">
        <v>337</v>
      </c>
      <c r="L56">
        <v>30</v>
      </c>
      <c r="M56" t="str">
        <v>Female</v>
      </c>
      <c r="N56" t="str">
        <f>VLOOKUP(C:C,Customer_Dim!B:I,5,1)</f>
        <v>West Bobbyshire</v>
      </c>
      <c r="O56" t="str">
        <f>VLOOKUP(C:C,Customer_Dim!B:I,6,1)</f>
        <v>New York</v>
      </c>
      <c r="P56" t="str">
        <f>VLOOKUP(C:C,Customer_Dim!B:I,7,1)</f>
        <v>USA</v>
      </c>
      <c r="Q56" t="str">
        <f>VLOOKUP(C:C,Customer_Dim!B:I,8,1)</f>
        <v>Platinum</v>
      </c>
      <c r="S56">
        <v>4</v>
      </c>
      <c r="T56">
        <v>428.09</v>
      </c>
      <c r="U56">
        <v>7.0000000000000007E-2</v>
      </c>
      <c r="V56">
        <v>1592.4947999999999</v>
      </c>
      <c r="X56" s="4">
        <v>4</v>
      </c>
      <c r="Y56">
        <v>428.09</v>
      </c>
      <c r="Z56">
        <v>7.0000000000000007E-2</v>
      </c>
      <c r="AA56">
        <v>1592.4947999999999</v>
      </c>
    </row>
    <row r="57" spans="1:27" x14ac:dyDescent="0.3">
      <c r="A57" t="s">
        <v>1864</v>
      </c>
      <c r="B57" s="2">
        <v>45589</v>
      </c>
      <c r="C57" t="s">
        <v>1278</v>
      </c>
      <c r="D57" t="s">
        <v>1629</v>
      </c>
      <c r="E57" t="s">
        <v>1775</v>
      </c>
      <c r="F57" s="4">
        <v>2</v>
      </c>
      <c r="G57">
        <v>559.71</v>
      </c>
      <c r="H57">
        <v>0.3</v>
      </c>
      <c r="I57" t="s">
        <v>1812</v>
      </c>
      <c r="J57">
        <v>783.59400000000005</v>
      </c>
      <c r="K57" t="s">
        <v>1279</v>
      </c>
      <c r="L57">
        <v>64</v>
      </c>
      <c r="M57" t="str">
        <v>Female</v>
      </c>
      <c r="N57" t="str">
        <f>VLOOKUP(C:C,Customer_Dim!B:I,5,1)</f>
        <v>Marthaborough</v>
      </c>
      <c r="O57" t="str">
        <f>VLOOKUP(C:C,Customer_Dim!B:I,6,1)</f>
        <v>Wisconsin</v>
      </c>
      <c r="P57" t="str">
        <f>VLOOKUP(C:C,Customer_Dim!B:I,7,1)</f>
        <v>USA</v>
      </c>
      <c r="Q57" t="str">
        <f>VLOOKUP(C:C,Customer_Dim!B:I,8,1)</f>
        <v>Platinum</v>
      </c>
      <c r="S57">
        <v>2</v>
      </c>
      <c r="T57">
        <v>559.71</v>
      </c>
      <c r="U57">
        <v>0.3</v>
      </c>
      <c r="V57">
        <v>783.59400000000005</v>
      </c>
      <c r="X57" s="4">
        <v>2</v>
      </c>
      <c r="Y57">
        <v>559.71</v>
      </c>
      <c r="Z57">
        <v>0.3</v>
      </c>
      <c r="AA57">
        <v>783.59400000000005</v>
      </c>
    </row>
    <row r="58" spans="1:27" x14ac:dyDescent="0.3">
      <c r="A58" t="s">
        <v>1865</v>
      </c>
      <c r="B58" s="2">
        <v>45282</v>
      </c>
      <c r="C58" t="s">
        <v>289</v>
      </c>
      <c r="D58" t="s">
        <v>1599</v>
      </c>
      <c r="E58" t="s">
        <v>1759</v>
      </c>
      <c r="F58" s="4">
        <v>2</v>
      </c>
      <c r="G58">
        <v>833.7</v>
      </c>
      <c r="H58">
        <v>0.06</v>
      </c>
      <c r="I58" t="s">
        <v>1809</v>
      </c>
      <c r="J58">
        <v>1567.356</v>
      </c>
      <c r="K58" t="s">
        <v>290</v>
      </c>
      <c r="L58">
        <v>34</v>
      </c>
      <c r="M58" t="str">
        <v>Female</v>
      </c>
      <c r="N58" t="str">
        <f>VLOOKUP(C:C,Customer_Dim!B:I,5,1)</f>
        <v>New Sean</v>
      </c>
      <c r="O58" t="str">
        <f>VLOOKUP(C:C,Customer_Dim!B:I,6,1)</f>
        <v>New Mexico</v>
      </c>
      <c r="P58" t="str">
        <f>VLOOKUP(C:C,Customer_Dim!B:I,7,1)</f>
        <v>USA</v>
      </c>
      <c r="Q58" t="str">
        <f>VLOOKUP(C:C,Customer_Dim!B:I,8,1)</f>
        <v>Bronze</v>
      </c>
      <c r="S58">
        <v>2</v>
      </c>
      <c r="T58">
        <v>833.7</v>
      </c>
      <c r="U58">
        <v>0.06</v>
      </c>
      <c r="V58">
        <v>1567.356</v>
      </c>
      <c r="X58" s="4">
        <v>2</v>
      </c>
      <c r="Y58">
        <v>833.7</v>
      </c>
      <c r="Z58">
        <v>0.06</v>
      </c>
      <c r="AA58">
        <v>1567.356</v>
      </c>
    </row>
    <row r="59" spans="1:27" x14ac:dyDescent="0.3">
      <c r="A59" t="s">
        <v>1866</v>
      </c>
      <c r="B59" s="2">
        <v>45462</v>
      </c>
      <c r="C59" t="s">
        <v>1424</v>
      </c>
      <c r="D59" t="s">
        <v>1625</v>
      </c>
      <c r="E59" t="s">
        <v>1782</v>
      </c>
      <c r="F59" s="4">
        <v>2</v>
      </c>
      <c r="G59">
        <v>680.16</v>
      </c>
      <c r="H59">
        <v>0.28000000000000003</v>
      </c>
      <c r="I59" t="s">
        <v>1807</v>
      </c>
      <c r="J59">
        <v>979.43039999999996</v>
      </c>
      <c r="K59" t="s">
        <v>1425</v>
      </c>
      <c r="L59">
        <v>45</v>
      </c>
      <c r="M59" t="str">
        <v>Male</v>
      </c>
      <c r="N59" t="str">
        <f>VLOOKUP(C:C,Customer_Dim!B:I,5,1)</f>
        <v>Oneillfurt</v>
      </c>
      <c r="O59" t="str">
        <f>VLOOKUP(C:C,Customer_Dim!B:I,6,1)</f>
        <v>Vermont</v>
      </c>
      <c r="P59" t="str">
        <f>VLOOKUP(C:C,Customer_Dim!B:I,7,1)</f>
        <v>USA</v>
      </c>
      <c r="Q59" t="str">
        <f>VLOOKUP(C:C,Customer_Dim!B:I,8,1)</f>
        <v>Gold</v>
      </c>
      <c r="S59">
        <v>2</v>
      </c>
      <c r="T59">
        <v>680.16</v>
      </c>
      <c r="U59">
        <v>0.28000000000000003</v>
      </c>
      <c r="V59">
        <v>979.43039999999996</v>
      </c>
      <c r="X59" s="4">
        <v>2</v>
      </c>
      <c r="Y59">
        <v>680.16</v>
      </c>
      <c r="Z59">
        <v>0.28000000000000003</v>
      </c>
      <c r="AA59">
        <v>979.43039999999996</v>
      </c>
    </row>
    <row r="60" spans="1:27" x14ac:dyDescent="0.3">
      <c r="A60" t="s">
        <v>1867</v>
      </c>
      <c r="B60" s="2">
        <v>45633</v>
      </c>
      <c r="C60" t="s">
        <v>1243</v>
      </c>
      <c r="D60" t="s">
        <v>1561</v>
      </c>
      <c r="E60" t="s">
        <v>1762</v>
      </c>
      <c r="F60" s="4">
        <v>4</v>
      </c>
      <c r="G60">
        <v>733.42</v>
      </c>
      <c r="H60">
        <v>0.147798969072165</v>
      </c>
      <c r="I60" t="s">
        <v>1809</v>
      </c>
      <c r="J60">
        <v>2552.3015999999998</v>
      </c>
      <c r="K60" t="s">
        <v>1244</v>
      </c>
      <c r="L60">
        <v>18</v>
      </c>
      <c r="M60" t="str">
        <v>Female</v>
      </c>
      <c r="N60" t="str">
        <f>VLOOKUP(C:C,Customer_Dim!B:I,5,1)</f>
        <v>South Angela</v>
      </c>
      <c r="O60" t="str">
        <f>VLOOKUP(C:C,Customer_Dim!B:I,6,1)</f>
        <v>Arkansas</v>
      </c>
      <c r="P60" t="str">
        <f>VLOOKUP(C:C,Customer_Dim!B:I,7,1)</f>
        <v>USA</v>
      </c>
      <c r="Q60" t="str">
        <f>VLOOKUP(C:C,Customer_Dim!B:I,8,1)</f>
        <v>Silver</v>
      </c>
      <c r="S60">
        <v>4</v>
      </c>
      <c r="T60">
        <v>733.42</v>
      </c>
      <c r="V60">
        <v>2552.3015999999998</v>
      </c>
      <c r="X60" s="4">
        <v>4</v>
      </c>
      <c r="Y60">
        <v>733.42</v>
      </c>
      <c r="Z60">
        <v>0.147798969072165</v>
      </c>
      <c r="AA60">
        <v>2552.3015999999998</v>
      </c>
    </row>
    <row r="61" spans="1:27" x14ac:dyDescent="0.3">
      <c r="A61" t="s">
        <v>1868</v>
      </c>
      <c r="B61" s="2">
        <v>45257</v>
      </c>
      <c r="C61" t="s">
        <v>1135</v>
      </c>
      <c r="D61" t="s">
        <v>1709</v>
      </c>
      <c r="E61" t="s">
        <v>1775</v>
      </c>
      <c r="F61" s="4">
        <v>1</v>
      </c>
      <c r="G61">
        <v>996.33</v>
      </c>
      <c r="H61">
        <v>0.23</v>
      </c>
      <c r="I61" t="s">
        <v>1809</v>
      </c>
      <c r="J61">
        <v>767.17410000000007</v>
      </c>
      <c r="K61" t="s">
        <v>1136</v>
      </c>
      <c r="L61">
        <v>34</v>
      </c>
      <c r="M61" t="str">
        <v>Female</v>
      </c>
      <c r="N61" t="str">
        <f>VLOOKUP(C:C,Customer_Dim!B:I,5,1)</f>
        <v>Kaufmanfurt</v>
      </c>
      <c r="O61" t="str">
        <f>VLOOKUP(C:C,Customer_Dim!B:I,6,1)</f>
        <v>Ohio</v>
      </c>
      <c r="P61" t="str">
        <f>VLOOKUP(C:C,Customer_Dim!B:I,7,1)</f>
        <v>USA</v>
      </c>
      <c r="Q61" t="str">
        <f>VLOOKUP(C:C,Customer_Dim!B:I,8,1)</f>
        <v>Bronze</v>
      </c>
      <c r="S61">
        <v>1</v>
      </c>
      <c r="T61">
        <v>996.33</v>
      </c>
      <c r="U61">
        <v>0.23</v>
      </c>
      <c r="V61">
        <v>767.17410000000007</v>
      </c>
      <c r="X61" s="4">
        <v>1</v>
      </c>
      <c r="Y61">
        <v>996.33</v>
      </c>
      <c r="Z61">
        <v>0.23</v>
      </c>
      <c r="AA61">
        <v>767.17410000000007</v>
      </c>
    </row>
    <row r="62" spans="1:27" x14ac:dyDescent="0.3">
      <c r="A62" t="s">
        <v>1869</v>
      </c>
      <c r="B62" s="2">
        <v>45854</v>
      </c>
      <c r="C62" t="s">
        <v>1255</v>
      </c>
      <c r="D62" t="s">
        <v>1593</v>
      </c>
      <c r="E62" t="s">
        <v>1772</v>
      </c>
      <c r="F62" s="4">
        <v>1</v>
      </c>
      <c r="G62">
        <v>198.83</v>
      </c>
      <c r="H62">
        <v>0.09</v>
      </c>
      <c r="I62" t="s">
        <v>1812</v>
      </c>
      <c r="J62">
        <v>180.93530000000001</v>
      </c>
      <c r="K62" t="s">
        <v>1256</v>
      </c>
      <c r="L62">
        <v>55</v>
      </c>
      <c r="M62" t="str">
        <v>Male</v>
      </c>
      <c r="N62" t="str">
        <f>VLOOKUP(C:C,Customer_Dim!B:I,5,1)</f>
        <v>Port Joshuaville</v>
      </c>
      <c r="O62" t="str">
        <f>VLOOKUP(C:C,Customer_Dim!B:I,6,1)</f>
        <v>New Jersey</v>
      </c>
      <c r="P62" t="str">
        <f>VLOOKUP(C:C,Customer_Dim!B:I,7,1)</f>
        <v>USA</v>
      </c>
      <c r="Q62" t="str">
        <f>VLOOKUP(C:C,Customer_Dim!B:I,8,1)</f>
        <v>Gold</v>
      </c>
      <c r="S62">
        <v>1</v>
      </c>
      <c r="T62">
        <v>198.83</v>
      </c>
      <c r="U62">
        <v>0.09</v>
      </c>
      <c r="V62">
        <v>180.93530000000001</v>
      </c>
      <c r="X62" s="4">
        <v>1</v>
      </c>
      <c r="Y62">
        <v>198.83</v>
      </c>
      <c r="Z62">
        <v>0.09</v>
      </c>
      <c r="AA62">
        <v>180.93530000000001</v>
      </c>
    </row>
    <row r="63" spans="1:27" x14ac:dyDescent="0.3">
      <c r="A63" t="s">
        <v>1870</v>
      </c>
      <c r="B63" s="2">
        <v>45716</v>
      </c>
      <c r="C63" t="s">
        <v>761</v>
      </c>
      <c r="D63" t="s">
        <v>1569</v>
      </c>
      <c r="E63" t="s">
        <v>1762</v>
      </c>
      <c r="F63" s="4">
        <v>1</v>
      </c>
      <c r="G63">
        <v>374.92</v>
      </c>
      <c r="H63">
        <v>0.18</v>
      </c>
      <c r="I63" t="s">
        <v>1809</v>
      </c>
      <c r="J63">
        <v>307.43439999999998</v>
      </c>
      <c r="K63" t="s">
        <v>762</v>
      </c>
      <c r="L63">
        <v>59</v>
      </c>
      <c r="M63" t="str">
        <v>Female</v>
      </c>
      <c r="N63" t="str">
        <f>VLOOKUP(C:C,Customer_Dim!B:I,5,1)</f>
        <v>Zamoraborough</v>
      </c>
      <c r="O63" t="str">
        <f>VLOOKUP(C:C,Customer_Dim!B:I,6,1)</f>
        <v>Nevada</v>
      </c>
      <c r="P63" t="str">
        <f>VLOOKUP(C:C,Customer_Dim!B:I,7,1)</f>
        <v>USA</v>
      </c>
      <c r="Q63" t="str">
        <f>VLOOKUP(C:C,Customer_Dim!B:I,8,1)</f>
        <v>Platinum</v>
      </c>
      <c r="S63">
        <v>1</v>
      </c>
      <c r="T63">
        <v>374.92</v>
      </c>
      <c r="U63">
        <v>0.18</v>
      </c>
      <c r="V63">
        <v>307.43439999999998</v>
      </c>
      <c r="X63" s="4">
        <v>1</v>
      </c>
      <c r="Y63">
        <v>374.92</v>
      </c>
      <c r="Z63">
        <v>0.18</v>
      </c>
      <c r="AA63">
        <v>307.43439999999998</v>
      </c>
    </row>
    <row r="64" spans="1:27" x14ac:dyDescent="0.3">
      <c r="A64" t="s">
        <v>1871</v>
      </c>
      <c r="B64" s="2">
        <v>45515</v>
      </c>
      <c r="C64" t="s">
        <v>1415</v>
      </c>
      <c r="D64" t="s">
        <v>1717</v>
      </c>
      <c r="E64" t="s">
        <v>1787</v>
      </c>
      <c r="F64" s="4">
        <v>1</v>
      </c>
      <c r="G64">
        <v>468.94</v>
      </c>
      <c r="H64">
        <v>0.12</v>
      </c>
      <c r="I64" t="s">
        <v>1807</v>
      </c>
      <c r="J64">
        <v>412.66719999999998</v>
      </c>
      <c r="K64" t="s">
        <v>1416</v>
      </c>
      <c r="L64">
        <v>28</v>
      </c>
      <c r="M64" t="str">
        <v>Female</v>
      </c>
      <c r="N64" t="str">
        <f>VLOOKUP(C:C,Customer_Dim!B:I,5,1)</f>
        <v>Grayland</v>
      </c>
      <c r="O64" t="str">
        <f>VLOOKUP(C:C,Customer_Dim!B:I,6,1)</f>
        <v>Washington</v>
      </c>
      <c r="P64" t="str">
        <f>VLOOKUP(C:C,Customer_Dim!B:I,7,1)</f>
        <v>USA</v>
      </c>
      <c r="Q64" t="str">
        <f>VLOOKUP(C:C,Customer_Dim!B:I,8,1)</f>
        <v>Platinum</v>
      </c>
      <c r="S64">
        <v>1</v>
      </c>
      <c r="T64">
        <v>468.94</v>
      </c>
      <c r="U64">
        <v>0.12</v>
      </c>
      <c r="V64">
        <v>412.66719999999998</v>
      </c>
      <c r="X64" s="4">
        <v>1</v>
      </c>
      <c r="Y64">
        <v>468.94</v>
      </c>
      <c r="Z64">
        <v>0.12</v>
      </c>
      <c r="AA64">
        <v>412.66719999999998</v>
      </c>
    </row>
    <row r="65" spans="1:27" x14ac:dyDescent="0.3">
      <c r="A65" t="s">
        <v>1872</v>
      </c>
      <c r="B65" s="2">
        <v>45927</v>
      </c>
      <c r="C65" t="s">
        <v>430</v>
      </c>
      <c r="D65" t="s">
        <v>1709</v>
      </c>
      <c r="E65" t="s">
        <v>1777</v>
      </c>
      <c r="F65" s="4">
        <v>2</v>
      </c>
      <c r="G65">
        <v>121.37</v>
      </c>
      <c r="H65">
        <v>0.05</v>
      </c>
      <c r="I65" t="s">
        <v>1807</v>
      </c>
      <c r="J65">
        <v>230.60300000000001</v>
      </c>
      <c r="K65" t="s">
        <v>431</v>
      </c>
      <c r="L65">
        <v>39</v>
      </c>
      <c r="M65" t="str">
        <v>Male</v>
      </c>
      <c r="N65" t="str">
        <f>VLOOKUP(C:C,Customer_Dim!B:I,5,1)</f>
        <v>Benjaminton</v>
      </c>
      <c r="O65" t="str">
        <f>VLOOKUP(C:C,Customer_Dim!B:I,6,1)</f>
        <v>Arizona</v>
      </c>
      <c r="P65" t="str">
        <f>VLOOKUP(C:C,Customer_Dim!B:I,7,1)</f>
        <v>USA</v>
      </c>
      <c r="Q65" t="str">
        <f>VLOOKUP(C:C,Customer_Dim!B:I,8,1)</f>
        <v>Gold</v>
      </c>
      <c r="S65">
        <v>2</v>
      </c>
      <c r="T65">
        <v>121.37</v>
      </c>
      <c r="U65">
        <v>0.05</v>
      </c>
      <c r="V65">
        <v>230.60300000000001</v>
      </c>
      <c r="X65" s="4">
        <v>2</v>
      </c>
      <c r="Y65">
        <v>121.37</v>
      </c>
      <c r="Z65">
        <v>0.05</v>
      </c>
      <c r="AA65">
        <v>230.60300000000001</v>
      </c>
    </row>
    <row r="66" spans="1:27" x14ac:dyDescent="0.3">
      <c r="A66" t="s">
        <v>1873</v>
      </c>
      <c r="B66" s="2">
        <v>45914</v>
      </c>
      <c r="C66" t="s">
        <v>808</v>
      </c>
      <c r="D66" t="s">
        <v>1637</v>
      </c>
      <c r="E66" t="s">
        <v>1772</v>
      </c>
      <c r="F66" s="4">
        <v>3</v>
      </c>
      <c r="G66">
        <v>480.06</v>
      </c>
      <c r="H66">
        <v>0.01</v>
      </c>
      <c r="I66" t="s">
        <v>1807</v>
      </c>
      <c r="J66">
        <v>1088.6371340062115</v>
      </c>
      <c r="K66" t="s">
        <v>809</v>
      </c>
      <c r="L66">
        <v>57</v>
      </c>
      <c r="M66" t="str">
        <v>Male</v>
      </c>
      <c r="N66" t="str">
        <f>VLOOKUP(C:C,Customer_Dim!B:I,5,1)</f>
        <v>Jasonton</v>
      </c>
      <c r="O66" t="str">
        <f>VLOOKUP(C:C,Customer_Dim!B:I,6,1)</f>
        <v>Ohio</v>
      </c>
      <c r="P66" t="str">
        <f>VLOOKUP(C:C,Customer_Dim!B:I,7,1)</f>
        <v>USA</v>
      </c>
      <c r="Q66" t="str">
        <f>VLOOKUP(C:C,Customer_Dim!B:I,8,1)</f>
        <v>Gold</v>
      </c>
      <c r="S66">
        <v>3</v>
      </c>
      <c r="T66">
        <v>480.06</v>
      </c>
      <c r="U66">
        <v>0.01</v>
      </c>
      <c r="X66" s="4">
        <v>3</v>
      </c>
      <c r="Y66">
        <v>480.06</v>
      </c>
      <c r="Z66">
        <v>0.01</v>
      </c>
      <c r="AA66">
        <v>1088.6371340062115</v>
      </c>
    </row>
    <row r="67" spans="1:27" x14ac:dyDescent="0.3">
      <c r="A67" t="s">
        <v>1874</v>
      </c>
      <c r="B67" s="2">
        <v>45290</v>
      </c>
      <c r="C67" t="s">
        <v>536</v>
      </c>
      <c r="D67" t="s">
        <v>1729</v>
      </c>
      <c r="E67" t="s">
        <v>1790</v>
      </c>
      <c r="F67" s="4">
        <v>2</v>
      </c>
      <c r="G67">
        <v>856.57</v>
      </c>
      <c r="H67">
        <v>0.24</v>
      </c>
      <c r="I67" t="s">
        <v>1807</v>
      </c>
      <c r="J67">
        <v>1301.9864</v>
      </c>
      <c r="K67" t="s">
        <v>537</v>
      </c>
      <c r="L67">
        <v>21</v>
      </c>
      <c r="M67" t="str">
        <v>Male</v>
      </c>
      <c r="N67" t="str">
        <f>VLOOKUP(C:C,Customer_Dim!B:I,5,1)</f>
        <v>Palmerbury</v>
      </c>
      <c r="O67" t="str">
        <f>VLOOKUP(C:C,Customer_Dim!B:I,6,1)</f>
        <v>Tennessee</v>
      </c>
      <c r="P67" t="str">
        <f>VLOOKUP(C:C,Customer_Dim!B:I,7,1)</f>
        <v>USA</v>
      </c>
      <c r="Q67" t="str">
        <f>VLOOKUP(C:C,Customer_Dim!B:I,8,1)</f>
        <v>Silver</v>
      </c>
      <c r="S67">
        <v>2</v>
      </c>
      <c r="T67">
        <v>856.57</v>
      </c>
      <c r="U67">
        <v>0.24</v>
      </c>
      <c r="V67">
        <v>1301.9864</v>
      </c>
      <c r="X67" s="4">
        <v>2</v>
      </c>
      <c r="Y67">
        <v>856.57</v>
      </c>
      <c r="Z67">
        <v>0.24</v>
      </c>
      <c r="AA67">
        <v>1301.9864</v>
      </c>
    </row>
    <row r="68" spans="1:27" x14ac:dyDescent="0.3">
      <c r="A68" t="s">
        <v>1875</v>
      </c>
      <c r="B68" s="2">
        <v>45213</v>
      </c>
      <c r="C68" t="s">
        <v>850</v>
      </c>
      <c r="D68" t="s">
        <v>1685</v>
      </c>
      <c r="E68" t="s">
        <v>1744</v>
      </c>
      <c r="F68" s="4">
        <v>4</v>
      </c>
      <c r="G68">
        <v>814.25</v>
      </c>
      <c r="H68">
        <v>0.18</v>
      </c>
      <c r="I68" t="s">
        <v>1807</v>
      </c>
      <c r="J68">
        <v>2670.74</v>
      </c>
      <c r="K68" t="s">
        <v>851</v>
      </c>
      <c r="L68">
        <v>31</v>
      </c>
      <c r="M68" t="str">
        <v>Female</v>
      </c>
      <c r="N68" t="str">
        <f>VLOOKUP(C:C,Customer_Dim!B:I,5,1)</f>
        <v>Emilytown</v>
      </c>
      <c r="O68" t="str">
        <f>VLOOKUP(C:C,Customer_Dim!B:I,6,1)</f>
        <v>California</v>
      </c>
      <c r="P68" t="str">
        <f>VLOOKUP(C:C,Customer_Dim!B:I,7,1)</f>
        <v>USA</v>
      </c>
      <c r="Q68" t="str">
        <f>VLOOKUP(C:C,Customer_Dim!B:I,8,1)</f>
        <v>Silver</v>
      </c>
      <c r="S68">
        <v>4</v>
      </c>
      <c r="T68">
        <v>814.25</v>
      </c>
      <c r="U68">
        <v>0.18</v>
      </c>
      <c r="V68">
        <v>2670.74</v>
      </c>
      <c r="X68" s="4">
        <v>4</v>
      </c>
      <c r="Y68">
        <v>814.25</v>
      </c>
      <c r="Z68">
        <v>0.18</v>
      </c>
      <c r="AA68">
        <v>2670.74</v>
      </c>
    </row>
    <row r="69" spans="1:27" x14ac:dyDescent="0.3">
      <c r="A69" t="s">
        <v>1876</v>
      </c>
      <c r="B69" s="2">
        <v>45255</v>
      </c>
      <c r="C69" t="s">
        <v>1470</v>
      </c>
      <c r="D69" t="s">
        <v>1555</v>
      </c>
      <c r="E69" t="s">
        <v>1744</v>
      </c>
      <c r="F69" s="4">
        <v>1</v>
      </c>
      <c r="G69">
        <v>989.17</v>
      </c>
      <c r="H69">
        <v>0.2</v>
      </c>
      <c r="I69" t="s">
        <v>1809</v>
      </c>
      <c r="J69">
        <v>791.33600000000001</v>
      </c>
      <c r="K69" t="s">
        <v>1259</v>
      </c>
      <c r="L69">
        <v>32</v>
      </c>
      <c r="M69" t="str">
        <v>Male</v>
      </c>
      <c r="N69" t="str">
        <f>VLOOKUP(C:C,Customer_Dim!B:I,5,1)</f>
        <v>East Rodney</v>
      </c>
      <c r="O69" t="str">
        <f>VLOOKUP(C:C,Customer_Dim!B:I,6,1)</f>
        <v>Nevada</v>
      </c>
      <c r="P69" t="str">
        <f>VLOOKUP(C:C,Customer_Dim!B:I,7,1)</f>
        <v>USA</v>
      </c>
      <c r="Q69" t="str">
        <f>VLOOKUP(C:C,Customer_Dim!B:I,8,1)</f>
        <v>Gold</v>
      </c>
      <c r="S69">
        <v>1</v>
      </c>
      <c r="T69">
        <v>989.17</v>
      </c>
      <c r="U69">
        <v>0.2</v>
      </c>
      <c r="V69">
        <v>791.33600000000001</v>
      </c>
      <c r="X69" s="4">
        <v>1</v>
      </c>
      <c r="Y69">
        <v>989.17</v>
      </c>
      <c r="Z69">
        <v>0.2</v>
      </c>
      <c r="AA69">
        <v>791.33600000000001</v>
      </c>
    </row>
    <row r="70" spans="1:27" x14ac:dyDescent="0.3">
      <c r="A70" t="s">
        <v>1877</v>
      </c>
      <c r="B70" s="2">
        <v>45270</v>
      </c>
      <c r="C70" t="s">
        <v>1150</v>
      </c>
      <c r="D70" t="s">
        <v>1675</v>
      </c>
      <c r="E70" t="s">
        <v>1772</v>
      </c>
      <c r="F70" s="4">
        <v>4</v>
      </c>
      <c r="G70">
        <v>62.48</v>
      </c>
      <c r="H70">
        <v>0.18</v>
      </c>
      <c r="I70" t="s">
        <v>1807</v>
      </c>
      <c r="J70">
        <v>204.93440000000001</v>
      </c>
      <c r="K70" t="s">
        <v>1151</v>
      </c>
      <c r="L70">
        <v>37</v>
      </c>
      <c r="M70" t="str">
        <v>Female</v>
      </c>
      <c r="N70" t="str">
        <f>VLOOKUP(C:C,Customer_Dim!B:I,5,1)</f>
        <v>Vincentside</v>
      </c>
      <c r="O70" t="str">
        <f>VLOOKUP(C:C,Customer_Dim!B:I,6,1)</f>
        <v>Ohio</v>
      </c>
      <c r="P70" t="str">
        <f>VLOOKUP(C:C,Customer_Dim!B:I,7,1)</f>
        <v>USA</v>
      </c>
      <c r="Q70" t="str">
        <f>VLOOKUP(C:C,Customer_Dim!B:I,8,1)</f>
        <v>Bronze</v>
      </c>
      <c r="S70">
        <v>4</v>
      </c>
      <c r="T70">
        <v>62.48</v>
      </c>
      <c r="U70">
        <v>0.18</v>
      </c>
      <c r="V70">
        <v>204.93440000000001</v>
      </c>
      <c r="X70" s="4">
        <v>4</v>
      </c>
      <c r="Y70">
        <v>62.48</v>
      </c>
      <c r="Z70">
        <v>0.18</v>
      </c>
      <c r="AA70">
        <v>204.93440000000001</v>
      </c>
    </row>
    <row r="71" spans="1:27" x14ac:dyDescent="0.3">
      <c r="A71" t="s">
        <v>1878</v>
      </c>
      <c r="B71" s="2">
        <v>45897</v>
      </c>
      <c r="C71" t="s">
        <v>1297</v>
      </c>
      <c r="D71" t="s">
        <v>1557</v>
      </c>
      <c r="E71" t="s">
        <v>1787</v>
      </c>
      <c r="F71" s="4">
        <v>4</v>
      </c>
      <c r="G71">
        <v>561.24</v>
      </c>
      <c r="H71">
        <v>0.24</v>
      </c>
      <c r="I71" t="s">
        <v>1807</v>
      </c>
      <c r="J71">
        <v>1706.1695999999999</v>
      </c>
      <c r="K71" t="s">
        <v>1298</v>
      </c>
      <c r="L71">
        <v>53</v>
      </c>
      <c r="M71" t="str">
        <v>Male</v>
      </c>
      <c r="N71" t="str">
        <f>VLOOKUP(C:C,Customer_Dim!B:I,5,1)</f>
        <v>New Katherine</v>
      </c>
      <c r="O71" t="str">
        <f>VLOOKUP(C:C,Customer_Dim!B:I,6,1)</f>
        <v>Kansas</v>
      </c>
      <c r="P71" t="str">
        <f>VLOOKUP(C:C,Customer_Dim!B:I,7,1)</f>
        <v>USA</v>
      </c>
      <c r="Q71" t="str">
        <f>VLOOKUP(C:C,Customer_Dim!B:I,8,1)</f>
        <v>Silver</v>
      </c>
      <c r="S71">
        <v>4</v>
      </c>
      <c r="T71">
        <v>561.24</v>
      </c>
      <c r="U71">
        <v>0.24</v>
      </c>
      <c r="V71">
        <v>1706.1695999999999</v>
      </c>
      <c r="X71" s="4">
        <v>4</v>
      </c>
      <c r="Y71">
        <v>561.24</v>
      </c>
      <c r="Z71">
        <v>0.24</v>
      </c>
      <c r="AA71">
        <v>1706.1695999999999</v>
      </c>
    </row>
    <row r="72" spans="1:27" x14ac:dyDescent="0.3">
      <c r="A72" t="s">
        <v>1879</v>
      </c>
      <c r="B72" s="2">
        <v>45849</v>
      </c>
      <c r="C72" t="s">
        <v>215</v>
      </c>
      <c r="D72" t="s">
        <v>1651</v>
      </c>
      <c r="E72" t="s">
        <v>1756</v>
      </c>
      <c r="F72" s="4">
        <v>3</v>
      </c>
      <c r="G72">
        <v>92.24</v>
      </c>
      <c r="H72">
        <v>0.28000000000000003</v>
      </c>
      <c r="I72" t="s">
        <v>1812</v>
      </c>
      <c r="J72">
        <v>1087.997808251168</v>
      </c>
      <c r="K72" t="s">
        <v>216</v>
      </c>
      <c r="L72">
        <v>53</v>
      </c>
      <c r="M72" t="str">
        <v>Male</v>
      </c>
      <c r="N72" t="str">
        <f>VLOOKUP(C:C,Customer_Dim!B:I,5,1)</f>
        <v>Snowmouth</v>
      </c>
      <c r="O72" t="str">
        <f>VLOOKUP(C:C,Customer_Dim!B:I,6,1)</f>
        <v>Maryland</v>
      </c>
      <c r="P72" t="str">
        <f>VLOOKUP(C:C,Customer_Dim!B:I,7,1)</f>
        <v>USA</v>
      </c>
      <c r="Q72" t="str">
        <f>VLOOKUP(C:C,Customer_Dim!B:I,8,1)</f>
        <v>Platinum</v>
      </c>
      <c r="S72">
        <v>3</v>
      </c>
      <c r="T72">
        <v>92.24</v>
      </c>
      <c r="U72">
        <v>0.28000000000000003</v>
      </c>
      <c r="X72" s="4">
        <v>3</v>
      </c>
      <c r="Y72">
        <v>92.24</v>
      </c>
      <c r="Z72">
        <v>0.28000000000000003</v>
      </c>
      <c r="AA72">
        <v>1087.997808251168</v>
      </c>
    </row>
    <row r="73" spans="1:27" x14ac:dyDescent="0.3">
      <c r="A73" t="s">
        <v>1880</v>
      </c>
      <c r="B73" s="2">
        <v>45889</v>
      </c>
      <c r="C73" t="s">
        <v>554</v>
      </c>
      <c r="D73" t="s">
        <v>1675</v>
      </c>
      <c r="E73" t="s">
        <v>1740</v>
      </c>
      <c r="F73" s="4">
        <v>2</v>
      </c>
      <c r="G73">
        <v>668.3</v>
      </c>
      <c r="H73">
        <v>7.0000000000000007E-2</v>
      </c>
      <c r="I73" t="s">
        <v>1807</v>
      </c>
      <c r="J73">
        <v>1243.038</v>
      </c>
      <c r="K73" t="s">
        <v>555</v>
      </c>
      <c r="L73">
        <v>64</v>
      </c>
      <c r="M73" t="str">
        <v>Male</v>
      </c>
      <c r="N73" t="str">
        <f>VLOOKUP(C:C,Customer_Dim!B:I,5,1)</f>
        <v>Robertview</v>
      </c>
      <c r="O73" t="str">
        <f>VLOOKUP(C:C,Customer_Dim!B:I,6,1)</f>
        <v>Florida</v>
      </c>
      <c r="P73" t="str">
        <f>VLOOKUP(C:C,Customer_Dim!B:I,7,1)</f>
        <v>USA</v>
      </c>
      <c r="Q73" t="str">
        <f>VLOOKUP(C:C,Customer_Dim!B:I,8,1)</f>
        <v>Platinum</v>
      </c>
      <c r="S73">
        <v>2</v>
      </c>
      <c r="T73">
        <v>668.3</v>
      </c>
      <c r="U73">
        <v>7.0000000000000007E-2</v>
      </c>
      <c r="V73">
        <v>1243.038</v>
      </c>
      <c r="X73" s="4">
        <v>2</v>
      </c>
      <c r="Y73">
        <v>668.3</v>
      </c>
      <c r="Z73">
        <v>7.0000000000000007E-2</v>
      </c>
      <c r="AA73">
        <v>1243.038</v>
      </c>
    </row>
    <row r="74" spans="1:27" x14ac:dyDescent="0.3">
      <c r="A74" t="s">
        <v>1881</v>
      </c>
      <c r="B74" s="2">
        <v>45533</v>
      </c>
      <c r="C74" t="s">
        <v>1258</v>
      </c>
      <c r="D74" t="s">
        <v>1607</v>
      </c>
      <c r="E74" t="s">
        <v>1756</v>
      </c>
      <c r="F74" s="4">
        <v>1</v>
      </c>
      <c r="G74">
        <v>553.82000000000005</v>
      </c>
      <c r="H74">
        <v>0.09</v>
      </c>
      <c r="I74" t="s">
        <v>1807</v>
      </c>
      <c r="J74">
        <v>503.97620000000012</v>
      </c>
      <c r="K74" t="s">
        <v>1259</v>
      </c>
      <c r="L74">
        <v>48</v>
      </c>
      <c r="M74" t="str">
        <v>Female</v>
      </c>
      <c r="N74" t="str">
        <f>VLOOKUP(C:C,Customer_Dim!B:I,5,1)</f>
        <v>Kathleenport</v>
      </c>
      <c r="O74" t="str">
        <f>VLOOKUP(C:C,Customer_Dim!B:I,6,1)</f>
        <v>Wyoming</v>
      </c>
      <c r="P74" t="str">
        <f>VLOOKUP(C:C,Customer_Dim!B:I,7,1)</f>
        <v>USA</v>
      </c>
      <c r="Q74" t="str">
        <f>VLOOKUP(C:C,Customer_Dim!B:I,8,1)</f>
        <v>Gold</v>
      </c>
      <c r="S74">
        <v>1</v>
      </c>
      <c r="T74">
        <v>553.82000000000005</v>
      </c>
      <c r="U74">
        <v>0.09</v>
      </c>
      <c r="V74">
        <v>503.97620000000012</v>
      </c>
      <c r="X74" s="4">
        <v>1</v>
      </c>
      <c r="Y74">
        <v>553.82000000000005</v>
      </c>
      <c r="Z74">
        <v>0.09</v>
      </c>
      <c r="AA74">
        <v>503.97620000000012</v>
      </c>
    </row>
    <row r="75" spans="1:27" x14ac:dyDescent="0.3">
      <c r="A75" t="s">
        <v>1882</v>
      </c>
      <c r="B75" s="2">
        <v>45626</v>
      </c>
      <c r="C75" t="s">
        <v>146</v>
      </c>
      <c r="D75" t="s">
        <v>1621</v>
      </c>
      <c r="E75" t="s">
        <v>1775</v>
      </c>
      <c r="F75" s="4">
        <v>2</v>
      </c>
      <c r="G75">
        <v>556.42999999999995</v>
      </c>
      <c r="H75">
        <v>0.13</v>
      </c>
      <c r="I75" t="s">
        <v>1807</v>
      </c>
      <c r="J75">
        <v>968.18819999999994</v>
      </c>
      <c r="K75" t="s">
        <v>147</v>
      </c>
      <c r="L75">
        <v>35</v>
      </c>
      <c r="M75" t="str">
        <v>Female</v>
      </c>
      <c r="N75" t="str">
        <f>VLOOKUP(C:C,Customer_Dim!B:I,5,1)</f>
        <v>Brendastad</v>
      </c>
      <c r="O75" t="str">
        <f>VLOOKUP(C:C,Customer_Dim!B:I,6,1)</f>
        <v>South Dakota</v>
      </c>
      <c r="P75" t="str">
        <f>VLOOKUP(C:C,Customer_Dim!B:I,7,1)</f>
        <v>USA</v>
      </c>
      <c r="Q75" t="str">
        <f>VLOOKUP(C:C,Customer_Dim!B:I,8,1)</f>
        <v>Platinum</v>
      </c>
      <c r="S75">
        <v>2</v>
      </c>
      <c r="T75">
        <v>556.42999999999995</v>
      </c>
      <c r="U75">
        <v>0.13</v>
      </c>
      <c r="V75">
        <v>968.18819999999994</v>
      </c>
      <c r="X75" s="4">
        <v>2</v>
      </c>
      <c r="Y75">
        <v>556.42999999999995</v>
      </c>
      <c r="Z75">
        <v>0.13</v>
      </c>
      <c r="AA75">
        <v>968.18819999999994</v>
      </c>
    </row>
    <row r="76" spans="1:27" x14ac:dyDescent="0.3">
      <c r="A76" t="s">
        <v>1883</v>
      </c>
      <c r="B76" s="2">
        <v>45942</v>
      </c>
      <c r="C76" t="s">
        <v>861</v>
      </c>
      <c r="D76" t="s">
        <v>1571</v>
      </c>
      <c r="E76" t="s">
        <v>1765</v>
      </c>
      <c r="F76" s="4">
        <v>1</v>
      </c>
      <c r="G76">
        <v>184.98</v>
      </c>
      <c r="H76">
        <v>0.1</v>
      </c>
      <c r="I76" t="s">
        <v>1812</v>
      </c>
      <c r="J76">
        <v>166.482</v>
      </c>
      <c r="K76" t="s">
        <v>862</v>
      </c>
      <c r="L76">
        <v>38</v>
      </c>
      <c r="M76" t="str">
        <v>Male</v>
      </c>
      <c r="N76" t="str">
        <f>VLOOKUP(C:C,Customer_Dim!B:I,5,1)</f>
        <v>North Roy</v>
      </c>
      <c r="O76" t="str">
        <f>VLOOKUP(C:C,Customer_Dim!B:I,6,1)</f>
        <v>Mississippi</v>
      </c>
      <c r="P76" t="str">
        <f>VLOOKUP(C:C,Customer_Dim!B:I,7,1)</f>
        <v>USA</v>
      </c>
      <c r="Q76" t="str">
        <f>VLOOKUP(C:C,Customer_Dim!B:I,8,1)</f>
        <v>Bronze</v>
      </c>
      <c r="S76">
        <v>1</v>
      </c>
      <c r="T76">
        <v>184.98</v>
      </c>
      <c r="U76">
        <v>0.1</v>
      </c>
      <c r="V76">
        <v>166.482</v>
      </c>
      <c r="X76" s="4">
        <v>1</v>
      </c>
      <c r="Y76">
        <v>184.98</v>
      </c>
      <c r="Z76">
        <v>0.1</v>
      </c>
      <c r="AA76">
        <v>166.482</v>
      </c>
    </row>
    <row r="77" spans="1:27" x14ac:dyDescent="0.3">
      <c r="A77" t="s">
        <v>1884</v>
      </c>
      <c r="B77" s="2">
        <v>45500</v>
      </c>
      <c r="C77" t="s">
        <v>140</v>
      </c>
      <c r="D77" t="s">
        <v>1725</v>
      </c>
      <c r="E77" t="s">
        <v>1777</v>
      </c>
      <c r="F77" s="4">
        <v>4</v>
      </c>
      <c r="G77">
        <v>700.18</v>
      </c>
      <c r="H77">
        <v>0.23</v>
      </c>
      <c r="I77" t="s">
        <v>1807</v>
      </c>
      <c r="J77">
        <v>2156.5544</v>
      </c>
      <c r="K77" t="s">
        <v>141</v>
      </c>
      <c r="L77">
        <v>20</v>
      </c>
      <c r="M77" t="str">
        <v>Female</v>
      </c>
      <c r="N77" t="str">
        <f>VLOOKUP(C:C,Customer_Dim!B:I,5,1)</f>
        <v>Robertberg</v>
      </c>
      <c r="O77" t="str">
        <f>VLOOKUP(C:C,Customer_Dim!B:I,6,1)</f>
        <v>North Dakota</v>
      </c>
      <c r="P77" t="str">
        <f>VLOOKUP(C:C,Customer_Dim!B:I,7,1)</f>
        <v>USA</v>
      </c>
      <c r="Q77" t="str">
        <f>VLOOKUP(C:C,Customer_Dim!B:I,8,1)</f>
        <v>Silver</v>
      </c>
      <c r="S77">
        <v>4</v>
      </c>
      <c r="T77">
        <v>700.18</v>
      </c>
      <c r="U77">
        <v>0.23</v>
      </c>
      <c r="V77">
        <v>2156.5544</v>
      </c>
      <c r="X77" s="4">
        <v>4</v>
      </c>
      <c r="Y77">
        <v>700.18</v>
      </c>
      <c r="Z77">
        <v>0.23</v>
      </c>
      <c r="AA77">
        <v>2156.5544</v>
      </c>
    </row>
    <row r="78" spans="1:27" x14ac:dyDescent="0.3">
      <c r="A78" t="s">
        <v>1885</v>
      </c>
      <c r="B78" s="2">
        <v>45285</v>
      </c>
      <c r="C78" t="s">
        <v>85</v>
      </c>
      <c r="D78" t="s">
        <v>1683</v>
      </c>
      <c r="E78" t="s">
        <v>1772</v>
      </c>
      <c r="F78" s="4">
        <v>2</v>
      </c>
      <c r="G78">
        <v>686.31</v>
      </c>
      <c r="H78">
        <v>0.25</v>
      </c>
      <c r="I78" t="s">
        <v>1807</v>
      </c>
      <c r="J78">
        <v>1029.4649999999999</v>
      </c>
      <c r="K78" t="s">
        <v>86</v>
      </c>
      <c r="L78">
        <v>59</v>
      </c>
      <c r="M78" t="str">
        <v>Male</v>
      </c>
      <c r="N78" t="str">
        <f>VLOOKUP(C:C,Customer_Dim!B:I,5,1)</f>
        <v>Gonzalezfort</v>
      </c>
      <c r="O78" t="str">
        <f>VLOOKUP(C:C,Customer_Dim!B:I,6,1)</f>
        <v>New Jersey</v>
      </c>
      <c r="P78" t="str">
        <f>VLOOKUP(C:C,Customer_Dim!B:I,7,1)</f>
        <v>USA</v>
      </c>
      <c r="Q78" t="str">
        <f>VLOOKUP(C:C,Customer_Dim!B:I,8,1)</f>
        <v>Platinum</v>
      </c>
      <c r="S78">
        <v>2</v>
      </c>
      <c r="T78">
        <v>686.31</v>
      </c>
      <c r="U78">
        <v>0.25</v>
      </c>
      <c r="V78">
        <v>1029.4649999999999</v>
      </c>
      <c r="X78" s="4">
        <v>2</v>
      </c>
      <c r="Y78">
        <v>686.31</v>
      </c>
      <c r="Z78">
        <v>0.25</v>
      </c>
      <c r="AA78">
        <v>1029.4649999999999</v>
      </c>
    </row>
    <row r="79" spans="1:27" x14ac:dyDescent="0.3">
      <c r="A79" t="s">
        <v>1886</v>
      </c>
      <c r="B79" s="2">
        <v>45800</v>
      </c>
      <c r="C79" t="s">
        <v>40</v>
      </c>
      <c r="D79" t="s">
        <v>1665</v>
      </c>
      <c r="E79" t="s">
        <v>1784</v>
      </c>
      <c r="F79" s="4">
        <v>1</v>
      </c>
      <c r="G79">
        <v>687.82</v>
      </c>
      <c r="H79">
        <v>0.27</v>
      </c>
      <c r="I79" t="s">
        <v>1812</v>
      </c>
      <c r="J79">
        <v>502.10860000000002</v>
      </c>
      <c r="K79" t="s">
        <v>41</v>
      </c>
      <c r="L79">
        <v>53</v>
      </c>
      <c r="M79" t="str">
        <v>Female</v>
      </c>
      <c r="N79" t="str">
        <f>VLOOKUP(C:C,Customer_Dim!B:I,5,1)</f>
        <v>West Pamelafurt</v>
      </c>
      <c r="O79" t="str">
        <f>VLOOKUP(C:C,Customer_Dim!B:I,6,1)</f>
        <v>West Virginia</v>
      </c>
      <c r="P79" t="str">
        <f>VLOOKUP(C:C,Customer_Dim!B:I,7,1)</f>
        <v>USA</v>
      </c>
      <c r="Q79" t="str">
        <f>VLOOKUP(C:C,Customer_Dim!B:I,8,1)</f>
        <v>Bronze</v>
      </c>
      <c r="S79">
        <v>1</v>
      </c>
      <c r="T79">
        <v>687.82</v>
      </c>
      <c r="U79">
        <v>0.27</v>
      </c>
      <c r="V79">
        <v>502.10860000000002</v>
      </c>
      <c r="X79" s="4">
        <v>1</v>
      </c>
      <c r="Y79">
        <v>687.82</v>
      </c>
      <c r="Z79">
        <v>0.27</v>
      </c>
      <c r="AA79">
        <v>502.10860000000002</v>
      </c>
    </row>
    <row r="80" spans="1:27" x14ac:dyDescent="0.3">
      <c r="A80" t="s">
        <v>1887</v>
      </c>
      <c r="B80" s="2">
        <v>45609</v>
      </c>
      <c r="C80" t="s">
        <v>710</v>
      </c>
      <c r="D80" t="s">
        <v>1697</v>
      </c>
      <c r="E80" t="s">
        <v>1765</v>
      </c>
      <c r="F80" s="4">
        <v>2</v>
      </c>
      <c r="G80">
        <v>900.55</v>
      </c>
      <c r="H80">
        <v>0.16</v>
      </c>
      <c r="I80" t="s">
        <v>1807</v>
      </c>
      <c r="J80">
        <v>1512.924</v>
      </c>
      <c r="K80" t="s">
        <v>711</v>
      </c>
      <c r="L80">
        <v>35</v>
      </c>
      <c r="M80" t="str">
        <v>Male</v>
      </c>
      <c r="N80" t="str">
        <f>VLOOKUP(C:C,Customer_Dim!B:I,5,1)</f>
        <v>Maybury</v>
      </c>
      <c r="O80" t="str">
        <f>VLOOKUP(C:C,Customer_Dim!B:I,6,1)</f>
        <v>Georgia</v>
      </c>
      <c r="P80" t="str">
        <f>VLOOKUP(C:C,Customer_Dim!B:I,7,1)</f>
        <v>USA</v>
      </c>
      <c r="Q80" t="str">
        <f>VLOOKUP(C:C,Customer_Dim!B:I,8,1)</f>
        <v>Platinum</v>
      </c>
      <c r="S80">
        <v>2</v>
      </c>
      <c r="T80">
        <v>900.55</v>
      </c>
      <c r="U80">
        <v>0.16</v>
      </c>
      <c r="V80">
        <v>1512.924</v>
      </c>
      <c r="X80" s="4">
        <v>2</v>
      </c>
      <c r="Y80">
        <v>900.55</v>
      </c>
      <c r="Z80">
        <v>0.16</v>
      </c>
      <c r="AA80">
        <v>1512.924</v>
      </c>
    </row>
    <row r="81" spans="1:27" x14ac:dyDescent="0.3">
      <c r="A81" t="s">
        <v>1888</v>
      </c>
      <c r="B81" s="2">
        <v>45268</v>
      </c>
      <c r="C81" t="s">
        <v>397</v>
      </c>
      <c r="D81" t="s">
        <v>1573</v>
      </c>
      <c r="E81" t="s">
        <v>1744</v>
      </c>
      <c r="F81" s="4">
        <v>1</v>
      </c>
      <c r="G81">
        <v>341.17</v>
      </c>
      <c r="H81">
        <v>0.15</v>
      </c>
      <c r="I81" t="s">
        <v>1807</v>
      </c>
      <c r="J81">
        <v>289.99450000000002</v>
      </c>
      <c r="K81" t="s">
        <v>398</v>
      </c>
      <c r="L81">
        <v>18</v>
      </c>
      <c r="M81" t="str">
        <v>Female</v>
      </c>
      <c r="N81" t="str">
        <f>VLOOKUP(C:C,Customer_Dim!B:I,5,1)</f>
        <v>North Curtischester</v>
      </c>
      <c r="O81" t="str">
        <f>VLOOKUP(C:C,Customer_Dim!B:I,6,1)</f>
        <v>North Dakota</v>
      </c>
      <c r="P81" t="str">
        <f>VLOOKUP(C:C,Customer_Dim!B:I,7,1)</f>
        <v>USA</v>
      </c>
      <c r="Q81" t="str">
        <f>VLOOKUP(C:C,Customer_Dim!B:I,8,1)</f>
        <v>Platinum</v>
      </c>
      <c r="S81">
        <v>1</v>
      </c>
      <c r="T81">
        <v>341.17</v>
      </c>
      <c r="U81">
        <v>0.15</v>
      </c>
      <c r="V81">
        <v>289.99450000000002</v>
      </c>
      <c r="X81" s="4">
        <v>1</v>
      </c>
      <c r="Y81">
        <v>341.17</v>
      </c>
      <c r="Z81">
        <v>0.15</v>
      </c>
      <c r="AA81">
        <v>289.99450000000002</v>
      </c>
    </row>
    <row r="82" spans="1:27" x14ac:dyDescent="0.3">
      <c r="A82" t="s">
        <v>1889</v>
      </c>
      <c r="B82" s="2">
        <v>45885</v>
      </c>
      <c r="C82" t="s">
        <v>576</v>
      </c>
      <c r="D82" t="s">
        <v>1635</v>
      </c>
      <c r="E82" t="s">
        <v>1765</v>
      </c>
      <c r="F82" s="4">
        <v>1</v>
      </c>
      <c r="G82">
        <v>442.27</v>
      </c>
      <c r="H82">
        <v>0.06</v>
      </c>
      <c r="I82" t="s">
        <v>1812</v>
      </c>
      <c r="J82">
        <v>415.73379999999997</v>
      </c>
      <c r="K82" t="s">
        <v>577</v>
      </c>
      <c r="L82">
        <v>55</v>
      </c>
      <c r="M82" t="str">
        <v>Male</v>
      </c>
      <c r="N82" t="str">
        <f>VLOOKUP(C:C,Customer_Dim!B:I,5,1)</f>
        <v>Anabury</v>
      </c>
      <c r="O82" t="str">
        <f>VLOOKUP(C:C,Customer_Dim!B:I,6,1)</f>
        <v>Vermont</v>
      </c>
      <c r="P82" t="str">
        <f>VLOOKUP(C:C,Customer_Dim!B:I,7,1)</f>
        <v>USA</v>
      </c>
      <c r="Q82" t="str">
        <f>VLOOKUP(C:C,Customer_Dim!B:I,8,1)</f>
        <v>Silver</v>
      </c>
      <c r="S82">
        <v>1</v>
      </c>
      <c r="T82">
        <v>442.27</v>
      </c>
      <c r="U82">
        <v>0.06</v>
      </c>
      <c r="V82">
        <v>415.73379999999997</v>
      </c>
      <c r="X82" s="4">
        <v>1</v>
      </c>
      <c r="Y82">
        <v>442.27</v>
      </c>
      <c r="Z82">
        <v>0.06</v>
      </c>
      <c r="AA82">
        <v>415.73379999999997</v>
      </c>
    </row>
    <row r="83" spans="1:27" x14ac:dyDescent="0.3">
      <c r="A83" t="s">
        <v>1890</v>
      </c>
      <c r="B83" s="2">
        <v>45616</v>
      </c>
      <c r="C83" t="s">
        <v>803</v>
      </c>
      <c r="D83" t="s">
        <v>1673</v>
      </c>
      <c r="E83" t="s">
        <v>1769</v>
      </c>
      <c r="F83" s="4">
        <v>1</v>
      </c>
      <c r="G83">
        <v>363.73</v>
      </c>
      <c r="H83">
        <v>0.25</v>
      </c>
      <c r="I83" t="s">
        <v>1809</v>
      </c>
      <c r="J83">
        <v>272.79750000000001</v>
      </c>
      <c r="K83" t="s">
        <v>3941</v>
      </c>
      <c r="L83">
        <v>34</v>
      </c>
      <c r="M83" t="str">
        <v>Male</v>
      </c>
      <c r="N83" t="str">
        <f>VLOOKUP(C:C,Customer_Dim!B:I,5,1)</f>
        <v>New Maria</v>
      </c>
      <c r="O83" t="str">
        <f>VLOOKUP(C:C,Customer_Dim!B:I,6,1)</f>
        <v>Wisconsin</v>
      </c>
      <c r="P83" t="str">
        <f>VLOOKUP(C:C,Customer_Dim!B:I,7,1)</f>
        <v>USA</v>
      </c>
      <c r="Q83" t="str">
        <f>VLOOKUP(C:C,Customer_Dim!B:I,8,1)</f>
        <v>Bronze</v>
      </c>
      <c r="S83">
        <v>1</v>
      </c>
      <c r="T83">
        <v>363.73</v>
      </c>
      <c r="U83">
        <v>0.25</v>
      </c>
      <c r="V83">
        <v>272.79750000000001</v>
      </c>
      <c r="X83" s="4">
        <v>1</v>
      </c>
      <c r="Y83">
        <v>363.73</v>
      </c>
      <c r="Z83">
        <v>0.25</v>
      </c>
      <c r="AA83">
        <v>272.79750000000001</v>
      </c>
    </row>
    <row r="84" spans="1:27" x14ac:dyDescent="0.3">
      <c r="A84" t="s">
        <v>1891</v>
      </c>
      <c r="B84" s="2">
        <v>45518</v>
      </c>
      <c r="C84" t="s">
        <v>1168</v>
      </c>
      <c r="D84" t="s">
        <v>1713</v>
      </c>
      <c r="E84" t="s">
        <v>1790</v>
      </c>
      <c r="F84" s="4">
        <v>2</v>
      </c>
      <c r="G84">
        <v>601.33000000000004</v>
      </c>
      <c r="H84">
        <v>0.16</v>
      </c>
      <c r="I84" t="s">
        <v>1809</v>
      </c>
      <c r="J84">
        <v>1010.2344000000001</v>
      </c>
      <c r="K84" t="s">
        <v>1169</v>
      </c>
      <c r="L84">
        <v>34</v>
      </c>
      <c r="M84" t="str">
        <v>Female</v>
      </c>
      <c r="N84" t="str">
        <f>VLOOKUP(C:C,Customer_Dim!B:I,5,1)</f>
        <v>Fischerborough</v>
      </c>
      <c r="O84" t="str">
        <f>VLOOKUP(C:C,Customer_Dim!B:I,6,1)</f>
        <v>Delaware</v>
      </c>
      <c r="P84" t="str">
        <f>VLOOKUP(C:C,Customer_Dim!B:I,7,1)</f>
        <v>USA</v>
      </c>
      <c r="Q84" t="str">
        <f>VLOOKUP(C:C,Customer_Dim!B:I,8,1)</f>
        <v>Bronze</v>
      </c>
      <c r="S84">
        <v>2</v>
      </c>
      <c r="T84">
        <v>601.33000000000004</v>
      </c>
      <c r="U84">
        <v>0.16</v>
      </c>
      <c r="V84">
        <v>1010.2344000000001</v>
      </c>
      <c r="X84" s="4">
        <v>2</v>
      </c>
      <c r="Y84">
        <v>601.33000000000004</v>
      </c>
      <c r="Z84">
        <v>0.16</v>
      </c>
      <c r="AA84">
        <v>1010.2344000000001</v>
      </c>
    </row>
    <row r="85" spans="1:27" x14ac:dyDescent="0.3">
      <c r="A85" t="s">
        <v>1892</v>
      </c>
      <c r="B85" s="2">
        <v>45427</v>
      </c>
      <c r="C85" t="s">
        <v>1240</v>
      </c>
      <c r="D85" t="s">
        <v>1565</v>
      </c>
      <c r="E85" t="s">
        <v>1793</v>
      </c>
      <c r="F85" s="4">
        <v>4</v>
      </c>
      <c r="G85">
        <v>34.39</v>
      </c>
      <c r="H85">
        <v>0.03</v>
      </c>
      <c r="I85" t="s">
        <v>1809</v>
      </c>
      <c r="J85">
        <v>133.4332</v>
      </c>
      <c r="K85" t="s">
        <v>1241</v>
      </c>
      <c r="L85">
        <v>22</v>
      </c>
      <c r="M85" t="str">
        <v>Female</v>
      </c>
      <c r="N85" t="str">
        <f>VLOOKUP(C:C,Customer_Dim!B:I,5,1)</f>
        <v>Lake Lisaland</v>
      </c>
      <c r="O85" t="str">
        <f>VLOOKUP(C:C,Customer_Dim!B:I,6,1)</f>
        <v>Louisiana</v>
      </c>
      <c r="P85" t="str">
        <f>VLOOKUP(C:C,Customer_Dim!B:I,7,1)</f>
        <v>USA</v>
      </c>
      <c r="Q85" t="str">
        <f>VLOOKUP(C:C,Customer_Dim!B:I,8,1)</f>
        <v>Bronze</v>
      </c>
      <c r="S85">
        <v>4</v>
      </c>
      <c r="T85">
        <v>34.39</v>
      </c>
      <c r="U85">
        <v>0.03</v>
      </c>
      <c r="V85">
        <v>133.4332</v>
      </c>
      <c r="X85" s="4">
        <v>4</v>
      </c>
      <c r="Y85">
        <v>34.39</v>
      </c>
      <c r="Z85">
        <v>0.03</v>
      </c>
      <c r="AA85">
        <v>133.4332</v>
      </c>
    </row>
    <row r="86" spans="1:27" x14ac:dyDescent="0.3">
      <c r="A86" t="s">
        <v>1893</v>
      </c>
      <c r="B86" s="2">
        <v>45268</v>
      </c>
      <c r="C86" t="s">
        <v>1297</v>
      </c>
      <c r="D86" t="s">
        <v>1623</v>
      </c>
      <c r="E86" t="s">
        <v>1790</v>
      </c>
      <c r="F86" s="4">
        <v>1</v>
      </c>
      <c r="G86">
        <v>773.57</v>
      </c>
      <c r="H86">
        <v>0.05</v>
      </c>
      <c r="I86" t="s">
        <v>1812</v>
      </c>
      <c r="J86">
        <v>1090.0558237722053</v>
      </c>
      <c r="K86" t="s">
        <v>1298</v>
      </c>
      <c r="L86">
        <v>53</v>
      </c>
      <c r="M86" t="str">
        <v>Male</v>
      </c>
      <c r="N86" t="str">
        <f>VLOOKUP(C:C,Customer_Dim!B:I,5,1)</f>
        <v>New Katherine</v>
      </c>
      <c r="O86" t="str">
        <f>VLOOKUP(C:C,Customer_Dim!B:I,6,1)</f>
        <v>Kansas</v>
      </c>
      <c r="P86" t="str">
        <f>VLOOKUP(C:C,Customer_Dim!B:I,7,1)</f>
        <v>USA</v>
      </c>
      <c r="Q86" t="str">
        <f>VLOOKUP(C:C,Customer_Dim!B:I,8,1)</f>
        <v>Silver</v>
      </c>
      <c r="S86">
        <v>1</v>
      </c>
      <c r="T86">
        <v>773.57</v>
      </c>
      <c r="U86">
        <v>0.05</v>
      </c>
      <c r="X86" s="4">
        <v>1</v>
      </c>
      <c r="Y86">
        <v>773.57</v>
      </c>
      <c r="Z86">
        <v>0.05</v>
      </c>
      <c r="AA86">
        <v>1090.0558237722053</v>
      </c>
    </row>
    <row r="87" spans="1:27" x14ac:dyDescent="0.3">
      <c r="A87" t="s">
        <v>1894</v>
      </c>
      <c r="B87" s="2">
        <v>45282</v>
      </c>
      <c r="C87" t="s">
        <v>202</v>
      </c>
      <c r="D87" t="s">
        <v>1707</v>
      </c>
      <c r="E87" t="s">
        <v>1762</v>
      </c>
      <c r="F87" s="4">
        <v>4</v>
      </c>
      <c r="G87">
        <v>127.1</v>
      </c>
      <c r="H87">
        <v>0.24</v>
      </c>
      <c r="I87" t="s">
        <v>1812</v>
      </c>
      <c r="J87">
        <v>386.38400000000001</v>
      </c>
      <c r="K87" t="s">
        <v>203</v>
      </c>
      <c r="L87">
        <v>56</v>
      </c>
      <c r="M87" t="str">
        <v>Female</v>
      </c>
      <c r="N87" t="str">
        <f>VLOOKUP(C:C,Customer_Dim!B:I,5,1)</f>
        <v>Christopherland</v>
      </c>
      <c r="O87" t="str">
        <f>VLOOKUP(C:C,Customer_Dim!B:I,6,1)</f>
        <v>Oklahoma</v>
      </c>
      <c r="P87" t="str">
        <f>VLOOKUP(C:C,Customer_Dim!B:I,7,1)</f>
        <v>USA</v>
      </c>
      <c r="Q87" t="str">
        <f>VLOOKUP(C:C,Customer_Dim!B:I,8,1)</f>
        <v>Platinum</v>
      </c>
      <c r="S87">
        <v>4</v>
      </c>
      <c r="T87">
        <v>127.1</v>
      </c>
      <c r="U87">
        <v>0.24</v>
      </c>
      <c r="V87">
        <v>386.38400000000001</v>
      </c>
      <c r="X87" s="4">
        <v>4</v>
      </c>
      <c r="Y87">
        <v>127.1</v>
      </c>
      <c r="Z87">
        <v>0.24</v>
      </c>
      <c r="AA87">
        <v>386.38400000000001</v>
      </c>
    </row>
    <row r="88" spans="1:27" x14ac:dyDescent="0.3">
      <c r="A88" t="s">
        <v>1895</v>
      </c>
      <c r="B88" s="2">
        <v>45545</v>
      </c>
      <c r="C88" t="s">
        <v>948</v>
      </c>
      <c r="D88" t="s">
        <v>1571</v>
      </c>
      <c r="E88" t="s">
        <v>1749</v>
      </c>
      <c r="F88" s="4">
        <v>3</v>
      </c>
      <c r="G88">
        <v>899.58</v>
      </c>
      <c r="H88">
        <v>0.28000000000000003</v>
      </c>
      <c r="I88" t="s">
        <v>1809</v>
      </c>
      <c r="J88">
        <v>1943.0927999999999</v>
      </c>
      <c r="K88" t="s">
        <v>949</v>
      </c>
      <c r="L88">
        <v>41</v>
      </c>
      <c r="M88" t="str">
        <v>Male</v>
      </c>
      <c r="N88" t="str">
        <f>VLOOKUP(C:C,Customer_Dim!B:I,5,1)</f>
        <v>East Johntown</v>
      </c>
      <c r="O88" t="str">
        <f>VLOOKUP(C:C,Customer_Dim!B:I,6,1)</f>
        <v>Delaware</v>
      </c>
      <c r="P88" t="str">
        <f>VLOOKUP(C:C,Customer_Dim!B:I,7,1)</f>
        <v>USA</v>
      </c>
      <c r="Q88" t="str">
        <f>VLOOKUP(C:C,Customer_Dim!B:I,8,1)</f>
        <v>Platinum</v>
      </c>
      <c r="S88">
        <v>3</v>
      </c>
      <c r="T88">
        <v>899.58</v>
      </c>
      <c r="U88">
        <v>0.28000000000000003</v>
      </c>
      <c r="V88">
        <v>1943.0927999999999</v>
      </c>
      <c r="X88" s="4">
        <v>3</v>
      </c>
      <c r="Y88">
        <v>899.58</v>
      </c>
      <c r="Z88">
        <v>0.28000000000000003</v>
      </c>
      <c r="AA88">
        <v>1943.0927999999999</v>
      </c>
    </row>
    <row r="89" spans="1:27" x14ac:dyDescent="0.3">
      <c r="A89" t="s">
        <v>1896</v>
      </c>
      <c r="B89" s="2">
        <v>45755</v>
      </c>
      <c r="C89" t="s">
        <v>1018</v>
      </c>
      <c r="D89" t="s">
        <v>1529</v>
      </c>
      <c r="E89" t="s">
        <v>1772</v>
      </c>
      <c r="F89" s="4">
        <v>3</v>
      </c>
      <c r="G89">
        <v>964.39</v>
      </c>
      <c r="H89">
        <v>0.04</v>
      </c>
      <c r="I89" t="s">
        <v>1807</v>
      </c>
      <c r="J89">
        <v>2777.4432000000002</v>
      </c>
      <c r="K89" t="s">
        <v>1019</v>
      </c>
      <c r="L89">
        <v>46</v>
      </c>
      <c r="M89" t="str">
        <v>Male</v>
      </c>
      <c r="N89" t="str">
        <f>VLOOKUP(C:C,Customer_Dim!B:I,5,1)</f>
        <v>Kellybury</v>
      </c>
      <c r="O89" t="str">
        <f>VLOOKUP(C:C,Customer_Dim!B:I,6,1)</f>
        <v>New York</v>
      </c>
      <c r="P89" t="str">
        <f>VLOOKUP(C:C,Customer_Dim!B:I,7,1)</f>
        <v>USA</v>
      </c>
      <c r="Q89" t="str">
        <f>VLOOKUP(C:C,Customer_Dim!B:I,8,1)</f>
        <v>Bronze</v>
      </c>
      <c r="S89">
        <v>3</v>
      </c>
      <c r="T89">
        <v>964.39</v>
      </c>
      <c r="U89">
        <v>0.04</v>
      </c>
      <c r="V89">
        <v>2777.4432000000002</v>
      </c>
      <c r="X89" s="4">
        <v>3</v>
      </c>
      <c r="Y89">
        <v>964.39</v>
      </c>
      <c r="Z89">
        <v>0.04</v>
      </c>
      <c r="AA89">
        <v>2777.4432000000002</v>
      </c>
    </row>
    <row r="90" spans="1:27" x14ac:dyDescent="0.3">
      <c r="A90" t="s">
        <v>1897</v>
      </c>
      <c r="B90" s="2">
        <v>45588</v>
      </c>
      <c r="C90" t="s">
        <v>598</v>
      </c>
      <c r="D90" t="s">
        <v>1607</v>
      </c>
      <c r="E90" t="s">
        <v>1735</v>
      </c>
      <c r="F90" s="4">
        <v>2</v>
      </c>
      <c r="G90">
        <v>217.83</v>
      </c>
      <c r="H90">
        <v>0.14000000000000001</v>
      </c>
      <c r="I90" t="s">
        <v>1809</v>
      </c>
      <c r="J90">
        <v>374.66759999999999</v>
      </c>
      <c r="K90" t="s">
        <v>599</v>
      </c>
      <c r="L90">
        <v>46</v>
      </c>
      <c r="M90" t="str">
        <v>Female</v>
      </c>
      <c r="N90" t="str">
        <f>VLOOKUP(C:C,Customer_Dim!B:I,5,1)</f>
        <v>Port James</v>
      </c>
      <c r="O90" t="str">
        <f>VLOOKUP(C:C,Customer_Dim!B:I,6,1)</f>
        <v>New York</v>
      </c>
      <c r="P90" t="str">
        <f>VLOOKUP(C:C,Customer_Dim!B:I,7,1)</f>
        <v>USA</v>
      </c>
      <c r="Q90" t="str">
        <f>VLOOKUP(C:C,Customer_Dim!B:I,8,1)</f>
        <v>Platinum</v>
      </c>
      <c r="S90">
        <v>2</v>
      </c>
      <c r="T90">
        <v>217.83</v>
      </c>
      <c r="U90">
        <v>0.14000000000000001</v>
      </c>
      <c r="V90">
        <v>374.66759999999999</v>
      </c>
      <c r="X90" s="4">
        <v>2</v>
      </c>
      <c r="Y90">
        <v>217.83</v>
      </c>
      <c r="Z90">
        <v>0.14000000000000001</v>
      </c>
      <c r="AA90">
        <v>374.66759999999999</v>
      </c>
    </row>
    <row r="91" spans="1:27" x14ac:dyDescent="0.3">
      <c r="A91" t="s">
        <v>1898</v>
      </c>
      <c r="B91" s="2">
        <v>45848</v>
      </c>
      <c r="C91" t="s">
        <v>479</v>
      </c>
      <c r="D91" t="s">
        <v>1565</v>
      </c>
      <c r="E91" t="s">
        <v>1740</v>
      </c>
      <c r="F91" s="4">
        <v>4</v>
      </c>
      <c r="G91">
        <v>187.71</v>
      </c>
      <c r="H91">
        <v>0.06</v>
      </c>
      <c r="I91" t="s">
        <v>1812</v>
      </c>
      <c r="J91">
        <v>705.78959999999995</v>
      </c>
      <c r="K91" t="s">
        <v>480</v>
      </c>
      <c r="L91">
        <v>62</v>
      </c>
      <c r="M91" t="str">
        <v>Female</v>
      </c>
      <c r="N91" t="str">
        <f>VLOOKUP(C:C,Customer_Dim!B:I,5,1)</f>
        <v>Dwaynemouth</v>
      </c>
      <c r="O91" t="str">
        <f>VLOOKUP(C:C,Customer_Dim!B:I,6,1)</f>
        <v>Alabama</v>
      </c>
      <c r="P91" t="str">
        <f>VLOOKUP(C:C,Customer_Dim!B:I,7,1)</f>
        <v>USA</v>
      </c>
      <c r="Q91" t="str">
        <f>VLOOKUP(C:C,Customer_Dim!B:I,8,1)</f>
        <v>Bronze</v>
      </c>
      <c r="S91">
        <v>4</v>
      </c>
      <c r="T91">
        <v>187.71</v>
      </c>
      <c r="U91">
        <v>0.06</v>
      </c>
      <c r="V91">
        <v>705.78959999999995</v>
      </c>
      <c r="X91" s="4">
        <v>4</v>
      </c>
      <c r="Y91">
        <v>187.71</v>
      </c>
      <c r="Z91">
        <v>0.06</v>
      </c>
      <c r="AA91">
        <v>705.78959999999995</v>
      </c>
    </row>
    <row r="92" spans="1:27" x14ac:dyDescent="0.3">
      <c r="A92" t="s">
        <v>1899</v>
      </c>
      <c r="B92" s="2">
        <v>45577</v>
      </c>
      <c r="C92" t="s">
        <v>52</v>
      </c>
      <c r="D92" t="s">
        <v>1597</v>
      </c>
      <c r="E92" t="s">
        <v>1793</v>
      </c>
      <c r="F92" s="4">
        <v>2</v>
      </c>
      <c r="G92">
        <v>350.12</v>
      </c>
      <c r="H92">
        <v>0.12</v>
      </c>
      <c r="I92" t="s">
        <v>1812</v>
      </c>
      <c r="J92">
        <v>616.21119999999996</v>
      </c>
      <c r="K92" t="s">
        <v>53</v>
      </c>
      <c r="L92">
        <v>28</v>
      </c>
      <c r="M92" t="str">
        <v>Female</v>
      </c>
      <c r="N92" t="str">
        <f>VLOOKUP(C:C,Customer_Dim!B:I,5,1)</f>
        <v>Port Michaelburgh</v>
      </c>
      <c r="O92" t="str">
        <f>VLOOKUP(C:C,Customer_Dim!B:I,6,1)</f>
        <v>Pennsylvania</v>
      </c>
      <c r="P92" t="str">
        <f>VLOOKUP(C:C,Customer_Dim!B:I,7,1)</f>
        <v>USA</v>
      </c>
      <c r="Q92" t="str">
        <f>VLOOKUP(C:C,Customer_Dim!B:I,8,1)</f>
        <v>Bronze</v>
      </c>
      <c r="S92">
        <v>2</v>
      </c>
      <c r="T92">
        <v>350.12</v>
      </c>
      <c r="U92">
        <v>0.12</v>
      </c>
      <c r="V92">
        <v>616.21119999999996</v>
      </c>
      <c r="X92" s="4">
        <v>2</v>
      </c>
      <c r="Y92">
        <v>350.12</v>
      </c>
      <c r="Z92">
        <v>0.12</v>
      </c>
      <c r="AA92">
        <v>616.21119999999996</v>
      </c>
    </row>
    <row r="93" spans="1:27" x14ac:dyDescent="0.3">
      <c r="A93" t="s">
        <v>1900</v>
      </c>
      <c r="B93" s="2">
        <v>45312</v>
      </c>
      <c r="C93" t="s">
        <v>1249</v>
      </c>
      <c r="D93" t="s">
        <v>1563</v>
      </c>
      <c r="E93" t="s">
        <v>1740</v>
      </c>
      <c r="F93" s="4">
        <v>4</v>
      </c>
      <c r="G93">
        <v>102.19</v>
      </c>
      <c r="H93">
        <v>0.17</v>
      </c>
      <c r="I93" t="s">
        <v>1809</v>
      </c>
      <c r="J93">
        <v>339.27080000000001</v>
      </c>
      <c r="K93" t="s">
        <v>1250</v>
      </c>
      <c r="L93">
        <v>33</v>
      </c>
      <c r="M93" t="str">
        <v>Male</v>
      </c>
      <c r="N93" t="str">
        <f>VLOOKUP(C:C,Customer_Dim!B:I,5,1)</f>
        <v>North Michaelfurt</v>
      </c>
      <c r="O93" t="str">
        <f>VLOOKUP(C:C,Customer_Dim!B:I,6,1)</f>
        <v>Wisconsin</v>
      </c>
      <c r="P93" t="str">
        <f>VLOOKUP(C:C,Customer_Dim!B:I,7,1)</f>
        <v>USA</v>
      </c>
      <c r="Q93" t="str">
        <f>VLOOKUP(C:C,Customer_Dim!B:I,8,1)</f>
        <v>Gold</v>
      </c>
      <c r="S93">
        <v>4</v>
      </c>
      <c r="T93">
        <v>102.19</v>
      </c>
      <c r="U93">
        <v>0.17</v>
      </c>
      <c r="V93">
        <v>339.27080000000001</v>
      </c>
      <c r="X93" s="4">
        <v>4</v>
      </c>
      <c r="Y93">
        <v>102.19</v>
      </c>
      <c r="Z93">
        <v>0.17</v>
      </c>
      <c r="AA93">
        <v>339.27080000000001</v>
      </c>
    </row>
    <row r="94" spans="1:27" x14ac:dyDescent="0.3">
      <c r="A94" t="s">
        <v>1901</v>
      </c>
      <c r="B94" s="2">
        <v>45350</v>
      </c>
      <c r="C94" t="s">
        <v>40</v>
      </c>
      <c r="D94" t="s">
        <v>1703</v>
      </c>
      <c r="E94" t="s">
        <v>1752</v>
      </c>
      <c r="F94" s="4">
        <v>1</v>
      </c>
      <c r="G94">
        <v>696.53</v>
      </c>
      <c r="H94">
        <v>0.17</v>
      </c>
      <c r="I94" t="s">
        <v>1807</v>
      </c>
      <c r="J94">
        <v>578.11989999999992</v>
      </c>
      <c r="K94" t="s">
        <v>41</v>
      </c>
      <c r="L94">
        <v>53</v>
      </c>
      <c r="M94" t="str">
        <v>Female</v>
      </c>
      <c r="N94" t="str">
        <f>VLOOKUP(C:C,Customer_Dim!B:I,5,1)</f>
        <v>West Pamelafurt</v>
      </c>
      <c r="O94" t="str">
        <f>VLOOKUP(C:C,Customer_Dim!B:I,6,1)</f>
        <v>West Virginia</v>
      </c>
      <c r="P94" t="str">
        <f>VLOOKUP(C:C,Customer_Dim!B:I,7,1)</f>
        <v>USA</v>
      </c>
      <c r="Q94" t="str">
        <f>VLOOKUP(C:C,Customer_Dim!B:I,8,1)</f>
        <v>Bronze</v>
      </c>
      <c r="S94">
        <v>1</v>
      </c>
      <c r="T94">
        <v>696.53</v>
      </c>
      <c r="U94">
        <v>0.17</v>
      </c>
      <c r="V94">
        <v>578.11989999999992</v>
      </c>
      <c r="X94" s="4">
        <v>1</v>
      </c>
      <c r="Y94">
        <v>696.53</v>
      </c>
      <c r="Z94">
        <v>0.17</v>
      </c>
      <c r="AA94">
        <v>578.11989999999992</v>
      </c>
    </row>
    <row r="95" spans="1:27" x14ac:dyDescent="0.3">
      <c r="A95" t="s">
        <v>1902</v>
      </c>
      <c r="B95" s="2">
        <v>45657</v>
      </c>
      <c r="C95" t="s">
        <v>238</v>
      </c>
      <c r="D95" t="s">
        <v>1569</v>
      </c>
      <c r="E95" t="s">
        <v>1752</v>
      </c>
      <c r="F95" s="4">
        <v>2</v>
      </c>
      <c r="G95">
        <v>327.52</v>
      </c>
      <c r="H95">
        <v>0.15</v>
      </c>
      <c r="I95" t="s">
        <v>1809</v>
      </c>
      <c r="J95">
        <v>556.78399999999999</v>
      </c>
      <c r="K95" t="s">
        <v>239</v>
      </c>
      <c r="L95">
        <v>27</v>
      </c>
      <c r="M95" t="str">
        <v>Female</v>
      </c>
      <c r="N95" t="str">
        <f>VLOOKUP(C:C,Customer_Dim!B:I,5,1)</f>
        <v>Woodmouth</v>
      </c>
      <c r="O95" t="str">
        <f>VLOOKUP(C:C,Customer_Dim!B:I,6,1)</f>
        <v>Nevada</v>
      </c>
      <c r="P95" t="str">
        <f>VLOOKUP(C:C,Customer_Dim!B:I,7,1)</f>
        <v>USA</v>
      </c>
      <c r="Q95" t="str">
        <f>VLOOKUP(C:C,Customer_Dim!B:I,8,1)</f>
        <v>Silver</v>
      </c>
      <c r="S95">
        <v>2</v>
      </c>
      <c r="T95">
        <v>327.52</v>
      </c>
      <c r="U95">
        <v>0.15</v>
      </c>
      <c r="V95">
        <v>556.78399999999999</v>
      </c>
      <c r="X95" s="4">
        <v>2</v>
      </c>
      <c r="Y95">
        <v>327.52</v>
      </c>
      <c r="Z95">
        <v>0.15</v>
      </c>
      <c r="AA95">
        <v>556.78399999999999</v>
      </c>
    </row>
    <row r="96" spans="1:27" x14ac:dyDescent="0.3">
      <c r="A96" t="s">
        <v>1903</v>
      </c>
      <c r="B96" s="2">
        <v>45530</v>
      </c>
      <c r="C96" t="s">
        <v>933</v>
      </c>
      <c r="D96" t="s">
        <v>1725</v>
      </c>
      <c r="E96" t="s">
        <v>1796</v>
      </c>
      <c r="F96" s="4">
        <v>2</v>
      </c>
      <c r="G96">
        <v>569.36</v>
      </c>
      <c r="H96">
        <v>0.01</v>
      </c>
      <c r="I96" t="s">
        <v>1809</v>
      </c>
      <c r="J96">
        <v>1090.8604113385834</v>
      </c>
      <c r="K96" t="s">
        <v>934</v>
      </c>
      <c r="L96">
        <v>48</v>
      </c>
      <c r="M96" t="str">
        <v>Female</v>
      </c>
      <c r="N96" t="str">
        <f>VLOOKUP(C:C,Customer_Dim!B:I,5,1)</f>
        <v>New Joshuatown</v>
      </c>
      <c r="O96" t="str">
        <f>VLOOKUP(C:C,Customer_Dim!B:I,6,1)</f>
        <v>Maine</v>
      </c>
      <c r="P96" t="str">
        <f>VLOOKUP(C:C,Customer_Dim!B:I,7,1)</f>
        <v>USA</v>
      </c>
      <c r="Q96" t="str">
        <f>VLOOKUP(C:C,Customer_Dim!B:I,8,1)</f>
        <v>Platinum</v>
      </c>
      <c r="S96">
        <v>2</v>
      </c>
      <c r="T96">
        <v>569.36</v>
      </c>
      <c r="U96">
        <v>0.01</v>
      </c>
      <c r="X96" s="4">
        <v>2</v>
      </c>
      <c r="Y96">
        <v>569.36</v>
      </c>
      <c r="Z96">
        <v>0.01</v>
      </c>
      <c r="AA96">
        <v>1090.8604113385834</v>
      </c>
    </row>
    <row r="97" spans="1:27" x14ac:dyDescent="0.3">
      <c r="A97" t="s">
        <v>1904</v>
      </c>
      <c r="B97" s="2">
        <v>45556</v>
      </c>
      <c r="C97" t="s">
        <v>1001</v>
      </c>
      <c r="D97" t="s">
        <v>1729</v>
      </c>
      <c r="E97" t="s">
        <v>1759</v>
      </c>
      <c r="F97" s="4">
        <v>2</v>
      </c>
      <c r="G97">
        <v>68.290000000000006</v>
      </c>
      <c r="H97">
        <v>0.14000000000000001</v>
      </c>
      <c r="I97" t="s">
        <v>1812</v>
      </c>
      <c r="J97">
        <v>117.4588</v>
      </c>
      <c r="K97" t="s">
        <v>1002</v>
      </c>
      <c r="L97">
        <v>54</v>
      </c>
      <c r="M97" t="str">
        <v>Male</v>
      </c>
      <c r="N97" t="str">
        <f>VLOOKUP(C:C,Customer_Dim!B:I,5,1)</f>
        <v>Lake Alice</v>
      </c>
      <c r="O97" t="str">
        <f>VLOOKUP(C:C,Customer_Dim!B:I,6,1)</f>
        <v>Tennessee</v>
      </c>
      <c r="P97" t="str">
        <f>VLOOKUP(C:C,Customer_Dim!B:I,7,1)</f>
        <v>USA</v>
      </c>
      <c r="Q97" t="str">
        <f>VLOOKUP(C:C,Customer_Dim!B:I,8,1)</f>
        <v>Bronze</v>
      </c>
      <c r="S97">
        <v>2</v>
      </c>
      <c r="T97">
        <v>68.290000000000006</v>
      </c>
      <c r="U97">
        <v>0.14000000000000001</v>
      </c>
      <c r="V97">
        <v>117.4588</v>
      </c>
      <c r="X97" s="4">
        <v>2</v>
      </c>
      <c r="Y97">
        <v>68.290000000000006</v>
      </c>
      <c r="Z97">
        <v>0.14000000000000001</v>
      </c>
      <c r="AA97">
        <v>117.4588</v>
      </c>
    </row>
    <row r="98" spans="1:27" x14ac:dyDescent="0.3">
      <c r="A98" t="s">
        <v>1905</v>
      </c>
      <c r="B98" s="2">
        <v>45523</v>
      </c>
      <c r="C98" t="s">
        <v>776</v>
      </c>
      <c r="D98" t="s">
        <v>1631</v>
      </c>
      <c r="E98" t="s">
        <v>1772</v>
      </c>
      <c r="F98" s="4">
        <v>1</v>
      </c>
      <c r="G98">
        <v>842.9</v>
      </c>
      <c r="H98">
        <v>0.06</v>
      </c>
      <c r="I98" t="s">
        <v>1812</v>
      </c>
      <c r="J98">
        <v>792.32599999999991</v>
      </c>
      <c r="K98" t="s">
        <v>777</v>
      </c>
      <c r="L98">
        <v>57</v>
      </c>
      <c r="M98" t="str">
        <v>Female</v>
      </c>
      <c r="N98" t="str">
        <f>VLOOKUP(C:C,Customer_Dim!B:I,5,1)</f>
        <v>West Julia</v>
      </c>
      <c r="O98" t="str">
        <f>VLOOKUP(C:C,Customer_Dim!B:I,6,1)</f>
        <v>Utah</v>
      </c>
      <c r="P98" t="str">
        <f>VLOOKUP(C:C,Customer_Dim!B:I,7,1)</f>
        <v>USA</v>
      </c>
      <c r="Q98" t="str">
        <f>VLOOKUP(C:C,Customer_Dim!B:I,8,1)</f>
        <v>Bronze</v>
      </c>
      <c r="S98">
        <v>1</v>
      </c>
      <c r="T98">
        <v>842.9</v>
      </c>
      <c r="U98">
        <v>0.06</v>
      </c>
      <c r="V98">
        <v>792.32599999999991</v>
      </c>
      <c r="X98" s="4">
        <v>1</v>
      </c>
      <c r="Y98">
        <v>842.9</v>
      </c>
      <c r="Z98">
        <v>0.06</v>
      </c>
      <c r="AA98">
        <v>792.32599999999991</v>
      </c>
    </row>
    <row r="99" spans="1:27" x14ac:dyDescent="0.3">
      <c r="A99" t="s">
        <v>1906</v>
      </c>
      <c r="B99" s="2">
        <v>45587</v>
      </c>
      <c r="C99" t="s">
        <v>903</v>
      </c>
      <c r="D99" t="s">
        <v>1534</v>
      </c>
      <c r="E99" t="s">
        <v>1749</v>
      </c>
      <c r="F99" s="4">
        <v>3</v>
      </c>
      <c r="G99">
        <v>751.94</v>
      </c>
      <c r="H99">
        <v>0.26</v>
      </c>
      <c r="I99" t="s">
        <v>1809</v>
      </c>
      <c r="J99">
        <v>1669.3068000000001</v>
      </c>
      <c r="K99" t="s">
        <v>904</v>
      </c>
      <c r="L99">
        <v>58</v>
      </c>
      <c r="M99" t="str">
        <v>Male</v>
      </c>
      <c r="N99" t="str">
        <f>VLOOKUP(C:C,Customer_Dim!B:I,5,1)</f>
        <v>Millerfort</v>
      </c>
      <c r="O99" t="str">
        <f>VLOOKUP(C:C,Customer_Dim!B:I,6,1)</f>
        <v>Vermont</v>
      </c>
      <c r="P99" t="str">
        <f>VLOOKUP(C:C,Customer_Dim!B:I,7,1)</f>
        <v>USA</v>
      </c>
      <c r="Q99" t="str">
        <f>VLOOKUP(C:C,Customer_Dim!B:I,8,1)</f>
        <v>Gold</v>
      </c>
      <c r="S99">
        <v>3</v>
      </c>
      <c r="T99">
        <v>751.94</v>
      </c>
      <c r="U99">
        <v>0.26</v>
      </c>
      <c r="V99">
        <v>1669.3068000000001</v>
      </c>
      <c r="X99" s="4">
        <v>3</v>
      </c>
      <c r="Y99">
        <v>751.94</v>
      </c>
      <c r="Z99">
        <v>0.26</v>
      </c>
      <c r="AA99">
        <v>1669.3068000000001</v>
      </c>
    </row>
    <row r="100" spans="1:27" x14ac:dyDescent="0.3">
      <c r="A100" t="s">
        <v>1907</v>
      </c>
      <c r="B100" s="2">
        <v>45580</v>
      </c>
      <c r="C100" t="s">
        <v>444</v>
      </c>
      <c r="D100" t="s">
        <v>1643</v>
      </c>
      <c r="E100" t="s">
        <v>1762</v>
      </c>
      <c r="F100" s="4">
        <v>4</v>
      </c>
      <c r="G100">
        <v>476.28</v>
      </c>
      <c r="H100">
        <v>0.17</v>
      </c>
      <c r="I100" t="s">
        <v>1807</v>
      </c>
      <c r="J100">
        <v>1581.2496000000001</v>
      </c>
      <c r="K100" t="s">
        <v>445</v>
      </c>
      <c r="L100">
        <v>57</v>
      </c>
      <c r="M100" t="str">
        <v>Female</v>
      </c>
      <c r="N100" t="str">
        <f>VLOOKUP(C:C,Customer_Dim!B:I,5,1)</f>
        <v>Wigginsville</v>
      </c>
      <c r="O100" t="str">
        <f>VLOOKUP(C:C,Customer_Dim!B:I,6,1)</f>
        <v>Alabama</v>
      </c>
      <c r="P100" t="str">
        <f>VLOOKUP(C:C,Customer_Dim!B:I,7,1)</f>
        <v>USA</v>
      </c>
      <c r="Q100" t="str">
        <f>VLOOKUP(C:C,Customer_Dim!B:I,8,1)</f>
        <v>Bronze</v>
      </c>
      <c r="S100">
        <v>4</v>
      </c>
      <c r="T100">
        <v>476.28</v>
      </c>
      <c r="U100">
        <v>0.17</v>
      </c>
      <c r="V100">
        <v>1581.2496000000001</v>
      </c>
      <c r="X100" s="4">
        <v>4</v>
      </c>
      <c r="Y100">
        <v>476.28</v>
      </c>
      <c r="Z100">
        <v>0.17</v>
      </c>
      <c r="AA100">
        <v>1581.2496000000001</v>
      </c>
    </row>
    <row r="101" spans="1:27" x14ac:dyDescent="0.3">
      <c r="A101" t="s">
        <v>1908</v>
      </c>
      <c r="B101" s="2">
        <v>45479</v>
      </c>
      <c r="C101" t="s">
        <v>1012</v>
      </c>
      <c r="D101" t="s">
        <v>1639</v>
      </c>
      <c r="E101" t="s">
        <v>1749</v>
      </c>
      <c r="F101" s="4">
        <v>3</v>
      </c>
      <c r="G101">
        <v>541.99</v>
      </c>
      <c r="H101">
        <v>0.24</v>
      </c>
      <c r="I101" t="s">
        <v>1812</v>
      </c>
      <c r="J101">
        <v>1235.7372</v>
      </c>
      <c r="K101" t="s">
        <v>1013</v>
      </c>
      <c r="L101">
        <v>58</v>
      </c>
      <c r="M101" t="str">
        <v>Female</v>
      </c>
      <c r="N101" t="str">
        <f>VLOOKUP(C:C,Customer_Dim!B:I,5,1)</f>
        <v>East Matthew</v>
      </c>
      <c r="O101" t="str">
        <f>VLOOKUP(C:C,Customer_Dim!B:I,6,1)</f>
        <v>Wisconsin</v>
      </c>
      <c r="P101" t="str">
        <f>VLOOKUP(C:C,Customer_Dim!B:I,7,1)</f>
        <v>USA</v>
      </c>
      <c r="Q101" t="str">
        <f>VLOOKUP(C:C,Customer_Dim!B:I,8,1)</f>
        <v>Bronze</v>
      </c>
      <c r="S101">
        <v>3</v>
      </c>
      <c r="T101">
        <v>541.99</v>
      </c>
      <c r="U101">
        <v>0.24</v>
      </c>
      <c r="V101">
        <v>1235.7372</v>
      </c>
      <c r="X101" s="4">
        <v>3</v>
      </c>
      <c r="Y101">
        <v>541.99</v>
      </c>
      <c r="Z101">
        <v>0.24</v>
      </c>
      <c r="AA101">
        <v>1235.7372</v>
      </c>
    </row>
    <row r="102" spans="1:27" x14ac:dyDescent="0.3">
      <c r="A102" t="s">
        <v>1909</v>
      </c>
      <c r="B102" s="2">
        <v>45677</v>
      </c>
      <c r="C102" t="s">
        <v>1141</v>
      </c>
      <c r="D102" t="s">
        <v>1597</v>
      </c>
      <c r="E102" t="s">
        <v>1756</v>
      </c>
      <c r="F102" s="4">
        <v>2</v>
      </c>
      <c r="G102">
        <v>401.5</v>
      </c>
      <c r="H102">
        <v>0.18</v>
      </c>
      <c r="I102" t="s">
        <v>1807</v>
      </c>
      <c r="J102">
        <v>658.46</v>
      </c>
      <c r="K102" t="s">
        <v>1142</v>
      </c>
      <c r="L102">
        <v>45</v>
      </c>
      <c r="M102" t="str">
        <v>Male</v>
      </c>
      <c r="N102" t="str">
        <f>VLOOKUP(C:C,Customer_Dim!B:I,5,1)</f>
        <v>West Bruce</v>
      </c>
      <c r="O102" t="str">
        <f>VLOOKUP(C:C,Customer_Dim!B:I,6,1)</f>
        <v>Vermont</v>
      </c>
      <c r="P102" t="str">
        <f>VLOOKUP(C:C,Customer_Dim!B:I,7,1)</f>
        <v>USA</v>
      </c>
      <c r="Q102" t="str">
        <f>VLOOKUP(C:C,Customer_Dim!B:I,8,1)</f>
        <v>Platinum</v>
      </c>
      <c r="S102">
        <v>2</v>
      </c>
      <c r="T102">
        <v>401.5</v>
      </c>
      <c r="U102">
        <v>0.18</v>
      </c>
      <c r="V102">
        <v>658.46</v>
      </c>
      <c r="X102" s="4">
        <v>2</v>
      </c>
      <c r="Y102">
        <v>401.5</v>
      </c>
      <c r="Z102">
        <v>0.18</v>
      </c>
      <c r="AA102">
        <v>658.46</v>
      </c>
    </row>
    <row r="103" spans="1:27" x14ac:dyDescent="0.3">
      <c r="A103" t="s">
        <v>1910</v>
      </c>
      <c r="B103" s="2">
        <v>45453</v>
      </c>
      <c r="C103" t="s">
        <v>301</v>
      </c>
      <c r="D103" t="s">
        <v>1581</v>
      </c>
      <c r="E103" t="s">
        <v>1780</v>
      </c>
      <c r="F103" s="4">
        <v>3</v>
      </c>
      <c r="G103">
        <v>359.56</v>
      </c>
      <c r="H103">
        <v>0.17</v>
      </c>
      <c r="I103" t="s">
        <v>1809</v>
      </c>
      <c r="J103">
        <v>895.30439999999999</v>
      </c>
      <c r="K103" t="s">
        <v>302</v>
      </c>
      <c r="L103">
        <v>36</v>
      </c>
      <c r="M103" t="str">
        <v>Male</v>
      </c>
      <c r="N103" t="str">
        <f>VLOOKUP(C:C,Customer_Dim!B:I,5,1)</f>
        <v>Garyberg</v>
      </c>
      <c r="O103" t="str">
        <f>VLOOKUP(C:C,Customer_Dim!B:I,6,1)</f>
        <v>Indiana</v>
      </c>
      <c r="P103" t="str">
        <f>VLOOKUP(C:C,Customer_Dim!B:I,7,1)</f>
        <v>USA</v>
      </c>
      <c r="Q103" t="str">
        <f>VLOOKUP(C:C,Customer_Dim!B:I,8,1)</f>
        <v>Platinum</v>
      </c>
      <c r="S103">
        <v>3</v>
      </c>
      <c r="T103">
        <v>359.56</v>
      </c>
      <c r="U103">
        <v>0.17</v>
      </c>
      <c r="V103">
        <v>895.30439999999999</v>
      </c>
      <c r="X103" s="4">
        <v>3</v>
      </c>
      <c r="Y103">
        <v>359.56</v>
      </c>
      <c r="Z103">
        <v>0.17</v>
      </c>
      <c r="AA103">
        <v>895.30439999999999</v>
      </c>
    </row>
    <row r="104" spans="1:27" x14ac:dyDescent="0.3">
      <c r="A104" t="s">
        <v>1911</v>
      </c>
      <c r="B104" s="2">
        <v>45552</v>
      </c>
      <c r="C104" t="s">
        <v>342</v>
      </c>
      <c r="D104" t="s">
        <v>1691</v>
      </c>
      <c r="E104" t="s">
        <v>1777</v>
      </c>
      <c r="F104" s="4">
        <v>2</v>
      </c>
      <c r="G104">
        <v>471.88</v>
      </c>
      <c r="H104">
        <v>0.24</v>
      </c>
      <c r="I104" t="s">
        <v>1809</v>
      </c>
      <c r="J104">
        <v>717.25760000000002</v>
      </c>
      <c r="K104" t="s">
        <v>343</v>
      </c>
      <c r="L104">
        <v>24</v>
      </c>
      <c r="M104" t="str">
        <v>Male</v>
      </c>
      <c r="N104" t="str">
        <f>VLOOKUP(C:C,Customer_Dim!B:I,5,1)</f>
        <v>Lake Thomas</v>
      </c>
      <c r="O104" t="str">
        <f>VLOOKUP(C:C,Customer_Dim!B:I,6,1)</f>
        <v>South Dakota</v>
      </c>
      <c r="P104" t="str">
        <f>VLOOKUP(C:C,Customer_Dim!B:I,7,1)</f>
        <v>USA</v>
      </c>
      <c r="Q104" t="str">
        <f>VLOOKUP(C:C,Customer_Dim!B:I,8,1)</f>
        <v>Silver</v>
      </c>
      <c r="S104">
        <v>2</v>
      </c>
      <c r="T104">
        <v>471.88</v>
      </c>
      <c r="U104">
        <v>0.24</v>
      </c>
      <c r="V104">
        <v>717.25760000000002</v>
      </c>
      <c r="X104" s="4">
        <v>2</v>
      </c>
      <c r="Y104">
        <v>471.88</v>
      </c>
      <c r="Z104">
        <v>0.24</v>
      </c>
      <c r="AA104">
        <v>717.25760000000002</v>
      </c>
    </row>
    <row r="105" spans="1:27" x14ac:dyDescent="0.3">
      <c r="A105" t="s">
        <v>1912</v>
      </c>
      <c r="B105" s="2">
        <v>45907</v>
      </c>
      <c r="C105" t="s">
        <v>595</v>
      </c>
      <c r="D105" t="s">
        <v>1599</v>
      </c>
      <c r="E105" t="s">
        <v>1752</v>
      </c>
      <c r="F105" s="4">
        <v>4</v>
      </c>
      <c r="G105">
        <v>925.19</v>
      </c>
      <c r="H105">
        <v>0.19</v>
      </c>
      <c r="I105" t="s">
        <v>1809</v>
      </c>
      <c r="J105">
        <v>2997.615600000001</v>
      </c>
      <c r="K105" t="s">
        <v>596</v>
      </c>
      <c r="L105">
        <v>18</v>
      </c>
      <c r="M105" t="str">
        <v>Male</v>
      </c>
      <c r="N105" t="str">
        <f>VLOOKUP(C:C,Customer_Dim!B:I,5,1)</f>
        <v>Hutchinsonville</v>
      </c>
      <c r="O105" t="str">
        <f>VLOOKUP(C:C,Customer_Dim!B:I,6,1)</f>
        <v>Oklahoma</v>
      </c>
      <c r="P105" t="str">
        <f>VLOOKUP(C:C,Customer_Dim!B:I,7,1)</f>
        <v>USA</v>
      </c>
      <c r="Q105" t="str">
        <f>VLOOKUP(C:C,Customer_Dim!B:I,8,1)</f>
        <v>Silver</v>
      </c>
      <c r="S105">
        <v>4</v>
      </c>
      <c r="T105">
        <v>925.19</v>
      </c>
      <c r="U105">
        <v>0.19</v>
      </c>
      <c r="V105">
        <v>2997.615600000001</v>
      </c>
      <c r="X105" s="4">
        <v>4</v>
      </c>
      <c r="Y105">
        <v>925.19</v>
      </c>
      <c r="Z105">
        <v>0.19</v>
      </c>
      <c r="AA105">
        <v>2997.615600000001</v>
      </c>
    </row>
    <row r="106" spans="1:27" x14ac:dyDescent="0.3">
      <c r="A106" t="s">
        <v>1913</v>
      </c>
      <c r="B106" s="2">
        <v>45330</v>
      </c>
      <c r="C106" t="s">
        <v>121</v>
      </c>
      <c r="D106" t="s">
        <v>1703</v>
      </c>
      <c r="E106" t="s">
        <v>1775</v>
      </c>
      <c r="F106" s="4">
        <v>2</v>
      </c>
      <c r="G106">
        <v>879.63</v>
      </c>
      <c r="H106">
        <v>7.0000000000000007E-2</v>
      </c>
      <c r="I106" t="s">
        <v>1812</v>
      </c>
      <c r="J106">
        <v>1636.1117999999999</v>
      </c>
      <c r="K106" t="s">
        <v>122</v>
      </c>
      <c r="L106">
        <v>64</v>
      </c>
      <c r="M106" t="str">
        <v>Female</v>
      </c>
      <c r="N106" t="str">
        <f>VLOOKUP(C:C,Customer_Dim!B:I,5,1)</f>
        <v>East Jennifer</v>
      </c>
      <c r="O106" t="str">
        <f>VLOOKUP(C:C,Customer_Dim!B:I,6,1)</f>
        <v>California</v>
      </c>
      <c r="P106" t="str">
        <f>VLOOKUP(C:C,Customer_Dim!B:I,7,1)</f>
        <v>USA</v>
      </c>
      <c r="Q106" t="str">
        <f>VLOOKUP(C:C,Customer_Dim!B:I,8,1)</f>
        <v>Silver</v>
      </c>
      <c r="S106">
        <v>2</v>
      </c>
      <c r="T106">
        <v>879.63</v>
      </c>
      <c r="U106">
        <v>7.0000000000000007E-2</v>
      </c>
      <c r="V106">
        <v>1636.1117999999999</v>
      </c>
      <c r="X106" s="4">
        <v>2</v>
      </c>
      <c r="Y106">
        <v>879.63</v>
      </c>
      <c r="Z106">
        <v>7.0000000000000007E-2</v>
      </c>
      <c r="AA106">
        <v>1636.1117999999999</v>
      </c>
    </row>
    <row r="107" spans="1:27" x14ac:dyDescent="0.3">
      <c r="A107" t="s">
        <v>1914</v>
      </c>
      <c r="B107" s="2">
        <v>45214</v>
      </c>
      <c r="C107" t="s">
        <v>20</v>
      </c>
      <c r="D107" t="s">
        <v>1689</v>
      </c>
      <c r="E107" t="s">
        <v>1790</v>
      </c>
      <c r="F107" s="4">
        <v>2</v>
      </c>
      <c r="G107">
        <v>418.23</v>
      </c>
      <c r="H107">
        <v>0.28000000000000003</v>
      </c>
      <c r="I107" t="s">
        <v>1807</v>
      </c>
      <c r="J107">
        <v>602.25120000000004</v>
      </c>
      <c r="K107" t="s">
        <v>3933</v>
      </c>
      <c r="L107">
        <v>59</v>
      </c>
      <c r="M107" t="str">
        <v>Female</v>
      </c>
      <c r="N107" t="str">
        <f>VLOOKUP(C:C,Customer_Dim!B:I,5,1)</f>
        <v>Kylebury</v>
      </c>
      <c r="O107" t="str">
        <f>VLOOKUP(C:C,Customer_Dim!B:I,6,1)</f>
        <v>Alabama</v>
      </c>
      <c r="P107" t="str">
        <f>VLOOKUP(C:C,Customer_Dim!B:I,7,1)</f>
        <v>USA</v>
      </c>
      <c r="Q107" t="str">
        <f>VLOOKUP(C:C,Customer_Dim!B:I,8,1)</f>
        <v>Platinum</v>
      </c>
      <c r="S107">
        <v>2</v>
      </c>
      <c r="T107">
        <v>418.23</v>
      </c>
      <c r="U107">
        <v>0.28000000000000003</v>
      </c>
      <c r="V107">
        <v>602.25120000000004</v>
      </c>
      <c r="X107" s="4">
        <v>2</v>
      </c>
      <c r="Y107">
        <v>418.23</v>
      </c>
      <c r="Z107">
        <v>0.28000000000000003</v>
      </c>
      <c r="AA107">
        <v>602.25120000000004</v>
      </c>
    </row>
    <row r="108" spans="1:27" x14ac:dyDescent="0.3">
      <c r="A108" t="s">
        <v>1915</v>
      </c>
      <c r="B108" s="2">
        <v>45891</v>
      </c>
      <c r="C108" t="s">
        <v>850</v>
      </c>
      <c r="D108" t="s">
        <v>1569</v>
      </c>
      <c r="E108" t="s">
        <v>1793</v>
      </c>
      <c r="F108" s="4">
        <v>3</v>
      </c>
      <c r="G108">
        <v>551.72</v>
      </c>
      <c r="H108">
        <v>0.03</v>
      </c>
      <c r="I108" t="s">
        <v>1812</v>
      </c>
      <c r="J108">
        <v>1605.5052000000001</v>
      </c>
      <c r="K108" t="s">
        <v>851</v>
      </c>
      <c r="L108">
        <v>31</v>
      </c>
      <c r="M108" t="str">
        <v>Female</v>
      </c>
      <c r="N108" t="str">
        <f>VLOOKUP(C:C,Customer_Dim!B:I,5,1)</f>
        <v>Emilytown</v>
      </c>
      <c r="O108" t="str">
        <f>VLOOKUP(C:C,Customer_Dim!B:I,6,1)</f>
        <v>California</v>
      </c>
      <c r="P108" t="str">
        <f>VLOOKUP(C:C,Customer_Dim!B:I,7,1)</f>
        <v>USA</v>
      </c>
      <c r="Q108" t="str">
        <f>VLOOKUP(C:C,Customer_Dim!B:I,8,1)</f>
        <v>Silver</v>
      </c>
      <c r="S108">
        <v>3</v>
      </c>
      <c r="T108">
        <v>551.72</v>
      </c>
      <c r="U108">
        <v>0.03</v>
      </c>
      <c r="V108">
        <v>1605.5052000000001</v>
      </c>
      <c r="X108" s="4">
        <v>3</v>
      </c>
      <c r="Y108">
        <v>551.72</v>
      </c>
      <c r="Z108">
        <v>0.03</v>
      </c>
      <c r="AA108">
        <v>1605.5052000000001</v>
      </c>
    </row>
    <row r="109" spans="1:27" x14ac:dyDescent="0.3">
      <c r="A109" t="s">
        <v>1916</v>
      </c>
      <c r="B109" s="2">
        <v>45323</v>
      </c>
      <c r="C109" t="s">
        <v>1051</v>
      </c>
      <c r="D109" t="s">
        <v>1703</v>
      </c>
      <c r="E109" t="s">
        <v>1762</v>
      </c>
      <c r="F109" s="4">
        <v>4</v>
      </c>
      <c r="G109">
        <v>525.61</v>
      </c>
      <c r="H109">
        <v>0.02</v>
      </c>
      <c r="I109" t="s">
        <v>1809</v>
      </c>
      <c r="J109">
        <v>2060.3912</v>
      </c>
      <c r="K109" t="s">
        <v>1052</v>
      </c>
      <c r="L109">
        <v>52</v>
      </c>
      <c r="M109" t="str">
        <v>Female</v>
      </c>
      <c r="N109" t="str">
        <f>VLOOKUP(C:C,Customer_Dim!B:I,5,1)</f>
        <v>Hudsonfort</v>
      </c>
      <c r="O109" t="str">
        <f>VLOOKUP(C:C,Customer_Dim!B:I,6,1)</f>
        <v>Connecticut</v>
      </c>
      <c r="P109" t="str">
        <f>VLOOKUP(C:C,Customer_Dim!B:I,7,1)</f>
        <v>USA</v>
      </c>
      <c r="Q109" t="str">
        <f>VLOOKUP(C:C,Customer_Dim!B:I,8,1)</f>
        <v>Silver</v>
      </c>
      <c r="S109">
        <v>4</v>
      </c>
      <c r="T109">
        <v>525.61</v>
      </c>
      <c r="U109">
        <v>0.02</v>
      </c>
      <c r="V109">
        <v>2060.3912</v>
      </c>
      <c r="X109" s="4">
        <v>4</v>
      </c>
      <c r="Y109">
        <v>525.61</v>
      </c>
      <c r="Z109">
        <v>0.02</v>
      </c>
      <c r="AA109">
        <v>2060.3912</v>
      </c>
    </row>
    <row r="110" spans="1:27" x14ac:dyDescent="0.3">
      <c r="A110" t="s">
        <v>1917</v>
      </c>
      <c r="B110" s="2">
        <v>45785</v>
      </c>
      <c r="C110" t="s">
        <v>159</v>
      </c>
      <c r="D110" t="s">
        <v>1575</v>
      </c>
      <c r="E110" t="s">
        <v>1780</v>
      </c>
      <c r="F110" s="4">
        <v>3</v>
      </c>
      <c r="G110">
        <v>815.3</v>
      </c>
      <c r="H110">
        <v>0.03</v>
      </c>
      <c r="I110" t="s">
        <v>1807</v>
      </c>
      <c r="J110">
        <v>2372.5230000000001</v>
      </c>
      <c r="K110" t="s">
        <v>160</v>
      </c>
      <c r="L110">
        <v>19</v>
      </c>
      <c r="M110" t="str">
        <v>Male</v>
      </c>
      <c r="N110" t="str">
        <f>VLOOKUP(C:C,Customer_Dim!B:I,5,1)</f>
        <v>Mooneyshire</v>
      </c>
      <c r="O110" t="str">
        <f>VLOOKUP(C:C,Customer_Dim!B:I,6,1)</f>
        <v>Alaska</v>
      </c>
      <c r="P110" t="str">
        <f>VLOOKUP(C:C,Customer_Dim!B:I,7,1)</f>
        <v>USA</v>
      </c>
      <c r="Q110" t="str">
        <f>VLOOKUP(C:C,Customer_Dim!B:I,8,1)</f>
        <v>Platinum</v>
      </c>
      <c r="S110">
        <v>3</v>
      </c>
      <c r="T110">
        <v>815.3</v>
      </c>
      <c r="U110">
        <v>0.03</v>
      </c>
      <c r="V110">
        <v>2372.5230000000001</v>
      </c>
      <c r="X110" s="4">
        <v>3</v>
      </c>
      <c r="Y110">
        <v>815.3</v>
      </c>
      <c r="Z110">
        <v>0.03</v>
      </c>
      <c r="AA110">
        <v>2372.5230000000001</v>
      </c>
    </row>
    <row r="111" spans="1:27" x14ac:dyDescent="0.3">
      <c r="A111" t="s">
        <v>1918</v>
      </c>
      <c r="B111" s="2">
        <v>45738</v>
      </c>
      <c r="C111" t="s">
        <v>690</v>
      </c>
      <c r="D111" t="s">
        <v>1713</v>
      </c>
      <c r="E111" t="s">
        <v>1735</v>
      </c>
      <c r="F111" s="4">
        <v>3</v>
      </c>
      <c r="G111">
        <v>376.46</v>
      </c>
      <c r="H111">
        <v>0.09</v>
      </c>
      <c r="I111" t="s">
        <v>1812</v>
      </c>
      <c r="J111">
        <v>1027.7357999999999</v>
      </c>
      <c r="K111" t="s">
        <v>691</v>
      </c>
      <c r="L111">
        <v>50</v>
      </c>
      <c r="M111" t="str">
        <v>Female</v>
      </c>
      <c r="N111" t="str">
        <f>VLOOKUP(C:C,Customer_Dim!B:I,5,1)</f>
        <v>Danielstad</v>
      </c>
      <c r="O111" t="str">
        <f>VLOOKUP(C:C,Customer_Dim!B:I,6,1)</f>
        <v>Montana</v>
      </c>
      <c r="P111" t="str">
        <f>VLOOKUP(C:C,Customer_Dim!B:I,7,1)</f>
        <v>USA</v>
      </c>
      <c r="Q111" t="str">
        <f>VLOOKUP(C:C,Customer_Dim!B:I,8,1)</f>
        <v>Gold</v>
      </c>
      <c r="S111">
        <v>3</v>
      </c>
      <c r="T111">
        <v>376.46</v>
      </c>
      <c r="U111">
        <v>0.09</v>
      </c>
      <c r="V111">
        <v>1027.7357999999999</v>
      </c>
      <c r="X111" s="4">
        <v>3</v>
      </c>
      <c r="Y111">
        <v>376.46</v>
      </c>
      <c r="Z111">
        <v>0.09</v>
      </c>
      <c r="AA111">
        <v>1027.7357999999999</v>
      </c>
    </row>
    <row r="112" spans="1:27" x14ac:dyDescent="0.3">
      <c r="A112" t="s">
        <v>1919</v>
      </c>
      <c r="B112" s="2">
        <v>45851</v>
      </c>
      <c r="C112" t="s">
        <v>40</v>
      </c>
      <c r="D112" t="s">
        <v>1615</v>
      </c>
      <c r="E112" t="s">
        <v>1765</v>
      </c>
      <c r="F112" s="4">
        <v>4</v>
      </c>
      <c r="G112">
        <v>239.83</v>
      </c>
      <c r="H112">
        <v>0.08</v>
      </c>
      <c r="I112" t="s">
        <v>1807</v>
      </c>
      <c r="J112">
        <v>882.57440000000008</v>
      </c>
      <c r="K112" t="s">
        <v>41</v>
      </c>
      <c r="L112">
        <v>53</v>
      </c>
      <c r="M112" t="str">
        <v>Female</v>
      </c>
      <c r="N112" t="str">
        <f>VLOOKUP(C:C,Customer_Dim!B:I,5,1)</f>
        <v>West Pamelafurt</v>
      </c>
      <c r="O112" t="str">
        <f>VLOOKUP(C:C,Customer_Dim!B:I,6,1)</f>
        <v>West Virginia</v>
      </c>
      <c r="P112" t="str">
        <f>VLOOKUP(C:C,Customer_Dim!B:I,7,1)</f>
        <v>USA</v>
      </c>
      <c r="Q112" t="str">
        <f>VLOOKUP(C:C,Customer_Dim!B:I,8,1)</f>
        <v>Bronze</v>
      </c>
      <c r="S112">
        <v>4</v>
      </c>
      <c r="T112">
        <v>239.83</v>
      </c>
      <c r="U112">
        <v>0.08</v>
      </c>
      <c r="V112">
        <v>882.57440000000008</v>
      </c>
      <c r="X112" s="4">
        <v>4</v>
      </c>
      <c r="Y112">
        <v>239.83</v>
      </c>
      <c r="Z112">
        <v>0.08</v>
      </c>
      <c r="AA112">
        <v>882.57440000000008</v>
      </c>
    </row>
    <row r="113" spans="1:27" x14ac:dyDescent="0.3">
      <c r="A113" t="s">
        <v>1920</v>
      </c>
      <c r="B113" s="2">
        <v>45798</v>
      </c>
      <c r="C113" t="s">
        <v>409</v>
      </c>
      <c r="D113" t="s">
        <v>1711</v>
      </c>
      <c r="E113" t="s">
        <v>1749</v>
      </c>
      <c r="F113" s="4">
        <v>2</v>
      </c>
      <c r="G113">
        <v>845.71</v>
      </c>
      <c r="H113">
        <v>0.01</v>
      </c>
      <c r="I113" t="s">
        <v>1809</v>
      </c>
      <c r="J113">
        <v>1674.5057999999999</v>
      </c>
      <c r="K113" t="s">
        <v>410</v>
      </c>
      <c r="L113">
        <v>44</v>
      </c>
      <c r="M113" t="str">
        <v>Female</v>
      </c>
      <c r="N113" t="str">
        <f>VLOOKUP(C:C,Customer_Dim!B:I,5,1)</f>
        <v>North Edwardton</v>
      </c>
      <c r="O113" t="str">
        <f>VLOOKUP(C:C,Customer_Dim!B:I,6,1)</f>
        <v>Tennessee</v>
      </c>
      <c r="P113" t="str">
        <f>VLOOKUP(C:C,Customer_Dim!B:I,7,1)</f>
        <v>USA</v>
      </c>
      <c r="Q113" t="str">
        <f>VLOOKUP(C:C,Customer_Dim!B:I,8,1)</f>
        <v>Bronze</v>
      </c>
      <c r="S113">
        <v>2</v>
      </c>
      <c r="T113">
        <v>845.71</v>
      </c>
      <c r="U113">
        <v>0.01</v>
      </c>
      <c r="V113">
        <v>1674.5057999999999</v>
      </c>
      <c r="X113" s="4">
        <v>2</v>
      </c>
      <c r="Y113">
        <v>845.71</v>
      </c>
      <c r="Z113">
        <v>0.01</v>
      </c>
      <c r="AA113">
        <v>1674.5057999999999</v>
      </c>
    </row>
    <row r="114" spans="1:27" x14ac:dyDescent="0.3">
      <c r="A114" t="s">
        <v>1921</v>
      </c>
      <c r="B114" s="2">
        <v>45705</v>
      </c>
      <c r="C114" t="s">
        <v>310</v>
      </c>
      <c r="D114" t="s">
        <v>1683</v>
      </c>
      <c r="E114" t="s">
        <v>1780</v>
      </c>
      <c r="F114" s="4">
        <v>3</v>
      </c>
      <c r="G114">
        <v>948.69</v>
      </c>
      <c r="H114">
        <v>0.28999999999999998</v>
      </c>
      <c r="I114" t="s">
        <v>1807</v>
      </c>
      <c r="J114">
        <v>2020.7097000000001</v>
      </c>
      <c r="K114" t="s">
        <v>3939</v>
      </c>
      <c r="L114">
        <v>58</v>
      </c>
      <c r="M114" t="str">
        <v>Male</v>
      </c>
      <c r="N114" t="str">
        <f>VLOOKUP(C:C,Customer_Dim!B:I,5,1)</f>
        <v>East Jenna</v>
      </c>
      <c r="O114" t="str">
        <f>VLOOKUP(C:C,Customer_Dim!B:I,6,1)</f>
        <v>South Carolina</v>
      </c>
      <c r="P114" t="str">
        <f>VLOOKUP(C:C,Customer_Dim!B:I,7,1)</f>
        <v>USA</v>
      </c>
      <c r="Q114" t="str">
        <f>VLOOKUP(C:C,Customer_Dim!B:I,8,1)</f>
        <v>Bronze</v>
      </c>
      <c r="S114">
        <v>3</v>
      </c>
      <c r="T114">
        <v>948.69</v>
      </c>
      <c r="U114">
        <v>0.28999999999999998</v>
      </c>
      <c r="V114">
        <v>2020.7097000000001</v>
      </c>
      <c r="X114" s="4">
        <v>3</v>
      </c>
      <c r="Y114">
        <v>948.69</v>
      </c>
      <c r="Z114">
        <v>0.28999999999999998</v>
      </c>
      <c r="AA114">
        <v>2020.7097000000001</v>
      </c>
    </row>
    <row r="115" spans="1:27" x14ac:dyDescent="0.3">
      <c r="A115" t="s">
        <v>1922</v>
      </c>
      <c r="B115" s="2">
        <v>45413</v>
      </c>
      <c r="C115" t="s">
        <v>1424</v>
      </c>
      <c r="D115" t="s">
        <v>1585</v>
      </c>
      <c r="E115" t="s">
        <v>1772</v>
      </c>
      <c r="F115" s="4">
        <v>1</v>
      </c>
      <c r="G115">
        <v>281.97000000000003</v>
      </c>
      <c r="H115">
        <v>0.2</v>
      </c>
      <c r="I115" t="s">
        <v>1809</v>
      </c>
      <c r="J115">
        <v>225.57599999999999</v>
      </c>
      <c r="K115" t="s">
        <v>1425</v>
      </c>
      <c r="L115">
        <v>45</v>
      </c>
      <c r="M115" t="str">
        <v>Male</v>
      </c>
      <c r="N115" t="str">
        <f>VLOOKUP(C:C,Customer_Dim!B:I,5,1)</f>
        <v>Oneillfurt</v>
      </c>
      <c r="O115" t="str">
        <f>VLOOKUP(C:C,Customer_Dim!B:I,6,1)</f>
        <v>Vermont</v>
      </c>
      <c r="P115" t="str">
        <f>VLOOKUP(C:C,Customer_Dim!B:I,7,1)</f>
        <v>USA</v>
      </c>
      <c r="Q115" t="str">
        <f>VLOOKUP(C:C,Customer_Dim!B:I,8,1)</f>
        <v>Gold</v>
      </c>
      <c r="S115">
        <v>1</v>
      </c>
      <c r="T115">
        <v>281.97000000000003</v>
      </c>
      <c r="U115">
        <v>0.2</v>
      </c>
      <c r="V115">
        <v>225.57599999999999</v>
      </c>
      <c r="X115" s="4">
        <v>1</v>
      </c>
      <c r="Y115">
        <v>281.97000000000003</v>
      </c>
      <c r="Z115">
        <v>0.2</v>
      </c>
      <c r="AA115">
        <v>225.57599999999999</v>
      </c>
    </row>
    <row r="116" spans="1:27" x14ac:dyDescent="0.3">
      <c r="A116" t="s">
        <v>1923</v>
      </c>
      <c r="B116" s="2">
        <v>45482</v>
      </c>
      <c r="C116" t="s">
        <v>506</v>
      </c>
      <c r="D116" t="s">
        <v>1713</v>
      </c>
      <c r="E116" t="s">
        <v>1752</v>
      </c>
      <c r="F116" s="4">
        <v>2</v>
      </c>
      <c r="G116">
        <v>731.01</v>
      </c>
      <c r="H116">
        <v>0.05</v>
      </c>
      <c r="I116" t="s">
        <v>1809</v>
      </c>
      <c r="J116">
        <v>1388.9190000000001</v>
      </c>
      <c r="K116" t="s">
        <v>507</v>
      </c>
      <c r="L116">
        <v>31</v>
      </c>
      <c r="M116" t="str">
        <v>Male</v>
      </c>
      <c r="N116" t="str">
        <f>VLOOKUP(C:C,Customer_Dim!B:I,5,1)</f>
        <v>Jaredville</v>
      </c>
      <c r="O116" t="str">
        <f>VLOOKUP(C:C,Customer_Dim!B:I,6,1)</f>
        <v>Missouri</v>
      </c>
      <c r="P116" t="str">
        <f>VLOOKUP(C:C,Customer_Dim!B:I,7,1)</f>
        <v>USA</v>
      </c>
      <c r="Q116" t="str">
        <f>VLOOKUP(C:C,Customer_Dim!B:I,8,1)</f>
        <v>Platinum</v>
      </c>
      <c r="S116">
        <v>2</v>
      </c>
      <c r="T116">
        <v>731.01</v>
      </c>
      <c r="U116">
        <v>0.05</v>
      </c>
      <c r="V116">
        <v>1388.9190000000001</v>
      </c>
      <c r="X116" s="4">
        <v>2</v>
      </c>
      <c r="Y116">
        <v>731.01</v>
      </c>
      <c r="Z116">
        <v>0.05</v>
      </c>
      <c r="AA116">
        <v>1388.9190000000001</v>
      </c>
    </row>
    <row r="117" spans="1:27" x14ac:dyDescent="0.3">
      <c r="A117" t="s">
        <v>1924</v>
      </c>
      <c r="B117" s="2">
        <v>45925</v>
      </c>
      <c r="C117" t="s">
        <v>814</v>
      </c>
      <c r="D117" t="s">
        <v>1701</v>
      </c>
      <c r="E117" t="s">
        <v>1762</v>
      </c>
      <c r="F117" s="4">
        <v>4</v>
      </c>
      <c r="G117">
        <v>930.85</v>
      </c>
      <c r="H117">
        <v>0.13</v>
      </c>
      <c r="I117" t="s">
        <v>1809</v>
      </c>
      <c r="J117">
        <v>3239.3580000000002</v>
      </c>
      <c r="K117" t="s">
        <v>815</v>
      </c>
      <c r="L117">
        <v>24</v>
      </c>
      <c r="M117" t="str">
        <v>Female</v>
      </c>
      <c r="N117" t="str">
        <f>VLOOKUP(C:C,Customer_Dim!B:I,5,1)</f>
        <v>Karenmouth</v>
      </c>
      <c r="O117" t="str">
        <f>VLOOKUP(C:C,Customer_Dim!B:I,6,1)</f>
        <v>Massachusetts</v>
      </c>
      <c r="P117" t="str">
        <f>VLOOKUP(C:C,Customer_Dim!B:I,7,1)</f>
        <v>USA</v>
      </c>
      <c r="Q117" t="str">
        <f>VLOOKUP(C:C,Customer_Dim!B:I,8,1)</f>
        <v>Silver</v>
      </c>
      <c r="S117">
        <v>4</v>
      </c>
      <c r="T117">
        <v>930.85</v>
      </c>
      <c r="U117">
        <v>0.13</v>
      </c>
      <c r="V117">
        <v>3239.3580000000002</v>
      </c>
      <c r="X117" s="4">
        <v>4</v>
      </c>
      <c r="Y117">
        <v>930.85</v>
      </c>
      <c r="Z117">
        <v>0.13</v>
      </c>
      <c r="AA117">
        <v>3239.3580000000002</v>
      </c>
    </row>
    <row r="118" spans="1:27" x14ac:dyDescent="0.3">
      <c r="A118" t="s">
        <v>1925</v>
      </c>
      <c r="B118" s="2">
        <v>45420</v>
      </c>
      <c r="C118" t="s">
        <v>1287</v>
      </c>
      <c r="D118" t="s">
        <v>1534</v>
      </c>
      <c r="E118" t="s">
        <v>1765</v>
      </c>
      <c r="F118" s="4">
        <v>4</v>
      </c>
      <c r="G118">
        <v>770.77</v>
      </c>
      <c r="H118">
        <v>0.22</v>
      </c>
      <c r="I118" t="s">
        <v>1807</v>
      </c>
      <c r="J118">
        <v>2404.8024</v>
      </c>
      <c r="K118" t="s">
        <v>1288</v>
      </c>
      <c r="L118">
        <v>60</v>
      </c>
      <c r="M118" t="str">
        <v>Male</v>
      </c>
      <c r="N118" t="str">
        <f>VLOOKUP(C:C,Customer_Dim!B:I,5,1)</f>
        <v>Lake David</v>
      </c>
      <c r="O118" t="str">
        <f>VLOOKUP(C:C,Customer_Dim!B:I,6,1)</f>
        <v>Mississippi</v>
      </c>
      <c r="P118" t="str">
        <f>VLOOKUP(C:C,Customer_Dim!B:I,7,1)</f>
        <v>USA</v>
      </c>
      <c r="Q118" t="str">
        <f>VLOOKUP(C:C,Customer_Dim!B:I,8,1)</f>
        <v>Gold</v>
      </c>
      <c r="S118">
        <v>4</v>
      </c>
      <c r="T118">
        <v>770.77</v>
      </c>
      <c r="U118">
        <v>0.22</v>
      </c>
      <c r="V118">
        <v>2404.8024</v>
      </c>
      <c r="X118" s="4">
        <v>4</v>
      </c>
      <c r="Y118">
        <v>770.77</v>
      </c>
      <c r="Z118">
        <v>0.22</v>
      </c>
      <c r="AA118">
        <v>2404.8024</v>
      </c>
    </row>
    <row r="119" spans="1:27" x14ac:dyDescent="0.3">
      <c r="A119" t="s">
        <v>1926</v>
      </c>
      <c r="B119" s="2">
        <v>45554</v>
      </c>
      <c r="C119" t="s">
        <v>244</v>
      </c>
      <c r="D119" t="s">
        <v>1623</v>
      </c>
      <c r="E119" t="s">
        <v>1752</v>
      </c>
      <c r="F119" s="4">
        <v>3</v>
      </c>
      <c r="G119">
        <v>479.63</v>
      </c>
      <c r="H119">
        <v>0.3</v>
      </c>
      <c r="I119" t="s">
        <v>1809</v>
      </c>
      <c r="J119">
        <v>1007.223</v>
      </c>
      <c r="K119" t="s">
        <v>245</v>
      </c>
      <c r="L119">
        <v>24</v>
      </c>
      <c r="M119" t="str">
        <v>Female</v>
      </c>
      <c r="N119" t="str">
        <f>VLOOKUP(C:C,Customer_Dim!B:I,5,1)</f>
        <v>Brendaburgh</v>
      </c>
      <c r="O119" t="str">
        <f>VLOOKUP(C:C,Customer_Dim!B:I,6,1)</f>
        <v>Florida</v>
      </c>
      <c r="P119" t="str">
        <f>VLOOKUP(C:C,Customer_Dim!B:I,7,1)</f>
        <v>USA</v>
      </c>
      <c r="Q119" t="str">
        <f>VLOOKUP(C:C,Customer_Dim!B:I,8,1)</f>
        <v>Silver</v>
      </c>
      <c r="S119">
        <v>3</v>
      </c>
      <c r="T119">
        <v>479.63</v>
      </c>
      <c r="U119">
        <v>0.3</v>
      </c>
      <c r="V119">
        <v>1007.223</v>
      </c>
      <c r="X119" s="4">
        <v>3</v>
      </c>
      <c r="Y119">
        <v>479.63</v>
      </c>
      <c r="Z119">
        <v>0.3</v>
      </c>
      <c r="AA119">
        <v>1007.223</v>
      </c>
    </row>
    <row r="120" spans="1:27" x14ac:dyDescent="0.3">
      <c r="A120" t="s">
        <v>1927</v>
      </c>
      <c r="B120" s="2">
        <v>45405</v>
      </c>
      <c r="C120" t="s">
        <v>367</v>
      </c>
      <c r="D120" t="s">
        <v>1609</v>
      </c>
      <c r="E120" t="s">
        <v>1775</v>
      </c>
      <c r="F120" s="4">
        <v>1</v>
      </c>
      <c r="G120">
        <v>165</v>
      </c>
      <c r="H120">
        <v>0.3</v>
      </c>
      <c r="I120" t="s">
        <v>1812</v>
      </c>
      <c r="J120">
        <v>115.5</v>
      </c>
      <c r="K120" t="s">
        <v>368</v>
      </c>
      <c r="L120">
        <v>53</v>
      </c>
      <c r="M120" t="str">
        <v>Female</v>
      </c>
      <c r="N120" t="str">
        <f>VLOOKUP(C:C,Customer_Dim!B:I,5,1)</f>
        <v>Port Victoria</v>
      </c>
      <c r="O120" t="str">
        <f>VLOOKUP(C:C,Customer_Dim!B:I,6,1)</f>
        <v>Florida</v>
      </c>
      <c r="P120" t="str">
        <f>VLOOKUP(C:C,Customer_Dim!B:I,7,1)</f>
        <v>USA</v>
      </c>
      <c r="Q120" t="str">
        <f>VLOOKUP(C:C,Customer_Dim!B:I,8,1)</f>
        <v>Gold</v>
      </c>
      <c r="S120">
        <v>1</v>
      </c>
      <c r="T120">
        <v>165</v>
      </c>
      <c r="U120">
        <v>0.3</v>
      </c>
      <c r="V120">
        <v>115.5</v>
      </c>
      <c r="X120" s="4">
        <v>1</v>
      </c>
      <c r="Y120">
        <v>165</v>
      </c>
      <c r="Z120">
        <v>0.3</v>
      </c>
      <c r="AA120">
        <v>115.5</v>
      </c>
    </row>
    <row r="121" spans="1:27" x14ac:dyDescent="0.3">
      <c r="A121" t="s">
        <v>1928</v>
      </c>
      <c r="B121" s="2">
        <v>45503</v>
      </c>
      <c r="C121" t="s">
        <v>524</v>
      </c>
      <c r="D121" t="s">
        <v>1569</v>
      </c>
      <c r="E121" t="s">
        <v>1765</v>
      </c>
      <c r="F121" s="4">
        <v>2</v>
      </c>
      <c r="G121">
        <v>151.51</v>
      </c>
      <c r="H121">
        <v>0.28999999999999998</v>
      </c>
      <c r="I121" t="s">
        <v>1812</v>
      </c>
      <c r="J121">
        <v>215.14420000000001</v>
      </c>
      <c r="K121" t="s">
        <v>525</v>
      </c>
      <c r="L121">
        <v>46</v>
      </c>
      <c r="M121" t="str">
        <v>Female</v>
      </c>
      <c r="N121" t="str">
        <f>VLOOKUP(C:C,Customer_Dim!B:I,5,1)</f>
        <v>South Kevin</v>
      </c>
      <c r="O121" t="str">
        <f>VLOOKUP(C:C,Customer_Dim!B:I,6,1)</f>
        <v>Vermont</v>
      </c>
      <c r="P121" t="str">
        <f>VLOOKUP(C:C,Customer_Dim!B:I,7,1)</f>
        <v>USA</v>
      </c>
      <c r="Q121" t="str">
        <f>VLOOKUP(C:C,Customer_Dim!B:I,8,1)</f>
        <v>Bronze</v>
      </c>
      <c r="S121">
        <v>2</v>
      </c>
      <c r="T121">
        <v>151.51</v>
      </c>
      <c r="U121">
        <v>0.28999999999999998</v>
      </c>
      <c r="V121">
        <v>215.14420000000001</v>
      </c>
      <c r="X121" s="4">
        <v>2</v>
      </c>
      <c r="Y121">
        <v>151.51</v>
      </c>
      <c r="Z121">
        <v>0.28999999999999998</v>
      </c>
      <c r="AA121">
        <v>215.14420000000001</v>
      </c>
    </row>
    <row r="122" spans="1:27" x14ac:dyDescent="0.3">
      <c r="A122" t="s">
        <v>1929</v>
      </c>
      <c r="B122" s="2">
        <v>45274</v>
      </c>
      <c r="C122" t="s">
        <v>737</v>
      </c>
      <c r="D122" t="s">
        <v>1593</v>
      </c>
      <c r="E122" t="s">
        <v>1790</v>
      </c>
      <c r="F122" s="4">
        <v>2</v>
      </c>
      <c r="G122">
        <v>872.93</v>
      </c>
      <c r="H122">
        <v>0.28999999999999998</v>
      </c>
      <c r="I122" t="s">
        <v>1812</v>
      </c>
      <c r="J122">
        <v>1239.5606</v>
      </c>
      <c r="K122" t="s">
        <v>738</v>
      </c>
      <c r="L122">
        <v>27</v>
      </c>
      <c r="M122" t="str">
        <v>Female</v>
      </c>
      <c r="N122" t="str">
        <f>VLOOKUP(C:C,Customer_Dim!B:I,5,1)</f>
        <v>Grahamstad</v>
      </c>
      <c r="O122" t="str">
        <f>VLOOKUP(C:C,Customer_Dim!B:I,6,1)</f>
        <v>South Carolina</v>
      </c>
      <c r="P122" t="str">
        <f>VLOOKUP(C:C,Customer_Dim!B:I,7,1)</f>
        <v>USA</v>
      </c>
      <c r="Q122" t="str">
        <f>VLOOKUP(C:C,Customer_Dim!B:I,8,1)</f>
        <v>Bronze</v>
      </c>
      <c r="S122">
        <v>2</v>
      </c>
      <c r="T122">
        <v>872.93</v>
      </c>
      <c r="U122">
        <v>0.28999999999999998</v>
      </c>
      <c r="V122">
        <v>1239.5606</v>
      </c>
      <c r="X122" s="4">
        <v>2</v>
      </c>
      <c r="Y122">
        <v>872.93</v>
      </c>
      <c r="Z122">
        <v>0.28999999999999998</v>
      </c>
      <c r="AA122">
        <v>1239.5606</v>
      </c>
    </row>
    <row r="123" spans="1:27" x14ac:dyDescent="0.3">
      <c r="A123" t="s">
        <v>1930</v>
      </c>
      <c r="B123" s="2">
        <v>45558</v>
      </c>
      <c r="C123" t="s">
        <v>835</v>
      </c>
      <c r="D123" t="s">
        <v>1575</v>
      </c>
      <c r="E123" t="s">
        <v>1772</v>
      </c>
      <c r="F123" s="4">
        <v>3</v>
      </c>
      <c r="G123">
        <v>432.4</v>
      </c>
      <c r="H123">
        <v>0.04</v>
      </c>
      <c r="I123" t="s">
        <v>1807</v>
      </c>
      <c r="J123">
        <v>1245.3119999999999</v>
      </c>
      <c r="K123" t="s">
        <v>836</v>
      </c>
      <c r="L123">
        <v>38</v>
      </c>
      <c r="M123" t="str">
        <v>Male</v>
      </c>
      <c r="N123" t="str">
        <f>VLOOKUP(C:C,Customer_Dim!B:I,5,1)</f>
        <v>Grahamfurt</v>
      </c>
      <c r="O123" t="str">
        <f>VLOOKUP(C:C,Customer_Dim!B:I,6,1)</f>
        <v>Wyoming</v>
      </c>
      <c r="P123" t="str">
        <f>VLOOKUP(C:C,Customer_Dim!B:I,7,1)</f>
        <v>USA</v>
      </c>
      <c r="Q123" t="str">
        <f>VLOOKUP(C:C,Customer_Dim!B:I,8,1)</f>
        <v>Gold</v>
      </c>
      <c r="S123">
        <v>3</v>
      </c>
      <c r="T123">
        <v>432.4</v>
      </c>
      <c r="U123">
        <v>0.04</v>
      </c>
      <c r="V123">
        <v>1245.3119999999999</v>
      </c>
      <c r="X123" s="4">
        <v>3</v>
      </c>
      <c r="Y123">
        <v>432.4</v>
      </c>
      <c r="Z123">
        <v>0.04</v>
      </c>
      <c r="AA123">
        <v>1245.3119999999999</v>
      </c>
    </row>
    <row r="124" spans="1:27" x14ac:dyDescent="0.3">
      <c r="A124" t="s">
        <v>1931</v>
      </c>
      <c r="B124" s="2">
        <v>45886</v>
      </c>
      <c r="C124" t="s">
        <v>1051</v>
      </c>
      <c r="D124" t="s">
        <v>1631</v>
      </c>
      <c r="E124" t="s">
        <v>1762</v>
      </c>
      <c r="F124" s="4">
        <v>2</v>
      </c>
      <c r="G124">
        <v>197.76</v>
      </c>
      <c r="H124">
        <v>0.04</v>
      </c>
      <c r="I124" t="s">
        <v>1807</v>
      </c>
      <c r="J124">
        <v>379.69920000000002</v>
      </c>
      <c r="K124" t="s">
        <v>1052</v>
      </c>
      <c r="L124">
        <v>52</v>
      </c>
      <c r="M124" t="str">
        <v>Female</v>
      </c>
      <c r="N124" t="str">
        <f>VLOOKUP(C:C,Customer_Dim!B:I,5,1)</f>
        <v>Hudsonfort</v>
      </c>
      <c r="O124" t="str">
        <f>VLOOKUP(C:C,Customer_Dim!B:I,6,1)</f>
        <v>Connecticut</v>
      </c>
      <c r="P124" t="str">
        <f>VLOOKUP(C:C,Customer_Dim!B:I,7,1)</f>
        <v>USA</v>
      </c>
      <c r="Q124" t="str">
        <f>VLOOKUP(C:C,Customer_Dim!B:I,8,1)</f>
        <v>Silver</v>
      </c>
      <c r="S124">
        <v>2</v>
      </c>
      <c r="T124">
        <v>197.76</v>
      </c>
      <c r="U124">
        <v>0.04</v>
      </c>
      <c r="V124">
        <v>379.69920000000002</v>
      </c>
      <c r="X124" s="4">
        <v>2</v>
      </c>
      <c r="Y124">
        <v>197.76</v>
      </c>
      <c r="Z124">
        <v>0.04</v>
      </c>
      <c r="AA124">
        <v>379.69920000000002</v>
      </c>
    </row>
    <row r="125" spans="1:27" x14ac:dyDescent="0.3">
      <c r="A125" t="s">
        <v>1932</v>
      </c>
      <c r="B125" s="2">
        <v>45674</v>
      </c>
      <c r="C125" t="s">
        <v>1450</v>
      </c>
      <c r="D125" t="s">
        <v>1611</v>
      </c>
      <c r="E125" t="s">
        <v>1744</v>
      </c>
      <c r="F125" s="4">
        <v>3</v>
      </c>
      <c r="G125">
        <v>334.6</v>
      </c>
      <c r="H125">
        <v>0.11</v>
      </c>
      <c r="I125" t="s">
        <v>1809</v>
      </c>
      <c r="J125">
        <v>893.38200000000006</v>
      </c>
      <c r="K125" t="s">
        <v>1451</v>
      </c>
      <c r="L125">
        <v>41</v>
      </c>
      <c r="M125" t="str">
        <v>Female</v>
      </c>
      <c r="N125" t="str">
        <f>VLOOKUP(C:C,Customer_Dim!B:I,5,1)</f>
        <v>Anthonymouth</v>
      </c>
      <c r="O125" t="str">
        <f>VLOOKUP(C:C,Customer_Dim!B:I,6,1)</f>
        <v>Oklahoma</v>
      </c>
      <c r="P125" t="str">
        <f>VLOOKUP(C:C,Customer_Dim!B:I,7,1)</f>
        <v>USA</v>
      </c>
      <c r="Q125" t="str">
        <f>VLOOKUP(C:C,Customer_Dim!B:I,8,1)</f>
        <v>Gold</v>
      </c>
      <c r="S125">
        <v>3</v>
      </c>
      <c r="T125">
        <v>334.6</v>
      </c>
      <c r="U125">
        <v>0.11</v>
      </c>
      <c r="V125">
        <v>893.38200000000006</v>
      </c>
      <c r="X125" s="4">
        <v>3</v>
      </c>
      <c r="Y125">
        <v>334.6</v>
      </c>
      <c r="Z125">
        <v>0.11</v>
      </c>
      <c r="AA125">
        <v>893.38200000000006</v>
      </c>
    </row>
    <row r="126" spans="1:27" x14ac:dyDescent="0.3">
      <c r="A126" t="s">
        <v>1933</v>
      </c>
      <c r="B126" s="2">
        <v>45777</v>
      </c>
      <c r="C126" t="s">
        <v>310</v>
      </c>
      <c r="D126" t="s">
        <v>1559</v>
      </c>
      <c r="E126" t="s">
        <v>1749</v>
      </c>
      <c r="F126" s="4">
        <v>2</v>
      </c>
      <c r="G126">
        <v>44.35</v>
      </c>
      <c r="H126">
        <v>0.2</v>
      </c>
      <c r="I126" t="s">
        <v>1812</v>
      </c>
      <c r="J126">
        <v>70.960000000000008</v>
      </c>
      <c r="K126" t="s">
        <v>3939</v>
      </c>
      <c r="L126">
        <v>58</v>
      </c>
      <c r="M126" t="str">
        <v>Male</v>
      </c>
      <c r="N126" t="str">
        <f>VLOOKUP(C:C,Customer_Dim!B:I,5,1)</f>
        <v>East Jenna</v>
      </c>
      <c r="O126" t="str">
        <f>VLOOKUP(C:C,Customer_Dim!B:I,6,1)</f>
        <v>South Carolina</v>
      </c>
      <c r="P126" t="str">
        <f>VLOOKUP(C:C,Customer_Dim!B:I,7,1)</f>
        <v>USA</v>
      </c>
      <c r="Q126" t="str">
        <f>VLOOKUP(C:C,Customer_Dim!B:I,8,1)</f>
        <v>Bronze</v>
      </c>
      <c r="S126">
        <v>2</v>
      </c>
      <c r="T126">
        <v>44.35</v>
      </c>
      <c r="U126">
        <v>0.2</v>
      </c>
      <c r="V126">
        <v>70.960000000000008</v>
      </c>
      <c r="X126" s="4">
        <v>2</v>
      </c>
      <c r="Y126">
        <v>44.35</v>
      </c>
      <c r="Z126">
        <v>0.2</v>
      </c>
      <c r="AA126">
        <v>70.960000000000008</v>
      </c>
    </row>
    <row r="127" spans="1:27" x14ac:dyDescent="0.3">
      <c r="A127" t="s">
        <v>1934</v>
      </c>
      <c r="B127" s="2">
        <v>45598</v>
      </c>
      <c r="C127" t="s">
        <v>1513</v>
      </c>
      <c r="D127" t="s">
        <v>1545</v>
      </c>
      <c r="E127" t="s">
        <v>1759</v>
      </c>
      <c r="F127" s="4">
        <v>1</v>
      </c>
      <c r="G127">
        <v>846.31</v>
      </c>
      <c r="H127">
        <v>0.05</v>
      </c>
      <c r="I127" t="s">
        <v>1809</v>
      </c>
      <c r="J127">
        <v>803.9944999999999</v>
      </c>
      <c r="K127" t="s">
        <v>1514</v>
      </c>
      <c r="L127">
        <v>27</v>
      </c>
      <c r="M127" t="str">
        <v>Female</v>
      </c>
      <c r="N127" t="str">
        <f>VLOOKUP(C:C,Customer_Dim!B:I,5,1)</f>
        <v>Snyderfurt</v>
      </c>
      <c r="O127" t="str">
        <f>VLOOKUP(C:C,Customer_Dim!B:I,6,1)</f>
        <v>New Mexico</v>
      </c>
      <c r="P127" t="str">
        <f>VLOOKUP(C:C,Customer_Dim!B:I,7,1)</f>
        <v>USA</v>
      </c>
      <c r="Q127" t="str">
        <f>VLOOKUP(C:C,Customer_Dim!B:I,8,1)</f>
        <v>Silver</v>
      </c>
      <c r="S127">
        <v>1</v>
      </c>
      <c r="T127">
        <v>846.31</v>
      </c>
      <c r="U127">
        <v>0.05</v>
      </c>
      <c r="V127">
        <v>803.9944999999999</v>
      </c>
      <c r="X127" s="4">
        <v>1</v>
      </c>
      <c r="Y127">
        <v>846.31</v>
      </c>
      <c r="Z127">
        <v>0.05</v>
      </c>
      <c r="AA127">
        <v>803.9944999999999</v>
      </c>
    </row>
    <row r="128" spans="1:27" x14ac:dyDescent="0.3">
      <c r="A128" t="s">
        <v>1935</v>
      </c>
      <c r="B128" s="2">
        <v>45884</v>
      </c>
      <c r="C128" t="s">
        <v>444</v>
      </c>
      <c r="D128" t="s">
        <v>1601</v>
      </c>
      <c r="E128" t="s">
        <v>1777</v>
      </c>
      <c r="F128" s="4">
        <v>1</v>
      </c>
      <c r="G128">
        <v>996.48</v>
      </c>
      <c r="H128">
        <v>7.0000000000000007E-2</v>
      </c>
      <c r="I128" t="s">
        <v>1812</v>
      </c>
      <c r="J128">
        <v>926.7263999999999</v>
      </c>
      <c r="K128" t="s">
        <v>445</v>
      </c>
      <c r="L128">
        <v>57</v>
      </c>
      <c r="M128" t="str">
        <v>Female</v>
      </c>
      <c r="N128" t="str">
        <f>VLOOKUP(C:C,Customer_Dim!B:I,5,1)</f>
        <v>Wigginsville</v>
      </c>
      <c r="O128" t="str">
        <f>VLOOKUP(C:C,Customer_Dim!B:I,6,1)</f>
        <v>Alabama</v>
      </c>
      <c r="P128" t="str">
        <f>VLOOKUP(C:C,Customer_Dim!B:I,7,1)</f>
        <v>USA</v>
      </c>
      <c r="Q128" t="str">
        <f>VLOOKUP(C:C,Customer_Dim!B:I,8,1)</f>
        <v>Bronze</v>
      </c>
      <c r="S128">
        <v>1</v>
      </c>
      <c r="T128">
        <v>996.48</v>
      </c>
      <c r="U128">
        <v>7.0000000000000007E-2</v>
      </c>
      <c r="V128">
        <v>926.7263999999999</v>
      </c>
      <c r="X128" s="4">
        <v>1</v>
      </c>
      <c r="Y128">
        <v>996.48</v>
      </c>
      <c r="Z128">
        <v>7.0000000000000007E-2</v>
      </c>
      <c r="AA128">
        <v>926.7263999999999</v>
      </c>
    </row>
    <row r="129" spans="1:27" x14ac:dyDescent="0.3">
      <c r="A129" t="s">
        <v>1936</v>
      </c>
      <c r="B129" s="2">
        <v>45916</v>
      </c>
      <c r="C129" t="s">
        <v>873</v>
      </c>
      <c r="D129" t="s">
        <v>1717</v>
      </c>
      <c r="E129" t="s">
        <v>1759</v>
      </c>
      <c r="F129" s="4">
        <v>3</v>
      </c>
      <c r="G129">
        <v>949.19</v>
      </c>
      <c r="H129">
        <v>0.03</v>
      </c>
      <c r="I129" t="s">
        <v>1812</v>
      </c>
      <c r="J129">
        <v>2762.1428999999998</v>
      </c>
      <c r="K129" t="s">
        <v>874</v>
      </c>
      <c r="L129">
        <v>42</v>
      </c>
      <c r="M129" t="str">
        <v>Female</v>
      </c>
      <c r="N129" t="str">
        <f>VLOOKUP(C:C,Customer_Dim!B:I,5,1)</f>
        <v>Lake Nicole</v>
      </c>
      <c r="O129" t="str">
        <f>VLOOKUP(C:C,Customer_Dim!B:I,6,1)</f>
        <v>Colorado</v>
      </c>
      <c r="P129" t="str">
        <f>VLOOKUP(C:C,Customer_Dim!B:I,7,1)</f>
        <v>USA</v>
      </c>
      <c r="Q129" t="str">
        <f>VLOOKUP(C:C,Customer_Dim!B:I,8,1)</f>
        <v>Platinum</v>
      </c>
      <c r="S129">
        <v>3</v>
      </c>
      <c r="T129">
        <v>949.19</v>
      </c>
      <c r="U129">
        <v>0.03</v>
      </c>
      <c r="V129">
        <v>2762.1428999999998</v>
      </c>
      <c r="X129" s="4">
        <v>3</v>
      </c>
      <c r="Y129">
        <v>949.19</v>
      </c>
      <c r="Z129">
        <v>0.03</v>
      </c>
      <c r="AA129">
        <v>2762.1428999999998</v>
      </c>
    </row>
    <row r="130" spans="1:27" x14ac:dyDescent="0.3">
      <c r="A130" t="s">
        <v>1937</v>
      </c>
      <c r="B130" s="2">
        <v>45347</v>
      </c>
      <c r="C130" t="s">
        <v>1225</v>
      </c>
      <c r="D130" t="s">
        <v>1719</v>
      </c>
      <c r="E130" t="s">
        <v>1769</v>
      </c>
      <c r="F130" s="4">
        <v>2</v>
      </c>
      <c r="G130">
        <v>724.97</v>
      </c>
      <c r="H130">
        <v>0.1</v>
      </c>
      <c r="I130" t="s">
        <v>1807</v>
      </c>
      <c r="J130">
        <v>1304.9459999999999</v>
      </c>
      <c r="K130" t="s">
        <v>3948</v>
      </c>
      <c r="L130">
        <v>54</v>
      </c>
      <c r="M130" t="str">
        <v>Male</v>
      </c>
      <c r="N130" t="str">
        <f>VLOOKUP(C:C,Customer_Dim!B:I,5,1)</f>
        <v>East Jennifer</v>
      </c>
      <c r="O130" t="str">
        <f>VLOOKUP(C:C,Customer_Dim!B:I,6,1)</f>
        <v>Kansas</v>
      </c>
      <c r="P130" t="str">
        <f>VLOOKUP(C:C,Customer_Dim!B:I,7,1)</f>
        <v>USA</v>
      </c>
      <c r="Q130" t="str">
        <f>VLOOKUP(C:C,Customer_Dim!B:I,8,1)</f>
        <v>Platinum</v>
      </c>
      <c r="S130">
        <v>2</v>
      </c>
      <c r="T130">
        <v>724.97</v>
      </c>
      <c r="U130">
        <v>0.1</v>
      </c>
      <c r="V130">
        <v>1304.9459999999999</v>
      </c>
      <c r="X130" s="4">
        <v>2</v>
      </c>
      <c r="Y130">
        <v>724.97</v>
      </c>
      <c r="Z130">
        <v>0.1</v>
      </c>
      <c r="AA130">
        <v>1304.9459999999999</v>
      </c>
    </row>
    <row r="131" spans="1:27" x14ac:dyDescent="0.3">
      <c r="A131" t="s">
        <v>1938</v>
      </c>
      <c r="B131" s="2">
        <v>45723</v>
      </c>
      <c r="C131" t="s">
        <v>983</v>
      </c>
      <c r="D131" t="s">
        <v>1529</v>
      </c>
      <c r="E131" t="s">
        <v>1787</v>
      </c>
      <c r="F131" s="4">
        <v>1</v>
      </c>
      <c r="G131">
        <v>783.25</v>
      </c>
      <c r="H131">
        <v>0.3</v>
      </c>
      <c r="I131" t="s">
        <v>1807</v>
      </c>
      <c r="J131">
        <v>548.27499999999998</v>
      </c>
      <c r="K131" t="s">
        <v>984</v>
      </c>
      <c r="L131">
        <v>34</v>
      </c>
      <c r="M131" t="str">
        <v>Male</v>
      </c>
      <c r="N131" t="str">
        <f>VLOOKUP(C:C,Customer_Dim!B:I,5,1)</f>
        <v>Port Chad</v>
      </c>
      <c r="O131" t="str">
        <f>VLOOKUP(C:C,Customer_Dim!B:I,6,1)</f>
        <v>Massachusetts</v>
      </c>
      <c r="P131" t="str">
        <f>VLOOKUP(C:C,Customer_Dim!B:I,7,1)</f>
        <v>USA</v>
      </c>
      <c r="Q131" t="str">
        <f>VLOOKUP(C:C,Customer_Dim!B:I,8,1)</f>
        <v>Silver</v>
      </c>
      <c r="S131">
        <v>1</v>
      </c>
      <c r="T131">
        <v>783.25</v>
      </c>
      <c r="U131">
        <v>0.3</v>
      </c>
      <c r="V131">
        <v>548.27499999999998</v>
      </c>
      <c r="X131" s="4">
        <v>1</v>
      </c>
      <c r="Y131">
        <v>783.25</v>
      </c>
      <c r="Z131">
        <v>0.3</v>
      </c>
      <c r="AA131">
        <v>548.27499999999998</v>
      </c>
    </row>
    <row r="132" spans="1:27" x14ac:dyDescent="0.3">
      <c r="A132" t="s">
        <v>1939</v>
      </c>
      <c r="B132" s="2">
        <v>45495</v>
      </c>
      <c r="C132" t="s">
        <v>1066</v>
      </c>
      <c r="D132" t="s">
        <v>1565</v>
      </c>
      <c r="E132" t="s">
        <v>1749</v>
      </c>
      <c r="F132" s="4">
        <v>1</v>
      </c>
      <c r="G132">
        <v>942.38</v>
      </c>
      <c r="H132">
        <v>0.17</v>
      </c>
      <c r="I132" t="s">
        <v>1807</v>
      </c>
      <c r="J132">
        <v>782.17539999999997</v>
      </c>
      <c r="K132" t="s">
        <v>1067</v>
      </c>
      <c r="L132">
        <v>39</v>
      </c>
      <c r="M132" t="str">
        <v>Male</v>
      </c>
      <c r="N132" t="str">
        <f>VLOOKUP(C:C,Customer_Dim!B:I,5,1)</f>
        <v>Cartershire</v>
      </c>
      <c r="O132" t="str">
        <f>VLOOKUP(C:C,Customer_Dim!B:I,6,1)</f>
        <v>Virginia</v>
      </c>
      <c r="P132" t="str">
        <f>VLOOKUP(C:C,Customer_Dim!B:I,7,1)</f>
        <v>USA</v>
      </c>
      <c r="Q132" t="str">
        <f>VLOOKUP(C:C,Customer_Dim!B:I,8,1)</f>
        <v>Bronze</v>
      </c>
      <c r="S132">
        <v>1</v>
      </c>
      <c r="T132">
        <v>942.38</v>
      </c>
      <c r="U132">
        <v>0.17</v>
      </c>
      <c r="V132">
        <v>782.17539999999997</v>
      </c>
      <c r="X132" s="4">
        <v>1</v>
      </c>
      <c r="Y132">
        <v>942.38</v>
      </c>
      <c r="Z132">
        <v>0.17</v>
      </c>
      <c r="AA132">
        <v>782.17539999999997</v>
      </c>
    </row>
    <row r="133" spans="1:27" x14ac:dyDescent="0.3">
      <c r="A133" t="s">
        <v>1940</v>
      </c>
      <c r="B133" s="2">
        <v>45444</v>
      </c>
      <c r="C133" t="s">
        <v>1507</v>
      </c>
      <c r="D133" t="s">
        <v>1633</v>
      </c>
      <c r="E133" t="s">
        <v>1775</v>
      </c>
      <c r="F133" s="4">
        <v>3</v>
      </c>
      <c r="G133">
        <v>298.35000000000002</v>
      </c>
      <c r="H133">
        <v>0.05</v>
      </c>
      <c r="I133" t="s">
        <v>1812</v>
      </c>
      <c r="J133">
        <v>850.29750000000001</v>
      </c>
      <c r="K133" t="s">
        <v>1508</v>
      </c>
      <c r="L133">
        <v>47</v>
      </c>
      <c r="M133" t="str">
        <v>Female</v>
      </c>
      <c r="N133" t="str">
        <f>VLOOKUP(C:C,Customer_Dim!B:I,5,1)</f>
        <v>North Seanfurt</v>
      </c>
      <c r="O133" t="str">
        <f>VLOOKUP(C:C,Customer_Dim!B:I,6,1)</f>
        <v>Ohio</v>
      </c>
      <c r="P133" t="str">
        <f>VLOOKUP(C:C,Customer_Dim!B:I,7,1)</f>
        <v>USA</v>
      </c>
      <c r="Q133" t="str">
        <f>VLOOKUP(C:C,Customer_Dim!B:I,8,1)</f>
        <v>Bronze</v>
      </c>
      <c r="S133">
        <v>3</v>
      </c>
      <c r="T133">
        <v>298.35000000000002</v>
      </c>
      <c r="U133">
        <v>0.05</v>
      </c>
      <c r="V133">
        <v>850.29750000000001</v>
      </c>
      <c r="X133" s="4">
        <v>3</v>
      </c>
      <c r="Y133">
        <v>298.35000000000002</v>
      </c>
      <c r="Z133">
        <v>0.05</v>
      </c>
      <c r="AA133">
        <v>850.29750000000001</v>
      </c>
    </row>
    <row r="134" spans="1:27" x14ac:dyDescent="0.3">
      <c r="A134" t="s">
        <v>1941</v>
      </c>
      <c r="B134" s="2">
        <v>45662</v>
      </c>
      <c r="C134" t="s">
        <v>542</v>
      </c>
      <c r="D134" t="s">
        <v>1627</v>
      </c>
      <c r="E134" t="s">
        <v>1777</v>
      </c>
      <c r="F134" s="4">
        <v>4</v>
      </c>
      <c r="G134">
        <v>950.04</v>
      </c>
      <c r="H134">
        <v>0.13</v>
      </c>
      <c r="I134" t="s">
        <v>1809</v>
      </c>
      <c r="J134">
        <v>3306.1392000000001</v>
      </c>
      <c r="K134" t="s">
        <v>543</v>
      </c>
      <c r="L134">
        <v>47</v>
      </c>
      <c r="M134" t="str">
        <v>Female</v>
      </c>
      <c r="N134" t="str">
        <f>VLOOKUP(C:C,Customer_Dim!B:I,5,1)</f>
        <v>Dominiquefort</v>
      </c>
      <c r="O134" t="str">
        <f>VLOOKUP(C:C,Customer_Dim!B:I,6,1)</f>
        <v>Georgia</v>
      </c>
      <c r="P134" t="str">
        <f>VLOOKUP(C:C,Customer_Dim!B:I,7,1)</f>
        <v>USA</v>
      </c>
      <c r="Q134" t="str">
        <f>VLOOKUP(C:C,Customer_Dim!B:I,8,1)</f>
        <v>Silver</v>
      </c>
      <c r="S134">
        <v>4</v>
      </c>
      <c r="T134">
        <v>950.04</v>
      </c>
      <c r="U134">
        <v>0.13</v>
      </c>
      <c r="V134">
        <v>3306.1392000000001</v>
      </c>
      <c r="X134" s="4">
        <v>4</v>
      </c>
      <c r="Y134">
        <v>950.04</v>
      </c>
      <c r="Z134">
        <v>0.13</v>
      </c>
      <c r="AA134">
        <v>3306.1392000000001</v>
      </c>
    </row>
    <row r="135" spans="1:27" x14ac:dyDescent="0.3">
      <c r="A135" t="s">
        <v>1942</v>
      </c>
      <c r="B135" s="2">
        <v>45910</v>
      </c>
      <c r="C135" t="s">
        <v>1024</v>
      </c>
      <c r="D135" t="s">
        <v>1645</v>
      </c>
      <c r="E135" t="s">
        <v>1752</v>
      </c>
      <c r="F135" s="4">
        <v>2</v>
      </c>
      <c r="G135">
        <v>267.19</v>
      </c>
      <c r="H135">
        <v>7.0000000000000007E-2</v>
      </c>
      <c r="I135" t="s">
        <v>1807</v>
      </c>
      <c r="J135">
        <v>496.97340000000003</v>
      </c>
      <c r="K135" t="s">
        <v>1025</v>
      </c>
      <c r="L135">
        <v>54</v>
      </c>
      <c r="M135" t="str">
        <v>Male</v>
      </c>
      <c r="N135" t="str">
        <f>VLOOKUP(C:C,Customer_Dim!B:I,5,1)</f>
        <v>Tiffanyshire</v>
      </c>
      <c r="O135" t="str">
        <f>VLOOKUP(C:C,Customer_Dim!B:I,6,1)</f>
        <v>Minnesota</v>
      </c>
      <c r="P135" t="str">
        <f>VLOOKUP(C:C,Customer_Dim!B:I,7,1)</f>
        <v>USA</v>
      </c>
      <c r="Q135" t="str">
        <f>VLOOKUP(C:C,Customer_Dim!B:I,8,1)</f>
        <v>Bronze</v>
      </c>
      <c r="S135">
        <v>2</v>
      </c>
      <c r="T135">
        <v>267.19</v>
      </c>
      <c r="U135">
        <v>7.0000000000000007E-2</v>
      </c>
      <c r="V135">
        <v>496.97340000000003</v>
      </c>
      <c r="X135" s="4">
        <v>2</v>
      </c>
      <c r="Y135">
        <v>267.19</v>
      </c>
      <c r="Z135">
        <v>7.0000000000000007E-2</v>
      </c>
      <c r="AA135">
        <v>496.97340000000003</v>
      </c>
    </row>
    <row r="136" spans="1:27" x14ac:dyDescent="0.3">
      <c r="A136" t="s">
        <v>1943</v>
      </c>
      <c r="B136" s="2">
        <v>45827</v>
      </c>
      <c r="C136" t="s">
        <v>651</v>
      </c>
      <c r="D136" t="s">
        <v>1705</v>
      </c>
      <c r="E136" t="s">
        <v>1784</v>
      </c>
      <c r="F136" s="4">
        <v>4</v>
      </c>
      <c r="G136">
        <v>72.63</v>
      </c>
      <c r="H136">
        <v>0.06</v>
      </c>
      <c r="I136" t="s">
        <v>1809</v>
      </c>
      <c r="J136">
        <v>273.08879999999999</v>
      </c>
      <c r="K136" t="s">
        <v>652</v>
      </c>
      <c r="L136">
        <v>37</v>
      </c>
      <c r="M136" t="str">
        <v>Female</v>
      </c>
      <c r="N136" t="str">
        <f>VLOOKUP(C:C,Customer_Dim!B:I,5,1)</f>
        <v>New Logan</v>
      </c>
      <c r="O136" t="str">
        <f>VLOOKUP(C:C,Customer_Dim!B:I,6,1)</f>
        <v>Michigan</v>
      </c>
      <c r="P136" t="str">
        <f>VLOOKUP(C:C,Customer_Dim!B:I,7,1)</f>
        <v>USA</v>
      </c>
      <c r="Q136" t="str">
        <f>VLOOKUP(C:C,Customer_Dim!B:I,8,1)</f>
        <v>Bronze</v>
      </c>
      <c r="S136">
        <v>4</v>
      </c>
      <c r="T136">
        <v>72.63</v>
      </c>
      <c r="U136">
        <v>0.06</v>
      </c>
      <c r="V136">
        <v>273.08879999999999</v>
      </c>
      <c r="X136" s="4">
        <v>4</v>
      </c>
      <c r="Y136">
        <v>72.63</v>
      </c>
      <c r="Z136">
        <v>0.06</v>
      </c>
      <c r="AA136">
        <v>273.08879999999999</v>
      </c>
    </row>
    <row r="137" spans="1:27" x14ac:dyDescent="0.3">
      <c r="A137" t="s">
        <v>1944</v>
      </c>
      <c r="B137" s="2">
        <v>45544</v>
      </c>
      <c r="C137" t="s">
        <v>1309</v>
      </c>
      <c r="D137" t="s">
        <v>1637</v>
      </c>
      <c r="E137" t="s">
        <v>1756</v>
      </c>
      <c r="F137" s="4">
        <v>3</v>
      </c>
      <c r="G137">
        <v>576.52</v>
      </c>
      <c r="H137">
        <v>0.22</v>
      </c>
      <c r="I137" t="s">
        <v>1812</v>
      </c>
      <c r="J137">
        <v>1349.0568000000001</v>
      </c>
      <c r="K137" t="s">
        <v>1310</v>
      </c>
      <c r="L137">
        <v>27</v>
      </c>
      <c r="M137" t="str">
        <v>Female</v>
      </c>
      <c r="N137" t="str">
        <f>VLOOKUP(C:C,Customer_Dim!B:I,5,1)</f>
        <v>South Robert</v>
      </c>
      <c r="O137" t="str">
        <f>VLOOKUP(C:C,Customer_Dim!B:I,6,1)</f>
        <v>Maine</v>
      </c>
      <c r="P137" t="str">
        <f>VLOOKUP(C:C,Customer_Dim!B:I,7,1)</f>
        <v>USA</v>
      </c>
      <c r="Q137" t="str">
        <f>VLOOKUP(C:C,Customer_Dim!B:I,8,1)</f>
        <v>Gold</v>
      </c>
      <c r="S137">
        <v>3</v>
      </c>
      <c r="T137">
        <v>576.52</v>
      </c>
      <c r="U137">
        <v>0.22</v>
      </c>
      <c r="V137">
        <v>1349.0568000000001</v>
      </c>
      <c r="X137" s="4">
        <v>3</v>
      </c>
      <c r="Y137">
        <v>576.52</v>
      </c>
      <c r="Z137">
        <v>0.22</v>
      </c>
      <c r="AA137">
        <v>1349.0568000000001</v>
      </c>
    </row>
    <row r="138" spans="1:27" x14ac:dyDescent="0.3">
      <c r="A138" t="s">
        <v>1945</v>
      </c>
      <c r="B138" s="2">
        <v>45751</v>
      </c>
      <c r="C138" t="s">
        <v>1083</v>
      </c>
      <c r="D138" t="s">
        <v>1673</v>
      </c>
      <c r="E138" t="s">
        <v>1769</v>
      </c>
      <c r="F138" s="4">
        <v>3</v>
      </c>
      <c r="G138">
        <v>849.36</v>
      </c>
      <c r="H138">
        <v>0.03</v>
      </c>
      <c r="I138" t="s">
        <v>1807</v>
      </c>
      <c r="J138">
        <v>2471.6376</v>
      </c>
      <c r="K138" t="s">
        <v>1084</v>
      </c>
      <c r="L138">
        <v>26</v>
      </c>
      <c r="M138" t="str">
        <v>Male</v>
      </c>
      <c r="N138" t="str">
        <f>VLOOKUP(C:C,Customer_Dim!B:I,5,1)</f>
        <v>New Angiefurt</v>
      </c>
      <c r="O138" t="str">
        <f>VLOOKUP(C:C,Customer_Dim!B:I,6,1)</f>
        <v>Alaska</v>
      </c>
      <c r="P138" t="str">
        <f>VLOOKUP(C:C,Customer_Dim!B:I,7,1)</f>
        <v>USA</v>
      </c>
      <c r="Q138" t="str">
        <f>VLOOKUP(C:C,Customer_Dim!B:I,8,1)</f>
        <v>Bronze</v>
      </c>
      <c r="S138">
        <v>3</v>
      </c>
      <c r="T138">
        <v>849.36</v>
      </c>
      <c r="U138">
        <v>0.03</v>
      </c>
      <c r="V138">
        <v>2471.6376</v>
      </c>
      <c r="X138" s="4">
        <v>3</v>
      </c>
      <c r="Y138">
        <v>849.36</v>
      </c>
      <c r="Z138">
        <v>0.03</v>
      </c>
      <c r="AA138">
        <v>2471.6376</v>
      </c>
    </row>
    <row r="139" spans="1:27" x14ac:dyDescent="0.3">
      <c r="A139" t="s">
        <v>1946</v>
      </c>
      <c r="B139" s="2">
        <v>45392</v>
      </c>
      <c r="C139" t="s">
        <v>1442</v>
      </c>
      <c r="D139" t="s">
        <v>1631</v>
      </c>
      <c r="E139" t="s">
        <v>1759</v>
      </c>
      <c r="F139" s="4">
        <v>1</v>
      </c>
      <c r="G139">
        <v>245.85</v>
      </c>
      <c r="H139">
        <v>0.18</v>
      </c>
      <c r="I139" t="s">
        <v>1812</v>
      </c>
      <c r="J139">
        <v>201.59700000000001</v>
      </c>
      <c r="K139" t="s">
        <v>1443</v>
      </c>
      <c r="L139">
        <v>32</v>
      </c>
      <c r="M139" t="str">
        <v>Female</v>
      </c>
      <c r="N139" t="str">
        <f>VLOOKUP(C:C,Customer_Dim!B:I,5,1)</f>
        <v>Chambersfurt</v>
      </c>
      <c r="O139" t="str">
        <f>VLOOKUP(C:C,Customer_Dim!B:I,6,1)</f>
        <v>Wisconsin</v>
      </c>
      <c r="P139" t="str">
        <f>VLOOKUP(C:C,Customer_Dim!B:I,7,1)</f>
        <v>USA</v>
      </c>
      <c r="Q139" t="str">
        <f>VLOOKUP(C:C,Customer_Dim!B:I,8,1)</f>
        <v>Bronze</v>
      </c>
      <c r="S139">
        <v>1</v>
      </c>
      <c r="T139">
        <v>245.85</v>
      </c>
      <c r="U139">
        <v>0.18</v>
      </c>
      <c r="V139">
        <v>201.59700000000001</v>
      </c>
      <c r="X139" s="4">
        <v>1</v>
      </c>
      <c r="Y139">
        <v>245.85</v>
      </c>
      <c r="Z139">
        <v>0.18</v>
      </c>
      <c r="AA139">
        <v>201.59700000000001</v>
      </c>
    </row>
    <row r="140" spans="1:27" x14ac:dyDescent="0.3">
      <c r="A140" t="s">
        <v>1947</v>
      </c>
      <c r="B140" s="2">
        <v>45589</v>
      </c>
      <c r="C140" t="s">
        <v>583</v>
      </c>
      <c r="D140" t="s">
        <v>1725</v>
      </c>
      <c r="E140" t="s">
        <v>1772</v>
      </c>
      <c r="F140" s="4">
        <v>3</v>
      </c>
      <c r="G140">
        <v>237.68</v>
      </c>
      <c r="H140">
        <v>0.1</v>
      </c>
      <c r="I140" t="s">
        <v>1812</v>
      </c>
      <c r="J140">
        <v>641.73599999999999</v>
      </c>
      <c r="K140" t="s">
        <v>584</v>
      </c>
      <c r="L140">
        <v>43</v>
      </c>
      <c r="M140" t="str">
        <v>Female</v>
      </c>
      <c r="N140" t="str">
        <f>VLOOKUP(C:C,Customer_Dim!B:I,5,1)</f>
        <v>West Daniel</v>
      </c>
      <c r="O140" t="str">
        <f>VLOOKUP(C:C,Customer_Dim!B:I,6,1)</f>
        <v>South Carolina</v>
      </c>
      <c r="P140" t="str">
        <f>VLOOKUP(C:C,Customer_Dim!B:I,7,1)</f>
        <v>USA</v>
      </c>
      <c r="Q140" t="str">
        <f>VLOOKUP(C:C,Customer_Dim!B:I,8,1)</f>
        <v>Bronze</v>
      </c>
      <c r="S140">
        <v>3</v>
      </c>
      <c r="T140">
        <v>237.68</v>
      </c>
      <c r="U140">
        <v>0.1</v>
      </c>
      <c r="V140">
        <v>641.73599999999999</v>
      </c>
      <c r="X140" s="4">
        <v>3</v>
      </c>
      <c r="Y140">
        <v>237.68</v>
      </c>
      <c r="Z140">
        <v>0.1</v>
      </c>
      <c r="AA140">
        <v>641.73599999999999</v>
      </c>
    </row>
    <row r="141" spans="1:27" x14ac:dyDescent="0.3">
      <c r="A141" t="s">
        <v>1948</v>
      </c>
      <c r="B141" s="2">
        <v>45756</v>
      </c>
      <c r="C141" t="s">
        <v>1048</v>
      </c>
      <c r="D141" t="s">
        <v>1673</v>
      </c>
      <c r="E141" t="s">
        <v>1782</v>
      </c>
      <c r="F141" s="4">
        <v>4</v>
      </c>
      <c r="G141">
        <v>715.85</v>
      </c>
      <c r="H141">
        <v>0.25</v>
      </c>
      <c r="I141" t="s">
        <v>1809</v>
      </c>
      <c r="J141">
        <v>2147.5500000000002</v>
      </c>
      <c r="K141" t="s">
        <v>1049</v>
      </c>
      <c r="L141">
        <v>46</v>
      </c>
      <c r="M141" t="str">
        <v>Female</v>
      </c>
      <c r="N141" t="str">
        <f>VLOOKUP(C:C,Customer_Dim!B:I,5,1)</f>
        <v>Ryanport</v>
      </c>
      <c r="O141" t="str">
        <f>VLOOKUP(C:C,Customer_Dim!B:I,6,1)</f>
        <v>North Carolina</v>
      </c>
      <c r="P141" t="str">
        <f>VLOOKUP(C:C,Customer_Dim!B:I,7,1)</f>
        <v>USA</v>
      </c>
      <c r="Q141" t="str">
        <f>VLOOKUP(C:C,Customer_Dim!B:I,8,1)</f>
        <v>Bronze</v>
      </c>
      <c r="S141">
        <v>4</v>
      </c>
      <c r="T141">
        <v>715.85</v>
      </c>
      <c r="U141">
        <v>0.25</v>
      </c>
      <c r="V141">
        <v>2147.5500000000002</v>
      </c>
      <c r="X141" s="4">
        <v>4</v>
      </c>
      <c r="Y141">
        <v>715.85</v>
      </c>
      <c r="Z141">
        <v>0.25</v>
      </c>
      <c r="AA141">
        <v>2147.5500000000002</v>
      </c>
    </row>
    <row r="142" spans="1:27" x14ac:dyDescent="0.3">
      <c r="A142" t="s">
        <v>1949</v>
      </c>
      <c r="B142" s="2">
        <v>45255</v>
      </c>
      <c r="C142" t="s">
        <v>562</v>
      </c>
      <c r="D142" t="s">
        <v>1711</v>
      </c>
      <c r="E142" t="s">
        <v>1756</v>
      </c>
      <c r="F142" s="4">
        <v>2</v>
      </c>
      <c r="G142">
        <v>478.85</v>
      </c>
      <c r="H142">
        <v>0.01</v>
      </c>
      <c r="I142" t="s">
        <v>1812</v>
      </c>
      <c r="J142">
        <v>948.12300000000005</v>
      </c>
      <c r="K142" t="s">
        <v>563</v>
      </c>
      <c r="L142">
        <v>41</v>
      </c>
      <c r="M142" t="str">
        <v>Female</v>
      </c>
      <c r="N142" t="str">
        <f>VLOOKUP(C:C,Customer_Dim!B:I,5,1)</f>
        <v>Morrisburgh</v>
      </c>
      <c r="O142" t="str">
        <f>VLOOKUP(C:C,Customer_Dim!B:I,6,1)</f>
        <v>Indiana</v>
      </c>
      <c r="P142" t="str">
        <f>VLOOKUP(C:C,Customer_Dim!B:I,7,1)</f>
        <v>USA</v>
      </c>
      <c r="Q142" t="str">
        <f>VLOOKUP(C:C,Customer_Dim!B:I,8,1)</f>
        <v>Platinum</v>
      </c>
      <c r="S142">
        <v>2</v>
      </c>
      <c r="T142">
        <v>478.85</v>
      </c>
      <c r="U142">
        <v>0.01</v>
      </c>
      <c r="V142">
        <v>948.12300000000005</v>
      </c>
      <c r="X142" s="4">
        <v>2</v>
      </c>
      <c r="Y142">
        <v>478.85</v>
      </c>
      <c r="Z142">
        <v>0.01</v>
      </c>
      <c r="AA142">
        <v>948.12300000000005</v>
      </c>
    </row>
    <row r="143" spans="1:27" x14ac:dyDescent="0.3">
      <c r="A143" t="s">
        <v>1950</v>
      </c>
      <c r="B143" s="2">
        <v>45718</v>
      </c>
      <c r="C143" t="s">
        <v>391</v>
      </c>
      <c r="D143" t="s">
        <v>1625</v>
      </c>
      <c r="E143" t="s">
        <v>1735</v>
      </c>
      <c r="F143" s="4">
        <v>1</v>
      </c>
      <c r="G143">
        <v>503.95</v>
      </c>
      <c r="H143">
        <v>0.26</v>
      </c>
      <c r="I143" t="s">
        <v>1812</v>
      </c>
      <c r="J143">
        <v>372.923</v>
      </c>
      <c r="K143" t="s">
        <v>392</v>
      </c>
      <c r="L143">
        <v>30</v>
      </c>
      <c r="M143" t="str">
        <v>Male</v>
      </c>
      <c r="N143" t="str">
        <f>VLOOKUP(C:C,Customer_Dim!B:I,5,1)</f>
        <v>New William</v>
      </c>
      <c r="O143" t="str">
        <f>VLOOKUP(C:C,Customer_Dim!B:I,6,1)</f>
        <v>New Mexico</v>
      </c>
      <c r="P143" t="str">
        <f>VLOOKUP(C:C,Customer_Dim!B:I,7,1)</f>
        <v>USA</v>
      </c>
      <c r="Q143" t="str">
        <f>VLOOKUP(C:C,Customer_Dim!B:I,8,1)</f>
        <v>Gold</v>
      </c>
      <c r="S143">
        <v>1</v>
      </c>
      <c r="T143">
        <v>503.95</v>
      </c>
      <c r="U143">
        <v>0.26</v>
      </c>
      <c r="V143">
        <v>372.923</v>
      </c>
      <c r="X143" s="4">
        <v>1</v>
      </c>
      <c r="Y143">
        <v>503.95</v>
      </c>
      <c r="Z143">
        <v>0.26</v>
      </c>
      <c r="AA143">
        <v>372.923</v>
      </c>
    </row>
    <row r="144" spans="1:27" x14ac:dyDescent="0.3">
      <c r="A144" t="s">
        <v>1951</v>
      </c>
      <c r="B144" s="2">
        <v>45573</v>
      </c>
      <c r="C144" t="s">
        <v>1229</v>
      </c>
      <c r="D144" t="s">
        <v>1663</v>
      </c>
      <c r="E144" t="s">
        <v>1777</v>
      </c>
      <c r="F144" s="4">
        <v>2</v>
      </c>
      <c r="G144">
        <v>975.48</v>
      </c>
      <c r="H144">
        <v>0.26</v>
      </c>
      <c r="I144" t="s">
        <v>1812</v>
      </c>
      <c r="J144">
        <v>1443.7103999999999</v>
      </c>
      <c r="K144" t="s">
        <v>1230</v>
      </c>
      <c r="L144">
        <v>57</v>
      </c>
      <c r="M144" t="str">
        <v>Female</v>
      </c>
      <c r="N144" t="str">
        <f>VLOOKUP(C:C,Customer_Dim!B:I,5,1)</f>
        <v>New Edward</v>
      </c>
      <c r="O144" t="str">
        <f>VLOOKUP(C:C,Customer_Dim!B:I,6,1)</f>
        <v>Maine</v>
      </c>
      <c r="P144" t="str">
        <f>VLOOKUP(C:C,Customer_Dim!B:I,7,1)</f>
        <v>USA</v>
      </c>
      <c r="Q144" t="str">
        <f>VLOOKUP(C:C,Customer_Dim!B:I,8,1)</f>
        <v>Bronze</v>
      </c>
      <c r="S144">
        <v>2</v>
      </c>
      <c r="T144">
        <v>975.48</v>
      </c>
      <c r="U144">
        <v>0.26</v>
      </c>
      <c r="V144">
        <v>1443.7103999999999</v>
      </c>
      <c r="X144" s="4">
        <v>2</v>
      </c>
      <c r="Y144">
        <v>975.48</v>
      </c>
      <c r="Z144">
        <v>0.26</v>
      </c>
      <c r="AA144">
        <v>1443.7103999999999</v>
      </c>
    </row>
    <row r="145" spans="1:27" x14ac:dyDescent="0.3">
      <c r="A145" t="s">
        <v>1952</v>
      </c>
      <c r="B145" s="2">
        <v>45884</v>
      </c>
      <c r="C145" t="s">
        <v>1235</v>
      </c>
      <c r="D145" t="s">
        <v>1599</v>
      </c>
      <c r="E145" t="s">
        <v>1787</v>
      </c>
      <c r="F145" s="4">
        <v>4</v>
      </c>
      <c r="G145">
        <v>450.12</v>
      </c>
      <c r="H145">
        <v>0.28999999999999998</v>
      </c>
      <c r="I145" t="s">
        <v>1812</v>
      </c>
      <c r="J145">
        <v>1278.3407999999999</v>
      </c>
      <c r="K145" t="s">
        <v>1236</v>
      </c>
      <c r="L145">
        <v>31</v>
      </c>
      <c r="M145" t="str">
        <v>Male</v>
      </c>
      <c r="N145" t="str">
        <f>VLOOKUP(C:C,Customer_Dim!B:I,5,1)</f>
        <v>Leahmouth</v>
      </c>
      <c r="O145" t="str">
        <f>VLOOKUP(C:C,Customer_Dim!B:I,6,1)</f>
        <v>Nevada</v>
      </c>
      <c r="P145" t="str">
        <f>VLOOKUP(C:C,Customer_Dim!B:I,7,1)</f>
        <v>USA</v>
      </c>
      <c r="Q145" t="str">
        <f>VLOOKUP(C:C,Customer_Dim!B:I,8,1)</f>
        <v>Platinum</v>
      </c>
      <c r="S145">
        <v>4</v>
      </c>
      <c r="T145">
        <v>450.12</v>
      </c>
      <c r="U145">
        <v>0.28999999999999998</v>
      </c>
      <c r="V145">
        <v>1278.3407999999999</v>
      </c>
      <c r="X145" s="4">
        <v>4</v>
      </c>
      <c r="Y145">
        <v>450.12</v>
      </c>
      <c r="Z145">
        <v>0.28999999999999998</v>
      </c>
      <c r="AA145">
        <v>1278.3407999999999</v>
      </c>
    </row>
    <row r="146" spans="1:27" x14ac:dyDescent="0.3">
      <c r="A146" t="s">
        <v>1953</v>
      </c>
      <c r="B146" s="2">
        <v>45448</v>
      </c>
      <c r="C146" t="s">
        <v>1333</v>
      </c>
      <c r="D146" t="s">
        <v>1603</v>
      </c>
      <c r="E146" t="s">
        <v>1765</v>
      </c>
      <c r="F146" s="4">
        <v>3</v>
      </c>
      <c r="G146">
        <v>237.24</v>
      </c>
      <c r="H146">
        <v>0.24</v>
      </c>
      <c r="I146" t="s">
        <v>1809</v>
      </c>
      <c r="J146">
        <v>540.90719999999999</v>
      </c>
      <c r="K146" t="s">
        <v>1334</v>
      </c>
      <c r="L146">
        <v>61</v>
      </c>
      <c r="M146" t="str">
        <v>Male</v>
      </c>
      <c r="N146" t="str">
        <f>VLOOKUP(C:C,Customer_Dim!B:I,5,1)</f>
        <v>Wesleyhaven</v>
      </c>
      <c r="O146" t="str">
        <f>VLOOKUP(C:C,Customer_Dim!B:I,6,1)</f>
        <v>Idaho</v>
      </c>
      <c r="P146" t="str">
        <f>VLOOKUP(C:C,Customer_Dim!B:I,7,1)</f>
        <v>USA</v>
      </c>
      <c r="Q146" t="str">
        <f>VLOOKUP(C:C,Customer_Dim!B:I,8,1)</f>
        <v>Silver</v>
      </c>
      <c r="S146">
        <v>3</v>
      </c>
      <c r="T146">
        <v>237.24</v>
      </c>
      <c r="U146">
        <v>0.24</v>
      </c>
      <c r="V146">
        <v>540.90719999999999</v>
      </c>
      <c r="X146" s="4">
        <v>3</v>
      </c>
      <c r="Y146">
        <v>237.24</v>
      </c>
      <c r="Z146">
        <v>0.24</v>
      </c>
      <c r="AA146">
        <v>540.90719999999999</v>
      </c>
    </row>
    <row r="147" spans="1:27" x14ac:dyDescent="0.3">
      <c r="A147" t="s">
        <v>1954</v>
      </c>
      <c r="B147" s="2">
        <v>45522</v>
      </c>
      <c r="C147" t="s">
        <v>1401</v>
      </c>
      <c r="D147" t="s">
        <v>1639</v>
      </c>
      <c r="E147" t="s">
        <v>1784</v>
      </c>
      <c r="F147" s="4">
        <v>2</v>
      </c>
      <c r="G147">
        <v>536.84</v>
      </c>
      <c r="H147">
        <v>0.09</v>
      </c>
      <c r="I147" t="s">
        <v>1812</v>
      </c>
      <c r="J147">
        <v>977.04880000000014</v>
      </c>
      <c r="K147" t="s">
        <v>673</v>
      </c>
      <c r="L147">
        <v>35</v>
      </c>
      <c r="M147" t="str">
        <v>Male</v>
      </c>
      <c r="N147" t="str">
        <f>VLOOKUP(C:C,Customer_Dim!B:I,5,1)</f>
        <v>Brandontown</v>
      </c>
      <c r="O147" t="str">
        <f>VLOOKUP(C:C,Customer_Dim!B:I,6,1)</f>
        <v>South Carolina</v>
      </c>
      <c r="P147" t="str">
        <f>VLOOKUP(C:C,Customer_Dim!B:I,7,1)</f>
        <v>USA</v>
      </c>
      <c r="Q147" t="str">
        <f>VLOOKUP(C:C,Customer_Dim!B:I,8,1)</f>
        <v>Gold</v>
      </c>
      <c r="S147">
        <v>2</v>
      </c>
      <c r="T147">
        <v>536.84</v>
      </c>
      <c r="U147">
        <v>0.09</v>
      </c>
      <c r="V147">
        <v>977.04880000000014</v>
      </c>
      <c r="X147" s="4">
        <v>2</v>
      </c>
      <c r="Y147">
        <v>536.84</v>
      </c>
      <c r="Z147">
        <v>0.09</v>
      </c>
      <c r="AA147">
        <v>977.04880000000014</v>
      </c>
    </row>
    <row r="148" spans="1:27" x14ac:dyDescent="0.3">
      <c r="A148" t="s">
        <v>1955</v>
      </c>
      <c r="B148" s="2">
        <v>45626</v>
      </c>
      <c r="C148" t="s">
        <v>1355</v>
      </c>
      <c r="D148" t="s">
        <v>1603</v>
      </c>
      <c r="E148" t="s">
        <v>1796</v>
      </c>
      <c r="F148" s="4">
        <v>3</v>
      </c>
      <c r="G148">
        <v>584.41</v>
      </c>
      <c r="H148">
        <v>0</v>
      </c>
      <c r="I148" t="s">
        <v>1812</v>
      </c>
      <c r="J148">
        <v>1753.23</v>
      </c>
      <c r="K148" t="s">
        <v>1356</v>
      </c>
      <c r="L148">
        <v>19</v>
      </c>
      <c r="M148" t="str">
        <v>Male</v>
      </c>
      <c r="N148" t="str">
        <f>VLOOKUP(C:C,Customer_Dim!B:I,5,1)</f>
        <v>New Donnabury</v>
      </c>
      <c r="O148" t="str">
        <f>VLOOKUP(C:C,Customer_Dim!B:I,6,1)</f>
        <v>Texas</v>
      </c>
      <c r="P148" t="str">
        <f>VLOOKUP(C:C,Customer_Dim!B:I,7,1)</f>
        <v>USA</v>
      </c>
      <c r="Q148" t="str">
        <f>VLOOKUP(C:C,Customer_Dim!B:I,8,1)</f>
        <v>Silver</v>
      </c>
      <c r="S148">
        <v>3</v>
      </c>
      <c r="T148">
        <v>584.41</v>
      </c>
      <c r="U148">
        <v>0</v>
      </c>
      <c r="V148">
        <v>1753.23</v>
      </c>
      <c r="X148" s="4">
        <v>3</v>
      </c>
      <c r="Y148">
        <v>584.41</v>
      </c>
      <c r="Z148">
        <v>0</v>
      </c>
      <c r="AA148">
        <v>1753.23</v>
      </c>
    </row>
    <row r="149" spans="1:27" x14ac:dyDescent="0.3">
      <c r="A149" t="s">
        <v>1956</v>
      </c>
      <c r="B149" s="2">
        <v>45617</v>
      </c>
      <c r="C149" t="s">
        <v>923</v>
      </c>
      <c r="D149" t="s">
        <v>1695</v>
      </c>
      <c r="E149" t="s">
        <v>1796</v>
      </c>
      <c r="F149" s="4">
        <v>1</v>
      </c>
      <c r="G149">
        <v>653.87</v>
      </c>
      <c r="H149">
        <v>0.14000000000000001</v>
      </c>
      <c r="I149" t="s">
        <v>1809</v>
      </c>
      <c r="J149">
        <v>562.32820000000004</v>
      </c>
      <c r="K149" t="s">
        <v>924</v>
      </c>
      <c r="L149">
        <v>19</v>
      </c>
      <c r="M149" t="str">
        <v>Female</v>
      </c>
      <c r="N149" t="str">
        <f>VLOOKUP(C:C,Customer_Dim!B:I,5,1)</f>
        <v>Port Richard</v>
      </c>
      <c r="O149" t="str">
        <f>VLOOKUP(C:C,Customer_Dim!B:I,6,1)</f>
        <v>Montana</v>
      </c>
      <c r="P149" t="str">
        <f>VLOOKUP(C:C,Customer_Dim!B:I,7,1)</f>
        <v>USA</v>
      </c>
      <c r="Q149" t="str">
        <f>VLOOKUP(C:C,Customer_Dim!B:I,8,1)</f>
        <v>Platinum</v>
      </c>
      <c r="S149">
        <v>1</v>
      </c>
      <c r="T149">
        <v>653.87</v>
      </c>
      <c r="U149">
        <v>0.14000000000000001</v>
      </c>
      <c r="V149">
        <v>562.32820000000004</v>
      </c>
      <c r="X149" s="4">
        <v>1</v>
      </c>
      <c r="Y149">
        <v>653.87</v>
      </c>
      <c r="Z149">
        <v>0.14000000000000001</v>
      </c>
      <c r="AA149">
        <v>562.32820000000004</v>
      </c>
    </row>
    <row r="150" spans="1:27" x14ac:dyDescent="0.3">
      <c r="A150" t="s">
        <v>1957</v>
      </c>
      <c r="B150" s="2">
        <v>45878</v>
      </c>
      <c r="C150" t="s">
        <v>1499</v>
      </c>
      <c r="D150" t="s">
        <v>1705</v>
      </c>
      <c r="E150" t="s">
        <v>1735</v>
      </c>
      <c r="F150" s="4">
        <v>1</v>
      </c>
      <c r="G150">
        <v>652.03</v>
      </c>
      <c r="H150">
        <v>0.27</v>
      </c>
      <c r="I150" t="s">
        <v>1807</v>
      </c>
      <c r="J150">
        <v>475.9819</v>
      </c>
      <c r="K150" t="s">
        <v>1500</v>
      </c>
      <c r="L150">
        <v>21</v>
      </c>
      <c r="M150" t="str">
        <v>Male</v>
      </c>
      <c r="N150" t="str">
        <f>VLOOKUP(C:C,Customer_Dim!B:I,5,1)</f>
        <v>South William</v>
      </c>
      <c r="O150" t="str">
        <f>VLOOKUP(C:C,Customer_Dim!B:I,6,1)</f>
        <v>Alabama</v>
      </c>
      <c r="P150" t="str">
        <f>VLOOKUP(C:C,Customer_Dim!B:I,7,1)</f>
        <v>USA</v>
      </c>
      <c r="Q150" t="str">
        <f>VLOOKUP(C:C,Customer_Dim!B:I,8,1)</f>
        <v>Silver</v>
      </c>
      <c r="S150">
        <v>1</v>
      </c>
      <c r="T150">
        <v>652.03</v>
      </c>
      <c r="U150">
        <v>0.27</v>
      </c>
      <c r="V150">
        <v>475.9819</v>
      </c>
      <c r="X150" s="4">
        <v>1</v>
      </c>
      <c r="Y150">
        <v>652.03</v>
      </c>
      <c r="Z150">
        <v>0.27</v>
      </c>
      <c r="AA150">
        <v>475.9819</v>
      </c>
    </row>
    <row r="151" spans="1:27" x14ac:dyDescent="0.3">
      <c r="A151" t="s">
        <v>1958</v>
      </c>
      <c r="B151" s="2">
        <v>45502</v>
      </c>
      <c r="C151" t="s">
        <v>330</v>
      </c>
      <c r="D151" t="s">
        <v>1538</v>
      </c>
      <c r="E151" t="s">
        <v>1777</v>
      </c>
      <c r="F151" s="4">
        <v>3</v>
      </c>
      <c r="G151">
        <v>513.36</v>
      </c>
      <c r="H151">
        <v>7.0000000000000007E-2</v>
      </c>
      <c r="I151" t="s">
        <v>1812</v>
      </c>
      <c r="J151">
        <v>1432.2744</v>
      </c>
      <c r="K151" t="s">
        <v>331</v>
      </c>
      <c r="L151">
        <v>43</v>
      </c>
      <c r="M151" t="str">
        <v>Female</v>
      </c>
      <c r="N151" t="str">
        <f>VLOOKUP(C:C,Customer_Dim!B:I,5,1)</f>
        <v>Port Travisstad</v>
      </c>
      <c r="O151" t="str">
        <f>VLOOKUP(C:C,Customer_Dim!B:I,6,1)</f>
        <v>South Carolina</v>
      </c>
      <c r="P151" t="str">
        <f>VLOOKUP(C:C,Customer_Dim!B:I,7,1)</f>
        <v>USA</v>
      </c>
      <c r="Q151" t="str">
        <f>VLOOKUP(C:C,Customer_Dim!B:I,8,1)</f>
        <v>Gold</v>
      </c>
      <c r="S151">
        <v>3</v>
      </c>
      <c r="T151">
        <v>513.36</v>
      </c>
      <c r="U151">
        <v>7.0000000000000007E-2</v>
      </c>
      <c r="V151">
        <v>1432.2744</v>
      </c>
      <c r="X151" s="4">
        <v>3</v>
      </c>
      <c r="Y151">
        <v>513.36</v>
      </c>
      <c r="Z151">
        <v>7.0000000000000007E-2</v>
      </c>
      <c r="AA151">
        <v>1432.2744</v>
      </c>
    </row>
    <row r="152" spans="1:27" x14ac:dyDescent="0.3">
      <c r="A152" t="s">
        <v>1959</v>
      </c>
      <c r="B152" s="2">
        <v>45433</v>
      </c>
      <c r="C152" t="s">
        <v>248</v>
      </c>
      <c r="D152" t="s">
        <v>1635</v>
      </c>
      <c r="E152" t="s">
        <v>1756</v>
      </c>
      <c r="F152" s="4">
        <v>4</v>
      </c>
      <c r="G152">
        <v>355.64</v>
      </c>
      <c r="H152">
        <v>0.16</v>
      </c>
      <c r="I152" t="s">
        <v>1812</v>
      </c>
      <c r="J152">
        <v>1194.9503999999999</v>
      </c>
      <c r="K152" t="s">
        <v>249</v>
      </c>
      <c r="L152">
        <v>24</v>
      </c>
      <c r="M152" t="str">
        <v>Female</v>
      </c>
      <c r="N152" t="str">
        <f>VLOOKUP(C:C,Customer_Dim!B:I,5,1)</f>
        <v>West Johnchester</v>
      </c>
      <c r="O152" t="str">
        <f>VLOOKUP(C:C,Customer_Dim!B:I,6,1)</f>
        <v>Indiana</v>
      </c>
      <c r="P152" t="str">
        <f>VLOOKUP(C:C,Customer_Dim!B:I,7,1)</f>
        <v>USA</v>
      </c>
      <c r="Q152" t="str">
        <f>VLOOKUP(C:C,Customer_Dim!B:I,8,1)</f>
        <v>Silver</v>
      </c>
      <c r="S152">
        <v>4</v>
      </c>
      <c r="T152">
        <v>355.64</v>
      </c>
      <c r="U152">
        <v>0.16</v>
      </c>
      <c r="V152">
        <v>1194.9503999999999</v>
      </c>
      <c r="X152" s="4">
        <v>4</v>
      </c>
      <c r="Y152">
        <v>355.64</v>
      </c>
      <c r="Z152">
        <v>0.16</v>
      </c>
      <c r="AA152">
        <v>1194.9503999999999</v>
      </c>
    </row>
    <row r="153" spans="1:27" x14ac:dyDescent="0.3">
      <c r="A153" t="s">
        <v>1960</v>
      </c>
      <c r="B153" s="2">
        <v>45594</v>
      </c>
      <c r="C153" t="s">
        <v>97</v>
      </c>
      <c r="D153" t="s">
        <v>1557</v>
      </c>
      <c r="E153" t="s">
        <v>1765</v>
      </c>
      <c r="F153" s="4">
        <v>4</v>
      </c>
      <c r="G153">
        <v>535.4</v>
      </c>
      <c r="H153">
        <v>0.26</v>
      </c>
      <c r="I153" t="s">
        <v>1809</v>
      </c>
      <c r="J153">
        <v>1584.7840000000001</v>
      </c>
      <c r="K153" t="s">
        <v>3953</v>
      </c>
      <c r="L153">
        <v>52</v>
      </c>
      <c r="M153" t="str">
        <v>Female</v>
      </c>
      <c r="N153" t="str">
        <f>VLOOKUP(C:C,Customer_Dim!B:I,5,1)</f>
        <v>Michaelton</v>
      </c>
      <c r="O153" t="str">
        <f>VLOOKUP(C:C,Customer_Dim!B:I,6,1)</f>
        <v>Hawaii</v>
      </c>
      <c r="P153" t="str">
        <f>VLOOKUP(C:C,Customer_Dim!B:I,7,1)</f>
        <v>USA</v>
      </c>
      <c r="Q153" t="str">
        <f>VLOOKUP(C:C,Customer_Dim!B:I,8,1)</f>
        <v>Silver</v>
      </c>
      <c r="S153">
        <v>4</v>
      </c>
      <c r="T153">
        <v>535.4</v>
      </c>
      <c r="U153">
        <v>0.26</v>
      </c>
      <c r="V153">
        <v>1584.7840000000001</v>
      </c>
      <c r="X153" s="4">
        <v>4</v>
      </c>
      <c r="Y153">
        <v>535.4</v>
      </c>
      <c r="Z153">
        <v>0.26</v>
      </c>
      <c r="AA153">
        <v>1584.7840000000001</v>
      </c>
    </row>
    <row r="154" spans="1:27" x14ac:dyDescent="0.3">
      <c r="A154" t="s">
        <v>1961</v>
      </c>
      <c r="B154" s="2">
        <v>45798</v>
      </c>
      <c r="C154" t="s">
        <v>773</v>
      </c>
      <c r="D154" t="s">
        <v>1669</v>
      </c>
      <c r="E154" t="s">
        <v>1796</v>
      </c>
      <c r="F154" s="4">
        <v>2</v>
      </c>
      <c r="G154">
        <v>108.74</v>
      </c>
      <c r="H154">
        <v>0.11</v>
      </c>
      <c r="I154" t="s">
        <v>1809</v>
      </c>
      <c r="J154">
        <v>193.55719999999999</v>
      </c>
      <c r="K154" t="s">
        <v>774</v>
      </c>
      <c r="L154">
        <v>19</v>
      </c>
      <c r="M154" t="str">
        <v>Male</v>
      </c>
      <c r="N154" t="str">
        <f>VLOOKUP(C:C,Customer_Dim!B:I,5,1)</f>
        <v>North Nicholas</v>
      </c>
      <c r="O154" t="str">
        <f>VLOOKUP(C:C,Customer_Dim!B:I,6,1)</f>
        <v>Texas</v>
      </c>
      <c r="P154" t="str">
        <f>VLOOKUP(C:C,Customer_Dim!B:I,7,1)</f>
        <v>USA</v>
      </c>
      <c r="Q154" t="str">
        <f>VLOOKUP(C:C,Customer_Dim!B:I,8,1)</f>
        <v>Gold</v>
      </c>
      <c r="S154">
        <v>2</v>
      </c>
      <c r="T154">
        <v>108.74</v>
      </c>
      <c r="U154">
        <v>0.11</v>
      </c>
      <c r="V154">
        <v>193.55719999999999</v>
      </c>
      <c r="X154" s="4">
        <v>2</v>
      </c>
      <c r="Y154">
        <v>108.74</v>
      </c>
      <c r="Z154">
        <v>0.11</v>
      </c>
      <c r="AA154">
        <v>193.55719999999999</v>
      </c>
    </row>
    <row r="155" spans="1:27" x14ac:dyDescent="0.3">
      <c r="A155" t="s">
        <v>1962</v>
      </c>
      <c r="B155" s="2">
        <v>45579</v>
      </c>
      <c r="C155" t="s">
        <v>980</v>
      </c>
      <c r="D155" t="s">
        <v>1553</v>
      </c>
      <c r="E155" t="s">
        <v>1796</v>
      </c>
      <c r="F155" s="4">
        <v>3</v>
      </c>
      <c r="G155">
        <v>591.98</v>
      </c>
      <c r="H155">
        <v>0.16</v>
      </c>
      <c r="I155" t="s">
        <v>1807</v>
      </c>
      <c r="J155">
        <v>1491.7896000000001</v>
      </c>
      <c r="K155" t="s">
        <v>981</v>
      </c>
      <c r="L155">
        <v>49</v>
      </c>
      <c r="M155" t="str">
        <v>Male</v>
      </c>
      <c r="N155" t="str">
        <f>VLOOKUP(C:C,Customer_Dim!B:I,5,1)</f>
        <v>Anitaland</v>
      </c>
      <c r="O155" t="str">
        <f>VLOOKUP(C:C,Customer_Dim!B:I,6,1)</f>
        <v>Washington</v>
      </c>
      <c r="P155" t="str">
        <f>VLOOKUP(C:C,Customer_Dim!B:I,7,1)</f>
        <v>USA</v>
      </c>
      <c r="Q155" t="str">
        <f>VLOOKUP(C:C,Customer_Dim!B:I,8,1)</f>
        <v>Silver</v>
      </c>
      <c r="S155">
        <v>3</v>
      </c>
      <c r="T155">
        <v>591.98</v>
      </c>
      <c r="U155">
        <v>0.16</v>
      </c>
      <c r="V155">
        <v>1491.7896000000001</v>
      </c>
      <c r="X155" s="4">
        <v>3</v>
      </c>
      <c r="Y155">
        <v>591.98</v>
      </c>
      <c r="Z155">
        <v>0.16</v>
      </c>
      <c r="AA155">
        <v>1491.7896000000001</v>
      </c>
    </row>
    <row r="156" spans="1:27" x14ac:dyDescent="0.3">
      <c r="A156" t="s">
        <v>1963</v>
      </c>
      <c r="B156" s="2">
        <v>45613</v>
      </c>
      <c r="C156" t="s">
        <v>1246</v>
      </c>
      <c r="D156" t="s">
        <v>1627</v>
      </c>
      <c r="E156" t="s">
        <v>1744</v>
      </c>
      <c r="F156" s="4">
        <v>1</v>
      </c>
      <c r="G156">
        <v>345.06</v>
      </c>
      <c r="H156">
        <v>0.13</v>
      </c>
      <c r="I156" t="s">
        <v>1812</v>
      </c>
      <c r="J156">
        <v>300.2022</v>
      </c>
      <c r="K156" t="s">
        <v>1247</v>
      </c>
      <c r="L156">
        <v>23</v>
      </c>
      <c r="M156" t="str">
        <v>Female</v>
      </c>
      <c r="N156" t="str">
        <f>VLOOKUP(C:C,Customer_Dim!B:I,5,1)</f>
        <v>Garciaview</v>
      </c>
      <c r="O156" t="str">
        <f>VLOOKUP(C:C,Customer_Dim!B:I,6,1)</f>
        <v>Louisiana</v>
      </c>
      <c r="P156" t="str">
        <f>VLOOKUP(C:C,Customer_Dim!B:I,7,1)</f>
        <v>USA</v>
      </c>
      <c r="Q156" t="str">
        <f>VLOOKUP(C:C,Customer_Dim!B:I,8,1)</f>
        <v>Gold</v>
      </c>
      <c r="S156">
        <v>1</v>
      </c>
      <c r="T156">
        <v>345.06</v>
      </c>
      <c r="U156">
        <v>0.13</v>
      </c>
      <c r="V156">
        <v>300.2022</v>
      </c>
      <c r="X156" s="4">
        <v>1</v>
      </c>
      <c r="Y156">
        <v>345.06</v>
      </c>
      <c r="Z156">
        <v>0.13</v>
      </c>
      <c r="AA156">
        <v>300.2022</v>
      </c>
    </row>
    <row r="157" spans="1:27" x14ac:dyDescent="0.3">
      <c r="A157" t="s">
        <v>1964</v>
      </c>
      <c r="B157" s="2">
        <v>45745</v>
      </c>
      <c r="C157" t="s">
        <v>959</v>
      </c>
      <c r="D157" t="s">
        <v>1717</v>
      </c>
      <c r="E157" t="s">
        <v>1777</v>
      </c>
      <c r="F157" s="4">
        <v>4</v>
      </c>
      <c r="G157">
        <v>986.41</v>
      </c>
      <c r="H157">
        <v>0.22</v>
      </c>
      <c r="I157" t="s">
        <v>1807</v>
      </c>
      <c r="J157">
        <v>3077.5992000000001</v>
      </c>
      <c r="K157" t="s">
        <v>960</v>
      </c>
      <c r="L157">
        <v>60</v>
      </c>
      <c r="M157" t="str">
        <v>Female</v>
      </c>
      <c r="N157" t="str">
        <f>VLOOKUP(C:C,Customer_Dim!B:I,5,1)</f>
        <v>West Patriciaview</v>
      </c>
      <c r="O157" t="str">
        <f>VLOOKUP(C:C,Customer_Dim!B:I,6,1)</f>
        <v>Alabama</v>
      </c>
      <c r="P157" t="str">
        <f>VLOOKUP(C:C,Customer_Dim!B:I,7,1)</f>
        <v>USA</v>
      </c>
      <c r="Q157" t="str">
        <f>VLOOKUP(C:C,Customer_Dim!B:I,8,1)</f>
        <v>Bronze</v>
      </c>
      <c r="S157">
        <v>4</v>
      </c>
      <c r="T157">
        <v>986.41</v>
      </c>
      <c r="U157">
        <v>0.22</v>
      </c>
      <c r="V157">
        <v>3077.5992000000001</v>
      </c>
      <c r="X157" s="4">
        <v>4</v>
      </c>
      <c r="Y157">
        <v>986.41</v>
      </c>
      <c r="Z157">
        <v>0.22</v>
      </c>
      <c r="AA157">
        <v>3077.5992000000001</v>
      </c>
    </row>
    <row r="158" spans="1:27" x14ac:dyDescent="0.3">
      <c r="A158" t="s">
        <v>1965</v>
      </c>
      <c r="B158" s="2">
        <v>45494</v>
      </c>
      <c r="C158" t="s">
        <v>995</v>
      </c>
      <c r="D158" t="s">
        <v>1629</v>
      </c>
      <c r="E158" t="s">
        <v>1735</v>
      </c>
      <c r="F158" s="4">
        <v>2</v>
      </c>
      <c r="G158">
        <v>921.52</v>
      </c>
      <c r="H158">
        <v>0</v>
      </c>
      <c r="I158" t="s">
        <v>1809</v>
      </c>
      <c r="J158">
        <v>1843.04</v>
      </c>
      <c r="K158" t="s">
        <v>996</v>
      </c>
      <c r="L158">
        <v>34</v>
      </c>
      <c r="M158" t="str">
        <v>Female</v>
      </c>
      <c r="N158" t="str">
        <f>VLOOKUP(C:C,Customer_Dim!B:I,5,1)</f>
        <v>West Mathewside</v>
      </c>
      <c r="O158" t="str">
        <f>VLOOKUP(C:C,Customer_Dim!B:I,6,1)</f>
        <v>Mississippi</v>
      </c>
      <c r="P158" t="str">
        <f>VLOOKUP(C:C,Customer_Dim!B:I,7,1)</f>
        <v>USA</v>
      </c>
      <c r="Q158" t="str">
        <f>VLOOKUP(C:C,Customer_Dim!B:I,8,1)</f>
        <v>Platinum</v>
      </c>
      <c r="S158">
        <v>2</v>
      </c>
      <c r="T158">
        <v>921.52</v>
      </c>
      <c r="U158">
        <v>0</v>
      </c>
      <c r="V158">
        <v>1843.04</v>
      </c>
      <c r="X158" s="4">
        <v>2</v>
      </c>
      <c r="Y158">
        <v>921.52</v>
      </c>
      <c r="Z158">
        <v>0</v>
      </c>
      <c r="AA158">
        <v>1843.04</v>
      </c>
    </row>
    <row r="159" spans="1:27" x14ac:dyDescent="0.3">
      <c r="A159" t="s">
        <v>1966</v>
      </c>
      <c r="B159" s="2">
        <v>45883</v>
      </c>
      <c r="C159" t="s">
        <v>342</v>
      </c>
      <c r="D159" t="s">
        <v>1641</v>
      </c>
      <c r="E159" t="s">
        <v>1756</v>
      </c>
      <c r="F159" s="4">
        <v>1</v>
      </c>
      <c r="G159">
        <v>83.1</v>
      </c>
      <c r="H159">
        <v>0.04</v>
      </c>
      <c r="I159" t="s">
        <v>1809</v>
      </c>
      <c r="J159">
        <v>79.775999999999996</v>
      </c>
      <c r="K159" t="s">
        <v>343</v>
      </c>
      <c r="L159">
        <v>24</v>
      </c>
      <c r="M159" t="str">
        <v>Male</v>
      </c>
      <c r="N159" t="str">
        <f>VLOOKUP(C:C,Customer_Dim!B:I,5,1)</f>
        <v>Lake Thomas</v>
      </c>
      <c r="O159" t="str">
        <f>VLOOKUP(C:C,Customer_Dim!B:I,6,1)</f>
        <v>South Dakota</v>
      </c>
      <c r="P159" t="str">
        <f>VLOOKUP(C:C,Customer_Dim!B:I,7,1)</f>
        <v>USA</v>
      </c>
      <c r="Q159" t="str">
        <f>VLOOKUP(C:C,Customer_Dim!B:I,8,1)</f>
        <v>Silver</v>
      </c>
      <c r="S159">
        <v>1</v>
      </c>
      <c r="T159">
        <v>83.1</v>
      </c>
      <c r="U159">
        <v>0.04</v>
      </c>
      <c r="V159">
        <v>79.775999999999996</v>
      </c>
      <c r="X159" s="4">
        <v>1</v>
      </c>
      <c r="Y159">
        <v>83.1</v>
      </c>
      <c r="Z159">
        <v>0.04</v>
      </c>
      <c r="AA159">
        <v>79.775999999999996</v>
      </c>
    </row>
    <row r="160" spans="1:27" x14ac:dyDescent="0.3">
      <c r="A160" t="s">
        <v>1967</v>
      </c>
      <c r="B160" s="2">
        <v>45601</v>
      </c>
      <c r="C160" t="s">
        <v>1141</v>
      </c>
      <c r="D160" t="s">
        <v>1587</v>
      </c>
      <c r="E160" t="s">
        <v>1775</v>
      </c>
      <c r="F160" s="4">
        <v>2</v>
      </c>
      <c r="G160">
        <v>60.98</v>
      </c>
      <c r="H160">
        <v>0.23</v>
      </c>
      <c r="I160" t="s">
        <v>1809</v>
      </c>
      <c r="J160">
        <v>93.909199999999998</v>
      </c>
      <c r="K160" t="s">
        <v>1142</v>
      </c>
      <c r="L160">
        <v>45</v>
      </c>
      <c r="M160" t="str">
        <v>Male</v>
      </c>
      <c r="N160" t="str">
        <f>VLOOKUP(C:C,Customer_Dim!B:I,5,1)</f>
        <v>West Bruce</v>
      </c>
      <c r="O160" t="str">
        <f>VLOOKUP(C:C,Customer_Dim!B:I,6,1)</f>
        <v>Vermont</v>
      </c>
      <c r="P160" t="str">
        <f>VLOOKUP(C:C,Customer_Dim!B:I,7,1)</f>
        <v>USA</v>
      </c>
      <c r="Q160" t="str">
        <f>VLOOKUP(C:C,Customer_Dim!B:I,8,1)</f>
        <v>Platinum</v>
      </c>
      <c r="S160">
        <v>2</v>
      </c>
      <c r="T160">
        <v>60.98</v>
      </c>
      <c r="U160">
        <v>0.23</v>
      </c>
      <c r="V160">
        <v>93.909199999999998</v>
      </c>
      <c r="X160" s="4">
        <v>2</v>
      </c>
      <c r="Y160">
        <v>60.98</v>
      </c>
      <c r="Z160">
        <v>0.23</v>
      </c>
      <c r="AA160">
        <v>93.909199999999998</v>
      </c>
    </row>
    <row r="161" spans="1:27" x14ac:dyDescent="0.3">
      <c r="A161" t="s">
        <v>1968</v>
      </c>
      <c r="B161" s="2">
        <v>45454</v>
      </c>
      <c r="C161" t="s">
        <v>1216</v>
      </c>
      <c r="D161" t="s">
        <v>1709</v>
      </c>
      <c r="E161" t="s">
        <v>1787</v>
      </c>
      <c r="F161" s="4">
        <v>2</v>
      </c>
      <c r="G161">
        <v>122.23</v>
      </c>
      <c r="H161">
        <v>0.21</v>
      </c>
      <c r="I161" t="s">
        <v>1812</v>
      </c>
      <c r="J161">
        <v>193.1234</v>
      </c>
      <c r="K161" t="s">
        <v>1217</v>
      </c>
      <c r="L161">
        <v>50</v>
      </c>
      <c r="M161" t="str">
        <v>Male</v>
      </c>
      <c r="N161" t="str">
        <f>VLOOKUP(C:C,Customer_Dim!B:I,5,1)</f>
        <v>Cannonberg</v>
      </c>
      <c r="O161" t="str">
        <f>VLOOKUP(C:C,Customer_Dim!B:I,6,1)</f>
        <v>Connecticut</v>
      </c>
      <c r="P161" t="str">
        <f>VLOOKUP(C:C,Customer_Dim!B:I,7,1)</f>
        <v>USA</v>
      </c>
      <c r="Q161" t="str">
        <f>VLOOKUP(C:C,Customer_Dim!B:I,8,1)</f>
        <v>Bronze</v>
      </c>
      <c r="S161">
        <v>2</v>
      </c>
      <c r="T161">
        <v>122.23</v>
      </c>
      <c r="U161">
        <v>0.21</v>
      </c>
      <c r="V161">
        <v>193.1234</v>
      </c>
      <c r="X161" s="4">
        <v>2</v>
      </c>
      <c r="Y161">
        <v>122.23</v>
      </c>
      <c r="Z161">
        <v>0.21</v>
      </c>
      <c r="AA161">
        <v>193.1234</v>
      </c>
    </row>
    <row r="162" spans="1:27" x14ac:dyDescent="0.3">
      <c r="A162" t="s">
        <v>1969</v>
      </c>
      <c r="B162" s="2">
        <v>45918</v>
      </c>
      <c r="C162" t="s">
        <v>89</v>
      </c>
      <c r="D162" t="s">
        <v>1671</v>
      </c>
      <c r="E162" t="s">
        <v>1793</v>
      </c>
      <c r="F162" s="4">
        <v>2</v>
      </c>
      <c r="G162">
        <v>623.38</v>
      </c>
      <c r="H162">
        <v>0.13</v>
      </c>
      <c r="I162" t="s">
        <v>1807</v>
      </c>
      <c r="J162">
        <v>1084.6812</v>
      </c>
      <c r="K162" t="s">
        <v>90</v>
      </c>
      <c r="L162">
        <v>36</v>
      </c>
      <c r="M162" t="str">
        <v>Female</v>
      </c>
      <c r="N162" t="str">
        <f>VLOOKUP(C:C,Customer_Dim!B:I,5,1)</f>
        <v>Lake Shaneburgh</v>
      </c>
      <c r="O162" t="str">
        <f>VLOOKUP(C:C,Customer_Dim!B:I,6,1)</f>
        <v>Delaware</v>
      </c>
      <c r="P162" t="str">
        <f>VLOOKUP(C:C,Customer_Dim!B:I,7,1)</f>
        <v>USA</v>
      </c>
      <c r="Q162" t="str">
        <f>VLOOKUP(C:C,Customer_Dim!B:I,8,1)</f>
        <v>Silver</v>
      </c>
      <c r="S162">
        <v>2</v>
      </c>
      <c r="T162">
        <v>623.38</v>
      </c>
      <c r="U162">
        <v>0.13</v>
      </c>
      <c r="V162">
        <v>1084.6812</v>
      </c>
      <c r="X162" s="4">
        <v>2</v>
      </c>
      <c r="Y162">
        <v>623.38</v>
      </c>
      <c r="Z162">
        <v>0.13</v>
      </c>
      <c r="AA162">
        <v>1084.6812</v>
      </c>
    </row>
    <row r="163" spans="1:27" x14ac:dyDescent="0.3">
      <c r="A163" t="s">
        <v>1970</v>
      </c>
      <c r="B163" s="2">
        <v>45729</v>
      </c>
      <c r="C163" t="s">
        <v>215</v>
      </c>
      <c r="D163" t="s">
        <v>1671</v>
      </c>
      <c r="E163" t="s">
        <v>1735</v>
      </c>
      <c r="F163" s="4">
        <v>1</v>
      </c>
      <c r="G163">
        <v>479.58</v>
      </c>
      <c r="H163">
        <v>0.05</v>
      </c>
      <c r="I163" t="s">
        <v>1809</v>
      </c>
      <c r="J163">
        <v>455.60099999999989</v>
      </c>
      <c r="K163" t="s">
        <v>216</v>
      </c>
      <c r="L163">
        <v>53</v>
      </c>
      <c r="M163" t="str">
        <v>Male</v>
      </c>
      <c r="N163" t="str">
        <f>VLOOKUP(C:C,Customer_Dim!B:I,5,1)</f>
        <v>Snowmouth</v>
      </c>
      <c r="O163" t="str">
        <f>VLOOKUP(C:C,Customer_Dim!B:I,6,1)</f>
        <v>Maryland</v>
      </c>
      <c r="P163" t="str">
        <f>VLOOKUP(C:C,Customer_Dim!B:I,7,1)</f>
        <v>USA</v>
      </c>
      <c r="Q163" t="str">
        <f>VLOOKUP(C:C,Customer_Dim!B:I,8,1)</f>
        <v>Platinum</v>
      </c>
      <c r="S163">
        <v>1</v>
      </c>
      <c r="T163">
        <v>479.58</v>
      </c>
      <c r="U163">
        <v>0.05</v>
      </c>
      <c r="V163">
        <v>455.60099999999989</v>
      </c>
      <c r="X163" s="4">
        <v>1</v>
      </c>
      <c r="Y163">
        <v>479.58</v>
      </c>
      <c r="Z163">
        <v>0.05</v>
      </c>
      <c r="AA163">
        <v>455.60099999999989</v>
      </c>
    </row>
    <row r="164" spans="1:27" x14ac:dyDescent="0.3">
      <c r="A164" t="s">
        <v>1971</v>
      </c>
      <c r="B164" s="2">
        <v>45276</v>
      </c>
      <c r="C164" t="s">
        <v>933</v>
      </c>
      <c r="D164" t="s">
        <v>1677</v>
      </c>
      <c r="E164" t="s">
        <v>1759</v>
      </c>
      <c r="F164" s="4">
        <v>3</v>
      </c>
      <c r="G164">
        <v>369.32</v>
      </c>
      <c r="H164">
        <v>0.14000000000000001</v>
      </c>
      <c r="I164" t="s">
        <v>1809</v>
      </c>
      <c r="J164">
        <v>952.84559999999999</v>
      </c>
      <c r="K164" t="s">
        <v>934</v>
      </c>
      <c r="L164">
        <v>48</v>
      </c>
      <c r="M164" t="str">
        <v>Female</v>
      </c>
      <c r="N164" t="str">
        <f>VLOOKUP(C:C,Customer_Dim!B:I,5,1)</f>
        <v>New Joshuatown</v>
      </c>
      <c r="O164" t="str">
        <f>VLOOKUP(C:C,Customer_Dim!B:I,6,1)</f>
        <v>Maine</v>
      </c>
      <c r="P164" t="str">
        <f>VLOOKUP(C:C,Customer_Dim!B:I,7,1)</f>
        <v>USA</v>
      </c>
      <c r="Q164" t="str">
        <f>VLOOKUP(C:C,Customer_Dim!B:I,8,1)</f>
        <v>Platinum</v>
      </c>
      <c r="S164">
        <v>3</v>
      </c>
      <c r="T164">
        <v>369.32</v>
      </c>
      <c r="U164">
        <v>0.14000000000000001</v>
      </c>
      <c r="V164">
        <v>952.84559999999999</v>
      </c>
      <c r="X164" s="4">
        <v>3</v>
      </c>
      <c r="Y164">
        <v>369.32</v>
      </c>
      <c r="Z164">
        <v>0.14000000000000001</v>
      </c>
      <c r="AA164">
        <v>952.84559999999999</v>
      </c>
    </row>
    <row r="165" spans="1:27" x14ac:dyDescent="0.3">
      <c r="A165" t="s">
        <v>1972</v>
      </c>
      <c r="B165" s="2">
        <v>45851</v>
      </c>
      <c r="C165" t="s">
        <v>275</v>
      </c>
      <c r="D165" t="s">
        <v>1595</v>
      </c>
      <c r="E165" t="s">
        <v>1740</v>
      </c>
      <c r="F165" s="4">
        <v>1</v>
      </c>
      <c r="G165">
        <v>488.31</v>
      </c>
      <c r="H165">
        <v>0.03</v>
      </c>
      <c r="I165" t="s">
        <v>1809</v>
      </c>
      <c r="J165">
        <v>473.66070000000002</v>
      </c>
      <c r="K165" t="s">
        <v>276</v>
      </c>
      <c r="L165">
        <v>29</v>
      </c>
      <c r="M165" t="str">
        <v>Male</v>
      </c>
      <c r="N165" t="str">
        <f>VLOOKUP(C:C,Customer_Dim!B:I,5,1)</f>
        <v>Rodrigueztown</v>
      </c>
      <c r="O165" t="str">
        <f>VLOOKUP(C:C,Customer_Dim!B:I,6,1)</f>
        <v>Oklahoma</v>
      </c>
      <c r="P165" t="str">
        <f>VLOOKUP(C:C,Customer_Dim!B:I,7,1)</f>
        <v>USA</v>
      </c>
      <c r="Q165" t="str">
        <f>VLOOKUP(C:C,Customer_Dim!B:I,8,1)</f>
        <v>Gold</v>
      </c>
      <c r="S165">
        <v>1</v>
      </c>
      <c r="T165">
        <v>488.31</v>
      </c>
      <c r="U165">
        <v>0.03</v>
      </c>
      <c r="V165">
        <v>473.66070000000002</v>
      </c>
      <c r="X165" s="4">
        <v>1</v>
      </c>
      <c r="Y165">
        <v>488.31</v>
      </c>
      <c r="Z165">
        <v>0.03</v>
      </c>
      <c r="AA165">
        <v>473.66070000000002</v>
      </c>
    </row>
    <row r="166" spans="1:27" x14ac:dyDescent="0.3">
      <c r="A166" t="s">
        <v>1973</v>
      </c>
      <c r="B166" s="2">
        <v>45418</v>
      </c>
      <c r="C166" t="s">
        <v>870</v>
      </c>
      <c r="D166" t="s">
        <v>1639</v>
      </c>
      <c r="E166" t="s">
        <v>1777</v>
      </c>
      <c r="F166" s="4">
        <v>4</v>
      </c>
      <c r="G166">
        <v>164.04</v>
      </c>
      <c r="H166">
        <v>0.26</v>
      </c>
      <c r="I166" t="s">
        <v>1807</v>
      </c>
      <c r="J166">
        <v>485.55839999999989</v>
      </c>
      <c r="K166" t="s">
        <v>871</v>
      </c>
      <c r="L166">
        <v>22</v>
      </c>
      <c r="M166" t="str">
        <v>Female</v>
      </c>
      <c r="N166" t="str">
        <f>VLOOKUP(C:C,Customer_Dim!B:I,5,1)</f>
        <v>Ericshire</v>
      </c>
      <c r="O166" t="str">
        <f>VLOOKUP(C:C,Customer_Dim!B:I,6,1)</f>
        <v>Nevada</v>
      </c>
      <c r="P166" t="str">
        <f>VLOOKUP(C:C,Customer_Dim!B:I,7,1)</f>
        <v>USA</v>
      </c>
      <c r="Q166" t="str">
        <f>VLOOKUP(C:C,Customer_Dim!B:I,8,1)</f>
        <v>Gold</v>
      </c>
      <c r="S166">
        <v>4</v>
      </c>
      <c r="T166">
        <v>164.04</v>
      </c>
      <c r="U166">
        <v>0.26</v>
      </c>
      <c r="V166">
        <v>485.55839999999989</v>
      </c>
      <c r="X166" s="4">
        <v>4</v>
      </c>
      <c r="Y166">
        <v>164.04</v>
      </c>
      <c r="Z166">
        <v>0.26</v>
      </c>
      <c r="AA166">
        <v>485.55839999999989</v>
      </c>
    </row>
    <row r="167" spans="1:27" x14ac:dyDescent="0.3">
      <c r="A167" t="s">
        <v>1974</v>
      </c>
      <c r="B167" s="2">
        <v>45508</v>
      </c>
      <c r="C167" t="s">
        <v>265</v>
      </c>
      <c r="D167" t="s">
        <v>1551</v>
      </c>
      <c r="E167" t="s">
        <v>1790</v>
      </c>
      <c r="F167" s="4">
        <v>3</v>
      </c>
      <c r="G167">
        <v>707.95</v>
      </c>
      <c r="H167">
        <v>0.18</v>
      </c>
      <c r="I167" t="s">
        <v>1809</v>
      </c>
      <c r="J167">
        <v>1741.557</v>
      </c>
      <c r="K167" t="s">
        <v>266</v>
      </c>
      <c r="L167">
        <v>58</v>
      </c>
      <c r="M167" t="str">
        <v>Male</v>
      </c>
      <c r="N167" t="str">
        <f>VLOOKUP(C:C,Customer_Dim!B:I,5,1)</f>
        <v>Sandrastad</v>
      </c>
      <c r="O167" t="str">
        <f>VLOOKUP(C:C,Customer_Dim!B:I,6,1)</f>
        <v>West Virginia</v>
      </c>
      <c r="P167" t="str">
        <f>VLOOKUP(C:C,Customer_Dim!B:I,7,1)</f>
        <v>USA</v>
      </c>
      <c r="Q167" t="str">
        <f>VLOOKUP(C:C,Customer_Dim!B:I,8,1)</f>
        <v>Silver</v>
      </c>
      <c r="S167">
        <v>3</v>
      </c>
      <c r="T167">
        <v>707.95</v>
      </c>
      <c r="U167">
        <v>0.18</v>
      </c>
      <c r="V167">
        <v>1741.557</v>
      </c>
      <c r="X167" s="4">
        <v>3</v>
      </c>
      <c r="Y167">
        <v>707.95</v>
      </c>
      <c r="Z167">
        <v>0.18</v>
      </c>
      <c r="AA167">
        <v>1741.557</v>
      </c>
    </row>
    <row r="168" spans="1:27" x14ac:dyDescent="0.3">
      <c r="A168" t="s">
        <v>1975</v>
      </c>
      <c r="B168" s="2">
        <v>45269</v>
      </c>
      <c r="C168" t="s">
        <v>925</v>
      </c>
      <c r="D168" t="s">
        <v>1669</v>
      </c>
      <c r="E168" t="s">
        <v>1765</v>
      </c>
      <c r="F168" s="4">
        <v>4</v>
      </c>
      <c r="G168">
        <v>714.47</v>
      </c>
      <c r="H168">
        <v>0.18</v>
      </c>
      <c r="I168" t="s">
        <v>1812</v>
      </c>
      <c r="J168">
        <v>2343.4616000000001</v>
      </c>
      <c r="K168" t="s">
        <v>926</v>
      </c>
      <c r="L168">
        <v>28</v>
      </c>
      <c r="M168" t="str">
        <v>Female</v>
      </c>
      <c r="N168" t="str">
        <f>VLOOKUP(C:C,Customer_Dim!B:I,5,1)</f>
        <v>North Michelleport</v>
      </c>
      <c r="O168" t="str">
        <f>VLOOKUP(C:C,Customer_Dim!B:I,6,1)</f>
        <v>Kansas</v>
      </c>
      <c r="P168" t="str">
        <f>VLOOKUP(C:C,Customer_Dim!B:I,7,1)</f>
        <v>USA</v>
      </c>
      <c r="Q168" t="str">
        <f>VLOOKUP(C:C,Customer_Dim!B:I,8,1)</f>
        <v>Bronze</v>
      </c>
      <c r="S168">
        <v>4</v>
      </c>
      <c r="T168">
        <v>714.47</v>
      </c>
      <c r="U168">
        <v>0.18</v>
      </c>
      <c r="V168">
        <v>2343.4616000000001</v>
      </c>
      <c r="X168" s="4">
        <v>4</v>
      </c>
      <c r="Y168">
        <v>714.47</v>
      </c>
      <c r="Z168">
        <v>0.18</v>
      </c>
      <c r="AA168">
        <v>2343.4616000000001</v>
      </c>
    </row>
    <row r="169" spans="1:27" x14ac:dyDescent="0.3">
      <c r="A169" t="s">
        <v>1976</v>
      </c>
      <c r="B169" s="2">
        <v>45866</v>
      </c>
      <c r="C169" t="s">
        <v>1275</v>
      </c>
      <c r="D169" t="s">
        <v>1689</v>
      </c>
      <c r="E169" t="s">
        <v>1762</v>
      </c>
      <c r="F169" s="4">
        <v>4</v>
      </c>
      <c r="G169">
        <v>422.09</v>
      </c>
      <c r="H169">
        <v>0.04</v>
      </c>
      <c r="I169" t="s">
        <v>1807</v>
      </c>
      <c r="J169">
        <v>1620.8255999999999</v>
      </c>
      <c r="K169" t="s">
        <v>1276</v>
      </c>
      <c r="L169">
        <v>46</v>
      </c>
      <c r="M169" t="str">
        <v>Male</v>
      </c>
      <c r="N169" t="str">
        <f>VLOOKUP(C:C,Customer_Dim!B:I,5,1)</f>
        <v>Kramerview</v>
      </c>
      <c r="O169" t="str">
        <f>VLOOKUP(C:C,Customer_Dim!B:I,6,1)</f>
        <v>Alaska</v>
      </c>
      <c r="P169" t="str">
        <f>VLOOKUP(C:C,Customer_Dim!B:I,7,1)</f>
        <v>USA</v>
      </c>
      <c r="Q169" t="str">
        <f>VLOOKUP(C:C,Customer_Dim!B:I,8,1)</f>
        <v>Silver</v>
      </c>
      <c r="S169">
        <v>4</v>
      </c>
      <c r="T169">
        <v>422.09</v>
      </c>
      <c r="U169">
        <v>0.04</v>
      </c>
      <c r="V169">
        <v>1620.8255999999999</v>
      </c>
      <c r="X169" s="4">
        <v>4</v>
      </c>
      <c r="Y169">
        <v>422.09</v>
      </c>
      <c r="Z169">
        <v>0.04</v>
      </c>
      <c r="AA169">
        <v>1620.8255999999999</v>
      </c>
    </row>
    <row r="170" spans="1:27" x14ac:dyDescent="0.3">
      <c r="A170" t="s">
        <v>1977</v>
      </c>
      <c r="B170" s="2">
        <v>45462</v>
      </c>
      <c r="C170" t="s">
        <v>376</v>
      </c>
      <c r="D170" t="s">
        <v>1591</v>
      </c>
      <c r="E170" t="s">
        <v>1769</v>
      </c>
      <c r="F170" s="4">
        <v>1</v>
      </c>
      <c r="G170">
        <v>998.19</v>
      </c>
      <c r="H170">
        <v>0.2</v>
      </c>
      <c r="I170" t="s">
        <v>1807</v>
      </c>
      <c r="J170">
        <v>798.55200000000013</v>
      </c>
      <c r="K170" t="s">
        <v>377</v>
      </c>
      <c r="L170">
        <v>27</v>
      </c>
      <c r="M170" t="str">
        <v>Male</v>
      </c>
      <c r="N170" t="str">
        <f>VLOOKUP(C:C,Customer_Dim!B:I,5,1)</f>
        <v>Webstermouth</v>
      </c>
      <c r="O170" t="str">
        <f>VLOOKUP(C:C,Customer_Dim!B:I,6,1)</f>
        <v>New Hampshire</v>
      </c>
      <c r="P170" t="str">
        <f>VLOOKUP(C:C,Customer_Dim!B:I,7,1)</f>
        <v>USA</v>
      </c>
      <c r="Q170" t="str">
        <f>VLOOKUP(C:C,Customer_Dim!B:I,8,1)</f>
        <v>Bronze</v>
      </c>
      <c r="S170">
        <v>1</v>
      </c>
      <c r="T170">
        <v>998.19</v>
      </c>
      <c r="U170">
        <v>0.2</v>
      </c>
      <c r="V170">
        <v>798.55200000000013</v>
      </c>
      <c r="X170" s="4">
        <v>1</v>
      </c>
      <c r="Y170">
        <v>998.19</v>
      </c>
      <c r="Z170">
        <v>0.2</v>
      </c>
      <c r="AA170">
        <v>798.55200000000013</v>
      </c>
    </row>
    <row r="171" spans="1:27" x14ac:dyDescent="0.3">
      <c r="A171" t="s">
        <v>1978</v>
      </c>
      <c r="B171" s="2">
        <v>45313</v>
      </c>
      <c r="C171" t="s">
        <v>1153</v>
      </c>
      <c r="D171" t="s">
        <v>1675</v>
      </c>
      <c r="E171" t="s">
        <v>1762</v>
      </c>
      <c r="F171" s="4">
        <v>2</v>
      </c>
      <c r="G171">
        <v>343.42</v>
      </c>
      <c r="H171">
        <v>0.12</v>
      </c>
      <c r="I171" t="s">
        <v>1812</v>
      </c>
      <c r="J171">
        <v>604.41920000000005</v>
      </c>
      <c r="K171" t="s">
        <v>1154</v>
      </c>
      <c r="L171">
        <v>60</v>
      </c>
      <c r="M171" t="str">
        <v>Male</v>
      </c>
      <c r="N171" t="str">
        <f>VLOOKUP(C:C,Customer_Dim!B:I,5,1)</f>
        <v>Simpsonfort</v>
      </c>
      <c r="O171" t="str">
        <f>VLOOKUP(C:C,Customer_Dim!B:I,6,1)</f>
        <v>Maine</v>
      </c>
      <c r="P171" t="str">
        <f>VLOOKUP(C:C,Customer_Dim!B:I,7,1)</f>
        <v>USA</v>
      </c>
      <c r="Q171" t="str">
        <f>VLOOKUP(C:C,Customer_Dim!B:I,8,1)</f>
        <v>Gold</v>
      </c>
      <c r="S171">
        <v>2</v>
      </c>
      <c r="T171">
        <v>343.42</v>
      </c>
      <c r="U171">
        <v>0.12</v>
      </c>
      <c r="V171">
        <v>604.41920000000005</v>
      </c>
      <c r="X171" s="4">
        <v>2</v>
      </c>
      <c r="Y171">
        <v>343.42</v>
      </c>
      <c r="Z171">
        <v>0.12</v>
      </c>
      <c r="AA171">
        <v>604.41920000000005</v>
      </c>
    </row>
    <row r="172" spans="1:27" x14ac:dyDescent="0.3">
      <c r="A172" t="s">
        <v>1979</v>
      </c>
      <c r="B172" s="2">
        <v>45390</v>
      </c>
      <c r="C172" t="s">
        <v>811</v>
      </c>
      <c r="D172" t="s">
        <v>1599</v>
      </c>
      <c r="E172" t="s">
        <v>1759</v>
      </c>
      <c r="F172" s="4">
        <v>1</v>
      </c>
      <c r="G172">
        <v>152.16999999999999</v>
      </c>
      <c r="H172">
        <v>0.28000000000000003</v>
      </c>
      <c r="I172" t="s">
        <v>1812</v>
      </c>
      <c r="J172">
        <v>109.5624</v>
      </c>
      <c r="K172" t="s">
        <v>812</v>
      </c>
      <c r="L172">
        <v>42</v>
      </c>
      <c r="M172" t="str">
        <v>Male</v>
      </c>
      <c r="N172" t="str">
        <f>VLOOKUP(C:C,Customer_Dim!B:I,5,1)</f>
        <v>Lake Christopher</v>
      </c>
      <c r="O172" t="str">
        <f>VLOOKUP(C:C,Customer_Dim!B:I,6,1)</f>
        <v>Arkansas</v>
      </c>
      <c r="P172" t="str">
        <f>VLOOKUP(C:C,Customer_Dim!B:I,7,1)</f>
        <v>USA</v>
      </c>
      <c r="Q172" t="str">
        <f>VLOOKUP(C:C,Customer_Dim!B:I,8,1)</f>
        <v>Platinum</v>
      </c>
      <c r="S172">
        <v>1</v>
      </c>
      <c r="T172">
        <v>152.16999999999999</v>
      </c>
      <c r="U172">
        <v>0.28000000000000003</v>
      </c>
      <c r="V172">
        <v>109.5624</v>
      </c>
      <c r="X172" s="4">
        <v>1</v>
      </c>
      <c r="Y172">
        <v>152.16999999999999</v>
      </c>
      <c r="Z172">
        <v>0.28000000000000003</v>
      </c>
      <c r="AA172">
        <v>109.5624</v>
      </c>
    </row>
    <row r="173" spans="1:27" x14ac:dyDescent="0.3">
      <c r="A173" t="s">
        <v>1980</v>
      </c>
      <c r="B173" s="2">
        <v>45795</v>
      </c>
      <c r="C173" t="s">
        <v>573</v>
      </c>
      <c r="D173" t="s">
        <v>1629</v>
      </c>
      <c r="E173" t="s">
        <v>1775</v>
      </c>
      <c r="F173" s="4">
        <v>1</v>
      </c>
      <c r="G173">
        <v>325.08</v>
      </c>
      <c r="H173">
        <v>0.26</v>
      </c>
      <c r="I173" t="s">
        <v>1809</v>
      </c>
      <c r="J173">
        <v>240.5592</v>
      </c>
      <c r="K173" t="s">
        <v>574</v>
      </c>
      <c r="L173">
        <v>48</v>
      </c>
      <c r="M173" t="str">
        <v>Male</v>
      </c>
      <c r="N173" t="str">
        <f>VLOOKUP(C:C,Customer_Dim!B:I,5,1)</f>
        <v>East Jessicaborough</v>
      </c>
      <c r="O173" t="str">
        <f>VLOOKUP(C:C,Customer_Dim!B:I,6,1)</f>
        <v>Hawaii</v>
      </c>
      <c r="P173" t="str">
        <f>VLOOKUP(C:C,Customer_Dim!B:I,7,1)</f>
        <v>USA</v>
      </c>
      <c r="Q173" t="str">
        <f>VLOOKUP(C:C,Customer_Dim!B:I,8,1)</f>
        <v>Platinum</v>
      </c>
      <c r="S173">
        <v>1</v>
      </c>
      <c r="T173">
        <v>325.08</v>
      </c>
      <c r="U173">
        <v>0.26</v>
      </c>
      <c r="V173">
        <v>240.5592</v>
      </c>
      <c r="X173" s="4">
        <v>1</v>
      </c>
      <c r="Y173">
        <v>325.08</v>
      </c>
      <c r="Z173">
        <v>0.26</v>
      </c>
      <c r="AA173">
        <v>240.5592</v>
      </c>
    </row>
    <row r="174" spans="1:27" x14ac:dyDescent="0.3">
      <c r="A174" t="s">
        <v>1981</v>
      </c>
      <c r="B174" s="2">
        <v>45267</v>
      </c>
      <c r="C174" t="s">
        <v>1069</v>
      </c>
      <c r="D174" t="s">
        <v>1709</v>
      </c>
      <c r="E174" t="s">
        <v>1772</v>
      </c>
      <c r="F174" s="4">
        <v>2</v>
      </c>
      <c r="G174">
        <v>827.92</v>
      </c>
      <c r="H174">
        <v>0.25</v>
      </c>
      <c r="I174" t="s">
        <v>1812</v>
      </c>
      <c r="J174">
        <v>1241.8800000000001</v>
      </c>
      <c r="K174" t="s">
        <v>1070</v>
      </c>
      <c r="L174">
        <v>33</v>
      </c>
      <c r="M174" t="str">
        <v>Male</v>
      </c>
      <c r="N174" t="str">
        <f>VLOOKUP(C:C,Customer_Dim!B:I,5,1)</f>
        <v>West Victoriaborough</v>
      </c>
      <c r="O174" t="str">
        <f>VLOOKUP(C:C,Customer_Dim!B:I,6,1)</f>
        <v>New Mexico</v>
      </c>
      <c r="P174" t="str">
        <f>VLOOKUP(C:C,Customer_Dim!B:I,7,1)</f>
        <v>USA</v>
      </c>
      <c r="Q174" t="str">
        <f>VLOOKUP(C:C,Customer_Dim!B:I,8,1)</f>
        <v>Gold</v>
      </c>
      <c r="S174">
        <v>2</v>
      </c>
      <c r="T174">
        <v>827.92</v>
      </c>
      <c r="U174">
        <v>0.25</v>
      </c>
      <c r="V174">
        <v>1241.8800000000001</v>
      </c>
      <c r="X174" s="4">
        <v>2</v>
      </c>
      <c r="Y174">
        <v>827.92</v>
      </c>
      <c r="Z174">
        <v>0.25</v>
      </c>
      <c r="AA174">
        <v>1241.8800000000001</v>
      </c>
    </row>
    <row r="175" spans="1:27" x14ac:dyDescent="0.3">
      <c r="A175" t="s">
        <v>1982</v>
      </c>
      <c r="B175" s="2">
        <v>45314</v>
      </c>
      <c r="C175" t="s">
        <v>1475</v>
      </c>
      <c r="D175" t="s">
        <v>1583</v>
      </c>
      <c r="E175" t="s">
        <v>1744</v>
      </c>
      <c r="F175" s="4">
        <v>2</v>
      </c>
      <c r="G175">
        <v>593.47</v>
      </c>
      <c r="H175">
        <v>0.1</v>
      </c>
      <c r="I175" t="s">
        <v>1812</v>
      </c>
      <c r="J175">
        <v>1068.2460000000001</v>
      </c>
      <c r="K175" t="s">
        <v>1476</v>
      </c>
      <c r="L175">
        <v>22</v>
      </c>
      <c r="M175" t="str">
        <v>Female</v>
      </c>
      <c r="N175" t="str">
        <f>VLOOKUP(C:C,Customer_Dim!B:I,5,1)</f>
        <v>East Dillonview</v>
      </c>
      <c r="O175" t="str">
        <f>VLOOKUP(C:C,Customer_Dim!B:I,6,1)</f>
        <v>Virginia</v>
      </c>
      <c r="P175" t="str">
        <f>VLOOKUP(C:C,Customer_Dim!B:I,7,1)</f>
        <v>USA</v>
      </c>
      <c r="Q175" t="str">
        <f>VLOOKUP(C:C,Customer_Dim!B:I,8,1)</f>
        <v>Bronze</v>
      </c>
      <c r="S175">
        <v>2</v>
      </c>
      <c r="T175">
        <v>593.47</v>
      </c>
      <c r="U175">
        <v>0.1</v>
      </c>
      <c r="V175">
        <v>1068.2460000000001</v>
      </c>
      <c r="X175" s="4">
        <v>2</v>
      </c>
      <c r="Y175">
        <v>593.47</v>
      </c>
      <c r="Z175">
        <v>0.1</v>
      </c>
      <c r="AA175">
        <v>1068.2460000000001</v>
      </c>
    </row>
    <row r="176" spans="1:27" x14ac:dyDescent="0.3">
      <c r="A176" t="s">
        <v>1983</v>
      </c>
      <c r="B176" s="2">
        <v>45267</v>
      </c>
      <c r="C176" t="s">
        <v>920</v>
      </c>
      <c r="D176" t="s">
        <v>1571</v>
      </c>
      <c r="E176" t="s">
        <v>1762</v>
      </c>
      <c r="F176" s="4">
        <v>4</v>
      </c>
      <c r="G176">
        <v>756.28</v>
      </c>
      <c r="H176">
        <v>0.05</v>
      </c>
      <c r="I176" t="s">
        <v>1812</v>
      </c>
      <c r="J176">
        <v>2873.864</v>
      </c>
      <c r="K176" t="s">
        <v>921</v>
      </c>
      <c r="L176">
        <v>29</v>
      </c>
      <c r="M176" t="str">
        <v>Male</v>
      </c>
      <c r="N176" t="str">
        <f>VLOOKUP(C:C,Customer_Dim!B:I,5,1)</f>
        <v>North Daniel</v>
      </c>
      <c r="O176" t="str">
        <f>VLOOKUP(C:C,Customer_Dim!B:I,6,1)</f>
        <v>Louisiana</v>
      </c>
      <c r="P176" t="str">
        <f>VLOOKUP(C:C,Customer_Dim!B:I,7,1)</f>
        <v>USA</v>
      </c>
      <c r="Q176" t="str">
        <f>VLOOKUP(C:C,Customer_Dim!B:I,8,1)</f>
        <v>Platinum</v>
      </c>
      <c r="S176">
        <v>4</v>
      </c>
      <c r="T176">
        <v>756.28</v>
      </c>
      <c r="U176">
        <v>0.05</v>
      </c>
      <c r="V176">
        <v>2873.864</v>
      </c>
      <c r="X176" s="4">
        <v>4</v>
      </c>
      <c r="Y176">
        <v>756.28</v>
      </c>
      <c r="Z176">
        <v>0.05</v>
      </c>
      <c r="AA176">
        <v>2873.864</v>
      </c>
    </row>
    <row r="177" spans="1:27" x14ac:dyDescent="0.3">
      <c r="A177" t="s">
        <v>1984</v>
      </c>
      <c r="B177" s="2">
        <v>45641</v>
      </c>
      <c r="C177" t="s">
        <v>1165</v>
      </c>
      <c r="D177" t="s">
        <v>1715</v>
      </c>
      <c r="E177" t="s">
        <v>1740</v>
      </c>
      <c r="F177" s="4">
        <v>2</v>
      </c>
      <c r="G177">
        <v>707.65</v>
      </c>
      <c r="H177">
        <v>0.14000000000000001</v>
      </c>
      <c r="I177" t="s">
        <v>1807</v>
      </c>
      <c r="J177">
        <v>1217.1579999999999</v>
      </c>
      <c r="K177" t="s">
        <v>1166</v>
      </c>
      <c r="L177">
        <v>44</v>
      </c>
      <c r="M177" t="str">
        <v>Female</v>
      </c>
      <c r="N177" t="str">
        <f>VLOOKUP(C:C,Customer_Dim!B:I,5,1)</f>
        <v>Nathanshire</v>
      </c>
      <c r="O177" t="str">
        <f>VLOOKUP(C:C,Customer_Dim!B:I,6,1)</f>
        <v>Maine</v>
      </c>
      <c r="P177" t="str">
        <f>VLOOKUP(C:C,Customer_Dim!B:I,7,1)</f>
        <v>USA</v>
      </c>
      <c r="Q177" t="str">
        <f>VLOOKUP(C:C,Customer_Dim!B:I,8,1)</f>
        <v>Gold</v>
      </c>
      <c r="S177">
        <v>2</v>
      </c>
      <c r="T177">
        <v>707.65</v>
      </c>
      <c r="U177">
        <v>0.14000000000000001</v>
      </c>
      <c r="V177">
        <v>1217.1579999999999</v>
      </c>
      <c r="X177" s="4">
        <v>2</v>
      </c>
      <c r="Y177">
        <v>707.65</v>
      </c>
      <c r="Z177">
        <v>0.14000000000000001</v>
      </c>
      <c r="AA177">
        <v>1217.1579999999999</v>
      </c>
    </row>
    <row r="178" spans="1:27" x14ac:dyDescent="0.3">
      <c r="A178" t="s">
        <v>1985</v>
      </c>
      <c r="B178" s="2">
        <v>45371</v>
      </c>
      <c r="C178" t="s">
        <v>436</v>
      </c>
      <c r="D178" t="s">
        <v>1581</v>
      </c>
      <c r="E178" t="s">
        <v>1784</v>
      </c>
      <c r="F178" s="4">
        <v>1</v>
      </c>
      <c r="G178">
        <v>857.35</v>
      </c>
      <c r="H178">
        <v>0.28000000000000003</v>
      </c>
      <c r="I178" t="s">
        <v>1809</v>
      </c>
      <c r="J178">
        <v>617.29200000000003</v>
      </c>
      <c r="K178" t="s">
        <v>437</v>
      </c>
      <c r="L178">
        <v>43</v>
      </c>
      <c r="M178" t="str">
        <v>Female</v>
      </c>
      <c r="N178" t="str">
        <f>VLOOKUP(C:C,Customer_Dim!B:I,5,1)</f>
        <v>East Ellen</v>
      </c>
      <c r="O178" t="str">
        <f>VLOOKUP(C:C,Customer_Dim!B:I,6,1)</f>
        <v>Arkansas</v>
      </c>
      <c r="P178" t="str">
        <f>VLOOKUP(C:C,Customer_Dim!B:I,7,1)</f>
        <v>USA</v>
      </c>
      <c r="Q178" t="str">
        <f>VLOOKUP(C:C,Customer_Dim!B:I,8,1)</f>
        <v>Silver</v>
      </c>
      <c r="S178">
        <v>1</v>
      </c>
      <c r="T178">
        <v>857.35</v>
      </c>
      <c r="U178">
        <v>0.28000000000000003</v>
      </c>
      <c r="V178">
        <v>617.29200000000003</v>
      </c>
      <c r="X178" s="4">
        <v>1</v>
      </c>
      <c r="Y178">
        <v>857.35</v>
      </c>
      <c r="Z178">
        <v>0.28000000000000003</v>
      </c>
      <c r="AA178">
        <v>617.29200000000003</v>
      </c>
    </row>
    <row r="179" spans="1:27" x14ac:dyDescent="0.3">
      <c r="A179" t="s">
        <v>1986</v>
      </c>
      <c r="B179" s="2">
        <v>45670</v>
      </c>
      <c r="C179" t="s">
        <v>1516</v>
      </c>
      <c r="D179" t="s">
        <v>1641</v>
      </c>
      <c r="E179" t="s">
        <v>1765</v>
      </c>
      <c r="F179" s="4">
        <v>1</v>
      </c>
      <c r="G179">
        <v>79</v>
      </c>
      <c r="H179">
        <v>0.04</v>
      </c>
      <c r="I179" t="s">
        <v>1809</v>
      </c>
      <c r="J179">
        <v>75.84</v>
      </c>
      <c r="K179" t="s">
        <v>1517</v>
      </c>
      <c r="L179">
        <v>0</v>
      </c>
      <c r="M179" t="str">
        <v>Female</v>
      </c>
      <c r="N179" t="str">
        <f>VLOOKUP(C:C,Customer_Dim!B:I,5,1)</f>
        <v>East Valerieview</v>
      </c>
      <c r="O179" t="str">
        <f>VLOOKUP(C:C,Customer_Dim!B:I,6,1)</f>
        <v>Oregon</v>
      </c>
      <c r="P179" t="str">
        <f>VLOOKUP(C:C,Customer_Dim!B:I,7,1)</f>
        <v>USA</v>
      </c>
      <c r="Q179" t="str">
        <f>VLOOKUP(C:C,Customer_Dim!B:I,8,1)</f>
        <v>Platinum</v>
      </c>
      <c r="S179">
        <v>1</v>
      </c>
      <c r="T179">
        <v>79</v>
      </c>
      <c r="U179">
        <v>0.04</v>
      </c>
      <c r="V179">
        <v>75.84</v>
      </c>
      <c r="X179" s="4">
        <v>1</v>
      </c>
      <c r="Y179">
        <v>79</v>
      </c>
      <c r="Z179">
        <v>0.04</v>
      </c>
      <c r="AA179">
        <v>75.84</v>
      </c>
    </row>
    <row r="180" spans="1:27" x14ac:dyDescent="0.3">
      <c r="A180" t="s">
        <v>1987</v>
      </c>
      <c r="B180" s="2">
        <v>45885</v>
      </c>
      <c r="C180" t="s">
        <v>241</v>
      </c>
      <c r="D180" t="s">
        <v>1719</v>
      </c>
      <c r="E180" t="s">
        <v>1756</v>
      </c>
      <c r="F180" s="4">
        <v>4</v>
      </c>
      <c r="G180">
        <v>638.91</v>
      </c>
      <c r="H180">
        <v>0</v>
      </c>
      <c r="I180" t="s">
        <v>1812</v>
      </c>
      <c r="J180">
        <v>2555.64</v>
      </c>
      <c r="K180" t="s">
        <v>242</v>
      </c>
      <c r="L180">
        <v>58</v>
      </c>
      <c r="M180" t="str">
        <v>Male</v>
      </c>
      <c r="N180" t="str">
        <f>VLOOKUP(C:C,Customer_Dim!B:I,5,1)</f>
        <v>South Aaronside</v>
      </c>
      <c r="O180" t="str">
        <f>VLOOKUP(C:C,Customer_Dim!B:I,6,1)</f>
        <v>New Hampshire</v>
      </c>
      <c r="P180" t="str">
        <f>VLOOKUP(C:C,Customer_Dim!B:I,7,1)</f>
        <v>USA</v>
      </c>
      <c r="Q180" t="str">
        <f>VLOOKUP(C:C,Customer_Dim!B:I,8,1)</f>
        <v>Silver</v>
      </c>
      <c r="S180">
        <v>4</v>
      </c>
      <c r="T180">
        <v>638.91</v>
      </c>
      <c r="U180">
        <v>0</v>
      </c>
      <c r="V180">
        <v>2555.64</v>
      </c>
      <c r="X180" s="4">
        <v>4</v>
      </c>
      <c r="Y180">
        <v>638.91</v>
      </c>
      <c r="Z180">
        <v>0</v>
      </c>
      <c r="AA180">
        <v>2555.64</v>
      </c>
    </row>
    <row r="181" spans="1:27" x14ac:dyDescent="0.3">
      <c r="A181" t="s">
        <v>1988</v>
      </c>
      <c r="B181" s="2">
        <v>45812</v>
      </c>
      <c r="C181" t="s">
        <v>292</v>
      </c>
      <c r="D181" t="s">
        <v>1621</v>
      </c>
      <c r="E181" t="s">
        <v>1735</v>
      </c>
      <c r="F181" s="4">
        <v>2</v>
      </c>
      <c r="G181">
        <v>522.16999999999996</v>
      </c>
      <c r="H181">
        <v>0.27</v>
      </c>
      <c r="I181" t="s">
        <v>1807</v>
      </c>
      <c r="J181">
        <v>762.36819999999989</v>
      </c>
      <c r="K181" t="s">
        <v>293</v>
      </c>
      <c r="L181">
        <v>53</v>
      </c>
      <c r="M181" t="str">
        <v>Male</v>
      </c>
      <c r="N181" t="str">
        <f>VLOOKUP(C:C,Customer_Dim!B:I,5,1)</f>
        <v>South David</v>
      </c>
      <c r="O181" t="str">
        <f>VLOOKUP(C:C,Customer_Dim!B:I,6,1)</f>
        <v>Arizona</v>
      </c>
      <c r="P181" t="str">
        <f>VLOOKUP(C:C,Customer_Dim!B:I,7,1)</f>
        <v>USA</v>
      </c>
      <c r="Q181" t="str">
        <f>VLOOKUP(C:C,Customer_Dim!B:I,8,1)</f>
        <v>Platinum</v>
      </c>
      <c r="S181">
        <v>2</v>
      </c>
      <c r="T181">
        <v>522.16999999999996</v>
      </c>
      <c r="U181">
        <v>0.27</v>
      </c>
      <c r="V181">
        <v>762.36819999999989</v>
      </c>
      <c r="X181" s="4">
        <v>2</v>
      </c>
      <c r="Y181">
        <v>522.16999999999996</v>
      </c>
      <c r="Z181">
        <v>0.27</v>
      </c>
      <c r="AA181">
        <v>762.36819999999989</v>
      </c>
    </row>
    <row r="182" spans="1:27" x14ac:dyDescent="0.3">
      <c r="A182" t="s">
        <v>1989</v>
      </c>
      <c r="B182" s="2">
        <v>45235</v>
      </c>
      <c r="C182" t="s">
        <v>1456</v>
      </c>
      <c r="D182" t="s">
        <v>1609</v>
      </c>
      <c r="E182" t="s">
        <v>1777</v>
      </c>
      <c r="F182" s="4">
        <v>3</v>
      </c>
      <c r="G182">
        <v>954.29</v>
      </c>
      <c r="H182">
        <v>0.27</v>
      </c>
      <c r="I182" t="s">
        <v>1807</v>
      </c>
      <c r="J182">
        <v>2089.8951000000002</v>
      </c>
      <c r="K182" t="s">
        <v>3951</v>
      </c>
      <c r="L182">
        <v>40</v>
      </c>
      <c r="M182" t="str">
        <v>Male</v>
      </c>
      <c r="N182" t="str">
        <f>VLOOKUP(C:C,Customer_Dim!B:I,5,1)</f>
        <v>West Sarah</v>
      </c>
      <c r="O182" t="str">
        <f>VLOOKUP(C:C,Customer_Dim!B:I,6,1)</f>
        <v>South Dakota</v>
      </c>
      <c r="P182" t="str">
        <f>VLOOKUP(C:C,Customer_Dim!B:I,7,1)</f>
        <v>USA</v>
      </c>
      <c r="Q182" t="str">
        <f>VLOOKUP(C:C,Customer_Dim!B:I,8,1)</f>
        <v>Gold</v>
      </c>
      <c r="S182">
        <v>3</v>
      </c>
      <c r="T182">
        <v>954.29</v>
      </c>
      <c r="U182">
        <v>0.27</v>
      </c>
      <c r="V182">
        <v>2089.8951000000002</v>
      </c>
      <c r="X182" s="4">
        <v>3</v>
      </c>
      <c r="Y182">
        <v>954.29</v>
      </c>
      <c r="Z182">
        <v>0.27</v>
      </c>
      <c r="AA182">
        <v>2089.8951000000002</v>
      </c>
    </row>
    <row r="183" spans="1:27" x14ac:dyDescent="0.3">
      <c r="A183" t="s">
        <v>1990</v>
      </c>
      <c r="B183" s="2">
        <v>45710</v>
      </c>
      <c r="C183" t="s">
        <v>1409</v>
      </c>
      <c r="D183" t="s">
        <v>1597</v>
      </c>
      <c r="E183" t="s">
        <v>1780</v>
      </c>
      <c r="F183" s="4">
        <v>3</v>
      </c>
      <c r="G183">
        <v>53.92</v>
      </c>
      <c r="H183">
        <v>0.15</v>
      </c>
      <c r="I183" t="s">
        <v>1809</v>
      </c>
      <c r="J183">
        <v>137.49600000000001</v>
      </c>
      <c r="K183" t="s">
        <v>1410</v>
      </c>
      <c r="L183">
        <v>36</v>
      </c>
      <c r="M183" t="str">
        <v>Female</v>
      </c>
      <c r="N183" t="str">
        <f>VLOOKUP(C:C,Customer_Dim!B:I,5,1)</f>
        <v>Burkefurt</v>
      </c>
      <c r="O183" t="str">
        <f>VLOOKUP(C:C,Customer_Dim!B:I,6,1)</f>
        <v>West Virginia</v>
      </c>
      <c r="P183" t="str">
        <f>VLOOKUP(C:C,Customer_Dim!B:I,7,1)</f>
        <v>USA</v>
      </c>
      <c r="Q183" t="str">
        <f>VLOOKUP(C:C,Customer_Dim!B:I,8,1)</f>
        <v>Silver</v>
      </c>
      <c r="S183">
        <v>3</v>
      </c>
      <c r="T183">
        <v>53.92</v>
      </c>
      <c r="U183">
        <v>0.15</v>
      </c>
      <c r="V183">
        <v>137.49600000000001</v>
      </c>
      <c r="X183" s="4">
        <v>3</v>
      </c>
      <c r="Y183">
        <v>53.92</v>
      </c>
      <c r="Z183">
        <v>0.15</v>
      </c>
      <c r="AA183">
        <v>137.49600000000001</v>
      </c>
    </row>
    <row r="184" spans="1:27" x14ac:dyDescent="0.3">
      <c r="A184" t="s">
        <v>1991</v>
      </c>
      <c r="B184" s="2">
        <v>45753</v>
      </c>
      <c r="C184" t="s">
        <v>1222</v>
      </c>
      <c r="D184" t="s">
        <v>1599</v>
      </c>
      <c r="E184" t="s">
        <v>1735</v>
      </c>
      <c r="F184" s="4">
        <v>4</v>
      </c>
      <c r="G184">
        <v>741.88</v>
      </c>
      <c r="H184">
        <v>0.02</v>
      </c>
      <c r="I184" t="s">
        <v>1812</v>
      </c>
      <c r="J184">
        <v>2908.1696000000002</v>
      </c>
      <c r="K184" t="s">
        <v>1223</v>
      </c>
      <c r="L184">
        <v>62</v>
      </c>
      <c r="M184" t="str">
        <v>Female</v>
      </c>
      <c r="N184" t="str">
        <f>VLOOKUP(C:C,Customer_Dim!B:I,5,1)</f>
        <v>Parkerview</v>
      </c>
      <c r="O184" t="str">
        <f>VLOOKUP(C:C,Customer_Dim!B:I,6,1)</f>
        <v>New York</v>
      </c>
      <c r="P184" t="str">
        <f>VLOOKUP(C:C,Customer_Dim!B:I,7,1)</f>
        <v>USA</v>
      </c>
      <c r="Q184" t="str">
        <f>VLOOKUP(C:C,Customer_Dim!B:I,8,1)</f>
        <v>Silver</v>
      </c>
      <c r="S184">
        <v>4</v>
      </c>
      <c r="T184">
        <v>741.88</v>
      </c>
      <c r="U184">
        <v>0.02</v>
      </c>
      <c r="V184">
        <v>2908.1696000000002</v>
      </c>
      <c r="X184" s="4">
        <v>4</v>
      </c>
      <c r="Y184">
        <v>741.88</v>
      </c>
      <c r="Z184">
        <v>0.02</v>
      </c>
      <c r="AA184">
        <v>2908.1696000000002</v>
      </c>
    </row>
    <row r="185" spans="1:27" x14ac:dyDescent="0.3">
      <c r="A185" t="s">
        <v>1992</v>
      </c>
      <c r="B185" s="2">
        <v>45594</v>
      </c>
      <c r="C185" t="s">
        <v>134</v>
      </c>
      <c r="D185" t="s">
        <v>1623</v>
      </c>
      <c r="E185" t="s">
        <v>1749</v>
      </c>
      <c r="F185" s="4">
        <v>1</v>
      </c>
      <c r="G185">
        <v>547.09</v>
      </c>
      <c r="H185">
        <v>0.01</v>
      </c>
      <c r="I185" t="s">
        <v>1809</v>
      </c>
      <c r="J185">
        <v>541.6191</v>
      </c>
      <c r="K185" t="s">
        <v>3935</v>
      </c>
      <c r="L185">
        <v>27</v>
      </c>
      <c r="M185" t="str">
        <v>Female</v>
      </c>
      <c r="N185" t="str">
        <f>VLOOKUP(C:C,Customer_Dim!B:I,5,1)</f>
        <v>Tristanton</v>
      </c>
      <c r="O185" t="str">
        <f>VLOOKUP(C:C,Customer_Dim!B:I,6,1)</f>
        <v>Oklahoma</v>
      </c>
      <c r="P185" t="str">
        <f>VLOOKUP(C:C,Customer_Dim!B:I,7,1)</f>
        <v>USA</v>
      </c>
      <c r="Q185" t="str">
        <f>VLOOKUP(C:C,Customer_Dim!B:I,8,1)</f>
        <v>Platinum</v>
      </c>
      <c r="S185">
        <v>1</v>
      </c>
      <c r="T185">
        <v>547.09</v>
      </c>
      <c r="U185">
        <v>0.01</v>
      </c>
      <c r="V185">
        <v>541.6191</v>
      </c>
      <c r="X185" s="4">
        <v>1</v>
      </c>
      <c r="Y185">
        <v>547.09</v>
      </c>
      <c r="Z185">
        <v>0.01</v>
      </c>
      <c r="AA185">
        <v>541.6191</v>
      </c>
    </row>
    <row r="186" spans="1:27" x14ac:dyDescent="0.3">
      <c r="A186" t="s">
        <v>1993</v>
      </c>
      <c r="B186" s="2">
        <v>45686</v>
      </c>
      <c r="C186" t="s">
        <v>1487</v>
      </c>
      <c r="D186" t="s">
        <v>1709</v>
      </c>
      <c r="E186" t="s">
        <v>1749</v>
      </c>
      <c r="F186" s="4">
        <v>1</v>
      </c>
      <c r="G186">
        <v>789.35</v>
      </c>
      <c r="H186">
        <v>0.14000000000000001</v>
      </c>
      <c r="I186" t="s">
        <v>1809</v>
      </c>
      <c r="J186">
        <v>678.84100000000001</v>
      </c>
      <c r="K186" t="s">
        <v>1488</v>
      </c>
      <c r="L186">
        <v>23</v>
      </c>
      <c r="M186" t="str">
        <v>Male</v>
      </c>
      <c r="N186" t="str">
        <f>VLOOKUP(C:C,Customer_Dim!B:I,5,1)</f>
        <v>Lake Elizabethside</v>
      </c>
      <c r="O186" t="str">
        <f>VLOOKUP(C:C,Customer_Dim!B:I,6,1)</f>
        <v>Indiana</v>
      </c>
      <c r="P186" t="str">
        <f>VLOOKUP(C:C,Customer_Dim!B:I,7,1)</f>
        <v>USA</v>
      </c>
      <c r="Q186" t="str">
        <f>VLOOKUP(C:C,Customer_Dim!B:I,8,1)</f>
        <v>Silver</v>
      </c>
      <c r="S186">
        <v>1</v>
      </c>
      <c r="T186">
        <v>789.35</v>
      </c>
      <c r="U186">
        <v>0.14000000000000001</v>
      </c>
      <c r="V186">
        <v>678.84100000000001</v>
      </c>
      <c r="X186" s="4">
        <v>1</v>
      </c>
      <c r="Y186">
        <v>789.35</v>
      </c>
      <c r="Z186">
        <v>0.14000000000000001</v>
      </c>
      <c r="AA186">
        <v>678.84100000000001</v>
      </c>
    </row>
    <row r="187" spans="1:27" x14ac:dyDescent="0.3">
      <c r="A187" t="s">
        <v>1994</v>
      </c>
      <c r="B187" s="2">
        <v>45354</v>
      </c>
      <c r="C187" t="s">
        <v>1312</v>
      </c>
      <c r="D187" t="s">
        <v>1657</v>
      </c>
      <c r="E187" t="s">
        <v>1749</v>
      </c>
      <c r="F187" s="4">
        <v>3</v>
      </c>
      <c r="G187">
        <v>476.78</v>
      </c>
      <c r="H187">
        <v>0.09</v>
      </c>
      <c r="I187" t="s">
        <v>1812</v>
      </c>
      <c r="J187">
        <v>1301.6094000000001</v>
      </c>
      <c r="K187" t="s">
        <v>1313</v>
      </c>
      <c r="L187">
        <v>43</v>
      </c>
      <c r="M187" t="str">
        <v>Male</v>
      </c>
      <c r="N187" t="str">
        <f>VLOOKUP(C:C,Customer_Dim!B:I,5,1)</f>
        <v>Hartmouth</v>
      </c>
      <c r="O187" t="str">
        <f>VLOOKUP(C:C,Customer_Dim!B:I,6,1)</f>
        <v>Louisiana</v>
      </c>
      <c r="P187" t="str">
        <f>VLOOKUP(C:C,Customer_Dim!B:I,7,1)</f>
        <v>USA</v>
      </c>
      <c r="Q187" t="str">
        <f>VLOOKUP(C:C,Customer_Dim!B:I,8,1)</f>
        <v>Bronze</v>
      </c>
      <c r="S187">
        <v>3</v>
      </c>
      <c r="T187">
        <v>476.78</v>
      </c>
      <c r="U187">
        <v>0.09</v>
      </c>
      <c r="V187">
        <v>1301.6094000000001</v>
      </c>
      <c r="X187" s="4">
        <v>3</v>
      </c>
      <c r="Y187">
        <v>476.78</v>
      </c>
      <c r="Z187">
        <v>0.09</v>
      </c>
      <c r="AA187">
        <v>1301.6094000000001</v>
      </c>
    </row>
    <row r="188" spans="1:27" x14ac:dyDescent="0.3">
      <c r="A188" t="s">
        <v>1995</v>
      </c>
      <c r="B188" s="2">
        <v>45600</v>
      </c>
      <c r="C188" t="s">
        <v>1384</v>
      </c>
      <c r="D188" t="s">
        <v>1689</v>
      </c>
      <c r="E188" t="s">
        <v>1793</v>
      </c>
      <c r="F188" s="4">
        <v>2</v>
      </c>
      <c r="G188">
        <v>504.26</v>
      </c>
      <c r="H188">
        <v>0.04</v>
      </c>
      <c r="I188" t="s">
        <v>1809</v>
      </c>
      <c r="J188">
        <v>968.17919999999992</v>
      </c>
      <c r="K188" t="s">
        <v>1385</v>
      </c>
      <c r="L188">
        <v>60</v>
      </c>
      <c r="M188" t="str">
        <v>Male</v>
      </c>
      <c r="N188" t="str">
        <f>VLOOKUP(C:C,Customer_Dim!B:I,5,1)</f>
        <v>Lake Carolyn</v>
      </c>
      <c r="O188" t="str">
        <f>VLOOKUP(C:C,Customer_Dim!B:I,6,1)</f>
        <v>Hawaii</v>
      </c>
      <c r="P188" t="str">
        <f>VLOOKUP(C:C,Customer_Dim!B:I,7,1)</f>
        <v>USA</v>
      </c>
      <c r="Q188" t="str">
        <f>VLOOKUP(C:C,Customer_Dim!B:I,8,1)</f>
        <v>Platinum</v>
      </c>
      <c r="S188">
        <v>2</v>
      </c>
      <c r="T188">
        <v>504.26</v>
      </c>
      <c r="U188">
        <v>0.04</v>
      </c>
      <c r="V188">
        <v>968.17919999999992</v>
      </c>
      <c r="X188" s="4">
        <v>2</v>
      </c>
      <c r="Y188">
        <v>504.26</v>
      </c>
      <c r="Z188">
        <v>0.04</v>
      </c>
      <c r="AA188">
        <v>968.17919999999992</v>
      </c>
    </row>
    <row r="189" spans="1:27" x14ac:dyDescent="0.3">
      <c r="A189" t="s">
        <v>1996</v>
      </c>
      <c r="B189" s="2">
        <v>45538</v>
      </c>
      <c r="C189" t="s">
        <v>858</v>
      </c>
      <c r="D189" t="s">
        <v>1693</v>
      </c>
      <c r="E189" t="s">
        <v>1759</v>
      </c>
      <c r="F189" s="4">
        <v>2</v>
      </c>
      <c r="G189">
        <v>549.33000000000004</v>
      </c>
      <c r="H189">
        <v>0.01</v>
      </c>
      <c r="I189" t="s">
        <v>1812</v>
      </c>
      <c r="J189">
        <v>1087.6733999999999</v>
      </c>
      <c r="K189" t="s">
        <v>859</v>
      </c>
      <c r="L189">
        <v>23</v>
      </c>
      <c r="M189" t="str">
        <v>Male</v>
      </c>
      <c r="N189" t="str">
        <f>VLOOKUP(C:C,Customer_Dim!B:I,5,1)</f>
        <v>Welchview</v>
      </c>
      <c r="O189" t="str">
        <f>VLOOKUP(C:C,Customer_Dim!B:I,6,1)</f>
        <v>California</v>
      </c>
      <c r="P189" t="str">
        <f>VLOOKUP(C:C,Customer_Dim!B:I,7,1)</f>
        <v>USA</v>
      </c>
      <c r="Q189" t="str">
        <f>VLOOKUP(C:C,Customer_Dim!B:I,8,1)</f>
        <v>Gold</v>
      </c>
      <c r="S189">
        <v>2</v>
      </c>
      <c r="T189">
        <v>549.33000000000004</v>
      </c>
      <c r="U189">
        <v>0.01</v>
      </c>
      <c r="V189">
        <v>1087.6733999999999</v>
      </c>
      <c r="X189" s="4">
        <v>2</v>
      </c>
      <c r="Y189">
        <v>549.33000000000004</v>
      </c>
      <c r="Z189">
        <v>0.01</v>
      </c>
      <c r="AA189">
        <v>1087.6733999999999</v>
      </c>
    </row>
    <row r="190" spans="1:27" x14ac:dyDescent="0.3">
      <c r="A190" t="s">
        <v>1997</v>
      </c>
      <c r="B190" s="2">
        <v>45411</v>
      </c>
      <c r="C190" t="s">
        <v>1180</v>
      </c>
      <c r="D190" t="s">
        <v>1536</v>
      </c>
      <c r="E190" t="s">
        <v>1749</v>
      </c>
      <c r="F190" s="4">
        <v>3</v>
      </c>
      <c r="G190">
        <v>620.22</v>
      </c>
      <c r="H190">
        <v>0.04</v>
      </c>
      <c r="I190" t="s">
        <v>1807</v>
      </c>
      <c r="J190">
        <v>1786.2336</v>
      </c>
      <c r="K190" t="s">
        <v>1181</v>
      </c>
      <c r="L190">
        <v>27</v>
      </c>
      <c r="M190" t="str">
        <v>Female</v>
      </c>
      <c r="N190" t="str">
        <f>VLOOKUP(C:C,Customer_Dim!B:I,5,1)</f>
        <v>Novakstad</v>
      </c>
      <c r="O190" t="str">
        <f>VLOOKUP(C:C,Customer_Dim!B:I,6,1)</f>
        <v>California</v>
      </c>
      <c r="P190" t="str">
        <f>VLOOKUP(C:C,Customer_Dim!B:I,7,1)</f>
        <v>USA</v>
      </c>
      <c r="Q190" t="str">
        <f>VLOOKUP(C:C,Customer_Dim!B:I,8,1)</f>
        <v>Gold</v>
      </c>
      <c r="S190">
        <v>3</v>
      </c>
      <c r="T190">
        <v>620.22</v>
      </c>
      <c r="U190">
        <v>0.04</v>
      </c>
      <c r="V190">
        <v>1786.2336</v>
      </c>
      <c r="X190" s="4">
        <v>3</v>
      </c>
      <c r="Y190">
        <v>620.22</v>
      </c>
      <c r="Z190">
        <v>0.04</v>
      </c>
      <c r="AA190">
        <v>1786.2336</v>
      </c>
    </row>
    <row r="191" spans="1:27" x14ac:dyDescent="0.3">
      <c r="A191" t="s">
        <v>1998</v>
      </c>
      <c r="B191" s="2">
        <v>45411</v>
      </c>
      <c r="C191" t="s">
        <v>324</v>
      </c>
      <c r="D191" t="s">
        <v>1623</v>
      </c>
      <c r="E191" t="s">
        <v>1749</v>
      </c>
      <c r="F191" s="4">
        <v>1</v>
      </c>
      <c r="G191">
        <v>580.76</v>
      </c>
      <c r="H191">
        <v>0.1</v>
      </c>
      <c r="I191" t="s">
        <v>1812</v>
      </c>
      <c r="J191">
        <v>522.68399999999997</v>
      </c>
      <c r="K191" t="s">
        <v>325</v>
      </c>
      <c r="L191">
        <v>44</v>
      </c>
      <c r="M191" t="str">
        <v>Female</v>
      </c>
      <c r="N191" t="str">
        <f>VLOOKUP(C:C,Customer_Dim!B:I,5,1)</f>
        <v>South Amandahaven</v>
      </c>
      <c r="O191" t="str">
        <f>VLOOKUP(C:C,Customer_Dim!B:I,6,1)</f>
        <v>Arizona</v>
      </c>
      <c r="P191" t="str">
        <f>VLOOKUP(C:C,Customer_Dim!B:I,7,1)</f>
        <v>USA</v>
      </c>
      <c r="Q191" t="str">
        <f>VLOOKUP(C:C,Customer_Dim!B:I,8,1)</f>
        <v>Silver</v>
      </c>
      <c r="S191">
        <v>1</v>
      </c>
      <c r="T191">
        <v>580.76</v>
      </c>
      <c r="U191">
        <v>0.1</v>
      </c>
      <c r="V191">
        <v>522.68399999999997</v>
      </c>
      <c r="X191" s="4">
        <v>1</v>
      </c>
      <c r="Y191">
        <v>580.76</v>
      </c>
      <c r="Z191">
        <v>0.1</v>
      </c>
      <c r="AA191">
        <v>522.68399999999997</v>
      </c>
    </row>
    <row r="192" spans="1:27" x14ac:dyDescent="0.3">
      <c r="A192" t="s">
        <v>1999</v>
      </c>
      <c r="B192" s="2">
        <v>45775</v>
      </c>
      <c r="C192" t="s">
        <v>1039</v>
      </c>
      <c r="D192" t="s">
        <v>1673</v>
      </c>
      <c r="E192" t="s">
        <v>1769</v>
      </c>
      <c r="F192" s="4">
        <v>3</v>
      </c>
      <c r="G192">
        <v>444.55</v>
      </c>
      <c r="H192">
        <v>0.14000000000000001</v>
      </c>
      <c r="I192" t="s">
        <v>1809</v>
      </c>
      <c r="J192">
        <v>1146.9390000000001</v>
      </c>
      <c r="K192" t="s">
        <v>1040</v>
      </c>
      <c r="L192">
        <v>37</v>
      </c>
      <c r="M192" t="str">
        <v>Male</v>
      </c>
      <c r="N192" t="str">
        <f>VLOOKUP(C:C,Customer_Dim!B:I,5,1)</f>
        <v>Donaldsontown</v>
      </c>
      <c r="O192" t="str">
        <f>VLOOKUP(C:C,Customer_Dim!B:I,6,1)</f>
        <v>Connecticut</v>
      </c>
      <c r="P192" t="str">
        <f>VLOOKUP(C:C,Customer_Dim!B:I,7,1)</f>
        <v>USA</v>
      </c>
      <c r="Q192" t="str">
        <f>VLOOKUP(C:C,Customer_Dim!B:I,8,1)</f>
        <v>Silver</v>
      </c>
      <c r="S192">
        <v>3</v>
      </c>
      <c r="T192">
        <v>444.55</v>
      </c>
      <c r="U192">
        <v>0.14000000000000001</v>
      </c>
      <c r="V192">
        <v>1146.9390000000001</v>
      </c>
      <c r="X192" s="4">
        <v>3</v>
      </c>
      <c r="Y192">
        <v>444.55</v>
      </c>
      <c r="Z192">
        <v>0.14000000000000001</v>
      </c>
      <c r="AA192">
        <v>1146.9390000000001</v>
      </c>
    </row>
    <row r="193" spans="1:27" x14ac:dyDescent="0.3">
      <c r="A193" t="s">
        <v>2000</v>
      </c>
      <c r="B193" s="2">
        <v>45459</v>
      </c>
      <c r="C193" t="s">
        <v>465</v>
      </c>
      <c r="D193" t="s">
        <v>1623</v>
      </c>
      <c r="E193" t="s">
        <v>1793</v>
      </c>
      <c r="F193" s="4">
        <v>1</v>
      </c>
      <c r="G193">
        <v>804.9</v>
      </c>
      <c r="H193">
        <v>0.03</v>
      </c>
      <c r="I193" t="s">
        <v>1809</v>
      </c>
      <c r="J193">
        <v>780.75299999999993</v>
      </c>
      <c r="K193" t="s">
        <v>466</v>
      </c>
      <c r="L193">
        <v>32</v>
      </c>
      <c r="M193" t="str">
        <v>Male</v>
      </c>
      <c r="N193" t="str">
        <f>VLOOKUP(C:C,Customer_Dim!B:I,5,1)</f>
        <v>Lake Michael</v>
      </c>
      <c r="O193" t="str">
        <f>VLOOKUP(C:C,Customer_Dim!B:I,6,1)</f>
        <v>Virginia</v>
      </c>
      <c r="P193" t="str">
        <f>VLOOKUP(C:C,Customer_Dim!B:I,7,1)</f>
        <v>USA</v>
      </c>
      <c r="Q193" t="str">
        <f>VLOOKUP(C:C,Customer_Dim!B:I,8,1)</f>
        <v>Gold</v>
      </c>
      <c r="S193">
        <v>1</v>
      </c>
      <c r="T193">
        <v>804.9</v>
      </c>
      <c r="U193">
        <v>0.03</v>
      </c>
      <c r="V193">
        <v>780.75299999999993</v>
      </c>
      <c r="X193" s="4">
        <v>1</v>
      </c>
      <c r="Y193">
        <v>804.9</v>
      </c>
      <c r="Z193">
        <v>0.03</v>
      </c>
      <c r="AA193">
        <v>780.75299999999993</v>
      </c>
    </row>
    <row r="194" spans="1:27" x14ac:dyDescent="0.3">
      <c r="A194" t="s">
        <v>2001</v>
      </c>
      <c r="B194" s="2">
        <v>45617</v>
      </c>
      <c r="C194" t="s">
        <v>1300</v>
      </c>
      <c r="D194" t="s">
        <v>1715</v>
      </c>
      <c r="E194" t="s">
        <v>1782</v>
      </c>
      <c r="F194" s="4">
        <v>3</v>
      </c>
      <c r="G194">
        <v>361.65</v>
      </c>
      <c r="H194">
        <v>0.15</v>
      </c>
      <c r="I194" t="s">
        <v>1812</v>
      </c>
      <c r="J194">
        <v>922.20749999999987</v>
      </c>
      <c r="K194" t="s">
        <v>1301</v>
      </c>
      <c r="L194">
        <v>40</v>
      </c>
      <c r="M194" t="str">
        <v>Male</v>
      </c>
      <c r="N194" t="str">
        <f>VLOOKUP(C:C,Customer_Dim!B:I,5,1)</f>
        <v>Lake Alexandra</v>
      </c>
      <c r="O194" t="str">
        <f>VLOOKUP(C:C,Customer_Dim!B:I,6,1)</f>
        <v>North Carolina</v>
      </c>
      <c r="P194" t="str">
        <f>VLOOKUP(C:C,Customer_Dim!B:I,7,1)</f>
        <v>USA</v>
      </c>
      <c r="Q194" t="str">
        <f>VLOOKUP(C:C,Customer_Dim!B:I,8,1)</f>
        <v>Bronze</v>
      </c>
      <c r="S194">
        <v>3</v>
      </c>
      <c r="T194">
        <v>361.65</v>
      </c>
      <c r="U194">
        <v>0.15</v>
      </c>
      <c r="V194">
        <v>922.20749999999987</v>
      </c>
      <c r="X194" s="4">
        <v>3</v>
      </c>
      <c r="Y194">
        <v>361.65</v>
      </c>
      <c r="Z194">
        <v>0.15</v>
      </c>
      <c r="AA194">
        <v>922.20749999999987</v>
      </c>
    </row>
    <row r="195" spans="1:27" x14ac:dyDescent="0.3">
      <c r="A195" t="s">
        <v>2002</v>
      </c>
      <c r="B195" s="2">
        <v>45763</v>
      </c>
      <c r="C195" t="s">
        <v>536</v>
      </c>
      <c r="D195" t="s">
        <v>1543</v>
      </c>
      <c r="E195" t="s">
        <v>1752</v>
      </c>
      <c r="F195" s="4">
        <v>1</v>
      </c>
      <c r="G195">
        <v>271.76</v>
      </c>
      <c r="H195">
        <v>0.03</v>
      </c>
      <c r="I195" t="s">
        <v>1807</v>
      </c>
      <c r="J195">
        <v>263.60719999999998</v>
      </c>
      <c r="K195" t="s">
        <v>537</v>
      </c>
      <c r="L195">
        <v>21</v>
      </c>
      <c r="M195" t="str">
        <v>Male</v>
      </c>
      <c r="N195" t="str">
        <f>VLOOKUP(C:C,Customer_Dim!B:I,5,1)</f>
        <v>Palmerbury</v>
      </c>
      <c r="O195" t="str">
        <f>VLOOKUP(C:C,Customer_Dim!B:I,6,1)</f>
        <v>Tennessee</v>
      </c>
      <c r="P195" t="str">
        <f>VLOOKUP(C:C,Customer_Dim!B:I,7,1)</f>
        <v>USA</v>
      </c>
      <c r="Q195" t="str">
        <f>VLOOKUP(C:C,Customer_Dim!B:I,8,1)</f>
        <v>Silver</v>
      </c>
      <c r="S195">
        <v>1</v>
      </c>
      <c r="T195">
        <v>271.76</v>
      </c>
      <c r="U195">
        <v>0.03</v>
      </c>
      <c r="V195">
        <v>263.60719999999998</v>
      </c>
      <c r="X195" s="4">
        <v>1</v>
      </c>
      <c r="Y195">
        <v>271.76</v>
      </c>
      <c r="Z195">
        <v>0.03</v>
      </c>
      <c r="AA195">
        <v>263.60719999999998</v>
      </c>
    </row>
    <row r="196" spans="1:27" x14ac:dyDescent="0.3">
      <c r="A196" t="s">
        <v>2003</v>
      </c>
      <c r="B196" s="2">
        <v>45618</v>
      </c>
      <c r="C196" t="s">
        <v>1007</v>
      </c>
      <c r="D196" t="s">
        <v>1629</v>
      </c>
      <c r="E196" t="s">
        <v>1772</v>
      </c>
      <c r="F196" s="4">
        <v>3</v>
      </c>
      <c r="G196">
        <v>958.15</v>
      </c>
      <c r="H196">
        <v>0.24</v>
      </c>
      <c r="I196" t="s">
        <v>1812</v>
      </c>
      <c r="J196">
        <v>2184.5819999999999</v>
      </c>
      <c r="K196" t="s">
        <v>1008</v>
      </c>
      <c r="L196">
        <v>58</v>
      </c>
      <c r="M196" t="str">
        <v>Male</v>
      </c>
      <c r="N196" t="str">
        <f>VLOOKUP(C:C,Customer_Dim!B:I,5,1)</f>
        <v>Whiteport</v>
      </c>
      <c r="O196" t="str">
        <f>VLOOKUP(C:C,Customer_Dim!B:I,6,1)</f>
        <v>North Carolina</v>
      </c>
      <c r="P196" t="str">
        <f>VLOOKUP(C:C,Customer_Dim!B:I,7,1)</f>
        <v>USA</v>
      </c>
      <c r="Q196" t="str">
        <f>VLOOKUP(C:C,Customer_Dim!B:I,8,1)</f>
        <v>Platinum</v>
      </c>
      <c r="S196">
        <v>3</v>
      </c>
      <c r="T196">
        <v>958.15</v>
      </c>
      <c r="U196">
        <v>0.24</v>
      </c>
      <c r="V196">
        <v>2184.5819999999999</v>
      </c>
      <c r="X196" s="4">
        <v>3</v>
      </c>
      <c r="Y196">
        <v>958.15</v>
      </c>
      <c r="Z196">
        <v>0.24</v>
      </c>
      <c r="AA196">
        <v>2184.5819999999999</v>
      </c>
    </row>
    <row r="197" spans="1:27" x14ac:dyDescent="0.3">
      <c r="A197" t="s">
        <v>2004</v>
      </c>
      <c r="B197" s="2">
        <v>45290</v>
      </c>
      <c r="C197" t="s">
        <v>1309</v>
      </c>
      <c r="D197" t="s">
        <v>1651</v>
      </c>
      <c r="E197" t="s">
        <v>1790</v>
      </c>
      <c r="F197" s="4">
        <v>1</v>
      </c>
      <c r="G197">
        <v>889.19</v>
      </c>
      <c r="H197">
        <v>0.03</v>
      </c>
      <c r="I197" t="s">
        <v>1807</v>
      </c>
      <c r="J197">
        <v>862.51430000000005</v>
      </c>
      <c r="K197" t="s">
        <v>1310</v>
      </c>
      <c r="L197">
        <v>27</v>
      </c>
      <c r="M197" t="str">
        <v>Female</v>
      </c>
      <c r="N197" t="str">
        <f>VLOOKUP(C:C,Customer_Dim!B:I,5,1)</f>
        <v>South Robert</v>
      </c>
      <c r="O197" t="str">
        <f>VLOOKUP(C:C,Customer_Dim!B:I,6,1)</f>
        <v>Maine</v>
      </c>
      <c r="P197" t="str">
        <f>VLOOKUP(C:C,Customer_Dim!B:I,7,1)</f>
        <v>USA</v>
      </c>
      <c r="Q197" t="str">
        <f>VLOOKUP(C:C,Customer_Dim!B:I,8,1)</f>
        <v>Gold</v>
      </c>
      <c r="S197">
        <v>1</v>
      </c>
      <c r="T197">
        <v>889.19</v>
      </c>
      <c r="U197">
        <v>0.03</v>
      </c>
      <c r="V197">
        <v>862.51430000000005</v>
      </c>
      <c r="X197" s="4">
        <v>1</v>
      </c>
      <c r="Y197">
        <v>889.19</v>
      </c>
      <c r="Z197">
        <v>0.03</v>
      </c>
      <c r="AA197">
        <v>862.51430000000005</v>
      </c>
    </row>
    <row r="198" spans="1:27" x14ac:dyDescent="0.3">
      <c r="A198" t="s">
        <v>2005</v>
      </c>
      <c r="B198" s="2">
        <v>45904</v>
      </c>
      <c r="C198" t="s">
        <v>1415</v>
      </c>
      <c r="D198" t="s">
        <v>1645</v>
      </c>
      <c r="E198" t="s">
        <v>1787</v>
      </c>
      <c r="F198" s="4">
        <v>4</v>
      </c>
      <c r="G198">
        <v>689.67</v>
      </c>
      <c r="H198">
        <v>0.05</v>
      </c>
      <c r="I198" t="s">
        <v>1812</v>
      </c>
      <c r="J198">
        <v>2620.7460000000001</v>
      </c>
      <c r="K198" t="s">
        <v>1416</v>
      </c>
      <c r="L198">
        <v>28</v>
      </c>
      <c r="M198" t="str">
        <v>Female</v>
      </c>
      <c r="N198" t="str">
        <f>VLOOKUP(C:C,Customer_Dim!B:I,5,1)</f>
        <v>Grayland</v>
      </c>
      <c r="O198" t="str">
        <f>VLOOKUP(C:C,Customer_Dim!B:I,6,1)</f>
        <v>Washington</v>
      </c>
      <c r="P198" t="str">
        <f>VLOOKUP(C:C,Customer_Dim!B:I,7,1)</f>
        <v>USA</v>
      </c>
      <c r="Q198" t="str">
        <f>VLOOKUP(C:C,Customer_Dim!B:I,8,1)</f>
        <v>Platinum</v>
      </c>
      <c r="S198">
        <v>4</v>
      </c>
      <c r="T198">
        <v>689.67</v>
      </c>
      <c r="U198">
        <v>0.05</v>
      </c>
      <c r="V198">
        <v>2620.7460000000001</v>
      </c>
      <c r="X198" s="4">
        <v>4</v>
      </c>
      <c r="Y198">
        <v>689.67</v>
      </c>
      <c r="Z198">
        <v>0.05</v>
      </c>
      <c r="AA198">
        <v>2620.7460000000001</v>
      </c>
    </row>
    <row r="199" spans="1:27" x14ac:dyDescent="0.3">
      <c r="A199" t="s">
        <v>2006</v>
      </c>
      <c r="B199" s="2">
        <v>45227</v>
      </c>
      <c r="C199" t="s">
        <v>456</v>
      </c>
      <c r="D199" t="s">
        <v>1619</v>
      </c>
      <c r="E199" t="s">
        <v>1775</v>
      </c>
      <c r="F199" s="4">
        <v>1</v>
      </c>
      <c r="G199">
        <v>541.24</v>
      </c>
      <c r="H199">
        <v>0.03</v>
      </c>
      <c r="I199" t="s">
        <v>1809</v>
      </c>
      <c r="J199">
        <v>525.00279999999998</v>
      </c>
      <c r="K199" t="s">
        <v>457</v>
      </c>
      <c r="L199">
        <v>29</v>
      </c>
      <c r="M199" t="str">
        <v>Male</v>
      </c>
      <c r="N199" t="str">
        <f>VLOOKUP(C:C,Customer_Dim!B:I,5,1)</f>
        <v>Gonzalezbury</v>
      </c>
      <c r="O199" t="str">
        <f>VLOOKUP(C:C,Customer_Dim!B:I,6,1)</f>
        <v>Michigan</v>
      </c>
      <c r="P199" t="str">
        <f>VLOOKUP(C:C,Customer_Dim!B:I,7,1)</f>
        <v>USA</v>
      </c>
      <c r="Q199" t="str">
        <f>VLOOKUP(C:C,Customer_Dim!B:I,8,1)</f>
        <v>Platinum</v>
      </c>
      <c r="S199">
        <v>1</v>
      </c>
      <c r="T199">
        <v>541.24</v>
      </c>
      <c r="U199">
        <v>0.03</v>
      </c>
      <c r="V199">
        <v>525.00279999999998</v>
      </c>
      <c r="X199" s="4">
        <v>1</v>
      </c>
      <c r="Y199">
        <v>541.24</v>
      </c>
      <c r="Z199">
        <v>0.03</v>
      </c>
      <c r="AA199">
        <v>525.00279999999998</v>
      </c>
    </row>
    <row r="200" spans="1:27" x14ac:dyDescent="0.3">
      <c r="A200" t="s">
        <v>2007</v>
      </c>
      <c r="B200" s="2">
        <v>45600</v>
      </c>
      <c r="C200" t="s">
        <v>1370</v>
      </c>
      <c r="D200" t="s">
        <v>1693</v>
      </c>
      <c r="E200" t="s">
        <v>1759</v>
      </c>
      <c r="F200" s="4">
        <v>1</v>
      </c>
      <c r="G200">
        <v>454.71</v>
      </c>
      <c r="H200">
        <v>0.16</v>
      </c>
      <c r="I200" t="s">
        <v>1809</v>
      </c>
      <c r="J200">
        <v>381.95639999999997</v>
      </c>
      <c r="K200" t="s">
        <v>1371</v>
      </c>
      <c r="L200">
        <v>29</v>
      </c>
      <c r="M200" t="str">
        <v>Male</v>
      </c>
      <c r="N200" t="str">
        <f>VLOOKUP(C:C,Customer_Dim!B:I,5,1)</f>
        <v>Smithville</v>
      </c>
      <c r="O200" t="str">
        <f>VLOOKUP(C:C,Customer_Dim!B:I,6,1)</f>
        <v>Wyoming</v>
      </c>
      <c r="P200" t="str">
        <f>VLOOKUP(C:C,Customer_Dim!B:I,7,1)</f>
        <v>USA</v>
      </c>
      <c r="Q200" t="str">
        <f>VLOOKUP(C:C,Customer_Dim!B:I,8,1)</f>
        <v>Bronze</v>
      </c>
      <c r="S200">
        <v>1</v>
      </c>
      <c r="T200">
        <v>454.71</v>
      </c>
      <c r="U200">
        <v>0.16</v>
      </c>
      <c r="V200">
        <v>381.95639999999997</v>
      </c>
      <c r="X200" s="4">
        <v>1</v>
      </c>
      <c r="Y200">
        <v>454.71</v>
      </c>
      <c r="Z200">
        <v>0.16</v>
      </c>
      <c r="AA200">
        <v>381.95639999999997</v>
      </c>
    </row>
    <row r="201" spans="1:27" x14ac:dyDescent="0.3">
      <c r="A201" t="s">
        <v>2008</v>
      </c>
      <c r="B201" s="2">
        <v>45646</v>
      </c>
      <c r="C201" t="s">
        <v>149</v>
      </c>
      <c r="D201" t="s">
        <v>1663</v>
      </c>
      <c r="E201" t="s">
        <v>1756</v>
      </c>
      <c r="F201" s="4">
        <v>2</v>
      </c>
      <c r="G201">
        <v>397.63</v>
      </c>
      <c r="H201">
        <v>0.26</v>
      </c>
      <c r="I201" t="s">
        <v>1807</v>
      </c>
      <c r="J201">
        <v>588.49239999999998</v>
      </c>
      <c r="K201" t="s">
        <v>150</v>
      </c>
      <c r="L201">
        <v>55</v>
      </c>
      <c r="M201" t="str">
        <v>Female</v>
      </c>
      <c r="N201" t="str">
        <f>VLOOKUP(C:C,Customer_Dim!B:I,5,1)</f>
        <v>Brownport</v>
      </c>
      <c r="O201" t="str">
        <f>VLOOKUP(C:C,Customer_Dim!B:I,6,1)</f>
        <v>North Dakota</v>
      </c>
      <c r="P201" t="str">
        <f>VLOOKUP(C:C,Customer_Dim!B:I,7,1)</f>
        <v>USA</v>
      </c>
      <c r="Q201" t="str">
        <f>VLOOKUP(C:C,Customer_Dim!B:I,8,1)</f>
        <v>Bronze</v>
      </c>
      <c r="S201">
        <v>2</v>
      </c>
      <c r="T201">
        <v>397.63</v>
      </c>
      <c r="U201">
        <v>0.26</v>
      </c>
      <c r="V201">
        <v>588.49239999999998</v>
      </c>
      <c r="X201" s="4">
        <v>2</v>
      </c>
      <c r="Y201">
        <v>397.63</v>
      </c>
      <c r="Z201">
        <v>0.26</v>
      </c>
      <c r="AA201">
        <v>588.49239999999998</v>
      </c>
    </row>
    <row r="202" spans="1:27" x14ac:dyDescent="0.3">
      <c r="A202" t="s">
        <v>2009</v>
      </c>
      <c r="B202" s="2">
        <v>45725</v>
      </c>
      <c r="C202" t="s">
        <v>560</v>
      </c>
      <c r="D202" t="s">
        <v>1697</v>
      </c>
      <c r="E202" t="s">
        <v>1759</v>
      </c>
      <c r="F202" s="4">
        <v>3</v>
      </c>
      <c r="G202">
        <v>748.56</v>
      </c>
      <c r="H202">
        <v>0.26</v>
      </c>
      <c r="I202" t="s">
        <v>1809</v>
      </c>
      <c r="J202">
        <v>1661.8032000000001</v>
      </c>
      <c r="K202" t="s">
        <v>3940</v>
      </c>
      <c r="L202">
        <v>44</v>
      </c>
      <c r="M202" t="str">
        <v>Female</v>
      </c>
      <c r="N202" t="str">
        <f>VLOOKUP(C:C,Customer_Dim!B:I,5,1)</f>
        <v>New Joseph</v>
      </c>
      <c r="O202" t="str">
        <f>VLOOKUP(C:C,Customer_Dim!B:I,6,1)</f>
        <v>Missouri</v>
      </c>
      <c r="P202" t="str">
        <f>VLOOKUP(C:C,Customer_Dim!B:I,7,1)</f>
        <v>USA</v>
      </c>
      <c r="Q202" t="str">
        <f>VLOOKUP(C:C,Customer_Dim!B:I,8,1)</f>
        <v>Gold</v>
      </c>
      <c r="S202">
        <v>3</v>
      </c>
      <c r="T202">
        <v>748.56</v>
      </c>
      <c r="U202">
        <v>0.26</v>
      </c>
      <c r="V202">
        <v>1661.8032000000001</v>
      </c>
      <c r="X202" s="4">
        <v>3</v>
      </c>
      <c r="Y202">
        <v>748.56</v>
      </c>
      <c r="Z202">
        <v>0.26</v>
      </c>
      <c r="AA202">
        <v>1661.8032000000001</v>
      </c>
    </row>
    <row r="203" spans="1:27" x14ac:dyDescent="0.3">
      <c r="A203" t="s">
        <v>2010</v>
      </c>
      <c r="B203" s="2">
        <v>45742</v>
      </c>
      <c r="C203" t="s">
        <v>482</v>
      </c>
      <c r="D203" t="s">
        <v>1597</v>
      </c>
      <c r="E203" t="s">
        <v>1752</v>
      </c>
      <c r="F203" s="4">
        <v>1</v>
      </c>
      <c r="G203">
        <v>885.72</v>
      </c>
      <c r="H203">
        <v>0.15</v>
      </c>
      <c r="I203" t="s">
        <v>1807</v>
      </c>
      <c r="J203">
        <v>752.86199999999997</v>
      </c>
      <c r="K203" t="s">
        <v>483</v>
      </c>
      <c r="L203">
        <v>46</v>
      </c>
      <c r="M203" t="str">
        <v>Male</v>
      </c>
      <c r="N203" t="str">
        <f>VLOOKUP(C:C,Customer_Dim!B:I,5,1)</f>
        <v>North Anthonychester</v>
      </c>
      <c r="O203" t="str">
        <f>VLOOKUP(C:C,Customer_Dim!B:I,6,1)</f>
        <v>Nevada</v>
      </c>
      <c r="P203" t="str">
        <f>VLOOKUP(C:C,Customer_Dim!B:I,7,1)</f>
        <v>USA</v>
      </c>
      <c r="Q203" t="str">
        <f>VLOOKUP(C:C,Customer_Dim!B:I,8,1)</f>
        <v>Bronze</v>
      </c>
      <c r="S203">
        <v>1</v>
      </c>
      <c r="T203">
        <v>885.72</v>
      </c>
      <c r="U203">
        <v>0.15</v>
      </c>
      <c r="V203">
        <v>752.86199999999997</v>
      </c>
      <c r="X203" s="4">
        <v>1</v>
      </c>
      <c r="Y203">
        <v>885.72</v>
      </c>
      <c r="Z203">
        <v>0.15</v>
      </c>
      <c r="AA203">
        <v>752.86199999999997</v>
      </c>
    </row>
    <row r="204" spans="1:27" x14ac:dyDescent="0.3">
      <c r="A204" t="s">
        <v>2011</v>
      </c>
      <c r="B204" s="2">
        <v>45750</v>
      </c>
      <c r="C204" t="s">
        <v>376</v>
      </c>
      <c r="D204" t="s">
        <v>1655</v>
      </c>
      <c r="E204" t="s">
        <v>1740</v>
      </c>
      <c r="F204" s="4">
        <v>4</v>
      </c>
      <c r="G204">
        <v>408.07</v>
      </c>
      <c r="H204">
        <v>0.28000000000000003</v>
      </c>
      <c r="I204" t="s">
        <v>1812</v>
      </c>
      <c r="J204">
        <v>1175.2416000000001</v>
      </c>
      <c r="K204" t="s">
        <v>377</v>
      </c>
      <c r="L204">
        <v>27</v>
      </c>
      <c r="M204" t="str">
        <v>Male</v>
      </c>
      <c r="N204" t="str">
        <f>VLOOKUP(C:C,Customer_Dim!B:I,5,1)</f>
        <v>Webstermouth</v>
      </c>
      <c r="O204" t="str">
        <f>VLOOKUP(C:C,Customer_Dim!B:I,6,1)</f>
        <v>New Hampshire</v>
      </c>
      <c r="P204" t="str">
        <f>VLOOKUP(C:C,Customer_Dim!B:I,7,1)</f>
        <v>USA</v>
      </c>
      <c r="Q204" t="str">
        <f>VLOOKUP(C:C,Customer_Dim!B:I,8,1)</f>
        <v>Bronze</v>
      </c>
      <c r="S204">
        <v>4</v>
      </c>
      <c r="T204">
        <v>408.07</v>
      </c>
      <c r="U204">
        <v>0.28000000000000003</v>
      </c>
      <c r="V204">
        <v>1175.2416000000001</v>
      </c>
      <c r="X204" s="4">
        <v>4</v>
      </c>
      <c r="Y204">
        <v>408.07</v>
      </c>
      <c r="Z204">
        <v>0.28000000000000003</v>
      </c>
      <c r="AA204">
        <v>1175.2416000000001</v>
      </c>
    </row>
    <row r="205" spans="1:27" x14ac:dyDescent="0.3">
      <c r="A205" t="s">
        <v>2012</v>
      </c>
      <c r="B205" s="2">
        <v>45327</v>
      </c>
      <c r="C205" t="s">
        <v>1439</v>
      </c>
      <c r="D205" t="s">
        <v>1599</v>
      </c>
      <c r="E205" t="s">
        <v>1769</v>
      </c>
      <c r="F205" s="4">
        <v>2</v>
      </c>
      <c r="G205">
        <v>597.07000000000005</v>
      </c>
      <c r="H205">
        <v>0.28000000000000003</v>
      </c>
      <c r="I205" t="s">
        <v>1809</v>
      </c>
      <c r="J205">
        <v>859.7808</v>
      </c>
      <c r="K205" t="s">
        <v>1440</v>
      </c>
      <c r="L205">
        <v>53</v>
      </c>
      <c r="M205" t="str">
        <v>Male</v>
      </c>
      <c r="N205" t="str">
        <f>VLOOKUP(C:C,Customer_Dim!B:I,5,1)</f>
        <v>Tylermouth</v>
      </c>
      <c r="O205" t="str">
        <f>VLOOKUP(C:C,Customer_Dim!B:I,6,1)</f>
        <v>Massachusetts</v>
      </c>
      <c r="P205" t="str">
        <f>VLOOKUP(C:C,Customer_Dim!B:I,7,1)</f>
        <v>USA</v>
      </c>
      <c r="Q205" t="str">
        <f>VLOOKUP(C:C,Customer_Dim!B:I,8,1)</f>
        <v>Silver</v>
      </c>
      <c r="S205">
        <v>2</v>
      </c>
      <c r="T205">
        <v>597.07000000000005</v>
      </c>
      <c r="U205">
        <v>0.28000000000000003</v>
      </c>
      <c r="V205">
        <v>859.7808</v>
      </c>
      <c r="X205" s="4">
        <v>2</v>
      </c>
      <c r="Y205">
        <v>597.07000000000005</v>
      </c>
      <c r="Z205">
        <v>0.28000000000000003</v>
      </c>
      <c r="AA205">
        <v>859.7808</v>
      </c>
    </row>
    <row r="206" spans="1:27" x14ac:dyDescent="0.3">
      <c r="A206" t="s">
        <v>2013</v>
      </c>
      <c r="B206" s="2">
        <v>45465</v>
      </c>
      <c r="C206" t="s">
        <v>97</v>
      </c>
      <c r="D206" t="s">
        <v>1665</v>
      </c>
      <c r="E206" t="s">
        <v>1769</v>
      </c>
      <c r="F206" s="4">
        <v>3</v>
      </c>
      <c r="G206">
        <v>723.47</v>
      </c>
      <c r="H206">
        <v>0.12</v>
      </c>
      <c r="I206" t="s">
        <v>1812</v>
      </c>
      <c r="J206">
        <v>1909.9608000000001</v>
      </c>
      <c r="K206" t="s">
        <v>3953</v>
      </c>
      <c r="L206">
        <v>52</v>
      </c>
      <c r="M206" t="str">
        <v>Female</v>
      </c>
      <c r="N206" t="str">
        <f>VLOOKUP(C:C,Customer_Dim!B:I,5,1)</f>
        <v>Michaelton</v>
      </c>
      <c r="O206" t="str">
        <f>VLOOKUP(C:C,Customer_Dim!B:I,6,1)</f>
        <v>Hawaii</v>
      </c>
      <c r="P206" t="str">
        <f>VLOOKUP(C:C,Customer_Dim!B:I,7,1)</f>
        <v>USA</v>
      </c>
      <c r="Q206" t="str">
        <f>VLOOKUP(C:C,Customer_Dim!B:I,8,1)</f>
        <v>Silver</v>
      </c>
      <c r="S206">
        <v>3</v>
      </c>
      <c r="T206">
        <v>723.47</v>
      </c>
      <c r="U206">
        <v>0.12</v>
      </c>
      <c r="V206">
        <v>1909.9608000000001</v>
      </c>
      <c r="X206" s="4">
        <v>3</v>
      </c>
      <c r="Y206">
        <v>723.47</v>
      </c>
      <c r="Z206">
        <v>0.12</v>
      </c>
      <c r="AA206">
        <v>1909.9608000000001</v>
      </c>
    </row>
    <row r="207" spans="1:27" x14ac:dyDescent="0.3">
      <c r="A207" t="s">
        <v>2014</v>
      </c>
      <c r="B207" s="2">
        <v>45883</v>
      </c>
      <c r="C207" t="s">
        <v>1339</v>
      </c>
      <c r="D207" t="s">
        <v>1707</v>
      </c>
      <c r="E207" t="s">
        <v>1756</v>
      </c>
      <c r="F207" s="4">
        <v>1</v>
      </c>
      <c r="G207">
        <v>479.93</v>
      </c>
      <c r="H207">
        <v>0.22</v>
      </c>
      <c r="I207" t="s">
        <v>1807</v>
      </c>
      <c r="J207">
        <v>374.34539999999998</v>
      </c>
      <c r="K207" t="s">
        <v>1340</v>
      </c>
      <c r="L207">
        <v>59</v>
      </c>
      <c r="M207" t="str">
        <v>Female</v>
      </c>
      <c r="N207" t="str">
        <f>VLOOKUP(C:C,Customer_Dim!B:I,5,1)</f>
        <v>East Davidmouth</v>
      </c>
      <c r="O207" t="str">
        <f>VLOOKUP(C:C,Customer_Dim!B:I,6,1)</f>
        <v>New Hampshire</v>
      </c>
      <c r="P207" t="str">
        <f>VLOOKUP(C:C,Customer_Dim!B:I,7,1)</f>
        <v>USA</v>
      </c>
      <c r="Q207" t="str">
        <f>VLOOKUP(C:C,Customer_Dim!B:I,8,1)</f>
        <v>Platinum</v>
      </c>
      <c r="S207">
        <v>1</v>
      </c>
      <c r="T207">
        <v>479.93</v>
      </c>
      <c r="U207">
        <v>0.22</v>
      </c>
      <c r="V207">
        <v>374.34539999999998</v>
      </c>
      <c r="X207" s="4">
        <v>1</v>
      </c>
      <c r="Y207">
        <v>479.93</v>
      </c>
      <c r="Z207">
        <v>0.22</v>
      </c>
      <c r="AA207">
        <v>374.34539999999998</v>
      </c>
    </row>
    <row r="208" spans="1:27" x14ac:dyDescent="0.3">
      <c r="A208" t="s">
        <v>2015</v>
      </c>
      <c r="B208" s="2">
        <v>45445</v>
      </c>
      <c r="C208" t="s">
        <v>773</v>
      </c>
      <c r="D208" t="s">
        <v>1599</v>
      </c>
      <c r="E208" t="s">
        <v>1787</v>
      </c>
      <c r="F208" s="4">
        <v>4</v>
      </c>
      <c r="G208">
        <v>362.81</v>
      </c>
      <c r="H208">
        <v>0.21</v>
      </c>
      <c r="I208" t="s">
        <v>1812</v>
      </c>
      <c r="J208">
        <v>1146.4795999999999</v>
      </c>
      <c r="K208" t="s">
        <v>774</v>
      </c>
      <c r="L208">
        <v>19</v>
      </c>
      <c r="M208" t="str">
        <v>Male</v>
      </c>
      <c r="N208" t="str">
        <f>VLOOKUP(C:C,Customer_Dim!B:I,5,1)</f>
        <v>North Nicholas</v>
      </c>
      <c r="O208" t="str">
        <f>VLOOKUP(C:C,Customer_Dim!B:I,6,1)</f>
        <v>Texas</v>
      </c>
      <c r="P208" t="str">
        <f>VLOOKUP(C:C,Customer_Dim!B:I,7,1)</f>
        <v>USA</v>
      </c>
      <c r="Q208" t="str">
        <f>VLOOKUP(C:C,Customer_Dim!B:I,8,1)</f>
        <v>Gold</v>
      </c>
      <c r="S208">
        <v>4</v>
      </c>
      <c r="T208">
        <v>362.81</v>
      </c>
      <c r="U208">
        <v>0.21</v>
      </c>
      <c r="V208">
        <v>1146.4795999999999</v>
      </c>
      <c r="X208" s="4">
        <v>4</v>
      </c>
      <c r="Y208">
        <v>362.81</v>
      </c>
      <c r="Z208">
        <v>0.21</v>
      </c>
      <c r="AA208">
        <v>1146.4795999999999</v>
      </c>
    </row>
    <row r="209" spans="1:27" x14ac:dyDescent="0.3">
      <c r="A209" t="s">
        <v>2016</v>
      </c>
      <c r="B209" s="2">
        <v>45640</v>
      </c>
      <c r="C209" t="s">
        <v>604</v>
      </c>
      <c r="D209" t="s">
        <v>1689</v>
      </c>
      <c r="E209" t="s">
        <v>1749</v>
      </c>
      <c r="F209" s="4">
        <v>1</v>
      </c>
      <c r="G209">
        <v>127.11</v>
      </c>
      <c r="H209">
        <v>0.01</v>
      </c>
      <c r="I209" t="s">
        <v>1809</v>
      </c>
      <c r="J209">
        <v>125.8389</v>
      </c>
      <c r="K209" t="s">
        <v>605</v>
      </c>
      <c r="L209">
        <v>53</v>
      </c>
      <c r="M209" t="str">
        <v>Male</v>
      </c>
      <c r="N209" t="str">
        <f>VLOOKUP(C:C,Customer_Dim!B:I,5,1)</f>
        <v>North Kellyberg</v>
      </c>
      <c r="O209" t="str">
        <f>VLOOKUP(C:C,Customer_Dim!B:I,6,1)</f>
        <v>New Jersey</v>
      </c>
      <c r="P209" t="str">
        <f>VLOOKUP(C:C,Customer_Dim!B:I,7,1)</f>
        <v>USA</v>
      </c>
      <c r="Q209" t="str">
        <f>VLOOKUP(C:C,Customer_Dim!B:I,8,1)</f>
        <v>Platinum</v>
      </c>
      <c r="S209">
        <v>1</v>
      </c>
      <c r="T209">
        <v>127.11</v>
      </c>
      <c r="U209">
        <v>0.01</v>
      </c>
      <c r="V209">
        <v>125.8389</v>
      </c>
      <c r="X209" s="4">
        <v>1</v>
      </c>
      <c r="Y209">
        <v>127.11</v>
      </c>
      <c r="Z209">
        <v>0.01</v>
      </c>
      <c r="AA209">
        <v>125.8389</v>
      </c>
    </row>
    <row r="210" spans="1:27" x14ac:dyDescent="0.3">
      <c r="A210" t="s">
        <v>2017</v>
      </c>
      <c r="B210" s="2">
        <v>45411</v>
      </c>
      <c r="C210" t="s">
        <v>601</v>
      </c>
      <c r="D210" t="s">
        <v>1599</v>
      </c>
      <c r="E210" t="s">
        <v>1790</v>
      </c>
      <c r="F210" s="4">
        <v>4</v>
      </c>
      <c r="G210">
        <v>931.26</v>
      </c>
      <c r="H210">
        <v>0.04</v>
      </c>
      <c r="I210" t="s">
        <v>1807</v>
      </c>
      <c r="J210">
        <v>3576.0383999999999</v>
      </c>
      <c r="K210" t="s">
        <v>602</v>
      </c>
      <c r="L210">
        <v>54</v>
      </c>
      <c r="M210" t="str">
        <v>Female</v>
      </c>
      <c r="N210" t="str">
        <f>VLOOKUP(C:C,Customer_Dim!B:I,5,1)</f>
        <v>Port Sherryview</v>
      </c>
      <c r="O210" t="str">
        <f>VLOOKUP(C:C,Customer_Dim!B:I,6,1)</f>
        <v>North Dakota</v>
      </c>
      <c r="P210" t="str">
        <f>VLOOKUP(C:C,Customer_Dim!B:I,7,1)</f>
        <v>USA</v>
      </c>
      <c r="Q210" t="str">
        <f>VLOOKUP(C:C,Customer_Dim!B:I,8,1)</f>
        <v>Silver</v>
      </c>
      <c r="S210">
        <v>4</v>
      </c>
      <c r="T210">
        <v>931.26</v>
      </c>
      <c r="U210">
        <v>0.04</v>
      </c>
      <c r="V210">
        <v>3576.0383999999999</v>
      </c>
      <c r="X210" s="4">
        <v>4</v>
      </c>
      <c r="Y210">
        <v>931.26</v>
      </c>
      <c r="Z210">
        <v>0.04</v>
      </c>
      <c r="AA210">
        <v>3576.0383999999999</v>
      </c>
    </row>
    <row r="211" spans="1:27" x14ac:dyDescent="0.3">
      <c r="A211" t="s">
        <v>2018</v>
      </c>
      <c r="B211" s="2">
        <v>45224</v>
      </c>
      <c r="C211" t="s">
        <v>1147</v>
      </c>
      <c r="D211" t="s">
        <v>1665</v>
      </c>
      <c r="E211" t="s">
        <v>1765</v>
      </c>
      <c r="F211" s="4">
        <v>1</v>
      </c>
      <c r="G211">
        <v>620.80999999999995</v>
      </c>
      <c r="H211">
        <v>0.04</v>
      </c>
      <c r="I211" t="s">
        <v>1809</v>
      </c>
      <c r="J211">
        <v>595.97759999999994</v>
      </c>
      <c r="K211" t="s">
        <v>1148</v>
      </c>
      <c r="L211">
        <v>28</v>
      </c>
      <c r="M211" t="str">
        <v>Male</v>
      </c>
      <c r="N211" t="str">
        <f>VLOOKUP(C:C,Customer_Dim!B:I,5,1)</f>
        <v>Port Crystal</v>
      </c>
      <c r="O211" t="str">
        <f>VLOOKUP(C:C,Customer_Dim!B:I,6,1)</f>
        <v>New Hampshire</v>
      </c>
      <c r="P211" t="str">
        <f>VLOOKUP(C:C,Customer_Dim!B:I,7,1)</f>
        <v>USA</v>
      </c>
      <c r="Q211" t="str">
        <f>VLOOKUP(C:C,Customer_Dim!B:I,8,1)</f>
        <v>Platinum</v>
      </c>
      <c r="S211">
        <v>1</v>
      </c>
      <c r="T211">
        <v>620.80999999999995</v>
      </c>
      <c r="U211">
        <v>0.04</v>
      </c>
      <c r="V211">
        <v>595.97759999999994</v>
      </c>
      <c r="X211" s="4">
        <v>1</v>
      </c>
      <c r="Y211">
        <v>620.80999999999995</v>
      </c>
      <c r="Z211">
        <v>0.04</v>
      </c>
      <c r="AA211">
        <v>595.97759999999994</v>
      </c>
    </row>
    <row r="212" spans="1:27" x14ac:dyDescent="0.3">
      <c r="A212" t="s">
        <v>2019</v>
      </c>
      <c r="B212" s="2">
        <v>45497</v>
      </c>
      <c r="C212" t="s">
        <v>333</v>
      </c>
      <c r="D212" t="s">
        <v>1631</v>
      </c>
      <c r="E212" t="s">
        <v>1744</v>
      </c>
      <c r="F212" s="4">
        <v>1</v>
      </c>
      <c r="G212">
        <v>823.26</v>
      </c>
      <c r="H212">
        <v>0.27</v>
      </c>
      <c r="I212" t="s">
        <v>1812</v>
      </c>
      <c r="J212">
        <v>600.97979999999995</v>
      </c>
      <c r="K212" t="s">
        <v>334</v>
      </c>
      <c r="L212">
        <v>62</v>
      </c>
      <c r="M212" t="str">
        <v>Female</v>
      </c>
      <c r="N212" t="str">
        <f>VLOOKUP(C:C,Customer_Dim!B:I,5,1)</f>
        <v>New Amyport</v>
      </c>
      <c r="O212" t="str">
        <f>VLOOKUP(C:C,Customer_Dim!B:I,6,1)</f>
        <v>Nevada</v>
      </c>
      <c r="P212" t="str">
        <f>VLOOKUP(C:C,Customer_Dim!B:I,7,1)</f>
        <v>USA</v>
      </c>
      <c r="Q212" t="str">
        <f>VLOOKUP(C:C,Customer_Dim!B:I,8,1)</f>
        <v>Gold</v>
      </c>
      <c r="S212">
        <v>1</v>
      </c>
      <c r="T212">
        <v>823.26</v>
      </c>
      <c r="U212">
        <v>0.27</v>
      </c>
      <c r="V212">
        <v>600.97979999999995</v>
      </c>
      <c r="X212" s="4">
        <v>1</v>
      </c>
      <c r="Y212">
        <v>823.26</v>
      </c>
      <c r="Z212">
        <v>0.27</v>
      </c>
      <c r="AA212">
        <v>600.97979999999995</v>
      </c>
    </row>
    <row r="213" spans="1:27" x14ac:dyDescent="0.3">
      <c r="A213" t="s">
        <v>2020</v>
      </c>
      <c r="B213" s="2">
        <v>45807</v>
      </c>
      <c r="C213" t="s">
        <v>59</v>
      </c>
      <c r="D213" t="s">
        <v>1585</v>
      </c>
      <c r="E213" t="s">
        <v>1765</v>
      </c>
      <c r="F213" s="4">
        <v>3</v>
      </c>
      <c r="G213">
        <v>681.01</v>
      </c>
      <c r="H213">
        <v>0.27</v>
      </c>
      <c r="I213" t="s">
        <v>1812</v>
      </c>
      <c r="J213">
        <v>1491.4119000000001</v>
      </c>
      <c r="K213" t="s">
        <v>60</v>
      </c>
      <c r="L213">
        <v>32</v>
      </c>
      <c r="M213" t="str">
        <v>Female</v>
      </c>
      <c r="N213" t="str">
        <f>VLOOKUP(C:C,Customer_Dim!B:I,5,1)</f>
        <v>North Kathryn</v>
      </c>
      <c r="O213" t="str">
        <f>VLOOKUP(C:C,Customer_Dim!B:I,6,1)</f>
        <v>Kansas</v>
      </c>
      <c r="P213" t="str">
        <f>VLOOKUP(C:C,Customer_Dim!B:I,7,1)</f>
        <v>USA</v>
      </c>
      <c r="Q213" t="str">
        <f>VLOOKUP(C:C,Customer_Dim!B:I,8,1)</f>
        <v>Platinum</v>
      </c>
      <c r="S213">
        <v>3</v>
      </c>
      <c r="T213">
        <v>681.01</v>
      </c>
      <c r="U213">
        <v>0.27</v>
      </c>
      <c r="V213">
        <v>1491.4119000000001</v>
      </c>
      <c r="X213" s="4">
        <v>3</v>
      </c>
      <c r="Y213">
        <v>681.01</v>
      </c>
      <c r="Z213">
        <v>0.27</v>
      </c>
      <c r="AA213">
        <v>1491.4119000000001</v>
      </c>
    </row>
    <row r="214" spans="1:27" x14ac:dyDescent="0.3">
      <c r="A214" t="s">
        <v>2021</v>
      </c>
      <c r="B214" s="2">
        <v>45942</v>
      </c>
      <c r="C214" t="s">
        <v>1352</v>
      </c>
      <c r="D214" t="s">
        <v>1643</v>
      </c>
      <c r="E214" t="s">
        <v>1796</v>
      </c>
      <c r="F214" s="4">
        <v>4</v>
      </c>
      <c r="G214">
        <v>119.83</v>
      </c>
      <c r="H214">
        <v>0.13</v>
      </c>
      <c r="I214" t="s">
        <v>1807</v>
      </c>
      <c r="J214">
        <v>417.00839999999999</v>
      </c>
      <c r="K214" t="s">
        <v>1353</v>
      </c>
      <c r="L214">
        <v>51</v>
      </c>
      <c r="M214" t="str">
        <v>Male</v>
      </c>
      <c r="N214" t="str">
        <f>VLOOKUP(C:C,Customer_Dim!B:I,5,1)</f>
        <v>North Maryfort</v>
      </c>
      <c r="O214" t="str">
        <f>VLOOKUP(C:C,Customer_Dim!B:I,6,1)</f>
        <v>Oregon</v>
      </c>
      <c r="P214" t="str">
        <f>VLOOKUP(C:C,Customer_Dim!B:I,7,1)</f>
        <v>USA</v>
      </c>
      <c r="Q214" t="str">
        <f>VLOOKUP(C:C,Customer_Dim!B:I,8,1)</f>
        <v>Bronze</v>
      </c>
      <c r="S214">
        <v>4</v>
      </c>
      <c r="T214">
        <v>119.83</v>
      </c>
      <c r="U214">
        <v>0.13</v>
      </c>
      <c r="V214">
        <v>417.00839999999999</v>
      </c>
      <c r="X214" s="4">
        <v>4</v>
      </c>
      <c r="Y214">
        <v>119.83</v>
      </c>
      <c r="Z214">
        <v>0.13</v>
      </c>
      <c r="AA214">
        <v>417.00839999999999</v>
      </c>
    </row>
    <row r="215" spans="1:27" x14ac:dyDescent="0.3">
      <c r="A215" t="s">
        <v>2022</v>
      </c>
      <c r="B215" s="2">
        <v>45314</v>
      </c>
      <c r="C215" t="s">
        <v>959</v>
      </c>
      <c r="D215" t="s">
        <v>1687</v>
      </c>
      <c r="E215" t="s">
        <v>1744</v>
      </c>
      <c r="F215" s="4">
        <v>1</v>
      </c>
      <c r="G215">
        <v>575.66</v>
      </c>
      <c r="H215">
        <v>0.03</v>
      </c>
      <c r="I215" t="s">
        <v>1809</v>
      </c>
      <c r="J215">
        <v>558.39019999999994</v>
      </c>
      <c r="K215" t="s">
        <v>960</v>
      </c>
      <c r="L215">
        <v>60</v>
      </c>
      <c r="M215" t="str">
        <v>Female</v>
      </c>
      <c r="N215" t="str">
        <f>VLOOKUP(C:C,Customer_Dim!B:I,5,1)</f>
        <v>West Patriciaview</v>
      </c>
      <c r="O215" t="str">
        <f>VLOOKUP(C:C,Customer_Dim!B:I,6,1)</f>
        <v>Alabama</v>
      </c>
      <c r="P215" t="str">
        <f>VLOOKUP(C:C,Customer_Dim!B:I,7,1)</f>
        <v>USA</v>
      </c>
      <c r="Q215" t="str">
        <f>VLOOKUP(C:C,Customer_Dim!B:I,8,1)</f>
        <v>Bronze</v>
      </c>
      <c r="S215">
        <v>1</v>
      </c>
      <c r="T215">
        <v>575.66</v>
      </c>
      <c r="U215">
        <v>0.03</v>
      </c>
      <c r="V215">
        <v>558.39019999999994</v>
      </c>
      <c r="X215" s="4">
        <v>1</v>
      </c>
      <c r="Y215">
        <v>575.66</v>
      </c>
      <c r="Z215">
        <v>0.03</v>
      </c>
      <c r="AA215">
        <v>558.39019999999994</v>
      </c>
    </row>
    <row r="216" spans="1:27" x14ac:dyDescent="0.3">
      <c r="A216" t="s">
        <v>2023</v>
      </c>
      <c r="B216" s="2">
        <v>45943</v>
      </c>
      <c r="C216" t="s">
        <v>645</v>
      </c>
      <c r="D216" t="s">
        <v>1627</v>
      </c>
      <c r="E216" t="s">
        <v>1787</v>
      </c>
      <c r="F216" s="4">
        <v>1</v>
      </c>
      <c r="G216">
        <v>775.84</v>
      </c>
      <c r="H216">
        <v>0.26</v>
      </c>
      <c r="I216" t="s">
        <v>1807</v>
      </c>
      <c r="J216">
        <v>574.12160000000006</v>
      </c>
      <c r="K216" t="s">
        <v>646</v>
      </c>
      <c r="L216">
        <v>30</v>
      </c>
      <c r="M216" t="str">
        <v>Male</v>
      </c>
      <c r="N216" t="str">
        <f>VLOOKUP(C:C,Customer_Dim!B:I,5,1)</f>
        <v>North Briannamouth</v>
      </c>
      <c r="O216" t="str">
        <f>VLOOKUP(C:C,Customer_Dim!B:I,6,1)</f>
        <v>Tennessee</v>
      </c>
      <c r="P216" t="str">
        <f>VLOOKUP(C:C,Customer_Dim!B:I,7,1)</f>
        <v>USA</v>
      </c>
      <c r="Q216" t="str">
        <f>VLOOKUP(C:C,Customer_Dim!B:I,8,1)</f>
        <v>Bronze</v>
      </c>
      <c r="S216">
        <v>1</v>
      </c>
      <c r="T216">
        <v>775.84</v>
      </c>
      <c r="U216">
        <v>0.26</v>
      </c>
      <c r="V216">
        <v>574.12160000000006</v>
      </c>
      <c r="X216" s="4">
        <v>1</v>
      </c>
      <c r="Y216">
        <v>775.84</v>
      </c>
      <c r="Z216">
        <v>0.26</v>
      </c>
      <c r="AA216">
        <v>574.12160000000006</v>
      </c>
    </row>
    <row r="217" spans="1:27" x14ac:dyDescent="0.3">
      <c r="A217" t="s">
        <v>2024</v>
      </c>
      <c r="B217" s="2">
        <v>45356</v>
      </c>
      <c r="C217" t="s">
        <v>1355</v>
      </c>
      <c r="D217" t="s">
        <v>1559</v>
      </c>
      <c r="E217" t="s">
        <v>1769</v>
      </c>
      <c r="F217" s="4">
        <v>3</v>
      </c>
      <c r="G217">
        <v>318.43</v>
      </c>
      <c r="H217">
        <v>0.05</v>
      </c>
      <c r="I217" t="s">
        <v>1807</v>
      </c>
      <c r="J217">
        <v>907.52549999999997</v>
      </c>
      <c r="K217" t="s">
        <v>1356</v>
      </c>
      <c r="L217">
        <v>19</v>
      </c>
      <c r="M217" t="str">
        <v>Male</v>
      </c>
      <c r="N217" t="str">
        <f>VLOOKUP(C:C,Customer_Dim!B:I,5,1)</f>
        <v>New Donnabury</v>
      </c>
      <c r="O217" t="str">
        <f>VLOOKUP(C:C,Customer_Dim!B:I,6,1)</f>
        <v>Texas</v>
      </c>
      <c r="P217" t="str">
        <f>VLOOKUP(C:C,Customer_Dim!B:I,7,1)</f>
        <v>USA</v>
      </c>
      <c r="Q217" t="str">
        <f>VLOOKUP(C:C,Customer_Dim!B:I,8,1)</f>
        <v>Silver</v>
      </c>
      <c r="S217">
        <v>3</v>
      </c>
      <c r="T217">
        <v>318.43</v>
      </c>
      <c r="U217">
        <v>0.05</v>
      </c>
      <c r="V217">
        <v>907.52549999999997</v>
      </c>
      <c r="X217" s="4">
        <v>3</v>
      </c>
      <c r="Y217">
        <v>318.43</v>
      </c>
      <c r="Z217">
        <v>0.05</v>
      </c>
      <c r="AA217">
        <v>907.52549999999997</v>
      </c>
    </row>
    <row r="218" spans="1:27" x14ac:dyDescent="0.3">
      <c r="A218" t="s">
        <v>2025</v>
      </c>
      <c r="B218" s="2">
        <v>45854</v>
      </c>
      <c r="C218" t="s">
        <v>509</v>
      </c>
      <c r="D218" t="s">
        <v>1675</v>
      </c>
      <c r="E218" t="s">
        <v>1765</v>
      </c>
      <c r="F218" s="4">
        <v>3</v>
      </c>
      <c r="G218">
        <v>141.6</v>
      </c>
      <c r="H218">
        <v>0.08</v>
      </c>
      <c r="I218" t="s">
        <v>1812</v>
      </c>
      <c r="J218">
        <v>390.81599999999997</v>
      </c>
      <c r="K218" t="s">
        <v>510</v>
      </c>
      <c r="L218">
        <v>35</v>
      </c>
      <c r="M218" t="str">
        <v>Female</v>
      </c>
      <c r="N218" t="str">
        <f>VLOOKUP(C:C,Customer_Dim!B:I,5,1)</f>
        <v>New Leahfurt</v>
      </c>
      <c r="O218" t="str">
        <f>VLOOKUP(C:C,Customer_Dim!B:I,6,1)</f>
        <v>North Dakota</v>
      </c>
      <c r="P218" t="str">
        <f>VLOOKUP(C:C,Customer_Dim!B:I,7,1)</f>
        <v>USA</v>
      </c>
      <c r="Q218" t="str">
        <f>VLOOKUP(C:C,Customer_Dim!B:I,8,1)</f>
        <v>Bronze</v>
      </c>
      <c r="S218">
        <v>3</v>
      </c>
      <c r="T218">
        <v>141.6</v>
      </c>
      <c r="U218">
        <v>0.08</v>
      </c>
      <c r="V218">
        <v>390.81599999999997</v>
      </c>
      <c r="X218" s="4">
        <v>3</v>
      </c>
      <c r="Y218">
        <v>141.6</v>
      </c>
      <c r="Z218">
        <v>0.08</v>
      </c>
      <c r="AA218">
        <v>390.81599999999997</v>
      </c>
    </row>
    <row r="219" spans="1:27" x14ac:dyDescent="0.3">
      <c r="A219" t="s">
        <v>2026</v>
      </c>
      <c r="B219" s="2">
        <v>45219</v>
      </c>
      <c r="C219" t="s">
        <v>842</v>
      </c>
      <c r="D219" t="s">
        <v>1561</v>
      </c>
      <c r="E219" t="s">
        <v>1796</v>
      </c>
      <c r="F219" s="4">
        <v>1</v>
      </c>
      <c r="G219">
        <v>332.82</v>
      </c>
      <c r="H219">
        <v>0.14000000000000001</v>
      </c>
      <c r="I219" t="s">
        <v>1809</v>
      </c>
      <c r="J219">
        <v>286.22519999999997</v>
      </c>
      <c r="K219" t="s">
        <v>843</v>
      </c>
      <c r="L219">
        <v>18</v>
      </c>
      <c r="M219" t="str">
        <v>Male</v>
      </c>
      <c r="N219" t="str">
        <f>VLOOKUP(C:C,Customer_Dim!B:I,5,1)</f>
        <v>South Gina</v>
      </c>
      <c r="O219" t="str">
        <f>VLOOKUP(C:C,Customer_Dim!B:I,6,1)</f>
        <v>Kentucky</v>
      </c>
      <c r="P219" t="str">
        <f>VLOOKUP(C:C,Customer_Dim!B:I,7,1)</f>
        <v>USA</v>
      </c>
      <c r="Q219" t="str">
        <f>VLOOKUP(C:C,Customer_Dim!B:I,8,1)</f>
        <v>Bronze</v>
      </c>
      <c r="S219">
        <v>1</v>
      </c>
      <c r="T219">
        <v>332.82</v>
      </c>
      <c r="U219">
        <v>0.14000000000000001</v>
      </c>
      <c r="V219">
        <v>286.22519999999997</v>
      </c>
      <c r="X219" s="4">
        <v>1</v>
      </c>
      <c r="Y219">
        <v>332.82</v>
      </c>
      <c r="Z219">
        <v>0.14000000000000001</v>
      </c>
      <c r="AA219">
        <v>286.22519999999997</v>
      </c>
    </row>
    <row r="220" spans="1:27" x14ac:dyDescent="0.3">
      <c r="A220" t="s">
        <v>2027</v>
      </c>
      <c r="B220" s="2">
        <v>45447</v>
      </c>
      <c r="C220" t="s">
        <v>782</v>
      </c>
      <c r="D220" t="s">
        <v>1675</v>
      </c>
      <c r="E220" t="s">
        <v>1740</v>
      </c>
      <c r="F220" s="4">
        <v>4</v>
      </c>
      <c r="G220">
        <v>640.97</v>
      </c>
      <c r="H220">
        <v>0.11</v>
      </c>
      <c r="I220" t="s">
        <v>1812</v>
      </c>
      <c r="J220">
        <v>2281.8532</v>
      </c>
      <c r="K220" t="s">
        <v>783</v>
      </c>
      <c r="L220">
        <v>32</v>
      </c>
      <c r="M220" t="str">
        <v>Male</v>
      </c>
      <c r="N220" t="str">
        <f>VLOOKUP(C:C,Customer_Dim!B:I,5,1)</f>
        <v>South Regina</v>
      </c>
      <c r="O220" t="str">
        <f>VLOOKUP(C:C,Customer_Dim!B:I,6,1)</f>
        <v>Arkansas</v>
      </c>
      <c r="P220" t="str">
        <f>VLOOKUP(C:C,Customer_Dim!B:I,7,1)</f>
        <v>USA</v>
      </c>
      <c r="Q220" t="str">
        <f>VLOOKUP(C:C,Customer_Dim!B:I,8,1)</f>
        <v>Bronze</v>
      </c>
      <c r="S220">
        <v>4</v>
      </c>
      <c r="T220">
        <v>640.97</v>
      </c>
      <c r="U220">
        <v>0.11</v>
      </c>
      <c r="V220">
        <v>2281.8532</v>
      </c>
      <c r="X220" s="4">
        <v>4</v>
      </c>
      <c r="Y220">
        <v>640.97</v>
      </c>
      <c r="Z220">
        <v>0.11</v>
      </c>
      <c r="AA220">
        <v>2281.8532</v>
      </c>
    </row>
    <row r="221" spans="1:27" x14ac:dyDescent="0.3">
      <c r="A221" t="s">
        <v>2028</v>
      </c>
      <c r="B221" s="2">
        <v>45225</v>
      </c>
      <c r="C221" t="s">
        <v>657</v>
      </c>
      <c r="D221" t="s">
        <v>1711</v>
      </c>
      <c r="E221" t="s">
        <v>1784</v>
      </c>
      <c r="F221" s="4">
        <v>4</v>
      </c>
      <c r="G221">
        <v>75.37</v>
      </c>
      <c r="H221">
        <v>0.02</v>
      </c>
      <c r="I221" t="s">
        <v>1812</v>
      </c>
      <c r="J221">
        <v>295.4504</v>
      </c>
      <c r="K221" t="s">
        <v>658</v>
      </c>
      <c r="L221">
        <v>52</v>
      </c>
      <c r="M221" t="str">
        <v>Male</v>
      </c>
      <c r="N221" t="str">
        <f>VLOOKUP(C:C,Customer_Dim!B:I,5,1)</f>
        <v>Johnsonland</v>
      </c>
      <c r="O221" t="str">
        <f>VLOOKUP(C:C,Customer_Dim!B:I,6,1)</f>
        <v>Iowa</v>
      </c>
      <c r="P221" t="str">
        <f>VLOOKUP(C:C,Customer_Dim!B:I,7,1)</f>
        <v>USA</v>
      </c>
      <c r="Q221" t="str">
        <f>VLOOKUP(C:C,Customer_Dim!B:I,8,1)</f>
        <v>Platinum</v>
      </c>
      <c r="S221">
        <v>4</v>
      </c>
      <c r="T221">
        <v>75.37</v>
      </c>
      <c r="U221">
        <v>0.02</v>
      </c>
      <c r="V221">
        <v>295.4504</v>
      </c>
      <c r="X221" s="4">
        <v>4</v>
      </c>
      <c r="Y221">
        <v>75.37</v>
      </c>
      <c r="Z221">
        <v>0.02</v>
      </c>
      <c r="AA221">
        <v>295.4504</v>
      </c>
    </row>
    <row r="222" spans="1:27" x14ac:dyDescent="0.3">
      <c r="A222" t="s">
        <v>2029</v>
      </c>
      <c r="B222" s="2">
        <v>45754</v>
      </c>
      <c r="C222" t="s">
        <v>272</v>
      </c>
      <c r="D222" t="s">
        <v>1563</v>
      </c>
      <c r="E222" t="s">
        <v>1793</v>
      </c>
      <c r="F222" s="4">
        <v>3</v>
      </c>
      <c r="G222">
        <v>434.55</v>
      </c>
      <c r="H222">
        <v>0.08</v>
      </c>
      <c r="I222" t="s">
        <v>1812</v>
      </c>
      <c r="J222">
        <v>1199.3579999999999</v>
      </c>
      <c r="K222" t="s">
        <v>273</v>
      </c>
      <c r="L222">
        <v>37</v>
      </c>
      <c r="M222" t="str">
        <v>Male</v>
      </c>
      <c r="N222" t="str">
        <f>VLOOKUP(C:C,Customer_Dim!B:I,5,1)</f>
        <v>Lake Barryfurt</v>
      </c>
      <c r="O222" t="str">
        <f>VLOOKUP(C:C,Customer_Dim!B:I,6,1)</f>
        <v>California</v>
      </c>
      <c r="P222" t="str">
        <f>VLOOKUP(C:C,Customer_Dim!B:I,7,1)</f>
        <v>USA</v>
      </c>
      <c r="Q222" t="str">
        <f>VLOOKUP(C:C,Customer_Dim!B:I,8,1)</f>
        <v>Gold</v>
      </c>
      <c r="S222">
        <v>3</v>
      </c>
      <c r="T222">
        <v>434.55</v>
      </c>
      <c r="U222">
        <v>0.08</v>
      </c>
      <c r="V222">
        <v>1199.3579999999999</v>
      </c>
      <c r="X222" s="4">
        <v>3</v>
      </c>
      <c r="Y222">
        <v>434.55</v>
      </c>
      <c r="Z222">
        <v>0.08</v>
      </c>
      <c r="AA222">
        <v>1199.3579999999999</v>
      </c>
    </row>
    <row r="223" spans="1:27" x14ac:dyDescent="0.3">
      <c r="A223" t="s">
        <v>2030</v>
      </c>
      <c r="B223" s="2">
        <v>45729</v>
      </c>
      <c r="C223" t="s">
        <v>348</v>
      </c>
      <c r="D223" t="s">
        <v>1583</v>
      </c>
      <c r="E223" t="s">
        <v>1782</v>
      </c>
      <c r="F223" s="4">
        <v>4</v>
      </c>
      <c r="G223">
        <v>652.28</v>
      </c>
      <c r="H223">
        <v>0.15</v>
      </c>
      <c r="I223" t="s">
        <v>1807</v>
      </c>
      <c r="J223">
        <v>2217.752</v>
      </c>
      <c r="K223" t="s">
        <v>349</v>
      </c>
      <c r="L223">
        <v>53</v>
      </c>
      <c r="M223" t="str">
        <v>Female</v>
      </c>
      <c r="N223" t="str">
        <f>VLOOKUP(C:C,Customer_Dim!B:I,5,1)</f>
        <v>South Dustin</v>
      </c>
      <c r="O223" t="str">
        <f>VLOOKUP(C:C,Customer_Dim!B:I,6,1)</f>
        <v>Tennessee</v>
      </c>
      <c r="P223" t="str">
        <f>VLOOKUP(C:C,Customer_Dim!B:I,7,1)</f>
        <v>USA</v>
      </c>
      <c r="Q223" t="str">
        <f>VLOOKUP(C:C,Customer_Dim!B:I,8,1)</f>
        <v>Silver</v>
      </c>
      <c r="S223">
        <v>4</v>
      </c>
      <c r="T223">
        <v>652.28</v>
      </c>
      <c r="U223">
        <v>0.15</v>
      </c>
      <c r="V223">
        <v>2217.752</v>
      </c>
      <c r="X223" s="4">
        <v>4</v>
      </c>
      <c r="Y223">
        <v>652.28</v>
      </c>
      <c r="Z223">
        <v>0.15</v>
      </c>
      <c r="AA223">
        <v>2217.752</v>
      </c>
    </row>
    <row r="224" spans="1:27" x14ac:dyDescent="0.3">
      <c r="A224" t="s">
        <v>2031</v>
      </c>
      <c r="B224" s="2">
        <v>45480</v>
      </c>
      <c r="C224" t="s">
        <v>850</v>
      </c>
      <c r="D224" t="s">
        <v>1683</v>
      </c>
      <c r="E224" t="s">
        <v>1790</v>
      </c>
      <c r="F224" s="4">
        <v>3</v>
      </c>
      <c r="G224">
        <v>207.8</v>
      </c>
      <c r="H224">
        <v>0.15</v>
      </c>
      <c r="I224" t="s">
        <v>1807</v>
      </c>
      <c r="J224">
        <v>529.8900000000001</v>
      </c>
      <c r="K224" t="s">
        <v>851</v>
      </c>
      <c r="L224">
        <v>31</v>
      </c>
      <c r="M224" t="str">
        <v>Female</v>
      </c>
      <c r="N224" t="str">
        <f>VLOOKUP(C:C,Customer_Dim!B:I,5,1)</f>
        <v>Emilytown</v>
      </c>
      <c r="O224" t="str">
        <f>VLOOKUP(C:C,Customer_Dim!B:I,6,1)</f>
        <v>California</v>
      </c>
      <c r="P224" t="str">
        <f>VLOOKUP(C:C,Customer_Dim!B:I,7,1)</f>
        <v>USA</v>
      </c>
      <c r="Q224" t="str">
        <f>VLOOKUP(C:C,Customer_Dim!B:I,8,1)</f>
        <v>Silver</v>
      </c>
      <c r="S224">
        <v>3</v>
      </c>
      <c r="T224">
        <v>207.8</v>
      </c>
      <c r="U224">
        <v>0.15</v>
      </c>
      <c r="V224">
        <v>529.8900000000001</v>
      </c>
      <c r="X224" s="4">
        <v>3</v>
      </c>
      <c r="Y224">
        <v>207.8</v>
      </c>
      <c r="Z224">
        <v>0.15</v>
      </c>
      <c r="AA224">
        <v>529.8900000000001</v>
      </c>
    </row>
    <row r="225" spans="1:27" x14ac:dyDescent="0.3">
      <c r="A225" t="s">
        <v>2032</v>
      </c>
      <c r="B225" s="2">
        <v>45361</v>
      </c>
      <c r="C225" t="s">
        <v>1504</v>
      </c>
      <c r="D225" t="s">
        <v>1653</v>
      </c>
      <c r="E225" t="s">
        <v>1784</v>
      </c>
      <c r="F225" s="4">
        <v>4</v>
      </c>
      <c r="G225">
        <v>385.5</v>
      </c>
      <c r="H225">
        <v>0.03</v>
      </c>
      <c r="I225" t="s">
        <v>1809</v>
      </c>
      <c r="J225">
        <v>1495.74</v>
      </c>
      <c r="K225" t="s">
        <v>1505</v>
      </c>
      <c r="L225">
        <v>56</v>
      </c>
      <c r="M225" t="str">
        <v>Male</v>
      </c>
      <c r="N225" t="str">
        <f>VLOOKUP(C:C,Customer_Dim!B:I,5,1)</f>
        <v>Bryanmouth</v>
      </c>
      <c r="O225" t="str">
        <f>VLOOKUP(C:C,Customer_Dim!B:I,6,1)</f>
        <v>Delaware</v>
      </c>
      <c r="P225" t="str">
        <f>VLOOKUP(C:C,Customer_Dim!B:I,7,1)</f>
        <v>USA</v>
      </c>
      <c r="Q225" t="str">
        <f>VLOOKUP(C:C,Customer_Dim!B:I,8,1)</f>
        <v>Bronze</v>
      </c>
      <c r="S225">
        <v>4</v>
      </c>
      <c r="T225">
        <v>385.5</v>
      </c>
      <c r="U225">
        <v>0.03</v>
      </c>
      <c r="V225">
        <v>1495.74</v>
      </c>
      <c r="X225" s="4">
        <v>4</v>
      </c>
      <c r="Y225">
        <v>385.5</v>
      </c>
      <c r="Z225">
        <v>0.03</v>
      </c>
      <c r="AA225">
        <v>1495.74</v>
      </c>
    </row>
    <row r="226" spans="1:27" x14ac:dyDescent="0.3">
      <c r="A226" t="s">
        <v>2033</v>
      </c>
      <c r="B226" s="2">
        <v>45915</v>
      </c>
      <c r="C226" t="s">
        <v>339</v>
      </c>
      <c r="D226" t="s">
        <v>1661</v>
      </c>
      <c r="E226" t="s">
        <v>1759</v>
      </c>
      <c r="F226" s="4">
        <v>3</v>
      </c>
      <c r="G226">
        <v>548.19000000000005</v>
      </c>
      <c r="H226">
        <v>0.12</v>
      </c>
      <c r="I226" t="s">
        <v>1807</v>
      </c>
      <c r="J226">
        <v>1447.2216000000001</v>
      </c>
      <c r="K226" t="s">
        <v>340</v>
      </c>
      <c r="L226">
        <v>36</v>
      </c>
      <c r="M226" t="str">
        <v>Male</v>
      </c>
      <c r="N226" t="str">
        <f>VLOOKUP(C:C,Customer_Dim!B:I,5,1)</f>
        <v>Timothyburgh</v>
      </c>
      <c r="O226" t="str">
        <f>VLOOKUP(C:C,Customer_Dim!B:I,6,1)</f>
        <v>Louisiana</v>
      </c>
      <c r="P226" t="str">
        <f>VLOOKUP(C:C,Customer_Dim!B:I,7,1)</f>
        <v>USA</v>
      </c>
      <c r="Q226" t="str">
        <f>VLOOKUP(C:C,Customer_Dim!B:I,8,1)</f>
        <v>Platinum</v>
      </c>
      <c r="S226">
        <v>3</v>
      </c>
      <c r="T226">
        <v>548.19000000000005</v>
      </c>
      <c r="U226">
        <v>0.12</v>
      </c>
      <c r="V226">
        <v>1447.2216000000001</v>
      </c>
      <c r="X226" s="4">
        <v>3</v>
      </c>
      <c r="Y226">
        <v>548.19000000000005</v>
      </c>
      <c r="Z226">
        <v>0.12</v>
      </c>
      <c r="AA226">
        <v>1447.2216000000001</v>
      </c>
    </row>
    <row r="227" spans="1:27" x14ac:dyDescent="0.3">
      <c r="A227" t="s">
        <v>2034</v>
      </c>
      <c r="B227" s="2">
        <v>45607</v>
      </c>
      <c r="C227" t="s">
        <v>252</v>
      </c>
      <c r="D227" t="s">
        <v>1677</v>
      </c>
      <c r="E227" t="s">
        <v>1769</v>
      </c>
      <c r="F227" s="4">
        <v>3</v>
      </c>
      <c r="G227">
        <v>927.6</v>
      </c>
      <c r="H227">
        <v>0.09</v>
      </c>
      <c r="I227" t="s">
        <v>1807</v>
      </c>
      <c r="J227">
        <v>2532.348</v>
      </c>
      <c r="K227" t="s">
        <v>253</v>
      </c>
      <c r="L227">
        <v>29</v>
      </c>
      <c r="M227" t="str">
        <v>Female</v>
      </c>
      <c r="N227" t="str">
        <f>VLOOKUP(C:C,Customer_Dim!B:I,5,1)</f>
        <v>North Cynthiatown</v>
      </c>
      <c r="O227" t="str">
        <f>VLOOKUP(C:C,Customer_Dim!B:I,6,1)</f>
        <v>New Jersey</v>
      </c>
      <c r="P227" t="str">
        <f>VLOOKUP(C:C,Customer_Dim!B:I,7,1)</f>
        <v>USA</v>
      </c>
      <c r="Q227" t="str">
        <f>VLOOKUP(C:C,Customer_Dim!B:I,8,1)</f>
        <v>Platinum</v>
      </c>
      <c r="S227">
        <v>3</v>
      </c>
      <c r="T227">
        <v>927.6</v>
      </c>
      <c r="U227">
        <v>0.09</v>
      </c>
      <c r="V227">
        <v>2532.348</v>
      </c>
      <c r="X227" s="4">
        <v>3</v>
      </c>
      <c r="Y227">
        <v>927.6</v>
      </c>
      <c r="Z227">
        <v>0.09</v>
      </c>
      <c r="AA227">
        <v>2532.348</v>
      </c>
    </row>
    <row r="228" spans="1:27" x14ac:dyDescent="0.3">
      <c r="A228" t="s">
        <v>2035</v>
      </c>
      <c r="B228" s="2">
        <v>45666</v>
      </c>
      <c r="C228" t="s">
        <v>842</v>
      </c>
      <c r="D228" t="s">
        <v>1653</v>
      </c>
      <c r="E228" t="s">
        <v>1749</v>
      </c>
      <c r="F228" s="4">
        <v>4</v>
      </c>
      <c r="G228">
        <v>585.04</v>
      </c>
      <c r="H228">
        <v>0.22</v>
      </c>
      <c r="I228" t="s">
        <v>1809</v>
      </c>
      <c r="J228">
        <v>1825.3248000000001</v>
      </c>
      <c r="K228" t="s">
        <v>843</v>
      </c>
      <c r="L228">
        <v>18</v>
      </c>
      <c r="M228" t="str">
        <v>Male</v>
      </c>
      <c r="N228" t="str">
        <f>VLOOKUP(C:C,Customer_Dim!B:I,5,1)</f>
        <v>South Gina</v>
      </c>
      <c r="O228" t="str">
        <f>VLOOKUP(C:C,Customer_Dim!B:I,6,1)</f>
        <v>Kentucky</v>
      </c>
      <c r="P228" t="str">
        <f>VLOOKUP(C:C,Customer_Dim!B:I,7,1)</f>
        <v>USA</v>
      </c>
      <c r="Q228" t="str">
        <f>VLOOKUP(C:C,Customer_Dim!B:I,8,1)</f>
        <v>Bronze</v>
      </c>
      <c r="S228">
        <v>4</v>
      </c>
      <c r="T228">
        <v>585.04</v>
      </c>
      <c r="U228">
        <v>0.22</v>
      </c>
      <c r="V228">
        <v>1825.3248000000001</v>
      </c>
      <c r="X228" s="4">
        <v>4</v>
      </c>
      <c r="Y228">
        <v>585.04</v>
      </c>
      <c r="Z228">
        <v>0.22</v>
      </c>
      <c r="AA228">
        <v>1825.3248000000001</v>
      </c>
    </row>
    <row r="229" spans="1:27" x14ac:dyDescent="0.3">
      <c r="A229" t="s">
        <v>2036</v>
      </c>
      <c r="B229" s="2">
        <v>45406</v>
      </c>
      <c r="C229" t="s">
        <v>1516</v>
      </c>
      <c r="D229" t="s">
        <v>1609</v>
      </c>
      <c r="E229" t="s">
        <v>1744</v>
      </c>
      <c r="F229" s="4">
        <v>2</v>
      </c>
      <c r="G229">
        <v>999.89</v>
      </c>
      <c r="H229">
        <v>0.09</v>
      </c>
      <c r="I229" t="s">
        <v>1807</v>
      </c>
      <c r="J229">
        <v>1819.7998</v>
      </c>
      <c r="K229" t="s">
        <v>1517</v>
      </c>
      <c r="L229">
        <v>0</v>
      </c>
      <c r="M229" t="str">
        <v>Female</v>
      </c>
      <c r="N229" t="str">
        <f>VLOOKUP(C:C,Customer_Dim!B:I,5,1)</f>
        <v>East Valerieview</v>
      </c>
      <c r="O229" t="str">
        <f>VLOOKUP(C:C,Customer_Dim!B:I,6,1)</f>
        <v>Oregon</v>
      </c>
      <c r="P229" t="str">
        <f>VLOOKUP(C:C,Customer_Dim!B:I,7,1)</f>
        <v>USA</v>
      </c>
      <c r="Q229" t="str">
        <f>VLOOKUP(C:C,Customer_Dim!B:I,8,1)</f>
        <v>Platinum</v>
      </c>
      <c r="S229">
        <v>2</v>
      </c>
      <c r="T229">
        <v>999.89</v>
      </c>
      <c r="U229">
        <v>0.09</v>
      </c>
      <c r="V229">
        <v>1819.7998</v>
      </c>
      <c r="X229" s="4">
        <v>2</v>
      </c>
      <c r="Y229">
        <v>999.89</v>
      </c>
      <c r="Z229">
        <v>0.09</v>
      </c>
      <c r="AA229">
        <v>1819.7998</v>
      </c>
    </row>
    <row r="230" spans="1:27" x14ac:dyDescent="0.3">
      <c r="A230" t="s">
        <v>2037</v>
      </c>
      <c r="B230" s="2">
        <v>45284</v>
      </c>
      <c r="C230" t="s">
        <v>373</v>
      </c>
      <c r="D230" t="s">
        <v>1681</v>
      </c>
      <c r="E230" t="s">
        <v>1749</v>
      </c>
      <c r="F230" s="4">
        <v>2</v>
      </c>
      <c r="G230">
        <v>848.98</v>
      </c>
      <c r="H230">
        <v>0.04</v>
      </c>
      <c r="I230" t="s">
        <v>1809</v>
      </c>
      <c r="J230">
        <v>1630.0416</v>
      </c>
      <c r="K230" t="s">
        <v>374</v>
      </c>
      <c r="L230">
        <v>38</v>
      </c>
      <c r="M230" t="str">
        <v>Male</v>
      </c>
      <c r="N230" t="str">
        <f>VLOOKUP(C:C,Customer_Dim!B:I,5,1)</f>
        <v>North Justin</v>
      </c>
      <c r="O230" t="str">
        <f>VLOOKUP(C:C,Customer_Dim!B:I,6,1)</f>
        <v>North Dakota</v>
      </c>
      <c r="P230" t="str">
        <f>VLOOKUP(C:C,Customer_Dim!B:I,7,1)</f>
        <v>USA</v>
      </c>
      <c r="Q230" t="str">
        <f>VLOOKUP(C:C,Customer_Dim!B:I,8,1)</f>
        <v>Platinum</v>
      </c>
      <c r="S230">
        <v>2</v>
      </c>
      <c r="T230">
        <v>848.98</v>
      </c>
      <c r="U230">
        <v>0.04</v>
      </c>
      <c r="V230">
        <v>1630.0416</v>
      </c>
      <c r="X230" s="4">
        <v>2</v>
      </c>
      <c r="Y230">
        <v>848.98</v>
      </c>
      <c r="Z230">
        <v>0.04</v>
      </c>
      <c r="AA230">
        <v>1630.0416</v>
      </c>
    </row>
    <row r="231" spans="1:27" x14ac:dyDescent="0.3">
      <c r="A231" t="s">
        <v>2038</v>
      </c>
      <c r="B231" s="2">
        <v>45348</v>
      </c>
      <c r="C231" t="s">
        <v>476</v>
      </c>
      <c r="D231" t="s">
        <v>1651</v>
      </c>
      <c r="E231" t="s">
        <v>1782</v>
      </c>
      <c r="F231" s="4">
        <v>3</v>
      </c>
      <c r="G231">
        <v>769.56</v>
      </c>
      <c r="H231">
        <v>0.08</v>
      </c>
      <c r="I231" t="s">
        <v>1807</v>
      </c>
      <c r="J231">
        <v>2123.9856</v>
      </c>
      <c r="K231" t="s">
        <v>477</v>
      </c>
      <c r="L231">
        <v>46</v>
      </c>
      <c r="M231" t="str">
        <v>Male</v>
      </c>
      <c r="N231" t="str">
        <f>VLOOKUP(C:C,Customer_Dim!B:I,5,1)</f>
        <v>West Brandon</v>
      </c>
      <c r="O231" t="str">
        <f>VLOOKUP(C:C,Customer_Dim!B:I,6,1)</f>
        <v>Montana</v>
      </c>
      <c r="P231" t="str">
        <f>VLOOKUP(C:C,Customer_Dim!B:I,7,1)</f>
        <v>USA</v>
      </c>
      <c r="Q231" t="str">
        <f>VLOOKUP(C:C,Customer_Dim!B:I,8,1)</f>
        <v>Bronze</v>
      </c>
      <c r="S231">
        <v>3</v>
      </c>
      <c r="T231">
        <v>769.56</v>
      </c>
      <c r="U231">
        <v>0.08</v>
      </c>
      <c r="V231">
        <v>2123.9856</v>
      </c>
      <c r="X231" s="4">
        <v>3</v>
      </c>
      <c r="Y231">
        <v>769.56</v>
      </c>
      <c r="Z231">
        <v>0.08</v>
      </c>
      <c r="AA231">
        <v>2123.9856</v>
      </c>
    </row>
    <row r="232" spans="1:27" x14ac:dyDescent="0.3">
      <c r="A232" t="s">
        <v>2039</v>
      </c>
      <c r="B232" s="2">
        <v>45676</v>
      </c>
      <c r="C232" t="s">
        <v>185</v>
      </c>
      <c r="D232" t="s">
        <v>1627</v>
      </c>
      <c r="E232" t="s">
        <v>1780</v>
      </c>
      <c r="F232" s="4">
        <v>3</v>
      </c>
      <c r="G232">
        <v>449.88</v>
      </c>
      <c r="H232">
        <v>0.1</v>
      </c>
      <c r="I232" t="s">
        <v>1809</v>
      </c>
      <c r="J232">
        <v>1214.6759999999999</v>
      </c>
      <c r="K232" t="s">
        <v>186</v>
      </c>
      <c r="L232">
        <v>61</v>
      </c>
      <c r="M232" t="str">
        <v>Female</v>
      </c>
      <c r="N232" t="str">
        <f>VLOOKUP(C:C,Customer_Dim!B:I,5,1)</f>
        <v>New Amy</v>
      </c>
      <c r="O232" t="str">
        <f>VLOOKUP(C:C,Customer_Dim!B:I,6,1)</f>
        <v>Ohio</v>
      </c>
      <c r="P232" t="str">
        <f>VLOOKUP(C:C,Customer_Dim!B:I,7,1)</f>
        <v>USA</v>
      </c>
      <c r="Q232" t="str">
        <f>VLOOKUP(C:C,Customer_Dim!B:I,8,1)</f>
        <v>Gold</v>
      </c>
      <c r="S232">
        <v>3</v>
      </c>
      <c r="T232">
        <v>449.88</v>
      </c>
      <c r="U232">
        <v>0.1</v>
      </c>
      <c r="V232">
        <v>1214.6759999999999</v>
      </c>
      <c r="X232" s="4">
        <v>3</v>
      </c>
      <c r="Y232">
        <v>449.88</v>
      </c>
      <c r="Z232">
        <v>0.1</v>
      </c>
      <c r="AA232">
        <v>1214.6759999999999</v>
      </c>
    </row>
    <row r="233" spans="1:27" x14ac:dyDescent="0.3">
      <c r="A233" t="s">
        <v>2040</v>
      </c>
      <c r="B233" s="2">
        <v>45863</v>
      </c>
      <c r="C233" t="s">
        <v>867</v>
      </c>
      <c r="D233" t="s">
        <v>1669</v>
      </c>
      <c r="E233" t="s">
        <v>1777</v>
      </c>
      <c r="F233" s="4">
        <v>4</v>
      </c>
      <c r="G233">
        <v>383.74</v>
      </c>
      <c r="H233">
        <v>0.01</v>
      </c>
      <c r="I233" t="s">
        <v>1807</v>
      </c>
      <c r="J233">
        <v>1519.6104</v>
      </c>
      <c r="K233" t="s">
        <v>868</v>
      </c>
      <c r="L233">
        <v>38</v>
      </c>
      <c r="M233" t="str">
        <v>Male</v>
      </c>
      <c r="N233" t="str">
        <f>VLOOKUP(C:C,Customer_Dim!B:I,5,1)</f>
        <v>North Austinport</v>
      </c>
      <c r="O233" t="str">
        <f>VLOOKUP(C:C,Customer_Dim!B:I,6,1)</f>
        <v>Kentucky</v>
      </c>
      <c r="P233" t="str">
        <f>VLOOKUP(C:C,Customer_Dim!B:I,7,1)</f>
        <v>USA</v>
      </c>
      <c r="Q233" t="str">
        <f>VLOOKUP(C:C,Customer_Dim!B:I,8,1)</f>
        <v>Gold</v>
      </c>
      <c r="S233">
        <v>4</v>
      </c>
      <c r="T233">
        <v>383.74</v>
      </c>
      <c r="U233">
        <v>0.01</v>
      </c>
      <c r="V233">
        <v>1519.6104</v>
      </c>
      <c r="X233" s="4">
        <v>4</v>
      </c>
      <c r="Y233">
        <v>383.74</v>
      </c>
      <c r="Z233">
        <v>0.01</v>
      </c>
      <c r="AA233">
        <v>1519.6104</v>
      </c>
    </row>
    <row r="234" spans="1:27" x14ac:dyDescent="0.3">
      <c r="A234" t="s">
        <v>2041</v>
      </c>
      <c r="B234" s="2">
        <v>45409</v>
      </c>
      <c r="C234" t="s">
        <v>494</v>
      </c>
      <c r="D234" t="s">
        <v>1647</v>
      </c>
      <c r="E234" t="s">
        <v>1772</v>
      </c>
      <c r="F234" s="4">
        <v>4</v>
      </c>
      <c r="G234">
        <v>794.97</v>
      </c>
      <c r="H234">
        <v>0.24</v>
      </c>
      <c r="I234" t="s">
        <v>1809</v>
      </c>
      <c r="J234">
        <v>2416.7087999999999</v>
      </c>
      <c r="K234" t="s">
        <v>495</v>
      </c>
      <c r="L234">
        <v>33</v>
      </c>
      <c r="M234" t="str">
        <v>Male</v>
      </c>
      <c r="N234" t="str">
        <f>VLOOKUP(C:C,Customer_Dim!B:I,5,1)</f>
        <v>New Brian</v>
      </c>
      <c r="O234" t="str">
        <f>VLOOKUP(C:C,Customer_Dim!B:I,6,1)</f>
        <v>Wisconsin</v>
      </c>
      <c r="P234" t="str">
        <f>VLOOKUP(C:C,Customer_Dim!B:I,7,1)</f>
        <v>USA</v>
      </c>
      <c r="Q234" t="str">
        <f>VLOOKUP(C:C,Customer_Dim!B:I,8,1)</f>
        <v>Bronze</v>
      </c>
      <c r="S234">
        <v>4</v>
      </c>
      <c r="T234">
        <v>794.97</v>
      </c>
      <c r="U234">
        <v>0.24</v>
      </c>
      <c r="V234">
        <v>2416.7087999999999</v>
      </c>
      <c r="X234" s="4">
        <v>4</v>
      </c>
      <c r="Y234">
        <v>794.97</v>
      </c>
      <c r="Z234">
        <v>0.24</v>
      </c>
      <c r="AA234">
        <v>2416.7087999999999</v>
      </c>
    </row>
    <row r="235" spans="1:27" x14ac:dyDescent="0.3">
      <c r="A235" t="s">
        <v>2042</v>
      </c>
      <c r="B235" s="2">
        <v>45880</v>
      </c>
      <c r="C235" t="s">
        <v>52</v>
      </c>
      <c r="D235" t="s">
        <v>1689</v>
      </c>
      <c r="E235" t="s">
        <v>1756</v>
      </c>
      <c r="F235" s="4">
        <v>1</v>
      </c>
      <c r="G235">
        <v>989.63</v>
      </c>
      <c r="H235">
        <v>0.05</v>
      </c>
      <c r="I235" t="s">
        <v>1809</v>
      </c>
      <c r="J235">
        <v>940.1484999999999</v>
      </c>
      <c r="K235" t="s">
        <v>53</v>
      </c>
      <c r="L235">
        <v>28</v>
      </c>
      <c r="M235" t="str">
        <v>Female</v>
      </c>
      <c r="N235" t="str">
        <f>VLOOKUP(C:C,Customer_Dim!B:I,5,1)</f>
        <v>Port Michaelburgh</v>
      </c>
      <c r="O235" t="str">
        <f>VLOOKUP(C:C,Customer_Dim!B:I,6,1)</f>
        <v>Pennsylvania</v>
      </c>
      <c r="P235" t="str">
        <f>VLOOKUP(C:C,Customer_Dim!B:I,7,1)</f>
        <v>USA</v>
      </c>
      <c r="Q235" t="str">
        <f>VLOOKUP(C:C,Customer_Dim!B:I,8,1)</f>
        <v>Bronze</v>
      </c>
      <c r="S235">
        <v>1</v>
      </c>
      <c r="T235">
        <v>989.63</v>
      </c>
      <c r="U235">
        <v>0.05</v>
      </c>
      <c r="V235">
        <v>940.1484999999999</v>
      </c>
      <c r="X235" s="4">
        <v>1</v>
      </c>
      <c r="Y235">
        <v>989.63</v>
      </c>
      <c r="Z235">
        <v>0.05</v>
      </c>
      <c r="AA235">
        <v>940.1484999999999</v>
      </c>
    </row>
    <row r="236" spans="1:27" x14ac:dyDescent="0.3">
      <c r="A236" t="s">
        <v>2043</v>
      </c>
      <c r="B236" s="2">
        <v>45731</v>
      </c>
      <c r="C236" t="s">
        <v>1042</v>
      </c>
      <c r="D236" t="s">
        <v>1639</v>
      </c>
      <c r="E236" t="s">
        <v>1735</v>
      </c>
      <c r="F236" s="4">
        <v>1</v>
      </c>
      <c r="G236">
        <v>447.16</v>
      </c>
      <c r="H236">
        <v>0.22</v>
      </c>
      <c r="I236" t="s">
        <v>1812</v>
      </c>
      <c r="J236">
        <v>348.78480000000002</v>
      </c>
      <c r="K236" t="s">
        <v>1043</v>
      </c>
      <c r="L236">
        <v>58</v>
      </c>
      <c r="M236" t="str">
        <v>Female</v>
      </c>
      <c r="N236" t="str">
        <f>VLOOKUP(C:C,Customer_Dim!B:I,5,1)</f>
        <v>West Brendamouth</v>
      </c>
      <c r="O236" t="str">
        <f>VLOOKUP(C:C,Customer_Dim!B:I,6,1)</f>
        <v>North Carolina</v>
      </c>
      <c r="P236" t="str">
        <f>VLOOKUP(C:C,Customer_Dim!B:I,7,1)</f>
        <v>USA</v>
      </c>
      <c r="Q236" t="str">
        <f>VLOOKUP(C:C,Customer_Dim!B:I,8,1)</f>
        <v>Platinum</v>
      </c>
      <c r="S236">
        <v>1</v>
      </c>
      <c r="T236">
        <v>447.16</v>
      </c>
      <c r="U236">
        <v>0.22</v>
      </c>
      <c r="V236">
        <v>348.78480000000002</v>
      </c>
      <c r="X236" s="4">
        <v>1</v>
      </c>
      <c r="Y236">
        <v>447.16</v>
      </c>
      <c r="Z236">
        <v>0.22</v>
      </c>
      <c r="AA236">
        <v>348.78480000000002</v>
      </c>
    </row>
    <row r="237" spans="1:27" x14ac:dyDescent="0.3">
      <c r="A237" t="s">
        <v>2044</v>
      </c>
      <c r="B237" s="2">
        <v>45671</v>
      </c>
      <c r="C237" t="s">
        <v>44</v>
      </c>
      <c r="D237" t="s">
        <v>1719</v>
      </c>
      <c r="E237" t="s">
        <v>1759</v>
      </c>
      <c r="F237" s="4">
        <v>1</v>
      </c>
      <c r="G237">
        <v>946.9</v>
      </c>
      <c r="H237">
        <v>0.28999999999999998</v>
      </c>
      <c r="I237" t="s">
        <v>1812</v>
      </c>
      <c r="J237">
        <v>672.29899999999998</v>
      </c>
      <c r="K237" t="s">
        <v>45</v>
      </c>
      <c r="L237">
        <v>64</v>
      </c>
      <c r="M237" t="str">
        <v>Male</v>
      </c>
      <c r="N237" t="str">
        <f>VLOOKUP(C:C,Customer_Dim!B:I,5,1)</f>
        <v>Maynardton</v>
      </c>
      <c r="O237" t="str">
        <f>VLOOKUP(C:C,Customer_Dim!B:I,6,1)</f>
        <v>New Hampshire</v>
      </c>
      <c r="P237" t="str">
        <f>VLOOKUP(C:C,Customer_Dim!B:I,7,1)</f>
        <v>USA</v>
      </c>
      <c r="Q237" t="str">
        <f>VLOOKUP(C:C,Customer_Dim!B:I,8,1)</f>
        <v>Gold</v>
      </c>
      <c r="S237">
        <v>1</v>
      </c>
      <c r="T237">
        <v>946.9</v>
      </c>
      <c r="U237">
        <v>0.28999999999999998</v>
      </c>
      <c r="V237">
        <v>672.29899999999998</v>
      </c>
      <c r="X237" s="4">
        <v>1</v>
      </c>
      <c r="Y237">
        <v>946.9</v>
      </c>
      <c r="Z237">
        <v>0.28999999999999998</v>
      </c>
      <c r="AA237">
        <v>672.29899999999998</v>
      </c>
    </row>
    <row r="238" spans="1:27" x14ac:dyDescent="0.3">
      <c r="A238" t="s">
        <v>2045</v>
      </c>
      <c r="B238" s="2">
        <v>45809</v>
      </c>
      <c r="C238" t="s">
        <v>557</v>
      </c>
      <c r="D238" t="s">
        <v>1565</v>
      </c>
      <c r="E238" t="s">
        <v>1735</v>
      </c>
      <c r="F238" s="4">
        <v>4</v>
      </c>
      <c r="G238">
        <v>469.68</v>
      </c>
      <c r="H238">
        <v>0.19</v>
      </c>
      <c r="I238" t="s">
        <v>1807</v>
      </c>
      <c r="J238">
        <v>1521.7632000000001</v>
      </c>
      <c r="K238" t="s">
        <v>558</v>
      </c>
      <c r="L238">
        <v>18</v>
      </c>
      <c r="M238" t="str">
        <v>Male</v>
      </c>
      <c r="N238" t="str">
        <f>VLOOKUP(C:C,Customer_Dim!B:I,5,1)</f>
        <v>Josephmouth</v>
      </c>
      <c r="O238" t="str">
        <f>VLOOKUP(C:C,Customer_Dim!B:I,6,1)</f>
        <v>New Hampshire</v>
      </c>
      <c r="P238" t="str">
        <f>VLOOKUP(C:C,Customer_Dim!B:I,7,1)</f>
        <v>USA</v>
      </c>
      <c r="Q238" t="str">
        <f>VLOOKUP(C:C,Customer_Dim!B:I,8,1)</f>
        <v>Bronze</v>
      </c>
      <c r="S238">
        <v>4</v>
      </c>
      <c r="T238">
        <v>469.68</v>
      </c>
      <c r="U238">
        <v>0.19</v>
      </c>
      <c r="V238">
        <v>1521.7632000000001</v>
      </c>
      <c r="X238" s="4">
        <v>4</v>
      </c>
      <c r="Y238">
        <v>469.68</v>
      </c>
      <c r="Z238">
        <v>0.19</v>
      </c>
      <c r="AA238">
        <v>1521.7632000000001</v>
      </c>
    </row>
    <row r="239" spans="1:27" x14ac:dyDescent="0.3">
      <c r="A239" t="s">
        <v>2046</v>
      </c>
      <c r="B239" s="2">
        <v>45559</v>
      </c>
      <c r="C239" t="s">
        <v>1501</v>
      </c>
      <c r="D239" t="s">
        <v>1587</v>
      </c>
      <c r="E239" t="s">
        <v>1790</v>
      </c>
      <c r="F239" s="4">
        <v>4</v>
      </c>
      <c r="G239">
        <v>320.64</v>
      </c>
      <c r="H239">
        <v>0.2</v>
      </c>
      <c r="I239" t="s">
        <v>1812</v>
      </c>
      <c r="J239">
        <v>1026.048</v>
      </c>
      <c r="K239" t="s">
        <v>1502</v>
      </c>
      <c r="L239">
        <v>23</v>
      </c>
      <c r="M239" t="str">
        <v>Female</v>
      </c>
      <c r="N239" t="str">
        <f>VLOOKUP(C:C,Customer_Dim!B:I,5,1)</f>
        <v>Port Cheryl</v>
      </c>
      <c r="O239" t="str">
        <f>VLOOKUP(C:C,Customer_Dim!B:I,6,1)</f>
        <v>Texas</v>
      </c>
      <c r="P239" t="str">
        <f>VLOOKUP(C:C,Customer_Dim!B:I,7,1)</f>
        <v>USA</v>
      </c>
      <c r="Q239" t="str">
        <f>VLOOKUP(C:C,Customer_Dim!B:I,8,1)</f>
        <v>Gold</v>
      </c>
      <c r="S239">
        <v>4</v>
      </c>
      <c r="T239">
        <v>320.64</v>
      </c>
      <c r="U239">
        <v>0.2</v>
      </c>
      <c r="V239">
        <v>1026.048</v>
      </c>
      <c r="X239" s="4">
        <v>4</v>
      </c>
      <c r="Y239">
        <v>320.64</v>
      </c>
      <c r="Z239">
        <v>0.2</v>
      </c>
      <c r="AA239">
        <v>1026.048</v>
      </c>
    </row>
    <row r="240" spans="1:27" x14ac:dyDescent="0.3">
      <c r="A240" t="s">
        <v>2047</v>
      </c>
      <c r="B240" s="2">
        <v>45253</v>
      </c>
      <c r="C240" t="s">
        <v>456</v>
      </c>
      <c r="D240" t="s">
        <v>1561</v>
      </c>
      <c r="E240" t="s">
        <v>1756</v>
      </c>
      <c r="F240" s="4">
        <v>1</v>
      </c>
      <c r="G240">
        <v>594.44000000000005</v>
      </c>
      <c r="H240">
        <v>0.21</v>
      </c>
      <c r="I240" t="s">
        <v>1807</v>
      </c>
      <c r="J240">
        <v>469.60759999999999</v>
      </c>
      <c r="K240" t="s">
        <v>457</v>
      </c>
      <c r="L240">
        <v>29</v>
      </c>
      <c r="M240" t="str">
        <v>Male</v>
      </c>
      <c r="N240" t="str">
        <f>VLOOKUP(C:C,Customer_Dim!B:I,5,1)</f>
        <v>Gonzalezbury</v>
      </c>
      <c r="O240" t="str">
        <f>VLOOKUP(C:C,Customer_Dim!B:I,6,1)</f>
        <v>Michigan</v>
      </c>
      <c r="P240" t="str">
        <f>VLOOKUP(C:C,Customer_Dim!B:I,7,1)</f>
        <v>USA</v>
      </c>
      <c r="Q240" t="str">
        <f>VLOOKUP(C:C,Customer_Dim!B:I,8,1)</f>
        <v>Platinum</v>
      </c>
      <c r="S240">
        <v>1</v>
      </c>
      <c r="T240">
        <v>594.44000000000005</v>
      </c>
      <c r="U240">
        <v>0.21</v>
      </c>
      <c r="V240">
        <v>469.60759999999999</v>
      </c>
      <c r="X240" s="4">
        <v>1</v>
      </c>
      <c r="Y240">
        <v>594.44000000000005</v>
      </c>
      <c r="Z240">
        <v>0.21</v>
      </c>
      <c r="AA240">
        <v>469.60759999999999</v>
      </c>
    </row>
    <row r="241" spans="1:27" x14ac:dyDescent="0.3">
      <c r="A241" t="s">
        <v>2048</v>
      </c>
      <c r="B241" s="2">
        <v>45861</v>
      </c>
      <c r="C241" t="s">
        <v>696</v>
      </c>
      <c r="D241" t="s">
        <v>1703</v>
      </c>
      <c r="E241" t="s">
        <v>1765</v>
      </c>
      <c r="F241" s="4">
        <v>3</v>
      </c>
      <c r="G241">
        <v>91.7</v>
      </c>
      <c r="H241">
        <v>0.08</v>
      </c>
      <c r="I241" t="s">
        <v>1812</v>
      </c>
      <c r="J241">
        <v>253.09200000000001</v>
      </c>
      <c r="K241" t="s">
        <v>697</v>
      </c>
      <c r="L241">
        <v>42</v>
      </c>
      <c r="M241" t="str">
        <v>Male</v>
      </c>
      <c r="N241" t="str">
        <f>VLOOKUP(C:C,Customer_Dim!B:I,5,1)</f>
        <v>Morrismouth</v>
      </c>
      <c r="O241" t="str">
        <f>VLOOKUP(C:C,Customer_Dim!B:I,6,1)</f>
        <v>California</v>
      </c>
      <c r="P241" t="str">
        <f>VLOOKUP(C:C,Customer_Dim!B:I,7,1)</f>
        <v>USA</v>
      </c>
      <c r="Q241" t="str">
        <f>VLOOKUP(C:C,Customer_Dim!B:I,8,1)</f>
        <v>Platinum</v>
      </c>
      <c r="S241">
        <v>3</v>
      </c>
      <c r="T241">
        <v>91.7</v>
      </c>
      <c r="U241">
        <v>0.08</v>
      </c>
      <c r="V241">
        <v>253.09200000000001</v>
      </c>
      <c r="X241" s="4">
        <v>3</v>
      </c>
      <c r="Y241">
        <v>91.7</v>
      </c>
      <c r="Z241">
        <v>0.08</v>
      </c>
      <c r="AA241">
        <v>253.09200000000001</v>
      </c>
    </row>
    <row r="242" spans="1:27" x14ac:dyDescent="0.3">
      <c r="A242" t="s">
        <v>2049</v>
      </c>
      <c r="B242" s="2">
        <v>45917</v>
      </c>
      <c r="C242" t="s">
        <v>127</v>
      </c>
      <c r="D242" t="s">
        <v>1655</v>
      </c>
      <c r="E242" t="s">
        <v>1777</v>
      </c>
      <c r="F242" s="4">
        <v>3</v>
      </c>
      <c r="G242">
        <v>741.33</v>
      </c>
      <c r="H242">
        <v>0.03</v>
      </c>
      <c r="I242" t="s">
        <v>1807</v>
      </c>
      <c r="J242">
        <v>2157.2703000000001</v>
      </c>
      <c r="K242" t="s">
        <v>128</v>
      </c>
      <c r="L242">
        <v>48</v>
      </c>
      <c r="M242" t="str">
        <v>Female</v>
      </c>
      <c r="N242" t="str">
        <f>VLOOKUP(C:C,Customer_Dim!B:I,5,1)</f>
        <v>Johnsonville</v>
      </c>
      <c r="O242" t="str">
        <f>VLOOKUP(C:C,Customer_Dim!B:I,6,1)</f>
        <v>Oregon</v>
      </c>
      <c r="P242" t="str">
        <f>VLOOKUP(C:C,Customer_Dim!B:I,7,1)</f>
        <v>USA</v>
      </c>
      <c r="Q242" t="str">
        <f>VLOOKUP(C:C,Customer_Dim!B:I,8,1)</f>
        <v>Silver</v>
      </c>
      <c r="S242">
        <v>3</v>
      </c>
      <c r="T242">
        <v>741.33</v>
      </c>
      <c r="U242">
        <v>0.03</v>
      </c>
      <c r="V242">
        <v>2157.2703000000001</v>
      </c>
      <c r="X242" s="4">
        <v>3</v>
      </c>
      <c r="Y242">
        <v>741.33</v>
      </c>
      <c r="Z242">
        <v>0.03</v>
      </c>
      <c r="AA242">
        <v>2157.2703000000001</v>
      </c>
    </row>
    <row r="243" spans="1:27" x14ac:dyDescent="0.3">
      <c r="A243" t="s">
        <v>2050</v>
      </c>
      <c r="B243" s="2">
        <v>45754</v>
      </c>
      <c r="C243" t="s">
        <v>1450</v>
      </c>
      <c r="D243" t="s">
        <v>1563</v>
      </c>
      <c r="E243" t="s">
        <v>1796</v>
      </c>
      <c r="F243" s="4">
        <v>1</v>
      </c>
      <c r="G243">
        <v>922.78</v>
      </c>
      <c r="H243">
        <v>0.28999999999999998</v>
      </c>
      <c r="I243" t="s">
        <v>1812</v>
      </c>
      <c r="J243">
        <v>655.17379999999991</v>
      </c>
      <c r="K243" t="s">
        <v>1451</v>
      </c>
      <c r="L243">
        <v>41</v>
      </c>
      <c r="M243" t="str">
        <v>Female</v>
      </c>
      <c r="N243" t="str">
        <f>VLOOKUP(C:C,Customer_Dim!B:I,5,1)</f>
        <v>Anthonymouth</v>
      </c>
      <c r="O243" t="str">
        <f>VLOOKUP(C:C,Customer_Dim!B:I,6,1)</f>
        <v>Oklahoma</v>
      </c>
      <c r="P243" t="str">
        <f>VLOOKUP(C:C,Customer_Dim!B:I,7,1)</f>
        <v>USA</v>
      </c>
      <c r="Q243" t="str">
        <f>VLOOKUP(C:C,Customer_Dim!B:I,8,1)</f>
        <v>Gold</v>
      </c>
      <c r="S243">
        <v>1</v>
      </c>
      <c r="T243">
        <v>922.78</v>
      </c>
      <c r="U243">
        <v>0.28999999999999998</v>
      </c>
      <c r="V243">
        <v>655.17379999999991</v>
      </c>
      <c r="X243" s="4">
        <v>1</v>
      </c>
      <c r="Y243">
        <v>922.78</v>
      </c>
      <c r="Z243">
        <v>0.28999999999999998</v>
      </c>
      <c r="AA243">
        <v>655.17379999999991</v>
      </c>
    </row>
    <row r="244" spans="1:27" x14ac:dyDescent="0.3">
      <c r="A244" t="s">
        <v>2051</v>
      </c>
      <c r="B244" s="2">
        <v>45312</v>
      </c>
      <c r="C244" t="s">
        <v>1012</v>
      </c>
      <c r="D244" t="s">
        <v>1545</v>
      </c>
      <c r="E244" t="s">
        <v>1787</v>
      </c>
      <c r="F244" s="4">
        <v>1</v>
      </c>
      <c r="G244">
        <v>394.35</v>
      </c>
      <c r="H244">
        <v>0.09</v>
      </c>
      <c r="I244" t="s">
        <v>1809</v>
      </c>
      <c r="J244">
        <v>358.85849999999999</v>
      </c>
      <c r="K244" t="s">
        <v>1013</v>
      </c>
      <c r="L244">
        <v>58</v>
      </c>
      <c r="M244" t="str">
        <v>Female</v>
      </c>
      <c r="N244" t="str">
        <f>VLOOKUP(C:C,Customer_Dim!B:I,5,1)</f>
        <v>East Matthew</v>
      </c>
      <c r="O244" t="str">
        <f>VLOOKUP(C:C,Customer_Dim!B:I,6,1)</f>
        <v>Wisconsin</v>
      </c>
      <c r="P244" t="str">
        <f>VLOOKUP(C:C,Customer_Dim!B:I,7,1)</f>
        <v>USA</v>
      </c>
      <c r="Q244" t="str">
        <f>VLOOKUP(C:C,Customer_Dim!B:I,8,1)</f>
        <v>Bronze</v>
      </c>
      <c r="S244">
        <v>1</v>
      </c>
      <c r="T244">
        <v>394.35</v>
      </c>
      <c r="U244">
        <v>0.09</v>
      </c>
      <c r="V244">
        <v>358.85849999999999</v>
      </c>
      <c r="X244" s="4">
        <v>1</v>
      </c>
      <c r="Y244">
        <v>394.35</v>
      </c>
      <c r="Z244">
        <v>0.09</v>
      </c>
      <c r="AA244">
        <v>358.85849999999999</v>
      </c>
    </row>
    <row r="245" spans="1:27" x14ac:dyDescent="0.3">
      <c r="A245" t="s">
        <v>2052</v>
      </c>
      <c r="B245" s="2">
        <v>45480</v>
      </c>
      <c r="C245" t="s">
        <v>1126</v>
      </c>
      <c r="D245" t="s">
        <v>1661</v>
      </c>
      <c r="E245" t="s">
        <v>1775</v>
      </c>
      <c r="F245" s="4">
        <v>2</v>
      </c>
      <c r="G245">
        <v>703.95</v>
      </c>
      <c r="H245">
        <v>0.03</v>
      </c>
      <c r="I245" t="s">
        <v>1807</v>
      </c>
      <c r="J245">
        <v>1365.663</v>
      </c>
      <c r="K245" t="s">
        <v>1127</v>
      </c>
      <c r="L245">
        <v>63</v>
      </c>
      <c r="M245" t="str">
        <v>Female</v>
      </c>
      <c r="N245" t="str">
        <f>VLOOKUP(C:C,Customer_Dim!B:I,5,1)</f>
        <v>Lake Johnside</v>
      </c>
      <c r="O245" t="str">
        <f>VLOOKUP(C:C,Customer_Dim!B:I,6,1)</f>
        <v>Arizona</v>
      </c>
      <c r="P245" t="str">
        <f>VLOOKUP(C:C,Customer_Dim!B:I,7,1)</f>
        <v>USA</v>
      </c>
      <c r="Q245" t="str">
        <f>VLOOKUP(C:C,Customer_Dim!B:I,8,1)</f>
        <v>Bronze</v>
      </c>
      <c r="S245">
        <v>2</v>
      </c>
      <c r="T245">
        <v>703.95</v>
      </c>
      <c r="U245">
        <v>0.03</v>
      </c>
      <c r="V245">
        <v>1365.663</v>
      </c>
      <c r="X245" s="4">
        <v>2</v>
      </c>
      <c r="Y245">
        <v>703.95</v>
      </c>
      <c r="Z245">
        <v>0.03</v>
      </c>
      <c r="AA245">
        <v>1365.663</v>
      </c>
    </row>
    <row r="246" spans="1:27" x14ac:dyDescent="0.3">
      <c r="A246" t="s">
        <v>2053</v>
      </c>
      <c r="B246" s="2">
        <v>45780</v>
      </c>
      <c r="C246" t="s">
        <v>648</v>
      </c>
      <c r="D246" t="s">
        <v>1559</v>
      </c>
      <c r="E246" t="s">
        <v>1735</v>
      </c>
      <c r="F246" s="4">
        <v>4</v>
      </c>
      <c r="G246">
        <v>452.67</v>
      </c>
      <c r="H246">
        <v>0.28000000000000003</v>
      </c>
      <c r="I246" t="s">
        <v>1809</v>
      </c>
      <c r="J246">
        <v>1303.6895999999999</v>
      </c>
      <c r="K246" t="s">
        <v>649</v>
      </c>
      <c r="L246">
        <v>25</v>
      </c>
      <c r="M246" t="str">
        <v>Female</v>
      </c>
      <c r="N246" t="str">
        <f>VLOOKUP(C:C,Customer_Dim!B:I,5,1)</f>
        <v>South Jerry</v>
      </c>
      <c r="O246" t="str">
        <f>VLOOKUP(C:C,Customer_Dim!B:I,6,1)</f>
        <v>Maine</v>
      </c>
      <c r="P246" t="str">
        <f>VLOOKUP(C:C,Customer_Dim!B:I,7,1)</f>
        <v>USA</v>
      </c>
      <c r="Q246" t="str">
        <f>VLOOKUP(C:C,Customer_Dim!B:I,8,1)</f>
        <v>Platinum</v>
      </c>
      <c r="S246">
        <v>4</v>
      </c>
      <c r="T246">
        <v>452.67</v>
      </c>
      <c r="U246">
        <v>0.28000000000000003</v>
      </c>
      <c r="V246">
        <v>1303.6895999999999</v>
      </c>
      <c r="X246" s="4">
        <v>4</v>
      </c>
      <c r="Y246">
        <v>452.67</v>
      </c>
      <c r="Z246">
        <v>0.28000000000000003</v>
      </c>
      <c r="AA246">
        <v>1303.6895999999999</v>
      </c>
    </row>
    <row r="247" spans="1:27" x14ac:dyDescent="0.3">
      <c r="A247" t="s">
        <v>2054</v>
      </c>
      <c r="B247" s="2">
        <v>45349</v>
      </c>
      <c r="C247" t="s">
        <v>1412</v>
      </c>
      <c r="D247" t="s">
        <v>1545</v>
      </c>
      <c r="E247" t="s">
        <v>1762</v>
      </c>
      <c r="F247" s="4">
        <v>2</v>
      </c>
      <c r="G247">
        <v>377.3</v>
      </c>
      <c r="H247">
        <v>0.15</v>
      </c>
      <c r="I247" t="s">
        <v>1809</v>
      </c>
      <c r="J247">
        <v>641.41</v>
      </c>
      <c r="K247" t="s">
        <v>1413</v>
      </c>
      <c r="L247">
        <v>45</v>
      </c>
      <c r="M247" t="str">
        <v>Female</v>
      </c>
      <c r="N247" t="str">
        <f>VLOOKUP(C:C,Customer_Dim!B:I,5,1)</f>
        <v>Port Anthony</v>
      </c>
      <c r="O247" t="str">
        <f>VLOOKUP(C:C,Customer_Dim!B:I,6,1)</f>
        <v>Connecticut</v>
      </c>
      <c r="P247" t="str">
        <f>VLOOKUP(C:C,Customer_Dim!B:I,7,1)</f>
        <v>USA</v>
      </c>
      <c r="Q247" t="str">
        <f>VLOOKUP(C:C,Customer_Dim!B:I,8,1)</f>
        <v>Bronze</v>
      </c>
      <c r="S247">
        <v>2</v>
      </c>
      <c r="T247">
        <v>377.3</v>
      </c>
      <c r="U247">
        <v>0.15</v>
      </c>
      <c r="V247">
        <v>641.41</v>
      </c>
      <c r="X247" s="4">
        <v>2</v>
      </c>
      <c r="Y247">
        <v>377.3</v>
      </c>
      <c r="Z247">
        <v>0.15</v>
      </c>
      <c r="AA247">
        <v>641.41</v>
      </c>
    </row>
    <row r="248" spans="1:27" x14ac:dyDescent="0.3">
      <c r="A248" t="s">
        <v>2055</v>
      </c>
      <c r="B248" s="2">
        <v>45846</v>
      </c>
      <c r="C248" t="s">
        <v>1069</v>
      </c>
      <c r="D248" t="s">
        <v>1679</v>
      </c>
      <c r="E248" t="s">
        <v>1762</v>
      </c>
      <c r="F248" s="4">
        <v>2</v>
      </c>
      <c r="G248">
        <v>130.47999999999999</v>
      </c>
      <c r="H248">
        <v>0.23</v>
      </c>
      <c r="I248" t="s">
        <v>1809</v>
      </c>
      <c r="J248">
        <v>200.9392</v>
      </c>
      <c r="K248" t="s">
        <v>1070</v>
      </c>
      <c r="L248">
        <v>33</v>
      </c>
      <c r="M248" t="str">
        <v>Male</v>
      </c>
      <c r="N248" t="str">
        <f>VLOOKUP(C:C,Customer_Dim!B:I,5,1)</f>
        <v>West Victoriaborough</v>
      </c>
      <c r="O248" t="str">
        <f>VLOOKUP(C:C,Customer_Dim!B:I,6,1)</f>
        <v>New Mexico</v>
      </c>
      <c r="P248" t="str">
        <f>VLOOKUP(C:C,Customer_Dim!B:I,7,1)</f>
        <v>USA</v>
      </c>
      <c r="Q248" t="str">
        <f>VLOOKUP(C:C,Customer_Dim!B:I,8,1)</f>
        <v>Gold</v>
      </c>
      <c r="S248">
        <v>2</v>
      </c>
      <c r="T248">
        <v>130.47999999999999</v>
      </c>
      <c r="U248">
        <v>0.23</v>
      </c>
      <c r="V248">
        <v>200.9392</v>
      </c>
      <c r="X248" s="4">
        <v>2</v>
      </c>
      <c r="Y248">
        <v>130.47999999999999</v>
      </c>
      <c r="Z248">
        <v>0.23</v>
      </c>
      <c r="AA248">
        <v>200.9392</v>
      </c>
    </row>
    <row r="249" spans="1:27" x14ac:dyDescent="0.3">
      <c r="A249" t="s">
        <v>2056</v>
      </c>
      <c r="B249" s="2">
        <v>45729</v>
      </c>
      <c r="C249" t="s">
        <v>1333</v>
      </c>
      <c r="D249" t="s">
        <v>1719</v>
      </c>
      <c r="E249" t="s">
        <v>1777</v>
      </c>
      <c r="F249" s="4">
        <v>1</v>
      </c>
      <c r="G249">
        <v>809.45</v>
      </c>
      <c r="H249">
        <v>0.09</v>
      </c>
      <c r="I249" t="s">
        <v>1812</v>
      </c>
      <c r="J249">
        <v>736.59950000000003</v>
      </c>
      <c r="K249" t="s">
        <v>1334</v>
      </c>
      <c r="L249">
        <v>61</v>
      </c>
      <c r="M249" t="str">
        <v>Male</v>
      </c>
      <c r="N249" t="str">
        <f>VLOOKUP(C:C,Customer_Dim!B:I,5,1)</f>
        <v>Wesleyhaven</v>
      </c>
      <c r="O249" t="str">
        <f>VLOOKUP(C:C,Customer_Dim!B:I,6,1)</f>
        <v>Idaho</v>
      </c>
      <c r="P249" t="str">
        <f>VLOOKUP(C:C,Customer_Dim!B:I,7,1)</f>
        <v>USA</v>
      </c>
      <c r="Q249" t="str">
        <f>VLOOKUP(C:C,Customer_Dim!B:I,8,1)</f>
        <v>Silver</v>
      </c>
      <c r="S249">
        <v>1</v>
      </c>
      <c r="T249">
        <v>809.45</v>
      </c>
      <c r="U249">
        <v>0.09</v>
      </c>
      <c r="V249">
        <v>736.59950000000003</v>
      </c>
      <c r="X249" s="4">
        <v>1</v>
      </c>
      <c r="Y249">
        <v>809.45</v>
      </c>
      <c r="Z249">
        <v>0.09</v>
      </c>
      <c r="AA249">
        <v>736.59950000000003</v>
      </c>
    </row>
    <row r="250" spans="1:27" x14ac:dyDescent="0.3">
      <c r="A250" t="s">
        <v>2057</v>
      </c>
      <c r="B250" s="2">
        <v>45768</v>
      </c>
      <c r="C250" t="s">
        <v>298</v>
      </c>
      <c r="D250" t="s">
        <v>1621</v>
      </c>
      <c r="E250" t="s">
        <v>1769</v>
      </c>
      <c r="F250" s="4">
        <v>3</v>
      </c>
      <c r="G250">
        <v>499.12</v>
      </c>
      <c r="H250">
        <v>0.05</v>
      </c>
      <c r="I250" t="s">
        <v>1809</v>
      </c>
      <c r="J250">
        <v>1422.492</v>
      </c>
      <c r="K250" t="s">
        <v>299</v>
      </c>
      <c r="L250">
        <v>26</v>
      </c>
      <c r="M250" t="str">
        <v>Female</v>
      </c>
      <c r="N250" t="str">
        <f>VLOOKUP(C:C,Customer_Dim!B:I,5,1)</f>
        <v>Nicholastown</v>
      </c>
      <c r="O250" t="str">
        <f>VLOOKUP(C:C,Customer_Dim!B:I,6,1)</f>
        <v>Georgia</v>
      </c>
      <c r="P250" t="str">
        <f>VLOOKUP(C:C,Customer_Dim!B:I,7,1)</f>
        <v>USA</v>
      </c>
      <c r="Q250" t="str">
        <f>VLOOKUP(C:C,Customer_Dim!B:I,8,1)</f>
        <v>Bronze</v>
      </c>
      <c r="S250">
        <v>3</v>
      </c>
      <c r="T250">
        <v>499.12</v>
      </c>
      <c r="U250">
        <v>0.05</v>
      </c>
      <c r="V250">
        <v>1422.492</v>
      </c>
      <c r="X250" s="4">
        <v>3</v>
      </c>
      <c r="Y250">
        <v>499.12</v>
      </c>
      <c r="Z250">
        <v>0.05</v>
      </c>
      <c r="AA250">
        <v>1422.492</v>
      </c>
    </row>
    <row r="251" spans="1:27" x14ac:dyDescent="0.3">
      <c r="A251" t="s">
        <v>2058</v>
      </c>
      <c r="B251" s="2">
        <v>45606</v>
      </c>
      <c r="C251" t="s">
        <v>100</v>
      </c>
      <c r="D251" t="s">
        <v>1667</v>
      </c>
      <c r="E251" t="s">
        <v>1749</v>
      </c>
      <c r="F251" s="4">
        <v>2</v>
      </c>
      <c r="G251">
        <v>894.58</v>
      </c>
      <c r="H251">
        <v>0.25</v>
      </c>
      <c r="I251" t="s">
        <v>1807</v>
      </c>
      <c r="J251">
        <v>1341.87</v>
      </c>
      <c r="K251" t="s">
        <v>101</v>
      </c>
      <c r="L251">
        <v>40</v>
      </c>
      <c r="M251" t="str">
        <v>Male</v>
      </c>
      <c r="N251" t="str">
        <f>VLOOKUP(C:C,Customer_Dim!B:I,5,1)</f>
        <v>Molinabury</v>
      </c>
      <c r="O251" t="str">
        <f>VLOOKUP(C:C,Customer_Dim!B:I,6,1)</f>
        <v>Oregon</v>
      </c>
      <c r="P251" t="str">
        <f>VLOOKUP(C:C,Customer_Dim!B:I,7,1)</f>
        <v>USA</v>
      </c>
      <c r="Q251" t="str">
        <f>VLOOKUP(C:C,Customer_Dim!B:I,8,1)</f>
        <v>Silver</v>
      </c>
      <c r="S251">
        <v>2</v>
      </c>
      <c r="T251">
        <v>894.58</v>
      </c>
      <c r="U251">
        <v>0.25</v>
      </c>
      <c r="V251">
        <v>1341.87</v>
      </c>
      <c r="X251" s="4">
        <v>2</v>
      </c>
      <c r="Y251">
        <v>894.58</v>
      </c>
      <c r="Z251">
        <v>0.25</v>
      </c>
      <c r="AA251">
        <v>1341.87</v>
      </c>
    </row>
    <row r="252" spans="1:27" x14ac:dyDescent="0.3">
      <c r="A252" t="s">
        <v>2059</v>
      </c>
      <c r="B252" s="2">
        <v>45513</v>
      </c>
      <c r="C252" t="s">
        <v>444</v>
      </c>
      <c r="D252" t="s">
        <v>1681</v>
      </c>
      <c r="E252" t="s">
        <v>1769</v>
      </c>
      <c r="F252" s="4">
        <v>4</v>
      </c>
      <c r="G252">
        <v>578.39</v>
      </c>
      <c r="H252">
        <v>0.01</v>
      </c>
      <c r="I252" t="s">
        <v>1807</v>
      </c>
      <c r="J252">
        <v>2290.4243999999999</v>
      </c>
      <c r="K252" t="s">
        <v>445</v>
      </c>
      <c r="L252">
        <v>57</v>
      </c>
      <c r="M252" t="str">
        <v>Female</v>
      </c>
      <c r="N252" t="str">
        <f>VLOOKUP(C:C,Customer_Dim!B:I,5,1)</f>
        <v>Wigginsville</v>
      </c>
      <c r="O252" t="str">
        <f>VLOOKUP(C:C,Customer_Dim!B:I,6,1)</f>
        <v>Alabama</v>
      </c>
      <c r="P252" t="str">
        <f>VLOOKUP(C:C,Customer_Dim!B:I,7,1)</f>
        <v>USA</v>
      </c>
      <c r="Q252" t="str">
        <f>VLOOKUP(C:C,Customer_Dim!B:I,8,1)</f>
        <v>Bronze</v>
      </c>
      <c r="S252">
        <v>4</v>
      </c>
      <c r="T252">
        <v>578.39</v>
      </c>
      <c r="U252">
        <v>0.01</v>
      </c>
      <c r="V252">
        <v>2290.4243999999999</v>
      </c>
      <c r="X252" s="4">
        <v>4</v>
      </c>
      <c r="Y252">
        <v>578.39</v>
      </c>
      <c r="Z252">
        <v>0.01</v>
      </c>
      <c r="AA252">
        <v>2290.4243999999999</v>
      </c>
    </row>
    <row r="253" spans="1:27" x14ac:dyDescent="0.3">
      <c r="A253" t="s">
        <v>2060</v>
      </c>
      <c r="B253" s="2">
        <v>45356</v>
      </c>
      <c r="C253" t="s">
        <v>1475</v>
      </c>
      <c r="D253" t="s">
        <v>1613</v>
      </c>
      <c r="E253" t="s">
        <v>1790</v>
      </c>
      <c r="F253" s="4">
        <v>4</v>
      </c>
      <c r="G253">
        <v>982.45</v>
      </c>
      <c r="H253">
        <v>0.2</v>
      </c>
      <c r="I253" t="s">
        <v>1809</v>
      </c>
      <c r="J253">
        <v>3143.84</v>
      </c>
      <c r="K253" t="s">
        <v>1476</v>
      </c>
      <c r="L253">
        <v>22</v>
      </c>
      <c r="M253" t="str">
        <v>Female</v>
      </c>
      <c r="N253" t="str">
        <f>VLOOKUP(C:C,Customer_Dim!B:I,5,1)</f>
        <v>East Dillonview</v>
      </c>
      <c r="O253" t="str">
        <f>VLOOKUP(C:C,Customer_Dim!B:I,6,1)</f>
        <v>Virginia</v>
      </c>
      <c r="P253" t="str">
        <f>VLOOKUP(C:C,Customer_Dim!B:I,7,1)</f>
        <v>USA</v>
      </c>
      <c r="Q253" t="str">
        <f>VLOOKUP(C:C,Customer_Dim!B:I,8,1)</f>
        <v>Bronze</v>
      </c>
      <c r="S253">
        <v>4</v>
      </c>
      <c r="T253">
        <v>982.45</v>
      </c>
      <c r="U253">
        <v>0.2</v>
      </c>
      <c r="V253">
        <v>3143.84</v>
      </c>
      <c r="X253" s="4">
        <v>4</v>
      </c>
      <c r="Y253">
        <v>982.45</v>
      </c>
      <c r="Z253">
        <v>0.2</v>
      </c>
      <c r="AA253">
        <v>3143.84</v>
      </c>
    </row>
    <row r="254" spans="1:27" x14ac:dyDescent="0.3">
      <c r="A254" t="s">
        <v>2061</v>
      </c>
      <c r="B254" s="2">
        <v>45925</v>
      </c>
      <c r="C254" t="s">
        <v>1373</v>
      </c>
      <c r="D254" t="s">
        <v>1727</v>
      </c>
      <c r="E254" t="s">
        <v>1796</v>
      </c>
      <c r="F254" s="4">
        <v>1</v>
      </c>
      <c r="G254">
        <v>549.52</v>
      </c>
      <c r="H254">
        <v>0.1</v>
      </c>
      <c r="I254" t="s">
        <v>1809</v>
      </c>
      <c r="J254">
        <v>494.56799999999998</v>
      </c>
      <c r="K254" t="s">
        <v>1374</v>
      </c>
      <c r="L254">
        <v>59</v>
      </c>
      <c r="M254" t="str">
        <v>Male</v>
      </c>
      <c r="N254" t="str">
        <f>VLOOKUP(C:C,Customer_Dim!B:I,5,1)</f>
        <v>Port Hannahport</v>
      </c>
      <c r="O254" t="str">
        <f>VLOOKUP(C:C,Customer_Dim!B:I,6,1)</f>
        <v>Ohio</v>
      </c>
      <c r="P254" t="str">
        <f>VLOOKUP(C:C,Customer_Dim!B:I,7,1)</f>
        <v>USA</v>
      </c>
      <c r="Q254" t="str">
        <f>VLOOKUP(C:C,Customer_Dim!B:I,8,1)</f>
        <v>Bronze</v>
      </c>
      <c r="S254">
        <v>1</v>
      </c>
      <c r="T254">
        <v>549.52</v>
      </c>
      <c r="U254">
        <v>0.1</v>
      </c>
      <c r="V254">
        <v>494.56799999999998</v>
      </c>
      <c r="X254" s="4">
        <v>1</v>
      </c>
      <c r="Y254">
        <v>549.52</v>
      </c>
      <c r="Z254">
        <v>0.1</v>
      </c>
      <c r="AA254">
        <v>494.56799999999998</v>
      </c>
    </row>
    <row r="255" spans="1:27" x14ac:dyDescent="0.3">
      <c r="A255" t="s">
        <v>2062</v>
      </c>
      <c r="B255" s="2">
        <v>45876</v>
      </c>
      <c r="C255" t="s">
        <v>764</v>
      </c>
      <c r="D255" t="s">
        <v>1715</v>
      </c>
      <c r="E255" t="s">
        <v>1793</v>
      </c>
      <c r="F255" s="4">
        <v>2</v>
      </c>
      <c r="G255">
        <v>239.92</v>
      </c>
      <c r="H255">
        <v>0.16</v>
      </c>
      <c r="I255" t="s">
        <v>1807</v>
      </c>
      <c r="J255">
        <v>403.06560000000002</v>
      </c>
      <c r="K255" t="s">
        <v>765</v>
      </c>
      <c r="L255">
        <v>31</v>
      </c>
      <c r="M255" t="str">
        <v>Male</v>
      </c>
      <c r="N255" t="str">
        <f>VLOOKUP(C:C,Customer_Dim!B:I,5,1)</f>
        <v>Heathfort</v>
      </c>
      <c r="O255" t="str">
        <f>VLOOKUP(C:C,Customer_Dim!B:I,6,1)</f>
        <v>Michigan</v>
      </c>
      <c r="P255" t="str">
        <f>VLOOKUP(C:C,Customer_Dim!B:I,7,1)</f>
        <v>USA</v>
      </c>
      <c r="Q255" t="str">
        <f>VLOOKUP(C:C,Customer_Dim!B:I,8,1)</f>
        <v>Platinum</v>
      </c>
      <c r="S255">
        <v>2</v>
      </c>
      <c r="T255">
        <v>239.92</v>
      </c>
      <c r="U255">
        <v>0.16</v>
      </c>
      <c r="V255">
        <v>403.06560000000002</v>
      </c>
      <c r="X255" s="4">
        <v>2</v>
      </c>
      <c r="Y255">
        <v>239.92</v>
      </c>
      <c r="Z255">
        <v>0.16</v>
      </c>
      <c r="AA255">
        <v>403.06560000000002</v>
      </c>
    </row>
    <row r="256" spans="1:27" x14ac:dyDescent="0.3">
      <c r="A256" t="s">
        <v>2063</v>
      </c>
      <c r="B256" s="2">
        <v>45338</v>
      </c>
      <c r="C256" t="s">
        <v>295</v>
      </c>
      <c r="D256" t="s">
        <v>1715</v>
      </c>
      <c r="E256" t="s">
        <v>1759</v>
      </c>
      <c r="F256" s="4">
        <v>2</v>
      </c>
      <c r="G256">
        <v>878.05</v>
      </c>
      <c r="H256">
        <v>0.11</v>
      </c>
      <c r="I256" t="s">
        <v>1809</v>
      </c>
      <c r="J256">
        <v>1562.9290000000001</v>
      </c>
      <c r="K256" t="s">
        <v>296</v>
      </c>
      <c r="L256">
        <v>48</v>
      </c>
      <c r="M256" t="str">
        <v>Female</v>
      </c>
      <c r="N256" t="str">
        <f>VLOOKUP(C:C,Customer_Dim!B:I,5,1)</f>
        <v>Leburgh</v>
      </c>
      <c r="O256" t="str">
        <f>VLOOKUP(C:C,Customer_Dim!B:I,6,1)</f>
        <v>Florida</v>
      </c>
      <c r="P256" t="str">
        <f>VLOOKUP(C:C,Customer_Dim!B:I,7,1)</f>
        <v>USA</v>
      </c>
      <c r="Q256" t="str">
        <f>VLOOKUP(C:C,Customer_Dim!B:I,8,1)</f>
        <v>Bronze</v>
      </c>
      <c r="S256">
        <v>2</v>
      </c>
      <c r="T256">
        <v>878.05</v>
      </c>
      <c r="U256">
        <v>0.11</v>
      </c>
      <c r="V256">
        <v>1562.9290000000001</v>
      </c>
      <c r="X256" s="4">
        <v>2</v>
      </c>
      <c r="Y256">
        <v>878.05</v>
      </c>
      <c r="Z256">
        <v>0.11</v>
      </c>
      <c r="AA256">
        <v>1562.9290000000001</v>
      </c>
    </row>
    <row r="257" spans="1:27" x14ac:dyDescent="0.3">
      <c r="A257" t="s">
        <v>2064</v>
      </c>
      <c r="B257" s="2">
        <v>45746</v>
      </c>
      <c r="C257" t="s">
        <v>171</v>
      </c>
      <c r="D257" t="s">
        <v>1529</v>
      </c>
      <c r="E257" t="s">
        <v>1769</v>
      </c>
      <c r="F257" s="4">
        <v>3</v>
      </c>
      <c r="G257">
        <v>546.96</v>
      </c>
      <c r="H257">
        <v>0.19</v>
      </c>
      <c r="I257" t="s">
        <v>1807</v>
      </c>
      <c r="J257">
        <v>1329.1128000000001</v>
      </c>
      <c r="K257" t="s">
        <v>172</v>
      </c>
      <c r="L257">
        <v>54</v>
      </c>
      <c r="M257" t="str">
        <v>Male</v>
      </c>
      <c r="N257" t="str">
        <f>VLOOKUP(C:C,Customer_Dim!B:I,5,1)</f>
        <v>Christianstad</v>
      </c>
      <c r="O257" t="str">
        <f>VLOOKUP(C:C,Customer_Dim!B:I,6,1)</f>
        <v>Hawaii</v>
      </c>
      <c r="P257" t="str">
        <f>VLOOKUP(C:C,Customer_Dim!B:I,7,1)</f>
        <v>USA</v>
      </c>
      <c r="Q257" t="str">
        <f>VLOOKUP(C:C,Customer_Dim!B:I,8,1)</f>
        <v>Bronze</v>
      </c>
      <c r="S257">
        <v>3</v>
      </c>
      <c r="T257">
        <v>546.96</v>
      </c>
      <c r="U257">
        <v>0.19</v>
      </c>
      <c r="V257">
        <v>1329.1128000000001</v>
      </c>
      <c r="X257" s="4">
        <v>3</v>
      </c>
      <c r="Y257">
        <v>546.96</v>
      </c>
      <c r="Z257">
        <v>0.19</v>
      </c>
      <c r="AA257">
        <v>1329.1128000000001</v>
      </c>
    </row>
    <row r="258" spans="1:27" x14ac:dyDescent="0.3">
      <c r="A258" t="s">
        <v>2065</v>
      </c>
      <c r="B258" s="2">
        <v>45706</v>
      </c>
      <c r="C258" t="s">
        <v>1436</v>
      </c>
      <c r="D258" t="s">
        <v>1565</v>
      </c>
      <c r="E258" t="s">
        <v>1772</v>
      </c>
      <c r="F258" s="4">
        <v>2</v>
      </c>
      <c r="G258">
        <v>71.77</v>
      </c>
      <c r="H258">
        <v>0.22</v>
      </c>
      <c r="I258" t="s">
        <v>1807</v>
      </c>
      <c r="J258">
        <v>111.96120000000001</v>
      </c>
      <c r="K258" t="s">
        <v>1437</v>
      </c>
      <c r="L258">
        <v>42</v>
      </c>
      <c r="M258" t="str">
        <v>Male</v>
      </c>
      <c r="N258" t="str">
        <f>VLOOKUP(C:C,Customer_Dim!B:I,5,1)</f>
        <v>Mcdanielfurt</v>
      </c>
      <c r="O258" t="str">
        <f>VLOOKUP(C:C,Customer_Dim!B:I,6,1)</f>
        <v>Montana</v>
      </c>
      <c r="P258" t="str">
        <f>VLOOKUP(C:C,Customer_Dim!B:I,7,1)</f>
        <v>USA</v>
      </c>
      <c r="Q258" t="str">
        <f>VLOOKUP(C:C,Customer_Dim!B:I,8,1)</f>
        <v>Platinum</v>
      </c>
      <c r="S258">
        <v>2</v>
      </c>
      <c r="T258">
        <v>71.77</v>
      </c>
      <c r="U258">
        <v>0.22</v>
      </c>
      <c r="V258">
        <v>111.96120000000001</v>
      </c>
      <c r="X258" s="4">
        <v>2</v>
      </c>
      <c r="Y258">
        <v>71.77</v>
      </c>
      <c r="Z258">
        <v>0.22</v>
      </c>
      <c r="AA258">
        <v>111.96120000000001</v>
      </c>
    </row>
    <row r="259" spans="1:27" x14ac:dyDescent="0.3">
      <c r="A259" t="s">
        <v>2066</v>
      </c>
      <c r="B259" s="2">
        <v>45717</v>
      </c>
      <c r="C259" t="s">
        <v>63</v>
      </c>
      <c r="D259" t="s">
        <v>1579</v>
      </c>
      <c r="E259" t="s">
        <v>1740</v>
      </c>
      <c r="F259" s="4">
        <v>2</v>
      </c>
      <c r="G259">
        <v>679.86</v>
      </c>
      <c r="H259">
        <v>0.22</v>
      </c>
      <c r="I259" t="s">
        <v>1812</v>
      </c>
      <c r="J259">
        <v>1060.5816</v>
      </c>
      <c r="K259" t="s">
        <v>64</v>
      </c>
      <c r="L259">
        <v>53</v>
      </c>
      <c r="M259" t="str">
        <v>Female</v>
      </c>
      <c r="N259" t="str">
        <f>VLOOKUP(C:C,Customer_Dim!B:I,5,1)</f>
        <v>New Becky</v>
      </c>
      <c r="O259" t="str">
        <f>VLOOKUP(C:C,Customer_Dim!B:I,6,1)</f>
        <v>Montana</v>
      </c>
      <c r="P259" t="str">
        <f>VLOOKUP(C:C,Customer_Dim!B:I,7,1)</f>
        <v>USA</v>
      </c>
      <c r="Q259" t="str">
        <f>VLOOKUP(C:C,Customer_Dim!B:I,8,1)</f>
        <v>Silver</v>
      </c>
      <c r="S259">
        <v>2</v>
      </c>
      <c r="T259">
        <v>679.86</v>
      </c>
      <c r="U259">
        <v>0.22</v>
      </c>
      <c r="V259">
        <v>1060.5816</v>
      </c>
      <c r="X259" s="4">
        <v>2</v>
      </c>
      <c r="Y259">
        <v>679.86</v>
      </c>
      <c r="Z259">
        <v>0.22</v>
      </c>
      <c r="AA259">
        <v>1060.5816</v>
      </c>
    </row>
    <row r="260" spans="1:27" x14ac:dyDescent="0.3">
      <c r="A260" t="s">
        <v>2067</v>
      </c>
      <c r="B260" s="2">
        <v>45300</v>
      </c>
      <c r="C260" t="s">
        <v>459</v>
      </c>
      <c r="D260" t="s">
        <v>1601</v>
      </c>
      <c r="E260" t="s">
        <v>1790</v>
      </c>
      <c r="F260" s="4">
        <v>1</v>
      </c>
      <c r="G260">
        <v>222.94</v>
      </c>
      <c r="H260">
        <v>0.19</v>
      </c>
      <c r="I260" t="s">
        <v>1807</v>
      </c>
      <c r="J260">
        <v>180.5814</v>
      </c>
      <c r="K260" t="s">
        <v>460</v>
      </c>
      <c r="L260">
        <v>55</v>
      </c>
      <c r="M260" t="str">
        <v>Female</v>
      </c>
      <c r="N260" t="str">
        <f>VLOOKUP(C:C,Customer_Dim!B:I,5,1)</f>
        <v>New Jeffrey</v>
      </c>
      <c r="O260" t="str">
        <f>VLOOKUP(C:C,Customer_Dim!B:I,6,1)</f>
        <v>Nebraska</v>
      </c>
      <c r="P260" t="str">
        <f>VLOOKUP(C:C,Customer_Dim!B:I,7,1)</f>
        <v>USA</v>
      </c>
      <c r="Q260" t="str">
        <f>VLOOKUP(C:C,Customer_Dim!B:I,8,1)</f>
        <v>Silver</v>
      </c>
      <c r="S260">
        <v>1</v>
      </c>
      <c r="T260">
        <v>222.94</v>
      </c>
      <c r="U260">
        <v>0.19</v>
      </c>
      <c r="V260">
        <v>180.5814</v>
      </c>
      <c r="X260" s="4">
        <v>1</v>
      </c>
      <c r="Y260">
        <v>222.94</v>
      </c>
      <c r="Z260">
        <v>0.19</v>
      </c>
      <c r="AA260">
        <v>180.5814</v>
      </c>
    </row>
    <row r="261" spans="1:27" x14ac:dyDescent="0.3">
      <c r="A261" t="s">
        <v>2068</v>
      </c>
      <c r="B261" s="2">
        <v>45773</v>
      </c>
      <c r="C261" t="s">
        <v>788</v>
      </c>
      <c r="D261" t="s">
        <v>1601</v>
      </c>
      <c r="E261" t="s">
        <v>1744</v>
      </c>
      <c r="F261" s="4">
        <v>2</v>
      </c>
      <c r="G261">
        <v>355.3</v>
      </c>
      <c r="H261">
        <v>0.14837931034482768</v>
      </c>
      <c r="I261" t="s">
        <v>1809</v>
      </c>
      <c r="J261">
        <v>589.798</v>
      </c>
      <c r="K261" t="s">
        <v>789</v>
      </c>
      <c r="L261">
        <v>41</v>
      </c>
      <c r="M261" t="str">
        <v>Female</v>
      </c>
      <c r="N261" t="str">
        <f>VLOOKUP(C:C,Customer_Dim!B:I,5,1)</f>
        <v>Lake Timothy</v>
      </c>
      <c r="O261" t="str">
        <f>VLOOKUP(C:C,Customer_Dim!B:I,6,1)</f>
        <v>Nevada</v>
      </c>
      <c r="P261" t="str">
        <f>VLOOKUP(C:C,Customer_Dim!B:I,7,1)</f>
        <v>USA</v>
      </c>
      <c r="Q261" t="str">
        <f>VLOOKUP(C:C,Customer_Dim!B:I,8,1)</f>
        <v>Gold</v>
      </c>
      <c r="S261">
        <v>2</v>
      </c>
      <c r="T261">
        <v>355.3</v>
      </c>
      <c r="V261">
        <v>589.798</v>
      </c>
      <c r="X261" s="4">
        <v>2</v>
      </c>
      <c r="Y261">
        <v>355.3</v>
      </c>
      <c r="Z261">
        <v>0.14837931034482768</v>
      </c>
      <c r="AA261">
        <v>589.798</v>
      </c>
    </row>
    <row r="262" spans="1:27" x14ac:dyDescent="0.3">
      <c r="A262" t="s">
        <v>2069</v>
      </c>
      <c r="B262" s="2">
        <v>45497</v>
      </c>
      <c r="C262" t="s">
        <v>361</v>
      </c>
      <c r="D262" t="s">
        <v>1709</v>
      </c>
      <c r="E262" t="s">
        <v>1796</v>
      </c>
      <c r="F262" s="4">
        <v>4</v>
      </c>
      <c r="G262">
        <v>611.29999999999995</v>
      </c>
      <c r="H262">
        <v>0.11</v>
      </c>
      <c r="I262" t="s">
        <v>1809</v>
      </c>
      <c r="J262">
        <v>2176.2280000000001</v>
      </c>
      <c r="K262" t="s">
        <v>362</v>
      </c>
      <c r="L262">
        <v>64</v>
      </c>
      <c r="M262" t="str">
        <v>Male</v>
      </c>
      <c r="N262" t="str">
        <f>VLOOKUP(C:C,Customer_Dim!B:I,5,1)</f>
        <v>West Lauren</v>
      </c>
      <c r="O262" t="str">
        <f>VLOOKUP(C:C,Customer_Dim!B:I,6,1)</f>
        <v>Connecticut</v>
      </c>
      <c r="P262" t="str">
        <f>VLOOKUP(C:C,Customer_Dim!B:I,7,1)</f>
        <v>USA</v>
      </c>
      <c r="Q262" t="str">
        <f>VLOOKUP(C:C,Customer_Dim!B:I,8,1)</f>
        <v>Bronze</v>
      </c>
      <c r="S262">
        <v>4</v>
      </c>
      <c r="T262">
        <v>611.29999999999995</v>
      </c>
      <c r="U262">
        <v>0.11</v>
      </c>
      <c r="V262">
        <v>2176.2280000000001</v>
      </c>
      <c r="X262" s="4">
        <v>4</v>
      </c>
      <c r="Y262">
        <v>611.29999999999995</v>
      </c>
      <c r="Z262">
        <v>0.11</v>
      </c>
      <c r="AA262">
        <v>2176.2280000000001</v>
      </c>
    </row>
    <row r="263" spans="1:27" x14ac:dyDescent="0.3">
      <c r="A263" t="s">
        <v>2070</v>
      </c>
      <c r="B263" s="2">
        <v>45742</v>
      </c>
      <c r="C263" t="s">
        <v>1036</v>
      </c>
      <c r="D263" t="s">
        <v>1526</v>
      </c>
      <c r="E263" t="s">
        <v>1765</v>
      </c>
      <c r="F263" s="4">
        <v>4</v>
      </c>
      <c r="G263">
        <v>849.21</v>
      </c>
      <c r="H263">
        <v>7.0000000000000007E-2</v>
      </c>
      <c r="I263" t="s">
        <v>1807</v>
      </c>
      <c r="J263">
        <v>3159.0612000000001</v>
      </c>
      <c r="K263" t="s">
        <v>1037</v>
      </c>
      <c r="L263">
        <v>50</v>
      </c>
      <c r="M263" t="str">
        <v>Female</v>
      </c>
      <c r="N263" t="str">
        <f>VLOOKUP(C:C,Customer_Dim!B:I,5,1)</f>
        <v>Johnsonbury</v>
      </c>
      <c r="O263" t="str">
        <f>VLOOKUP(C:C,Customer_Dim!B:I,6,1)</f>
        <v>Georgia</v>
      </c>
      <c r="P263" t="str">
        <f>VLOOKUP(C:C,Customer_Dim!B:I,7,1)</f>
        <v>USA</v>
      </c>
      <c r="Q263" t="str">
        <f>VLOOKUP(C:C,Customer_Dim!B:I,8,1)</f>
        <v>Gold</v>
      </c>
      <c r="S263">
        <v>4</v>
      </c>
      <c r="T263">
        <v>849.21</v>
      </c>
      <c r="U263">
        <v>7.0000000000000007E-2</v>
      </c>
      <c r="V263">
        <v>3159.0612000000001</v>
      </c>
      <c r="X263" s="4">
        <v>4</v>
      </c>
      <c r="Y263">
        <v>849.21</v>
      </c>
      <c r="Z263">
        <v>7.0000000000000007E-2</v>
      </c>
      <c r="AA263">
        <v>3159.0612000000001</v>
      </c>
    </row>
    <row r="264" spans="1:27" x14ac:dyDescent="0.3">
      <c r="A264" t="s">
        <v>2071</v>
      </c>
      <c r="B264" s="2">
        <v>45713</v>
      </c>
      <c r="C264" t="s">
        <v>675</v>
      </c>
      <c r="D264" t="s">
        <v>1615</v>
      </c>
      <c r="E264" t="s">
        <v>1762</v>
      </c>
      <c r="F264" s="4">
        <v>3</v>
      </c>
      <c r="G264">
        <v>553.12</v>
      </c>
      <c r="H264">
        <v>0.28000000000000003</v>
      </c>
      <c r="I264" t="s">
        <v>1812</v>
      </c>
      <c r="J264">
        <v>1194.7392</v>
      </c>
      <c r="K264" t="s">
        <v>676</v>
      </c>
      <c r="L264">
        <v>48</v>
      </c>
      <c r="M264" t="str">
        <v>Male</v>
      </c>
      <c r="N264" t="str">
        <f>VLOOKUP(C:C,Customer_Dim!B:I,5,1)</f>
        <v>Lake Josephport</v>
      </c>
      <c r="O264" t="str">
        <f>VLOOKUP(C:C,Customer_Dim!B:I,6,1)</f>
        <v>Maine</v>
      </c>
      <c r="P264" t="str">
        <f>VLOOKUP(C:C,Customer_Dim!B:I,7,1)</f>
        <v>USA</v>
      </c>
      <c r="Q264" t="str">
        <f>VLOOKUP(C:C,Customer_Dim!B:I,8,1)</f>
        <v>Platinum</v>
      </c>
      <c r="S264">
        <v>3</v>
      </c>
      <c r="T264">
        <v>553.12</v>
      </c>
      <c r="U264">
        <v>0.28000000000000003</v>
      </c>
      <c r="V264">
        <v>1194.7392</v>
      </c>
      <c r="X264" s="4">
        <v>3</v>
      </c>
      <c r="Y264">
        <v>553.12</v>
      </c>
      <c r="Z264">
        <v>0.28000000000000003</v>
      </c>
      <c r="AA264">
        <v>1194.7392</v>
      </c>
    </row>
    <row r="265" spans="1:27" x14ac:dyDescent="0.3">
      <c r="A265" t="s">
        <v>2072</v>
      </c>
      <c r="B265" s="2">
        <v>45826</v>
      </c>
      <c r="C265" t="s">
        <v>888</v>
      </c>
      <c r="D265" t="s">
        <v>1713</v>
      </c>
      <c r="E265" t="s">
        <v>1769</v>
      </c>
      <c r="F265" s="4">
        <v>2</v>
      </c>
      <c r="G265">
        <v>903.08</v>
      </c>
      <c r="H265">
        <v>0.18</v>
      </c>
      <c r="I265" t="s">
        <v>1812</v>
      </c>
      <c r="J265">
        <v>1481.0512000000001</v>
      </c>
      <c r="K265" t="s">
        <v>889</v>
      </c>
      <c r="L265">
        <v>54</v>
      </c>
      <c r="M265" t="str">
        <v>Female</v>
      </c>
      <c r="N265" t="str">
        <f>VLOOKUP(C:C,Customer_Dim!B:I,5,1)</f>
        <v>Spencermouth</v>
      </c>
      <c r="O265" t="str">
        <f>VLOOKUP(C:C,Customer_Dim!B:I,6,1)</f>
        <v>New Jersey</v>
      </c>
      <c r="P265" t="str">
        <f>VLOOKUP(C:C,Customer_Dim!B:I,7,1)</f>
        <v>USA</v>
      </c>
      <c r="Q265" t="str">
        <f>VLOOKUP(C:C,Customer_Dim!B:I,8,1)</f>
        <v>Gold</v>
      </c>
      <c r="S265">
        <v>2</v>
      </c>
      <c r="T265">
        <v>903.08</v>
      </c>
      <c r="U265">
        <v>0.18</v>
      </c>
      <c r="V265">
        <v>1481.0512000000001</v>
      </c>
      <c r="X265" s="4">
        <v>2</v>
      </c>
      <c r="Y265">
        <v>903.08</v>
      </c>
      <c r="Z265">
        <v>0.18</v>
      </c>
      <c r="AA265">
        <v>1481.0512000000001</v>
      </c>
    </row>
    <row r="266" spans="1:27" x14ac:dyDescent="0.3">
      <c r="A266" t="s">
        <v>2073</v>
      </c>
      <c r="B266" s="2">
        <v>45648</v>
      </c>
      <c r="C266" t="s">
        <v>1456</v>
      </c>
      <c r="D266" t="s">
        <v>1563</v>
      </c>
      <c r="E266" t="s">
        <v>1775</v>
      </c>
      <c r="F266" s="4">
        <v>4</v>
      </c>
      <c r="G266">
        <v>640.23</v>
      </c>
      <c r="H266">
        <v>0.06</v>
      </c>
      <c r="I266" t="s">
        <v>1812</v>
      </c>
      <c r="J266">
        <v>2407.2647999999999</v>
      </c>
      <c r="K266" t="s">
        <v>3951</v>
      </c>
      <c r="L266">
        <v>40</v>
      </c>
      <c r="M266" t="str">
        <v>Male</v>
      </c>
      <c r="N266" t="str">
        <f>VLOOKUP(C:C,Customer_Dim!B:I,5,1)</f>
        <v>West Sarah</v>
      </c>
      <c r="O266" t="str">
        <f>VLOOKUP(C:C,Customer_Dim!B:I,6,1)</f>
        <v>South Dakota</v>
      </c>
      <c r="P266" t="str">
        <f>VLOOKUP(C:C,Customer_Dim!B:I,7,1)</f>
        <v>USA</v>
      </c>
      <c r="Q266" t="str">
        <f>VLOOKUP(C:C,Customer_Dim!B:I,8,1)</f>
        <v>Gold</v>
      </c>
      <c r="S266">
        <v>4</v>
      </c>
      <c r="T266">
        <v>640.23</v>
      </c>
      <c r="U266">
        <v>0.06</v>
      </c>
      <c r="V266">
        <v>2407.2647999999999</v>
      </c>
      <c r="X266" s="4">
        <v>4</v>
      </c>
      <c r="Y266">
        <v>640.23</v>
      </c>
      <c r="Z266">
        <v>0.06</v>
      </c>
      <c r="AA266">
        <v>2407.2647999999999</v>
      </c>
    </row>
    <row r="267" spans="1:27" x14ac:dyDescent="0.3">
      <c r="A267" t="s">
        <v>2074</v>
      </c>
      <c r="B267" s="2">
        <v>45836</v>
      </c>
      <c r="C267" t="s">
        <v>473</v>
      </c>
      <c r="D267" t="s">
        <v>1573</v>
      </c>
      <c r="E267" t="s">
        <v>1759</v>
      </c>
      <c r="F267" s="4">
        <v>1</v>
      </c>
      <c r="G267">
        <v>518</v>
      </c>
      <c r="H267">
        <v>0.25</v>
      </c>
      <c r="I267" t="s">
        <v>1807</v>
      </c>
      <c r="J267">
        <v>388.5</v>
      </c>
      <c r="K267" t="s">
        <v>474</v>
      </c>
      <c r="L267">
        <v>37</v>
      </c>
      <c r="M267" t="str">
        <v>Male</v>
      </c>
      <c r="N267" t="str">
        <f>VLOOKUP(C:C,Customer_Dim!B:I,5,1)</f>
        <v>Port Denise</v>
      </c>
      <c r="O267" t="str">
        <f>VLOOKUP(C:C,Customer_Dim!B:I,6,1)</f>
        <v>California</v>
      </c>
      <c r="P267" t="str">
        <f>VLOOKUP(C:C,Customer_Dim!B:I,7,1)</f>
        <v>USA</v>
      </c>
      <c r="Q267" t="str">
        <f>VLOOKUP(C:C,Customer_Dim!B:I,8,1)</f>
        <v>Bronze</v>
      </c>
      <c r="S267">
        <v>1</v>
      </c>
      <c r="T267">
        <v>518</v>
      </c>
      <c r="U267">
        <v>0.25</v>
      </c>
      <c r="V267">
        <v>388.5</v>
      </c>
      <c r="X267" s="4">
        <v>1</v>
      </c>
      <c r="Y267">
        <v>518</v>
      </c>
      <c r="Z267">
        <v>0.25</v>
      </c>
      <c r="AA267">
        <v>388.5</v>
      </c>
    </row>
    <row r="268" spans="1:27" x14ac:dyDescent="0.3">
      <c r="A268" t="s">
        <v>2075</v>
      </c>
      <c r="B268" s="2">
        <v>45437</v>
      </c>
      <c r="C268" t="s">
        <v>1327</v>
      </c>
      <c r="D268" t="s">
        <v>1659</v>
      </c>
      <c r="E268" t="s">
        <v>1752</v>
      </c>
      <c r="F268" s="4">
        <v>4</v>
      </c>
      <c r="G268">
        <v>779.25</v>
      </c>
      <c r="H268">
        <v>0.25</v>
      </c>
      <c r="I268" t="s">
        <v>1807</v>
      </c>
      <c r="J268">
        <v>2337.75</v>
      </c>
      <c r="K268" t="s">
        <v>1328</v>
      </c>
      <c r="L268">
        <v>48</v>
      </c>
      <c r="M268" t="str">
        <v>Female</v>
      </c>
      <c r="N268" t="str">
        <f>VLOOKUP(C:C,Customer_Dim!B:I,5,1)</f>
        <v>Williamsberg</v>
      </c>
      <c r="O268" t="str">
        <f>VLOOKUP(C:C,Customer_Dim!B:I,6,1)</f>
        <v>New York</v>
      </c>
      <c r="P268" t="str">
        <f>VLOOKUP(C:C,Customer_Dim!B:I,7,1)</f>
        <v>USA</v>
      </c>
      <c r="Q268" t="str">
        <f>VLOOKUP(C:C,Customer_Dim!B:I,8,1)</f>
        <v>Silver</v>
      </c>
      <c r="S268">
        <v>4</v>
      </c>
      <c r="T268">
        <v>779.25</v>
      </c>
      <c r="U268">
        <v>0.25</v>
      </c>
      <c r="V268">
        <v>2337.75</v>
      </c>
      <c r="X268" s="4">
        <v>4</v>
      </c>
      <c r="Y268">
        <v>779.25</v>
      </c>
      <c r="Z268">
        <v>0.25</v>
      </c>
      <c r="AA268">
        <v>2337.75</v>
      </c>
    </row>
    <row r="269" spans="1:27" x14ac:dyDescent="0.3">
      <c r="A269" t="s">
        <v>2076</v>
      </c>
      <c r="B269" s="2">
        <v>45807</v>
      </c>
      <c r="C269" t="s">
        <v>406</v>
      </c>
      <c r="D269" t="s">
        <v>1697</v>
      </c>
      <c r="E269" t="s">
        <v>1762</v>
      </c>
      <c r="F269" s="4">
        <v>2</v>
      </c>
      <c r="G269">
        <v>467.75</v>
      </c>
      <c r="H269">
        <v>0.26</v>
      </c>
      <c r="I269" t="s">
        <v>1807</v>
      </c>
      <c r="J269">
        <v>692.27</v>
      </c>
      <c r="K269" t="s">
        <v>407</v>
      </c>
      <c r="L269">
        <v>40</v>
      </c>
      <c r="M269" t="str">
        <v>Male</v>
      </c>
      <c r="N269" t="str">
        <f>VLOOKUP(C:C,Customer_Dim!B:I,5,1)</f>
        <v>New Jenniferburgh</v>
      </c>
      <c r="O269" t="str">
        <f>VLOOKUP(C:C,Customer_Dim!B:I,6,1)</f>
        <v>Nebraska</v>
      </c>
      <c r="P269" t="str">
        <f>VLOOKUP(C:C,Customer_Dim!B:I,7,1)</f>
        <v>USA</v>
      </c>
      <c r="Q269" t="str">
        <f>VLOOKUP(C:C,Customer_Dim!B:I,8,1)</f>
        <v>Platinum</v>
      </c>
      <c r="S269">
        <v>2</v>
      </c>
      <c r="T269">
        <v>467.75</v>
      </c>
      <c r="U269">
        <v>0.26</v>
      </c>
      <c r="V269">
        <v>692.27</v>
      </c>
      <c r="X269" s="4">
        <v>2</v>
      </c>
      <c r="Y269">
        <v>467.75</v>
      </c>
      <c r="Z269">
        <v>0.26</v>
      </c>
      <c r="AA269">
        <v>692.27</v>
      </c>
    </row>
    <row r="270" spans="1:27" x14ac:dyDescent="0.3">
      <c r="A270" t="s">
        <v>2077</v>
      </c>
      <c r="B270" s="2">
        <v>45555</v>
      </c>
      <c r="C270" t="s">
        <v>1249</v>
      </c>
      <c r="D270" t="s">
        <v>1711</v>
      </c>
      <c r="E270" t="s">
        <v>1793</v>
      </c>
      <c r="F270" s="4">
        <v>3</v>
      </c>
      <c r="G270">
        <v>510.1924321201617</v>
      </c>
      <c r="H270">
        <v>0.06</v>
      </c>
      <c r="I270" t="s">
        <v>1807</v>
      </c>
      <c r="J270">
        <v>315.24779999999998</v>
      </c>
      <c r="K270" t="s">
        <v>1250</v>
      </c>
      <c r="L270">
        <v>33</v>
      </c>
      <c r="M270" t="str">
        <v>Male</v>
      </c>
      <c r="N270" t="str">
        <f>VLOOKUP(C:C,Customer_Dim!B:I,5,1)</f>
        <v>North Michaelfurt</v>
      </c>
      <c r="O270" t="str">
        <f>VLOOKUP(C:C,Customer_Dim!B:I,6,1)</f>
        <v>Wisconsin</v>
      </c>
      <c r="P270" t="str">
        <f>VLOOKUP(C:C,Customer_Dim!B:I,7,1)</f>
        <v>USA</v>
      </c>
      <c r="Q270" t="str">
        <f>VLOOKUP(C:C,Customer_Dim!B:I,8,1)</f>
        <v>Gold</v>
      </c>
      <c r="S270">
        <v>3</v>
      </c>
      <c r="U270">
        <v>0.06</v>
      </c>
      <c r="V270">
        <v>315.24779999999998</v>
      </c>
      <c r="X270" s="4">
        <v>3</v>
      </c>
      <c r="Y270">
        <v>510.1924321201617</v>
      </c>
      <c r="Z270">
        <v>0.06</v>
      </c>
      <c r="AA270">
        <v>315.24779999999998</v>
      </c>
    </row>
    <row r="271" spans="1:27" x14ac:dyDescent="0.3">
      <c r="A271" t="s">
        <v>2078</v>
      </c>
      <c r="B271" s="2">
        <v>45803</v>
      </c>
      <c r="C271" t="s">
        <v>705</v>
      </c>
      <c r="D271" t="s">
        <v>1605</v>
      </c>
      <c r="E271" t="s">
        <v>1735</v>
      </c>
      <c r="F271" s="4">
        <v>4</v>
      </c>
      <c r="G271">
        <v>747.01</v>
      </c>
      <c r="H271">
        <v>0.13</v>
      </c>
      <c r="I271" t="s">
        <v>1809</v>
      </c>
      <c r="J271">
        <v>2599.5947999999999</v>
      </c>
      <c r="K271" t="s">
        <v>706</v>
      </c>
      <c r="L271">
        <v>50</v>
      </c>
      <c r="M271" t="str">
        <v>Female</v>
      </c>
      <c r="N271" t="str">
        <f>VLOOKUP(C:C,Customer_Dim!B:I,5,1)</f>
        <v xml:space="preserve">Phillipschester   </v>
      </c>
      <c r="O271" t="str">
        <f>VLOOKUP(C:C,Customer_Dim!B:I,6,1)</f>
        <v>New Jersey</v>
      </c>
      <c r="P271" t="str">
        <f>VLOOKUP(C:C,Customer_Dim!B:I,7,1)</f>
        <v>USA</v>
      </c>
      <c r="Q271" t="str">
        <f>VLOOKUP(C:C,Customer_Dim!B:I,8,1)</f>
        <v>Gold</v>
      </c>
      <c r="S271">
        <v>4</v>
      </c>
      <c r="T271">
        <v>747.01</v>
      </c>
      <c r="U271">
        <v>0.13</v>
      </c>
      <c r="V271">
        <v>2599.5947999999999</v>
      </c>
      <c r="X271" s="4">
        <v>4</v>
      </c>
      <c r="Y271">
        <v>747.01</v>
      </c>
      <c r="Z271">
        <v>0.13</v>
      </c>
      <c r="AA271">
        <v>2599.5947999999999</v>
      </c>
    </row>
    <row r="272" spans="1:27" x14ac:dyDescent="0.3">
      <c r="A272" t="s">
        <v>2079</v>
      </c>
      <c r="B272" s="2">
        <v>45735</v>
      </c>
      <c r="C272" t="s">
        <v>355</v>
      </c>
      <c r="D272" t="s">
        <v>1709</v>
      </c>
      <c r="E272" t="s">
        <v>1777</v>
      </c>
      <c r="F272" s="4">
        <v>4</v>
      </c>
      <c r="G272">
        <v>461.83</v>
      </c>
      <c r="H272">
        <v>0.28000000000000003</v>
      </c>
      <c r="I272" t="s">
        <v>1809</v>
      </c>
      <c r="J272">
        <v>1330.0704000000001</v>
      </c>
      <c r="K272" t="s">
        <v>356</v>
      </c>
      <c r="L272">
        <v>34</v>
      </c>
      <c r="M272" t="str">
        <v>Female</v>
      </c>
      <c r="N272" t="str">
        <f>VLOOKUP(C:C,Customer_Dim!B:I,5,1)</f>
        <v>Singletonmouth</v>
      </c>
      <c r="O272" t="str">
        <f>VLOOKUP(C:C,Customer_Dim!B:I,6,1)</f>
        <v>Utah</v>
      </c>
      <c r="P272" t="str">
        <f>VLOOKUP(C:C,Customer_Dim!B:I,7,1)</f>
        <v>USA</v>
      </c>
      <c r="Q272" t="str">
        <f>VLOOKUP(C:C,Customer_Dim!B:I,8,1)</f>
        <v>Gold</v>
      </c>
      <c r="S272">
        <v>4</v>
      </c>
      <c r="T272">
        <v>461.83</v>
      </c>
      <c r="U272">
        <v>0.28000000000000003</v>
      </c>
      <c r="V272">
        <v>1330.0704000000001</v>
      </c>
      <c r="X272" s="4">
        <v>4</v>
      </c>
      <c r="Y272">
        <v>461.83</v>
      </c>
      <c r="Z272">
        <v>0.28000000000000003</v>
      </c>
      <c r="AA272">
        <v>1330.0704000000001</v>
      </c>
    </row>
    <row r="273" spans="1:27" x14ac:dyDescent="0.3">
      <c r="A273" t="s">
        <v>2080</v>
      </c>
      <c r="B273" s="2">
        <v>45750</v>
      </c>
      <c r="C273" t="s">
        <v>453</v>
      </c>
      <c r="D273" t="s">
        <v>1671</v>
      </c>
      <c r="E273" t="s">
        <v>1765</v>
      </c>
      <c r="F273" s="4">
        <v>2</v>
      </c>
      <c r="G273">
        <v>105.15</v>
      </c>
      <c r="H273">
        <v>0.06</v>
      </c>
      <c r="I273" t="s">
        <v>1807</v>
      </c>
      <c r="J273">
        <v>197.68199999999999</v>
      </c>
      <c r="K273" t="s">
        <v>454</v>
      </c>
      <c r="L273">
        <v>33</v>
      </c>
      <c r="M273" t="str">
        <v>Female</v>
      </c>
      <c r="N273" t="str">
        <f>VLOOKUP(C:C,Customer_Dim!B:I,5,1)</f>
        <v>Parksfort</v>
      </c>
      <c r="O273" t="str">
        <f>VLOOKUP(C:C,Customer_Dim!B:I,6,1)</f>
        <v>Washington</v>
      </c>
      <c r="P273" t="str">
        <f>VLOOKUP(C:C,Customer_Dim!B:I,7,1)</f>
        <v>USA</v>
      </c>
      <c r="Q273" t="str">
        <f>VLOOKUP(C:C,Customer_Dim!B:I,8,1)</f>
        <v>Gold</v>
      </c>
      <c r="S273">
        <v>2</v>
      </c>
      <c r="T273">
        <v>105.15</v>
      </c>
      <c r="U273">
        <v>0.06</v>
      </c>
      <c r="V273">
        <v>197.68199999999999</v>
      </c>
      <c r="X273" s="4">
        <v>2</v>
      </c>
      <c r="Y273">
        <v>105.15</v>
      </c>
      <c r="Z273">
        <v>0.06</v>
      </c>
      <c r="AA273">
        <v>197.68199999999999</v>
      </c>
    </row>
    <row r="274" spans="1:27" x14ac:dyDescent="0.3">
      <c r="A274" t="s">
        <v>2081</v>
      </c>
      <c r="B274" s="2">
        <v>45693</v>
      </c>
      <c r="C274" t="s">
        <v>134</v>
      </c>
      <c r="D274" t="s">
        <v>1577</v>
      </c>
      <c r="E274" t="s">
        <v>1749</v>
      </c>
      <c r="F274" s="4">
        <v>3</v>
      </c>
      <c r="G274">
        <v>610.24</v>
      </c>
      <c r="H274">
        <v>0.17</v>
      </c>
      <c r="I274" t="s">
        <v>1812</v>
      </c>
      <c r="J274">
        <v>1519.4975999999999</v>
      </c>
      <c r="K274" t="s">
        <v>3935</v>
      </c>
      <c r="L274">
        <v>27</v>
      </c>
      <c r="M274" t="str">
        <v>Female</v>
      </c>
      <c r="N274" t="str">
        <f>VLOOKUP(C:C,Customer_Dim!B:I,5,1)</f>
        <v>Tristanton</v>
      </c>
      <c r="O274" t="str">
        <f>VLOOKUP(C:C,Customer_Dim!B:I,6,1)</f>
        <v>Oklahoma</v>
      </c>
      <c r="P274" t="str">
        <f>VLOOKUP(C:C,Customer_Dim!B:I,7,1)</f>
        <v>USA</v>
      </c>
      <c r="Q274" t="str">
        <f>VLOOKUP(C:C,Customer_Dim!B:I,8,1)</f>
        <v>Platinum</v>
      </c>
      <c r="S274">
        <v>3</v>
      </c>
      <c r="T274">
        <v>610.24</v>
      </c>
      <c r="U274">
        <v>0.17</v>
      </c>
      <c r="V274">
        <v>1519.4975999999999</v>
      </c>
      <c r="X274" s="4">
        <v>3</v>
      </c>
      <c r="Y274">
        <v>610.24</v>
      </c>
      <c r="Z274">
        <v>0.17</v>
      </c>
      <c r="AA274">
        <v>1519.4975999999999</v>
      </c>
    </row>
    <row r="275" spans="1:27" x14ac:dyDescent="0.3">
      <c r="A275" t="s">
        <v>2082</v>
      </c>
      <c r="B275" s="2">
        <v>45667</v>
      </c>
      <c r="C275" t="s">
        <v>974</v>
      </c>
      <c r="D275" t="s">
        <v>1679</v>
      </c>
      <c r="E275" t="s">
        <v>1765</v>
      </c>
      <c r="F275" s="4">
        <v>1</v>
      </c>
      <c r="G275">
        <v>872.12</v>
      </c>
      <c r="H275">
        <v>7.0000000000000007E-2</v>
      </c>
      <c r="I275" t="s">
        <v>1809</v>
      </c>
      <c r="J275">
        <v>811.07159999999999</v>
      </c>
      <c r="K275" t="s">
        <v>975</v>
      </c>
      <c r="L275">
        <v>62</v>
      </c>
      <c r="M275" t="str">
        <v>Male</v>
      </c>
      <c r="N275" t="str">
        <f>VLOOKUP(C:C,Customer_Dim!B:I,5,1)</f>
        <v>Brianchester</v>
      </c>
      <c r="O275" t="str">
        <f>VLOOKUP(C:C,Customer_Dim!B:I,6,1)</f>
        <v>Delaware</v>
      </c>
      <c r="P275" t="str">
        <f>VLOOKUP(C:C,Customer_Dim!B:I,7,1)</f>
        <v>USA</v>
      </c>
      <c r="Q275" t="str">
        <f>VLOOKUP(C:C,Customer_Dim!B:I,8,1)</f>
        <v>Silver</v>
      </c>
      <c r="S275">
        <v>1</v>
      </c>
      <c r="T275">
        <v>872.12</v>
      </c>
      <c r="U275">
        <v>7.0000000000000007E-2</v>
      </c>
      <c r="V275">
        <v>811.07159999999999</v>
      </c>
      <c r="X275" s="4">
        <v>1</v>
      </c>
      <c r="Y275">
        <v>872.12</v>
      </c>
      <c r="Z275">
        <v>7.0000000000000007E-2</v>
      </c>
      <c r="AA275">
        <v>811.07159999999999</v>
      </c>
    </row>
    <row r="276" spans="1:27" x14ac:dyDescent="0.3">
      <c r="A276" t="s">
        <v>2083</v>
      </c>
      <c r="B276" s="2">
        <v>45316</v>
      </c>
      <c r="C276" t="s">
        <v>1327</v>
      </c>
      <c r="D276" t="s">
        <v>1551</v>
      </c>
      <c r="E276" t="s">
        <v>1740</v>
      </c>
      <c r="F276" s="4">
        <v>1</v>
      </c>
      <c r="G276">
        <v>406.79</v>
      </c>
      <c r="H276">
        <v>0.03</v>
      </c>
      <c r="I276" t="s">
        <v>1812</v>
      </c>
      <c r="J276">
        <v>394.58629999999999</v>
      </c>
      <c r="K276" t="s">
        <v>1328</v>
      </c>
      <c r="L276">
        <v>48</v>
      </c>
      <c r="M276" t="str">
        <v>Female</v>
      </c>
      <c r="N276" t="str">
        <f>VLOOKUP(C:C,Customer_Dim!B:I,5,1)</f>
        <v>Williamsberg</v>
      </c>
      <c r="O276" t="str">
        <f>VLOOKUP(C:C,Customer_Dim!B:I,6,1)</f>
        <v>New York</v>
      </c>
      <c r="P276" t="str">
        <f>VLOOKUP(C:C,Customer_Dim!B:I,7,1)</f>
        <v>USA</v>
      </c>
      <c r="Q276" t="str">
        <f>VLOOKUP(C:C,Customer_Dim!B:I,8,1)</f>
        <v>Silver</v>
      </c>
      <c r="S276">
        <v>1</v>
      </c>
      <c r="T276">
        <v>406.79</v>
      </c>
      <c r="U276">
        <v>0.03</v>
      </c>
      <c r="V276">
        <v>394.58629999999999</v>
      </c>
      <c r="X276" s="4">
        <v>1</v>
      </c>
      <c r="Y276">
        <v>406.79</v>
      </c>
      <c r="Z276">
        <v>0.03</v>
      </c>
      <c r="AA276">
        <v>394.58629999999999</v>
      </c>
    </row>
    <row r="277" spans="1:27" x14ac:dyDescent="0.3">
      <c r="A277" t="s">
        <v>2084</v>
      </c>
      <c r="B277" s="2">
        <v>45932</v>
      </c>
      <c r="C277" t="s">
        <v>1150</v>
      </c>
      <c r="D277" t="s">
        <v>1639</v>
      </c>
      <c r="E277" t="s">
        <v>1782</v>
      </c>
      <c r="F277" s="4">
        <v>1</v>
      </c>
      <c r="G277">
        <v>606.01</v>
      </c>
      <c r="H277">
        <v>0.04</v>
      </c>
      <c r="I277" t="s">
        <v>1809</v>
      </c>
      <c r="J277">
        <v>581.76959999999997</v>
      </c>
      <c r="K277" t="s">
        <v>1151</v>
      </c>
      <c r="L277">
        <v>37</v>
      </c>
      <c r="M277" t="str">
        <v>Female</v>
      </c>
      <c r="N277" t="str">
        <f>VLOOKUP(C:C,Customer_Dim!B:I,5,1)</f>
        <v>Vincentside</v>
      </c>
      <c r="O277" t="str">
        <f>VLOOKUP(C:C,Customer_Dim!B:I,6,1)</f>
        <v>Ohio</v>
      </c>
      <c r="P277" t="str">
        <f>VLOOKUP(C:C,Customer_Dim!B:I,7,1)</f>
        <v>USA</v>
      </c>
      <c r="Q277" t="str">
        <f>VLOOKUP(C:C,Customer_Dim!B:I,8,1)</f>
        <v>Bronze</v>
      </c>
      <c r="S277">
        <v>1</v>
      </c>
      <c r="T277">
        <v>606.01</v>
      </c>
      <c r="U277">
        <v>0.04</v>
      </c>
      <c r="V277">
        <v>581.76959999999997</v>
      </c>
      <c r="X277" s="4">
        <v>1</v>
      </c>
      <c r="Y277">
        <v>606.01</v>
      </c>
      <c r="Z277">
        <v>0.04</v>
      </c>
      <c r="AA277">
        <v>581.76959999999997</v>
      </c>
    </row>
    <row r="278" spans="1:27" x14ac:dyDescent="0.3">
      <c r="A278" t="s">
        <v>2085</v>
      </c>
      <c r="B278" s="2">
        <v>45483</v>
      </c>
      <c r="C278" t="s">
        <v>1083</v>
      </c>
      <c r="D278" t="s">
        <v>1565</v>
      </c>
      <c r="E278" t="s">
        <v>1756</v>
      </c>
      <c r="F278" s="4">
        <v>4</v>
      </c>
      <c r="G278">
        <v>322.58</v>
      </c>
      <c r="H278">
        <v>0.06</v>
      </c>
      <c r="I278" t="s">
        <v>1807</v>
      </c>
      <c r="J278">
        <v>1212.9007999999999</v>
      </c>
      <c r="K278" t="s">
        <v>1084</v>
      </c>
      <c r="L278">
        <v>26</v>
      </c>
      <c r="M278" t="str">
        <v>Male</v>
      </c>
      <c r="N278" t="str">
        <f>VLOOKUP(C:C,Customer_Dim!B:I,5,1)</f>
        <v>New Angiefurt</v>
      </c>
      <c r="O278" t="str">
        <f>VLOOKUP(C:C,Customer_Dim!B:I,6,1)</f>
        <v>Alaska</v>
      </c>
      <c r="P278" t="str">
        <f>VLOOKUP(C:C,Customer_Dim!B:I,7,1)</f>
        <v>USA</v>
      </c>
      <c r="Q278" t="str">
        <f>VLOOKUP(C:C,Customer_Dim!B:I,8,1)</f>
        <v>Bronze</v>
      </c>
      <c r="S278">
        <v>4</v>
      </c>
      <c r="T278">
        <v>322.58</v>
      </c>
      <c r="U278">
        <v>0.06</v>
      </c>
      <c r="V278">
        <v>1212.9007999999999</v>
      </c>
      <c r="X278" s="4">
        <v>4</v>
      </c>
      <c r="Y278">
        <v>322.58</v>
      </c>
      <c r="Z278">
        <v>0.06</v>
      </c>
      <c r="AA278">
        <v>1212.9007999999999</v>
      </c>
    </row>
    <row r="279" spans="1:27" x14ac:dyDescent="0.3">
      <c r="A279" t="s">
        <v>2086</v>
      </c>
      <c r="B279" s="2">
        <v>45661</v>
      </c>
      <c r="C279" t="s">
        <v>1472</v>
      </c>
      <c r="D279" t="s">
        <v>1685</v>
      </c>
      <c r="E279" t="s">
        <v>1793</v>
      </c>
      <c r="F279" s="4">
        <v>4</v>
      </c>
      <c r="G279">
        <v>463.17</v>
      </c>
      <c r="H279">
        <v>0.06</v>
      </c>
      <c r="I279" t="s">
        <v>1809</v>
      </c>
      <c r="J279">
        <v>1741.5192</v>
      </c>
      <c r="K279" t="s">
        <v>1473</v>
      </c>
      <c r="L279">
        <v>46</v>
      </c>
      <c r="M279" t="str">
        <v>Female</v>
      </c>
      <c r="N279" t="str">
        <f>VLOOKUP(C:C,Customer_Dim!B:I,5,1)</f>
        <v>West Markton</v>
      </c>
      <c r="O279" t="str">
        <f>VLOOKUP(C:C,Customer_Dim!B:I,6,1)</f>
        <v>Massachusetts</v>
      </c>
      <c r="P279" t="str">
        <f>VLOOKUP(C:C,Customer_Dim!B:I,7,1)</f>
        <v>USA</v>
      </c>
      <c r="Q279" t="str">
        <f>VLOOKUP(C:C,Customer_Dim!B:I,8,1)</f>
        <v>Bronze</v>
      </c>
      <c r="S279">
        <v>4</v>
      </c>
      <c r="T279">
        <v>463.17</v>
      </c>
      <c r="U279">
        <v>0.06</v>
      </c>
      <c r="V279">
        <v>1741.5192</v>
      </c>
      <c r="X279" s="4">
        <v>4</v>
      </c>
      <c r="Y279">
        <v>463.17</v>
      </c>
      <c r="Z279">
        <v>0.06</v>
      </c>
      <c r="AA279">
        <v>1741.5192</v>
      </c>
    </row>
    <row r="280" spans="1:27" x14ac:dyDescent="0.3">
      <c r="A280" t="s">
        <v>2087</v>
      </c>
      <c r="B280" s="2">
        <v>45798</v>
      </c>
      <c r="C280" t="s">
        <v>986</v>
      </c>
      <c r="D280" t="s">
        <v>1581</v>
      </c>
      <c r="E280" t="s">
        <v>1762</v>
      </c>
      <c r="F280" s="4">
        <v>4</v>
      </c>
      <c r="G280">
        <v>285.82</v>
      </c>
      <c r="H280">
        <v>0.18</v>
      </c>
      <c r="I280" t="s">
        <v>1809</v>
      </c>
      <c r="J280">
        <v>937.4896</v>
      </c>
      <c r="K280" t="s">
        <v>987</v>
      </c>
      <c r="L280">
        <v>64</v>
      </c>
      <c r="M280" t="str">
        <v>Female</v>
      </c>
      <c r="N280" t="str">
        <f>VLOOKUP(C:C,Customer_Dim!B:I,5,1)</f>
        <v>Lake James</v>
      </c>
      <c r="O280" t="str">
        <f>VLOOKUP(C:C,Customer_Dim!B:I,6,1)</f>
        <v>Maryland</v>
      </c>
      <c r="P280" t="str">
        <f>VLOOKUP(C:C,Customer_Dim!B:I,7,1)</f>
        <v>USA</v>
      </c>
      <c r="Q280" t="str">
        <f>VLOOKUP(C:C,Customer_Dim!B:I,8,1)</f>
        <v>Gold</v>
      </c>
      <c r="S280">
        <v>4</v>
      </c>
      <c r="T280">
        <v>285.82</v>
      </c>
      <c r="U280">
        <v>0.18</v>
      </c>
      <c r="V280">
        <v>937.4896</v>
      </c>
      <c r="X280" s="4">
        <v>4</v>
      </c>
      <c r="Y280">
        <v>285.82</v>
      </c>
      <c r="Z280">
        <v>0.18</v>
      </c>
      <c r="AA280">
        <v>937.4896</v>
      </c>
    </row>
    <row r="281" spans="1:27" x14ac:dyDescent="0.3">
      <c r="A281" t="s">
        <v>2088</v>
      </c>
      <c r="B281" s="2">
        <v>45868</v>
      </c>
      <c r="C281" t="s">
        <v>1015</v>
      </c>
      <c r="D281" t="s">
        <v>1605</v>
      </c>
      <c r="E281" t="s">
        <v>1775</v>
      </c>
      <c r="F281" s="4">
        <v>3</v>
      </c>
      <c r="G281">
        <v>995.38</v>
      </c>
      <c r="H281">
        <v>0.1</v>
      </c>
      <c r="I281" t="s">
        <v>1809</v>
      </c>
      <c r="J281">
        <v>2687.5259999999998</v>
      </c>
      <c r="K281" t="s">
        <v>1016</v>
      </c>
      <c r="L281">
        <v>62</v>
      </c>
      <c r="M281" t="str">
        <v>Female</v>
      </c>
      <c r="N281" t="str">
        <f>VLOOKUP(C:C,Customer_Dim!B:I,5,1)</f>
        <v>Cindyton</v>
      </c>
      <c r="O281" t="str">
        <f>VLOOKUP(C:C,Customer_Dim!B:I,6,1)</f>
        <v>Rhode Island</v>
      </c>
      <c r="P281" t="str">
        <f>VLOOKUP(C:C,Customer_Dim!B:I,7,1)</f>
        <v>USA</v>
      </c>
      <c r="Q281" t="str">
        <f>VLOOKUP(C:C,Customer_Dim!B:I,8,1)</f>
        <v>Gold</v>
      </c>
      <c r="S281">
        <v>3</v>
      </c>
      <c r="T281">
        <v>995.38</v>
      </c>
      <c r="U281">
        <v>0.1</v>
      </c>
      <c r="V281">
        <v>2687.5259999999998</v>
      </c>
      <c r="X281" s="4">
        <v>3</v>
      </c>
      <c r="Y281">
        <v>995.38</v>
      </c>
      <c r="Z281">
        <v>0.1</v>
      </c>
      <c r="AA281">
        <v>2687.5259999999998</v>
      </c>
    </row>
    <row r="282" spans="1:27" x14ac:dyDescent="0.3">
      <c r="A282" t="s">
        <v>2089</v>
      </c>
      <c r="B282" s="2">
        <v>45757</v>
      </c>
      <c r="C282" t="s">
        <v>409</v>
      </c>
      <c r="D282" t="s">
        <v>1655</v>
      </c>
      <c r="E282" t="s">
        <v>1765</v>
      </c>
      <c r="F282" s="4">
        <v>1</v>
      </c>
      <c r="G282">
        <v>329.31</v>
      </c>
      <c r="H282">
        <v>0.09</v>
      </c>
      <c r="I282" t="s">
        <v>1807</v>
      </c>
      <c r="J282">
        <v>299.6721</v>
      </c>
      <c r="K282" t="s">
        <v>410</v>
      </c>
      <c r="L282">
        <v>44</v>
      </c>
      <c r="M282" t="str">
        <v>Female</v>
      </c>
      <c r="N282" t="str">
        <f>VLOOKUP(C:C,Customer_Dim!B:I,5,1)</f>
        <v>North Edwardton</v>
      </c>
      <c r="O282" t="str">
        <f>VLOOKUP(C:C,Customer_Dim!B:I,6,1)</f>
        <v>Tennessee</v>
      </c>
      <c r="P282" t="str">
        <f>VLOOKUP(C:C,Customer_Dim!B:I,7,1)</f>
        <v>USA</v>
      </c>
      <c r="Q282" t="str">
        <f>VLOOKUP(C:C,Customer_Dim!B:I,8,1)</f>
        <v>Bronze</v>
      </c>
      <c r="S282">
        <v>1</v>
      </c>
      <c r="T282">
        <v>329.31</v>
      </c>
      <c r="U282">
        <v>0.09</v>
      </c>
      <c r="V282">
        <v>299.6721</v>
      </c>
      <c r="X282" s="4">
        <v>1</v>
      </c>
      <c r="Y282">
        <v>329.31</v>
      </c>
      <c r="Z282">
        <v>0.09</v>
      </c>
      <c r="AA282">
        <v>299.6721</v>
      </c>
    </row>
    <row r="283" spans="1:27" x14ac:dyDescent="0.3">
      <c r="A283" t="s">
        <v>2090</v>
      </c>
      <c r="B283" s="2">
        <v>45475</v>
      </c>
      <c r="C283" t="s">
        <v>1490</v>
      </c>
      <c r="D283" t="s">
        <v>1625</v>
      </c>
      <c r="E283" t="s">
        <v>1787</v>
      </c>
      <c r="F283" s="4">
        <v>3</v>
      </c>
      <c r="G283">
        <v>64.2</v>
      </c>
      <c r="H283">
        <v>0.08</v>
      </c>
      <c r="I283" t="s">
        <v>1812</v>
      </c>
      <c r="J283">
        <v>177.19200000000001</v>
      </c>
      <c r="K283" t="s">
        <v>1491</v>
      </c>
      <c r="L283">
        <v>52</v>
      </c>
      <c r="M283" t="str">
        <v>Female</v>
      </c>
      <c r="N283" t="str">
        <f>VLOOKUP(C:C,Customer_Dim!B:I,5,1)</f>
        <v>North Nataliemouth</v>
      </c>
      <c r="O283" t="str">
        <f>VLOOKUP(C:C,Customer_Dim!B:I,6,1)</f>
        <v>Maryland</v>
      </c>
      <c r="P283" t="str">
        <f>VLOOKUP(C:C,Customer_Dim!B:I,7,1)</f>
        <v>USA</v>
      </c>
      <c r="Q283" t="str">
        <f>VLOOKUP(C:C,Customer_Dim!B:I,8,1)</f>
        <v>Platinum</v>
      </c>
      <c r="S283">
        <v>3</v>
      </c>
      <c r="T283">
        <v>64.2</v>
      </c>
      <c r="U283">
        <v>0.08</v>
      </c>
      <c r="V283">
        <v>177.19200000000001</v>
      </c>
      <c r="X283" s="4">
        <v>3</v>
      </c>
      <c r="Y283">
        <v>64.2</v>
      </c>
      <c r="Z283">
        <v>0.08</v>
      </c>
      <c r="AA283">
        <v>177.19200000000001</v>
      </c>
    </row>
    <row r="284" spans="1:27" x14ac:dyDescent="0.3">
      <c r="A284" t="s">
        <v>2091</v>
      </c>
      <c r="B284" s="2">
        <v>45829</v>
      </c>
      <c r="C284" t="s">
        <v>829</v>
      </c>
      <c r="D284" t="s">
        <v>1553</v>
      </c>
      <c r="E284" t="s">
        <v>1780</v>
      </c>
      <c r="F284" s="4">
        <v>3</v>
      </c>
      <c r="G284">
        <v>697.13</v>
      </c>
      <c r="H284">
        <v>0.25</v>
      </c>
      <c r="I284" t="s">
        <v>1812</v>
      </c>
      <c r="J284">
        <v>1568.5425</v>
      </c>
      <c r="K284" t="s">
        <v>830</v>
      </c>
      <c r="L284">
        <v>50</v>
      </c>
      <c r="M284" t="str">
        <v>Male</v>
      </c>
      <c r="N284" t="str">
        <f>VLOOKUP(C:C,Customer_Dim!B:I,5,1)</f>
        <v>New Ana</v>
      </c>
      <c r="O284" t="str">
        <f>VLOOKUP(C:C,Customer_Dim!B:I,6,1)</f>
        <v>Montana</v>
      </c>
      <c r="P284" t="str">
        <f>VLOOKUP(C:C,Customer_Dim!B:I,7,1)</f>
        <v>USA</v>
      </c>
      <c r="Q284" t="str">
        <f>VLOOKUP(C:C,Customer_Dim!B:I,8,1)</f>
        <v>Silver</v>
      </c>
      <c r="S284">
        <v>3</v>
      </c>
      <c r="T284">
        <v>697.13</v>
      </c>
      <c r="U284">
        <v>0.25</v>
      </c>
      <c r="V284">
        <v>1568.5425</v>
      </c>
      <c r="X284" s="4">
        <v>3</v>
      </c>
      <c r="Y284">
        <v>697.13</v>
      </c>
      <c r="Z284">
        <v>0.25</v>
      </c>
      <c r="AA284">
        <v>1568.5425</v>
      </c>
    </row>
    <row r="285" spans="1:27" x14ac:dyDescent="0.3">
      <c r="A285" t="s">
        <v>2092</v>
      </c>
      <c r="B285" s="2">
        <v>45639</v>
      </c>
      <c r="C285" t="s">
        <v>97</v>
      </c>
      <c r="D285" t="s">
        <v>1548</v>
      </c>
      <c r="E285" t="s">
        <v>1756</v>
      </c>
      <c r="F285" s="4">
        <v>3</v>
      </c>
      <c r="G285">
        <v>134.30000000000001</v>
      </c>
      <c r="H285">
        <v>0.14000000000000001</v>
      </c>
      <c r="I285" t="s">
        <v>1807</v>
      </c>
      <c r="J285">
        <v>346.49400000000003</v>
      </c>
      <c r="K285" t="s">
        <v>3953</v>
      </c>
      <c r="L285">
        <v>52</v>
      </c>
      <c r="M285" t="str">
        <v>Female</v>
      </c>
      <c r="N285" t="str">
        <f>VLOOKUP(C:C,Customer_Dim!B:I,5,1)</f>
        <v>Michaelton</v>
      </c>
      <c r="O285" t="str">
        <f>VLOOKUP(C:C,Customer_Dim!B:I,6,1)</f>
        <v>Hawaii</v>
      </c>
      <c r="P285" t="str">
        <f>VLOOKUP(C:C,Customer_Dim!B:I,7,1)</f>
        <v>USA</v>
      </c>
      <c r="Q285" t="str">
        <f>VLOOKUP(C:C,Customer_Dim!B:I,8,1)</f>
        <v>Silver</v>
      </c>
      <c r="S285">
        <v>3</v>
      </c>
      <c r="T285">
        <v>134.30000000000001</v>
      </c>
      <c r="U285">
        <v>0.14000000000000001</v>
      </c>
      <c r="V285">
        <v>346.49400000000003</v>
      </c>
      <c r="X285" s="4">
        <v>3</v>
      </c>
      <c r="Y285">
        <v>134.30000000000001</v>
      </c>
      <c r="Z285">
        <v>0.14000000000000001</v>
      </c>
      <c r="AA285">
        <v>346.49400000000003</v>
      </c>
    </row>
    <row r="286" spans="1:27" x14ac:dyDescent="0.3">
      <c r="A286" t="s">
        <v>2093</v>
      </c>
      <c r="B286" s="2">
        <v>45518</v>
      </c>
      <c r="C286" t="s">
        <v>823</v>
      </c>
      <c r="D286" t="s">
        <v>1699</v>
      </c>
      <c r="E286" t="s">
        <v>1780</v>
      </c>
      <c r="F286" s="4">
        <v>1</v>
      </c>
      <c r="G286">
        <v>520.92999999999995</v>
      </c>
      <c r="H286">
        <v>0.15</v>
      </c>
      <c r="I286" t="s">
        <v>1807</v>
      </c>
      <c r="J286">
        <v>442.79050000000001</v>
      </c>
      <c r="K286" t="s">
        <v>824</v>
      </c>
      <c r="L286">
        <v>27</v>
      </c>
      <c r="M286" t="str">
        <v>Female</v>
      </c>
      <c r="N286" t="str">
        <f>VLOOKUP(C:C,Customer_Dim!B:I,5,1)</f>
        <v>North Jonathon</v>
      </c>
      <c r="O286" t="str">
        <f>VLOOKUP(C:C,Customer_Dim!B:I,6,1)</f>
        <v>Arizona</v>
      </c>
      <c r="P286" t="str">
        <f>VLOOKUP(C:C,Customer_Dim!B:I,7,1)</f>
        <v>USA</v>
      </c>
      <c r="Q286" t="str">
        <f>VLOOKUP(C:C,Customer_Dim!B:I,8,1)</f>
        <v>Platinum</v>
      </c>
      <c r="S286">
        <v>1</v>
      </c>
      <c r="T286">
        <v>520.92999999999995</v>
      </c>
      <c r="U286">
        <v>0.15</v>
      </c>
      <c r="V286">
        <v>442.79050000000001</v>
      </c>
      <c r="X286" s="4">
        <v>1</v>
      </c>
      <c r="Y286">
        <v>520.92999999999995</v>
      </c>
      <c r="Z286">
        <v>0.15</v>
      </c>
      <c r="AA286">
        <v>442.79050000000001</v>
      </c>
    </row>
    <row r="287" spans="1:27" x14ac:dyDescent="0.3">
      <c r="A287" t="s">
        <v>2094</v>
      </c>
      <c r="B287" s="2">
        <v>45721</v>
      </c>
      <c r="C287" t="s">
        <v>721</v>
      </c>
      <c r="D287" t="s">
        <v>1569</v>
      </c>
      <c r="E287" t="s">
        <v>1762</v>
      </c>
      <c r="F287" s="4">
        <v>2</v>
      </c>
      <c r="G287">
        <v>350.12</v>
      </c>
      <c r="H287">
        <v>0.21</v>
      </c>
      <c r="I287" t="s">
        <v>1812</v>
      </c>
      <c r="J287">
        <v>553.18960000000004</v>
      </c>
      <c r="K287" t="s">
        <v>722</v>
      </c>
      <c r="L287">
        <v>54</v>
      </c>
      <c r="M287" t="str">
        <v>Male</v>
      </c>
      <c r="N287" t="str">
        <f>VLOOKUP(C:C,Customer_Dim!B:I,5,1)</f>
        <v>Bethanyton</v>
      </c>
      <c r="O287" t="str">
        <f>VLOOKUP(C:C,Customer_Dim!B:I,6,1)</f>
        <v>Utah</v>
      </c>
      <c r="P287" t="str">
        <f>VLOOKUP(C:C,Customer_Dim!B:I,7,1)</f>
        <v>USA</v>
      </c>
      <c r="Q287" t="str">
        <f>VLOOKUP(C:C,Customer_Dim!B:I,8,1)</f>
        <v>Platinum</v>
      </c>
      <c r="S287">
        <v>2</v>
      </c>
      <c r="T287">
        <v>350.12</v>
      </c>
      <c r="U287">
        <v>0.21</v>
      </c>
      <c r="V287">
        <v>553.18960000000004</v>
      </c>
      <c r="X287" s="4">
        <v>2</v>
      </c>
      <c r="Y287">
        <v>350.12</v>
      </c>
      <c r="Z287">
        <v>0.21</v>
      </c>
      <c r="AA287">
        <v>553.18960000000004</v>
      </c>
    </row>
    <row r="288" spans="1:27" x14ac:dyDescent="0.3">
      <c r="A288" t="s">
        <v>2095</v>
      </c>
      <c r="B288" s="2">
        <v>45308</v>
      </c>
      <c r="C288" t="s">
        <v>1421</v>
      </c>
      <c r="D288" t="s">
        <v>1627</v>
      </c>
      <c r="E288" t="s">
        <v>1796</v>
      </c>
      <c r="F288" s="4">
        <v>3</v>
      </c>
      <c r="G288">
        <v>807.95</v>
      </c>
      <c r="H288">
        <v>0.1</v>
      </c>
      <c r="I288" t="s">
        <v>1809</v>
      </c>
      <c r="J288">
        <v>2181.4650000000011</v>
      </c>
      <c r="K288" t="s">
        <v>1422</v>
      </c>
      <c r="L288">
        <v>63</v>
      </c>
      <c r="M288" t="str">
        <v>Female</v>
      </c>
      <c r="N288" t="str">
        <f>VLOOKUP(C:C,Customer_Dim!B:I,5,1)</f>
        <v>Espinozaberg</v>
      </c>
      <c r="O288" t="str">
        <f>VLOOKUP(C:C,Customer_Dim!B:I,6,1)</f>
        <v>Minnesota</v>
      </c>
      <c r="P288" t="str">
        <f>VLOOKUP(C:C,Customer_Dim!B:I,7,1)</f>
        <v>USA</v>
      </c>
      <c r="Q288" t="str">
        <f>VLOOKUP(C:C,Customer_Dim!B:I,8,1)</f>
        <v>Silver</v>
      </c>
      <c r="S288">
        <v>3</v>
      </c>
      <c r="T288">
        <v>807.95</v>
      </c>
      <c r="U288">
        <v>0.1</v>
      </c>
      <c r="V288">
        <v>2181.4650000000011</v>
      </c>
      <c r="X288" s="4">
        <v>3</v>
      </c>
      <c r="Y288">
        <v>807.95</v>
      </c>
      <c r="Z288">
        <v>0.1</v>
      </c>
      <c r="AA288">
        <v>2181.4650000000011</v>
      </c>
    </row>
    <row r="289" spans="1:27" x14ac:dyDescent="0.3">
      <c r="A289" t="s">
        <v>2096</v>
      </c>
      <c r="B289" s="2">
        <v>45889</v>
      </c>
      <c r="C289" t="s">
        <v>1042</v>
      </c>
      <c r="D289" t="s">
        <v>1607</v>
      </c>
      <c r="E289" t="s">
        <v>1759</v>
      </c>
      <c r="F289" s="4">
        <v>4</v>
      </c>
      <c r="G289">
        <v>766.03</v>
      </c>
      <c r="H289">
        <v>0.28999999999999998</v>
      </c>
      <c r="I289" t="s">
        <v>1809</v>
      </c>
      <c r="J289">
        <v>2175.5252</v>
      </c>
      <c r="K289" t="s">
        <v>1043</v>
      </c>
      <c r="L289">
        <v>58</v>
      </c>
      <c r="M289" t="str">
        <v>Female</v>
      </c>
      <c r="N289" t="str">
        <f>VLOOKUP(C:C,Customer_Dim!B:I,5,1)</f>
        <v>West Brendamouth</v>
      </c>
      <c r="O289" t="str">
        <f>VLOOKUP(C:C,Customer_Dim!B:I,6,1)</f>
        <v>North Carolina</v>
      </c>
      <c r="P289" t="str">
        <f>VLOOKUP(C:C,Customer_Dim!B:I,7,1)</f>
        <v>USA</v>
      </c>
      <c r="Q289" t="str">
        <f>VLOOKUP(C:C,Customer_Dim!B:I,8,1)</f>
        <v>Platinum</v>
      </c>
      <c r="S289">
        <v>4</v>
      </c>
      <c r="T289">
        <v>766.03</v>
      </c>
      <c r="U289">
        <v>0.28999999999999998</v>
      </c>
      <c r="V289">
        <v>2175.5252</v>
      </c>
      <c r="X289" s="4">
        <v>4</v>
      </c>
      <c r="Y289">
        <v>766.03</v>
      </c>
      <c r="Z289">
        <v>0.28999999999999998</v>
      </c>
      <c r="AA289">
        <v>2175.5252</v>
      </c>
    </row>
    <row r="290" spans="1:27" x14ac:dyDescent="0.3">
      <c r="A290" t="s">
        <v>2097</v>
      </c>
      <c r="B290" s="2">
        <v>45386</v>
      </c>
      <c r="C290" t="s">
        <v>595</v>
      </c>
      <c r="D290" t="s">
        <v>1645</v>
      </c>
      <c r="E290" t="s">
        <v>1765</v>
      </c>
      <c r="F290" s="4">
        <v>3</v>
      </c>
      <c r="G290">
        <v>545.1</v>
      </c>
      <c r="H290">
        <v>0.08</v>
      </c>
      <c r="I290" t="s">
        <v>1812</v>
      </c>
      <c r="J290">
        <v>1504.4760000000001</v>
      </c>
      <c r="K290" t="s">
        <v>596</v>
      </c>
      <c r="L290">
        <v>18</v>
      </c>
      <c r="M290" t="str">
        <v>Male</v>
      </c>
      <c r="N290" t="str">
        <f>VLOOKUP(C:C,Customer_Dim!B:I,5,1)</f>
        <v>Hutchinsonville</v>
      </c>
      <c r="O290" t="str">
        <f>VLOOKUP(C:C,Customer_Dim!B:I,6,1)</f>
        <v>Oklahoma</v>
      </c>
      <c r="P290" t="str">
        <f>VLOOKUP(C:C,Customer_Dim!B:I,7,1)</f>
        <v>USA</v>
      </c>
      <c r="Q290" t="str">
        <f>VLOOKUP(C:C,Customer_Dim!B:I,8,1)</f>
        <v>Silver</v>
      </c>
      <c r="S290">
        <v>3</v>
      </c>
      <c r="T290">
        <v>545.1</v>
      </c>
      <c r="U290">
        <v>0.08</v>
      </c>
      <c r="V290">
        <v>1504.4760000000001</v>
      </c>
      <c r="X290" s="4">
        <v>3</v>
      </c>
      <c r="Y290">
        <v>545.1</v>
      </c>
      <c r="Z290">
        <v>0.08</v>
      </c>
      <c r="AA290">
        <v>1504.4760000000001</v>
      </c>
    </row>
    <row r="291" spans="1:27" x14ac:dyDescent="0.3">
      <c r="A291" t="s">
        <v>2098</v>
      </c>
      <c r="B291" s="2">
        <v>45438</v>
      </c>
      <c r="C291" t="s">
        <v>832</v>
      </c>
      <c r="D291" t="s">
        <v>1661</v>
      </c>
      <c r="E291" t="s">
        <v>1762</v>
      </c>
      <c r="F291" s="4">
        <v>1</v>
      </c>
      <c r="G291">
        <v>203.61</v>
      </c>
      <c r="H291">
        <v>0.24</v>
      </c>
      <c r="I291" t="s">
        <v>1812</v>
      </c>
      <c r="J291">
        <v>154.74359999999999</v>
      </c>
      <c r="K291" t="s">
        <v>833</v>
      </c>
      <c r="L291">
        <v>25</v>
      </c>
      <c r="M291" t="str">
        <v>Male</v>
      </c>
      <c r="N291" t="str">
        <f>VLOOKUP(C:C,Customer_Dim!B:I,5,1)</f>
        <v>Sallymouth</v>
      </c>
      <c r="O291" t="str">
        <f>VLOOKUP(C:C,Customer_Dim!B:I,6,1)</f>
        <v>Louisiana</v>
      </c>
      <c r="P291" t="str">
        <f>VLOOKUP(C:C,Customer_Dim!B:I,7,1)</f>
        <v>USA</v>
      </c>
      <c r="Q291" t="str">
        <f>VLOOKUP(C:C,Customer_Dim!B:I,8,1)</f>
        <v>Bronze</v>
      </c>
      <c r="S291">
        <v>1</v>
      </c>
      <c r="T291">
        <v>203.61</v>
      </c>
      <c r="U291">
        <v>0.24</v>
      </c>
      <c r="V291">
        <v>154.74359999999999</v>
      </c>
      <c r="X291" s="4">
        <v>1</v>
      </c>
      <c r="Y291">
        <v>203.61</v>
      </c>
      <c r="Z291">
        <v>0.24</v>
      </c>
      <c r="AA291">
        <v>154.74359999999999</v>
      </c>
    </row>
    <row r="292" spans="1:27" x14ac:dyDescent="0.3">
      <c r="A292" t="s">
        <v>2099</v>
      </c>
      <c r="B292" s="2">
        <v>45856</v>
      </c>
      <c r="C292" t="s">
        <v>1281</v>
      </c>
      <c r="D292" t="s">
        <v>1725</v>
      </c>
      <c r="E292" t="s">
        <v>1784</v>
      </c>
      <c r="F292" s="4">
        <v>4</v>
      </c>
      <c r="G292">
        <v>493.8</v>
      </c>
      <c r="H292">
        <v>0.24</v>
      </c>
      <c r="I292" t="s">
        <v>1812</v>
      </c>
      <c r="J292">
        <v>1501.152</v>
      </c>
      <c r="K292" t="s">
        <v>1282</v>
      </c>
      <c r="L292">
        <v>60</v>
      </c>
      <c r="M292" t="str">
        <v>Female</v>
      </c>
      <c r="N292" t="str">
        <f>VLOOKUP(C:C,Customer_Dim!B:I,5,1)</f>
        <v>Kimburgh</v>
      </c>
      <c r="O292" t="str">
        <f>VLOOKUP(C:C,Customer_Dim!B:I,6,1)</f>
        <v>North Carolina</v>
      </c>
      <c r="P292" t="str">
        <f>VLOOKUP(C:C,Customer_Dim!B:I,7,1)</f>
        <v>USA</v>
      </c>
      <c r="Q292" t="str">
        <f>VLOOKUP(C:C,Customer_Dim!B:I,8,1)</f>
        <v>Bronze</v>
      </c>
      <c r="S292">
        <v>4</v>
      </c>
      <c r="T292">
        <v>493.8</v>
      </c>
      <c r="U292">
        <v>0.24</v>
      </c>
      <c r="V292">
        <v>1501.152</v>
      </c>
      <c r="X292" s="4">
        <v>4</v>
      </c>
      <c r="Y292">
        <v>493.8</v>
      </c>
      <c r="Z292">
        <v>0.24</v>
      </c>
      <c r="AA292">
        <v>1501.152</v>
      </c>
    </row>
    <row r="293" spans="1:27" x14ac:dyDescent="0.3">
      <c r="A293" t="s">
        <v>2100</v>
      </c>
      <c r="B293" s="2">
        <v>45485</v>
      </c>
      <c r="C293" t="s">
        <v>78</v>
      </c>
      <c r="D293" t="s">
        <v>1613</v>
      </c>
      <c r="E293" t="s">
        <v>1790</v>
      </c>
      <c r="F293" s="4">
        <v>1</v>
      </c>
      <c r="G293">
        <v>640.54999999999995</v>
      </c>
      <c r="H293">
        <v>0.25</v>
      </c>
      <c r="I293" t="s">
        <v>1807</v>
      </c>
      <c r="J293">
        <v>480.41250000000002</v>
      </c>
      <c r="K293" t="s">
        <v>79</v>
      </c>
      <c r="L293">
        <v>43</v>
      </c>
      <c r="M293" t="str">
        <v>Male</v>
      </c>
      <c r="N293" t="str">
        <f>VLOOKUP(C:C,Customer_Dim!B:I,5,1)</f>
        <v>Brandonville</v>
      </c>
      <c r="O293" t="str">
        <f>VLOOKUP(C:C,Customer_Dim!B:I,6,1)</f>
        <v>Georgia</v>
      </c>
      <c r="P293" t="str">
        <f>VLOOKUP(C:C,Customer_Dim!B:I,7,1)</f>
        <v>USA</v>
      </c>
      <c r="Q293" t="str">
        <f>VLOOKUP(C:C,Customer_Dim!B:I,8,1)</f>
        <v>Platinum</v>
      </c>
      <c r="S293">
        <v>1</v>
      </c>
      <c r="T293">
        <v>640.54999999999995</v>
      </c>
      <c r="U293">
        <v>0.25</v>
      </c>
      <c r="V293">
        <v>480.41250000000002</v>
      </c>
      <c r="X293" s="4">
        <v>1</v>
      </c>
      <c r="Y293">
        <v>640.54999999999995</v>
      </c>
      <c r="Z293">
        <v>0.25</v>
      </c>
      <c r="AA293">
        <v>480.41250000000002</v>
      </c>
    </row>
    <row r="294" spans="1:27" x14ac:dyDescent="0.3">
      <c r="A294" t="s">
        <v>2101</v>
      </c>
      <c r="B294" s="2">
        <v>45545</v>
      </c>
      <c r="C294" t="s">
        <v>409</v>
      </c>
      <c r="D294" t="s">
        <v>1679</v>
      </c>
      <c r="E294" t="s">
        <v>1752</v>
      </c>
      <c r="F294" s="4">
        <v>1</v>
      </c>
      <c r="G294">
        <v>702.53</v>
      </c>
      <c r="H294">
        <v>0.3</v>
      </c>
      <c r="I294" t="s">
        <v>1807</v>
      </c>
      <c r="J294">
        <v>491.77100000000002</v>
      </c>
      <c r="K294" t="s">
        <v>410</v>
      </c>
      <c r="L294">
        <v>44</v>
      </c>
      <c r="M294" t="str">
        <v>Female</v>
      </c>
      <c r="N294" t="str">
        <f>VLOOKUP(C:C,Customer_Dim!B:I,5,1)</f>
        <v>North Edwardton</v>
      </c>
      <c r="O294" t="str">
        <f>VLOOKUP(C:C,Customer_Dim!B:I,6,1)</f>
        <v>Tennessee</v>
      </c>
      <c r="P294" t="str">
        <f>VLOOKUP(C:C,Customer_Dim!B:I,7,1)</f>
        <v>USA</v>
      </c>
      <c r="Q294" t="str">
        <f>VLOOKUP(C:C,Customer_Dim!B:I,8,1)</f>
        <v>Bronze</v>
      </c>
      <c r="S294">
        <v>1</v>
      </c>
      <c r="T294">
        <v>702.53</v>
      </c>
      <c r="U294">
        <v>0.3</v>
      </c>
      <c r="V294">
        <v>491.77100000000002</v>
      </c>
      <c r="X294" s="4">
        <v>1</v>
      </c>
      <c r="Y294">
        <v>702.53</v>
      </c>
      <c r="Z294">
        <v>0.3</v>
      </c>
      <c r="AA294">
        <v>491.77100000000002</v>
      </c>
    </row>
    <row r="295" spans="1:27" x14ac:dyDescent="0.3">
      <c r="A295" t="s">
        <v>2102</v>
      </c>
      <c r="B295" s="2">
        <v>45826</v>
      </c>
      <c r="C295" t="s">
        <v>718</v>
      </c>
      <c r="D295" t="s">
        <v>1609</v>
      </c>
      <c r="E295" t="s">
        <v>1765</v>
      </c>
      <c r="F295" s="4">
        <v>4</v>
      </c>
      <c r="G295">
        <v>139.94</v>
      </c>
      <c r="H295">
        <v>0.24</v>
      </c>
      <c r="I295" t="s">
        <v>1807</v>
      </c>
      <c r="J295">
        <v>425.41759999999999</v>
      </c>
      <c r="K295" t="s">
        <v>719</v>
      </c>
      <c r="L295">
        <v>46</v>
      </c>
      <c r="M295" t="str">
        <v>Female</v>
      </c>
      <c r="N295" t="str">
        <f>VLOOKUP(C:C,Customer_Dim!B:I,5,1)</f>
        <v>New Anthonyfurt</v>
      </c>
      <c r="O295" t="str">
        <f>VLOOKUP(C:C,Customer_Dim!B:I,6,1)</f>
        <v>Missouri</v>
      </c>
      <c r="P295" t="str">
        <f>VLOOKUP(C:C,Customer_Dim!B:I,7,1)</f>
        <v>USA</v>
      </c>
      <c r="Q295" t="str">
        <f>VLOOKUP(C:C,Customer_Dim!B:I,8,1)</f>
        <v>Silver</v>
      </c>
      <c r="S295">
        <v>4</v>
      </c>
      <c r="T295">
        <v>139.94</v>
      </c>
      <c r="U295">
        <v>0.24</v>
      </c>
      <c r="V295">
        <v>425.41759999999999</v>
      </c>
      <c r="X295" s="4">
        <v>4</v>
      </c>
      <c r="Y295">
        <v>139.94</v>
      </c>
      <c r="Z295">
        <v>0.24</v>
      </c>
      <c r="AA295">
        <v>425.41759999999999</v>
      </c>
    </row>
    <row r="296" spans="1:27" x14ac:dyDescent="0.3">
      <c r="A296" t="s">
        <v>2103</v>
      </c>
      <c r="B296" s="2">
        <v>45654</v>
      </c>
      <c r="C296" t="s">
        <v>873</v>
      </c>
      <c r="D296" t="s">
        <v>1569</v>
      </c>
      <c r="E296" t="s">
        <v>1765</v>
      </c>
      <c r="F296" s="4">
        <v>2</v>
      </c>
      <c r="G296">
        <v>230.85</v>
      </c>
      <c r="H296">
        <v>0.18</v>
      </c>
      <c r="I296" t="s">
        <v>1807</v>
      </c>
      <c r="J296">
        <v>378.59399999999999</v>
      </c>
      <c r="K296" t="s">
        <v>874</v>
      </c>
      <c r="L296">
        <v>42</v>
      </c>
      <c r="M296" t="str">
        <v>Female</v>
      </c>
      <c r="N296" t="str">
        <f>VLOOKUP(C:C,Customer_Dim!B:I,5,1)</f>
        <v>Lake Nicole</v>
      </c>
      <c r="O296" t="str">
        <f>VLOOKUP(C:C,Customer_Dim!B:I,6,1)</f>
        <v>Colorado</v>
      </c>
      <c r="P296" t="str">
        <f>VLOOKUP(C:C,Customer_Dim!B:I,7,1)</f>
        <v>USA</v>
      </c>
      <c r="Q296" t="str">
        <f>VLOOKUP(C:C,Customer_Dim!B:I,8,1)</f>
        <v>Platinum</v>
      </c>
      <c r="S296">
        <v>2</v>
      </c>
      <c r="T296">
        <v>230.85</v>
      </c>
      <c r="U296">
        <v>0.18</v>
      </c>
      <c r="V296">
        <v>378.59399999999999</v>
      </c>
      <c r="X296" s="4">
        <v>2</v>
      </c>
      <c r="Y296">
        <v>230.85</v>
      </c>
      <c r="Z296">
        <v>0.18</v>
      </c>
      <c r="AA296">
        <v>378.59399999999999</v>
      </c>
    </row>
    <row r="297" spans="1:27" x14ac:dyDescent="0.3">
      <c r="A297" t="s">
        <v>2104</v>
      </c>
      <c r="B297" s="2">
        <v>45556</v>
      </c>
      <c r="C297" t="s">
        <v>681</v>
      </c>
      <c r="D297" t="s">
        <v>1701</v>
      </c>
      <c r="E297" t="s">
        <v>1790</v>
      </c>
      <c r="F297" s="4">
        <v>4</v>
      </c>
      <c r="G297">
        <v>626.35</v>
      </c>
      <c r="H297">
        <v>0.25</v>
      </c>
      <c r="I297" t="s">
        <v>1812</v>
      </c>
      <c r="J297">
        <v>1879.05</v>
      </c>
      <c r="K297" t="s">
        <v>682</v>
      </c>
      <c r="L297">
        <v>63</v>
      </c>
      <c r="M297" t="str">
        <v>Female</v>
      </c>
      <c r="N297" t="str">
        <f>VLOOKUP(C:C,Customer_Dim!B:I,5,1)</f>
        <v>Garzafort</v>
      </c>
      <c r="O297" t="str">
        <f>VLOOKUP(C:C,Customer_Dim!B:I,6,1)</f>
        <v>Delaware</v>
      </c>
      <c r="P297" t="str">
        <f>VLOOKUP(C:C,Customer_Dim!B:I,7,1)</f>
        <v>USA</v>
      </c>
      <c r="Q297" t="str">
        <f>VLOOKUP(C:C,Customer_Dim!B:I,8,1)</f>
        <v>Silver</v>
      </c>
      <c r="S297">
        <v>4</v>
      </c>
      <c r="T297">
        <v>626.35</v>
      </c>
      <c r="U297">
        <v>0.25</v>
      </c>
      <c r="V297">
        <v>1879.05</v>
      </c>
      <c r="X297" s="4">
        <v>4</v>
      </c>
      <c r="Y297">
        <v>626.35</v>
      </c>
      <c r="Z297">
        <v>0.25</v>
      </c>
      <c r="AA297">
        <v>1879.05</v>
      </c>
    </row>
    <row r="298" spans="1:27" x14ac:dyDescent="0.3">
      <c r="A298" t="s">
        <v>2105</v>
      </c>
      <c r="B298" s="2">
        <v>45434</v>
      </c>
      <c r="C298" t="s">
        <v>295</v>
      </c>
      <c r="D298" t="s">
        <v>1613</v>
      </c>
      <c r="E298" t="s">
        <v>1782</v>
      </c>
      <c r="F298" s="4">
        <v>4</v>
      </c>
      <c r="G298">
        <v>108.55</v>
      </c>
      <c r="H298">
        <v>0.18</v>
      </c>
      <c r="I298" t="s">
        <v>1809</v>
      </c>
      <c r="J298">
        <v>356.04399999999998</v>
      </c>
      <c r="K298" t="s">
        <v>296</v>
      </c>
      <c r="L298">
        <v>48</v>
      </c>
      <c r="M298" t="str">
        <v>Female</v>
      </c>
      <c r="N298" t="str">
        <f>VLOOKUP(C:C,Customer_Dim!B:I,5,1)</f>
        <v>Leburgh</v>
      </c>
      <c r="O298" t="str">
        <f>VLOOKUP(C:C,Customer_Dim!B:I,6,1)</f>
        <v>Florida</v>
      </c>
      <c r="P298" t="str">
        <f>VLOOKUP(C:C,Customer_Dim!B:I,7,1)</f>
        <v>USA</v>
      </c>
      <c r="Q298" t="str">
        <f>VLOOKUP(C:C,Customer_Dim!B:I,8,1)</f>
        <v>Bronze</v>
      </c>
      <c r="S298">
        <v>4</v>
      </c>
      <c r="T298">
        <v>108.55</v>
      </c>
      <c r="U298">
        <v>0.18</v>
      </c>
      <c r="V298">
        <v>356.04399999999998</v>
      </c>
      <c r="X298" s="4">
        <v>4</v>
      </c>
      <c r="Y298">
        <v>108.55</v>
      </c>
      <c r="Z298">
        <v>0.18</v>
      </c>
      <c r="AA298">
        <v>356.04399999999998</v>
      </c>
    </row>
    <row r="299" spans="1:27" x14ac:dyDescent="0.3">
      <c r="A299" t="s">
        <v>2106</v>
      </c>
      <c r="B299" s="2">
        <v>45871</v>
      </c>
      <c r="C299" t="s">
        <v>622</v>
      </c>
      <c r="D299" t="s">
        <v>1565</v>
      </c>
      <c r="E299" t="s">
        <v>1740</v>
      </c>
      <c r="F299" s="4">
        <v>4</v>
      </c>
      <c r="G299">
        <v>353.67</v>
      </c>
      <c r="H299">
        <v>0.03</v>
      </c>
      <c r="I299" t="s">
        <v>1812</v>
      </c>
      <c r="J299">
        <v>1372.2396000000001</v>
      </c>
      <c r="K299" t="s">
        <v>623</v>
      </c>
      <c r="L299">
        <v>26</v>
      </c>
      <c r="M299" t="str">
        <v>Male</v>
      </c>
      <c r="N299" t="str">
        <f>VLOOKUP(C:C,Customer_Dim!B:I,5,1)</f>
        <v>Johnsonshire</v>
      </c>
      <c r="O299" t="str">
        <f>VLOOKUP(C:C,Customer_Dim!B:I,6,1)</f>
        <v>Ohio</v>
      </c>
      <c r="P299" t="str">
        <f>VLOOKUP(C:C,Customer_Dim!B:I,7,1)</f>
        <v>USA</v>
      </c>
      <c r="Q299" t="str">
        <f>VLOOKUP(C:C,Customer_Dim!B:I,8,1)</f>
        <v>Bronze</v>
      </c>
      <c r="S299">
        <v>4</v>
      </c>
      <c r="T299">
        <v>353.67</v>
      </c>
      <c r="U299">
        <v>0.03</v>
      </c>
      <c r="V299">
        <v>1372.2396000000001</v>
      </c>
      <c r="X299" s="4">
        <v>4</v>
      </c>
      <c r="Y299">
        <v>353.67</v>
      </c>
      <c r="Z299">
        <v>0.03</v>
      </c>
      <c r="AA299">
        <v>1372.2396000000001</v>
      </c>
    </row>
    <row r="300" spans="1:27" x14ac:dyDescent="0.3">
      <c r="A300" t="s">
        <v>2107</v>
      </c>
      <c r="B300" s="2">
        <v>45583</v>
      </c>
      <c r="C300" t="s">
        <v>238</v>
      </c>
      <c r="D300" t="s">
        <v>1711</v>
      </c>
      <c r="E300" t="s">
        <v>1740</v>
      </c>
      <c r="F300" s="4">
        <v>4</v>
      </c>
      <c r="G300">
        <v>61.98</v>
      </c>
      <c r="H300">
        <v>0.16</v>
      </c>
      <c r="I300" t="s">
        <v>1807</v>
      </c>
      <c r="J300">
        <v>208.25280000000001</v>
      </c>
      <c r="K300" t="s">
        <v>239</v>
      </c>
      <c r="L300">
        <v>27</v>
      </c>
      <c r="M300" t="str">
        <v>Female</v>
      </c>
      <c r="N300" t="str">
        <f>VLOOKUP(C:C,Customer_Dim!B:I,5,1)</f>
        <v>Woodmouth</v>
      </c>
      <c r="O300" t="str">
        <f>VLOOKUP(C:C,Customer_Dim!B:I,6,1)</f>
        <v>Nevada</v>
      </c>
      <c r="P300" t="str">
        <f>VLOOKUP(C:C,Customer_Dim!B:I,7,1)</f>
        <v>USA</v>
      </c>
      <c r="Q300" t="str">
        <f>VLOOKUP(C:C,Customer_Dim!B:I,8,1)</f>
        <v>Silver</v>
      </c>
      <c r="S300">
        <v>4</v>
      </c>
      <c r="T300">
        <v>61.98</v>
      </c>
      <c r="U300">
        <v>0.16</v>
      </c>
      <c r="V300">
        <v>208.25280000000001</v>
      </c>
      <c r="X300" s="4">
        <v>4</v>
      </c>
      <c r="Y300">
        <v>61.98</v>
      </c>
      <c r="Z300">
        <v>0.16</v>
      </c>
      <c r="AA300">
        <v>208.25280000000001</v>
      </c>
    </row>
    <row r="301" spans="1:27" x14ac:dyDescent="0.3">
      <c r="A301" t="s">
        <v>2108</v>
      </c>
      <c r="B301" s="2">
        <v>45348</v>
      </c>
      <c r="C301" t="s">
        <v>696</v>
      </c>
      <c r="D301" t="s">
        <v>1575</v>
      </c>
      <c r="E301" t="s">
        <v>1796</v>
      </c>
      <c r="F301" s="4">
        <v>2</v>
      </c>
      <c r="G301">
        <v>873.1</v>
      </c>
      <c r="H301">
        <v>0.12</v>
      </c>
      <c r="I301" t="s">
        <v>1809</v>
      </c>
      <c r="J301">
        <v>1536.6559999999999</v>
      </c>
      <c r="K301" t="s">
        <v>697</v>
      </c>
      <c r="L301">
        <v>42</v>
      </c>
      <c r="M301" t="str">
        <v>Male</v>
      </c>
      <c r="N301" t="str">
        <f>VLOOKUP(C:C,Customer_Dim!B:I,5,1)</f>
        <v>Morrismouth</v>
      </c>
      <c r="O301" t="str">
        <f>VLOOKUP(C:C,Customer_Dim!B:I,6,1)</f>
        <v>California</v>
      </c>
      <c r="P301" t="str">
        <f>VLOOKUP(C:C,Customer_Dim!B:I,7,1)</f>
        <v>USA</v>
      </c>
      <c r="Q301" t="str">
        <f>VLOOKUP(C:C,Customer_Dim!B:I,8,1)</f>
        <v>Platinum</v>
      </c>
      <c r="S301">
        <v>2</v>
      </c>
      <c r="T301">
        <v>873.1</v>
      </c>
      <c r="U301">
        <v>0.12</v>
      </c>
      <c r="V301">
        <v>1536.6559999999999</v>
      </c>
      <c r="X301" s="4">
        <v>2</v>
      </c>
      <c r="Y301">
        <v>873.1</v>
      </c>
      <c r="Z301">
        <v>0.12</v>
      </c>
      <c r="AA301">
        <v>1536.6559999999999</v>
      </c>
    </row>
    <row r="302" spans="1:27" x14ac:dyDescent="0.3">
      <c r="A302" t="s">
        <v>2109</v>
      </c>
      <c r="B302" s="2">
        <v>45268</v>
      </c>
      <c r="C302" t="s">
        <v>642</v>
      </c>
      <c r="D302" t="s">
        <v>1555</v>
      </c>
      <c r="E302" t="s">
        <v>1784</v>
      </c>
      <c r="F302" s="4">
        <v>4</v>
      </c>
      <c r="G302">
        <v>889.47</v>
      </c>
      <c r="H302">
        <v>0.24</v>
      </c>
      <c r="I302" t="s">
        <v>1807</v>
      </c>
      <c r="J302">
        <v>2703.9888000000001</v>
      </c>
      <c r="K302" t="s">
        <v>643</v>
      </c>
      <c r="L302">
        <v>46</v>
      </c>
      <c r="M302" t="str">
        <v>Male</v>
      </c>
      <c r="N302" t="str">
        <f>VLOOKUP(C:C,Customer_Dim!B:I,5,1)</f>
        <v>Frostmouth</v>
      </c>
      <c r="O302" t="str">
        <f>VLOOKUP(C:C,Customer_Dim!B:I,6,1)</f>
        <v>Vermont</v>
      </c>
      <c r="P302" t="str">
        <f>VLOOKUP(C:C,Customer_Dim!B:I,7,1)</f>
        <v>USA</v>
      </c>
      <c r="Q302" t="str">
        <f>VLOOKUP(C:C,Customer_Dim!B:I,8,1)</f>
        <v>Bronze</v>
      </c>
      <c r="S302">
        <v>4</v>
      </c>
      <c r="T302">
        <v>889.47</v>
      </c>
      <c r="U302">
        <v>0.24</v>
      </c>
      <c r="V302">
        <v>2703.9888000000001</v>
      </c>
      <c r="X302" s="4">
        <v>4</v>
      </c>
      <c r="Y302">
        <v>889.47</v>
      </c>
      <c r="Z302">
        <v>0.24</v>
      </c>
      <c r="AA302">
        <v>2703.9888000000001</v>
      </c>
    </row>
    <row r="303" spans="1:27" x14ac:dyDescent="0.3">
      <c r="A303" t="s">
        <v>2110</v>
      </c>
      <c r="B303" s="2">
        <v>45596</v>
      </c>
      <c r="C303" t="s">
        <v>118</v>
      </c>
      <c r="D303" t="s">
        <v>1679</v>
      </c>
      <c r="E303" t="s">
        <v>1775</v>
      </c>
      <c r="F303" s="4">
        <v>3</v>
      </c>
      <c r="G303">
        <v>803.76</v>
      </c>
      <c r="H303">
        <v>0.19</v>
      </c>
      <c r="I303" t="s">
        <v>1812</v>
      </c>
      <c r="J303">
        <v>1953.1368</v>
      </c>
      <c r="K303" t="s">
        <v>119</v>
      </c>
      <c r="L303">
        <v>54</v>
      </c>
      <c r="M303" t="str">
        <v>Female</v>
      </c>
      <c r="N303" t="str">
        <f>VLOOKUP(C:C,Customer_Dim!B:I,5,1)</f>
        <v>New David</v>
      </c>
      <c r="O303" t="str">
        <f>VLOOKUP(C:C,Customer_Dim!B:I,6,1)</f>
        <v>New Jersey</v>
      </c>
      <c r="P303" t="str">
        <f>VLOOKUP(C:C,Customer_Dim!B:I,7,1)</f>
        <v>USA</v>
      </c>
      <c r="Q303" t="str">
        <f>VLOOKUP(C:C,Customer_Dim!B:I,8,1)</f>
        <v>Platinum</v>
      </c>
      <c r="S303">
        <v>3</v>
      </c>
      <c r="T303">
        <v>803.76</v>
      </c>
      <c r="U303">
        <v>0.19</v>
      </c>
      <c r="V303">
        <v>1953.1368</v>
      </c>
      <c r="X303" s="4">
        <v>3</v>
      </c>
      <c r="Y303">
        <v>803.76</v>
      </c>
      <c r="Z303">
        <v>0.19</v>
      </c>
      <c r="AA303">
        <v>1953.1368</v>
      </c>
    </row>
    <row r="304" spans="1:27" x14ac:dyDescent="0.3">
      <c r="A304" t="s">
        <v>2111</v>
      </c>
      <c r="B304" s="2">
        <v>45624</v>
      </c>
      <c r="C304" t="s">
        <v>1427</v>
      </c>
      <c r="D304" t="s">
        <v>1681</v>
      </c>
      <c r="E304" t="s">
        <v>1756</v>
      </c>
      <c r="F304" s="4">
        <v>2</v>
      </c>
      <c r="G304">
        <v>865.14</v>
      </c>
      <c r="H304">
        <v>0.2</v>
      </c>
      <c r="I304" t="s">
        <v>1809</v>
      </c>
      <c r="J304">
        <v>1384.2239999999999</v>
      </c>
      <c r="K304" t="s">
        <v>1428</v>
      </c>
      <c r="L304">
        <v>19</v>
      </c>
      <c r="M304" t="str">
        <v>Male</v>
      </c>
      <c r="N304" t="str">
        <f>VLOOKUP(C:C,Customer_Dim!B:I,5,1)</f>
        <v>Bergermouth</v>
      </c>
      <c r="O304" t="str">
        <f>VLOOKUP(C:C,Customer_Dim!B:I,6,1)</f>
        <v>Vermont</v>
      </c>
      <c r="P304" t="str">
        <f>VLOOKUP(C:C,Customer_Dim!B:I,7,1)</f>
        <v>USA</v>
      </c>
      <c r="Q304" t="str">
        <f>VLOOKUP(C:C,Customer_Dim!B:I,8,1)</f>
        <v>Bronze</v>
      </c>
      <c r="S304">
        <v>2</v>
      </c>
      <c r="T304">
        <v>865.14</v>
      </c>
      <c r="U304">
        <v>0.2</v>
      </c>
      <c r="V304">
        <v>1384.2239999999999</v>
      </c>
      <c r="X304" s="4">
        <v>2</v>
      </c>
      <c r="Y304">
        <v>865.14</v>
      </c>
      <c r="Z304">
        <v>0.2</v>
      </c>
      <c r="AA304">
        <v>1384.2239999999999</v>
      </c>
    </row>
    <row r="305" spans="1:27" x14ac:dyDescent="0.3">
      <c r="A305" t="s">
        <v>2112</v>
      </c>
      <c r="B305" s="2">
        <v>45813</v>
      </c>
      <c r="C305" t="s">
        <v>342</v>
      </c>
      <c r="D305" t="s">
        <v>1593</v>
      </c>
      <c r="E305" t="s">
        <v>1769</v>
      </c>
      <c r="F305" s="4">
        <v>2</v>
      </c>
      <c r="G305">
        <v>916.49</v>
      </c>
      <c r="H305">
        <v>0.3</v>
      </c>
      <c r="I305" t="s">
        <v>1812</v>
      </c>
      <c r="J305">
        <v>1283.086</v>
      </c>
      <c r="K305" t="s">
        <v>343</v>
      </c>
      <c r="L305">
        <v>24</v>
      </c>
      <c r="M305" t="str">
        <v>Male</v>
      </c>
      <c r="N305" t="str">
        <f>VLOOKUP(C:C,Customer_Dim!B:I,5,1)</f>
        <v>Lake Thomas</v>
      </c>
      <c r="O305" t="str">
        <f>VLOOKUP(C:C,Customer_Dim!B:I,6,1)</f>
        <v>South Dakota</v>
      </c>
      <c r="P305" t="str">
        <f>VLOOKUP(C:C,Customer_Dim!B:I,7,1)</f>
        <v>USA</v>
      </c>
      <c r="Q305" t="str">
        <f>VLOOKUP(C:C,Customer_Dim!B:I,8,1)</f>
        <v>Silver</v>
      </c>
      <c r="S305">
        <v>2</v>
      </c>
      <c r="T305">
        <v>916.49</v>
      </c>
      <c r="U305">
        <v>0.3</v>
      </c>
      <c r="V305">
        <v>1283.086</v>
      </c>
      <c r="X305" s="4">
        <v>2</v>
      </c>
      <c r="Y305">
        <v>916.49</v>
      </c>
      <c r="Z305">
        <v>0.3</v>
      </c>
      <c r="AA305">
        <v>1283.086</v>
      </c>
    </row>
    <row r="306" spans="1:27" x14ac:dyDescent="0.3">
      <c r="A306" t="s">
        <v>2113</v>
      </c>
      <c r="B306" s="2">
        <v>45615</v>
      </c>
      <c r="C306" t="s">
        <v>163</v>
      </c>
      <c r="D306" t="s">
        <v>1633</v>
      </c>
      <c r="E306" t="s">
        <v>1777</v>
      </c>
      <c r="F306" s="4">
        <v>3</v>
      </c>
      <c r="G306">
        <v>781.39</v>
      </c>
      <c r="H306">
        <v>0.12</v>
      </c>
      <c r="I306" t="s">
        <v>1807</v>
      </c>
      <c r="J306">
        <v>2062.8696</v>
      </c>
      <c r="K306" t="s">
        <v>164</v>
      </c>
      <c r="L306">
        <v>45</v>
      </c>
      <c r="M306" t="str">
        <v>Male</v>
      </c>
      <c r="N306" t="str">
        <f>VLOOKUP(C:C,Customer_Dim!B:I,5,1)</f>
        <v>Ryanburgh</v>
      </c>
      <c r="O306" t="str">
        <f>VLOOKUP(C:C,Customer_Dim!B:I,6,1)</f>
        <v>Connecticut</v>
      </c>
      <c r="P306" t="str">
        <f>VLOOKUP(C:C,Customer_Dim!B:I,7,1)</f>
        <v>USA</v>
      </c>
      <c r="Q306" t="str">
        <f>VLOOKUP(C:C,Customer_Dim!B:I,8,1)</f>
        <v>Platinum</v>
      </c>
      <c r="S306">
        <v>3</v>
      </c>
      <c r="T306">
        <v>781.39</v>
      </c>
      <c r="U306">
        <v>0.12</v>
      </c>
      <c r="V306">
        <v>2062.8696</v>
      </c>
      <c r="X306" s="4">
        <v>3</v>
      </c>
      <c r="Y306">
        <v>781.39</v>
      </c>
      <c r="Z306">
        <v>0.12</v>
      </c>
      <c r="AA306">
        <v>2062.8696</v>
      </c>
    </row>
    <row r="307" spans="1:27" x14ac:dyDescent="0.3">
      <c r="A307" t="s">
        <v>2114</v>
      </c>
      <c r="B307" s="2">
        <v>45431</v>
      </c>
      <c r="C307" t="s">
        <v>681</v>
      </c>
      <c r="D307" t="s">
        <v>1607</v>
      </c>
      <c r="E307" t="s">
        <v>1777</v>
      </c>
      <c r="F307" s="4">
        <v>4</v>
      </c>
      <c r="G307">
        <v>619.74</v>
      </c>
      <c r="H307">
        <v>0.13</v>
      </c>
      <c r="I307" t="s">
        <v>1812</v>
      </c>
      <c r="J307">
        <v>2156.6952000000001</v>
      </c>
      <c r="K307" t="s">
        <v>682</v>
      </c>
      <c r="L307">
        <v>63</v>
      </c>
      <c r="M307" t="str">
        <v>Female</v>
      </c>
      <c r="N307" t="str">
        <f>VLOOKUP(C:C,Customer_Dim!B:I,5,1)</f>
        <v>Garzafort</v>
      </c>
      <c r="O307" t="str">
        <f>VLOOKUP(C:C,Customer_Dim!B:I,6,1)</f>
        <v>Delaware</v>
      </c>
      <c r="P307" t="str">
        <f>VLOOKUP(C:C,Customer_Dim!B:I,7,1)</f>
        <v>USA</v>
      </c>
      <c r="Q307" t="str">
        <f>VLOOKUP(C:C,Customer_Dim!B:I,8,1)</f>
        <v>Silver</v>
      </c>
      <c r="S307">
        <v>4</v>
      </c>
      <c r="T307">
        <v>619.74</v>
      </c>
      <c r="U307">
        <v>0.13</v>
      </c>
      <c r="V307">
        <v>2156.6952000000001</v>
      </c>
      <c r="X307" s="4">
        <v>4</v>
      </c>
      <c r="Y307">
        <v>619.74</v>
      </c>
      <c r="Z307">
        <v>0.13</v>
      </c>
      <c r="AA307">
        <v>2156.6952000000001</v>
      </c>
    </row>
    <row r="308" spans="1:27" x14ac:dyDescent="0.3">
      <c r="A308" t="s">
        <v>2115</v>
      </c>
      <c r="B308" s="2">
        <v>45679</v>
      </c>
      <c r="C308" t="s">
        <v>1464</v>
      </c>
      <c r="D308" t="s">
        <v>1655</v>
      </c>
      <c r="E308" t="s">
        <v>1782</v>
      </c>
      <c r="F308" s="4">
        <v>2</v>
      </c>
      <c r="G308">
        <v>837.76</v>
      </c>
      <c r="H308">
        <v>0.03</v>
      </c>
      <c r="I308" t="s">
        <v>1812</v>
      </c>
      <c r="J308">
        <v>1625.2544</v>
      </c>
      <c r="K308" t="s">
        <v>1465</v>
      </c>
      <c r="L308">
        <v>26</v>
      </c>
      <c r="M308" t="str">
        <v>Male</v>
      </c>
      <c r="N308" t="str">
        <f>VLOOKUP(C:C,Customer_Dim!B:I,5,1)</f>
        <v>Kelseybury</v>
      </c>
      <c r="O308" t="str">
        <f>VLOOKUP(C:C,Customer_Dim!B:I,6,1)</f>
        <v>Georgia</v>
      </c>
      <c r="P308" t="str">
        <f>VLOOKUP(C:C,Customer_Dim!B:I,7,1)</f>
        <v>USA</v>
      </c>
      <c r="Q308" t="str">
        <f>VLOOKUP(C:C,Customer_Dim!B:I,8,1)</f>
        <v>Gold</v>
      </c>
      <c r="S308">
        <v>2</v>
      </c>
      <c r="T308">
        <v>837.76</v>
      </c>
      <c r="U308">
        <v>0.03</v>
      </c>
      <c r="V308">
        <v>1625.2544</v>
      </c>
      <c r="X308" s="4">
        <v>2</v>
      </c>
      <c r="Y308">
        <v>837.76</v>
      </c>
      <c r="Z308">
        <v>0.03</v>
      </c>
      <c r="AA308">
        <v>1625.2544</v>
      </c>
    </row>
    <row r="309" spans="1:27" x14ac:dyDescent="0.3">
      <c r="A309" t="s">
        <v>2116</v>
      </c>
      <c r="B309" s="2">
        <v>45842</v>
      </c>
      <c r="C309" t="s">
        <v>1379</v>
      </c>
      <c r="D309" t="s">
        <v>1711</v>
      </c>
      <c r="E309" t="s">
        <v>1740</v>
      </c>
      <c r="F309" s="4">
        <v>3</v>
      </c>
      <c r="G309">
        <v>135.94</v>
      </c>
      <c r="H309">
        <v>0.2</v>
      </c>
      <c r="I309" t="s">
        <v>1807</v>
      </c>
      <c r="J309">
        <v>326.25599999999997</v>
      </c>
      <c r="K309" t="s">
        <v>1380</v>
      </c>
      <c r="L309">
        <v>60</v>
      </c>
      <c r="M309" t="str">
        <v>Female</v>
      </c>
      <c r="N309" t="str">
        <f>VLOOKUP(C:C,Customer_Dim!B:I,5,1)</f>
        <v>Josephmouth</v>
      </c>
      <c r="O309" t="str">
        <f>VLOOKUP(C:C,Customer_Dim!B:I,6,1)</f>
        <v>New Mexico</v>
      </c>
      <c r="P309" t="str">
        <f>VLOOKUP(C:C,Customer_Dim!B:I,7,1)</f>
        <v>USA</v>
      </c>
      <c r="Q309" t="str">
        <f>VLOOKUP(C:C,Customer_Dim!B:I,8,1)</f>
        <v>Gold</v>
      </c>
      <c r="S309">
        <v>3</v>
      </c>
      <c r="T309">
        <v>135.94</v>
      </c>
      <c r="U309">
        <v>0.2</v>
      </c>
      <c r="V309">
        <v>326.25599999999997</v>
      </c>
      <c r="X309" s="4">
        <v>3</v>
      </c>
      <c r="Y309">
        <v>135.94</v>
      </c>
      <c r="Z309">
        <v>0.2</v>
      </c>
      <c r="AA309">
        <v>326.25599999999997</v>
      </c>
    </row>
    <row r="310" spans="1:27" x14ac:dyDescent="0.3">
      <c r="A310" t="s">
        <v>2117</v>
      </c>
      <c r="B310" s="2">
        <v>45796</v>
      </c>
      <c r="C310" t="s">
        <v>1458</v>
      </c>
      <c r="D310" t="s">
        <v>1679</v>
      </c>
      <c r="E310" t="s">
        <v>1740</v>
      </c>
      <c r="F310" s="4">
        <v>4</v>
      </c>
      <c r="G310">
        <v>396.53</v>
      </c>
      <c r="H310">
        <v>7.0000000000000007E-2</v>
      </c>
      <c r="I310" t="s">
        <v>1809</v>
      </c>
      <c r="J310">
        <v>1475.0916</v>
      </c>
      <c r="K310" t="s">
        <v>1459</v>
      </c>
      <c r="L310">
        <v>33</v>
      </c>
      <c r="M310" t="str">
        <v>Male</v>
      </c>
      <c r="N310" t="str">
        <f>VLOOKUP(C:C,Customer_Dim!B:I,5,1)</f>
        <v>New Jamesview</v>
      </c>
      <c r="O310" t="str">
        <f>VLOOKUP(C:C,Customer_Dim!B:I,6,1)</f>
        <v>West Virginia</v>
      </c>
      <c r="P310" t="str">
        <f>VLOOKUP(C:C,Customer_Dim!B:I,7,1)</f>
        <v>USA</v>
      </c>
      <c r="Q310" t="str">
        <f>VLOOKUP(C:C,Customer_Dim!B:I,8,1)</f>
        <v>Bronze</v>
      </c>
      <c r="S310">
        <v>4</v>
      </c>
      <c r="T310">
        <v>396.53</v>
      </c>
      <c r="U310">
        <v>7.0000000000000007E-2</v>
      </c>
      <c r="V310">
        <v>1475.0916</v>
      </c>
      <c r="X310" s="4">
        <v>4</v>
      </c>
      <c r="Y310">
        <v>396.53</v>
      </c>
      <c r="Z310">
        <v>7.0000000000000007E-2</v>
      </c>
      <c r="AA310">
        <v>1475.0916</v>
      </c>
    </row>
    <row r="311" spans="1:27" x14ac:dyDescent="0.3">
      <c r="A311" t="s">
        <v>2118</v>
      </c>
      <c r="B311" s="2">
        <v>45264</v>
      </c>
      <c r="C311" t="s">
        <v>707</v>
      </c>
      <c r="D311" t="s">
        <v>1589</v>
      </c>
      <c r="E311" t="s">
        <v>1782</v>
      </c>
      <c r="F311" s="4">
        <v>2</v>
      </c>
      <c r="G311">
        <v>722.45</v>
      </c>
      <c r="H311">
        <v>0.22</v>
      </c>
      <c r="I311" t="s">
        <v>1809</v>
      </c>
      <c r="J311">
        <v>1127.0219999999999</v>
      </c>
      <c r="K311" t="s">
        <v>708</v>
      </c>
      <c r="L311">
        <v>38</v>
      </c>
      <c r="M311" t="str">
        <v>Male</v>
      </c>
      <c r="N311" t="str">
        <f>VLOOKUP(C:C,Customer_Dim!B:I,5,1)</f>
        <v xml:space="preserve">    Lake Lisa</v>
      </c>
      <c r="O311" t="str">
        <f>VLOOKUP(C:C,Customer_Dim!B:I,6,1)</f>
        <v>Massachusetts</v>
      </c>
      <c r="P311" t="str">
        <f>VLOOKUP(C:C,Customer_Dim!B:I,7,1)</f>
        <v>USA</v>
      </c>
      <c r="Q311" t="str">
        <f>VLOOKUP(C:C,Customer_Dim!B:I,8,1)</f>
        <v>Bronze</v>
      </c>
      <c r="S311">
        <v>2</v>
      </c>
      <c r="T311">
        <v>722.45</v>
      </c>
      <c r="U311">
        <v>0.22</v>
      </c>
      <c r="V311">
        <v>1127.0219999999999</v>
      </c>
      <c r="X311" s="4">
        <v>2</v>
      </c>
      <c r="Y311">
        <v>722.45</v>
      </c>
      <c r="Z311">
        <v>0.22</v>
      </c>
      <c r="AA311">
        <v>1127.0219999999999</v>
      </c>
    </row>
    <row r="312" spans="1:27" x14ac:dyDescent="0.3">
      <c r="A312" t="s">
        <v>2119</v>
      </c>
      <c r="B312" s="2">
        <v>45504</v>
      </c>
      <c r="C312" t="s">
        <v>178</v>
      </c>
      <c r="D312" t="s">
        <v>1659</v>
      </c>
      <c r="E312" t="s">
        <v>1744</v>
      </c>
      <c r="F312" s="4">
        <v>2</v>
      </c>
      <c r="G312">
        <v>138.41</v>
      </c>
      <c r="H312">
        <v>0.02</v>
      </c>
      <c r="I312" t="s">
        <v>1807</v>
      </c>
      <c r="J312">
        <v>271.28359999999998</v>
      </c>
      <c r="K312" t="s">
        <v>179</v>
      </c>
      <c r="L312">
        <v>54</v>
      </c>
      <c r="M312" t="str">
        <v>Male</v>
      </c>
      <c r="N312" t="str">
        <f>VLOOKUP(C:C,Customer_Dim!B:I,5,1)</f>
        <v>Lake Roberthaven</v>
      </c>
      <c r="O312" t="str">
        <f>VLOOKUP(C:C,Customer_Dim!B:I,6,1)</f>
        <v>Nevada</v>
      </c>
      <c r="P312" t="str">
        <f>VLOOKUP(C:C,Customer_Dim!B:I,7,1)</f>
        <v>USA</v>
      </c>
      <c r="Q312" t="str">
        <f>VLOOKUP(C:C,Customer_Dim!B:I,8,1)</f>
        <v>Silver</v>
      </c>
      <c r="S312">
        <v>2</v>
      </c>
      <c r="T312">
        <v>138.41</v>
      </c>
      <c r="U312">
        <v>0.02</v>
      </c>
      <c r="V312">
        <v>271.28359999999998</v>
      </c>
      <c r="X312" s="4">
        <v>2</v>
      </c>
      <c r="Y312">
        <v>138.41</v>
      </c>
      <c r="Z312">
        <v>0.02</v>
      </c>
      <c r="AA312">
        <v>271.28359999999998</v>
      </c>
    </row>
    <row r="313" spans="1:27" x14ac:dyDescent="0.3">
      <c r="A313" t="s">
        <v>2120</v>
      </c>
      <c r="B313" s="2">
        <v>45679</v>
      </c>
      <c r="C313" t="s">
        <v>430</v>
      </c>
      <c r="D313" t="s">
        <v>1691</v>
      </c>
      <c r="E313" t="s">
        <v>1744</v>
      </c>
      <c r="F313" s="4">
        <v>4</v>
      </c>
      <c r="G313">
        <v>741.51</v>
      </c>
      <c r="H313">
        <v>0.09</v>
      </c>
      <c r="I313" t="s">
        <v>1812</v>
      </c>
      <c r="J313">
        <v>2699.0963999999999</v>
      </c>
      <c r="K313" t="s">
        <v>431</v>
      </c>
      <c r="L313">
        <v>39</v>
      </c>
      <c r="M313" t="str">
        <v>Male</v>
      </c>
      <c r="N313" t="str">
        <f>VLOOKUP(C:C,Customer_Dim!B:I,5,1)</f>
        <v>Benjaminton</v>
      </c>
      <c r="O313" t="str">
        <f>VLOOKUP(C:C,Customer_Dim!B:I,6,1)</f>
        <v>Arizona</v>
      </c>
      <c r="P313" t="str">
        <f>VLOOKUP(C:C,Customer_Dim!B:I,7,1)</f>
        <v>USA</v>
      </c>
      <c r="Q313" t="str">
        <f>VLOOKUP(C:C,Customer_Dim!B:I,8,1)</f>
        <v>Gold</v>
      </c>
      <c r="S313">
        <v>4</v>
      </c>
      <c r="T313">
        <v>741.51</v>
      </c>
      <c r="U313">
        <v>0.09</v>
      </c>
      <c r="V313">
        <v>2699.0963999999999</v>
      </c>
      <c r="X313" s="4">
        <v>4</v>
      </c>
      <c r="Y313">
        <v>741.51</v>
      </c>
      <c r="Z313">
        <v>0.09</v>
      </c>
      <c r="AA313">
        <v>2699.0963999999999</v>
      </c>
    </row>
    <row r="314" spans="1:27" x14ac:dyDescent="0.3">
      <c r="A314" t="s">
        <v>2121</v>
      </c>
      <c r="B314" s="2">
        <v>45611</v>
      </c>
      <c r="C314" t="s">
        <v>100</v>
      </c>
      <c r="D314" t="s">
        <v>1691</v>
      </c>
      <c r="E314" t="s">
        <v>1790</v>
      </c>
      <c r="F314" s="4">
        <v>2</v>
      </c>
      <c r="G314">
        <v>588.9</v>
      </c>
      <c r="H314">
        <v>0.19</v>
      </c>
      <c r="I314" t="s">
        <v>1809</v>
      </c>
      <c r="J314">
        <v>954.01800000000003</v>
      </c>
      <c r="K314" t="s">
        <v>101</v>
      </c>
      <c r="L314">
        <v>40</v>
      </c>
      <c r="M314" t="str">
        <v>Male</v>
      </c>
      <c r="N314" t="str">
        <f>VLOOKUP(C:C,Customer_Dim!B:I,5,1)</f>
        <v>Molinabury</v>
      </c>
      <c r="O314" t="str">
        <f>VLOOKUP(C:C,Customer_Dim!B:I,6,1)</f>
        <v>Oregon</v>
      </c>
      <c r="P314" t="str">
        <f>VLOOKUP(C:C,Customer_Dim!B:I,7,1)</f>
        <v>USA</v>
      </c>
      <c r="Q314" t="str">
        <f>VLOOKUP(C:C,Customer_Dim!B:I,8,1)</f>
        <v>Silver</v>
      </c>
      <c r="S314">
        <v>2</v>
      </c>
      <c r="T314">
        <v>588.9</v>
      </c>
      <c r="U314">
        <v>0.19</v>
      </c>
      <c r="V314">
        <v>954.01800000000003</v>
      </c>
      <c r="X314" s="4">
        <v>2</v>
      </c>
      <c r="Y314">
        <v>588.9</v>
      </c>
      <c r="Z314">
        <v>0.19</v>
      </c>
      <c r="AA314">
        <v>954.01800000000003</v>
      </c>
    </row>
    <row r="315" spans="1:27" x14ac:dyDescent="0.3">
      <c r="A315" t="s">
        <v>2122</v>
      </c>
      <c r="B315" s="2">
        <v>45389</v>
      </c>
      <c r="C315" t="s">
        <v>951</v>
      </c>
      <c r="D315" t="s">
        <v>1631</v>
      </c>
      <c r="E315" t="s">
        <v>1744</v>
      </c>
      <c r="F315" s="4">
        <v>1</v>
      </c>
      <c r="G315">
        <v>88.92</v>
      </c>
      <c r="H315">
        <v>0.19</v>
      </c>
      <c r="I315" t="s">
        <v>1809</v>
      </c>
      <c r="J315">
        <v>72.025200000000012</v>
      </c>
      <c r="K315" t="s">
        <v>3944</v>
      </c>
      <c r="L315">
        <v>64</v>
      </c>
      <c r="M315" t="str">
        <v>Male</v>
      </c>
      <c r="N315" t="str">
        <f>VLOOKUP(C:C,Customer_Dim!B:I,5,1)</f>
        <v>Port Jenniferton</v>
      </c>
      <c r="O315" t="str">
        <f>VLOOKUP(C:C,Customer_Dim!B:I,6,1)</f>
        <v>Kansas</v>
      </c>
      <c r="P315" t="str">
        <f>VLOOKUP(C:C,Customer_Dim!B:I,7,1)</f>
        <v>USA</v>
      </c>
      <c r="Q315" t="str">
        <f>VLOOKUP(C:C,Customer_Dim!B:I,8,1)</f>
        <v>Silver</v>
      </c>
      <c r="S315">
        <v>1</v>
      </c>
      <c r="T315">
        <v>88.92</v>
      </c>
      <c r="U315">
        <v>0.19</v>
      </c>
      <c r="V315">
        <v>72.025200000000012</v>
      </c>
      <c r="X315" s="4">
        <v>1</v>
      </c>
      <c r="Y315">
        <v>88.92</v>
      </c>
      <c r="Z315">
        <v>0.19</v>
      </c>
      <c r="AA315">
        <v>72.025200000000012</v>
      </c>
    </row>
    <row r="316" spans="1:27" x14ac:dyDescent="0.3">
      <c r="A316" t="s">
        <v>2123</v>
      </c>
      <c r="B316" s="2">
        <v>45339</v>
      </c>
      <c r="C316" t="s">
        <v>406</v>
      </c>
      <c r="D316" t="s">
        <v>1653</v>
      </c>
      <c r="E316" t="s">
        <v>1787</v>
      </c>
      <c r="F316" s="4">
        <v>1</v>
      </c>
      <c r="G316">
        <v>299.13</v>
      </c>
      <c r="H316">
        <v>0.1</v>
      </c>
      <c r="I316" t="s">
        <v>1812</v>
      </c>
      <c r="J316">
        <v>269.21699999999998</v>
      </c>
      <c r="K316" t="s">
        <v>407</v>
      </c>
      <c r="L316">
        <v>40</v>
      </c>
      <c r="M316" t="str">
        <v>Male</v>
      </c>
      <c r="N316" t="str">
        <f>VLOOKUP(C:C,Customer_Dim!B:I,5,1)</f>
        <v>New Jenniferburgh</v>
      </c>
      <c r="O316" t="str">
        <f>VLOOKUP(C:C,Customer_Dim!B:I,6,1)</f>
        <v>Nebraska</v>
      </c>
      <c r="P316" t="str">
        <f>VLOOKUP(C:C,Customer_Dim!B:I,7,1)</f>
        <v>USA</v>
      </c>
      <c r="Q316" t="str">
        <f>VLOOKUP(C:C,Customer_Dim!B:I,8,1)</f>
        <v>Platinum</v>
      </c>
      <c r="S316">
        <v>1</v>
      </c>
      <c r="T316">
        <v>299.13</v>
      </c>
      <c r="U316">
        <v>0.1</v>
      </c>
      <c r="V316">
        <v>269.21699999999998</v>
      </c>
      <c r="X316" s="4">
        <v>1</v>
      </c>
      <c r="Y316">
        <v>299.13</v>
      </c>
      <c r="Z316">
        <v>0.1</v>
      </c>
      <c r="AA316">
        <v>269.21699999999998</v>
      </c>
    </row>
    <row r="317" spans="1:27" x14ac:dyDescent="0.3">
      <c r="A317" t="s">
        <v>2124</v>
      </c>
      <c r="B317" s="2">
        <v>45433</v>
      </c>
      <c r="C317" t="s">
        <v>400</v>
      </c>
      <c r="D317" t="s">
        <v>1685</v>
      </c>
      <c r="E317" t="s">
        <v>1749</v>
      </c>
      <c r="F317" s="4">
        <v>2</v>
      </c>
      <c r="G317">
        <v>548.29999999999995</v>
      </c>
      <c r="H317">
        <v>0.23</v>
      </c>
      <c r="I317" t="s">
        <v>1807</v>
      </c>
      <c r="J317">
        <v>844.38199999999995</v>
      </c>
      <c r="K317" t="s">
        <v>401</v>
      </c>
      <c r="L317">
        <v>21</v>
      </c>
      <c r="M317" t="str">
        <v>Female</v>
      </c>
      <c r="N317" t="str">
        <f>VLOOKUP(C:C,Customer_Dim!B:I,5,1)</f>
        <v>North Davidport</v>
      </c>
      <c r="O317" t="str">
        <f>VLOOKUP(C:C,Customer_Dim!B:I,6,1)</f>
        <v>Rhode Island</v>
      </c>
      <c r="P317" t="str">
        <f>VLOOKUP(C:C,Customer_Dim!B:I,7,1)</f>
        <v>USA</v>
      </c>
      <c r="Q317" t="str">
        <f>VLOOKUP(C:C,Customer_Dim!B:I,8,1)</f>
        <v>Platinum</v>
      </c>
      <c r="S317">
        <v>2</v>
      </c>
      <c r="T317">
        <v>548.29999999999995</v>
      </c>
      <c r="U317">
        <v>0.23</v>
      </c>
      <c r="V317">
        <v>844.38199999999995</v>
      </c>
      <c r="X317" s="4">
        <v>2</v>
      </c>
      <c r="Y317">
        <v>548.29999999999995</v>
      </c>
      <c r="Z317">
        <v>0.23</v>
      </c>
      <c r="AA317">
        <v>844.38199999999995</v>
      </c>
    </row>
    <row r="318" spans="1:27" x14ac:dyDescent="0.3">
      <c r="A318" t="s">
        <v>2125</v>
      </c>
      <c r="B318" s="2">
        <v>45435</v>
      </c>
      <c r="C318" t="s">
        <v>829</v>
      </c>
      <c r="D318" t="s">
        <v>1639</v>
      </c>
      <c r="E318" t="s">
        <v>1772</v>
      </c>
      <c r="F318" s="4">
        <v>3</v>
      </c>
      <c r="G318">
        <v>977.55</v>
      </c>
      <c r="H318">
        <v>0.02</v>
      </c>
      <c r="I318" t="s">
        <v>1809</v>
      </c>
      <c r="J318">
        <v>2873.9969999999989</v>
      </c>
      <c r="K318" t="s">
        <v>830</v>
      </c>
      <c r="L318">
        <v>50</v>
      </c>
      <c r="M318" t="str">
        <v>Male</v>
      </c>
      <c r="N318" t="str">
        <f>VLOOKUP(C:C,Customer_Dim!B:I,5,1)</f>
        <v>New Ana</v>
      </c>
      <c r="O318" t="str">
        <f>VLOOKUP(C:C,Customer_Dim!B:I,6,1)</f>
        <v>Montana</v>
      </c>
      <c r="P318" t="str">
        <f>VLOOKUP(C:C,Customer_Dim!B:I,7,1)</f>
        <v>USA</v>
      </c>
      <c r="Q318" t="str">
        <f>VLOOKUP(C:C,Customer_Dim!B:I,8,1)</f>
        <v>Silver</v>
      </c>
      <c r="S318">
        <v>3</v>
      </c>
      <c r="T318">
        <v>977.55</v>
      </c>
      <c r="U318">
        <v>0.02</v>
      </c>
      <c r="V318">
        <v>2873.9969999999989</v>
      </c>
      <c r="X318" s="4">
        <v>3</v>
      </c>
      <c r="Y318">
        <v>977.55</v>
      </c>
      <c r="Z318">
        <v>0.02</v>
      </c>
      <c r="AA318">
        <v>2873.9969999999989</v>
      </c>
    </row>
    <row r="319" spans="1:27" x14ac:dyDescent="0.3">
      <c r="A319" t="s">
        <v>2126</v>
      </c>
      <c r="B319" s="2">
        <v>45823</v>
      </c>
      <c r="C319" t="s">
        <v>1075</v>
      </c>
      <c r="D319" t="s">
        <v>1619</v>
      </c>
      <c r="E319" t="s">
        <v>1793</v>
      </c>
      <c r="F319" s="4">
        <v>1</v>
      </c>
      <c r="G319">
        <v>459.42</v>
      </c>
      <c r="H319">
        <v>0.28000000000000003</v>
      </c>
      <c r="I319" t="s">
        <v>1812</v>
      </c>
      <c r="J319">
        <v>330.7824</v>
      </c>
      <c r="K319" t="s">
        <v>1076</v>
      </c>
      <c r="L319">
        <v>39</v>
      </c>
      <c r="M319" t="str">
        <v>Female</v>
      </c>
      <c r="N319" t="str">
        <f>VLOOKUP(C:C,Customer_Dim!B:I,5,1)</f>
        <v>Port Crystalberg</v>
      </c>
      <c r="O319" t="str">
        <f>VLOOKUP(C:C,Customer_Dim!B:I,6,1)</f>
        <v>Tennessee</v>
      </c>
      <c r="P319" t="str">
        <f>VLOOKUP(C:C,Customer_Dim!B:I,7,1)</f>
        <v>USA</v>
      </c>
      <c r="Q319" t="str">
        <f>VLOOKUP(C:C,Customer_Dim!B:I,8,1)</f>
        <v>Platinum</v>
      </c>
      <c r="S319">
        <v>1</v>
      </c>
      <c r="T319">
        <v>459.42</v>
      </c>
      <c r="U319">
        <v>0.28000000000000003</v>
      </c>
      <c r="V319">
        <v>330.7824</v>
      </c>
      <c r="X319" s="4">
        <v>1</v>
      </c>
      <c r="Y319">
        <v>459.42</v>
      </c>
      <c r="Z319">
        <v>0.28000000000000003</v>
      </c>
      <c r="AA319">
        <v>330.7824</v>
      </c>
    </row>
    <row r="320" spans="1:27" x14ac:dyDescent="0.3">
      <c r="A320" t="s">
        <v>2127</v>
      </c>
      <c r="B320" s="2">
        <v>45663</v>
      </c>
      <c r="C320" t="s">
        <v>313</v>
      </c>
      <c r="D320" t="s">
        <v>1532</v>
      </c>
      <c r="E320" t="s">
        <v>1752</v>
      </c>
      <c r="F320" s="4">
        <v>2</v>
      </c>
      <c r="G320">
        <v>123.19</v>
      </c>
      <c r="H320">
        <v>0.19</v>
      </c>
      <c r="I320" t="s">
        <v>1807</v>
      </c>
      <c r="J320">
        <v>199.56780000000001</v>
      </c>
      <c r="K320" t="s">
        <v>314</v>
      </c>
      <c r="L320">
        <v>43</v>
      </c>
      <c r="M320" t="str">
        <v>Male</v>
      </c>
      <c r="N320" t="str">
        <f>VLOOKUP(C:C,Customer_Dim!B:I,5,1)</f>
        <v>Ashleystad</v>
      </c>
      <c r="O320" t="str">
        <f>VLOOKUP(C:C,Customer_Dim!B:I,6,1)</f>
        <v>Arkansas</v>
      </c>
      <c r="P320" t="str">
        <f>VLOOKUP(C:C,Customer_Dim!B:I,7,1)</f>
        <v>USA</v>
      </c>
      <c r="Q320" t="str">
        <f>VLOOKUP(C:C,Customer_Dim!B:I,8,1)</f>
        <v>Silver</v>
      </c>
      <c r="S320">
        <v>2</v>
      </c>
      <c r="T320">
        <v>123.19</v>
      </c>
      <c r="U320">
        <v>0.19</v>
      </c>
      <c r="V320">
        <v>199.56780000000001</v>
      </c>
      <c r="X320" s="4">
        <v>2</v>
      </c>
      <c r="Y320">
        <v>123.19</v>
      </c>
      <c r="Z320">
        <v>0.19</v>
      </c>
      <c r="AA320">
        <v>199.56780000000001</v>
      </c>
    </row>
    <row r="321" spans="1:27" x14ac:dyDescent="0.3">
      <c r="A321" t="s">
        <v>2128</v>
      </c>
      <c r="B321" s="2">
        <v>45879</v>
      </c>
      <c r="C321" t="s">
        <v>1109</v>
      </c>
      <c r="D321" t="s">
        <v>1641</v>
      </c>
      <c r="E321" t="s">
        <v>1796</v>
      </c>
      <c r="F321" s="4">
        <v>1</v>
      </c>
      <c r="G321">
        <v>222.95</v>
      </c>
      <c r="H321">
        <v>0.02</v>
      </c>
      <c r="I321" t="s">
        <v>1809</v>
      </c>
      <c r="J321">
        <v>218.49100000000001</v>
      </c>
      <c r="K321" t="s">
        <v>1110</v>
      </c>
      <c r="L321">
        <v>32</v>
      </c>
      <c r="M321" t="str">
        <v>Male</v>
      </c>
      <c r="N321" t="str">
        <f>VLOOKUP(C:C,Customer_Dim!B:I,5,1)</f>
        <v>West Johnmouth</v>
      </c>
      <c r="O321" t="str">
        <f>VLOOKUP(C:C,Customer_Dim!B:I,6,1)</f>
        <v>Mississippi</v>
      </c>
      <c r="P321" t="str">
        <f>VLOOKUP(C:C,Customer_Dim!B:I,7,1)</f>
        <v>USA</v>
      </c>
      <c r="Q321" t="str">
        <f>VLOOKUP(C:C,Customer_Dim!B:I,8,1)</f>
        <v>Gold</v>
      </c>
      <c r="S321">
        <v>1</v>
      </c>
      <c r="T321">
        <v>222.95</v>
      </c>
      <c r="U321">
        <v>0.02</v>
      </c>
      <c r="V321">
        <v>218.49100000000001</v>
      </c>
      <c r="X321" s="4">
        <v>1</v>
      </c>
      <c r="Y321">
        <v>222.95</v>
      </c>
      <c r="Z321">
        <v>0.02</v>
      </c>
      <c r="AA321">
        <v>218.49100000000001</v>
      </c>
    </row>
    <row r="322" spans="1:27" x14ac:dyDescent="0.3">
      <c r="A322" t="s">
        <v>2129</v>
      </c>
      <c r="B322" s="2">
        <v>45840</v>
      </c>
      <c r="C322" t="s">
        <v>1033</v>
      </c>
      <c r="D322" t="s">
        <v>1595</v>
      </c>
      <c r="E322" t="s">
        <v>1752</v>
      </c>
      <c r="F322" s="4">
        <v>3</v>
      </c>
      <c r="G322">
        <v>601.92999999999995</v>
      </c>
      <c r="H322">
        <v>0.14000000000000001</v>
      </c>
      <c r="I322" t="s">
        <v>1807</v>
      </c>
      <c r="J322">
        <v>1552.9793999999999</v>
      </c>
      <c r="K322" t="s">
        <v>1034</v>
      </c>
      <c r="L322">
        <v>64</v>
      </c>
      <c r="M322" t="str">
        <v>Female</v>
      </c>
      <c r="N322" t="str">
        <f>VLOOKUP(C:C,Customer_Dim!B:I,5,1)</f>
        <v>New Paulstad</v>
      </c>
      <c r="O322" t="str">
        <f>VLOOKUP(C:C,Customer_Dim!B:I,6,1)</f>
        <v>Hawaii</v>
      </c>
      <c r="P322" t="str">
        <f>VLOOKUP(C:C,Customer_Dim!B:I,7,1)</f>
        <v>USA</v>
      </c>
      <c r="Q322" t="str">
        <f>VLOOKUP(C:C,Customer_Dim!B:I,8,1)</f>
        <v>Bronze</v>
      </c>
      <c r="S322">
        <v>3</v>
      </c>
      <c r="T322">
        <v>601.92999999999995</v>
      </c>
      <c r="U322">
        <v>0.14000000000000001</v>
      </c>
      <c r="V322">
        <v>1552.9793999999999</v>
      </c>
      <c r="X322" s="4">
        <v>3</v>
      </c>
      <c r="Y322">
        <v>601.92999999999995</v>
      </c>
      <c r="Z322">
        <v>0.14000000000000001</v>
      </c>
      <c r="AA322">
        <v>1552.9793999999999</v>
      </c>
    </row>
    <row r="323" spans="1:27" x14ac:dyDescent="0.3">
      <c r="A323" t="s">
        <v>2130</v>
      </c>
      <c r="B323" s="2">
        <v>45380</v>
      </c>
      <c r="C323" t="s">
        <v>930</v>
      </c>
      <c r="D323" t="s">
        <v>1669</v>
      </c>
      <c r="E323" t="s">
        <v>1744</v>
      </c>
      <c r="F323" s="4">
        <v>1</v>
      </c>
      <c r="G323">
        <v>564.1</v>
      </c>
      <c r="H323">
        <v>0.03</v>
      </c>
      <c r="I323" t="s">
        <v>1807</v>
      </c>
      <c r="J323">
        <v>547.17700000000002</v>
      </c>
      <c r="K323" t="s">
        <v>931</v>
      </c>
      <c r="L323">
        <v>64</v>
      </c>
      <c r="M323" t="str">
        <v>Male</v>
      </c>
      <c r="N323" t="str">
        <f>VLOOKUP(C:C,Customer_Dim!B:I,5,1)</f>
        <v>Lake Brett</v>
      </c>
      <c r="O323" t="str">
        <f>VLOOKUP(C:C,Customer_Dim!B:I,6,1)</f>
        <v>Missouri</v>
      </c>
      <c r="P323" t="str">
        <f>VLOOKUP(C:C,Customer_Dim!B:I,7,1)</f>
        <v>USA</v>
      </c>
      <c r="Q323" t="str">
        <f>VLOOKUP(C:C,Customer_Dim!B:I,8,1)</f>
        <v>Silver</v>
      </c>
      <c r="S323">
        <v>1</v>
      </c>
      <c r="T323">
        <v>564.1</v>
      </c>
      <c r="U323">
        <v>0.03</v>
      </c>
      <c r="V323">
        <v>547.17700000000002</v>
      </c>
      <c r="X323" s="4">
        <v>1</v>
      </c>
      <c r="Y323">
        <v>564.1</v>
      </c>
      <c r="Z323">
        <v>0.03</v>
      </c>
      <c r="AA323">
        <v>547.17700000000002</v>
      </c>
    </row>
    <row r="324" spans="1:27" x14ac:dyDescent="0.3">
      <c r="A324" t="s">
        <v>2131</v>
      </c>
      <c r="B324" s="2">
        <v>45672</v>
      </c>
      <c r="C324" t="s">
        <v>336</v>
      </c>
      <c r="D324" t="s">
        <v>1691</v>
      </c>
      <c r="E324" t="s">
        <v>1756</v>
      </c>
      <c r="F324" s="4">
        <v>1</v>
      </c>
      <c r="G324">
        <v>516.62</v>
      </c>
      <c r="H324">
        <v>0.18</v>
      </c>
      <c r="I324" t="s">
        <v>1807</v>
      </c>
      <c r="J324">
        <v>423.62840000000011</v>
      </c>
      <c r="K324" t="s">
        <v>337</v>
      </c>
      <c r="L324">
        <v>30</v>
      </c>
      <c r="M324" t="str">
        <v>Female</v>
      </c>
      <c r="N324" t="str">
        <f>VLOOKUP(C:C,Customer_Dim!B:I,5,1)</f>
        <v>West Bobbyshire</v>
      </c>
      <c r="O324" t="str">
        <f>VLOOKUP(C:C,Customer_Dim!B:I,6,1)</f>
        <v>New York</v>
      </c>
      <c r="P324" t="str">
        <f>VLOOKUP(C:C,Customer_Dim!B:I,7,1)</f>
        <v>USA</v>
      </c>
      <c r="Q324" t="str">
        <f>VLOOKUP(C:C,Customer_Dim!B:I,8,1)</f>
        <v>Platinum</v>
      </c>
      <c r="S324">
        <v>1</v>
      </c>
      <c r="T324">
        <v>516.62</v>
      </c>
      <c r="U324">
        <v>0.18</v>
      </c>
      <c r="V324">
        <v>423.62840000000011</v>
      </c>
      <c r="X324" s="4">
        <v>1</v>
      </c>
      <c r="Y324">
        <v>516.62</v>
      </c>
      <c r="Z324">
        <v>0.18</v>
      </c>
      <c r="AA324">
        <v>423.62840000000011</v>
      </c>
    </row>
    <row r="325" spans="1:27" x14ac:dyDescent="0.3">
      <c r="A325" t="s">
        <v>2132</v>
      </c>
      <c r="B325" s="2">
        <v>45497</v>
      </c>
      <c r="C325" t="s">
        <v>1341</v>
      </c>
      <c r="D325" t="s">
        <v>1657</v>
      </c>
      <c r="E325" t="s">
        <v>1777</v>
      </c>
      <c r="F325" s="4">
        <v>1</v>
      </c>
      <c r="G325">
        <v>934.75</v>
      </c>
      <c r="H325">
        <v>0.11</v>
      </c>
      <c r="I325" t="s">
        <v>1809</v>
      </c>
      <c r="J325">
        <v>831.92750000000001</v>
      </c>
      <c r="K325" t="s">
        <v>1342</v>
      </c>
      <c r="L325">
        <v>53</v>
      </c>
      <c r="M325" t="str">
        <v>Male</v>
      </c>
      <c r="N325" t="str">
        <f>VLOOKUP(C:C,Customer_Dim!B:I,5,1)</f>
        <v>Amberburgh</v>
      </c>
      <c r="O325" t="str">
        <f>VLOOKUP(C:C,Customer_Dim!B:I,6,1)</f>
        <v>Tennessee</v>
      </c>
      <c r="P325" t="str">
        <f>VLOOKUP(C:C,Customer_Dim!B:I,7,1)</f>
        <v>USA</v>
      </c>
      <c r="Q325" t="str">
        <f>VLOOKUP(C:C,Customer_Dim!B:I,8,1)</f>
        <v>Platinum</v>
      </c>
      <c r="S325">
        <v>1</v>
      </c>
      <c r="T325">
        <v>934.75</v>
      </c>
      <c r="U325">
        <v>0.11</v>
      </c>
      <c r="V325">
        <v>831.92750000000001</v>
      </c>
      <c r="X325" s="4">
        <v>1</v>
      </c>
      <c r="Y325">
        <v>934.75</v>
      </c>
      <c r="Z325">
        <v>0.11</v>
      </c>
      <c r="AA325">
        <v>831.92750000000001</v>
      </c>
    </row>
    <row r="326" spans="1:27" x14ac:dyDescent="0.3">
      <c r="A326" t="s">
        <v>2133</v>
      </c>
      <c r="B326" s="2">
        <v>45407</v>
      </c>
      <c r="C326" t="s">
        <v>746</v>
      </c>
      <c r="D326" t="s">
        <v>1727</v>
      </c>
      <c r="E326" t="s">
        <v>1762</v>
      </c>
      <c r="F326" s="4">
        <v>4</v>
      </c>
      <c r="G326">
        <v>548.44000000000005</v>
      </c>
      <c r="H326">
        <v>0.05</v>
      </c>
      <c r="I326" t="s">
        <v>1809</v>
      </c>
      <c r="J326">
        <v>2084.0720000000001</v>
      </c>
      <c r="K326" t="s">
        <v>747</v>
      </c>
      <c r="L326">
        <v>28</v>
      </c>
      <c r="M326" t="str">
        <v>Female</v>
      </c>
      <c r="N326" t="str">
        <f>VLOOKUP(C:C,Customer_Dim!B:I,5,1)</f>
        <v>Lake Mark</v>
      </c>
      <c r="O326" t="str">
        <f>VLOOKUP(C:C,Customer_Dim!B:I,6,1)</f>
        <v>Kansas</v>
      </c>
      <c r="P326" t="str">
        <f>VLOOKUP(C:C,Customer_Dim!B:I,7,1)</f>
        <v>USA</v>
      </c>
      <c r="Q326" t="str">
        <f>VLOOKUP(C:C,Customer_Dim!B:I,8,1)</f>
        <v>Gold</v>
      </c>
      <c r="S326">
        <v>4</v>
      </c>
      <c r="T326">
        <v>548.44000000000005</v>
      </c>
      <c r="U326">
        <v>0.05</v>
      </c>
      <c r="V326">
        <v>2084.0720000000001</v>
      </c>
      <c r="X326" s="4">
        <v>4</v>
      </c>
      <c r="Y326">
        <v>548.44000000000005</v>
      </c>
      <c r="Z326">
        <v>0.05</v>
      </c>
      <c r="AA326">
        <v>2084.0720000000001</v>
      </c>
    </row>
    <row r="327" spans="1:27" x14ac:dyDescent="0.3">
      <c r="A327" t="s">
        <v>2134</v>
      </c>
      <c r="B327" s="2">
        <v>45764</v>
      </c>
      <c r="C327" t="s">
        <v>63</v>
      </c>
      <c r="D327" t="s">
        <v>1605</v>
      </c>
      <c r="E327" t="s">
        <v>1749</v>
      </c>
      <c r="F327" s="4">
        <v>3</v>
      </c>
      <c r="G327">
        <v>361.11</v>
      </c>
      <c r="H327">
        <v>0.06</v>
      </c>
      <c r="I327" t="s">
        <v>1807</v>
      </c>
      <c r="J327">
        <v>1018.3302</v>
      </c>
      <c r="K327" t="s">
        <v>64</v>
      </c>
      <c r="L327">
        <v>53</v>
      </c>
      <c r="M327" t="str">
        <v>Female</v>
      </c>
      <c r="N327" t="str">
        <f>VLOOKUP(C:C,Customer_Dim!B:I,5,1)</f>
        <v>New Becky</v>
      </c>
      <c r="O327" t="str">
        <f>VLOOKUP(C:C,Customer_Dim!B:I,6,1)</f>
        <v>Montana</v>
      </c>
      <c r="P327" t="str">
        <f>VLOOKUP(C:C,Customer_Dim!B:I,7,1)</f>
        <v>USA</v>
      </c>
      <c r="Q327" t="str">
        <f>VLOOKUP(C:C,Customer_Dim!B:I,8,1)</f>
        <v>Silver</v>
      </c>
      <c r="S327">
        <v>3</v>
      </c>
      <c r="T327">
        <v>361.11</v>
      </c>
      <c r="U327">
        <v>0.06</v>
      </c>
      <c r="V327">
        <v>1018.3302</v>
      </c>
      <c r="X327" s="4">
        <v>3</v>
      </c>
      <c r="Y327">
        <v>361.11</v>
      </c>
      <c r="Z327">
        <v>0.06</v>
      </c>
      <c r="AA327">
        <v>1018.3302</v>
      </c>
    </row>
    <row r="328" spans="1:27" x14ac:dyDescent="0.3">
      <c r="A328" t="s">
        <v>2135</v>
      </c>
      <c r="B328" s="2">
        <v>45924</v>
      </c>
      <c r="C328" t="s">
        <v>610</v>
      </c>
      <c r="D328" t="s">
        <v>1557</v>
      </c>
      <c r="E328" t="s">
        <v>1740</v>
      </c>
      <c r="F328" s="4">
        <v>2</v>
      </c>
      <c r="G328">
        <v>610.37</v>
      </c>
      <c r="H328">
        <v>0.1</v>
      </c>
      <c r="I328" t="s">
        <v>1809</v>
      </c>
      <c r="J328">
        <v>1098.6659999999999</v>
      </c>
      <c r="K328" t="s">
        <v>611</v>
      </c>
      <c r="L328">
        <v>42</v>
      </c>
      <c r="M328" t="str">
        <v>Male</v>
      </c>
      <c r="N328" t="str">
        <f>VLOOKUP(C:C,Customer_Dim!B:I,5,1)</f>
        <v>Lake Blaketon</v>
      </c>
      <c r="O328" t="str">
        <f>VLOOKUP(C:C,Customer_Dim!B:I,6,1)</f>
        <v>Alabama</v>
      </c>
      <c r="P328" t="str">
        <f>VLOOKUP(C:C,Customer_Dim!B:I,7,1)</f>
        <v>USA</v>
      </c>
      <c r="Q328" t="str">
        <f>VLOOKUP(C:C,Customer_Dim!B:I,8,1)</f>
        <v>Platinum</v>
      </c>
      <c r="S328">
        <v>2</v>
      </c>
      <c r="T328">
        <v>610.37</v>
      </c>
      <c r="U328">
        <v>0.1</v>
      </c>
      <c r="V328">
        <v>1098.6659999999999</v>
      </c>
      <c r="X328" s="4">
        <v>2</v>
      </c>
      <c r="Y328">
        <v>610.37</v>
      </c>
      <c r="Z328">
        <v>0.1</v>
      </c>
      <c r="AA328">
        <v>1098.6659999999999</v>
      </c>
    </row>
    <row r="329" spans="1:27" x14ac:dyDescent="0.3">
      <c r="A329" t="s">
        <v>2136</v>
      </c>
      <c r="B329" s="2">
        <v>45240</v>
      </c>
      <c r="C329" t="s">
        <v>1039</v>
      </c>
      <c r="D329" t="s">
        <v>1633</v>
      </c>
      <c r="E329" t="s">
        <v>1787</v>
      </c>
      <c r="F329" s="4">
        <v>1</v>
      </c>
      <c r="G329">
        <v>272.2</v>
      </c>
      <c r="H329">
        <v>0.3</v>
      </c>
      <c r="I329" t="s">
        <v>1807</v>
      </c>
      <c r="J329">
        <v>190.54</v>
      </c>
      <c r="K329" t="s">
        <v>1040</v>
      </c>
      <c r="L329">
        <v>37</v>
      </c>
      <c r="M329" t="str">
        <v>Male</v>
      </c>
      <c r="N329" t="str">
        <f>VLOOKUP(C:C,Customer_Dim!B:I,5,1)</f>
        <v>Donaldsontown</v>
      </c>
      <c r="O329" t="str">
        <f>VLOOKUP(C:C,Customer_Dim!B:I,6,1)</f>
        <v>Connecticut</v>
      </c>
      <c r="P329" t="str">
        <f>VLOOKUP(C:C,Customer_Dim!B:I,7,1)</f>
        <v>USA</v>
      </c>
      <c r="Q329" t="str">
        <f>VLOOKUP(C:C,Customer_Dim!B:I,8,1)</f>
        <v>Silver</v>
      </c>
      <c r="S329">
        <v>1</v>
      </c>
      <c r="T329">
        <v>272.2</v>
      </c>
      <c r="U329">
        <v>0.3</v>
      </c>
      <c r="V329">
        <v>190.54</v>
      </c>
      <c r="X329" s="4">
        <v>1</v>
      </c>
      <c r="Y329">
        <v>272.2</v>
      </c>
      <c r="Z329">
        <v>0.3</v>
      </c>
      <c r="AA329">
        <v>190.54</v>
      </c>
    </row>
    <row r="330" spans="1:27" x14ac:dyDescent="0.3">
      <c r="A330" t="s">
        <v>2137</v>
      </c>
      <c r="B330" s="2">
        <v>45349</v>
      </c>
      <c r="C330" t="s">
        <v>1341</v>
      </c>
      <c r="D330" t="s">
        <v>1685</v>
      </c>
      <c r="E330" t="s">
        <v>1759</v>
      </c>
      <c r="F330" s="4">
        <v>3</v>
      </c>
      <c r="G330">
        <v>573.1</v>
      </c>
      <c r="H330">
        <v>0.16</v>
      </c>
      <c r="I330" t="s">
        <v>1812</v>
      </c>
      <c r="J330">
        <v>1444.212</v>
      </c>
      <c r="K330" t="s">
        <v>1342</v>
      </c>
      <c r="L330">
        <v>53</v>
      </c>
      <c r="M330" t="str">
        <v>Male</v>
      </c>
      <c r="N330" t="str">
        <f>VLOOKUP(C:C,Customer_Dim!B:I,5,1)</f>
        <v>Amberburgh</v>
      </c>
      <c r="O330" t="str">
        <f>VLOOKUP(C:C,Customer_Dim!B:I,6,1)</f>
        <v>Tennessee</v>
      </c>
      <c r="P330" t="str">
        <f>VLOOKUP(C:C,Customer_Dim!B:I,7,1)</f>
        <v>USA</v>
      </c>
      <c r="Q330" t="str">
        <f>VLOOKUP(C:C,Customer_Dim!B:I,8,1)</f>
        <v>Platinum</v>
      </c>
      <c r="S330">
        <v>3</v>
      </c>
      <c r="T330">
        <v>573.1</v>
      </c>
      <c r="U330">
        <v>0.16</v>
      </c>
      <c r="V330">
        <v>1444.212</v>
      </c>
      <c r="X330" s="4">
        <v>3</v>
      </c>
      <c r="Y330">
        <v>573.1</v>
      </c>
      <c r="Z330">
        <v>0.16</v>
      </c>
      <c r="AA330">
        <v>1444.212</v>
      </c>
    </row>
    <row r="331" spans="1:27" x14ac:dyDescent="0.3">
      <c r="A331" t="s">
        <v>2138</v>
      </c>
      <c r="B331" s="2">
        <v>45756</v>
      </c>
      <c r="C331" t="s">
        <v>1004</v>
      </c>
      <c r="D331" t="s">
        <v>1540</v>
      </c>
      <c r="E331" t="s">
        <v>1735</v>
      </c>
      <c r="F331" s="4">
        <v>4</v>
      </c>
      <c r="G331">
        <v>24.72</v>
      </c>
      <c r="H331">
        <v>0.28000000000000003</v>
      </c>
      <c r="I331" t="s">
        <v>1807</v>
      </c>
      <c r="J331">
        <v>71.193599999999989</v>
      </c>
      <c r="K331" t="s">
        <v>1005</v>
      </c>
      <c r="L331">
        <v>64</v>
      </c>
      <c r="M331" t="str">
        <v>Female</v>
      </c>
      <c r="N331" t="str">
        <f>VLOOKUP(C:C,Customer_Dim!B:I,5,1)</f>
        <v>North Nicole</v>
      </c>
      <c r="O331" t="str">
        <f>VLOOKUP(C:C,Customer_Dim!B:I,6,1)</f>
        <v>Wyoming</v>
      </c>
      <c r="P331" t="str">
        <f>VLOOKUP(C:C,Customer_Dim!B:I,7,1)</f>
        <v>USA</v>
      </c>
      <c r="Q331" t="str">
        <f>VLOOKUP(C:C,Customer_Dim!B:I,8,1)</f>
        <v>Bronze</v>
      </c>
      <c r="S331">
        <v>4</v>
      </c>
      <c r="T331">
        <v>24.72</v>
      </c>
      <c r="U331">
        <v>0.28000000000000003</v>
      </c>
      <c r="V331">
        <v>71.193599999999989</v>
      </c>
      <c r="X331" s="4">
        <v>4</v>
      </c>
      <c r="Y331">
        <v>24.72</v>
      </c>
      <c r="Z331">
        <v>0.28000000000000003</v>
      </c>
      <c r="AA331">
        <v>71.193599999999989</v>
      </c>
    </row>
    <row r="332" spans="1:27" x14ac:dyDescent="0.3">
      <c r="A332" t="s">
        <v>2139</v>
      </c>
      <c r="B332" s="2">
        <v>45478</v>
      </c>
      <c r="C332" t="s">
        <v>797</v>
      </c>
      <c r="D332" t="s">
        <v>1548</v>
      </c>
      <c r="E332" t="s">
        <v>1769</v>
      </c>
      <c r="F332" s="4">
        <v>3</v>
      </c>
      <c r="G332">
        <v>268.89</v>
      </c>
      <c r="H332">
        <v>7.0000000000000007E-2</v>
      </c>
      <c r="I332" t="s">
        <v>1812</v>
      </c>
      <c r="J332">
        <v>750.20309999999995</v>
      </c>
      <c r="K332" t="s">
        <v>798</v>
      </c>
      <c r="L332">
        <v>26</v>
      </c>
      <c r="M332" t="str">
        <v>Male</v>
      </c>
      <c r="N332" t="str">
        <f>VLOOKUP(C:C,Customer_Dim!B:I,5,1)</f>
        <v>Port Coreyfort</v>
      </c>
      <c r="O332" t="str">
        <f>VLOOKUP(C:C,Customer_Dim!B:I,6,1)</f>
        <v>Alabama</v>
      </c>
      <c r="P332" t="str">
        <f>VLOOKUP(C:C,Customer_Dim!B:I,7,1)</f>
        <v>USA</v>
      </c>
      <c r="Q332" t="str">
        <f>VLOOKUP(C:C,Customer_Dim!B:I,8,1)</f>
        <v>Silver</v>
      </c>
      <c r="S332">
        <v>3</v>
      </c>
      <c r="T332">
        <v>268.89</v>
      </c>
      <c r="U332">
        <v>7.0000000000000007E-2</v>
      </c>
      <c r="V332">
        <v>750.20309999999995</v>
      </c>
      <c r="X332" s="4">
        <v>3</v>
      </c>
      <c r="Y332">
        <v>268.89</v>
      </c>
      <c r="Z332">
        <v>7.0000000000000007E-2</v>
      </c>
      <c r="AA332">
        <v>750.20309999999995</v>
      </c>
    </row>
    <row r="333" spans="1:27" x14ac:dyDescent="0.3">
      <c r="A333" t="s">
        <v>2140</v>
      </c>
      <c r="B333" s="2">
        <v>45890</v>
      </c>
      <c r="C333" t="s">
        <v>814</v>
      </c>
      <c r="D333" t="s">
        <v>1667</v>
      </c>
      <c r="E333" t="s">
        <v>1769</v>
      </c>
      <c r="F333" s="4">
        <v>1</v>
      </c>
      <c r="G333">
        <v>78.5</v>
      </c>
      <c r="H333">
        <v>0.17</v>
      </c>
      <c r="I333" t="s">
        <v>1812</v>
      </c>
      <c r="J333">
        <v>65.155000000000001</v>
      </c>
      <c r="K333" t="s">
        <v>815</v>
      </c>
      <c r="L333">
        <v>24</v>
      </c>
      <c r="M333" t="str">
        <v>Female</v>
      </c>
      <c r="N333" t="str">
        <f>VLOOKUP(C:C,Customer_Dim!B:I,5,1)</f>
        <v>Karenmouth</v>
      </c>
      <c r="O333" t="str">
        <f>VLOOKUP(C:C,Customer_Dim!B:I,6,1)</f>
        <v>Massachusetts</v>
      </c>
      <c r="P333" t="str">
        <f>VLOOKUP(C:C,Customer_Dim!B:I,7,1)</f>
        <v>USA</v>
      </c>
      <c r="Q333" t="str">
        <f>VLOOKUP(C:C,Customer_Dim!B:I,8,1)</f>
        <v>Silver</v>
      </c>
      <c r="S333">
        <v>1</v>
      </c>
      <c r="T333">
        <v>78.5</v>
      </c>
      <c r="U333">
        <v>0.17</v>
      </c>
      <c r="V333">
        <v>65.155000000000001</v>
      </c>
      <c r="X333" s="4">
        <v>1</v>
      </c>
      <c r="Y333">
        <v>78.5</v>
      </c>
      <c r="Z333">
        <v>0.17</v>
      </c>
      <c r="AA333">
        <v>65.155000000000001</v>
      </c>
    </row>
    <row r="334" spans="1:27" x14ac:dyDescent="0.3">
      <c r="A334" t="s">
        <v>2141</v>
      </c>
      <c r="B334" s="2">
        <v>45815</v>
      </c>
      <c r="C334" t="s">
        <v>450</v>
      </c>
      <c r="D334" t="s">
        <v>1603</v>
      </c>
      <c r="E334" t="s">
        <v>1752</v>
      </c>
      <c r="F334" s="4">
        <v>3</v>
      </c>
      <c r="G334">
        <v>399.42</v>
      </c>
      <c r="H334">
        <v>0.02</v>
      </c>
      <c r="I334" t="s">
        <v>1807</v>
      </c>
      <c r="J334">
        <v>1174.2947999999999</v>
      </c>
      <c r="K334" t="s">
        <v>451</v>
      </c>
      <c r="L334">
        <v>54</v>
      </c>
      <c r="M334" t="str">
        <v>Male</v>
      </c>
      <c r="N334" t="str">
        <f>VLOOKUP(C:C,Customer_Dim!B:I,5,1)</f>
        <v>West Stephenville</v>
      </c>
      <c r="O334" t="str">
        <f>VLOOKUP(C:C,Customer_Dim!B:I,6,1)</f>
        <v>Florida</v>
      </c>
      <c r="P334" t="str">
        <f>VLOOKUP(C:C,Customer_Dim!B:I,7,1)</f>
        <v>USA</v>
      </c>
      <c r="Q334" t="str">
        <f>VLOOKUP(C:C,Customer_Dim!B:I,8,1)</f>
        <v>Bronze</v>
      </c>
      <c r="S334">
        <v>3</v>
      </c>
      <c r="T334">
        <v>399.42</v>
      </c>
      <c r="U334">
        <v>0.02</v>
      </c>
      <c r="V334">
        <v>1174.2947999999999</v>
      </c>
      <c r="X334" s="4">
        <v>3</v>
      </c>
      <c r="Y334">
        <v>399.42</v>
      </c>
      <c r="Z334">
        <v>0.02</v>
      </c>
      <c r="AA334">
        <v>1174.2947999999999</v>
      </c>
    </row>
    <row r="335" spans="1:27" x14ac:dyDescent="0.3">
      <c r="A335" t="s">
        <v>2142</v>
      </c>
      <c r="B335" s="2">
        <v>45891</v>
      </c>
      <c r="C335" t="s">
        <v>304</v>
      </c>
      <c r="D335" t="s">
        <v>1593</v>
      </c>
      <c r="E335" t="s">
        <v>1796</v>
      </c>
      <c r="F335" s="4">
        <v>3</v>
      </c>
      <c r="G335">
        <v>455.82</v>
      </c>
      <c r="H335">
        <v>0.01</v>
      </c>
      <c r="I335" t="s">
        <v>1809</v>
      </c>
      <c r="J335">
        <v>1353.7854</v>
      </c>
      <c r="K335" t="s">
        <v>305</v>
      </c>
      <c r="L335">
        <v>19</v>
      </c>
      <c r="M335" t="str">
        <v>Female</v>
      </c>
      <c r="N335" t="str">
        <f>VLOOKUP(C:C,Customer_Dim!B:I,5,1)</f>
        <v>West Theodorechester</v>
      </c>
      <c r="O335" t="str">
        <f>VLOOKUP(C:C,Customer_Dim!B:I,6,1)</f>
        <v>Pennsylvania</v>
      </c>
      <c r="P335" t="str">
        <f>VLOOKUP(C:C,Customer_Dim!B:I,7,1)</f>
        <v>USA</v>
      </c>
      <c r="Q335" t="str">
        <f>VLOOKUP(C:C,Customer_Dim!B:I,8,1)</f>
        <v>Silver</v>
      </c>
      <c r="S335">
        <v>3</v>
      </c>
      <c r="T335">
        <v>455.82</v>
      </c>
      <c r="U335">
        <v>0.01</v>
      </c>
      <c r="V335">
        <v>1353.7854</v>
      </c>
      <c r="X335" s="4">
        <v>3</v>
      </c>
      <c r="Y335">
        <v>455.82</v>
      </c>
      <c r="Z335">
        <v>0.01</v>
      </c>
      <c r="AA335">
        <v>1353.7854</v>
      </c>
    </row>
    <row r="336" spans="1:27" x14ac:dyDescent="0.3">
      <c r="A336" t="s">
        <v>2143</v>
      </c>
      <c r="B336" s="2">
        <v>45609</v>
      </c>
      <c r="C336" t="s">
        <v>1083</v>
      </c>
      <c r="D336" t="s">
        <v>1631</v>
      </c>
      <c r="E336" t="s">
        <v>1756</v>
      </c>
      <c r="F336" s="4">
        <v>2</v>
      </c>
      <c r="G336">
        <v>613.23</v>
      </c>
      <c r="H336">
        <v>0.15</v>
      </c>
      <c r="I336" t="s">
        <v>1809</v>
      </c>
      <c r="J336">
        <v>1042.491</v>
      </c>
      <c r="K336" t="s">
        <v>1084</v>
      </c>
      <c r="L336">
        <v>26</v>
      </c>
      <c r="M336" t="str">
        <v>Male</v>
      </c>
      <c r="N336" t="str">
        <f>VLOOKUP(C:C,Customer_Dim!B:I,5,1)</f>
        <v>New Angiefurt</v>
      </c>
      <c r="O336" t="str">
        <f>VLOOKUP(C:C,Customer_Dim!B:I,6,1)</f>
        <v>Alaska</v>
      </c>
      <c r="P336" t="str">
        <f>VLOOKUP(C:C,Customer_Dim!B:I,7,1)</f>
        <v>USA</v>
      </c>
      <c r="Q336" t="str">
        <f>VLOOKUP(C:C,Customer_Dim!B:I,8,1)</f>
        <v>Bronze</v>
      </c>
      <c r="S336">
        <v>2</v>
      </c>
      <c r="T336">
        <v>613.23</v>
      </c>
      <c r="U336">
        <v>0.15</v>
      </c>
      <c r="V336">
        <v>1042.491</v>
      </c>
      <c r="X336" s="4">
        <v>2</v>
      </c>
      <c r="Y336">
        <v>613.23</v>
      </c>
      <c r="Z336">
        <v>0.15</v>
      </c>
      <c r="AA336">
        <v>1042.491</v>
      </c>
    </row>
    <row r="337" spans="1:27" x14ac:dyDescent="0.3">
      <c r="A337" t="s">
        <v>2144</v>
      </c>
      <c r="B337" s="2">
        <v>45309</v>
      </c>
      <c r="C337" t="s">
        <v>1398</v>
      </c>
      <c r="D337" t="s">
        <v>1532</v>
      </c>
      <c r="E337" t="s">
        <v>1782</v>
      </c>
      <c r="F337" s="4">
        <v>4</v>
      </c>
      <c r="G337">
        <v>971.9</v>
      </c>
      <c r="H337">
        <v>0.28000000000000003</v>
      </c>
      <c r="I337" t="s">
        <v>1809</v>
      </c>
      <c r="J337">
        <v>2799.0720000000001</v>
      </c>
      <c r="K337" t="s">
        <v>1399</v>
      </c>
      <c r="L337">
        <v>29</v>
      </c>
      <c r="M337" t="str">
        <v>Female</v>
      </c>
      <c r="N337" t="str">
        <f>VLOOKUP(C:C,Customer_Dim!B:I,5,1)</f>
        <v>Port Taylorberg</v>
      </c>
      <c r="O337" t="str">
        <f>VLOOKUP(C:C,Customer_Dim!B:I,6,1)</f>
        <v>Pennsylvania</v>
      </c>
      <c r="P337" t="str">
        <f>VLOOKUP(C:C,Customer_Dim!B:I,7,1)</f>
        <v>USA</v>
      </c>
      <c r="Q337" t="str">
        <f>VLOOKUP(C:C,Customer_Dim!B:I,8,1)</f>
        <v>Silver</v>
      </c>
      <c r="S337">
        <v>4</v>
      </c>
      <c r="T337">
        <v>971.9</v>
      </c>
      <c r="U337">
        <v>0.28000000000000003</v>
      </c>
      <c r="V337">
        <v>2799.0720000000001</v>
      </c>
      <c r="X337" s="4">
        <v>4</v>
      </c>
      <c r="Y337">
        <v>971.9</v>
      </c>
      <c r="Z337">
        <v>0.28000000000000003</v>
      </c>
      <c r="AA337">
        <v>2799.0720000000001</v>
      </c>
    </row>
    <row r="338" spans="1:27" x14ac:dyDescent="0.3">
      <c r="A338" t="s">
        <v>2145</v>
      </c>
      <c r="B338" s="2">
        <v>45519</v>
      </c>
      <c r="C338" t="s">
        <v>136</v>
      </c>
      <c r="D338" t="s">
        <v>1587</v>
      </c>
      <c r="E338" t="s">
        <v>1762</v>
      </c>
      <c r="F338" s="4">
        <v>3</v>
      </c>
      <c r="G338">
        <v>884.92</v>
      </c>
      <c r="H338">
        <v>0.06</v>
      </c>
      <c r="I338" t="s">
        <v>1809</v>
      </c>
      <c r="J338">
        <v>2495.4744000000001</v>
      </c>
      <c r="K338" t="s">
        <v>137</v>
      </c>
      <c r="L338">
        <v>52</v>
      </c>
      <c r="M338" t="str">
        <v>Male</v>
      </c>
      <c r="N338" t="str">
        <f>VLOOKUP(C:C,Customer_Dim!B:I,5,1)</f>
        <v>West Richard</v>
      </c>
      <c r="O338" t="str">
        <f>VLOOKUP(C:C,Customer_Dim!B:I,6,1)</f>
        <v>Maryland</v>
      </c>
      <c r="P338" t="str">
        <f>VLOOKUP(C:C,Customer_Dim!B:I,7,1)</f>
        <v>USA</v>
      </c>
      <c r="Q338" t="str">
        <f>VLOOKUP(C:C,Customer_Dim!B:I,8,1)</f>
        <v>Platinum</v>
      </c>
      <c r="S338">
        <v>3</v>
      </c>
      <c r="T338">
        <v>884.92</v>
      </c>
      <c r="U338">
        <v>0.06</v>
      </c>
      <c r="V338">
        <v>2495.4744000000001</v>
      </c>
      <c r="X338" s="4">
        <v>3</v>
      </c>
      <c r="Y338">
        <v>884.92</v>
      </c>
      <c r="Z338">
        <v>0.06</v>
      </c>
      <c r="AA338">
        <v>2495.4744000000001</v>
      </c>
    </row>
    <row r="339" spans="1:27" x14ac:dyDescent="0.3">
      <c r="A339" t="s">
        <v>2146</v>
      </c>
      <c r="B339" s="2">
        <v>45921</v>
      </c>
      <c r="C339" t="s">
        <v>310</v>
      </c>
      <c r="D339" t="s">
        <v>1545</v>
      </c>
      <c r="E339" t="s">
        <v>1769</v>
      </c>
      <c r="F339" s="4">
        <v>1</v>
      </c>
      <c r="G339">
        <v>125</v>
      </c>
      <c r="H339">
        <v>0.23</v>
      </c>
      <c r="I339" t="s">
        <v>1807</v>
      </c>
      <c r="J339">
        <v>96.25</v>
      </c>
      <c r="K339" t="s">
        <v>3939</v>
      </c>
      <c r="L339">
        <v>58</v>
      </c>
      <c r="M339" t="str">
        <v>Male</v>
      </c>
      <c r="N339" t="str">
        <f>VLOOKUP(C:C,Customer_Dim!B:I,5,1)</f>
        <v>East Jenna</v>
      </c>
      <c r="O339" t="str">
        <f>VLOOKUP(C:C,Customer_Dim!B:I,6,1)</f>
        <v>South Carolina</v>
      </c>
      <c r="P339" t="str">
        <f>VLOOKUP(C:C,Customer_Dim!B:I,7,1)</f>
        <v>USA</v>
      </c>
      <c r="Q339" t="str">
        <f>VLOOKUP(C:C,Customer_Dim!B:I,8,1)</f>
        <v>Bronze</v>
      </c>
      <c r="S339">
        <v>1</v>
      </c>
      <c r="T339">
        <v>125</v>
      </c>
      <c r="U339">
        <v>0.23</v>
      </c>
      <c r="V339">
        <v>96.25</v>
      </c>
      <c r="X339" s="4">
        <v>1</v>
      </c>
      <c r="Y339">
        <v>125</v>
      </c>
      <c r="Z339">
        <v>0.23</v>
      </c>
      <c r="AA339">
        <v>96.25</v>
      </c>
    </row>
    <row r="340" spans="1:27" x14ac:dyDescent="0.3">
      <c r="A340" t="s">
        <v>2147</v>
      </c>
      <c r="B340" s="2">
        <v>45465</v>
      </c>
      <c r="C340" t="s">
        <v>436</v>
      </c>
      <c r="D340" t="s">
        <v>1551</v>
      </c>
      <c r="E340" t="s">
        <v>1784</v>
      </c>
      <c r="F340" s="4">
        <v>2</v>
      </c>
      <c r="G340">
        <v>188.25</v>
      </c>
      <c r="H340">
        <v>0.08</v>
      </c>
      <c r="I340" t="s">
        <v>1809</v>
      </c>
      <c r="J340">
        <v>346.38</v>
      </c>
      <c r="K340" t="s">
        <v>437</v>
      </c>
      <c r="L340">
        <v>43</v>
      </c>
      <c r="M340" t="str">
        <v>Female</v>
      </c>
      <c r="N340" t="str">
        <f>VLOOKUP(C:C,Customer_Dim!B:I,5,1)</f>
        <v>East Ellen</v>
      </c>
      <c r="O340" t="str">
        <f>VLOOKUP(C:C,Customer_Dim!B:I,6,1)</f>
        <v>Arkansas</v>
      </c>
      <c r="P340" t="str">
        <f>VLOOKUP(C:C,Customer_Dim!B:I,7,1)</f>
        <v>USA</v>
      </c>
      <c r="Q340" t="str">
        <f>VLOOKUP(C:C,Customer_Dim!B:I,8,1)</f>
        <v>Silver</v>
      </c>
      <c r="S340">
        <v>2</v>
      </c>
      <c r="T340">
        <v>188.25</v>
      </c>
      <c r="U340">
        <v>0.08</v>
      </c>
      <c r="V340">
        <v>346.38</v>
      </c>
      <c r="X340" s="4">
        <v>2</v>
      </c>
      <c r="Y340">
        <v>188.25</v>
      </c>
      <c r="Z340">
        <v>0.08</v>
      </c>
      <c r="AA340">
        <v>346.38</v>
      </c>
    </row>
    <row r="341" spans="1:27" x14ac:dyDescent="0.3">
      <c r="A341" t="s">
        <v>2148</v>
      </c>
      <c r="B341" s="2">
        <v>45303</v>
      </c>
      <c r="C341" t="s">
        <v>713</v>
      </c>
      <c r="D341" t="s">
        <v>1623</v>
      </c>
      <c r="E341" t="s">
        <v>1759</v>
      </c>
      <c r="F341" s="4">
        <v>4</v>
      </c>
      <c r="G341">
        <v>344.12</v>
      </c>
      <c r="H341">
        <v>0.25</v>
      </c>
      <c r="I341" t="s">
        <v>1809</v>
      </c>
      <c r="J341">
        <v>1032.3599999999999</v>
      </c>
      <c r="K341" t="s">
        <v>714</v>
      </c>
      <c r="L341">
        <v>50</v>
      </c>
      <c r="M341" t="str">
        <v>Male</v>
      </c>
      <c r="N341" t="str">
        <f>VLOOKUP(C:C,Customer_Dim!B:I,5,1)</f>
        <v>East Crystalton</v>
      </c>
      <c r="O341" t="str">
        <f>VLOOKUP(C:C,Customer_Dim!B:I,6,1)</f>
        <v>New Mexico</v>
      </c>
      <c r="P341" t="str">
        <f>VLOOKUP(C:C,Customer_Dim!B:I,7,1)</f>
        <v>USA</v>
      </c>
      <c r="Q341" t="str">
        <f>VLOOKUP(C:C,Customer_Dim!B:I,8,1)</f>
        <v>Platinum</v>
      </c>
      <c r="S341">
        <v>4</v>
      </c>
      <c r="T341">
        <v>344.12</v>
      </c>
      <c r="U341">
        <v>0.25</v>
      </c>
      <c r="V341">
        <v>1032.3599999999999</v>
      </c>
      <c r="X341" s="4">
        <v>4</v>
      </c>
      <c r="Y341">
        <v>344.12</v>
      </c>
      <c r="Z341">
        <v>0.25</v>
      </c>
      <c r="AA341">
        <v>1032.3599999999999</v>
      </c>
    </row>
    <row r="342" spans="1:27" x14ac:dyDescent="0.3">
      <c r="A342" t="s">
        <v>2149</v>
      </c>
      <c r="B342" s="2">
        <v>45218</v>
      </c>
      <c r="C342" t="s">
        <v>178</v>
      </c>
      <c r="D342" t="s">
        <v>1565</v>
      </c>
      <c r="E342" t="s">
        <v>1796</v>
      </c>
      <c r="F342" s="4">
        <v>3</v>
      </c>
      <c r="G342">
        <v>997.95</v>
      </c>
      <c r="H342">
        <v>0.09</v>
      </c>
      <c r="I342" t="s">
        <v>1812</v>
      </c>
      <c r="J342">
        <v>2724.4034999999999</v>
      </c>
      <c r="K342" t="s">
        <v>179</v>
      </c>
      <c r="L342">
        <v>54</v>
      </c>
      <c r="M342" t="str">
        <v>Male</v>
      </c>
      <c r="N342" t="str">
        <f>VLOOKUP(C:C,Customer_Dim!B:I,5,1)</f>
        <v>Lake Roberthaven</v>
      </c>
      <c r="O342" t="str">
        <f>VLOOKUP(C:C,Customer_Dim!B:I,6,1)</f>
        <v>Nevada</v>
      </c>
      <c r="P342" t="str">
        <f>VLOOKUP(C:C,Customer_Dim!B:I,7,1)</f>
        <v>USA</v>
      </c>
      <c r="Q342" t="str">
        <f>VLOOKUP(C:C,Customer_Dim!B:I,8,1)</f>
        <v>Silver</v>
      </c>
      <c r="S342">
        <v>3</v>
      </c>
      <c r="T342">
        <v>997.95</v>
      </c>
      <c r="U342">
        <v>0.09</v>
      </c>
      <c r="V342">
        <v>2724.4034999999999</v>
      </c>
      <c r="X342" s="4">
        <v>3</v>
      </c>
      <c r="Y342">
        <v>997.95</v>
      </c>
      <c r="Z342">
        <v>0.09</v>
      </c>
      <c r="AA342">
        <v>2724.4034999999999</v>
      </c>
    </row>
    <row r="343" spans="1:27" x14ac:dyDescent="0.3">
      <c r="A343" t="s">
        <v>2150</v>
      </c>
      <c r="B343" s="2">
        <v>45727</v>
      </c>
      <c r="C343" t="s">
        <v>500</v>
      </c>
      <c r="D343" t="s">
        <v>1553</v>
      </c>
      <c r="E343" t="s">
        <v>1784</v>
      </c>
      <c r="F343" s="4">
        <v>3</v>
      </c>
      <c r="G343">
        <v>121.64</v>
      </c>
      <c r="H343">
        <v>7.0000000000000007E-2</v>
      </c>
      <c r="I343" t="s">
        <v>1809</v>
      </c>
      <c r="J343">
        <v>339.37560000000002</v>
      </c>
      <c r="K343" t="s">
        <v>501</v>
      </c>
      <c r="L343">
        <v>25</v>
      </c>
      <c r="M343" t="str">
        <v>Female</v>
      </c>
      <c r="N343" t="str">
        <f>VLOOKUP(C:C,Customer_Dim!B:I,5,1)</f>
        <v>Port Frankmouth</v>
      </c>
      <c r="O343" t="str">
        <f>VLOOKUP(C:C,Customer_Dim!B:I,6,1)</f>
        <v>Mississippi</v>
      </c>
      <c r="P343" t="str">
        <f>VLOOKUP(C:C,Customer_Dim!B:I,7,1)</f>
        <v>USA</v>
      </c>
      <c r="Q343" t="str">
        <f>VLOOKUP(C:C,Customer_Dim!B:I,8,1)</f>
        <v>Gold</v>
      </c>
      <c r="S343">
        <v>3</v>
      </c>
      <c r="T343">
        <v>121.64</v>
      </c>
      <c r="U343">
        <v>7.0000000000000007E-2</v>
      </c>
      <c r="V343">
        <v>339.37560000000002</v>
      </c>
      <c r="X343" s="4">
        <v>3</v>
      </c>
      <c r="Y343">
        <v>121.64</v>
      </c>
      <c r="Z343">
        <v>7.0000000000000007E-2</v>
      </c>
      <c r="AA343">
        <v>339.37560000000002</v>
      </c>
    </row>
    <row r="344" spans="1:27" x14ac:dyDescent="0.3">
      <c r="A344" t="s">
        <v>2151</v>
      </c>
      <c r="B344" s="2">
        <v>45557</v>
      </c>
      <c r="C344" t="s">
        <v>710</v>
      </c>
      <c r="D344" t="s">
        <v>1667</v>
      </c>
      <c r="E344" t="s">
        <v>1772</v>
      </c>
      <c r="F344" s="4">
        <v>2</v>
      </c>
      <c r="G344">
        <v>692.72</v>
      </c>
      <c r="H344">
        <v>0.13</v>
      </c>
      <c r="I344" t="s">
        <v>1809</v>
      </c>
      <c r="J344">
        <v>1205.3327999999999</v>
      </c>
      <c r="K344" t="s">
        <v>711</v>
      </c>
      <c r="L344">
        <v>35</v>
      </c>
      <c r="M344" t="str">
        <v>Male</v>
      </c>
      <c r="N344" t="str">
        <f>VLOOKUP(C:C,Customer_Dim!B:I,5,1)</f>
        <v>Maybury</v>
      </c>
      <c r="O344" t="str">
        <f>VLOOKUP(C:C,Customer_Dim!B:I,6,1)</f>
        <v>Georgia</v>
      </c>
      <c r="P344" t="str">
        <f>VLOOKUP(C:C,Customer_Dim!B:I,7,1)</f>
        <v>USA</v>
      </c>
      <c r="Q344" t="str">
        <f>VLOOKUP(C:C,Customer_Dim!B:I,8,1)</f>
        <v>Platinum</v>
      </c>
      <c r="S344">
        <v>2</v>
      </c>
      <c r="T344">
        <v>692.72</v>
      </c>
      <c r="U344">
        <v>0.13</v>
      </c>
      <c r="V344">
        <v>1205.3327999999999</v>
      </c>
      <c r="X344" s="4">
        <v>2</v>
      </c>
      <c r="Y344">
        <v>692.72</v>
      </c>
      <c r="Z344">
        <v>0.13</v>
      </c>
      <c r="AA344">
        <v>1205.3327999999999</v>
      </c>
    </row>
    <row r="345" spans="1:27" x14ac:dyDescent="0.3">
      <c r="A345" t="s">
        <v>2152</v>
      </c>
      <c r="B345" s="2">
        <v>45623</v>
      </c>
      <c r="C345" t="s">
        <v>114</v>
      </c>
      <c r="D345" t="s">
        <v>1579</v>
      </c>
      <c r="E345" t="s">
        <v>1796</v>
      </c>
      <c r="F345" s="4">
        <v>3</v>
      </c>
      <c r="G345">
        <v>794.59</v>
      </c>
      <c r="H345">
        <v>0.03</v>
      </c>
      <c r="I345" t="s">
        <v>1809</v>
      </c>
      <c r="J345">
        <v>2312.2568999999999</v>
      </c>
      <c r="K345" t="s">
        <v>115</v>
      </c>
      <c r="L345">
        <v>27</v>
      </c>
      <c r="M345" t="str">
        <v>Female</v>
      </c>
      <c r="N345" t="str">
        <f>VLOOKUP(C:C,Customer_Dim!B:I,5,1)</f>
        <v>Mollyshire</v>
      </c>
      <c r="O345" t="str">
        <f>VLOOKUP(C:C,Customer_Dim!B:I,6,1)</f>
        <v>Utah</v>
      </c>
      <c r="P345" t="str">
        <f>VLOOKUP(C:C,Customer_Dim!B:I,7,1)</f>
        <v>USA</v>
      </c>
      <c r="Q345" t="str">
        <f>VLOOKUP(C:C,Customer_Dim!B:I,8,1)</f>
        <v>Platinum</v>
      </c>
      <c r="S345">
        <v>3</v>
      </c>
      <c r="T345">
        <v>794.59</v>
      </c>
      <c r="U345">
        <v>0.03</v>
      </c>
      <c r="V345">
        <v>2312.2568999999999</v>
      </c>
      <c r="X345" s="4">
        <v>3</v>
      </c>
      <c r="Y345">
        <v>794.59</v>
      </c>
      <c r="Z345">
        <v>0.03</v>
      </c>
      <c r="AA345">
        <v>2312.2568999999999</v>
      </c>
    </row>
    <row r="346" spans="1:27" x14ac:dyDescent="0.3">
      <c r="A346" t="s">
        <v>2153</v>
      </c>
      <c r="B346" s="2">
        <v>45224</v>
      </c>
      <c r="C346" t="s">
        <v>67</v>
      </c>
      <c r="D346" t="s">
        <v>1583</v>
      </c>
      <c r="E346" t="s">
        <v>1769</v>
      </c>
      <c r="F346" s="4">
        <v>1</v>
      </c>
      <c r="G346">
        <v>907.95</v>
      </c>
      <c r="H346">
        <v>0.1</v>
      </c>
      <c r="I346" t="s">
        <v>1809</v>
      </c>
      <c r="J346">
        <v>817.15500000000009</v>
      </c>
      <c r="K346" t="s">
        <v>68</v>
      </c>
      <c r="L346">
        <v>49</v>
      </c>
      <c r="M346" t="str">
        <v>Female</v>
      </c>
      <c r="N346" t="str">
        <f>VLOOKUP(C:C,Customer_Dim!B:I,5,1)</f>
        <v>Lake Kristamouth</v>
      </c>
      <c r="O346" t="str">
        <f>VLOOKUP(C:C,Customer_Dim!B:I,6,1)</f>
        <v>Nebraska</v>
      </c>
      <c r="P346" t="str">
        <f>VLOOKUP(C:C,Customer_Dim!B:I,7,1)</f>
        <v>USA</v>
      </c>
      <c r="Q346" t="str">
        <f>VLOOKUP(C:C,Customer_Dim!B:I,8,1)</f>
        <v>Silver</v>
      </c>
      <c r="S346">
        <v>1</v>
      </c>
      <c r="T346">
        <v>907.95</v>
      </c>
      <c r="U346">
        <v>0.1</v>
      </c>
      <c r="V346">
        <v>817.15500000000009</v>
      </c>
      <c r="X346" s="4">
        <v>1</v>
      </c>
      <c r="Y346">
        <v>907.95</v>
      </c>
      <c r="Z346">
        <v>0.1</v>
      </c>
      <c r="AA346">
        <v>817.15500000000009</v>
      </c>
    </row>
    <row r="347" spans="1:27" x14ac:dyDescent="0.3">
      <c r="A347" t="s">
        <v>2154</v>
      </c>
      <c r="B347" s="2">
        <v>45940</v>
      </c>
      <c r="C347" t="s">
        <v>903</v>
      </c>
      <c r="D347" t="s">
        <v>1631</v>
      </c>
      <c r="E347" t="s">
        <v>1735</v>
      </c>
      <c r="F347" s="4">
        <v>2</v>
      </c>
      <c r="G347">
        <v>660.81</v>
      </c>
      <c r="H347">
        <v>0.18</v>
      </c>
      <c r="I347" t="s">
        <v>1807</v>
      </c>
      <c r="J347">
        <v>1083.7284</v>
      </c>
      <c r="K347" t="s">
        <v>904</v>
      </c>
      <c r="L347">
        <v>58</v>
      </c>
      <c r="M347" t="str">
        <v>Male</v>
      </c>
      <c r="N347" t="str">
        <f>VLOOKUP(C:C,Customer_Dim!B:I,5,1)</f>
        <v>Millerfort</v>
      </c>
      <c r="O347" t="str">
        <f>VLOOKUP(C:C,Customer_Dim!B:I,6,1)</f>
        <v>Vermont</v>
      </c>
      <c r="P347" t="str">
        <f>VLOOKUP(C:C,Customer_Dim!B:I,7,1)</f>
        <v>USA</v>
      </c>
      <c r="Q347" t="str">
        <f>VLOOKUP(C:C,Customer_Dim!B:I,8,1)</f>
        <v>Gold</v>
      </c>
      <c r="S347">
        <v>2</v>
      </c>
      <c r="T347">
        <v>660.81</v>
      </c>
      <c r="U347">
        <v>0.18</v>
      </c>
      <c r="V347">
        <v>1083.7284</v>
      </c>
      <c r="X347" s="4">
        <v>2</v>
      </c>
      <c r="Y347">
        <v>660.81</v>
      </c>
      <c r="Z347">
        <v>0.18</v>
      </c>
      <c r="AA347">
        <v>1083.7284</v>
      </c>
    </row>
    <row r="348" spans="1:27" x14ac:dyDescent="0.3">
      <c r="A348" t="s">
        <v>2155</v>
      </c>
      <c r="B348" s="2">
        <v>45915</v>
      </c>
      <c r="C348" t="s">
        <v>224</v>
      </c>
      <c r="D348" t="s">
        <v>1633</v>
      </c>
      <c r="E348" t="s">
        <v>1765</v>
      </c>
      <c r="F348" s="4">
        <v>3</v>
      </c>
      <c r="G348">
        <v>564.94000000000005</v>
      </c>
      <c r="H348">
        <v>0.22</v>
      </c>
      <c r="I348" t="s">
        <v>1812</v>
      </c>
      <c r="J348">
        <v>1321.9595999999999</v>
      </c>
      <c r="K348" t="s">
        <v>225</v>
      </c>
      <c r="L348">
        <v>50</v>
      </c>
      <c r="M348" t="str">
        <v>Male</v>
      </c>
      <c r="N348" t="str">
        <f>VLOOKUP(C:C,Customer_Dim!B:I,5,1)</f>
        <v>Jennifermouth</v>
      </c>
      <c r="O348" t="str">
        <f>VLOOKUP(C:C,Customer_Dim!B:I,6,1)</f>
        <v>Missouri</v>
      </c>
      <c r="P348" t="str">
        <f>VLOOKUP(C:C,Customer_Dim!B:I,7,1)</f>
        <v>USA</v>
      </c>
      <c r="Q348" t="str">
        <f>VLOOKUP(C:C,Customer_Dim!B:I,8,1)</f>
        <v>Silver</v>
      </c>
      <c r="S348">
        <v>3</v>
      </c>
      <c r="T348">
        <v>564.94000000000005</v>
      </c>
      <c r="U348">
        <v>0.22</v>
      </c>
      <c r="V348">
        <v>1321.9595999999999</v>
      </c>
      <c r="X348" s="4">
        <v>3</v>
      </c>
      <c r="Y348">
        <v>564.94000000000005</v>
      </c>
      <c r="Z348">
        <v>0.22</v>
      </c>
      <c r="AA348">
        <v>1321.9595999999999</v>
      </c>
    </row>
    <row r="349" spans="1:27" x14ac:dyDescent="0.3">
      <c r="A349" t="s">
        <v>2156</v>
      </c>
      <c r="B349" s="2">
        <v>45541</v>
      </c>
      <c r="C349" t="s">
        <v>202</v>
      </c>
      <c r="D349" t="s">
        <v>1561</v>
      </c>
      <c r="E349" t="s">
        <v>1784</v>
      </c>
      <c r="F349" s="4">
        <v>2</v>
      </c>
      <c r="G349">
        <v>280.37</v>
      </c>
      <c r="H349">
        <v>0.22</v>
      </c>
      <c r="I349" t="s">
        <v>1812</v>
      </c>
      <c r="J349">
        <v>437.37720000000002</v>
      </c>
      <c r="K349" t="s">
        <v>203</v>
      </c>
      <c r="L349">
        <v>56</v>
      </c>
      <c r="M349" t="str">
        <v>Female</v>
      </c>
      <c r="N349" t="str">
        <f>VLOOKUP(C:C,Customer_Dim!B:I,5,1)</f>
        <v>Christopherland</v>
      </c>
      <c r="O349" t="str">
        <f>VLOOKUP(C:C,Customer_Dim!B:I,6,1)</f>
        <v>Oklahoma</v>
      </c>
      <c r="P349" t="str">
        <f>VLOOKUP(C:C,Customer_Dim!B:I,7,1)</f>
        <v>USA</v>
      </c>
      <c r="Q349" t="str">
        <f>VLOOKUP(C:C,Customer_Dim!B:I,8,1)</f>
        <v>Platinum</v>
      </c>
      <c r="S349">
        <v>2</v>
      </c>
      <c r="T349">
        <v>280.37</v>
      </c>
      <c r="U349">
        <v>0.22</v>
      </c>
      <c r="V349">
        <v>437.37720000000002</v>
      </c>
      <c r="X349" s="4">
        <v>2</v>
      </c>
      <c r="Y349">
        <v>280.37</v>
      </c>
      <c r="Z349">
        <v>0.22</v>
      </c>
      <c r="AA349">
        <v>437.37720000000002</v>
      </c>
    </row>
    <row r="350" spans="1:27" x14ac:dyDescent="0.3">
      <c r="A350" t="s">
        <v>2157</v>
      </c>
      <c r="B350" s="2">
        <v>45489</v>
      </c>
      <c r="C350" t="s">
        <v>1150</v>
      </c>
      <c r="D350" t="s">
        <v>1631</v>
      </c>
      <c r="E350" t="s">
        <v>1749</v>
      </c>
      <c r="F350" s="4">
        <v>2</v>
      </c>
      <c r="G350">
        <v>85.23</v>
      </c>
      <c r="H350">
        <v>0.13</v>
      </c>
      <c r="I350" t="s">
        <v>1807</v>
      </c>
      <c r="J350">
        <v>148.30019999999999</v>
      </c>
      <c r="K350" t="s">
        <v>1151</v>
      </c>
      <c r="L350">
        <v>37</v>
      </c>
      <c r="M350" t="str">
        <v>Female</v>
      </c>
      <c r="N350" t="str">
        <f>VLOOKUP(C:C,Customer_Dim!B:I,5,1)</f>
        <v>Vincentside</v>
      </c>
      <c r="O350" t="str">
        <f>VLOOKUP(C:C,Customer_Dim!B:I,6,1)</f>
        <v>Ohio</v>
      </c>
      <c r="P350" t="str">
        <f>VLOOKUP(C:C,Customer_Dim!B:I,7,1)</f>
        <v>USA</v>
      </c>
      <c r="Q350" t="str">
        <f>VLOOKUP(C:C,Customer_Dim!B:I,8,1)</f>
        <v>Bronze</v>
      </c>
      <c r="S350">
        <v>2</v>
      </c>
      <c r="T350">
        <v>85.23</v>
      </c>
      <c r="U350">
        <v>0.13</v>
      </c>
      <c r="V350">
        <v>148.30019999999999</v>
      </c>
      <c r="X350" s="4">
        <v>2</v>
      </c>
      <c r="Y350">
        <v>85.23</v>
      </c>
      <c r="Z350">
        <v>0.13</v>
      </c>
      <c r="AA350">
        <v>148.30019999999999</v>
      </c>
    </row>
    <row r="351" spans="1:27" x14ac:dyDescent="0.3">
      <c r="A351" t="s">
        <v>2158</v>
      </c>
      <c r="B351" s="2">
        <v>45748</v>
      </c>
      <c r="C351" t="s">
        <v>974</v>
      </c>
      <c r="D351" t="s">
        <v>1585</v>
      </c>
      <c r="E351" t="s">
        <v>1780</v>
      </c>
      <c r="F351" s="4">
        <v>2</v>
      </c>
      <c r="G351">
        <v>563.29999999999995</v>
      </c>
      <c r="H351">
        <v>0.26</v>
      </c>
      <c r="I351" t="s">
        <v>1807</v>
      </c>
      <c r="J351">
        <v>833.68399999999997</v>
      </c>
      <c r="K351" t="s">
        <v>975</v>
      </c>
      <c r="L351">
        <v>62</v>
      </c>
      <c r="M351" t="str">
        <v>Male</v>
      </c>
      <c r="N351" t="str">
        <f>VLOOKUP(C:C,Customer_Dim!B:I,5,1)</f>
        <v>Brianchester</v>
      </c>
      <c r="O351" t="str">
        <f>VLOOKUP(C:C,Customer_Dim!B:I,6,1)</f>
        <v>Delaware</v>
      </c>
      <c r="P351" t="str">
        <f>VLOOKUP(C:C,Customer_Dim!B:I,7,1)</f>
        <v>USA</v>
      </c>
      <c r="Q351" t="str">
        <f>VLOOKUP(C:C,Customer_Dim!B:I,8,1)</f>
        <v>Silver</v>
      </c>
      <c r="S351">
        <v>2</v>
      </c>
      <c r="T351">
        <v>563.29999999999995</v>
      </c>
      <c r="U351">
        <v>0.26</v>
      </c>
      <c r="V351">
        <v>833.68399999999997</v>
      </c>
      <c r="X351" s="4">
        <v>2</v>
      </c>
      <c r="Y351">
        <v>563.29999999999995</v>
      </c>
      <c r="Z351">
        <v>0.26</v>
      </c>
      <c r="AA351">
        <v>833.68399999999997</v>
      </c>
    </row>
    <row r="352" spans="1:27" x14ac:dyDescent="0.3">
      <c r="A352" t="s">
        <v>2159</v>
      </c>
      <c r="B352" s="2">
        <v>45309</v>
      </c>
      <c r="C352" t="s">
        <v>134</v>
      </c>
      <c r="D352" t="s">
        <v>1691</v>
      </c>
      <c r="E352" t="s">
        <v>1793</v>
      </c>
      <c r="F352" s="4">
        <v>2</v>
      </c>
      <c r="G352">
        <v>827.81</v>
      </c>
      <c r="H352">
        <v>0.04</v>
      </c>
      <c r="I352" t="s">
        <v>1809</v>
      </c>
      <c r="J352">
        <v>1589.3951999999999</v>
      </c>
      <c r="K352" t="s">
        <v>3935</v>
      </c>
      <c r="L352">
        <v>27</v>
      </c>
      <c r="M352" t="str">
        <v>Female</v>
      </c>
      <c r="N352" t="str">
        <f>VLOOKUP(C:C,Customer_Dim!B:I,5,1)</f>
        <v>Tristanton</v>
      </c>
      <c r="O352" t="str">
        <f>VLOOKUP(C:C,Customer_Dim!B:I,6,1)</f>
        <v>Oklahoma</v>
      </c>
      <c r="P352" t="str">
        <f>VLOOKUP(C:C,Customer_Dim!B:I,7,1)</f>
        <v>USA</v>
      </c>
      <c r="Q352" t="str">
        <f>VLOOKUP(C:C,Customer_Dim!B:I,8,1)</f>
        <v>Platinum</v>
      </c>
      <c r="S352">
        <v>2</v>
      </c>
      <c r="T352">
        <v>827.81</v>
      </c>
      <c r="U352">
        <v>0.04</v>
      </c>
      <c r="V352">
        <v>1589.3951999999999</v>
      </c>
      <c r="X352" s="4">
        <v>2</v>
      </c>
      <c r="Y352">
        <v>827.81</v>
      </c>
      <c r="Z352">
        <v>0.04</v>
      </c>
      <c r="AA352">
        <v>1589.3951999999999</v>
      </c>
    </row>
    <row r="353" spans="1:27" x14ac:dyDescent="0.3">
      <c r="A353" t="s">
        <v>2160</v>
      </c>
      <c r="B353" s="2">
        <v>45621</v>
      </c>
      <c r="C353" t="s">
        <v>690</v>
      </c>
      <c r="D353" t="s">
        <v>1555</v>
      </c>
      <c r="E353" t="s">
        <v>1793</v>
      </c>
      <c r="F353" s="4">
        <v>3</v>
      </c>
      <c r="G353">
        <v>877.71</v>
      </c>
      <c r="H353">
        <v>0.12</v>
      </c>
      <c r="I353" t="s">
        <v>1809</v>
      </c>
      <c r="J353">
        <v>2317.1543999999999</v>
      </c>
      <c r="K353" t="s">
        <v>691</v>
      </c>
      <c r="L353">
        <v>50</v>
      </c>
      <c r="M353" t="str">
        <v>Female</v>
      </c>
      <c r="N353" t="str">
        <f>VLOOKUP(C:C,Customer_Dim!B:I,5,1)</f>
        <v>Danielstad</v>
      </c>
      <c r="O353" t="str">
        <f>VLOOKUP(C:C,Customer_Dim!B:I,6,1)</f>
        <v>Montana</v>
      </c>
      <c r="P353" t="str">
        <f>VLOOKUP(C:C,Customer_Dim!B:I,7,1)</f>
        <v>USA</v>
      </c>
      <c r="Q353" t="str">
        <f>VLOOKUP(C:C,Customer_Dim!B:I,8,1)</f>
        <v>Gold</v>
      </c>
      <c r="S353">
        <v>3</v>
      </c>
      <c r="T353">
        <v>877.71</v>
      </c>
      <c r="U353">
        <v>0.12</v>
      </c>
      <c r="V353">
        <v>2317.1543999999999</v>
      </c>
      <c r="X353" s="4">
        <v>3</v>
      </c>
      <c r="Y353">
        <v>877.71</v>
      </c>
      <c r="Z353">
        <v>0.12</v>
      </c>
      <c r="AA353">
        <v>2317.1543999999999</v>
      </c>
    </row>
    <row r="354" spans="1:27" x14ac:dyDescent="0.3">
      <c r="A354" t="s">
        <v>2161</v>
      </c>
      <c r="B354" s="2">
        <v>45603</v>
      </c>
      <c r="C354" t="s">
        <v>814</v>
      </c>
      <c r="D354" t="s">
        <v>1645</v>
      </c>
      <c r="E354" t="s">
        <v>1769</v>
      </c>
      <c r="F354" s="4">
        <v>4</v>
      </c>
      <c r="G354">
        <v>488.56</v>
      </c>
      <c r="H354">
        <v>0.26</v>
      </c>
      <c r="I354" t="s">
        <v>1812</v>
      </c>
      <c r="J354">
        <v>1446.1376</v>
      </c>
      <c r="K354" t="s">
        <v>815</v>
      </c>
      <c r="L354">
        <v>24</v>
      </c>
      <c r="M354" t="str">
        <v>Female</v>
      </c>
      <c r="N354" t="str">
        <f>VLOOKUP(C:C,Customer_Dim!B:I,5,1)</f>
        <v>Karenmouth</v>
      </c>
      <c r="O354" t="str">
        <f>VLOOKUP(C:C,Customer_Dim!B:I,6,1)</f>
        <v>Massachusetts</v>
      </c>
      <c r="P354" t="str">
        <f>VLOOKUP(C:C,Customer_Dim!B:I,7,1)</f>
        <v>USA</v>
      </c>
      <c r="Q354" t="str">
        <f>VLOOKUP(C:C,Customer_Dim!B:I,8,1)</f>
        <v>Silver</v>
      </c>
      <c r="S354">
        <v>4</v>
      </c>
      <c r="T354">
        <v>488.56</v>
      </c>
      <c r="U354">
        <v>0.26</v>
      </c>
      <c r="V354">
        <v>1446.1376</v>
      </c>
      <c r="X354" s="4">
        <v>4</v>
      </c>
      <c r="Y354">
        <v>488.56</v>
      </c>
      <c r="Z354">
        <v>0.26</v>
      </c>
      <c r="AA354">
        <v>1446.1376</v>
      </c>
    </row>
    <row r="355" spans="1:27" x14ac:dyDescent="0.3">
      <c r="A355" t="s">
        <v>2162</v>
      </c>
      <c r="B355" s="2">
        <v>45501</v>
      </c>
      <c r="C355" t="s">
        <v>364</v>
      </c>
      <c r="D355" t="s">
        <v>1581</v>
      </c>
      <c r="E355" t="s">
        <v>1777</v>
      </c>
      <c r="F355" s="4">
        <v>4</v>
      </c>
      <c r="G355">
        <v>175.91</v>
      </c>
      <c r="H355">
        <v>0.13</v>
      </c>
      <c r="I355" t="s">
        <v>1809</v>
      </c>
      <c r="J355">
        <v>612.16679999999997</v>
      </c>
      <c r="K355" t="s">
        <v>365</v>
      </c>
      <c r="L355">
        <v>50</v>
      </c>
      <c r="M355" t="str">
        <v>Female</v>
      </c>
      <c r="N355" t="str">
        <f>VLOOKUP(C:C,Customer_Dim!B:I,5,1)</f>
        <v>South Jenniferville</v>
      </c>
      <c r="O355" t="str">
        <f>VLOOKUP(C:C,Customer_Dim!B:I,6,1)</f>
        <v>Georgia</v>
      </c>
      <c r="P355" t="str">
        <f>VLOOKUP(C:C,Customer_Dim!B:I,7,1)</f>
        <v>USA</v>
      </c>
      <c r="Q355" t="str">
        <f>VLOOKUP(C:C,Customer_Dim!B:I,8,1)</f>
        <v>Silver</v>
      </c>
      <c r="S355">
        <v>4</v>
      </c>
      <c r="T355">
        <v>175.91</v>
      </c>
      <c r="U355">
        <v>0.13</v>
      </c>
      <c r="V355">
        <v>612.16679999999997</v>
      </c>
      <c r="X355" s="4">
        <v>4</v>
      </c>
      <c r="Y355">
        <v>175.91</v>
      </c>
      <c r="Z355">
        <v>0.13</v>
      </c>
      <c r="AA355">
        <v>612.16679999999997</v>
      </c>
    </row>
    <row r="356" spans="1:27" x14ac:dyDescent="0.3">
      <c r="A356" t="s">
        <v>2163</v>
      </c>
      <c r="B356" s="2">
        <v>45398</v>
      </c>
      <c r="C356" t="s">
        <v>788</v>
      </c>
      <c r="D356" t="s">
        <v>1705</v>
      </c>
      <c r="E356" t="s">
        <v>1765</v>
      </c>
      <c r="F356" s="4">
        <v>4</v>
      </c>
      <c r="G356">
        <v>289.66000000000003</v>
      </c>
      <c r="H356">
        <v>0.25</v>
      </c>
      <c r="I356" t="s">
        <v>1812</v>
      </c>
      <c r="J356">
        <v>868.98</v>
      </c>
      <c r="K356" t="s">
        <v>789</v>
      </c>
      <c r="L356">
        <v>41</v>
      </c>
      <c r="M356" t="str">
        <v>Female</v>
      </c>
      <c r="N356" t="str">
        <f>VLOOKUP(C:C,Customer_Dim!B:I,5,1)</f>
        <v>Lake Timothy</v>
      </c>
      <c r="O356" t="str">
        <f>VLOOKUP(C:C,Customer_Dim!B:I,6,1)</f>
        <v>Nevada</v>
      </c>
      <c r="P356" t="str">
        <f>VLOOKUP(C:C,Customer_Dim!B:I,7,1)</f>
        <v>USA</v>
      </c>
      <c r="Q356" t="str">
        <f>VLOOKUP(C:C,Customer_Dim!B:I,8,1)</f>
        <v>Gold</v>
      </c>
      <c r="S356">
        <v>4</v>
      </c>
      <c r="T356">
        <v>289.66000000000003</v>
      </c>
      <c r="U356">
        <v>0.25</v>
      </c>
      <c r="V356">
        <v>868.98</v>
      </c>
      <c r="X356" s="4">
        <v>4</v>
      </c>
      <c r="Y356">
        <v>289.66000000000003</v>
      </c>
      <c r="Z356">
        <v>0.25</v>
      </c>
      <c r="AA356">
        <v>868.98</v>
      </c>
    </row>
    <row r="357" spans="1:27" x14ac:dyDescent="0.3">
      <c r="A357" t="s">
        <v>2164</v>
      </c>
      <c r="B357" s="2">
        <v>45304</v>
      </c>
      <c r="C357" t="s">
        <v>767</v>
      </c>
      <c r="D357" t="s">
        <v>1561</v>
      </c>
      <c r="E357" t="s">
        <v>1784</v>
      </c>
      <c r="F357" s="4">
        <v>2</v>
      </c>
      <c r="G357">
        <v>899.27</v>
      </c>
      <c r="H357">
        <v>0.17</v>
      </c>
      <c r="I357" t="s">
        <v>1807</v>
      </c>
      <c r="J357">
        <v>1492.7882</v>
      </c>
      <c r="K357" t="s">
        <v>768</v>
      </c>
      <c r="L357">
        <v>58</v>
      </c>
      <c r="M357" t="str">
        <v>Female</v>
      </c>
      <c r="N357" t="str">
        <f>VLOOKUP(C:C,Customer_Dim!B:I,5,1)</f>
        <v>Dawsonchester</v>
      </c>
      <c r="O357" t="str">
        <f>VLOOKUP(C:C,Customer_Dim!B:I,6,1)</f>
        <v>Virginia</v>
      </c>
      <c r="P357" t="str">
        <f>VLOOKUP(C:C,Customer_Dim!B:I,7,1)</f>
        <v>USA</v>
      </c>
      <c r="Q357" t="str">
        <f>VLOOKUP(C:C,Customer_Dim!B:I,8,1)</f>
        <v>Platinum</v>
      </c>
      <c r="S357">
        <v>2</v>
      </c>
      <c r="T357">
        <v>899.27</v>
      </c>
      <c r="U357">
        <v>0.17</v>
      </c>
      <c r="V357">
        <v>1492.7882</v>
      </c>
      <c r="X357" s="4">
        <v>2</v>
      </c>
      <c r="Y357">
        <v>899.27</v>
      </c>
      <c r="Z357">
        <v>0.17</v>
      </c>
      <c r="AA357">
        <v>1492.7882</v>
      </c>
    </row>
    <row r="358" spans="1:27" x14ac:dyDescent="0.3">
      <c r="A358" t="s">
        <v>2165</v>
      </c>
      <c r="B358" s="2">
        <v>45299</v>
      </c>
      <c r="C358" t="s">
        <v>238</v>
      </c>
      <c r="D358" t="s">
        <v>1567</v>
      </c>
      <c r="E358" t="s">
        <v>1740</v>
      </c>
      <c r="F358" s="4">
        <v>1</v>
      </c>
      <c r="G358">
        <v>691.38</v>
      </c>
      <c r="H358">
        <v>0.11</v>
      </c>
      <c r="I358" t="s">
        <v>1812</v>
      </c>
      <c r="J358">
        <v>615.32820000000004</v>
      </c>
      <c r="K358" t="s">
        <v>239</v>
      </c>
      <c r="L358">
        <v>27</v>
      </c>
      <c r="M358" t="str">
        <v>Female</v>
      </c>
      <c r="N358" t="str">
        <f>VLOOKUP(C:C,Customer_Dim!B:I,5,1)</f>
        <v>Woodmouth</v>
      </c>
      <c r="O358" t="str">
        <f>VLOOKUP(C:C,Customer_Dim!B:I,6,1)</f>
        <v>Nevada</v>
      </c>
      <c r="P358" t="str">
        <f>VLOOKUP(C:C,Customer_Dim!B:I,7,1)</f>
        <v>USA</v>
      </c>
      <c r="Q358" t="str">
        <f>VLOOKUP(C:C,Customer_Dim!B:I,8,1)</f>
        <v>Silver</v>
      </c>
      <c r="S358">
        <v>1</v>
      </c>
      <c r="T358">
        <v>691.38</v>
      </c>
      <c r="U358">
        <v>0.11</v>
      </c>
      <c r="V358">
        <v>615.32820000000004</v>
      </c>
      <c r="X358" s="4">
        <v>1</v>
      </c>
      <c r="Y358">
        <v>691.38</v>
      </c>
      <c r="Z358">
        <v>0.11</v>
      </c>
      <c r="AA358">
        <v>615.32820000000004</v>
      </c>
    </row>
    <row r="359" spans="1:27" x14ac:dyDescent="0.3">
      <c r="A359" t="s">
        <v>2166</v>
      </c>
      <c r="B359" s="2">
        <v>45564</v>
      </c>
      <c r="C359" t="s">
        <v>545</v>
      </c>
      <c r="D359" t="s">
        <v>1585</v>
      </c>
      <c r="E359" t="s">
        <v>1735</v>
      </c>
      <c r="F359" s="4">
        <v>3</v>
      </c>
      <c r="G359">
        <v>158.72</v>
      </c>
      <c r="H359">
        <v>0.13</v>
      </c>
      <c r="I359" t="s">
        <v>1807</v>
      </c>
      <c r="J359">
        <v>414.25920000000002</v>
      </c>
      <c r="K359" t="s">
        <v>546</v>
      </c>
      <c r="L359">
        <v>25</v>
      </c>
      <c r="M359" t="str">
        <v>Female</v>
      </c>
      <c r="N359" t="str">
        <f>VLOOKUP(C:C,Customer_Dim!B:I,5,1)</f>
        <v>Carolview</v>
      </c>
      <c r="O359" t="str">
        <f>VLOOKUP(C:C,Customer_Dim!B:I,6,1)</f>
        <v>Illinois</v>
      </c>
      <c r="P359" t="str">
        <f>VLOOKUP(C:C,Customer_Dim!B:I,7,1)</f>
        <v>USA</v>
      </c>
      <c r="Q359" t="str">
        <f>VLOOKUP(C:C,Customer_Dim!B:I,8,1)</f>
        <v>Platinum</v>
      </c>
      <c r="S359">
        <v>3</v>
      </c>
      <c r="T359">
        <v>158.72</v>
      </c>
      <c r="U359">
        <v>0.13</v>
      </c>
      <c r="V359">
        <v>414.25920000000002</v>
      </c>
      <c r="X359" s="4">
        <v>3</v>
      </c>
      <c r="Y359">
        <v>158.72</v>
      </c>
      <c r="Z359">
        <v>0.13</v>
      </c>
      <c r="AA359">
        <v>414.25920000000002</v>
      </c>
    </row>
    <row r="360" spans="1:27" x14ac:dyDescent="0.3">
      <c r="A360" t="s">
        <v>2167</v>
      </c>
      <c r="B360" s="2">
        <v>45413</v>
      </c>
      <c r="C360" t="s">
        <v>678</v>
      </c>
      <c r="D360" t="s">
        <v>1651</v>
      </c>
      <c r="E360" t="s">
        <v>1787</v>
      </c>
      <c r="F360" s="4">
        <v>4</v>
      </c>
      <c r="G360">
        <v>537.15</v>
      </c>
      <c r="H360">
        <v>0.06</v>
      </c>
      <c r="I360" t="s">
        <v>1812</v>
      </c>
      <c r="J360">
        <v>2019.684</v>
      </c>
      <c r="K360" t="s">
        <v>679</v>
      </c>
      <c r="L360">
        <v>20</v>
      </c>
      <c r="M360" t="str">
        <v>Female</v>
      </c>
      <c r="N360" t="str">
        <f>VLOOKUP(C:C,Customer_Dim!B:I,5,1)</f>
        <v>Matthewborough</v>
      </c>
      <c r="O360" t="str">
        <f>VLOOKUP(C:C,Customer_Dim!B:I,6,1)</f>
        <v>Georgia</v>
      </c>
      <c r="P360" t="str">
        <f>VLOOKUP(C:C,Customer_Dim!B:I,7,1)</f>
        <v>USA</v>
      </c>
      <c r="Q360" t="str">
        <f>VLOOKUP(C:C,Customer_Dim!B:I,8,1)</f>
        <v>Silver</v>
      </c>
      <c r="S360">
        <v>4</v>
      </c>
      <c r="T360">
        <v>537.15</v>
      </c>
      <c r="U360">
        <v>0.06</v>
      </c>
      <c r="V360">
        <v>2019.684</v>
      </c>
      <c r="X360" s="4">
        <v>4</v>
      </c>
      <c r="Y360">
        <v>537.15</v>
      </c>
      <c r="Z360">
        <v>0.06</v>
      </c>
      <c r="AA360">
        <v>2019.684</v>
      </c>
    </row>
    <row r="361" spans="1:27" x14ac:dyDescent="0.3">
      <c r="A361" t="s">
        <v>2168</v>
      </c>
      <c r="B361" s="2">
        <v>45480</v>
      </c>
      <c r="C361" t="s">
        <v>1281</v>
      </c>
      <c r="D361" t="s">
        <v>1613</v>
      </c>
      <c r="E361" t="s">
        <v>1769</v>
      </c>
      <c r="F361" s="4">
        <v>3</v>
      </c>
      <c r="G361">
        <v>771.7</v>
      </c>
      <c r="H361">
        <v>0.05</v>
      </c>
      <c r="I361" t="s">
        <v>1812</v>
      </c>
      <c r="J361">
        <v>2199.3449999999998</v>
      </c>
      <c r="K361" t="s">
        <v>1282</v>
      </c>
      <c r="L361">
        <v>60</v>
      </c>
      <c r="M361" t="str">
        <v>Female</v>
      </c>
      <c r="N361" t="str">
        <f>VLOOKUP(C:C,Customer_Dim!B:I,5,1)</f>
        <v>Kimburgh</v>
      </c>
      <c r="O361" t="str">
        <f>VLOOKUP(C:C,Customer_Dim!B:I,6,1)</f>
        <v>North Carolina</v>
      </c>
      <c r="P361" t="str">
        <f>VLOOKUP(C:C,Customer_Dim!B:I,7,1)</f>
        <v>USA</v>
      </c>
      <c r="Q361" t="str">
        <f>VLOOKUP(C:C,Customer_Dim!B:I,8,1)</f>
        <v>Bronze</v>
      </c>
      <c r="S361">
        <v>3</v>
      </c>
      <c r="T361">
        <v>771.7</v>
      </c>
      <c r="U361">
        <v>0.05</v>
      </c>
      <c r="V361">
        <v>2199.3449999999998</v>
      </c>
      <c r="X361" s="4">
        <v>3</v>
      </c>
      <c r="Y361">
        <v>771.7</v>
      </c>
      <c r="Z361">
        <v>0.05</v>
      </c>
      <c r="AA361">
        <v>2199.3449999999998</v>
      </c>
    </row>
    <row r="362" spans="1:27" x14ac:dyDescent="0.3">
      <c r="A362" t="s">
        <v>2169</v>
      </c>
      <c r="B362" s="2">
        <v>45610</v>
      </c>
      <c r="C362" t="s">
        <v>376</v>
      </c>
      <c r="D362" t="s">
        <v>1707</v>
      </c>
      <c r="E362" t="s">
        <v>1740</v>
      </c>
      <c r="F362" s="4">
        <v>4</v>
      </c>
      <c r="G362">
        <v>677.25</v>
      </c>
      <c r="H362">
        <v>0.14000000000000001</v>
      </c>
      <c r="I362" t="s">
        <v>1809</v>
      </c>
      <c r="J362">
        <v>2329.7399999999998</v>
      </c>
      <c r="K362" t="s">
        <v>377</v>
      </c>
      <c r="L362">
        <v>27</v>
      </c>
      <c r="M362" t="str">
        <v>Male</v>
      </c>
      <c r="N362" t="str">
        <f>VLOOKUP(C:C,Customer_Dim!B:I,5,1)</f>
        <v>Webstermouth</v>
      </c>
      <c r="O362" t="str">
        <f>VLOOKUP(C:C,Customer_Dim!B:I,6,1)</f>
        <v>New Hampshire</v>
      </c>
      <c r="P362" t="str">
        <f>VLOOKUP(C:C,Customer_Dim!B:I,7,1)</f>
        <v>USA</v>
      </c>
      <c r="Q362" t="str">
        <f>VLOOKUP(C:C,Customer_Dim!B:I,8,1)</f>
        <v>Bronze</v>
      </c>
      <c r="S362">
        <v>4</v>
      </c>
      <c r="T362">
        <v>677.25</v>
      </c>
      <c r="U362">
        <v>0.14000000000000001</v>
      </c>
      <c r="V362">
        <v>2329.7399999999998</v>
      </c>
      <c r="X362" s="4">
        <v>4</v>
      </c>
      <c r="Y362">
        <v>677.25</v>
      </c>
      <c r="Z362">
        <v>0.14000000000000001</v>
      </c>
      <c r="AA362">
        <v>2329.7399999999998</v>
      </c>
    </row>
    <row r="363" spans="1:27" x14ac:dyDescent="0.3">
      <c r="A363" t="s">
        <v>2170</v>
      </c>
      <c r="B363" s="2">
        <v>45763</v>
      </c>
      <c r="C363" t="s">
        <v>358</v>
      </c>
      <c r="D363" t="s">
        <v>1727</v>
      </c>
      <c r="E363" t="s">
        <v>1775</v>
      </c>
      <c r="F363" s="4">
        <v>1</v>
      </c>
      <c r="G363">
        <v>645.48</v>
      </c>
      <c r="H363">
        <v>0.26</v>
      </c>
      <c r="I363" t="s">
        <v>1812</v>
      </c>
      <c r="J363">
        <v>477.65519999999998</v>
      </c>
      <c r="K363" t="s">
        <v>359</v>
      </c>
      <c r="L363">
        <v>21</v>
      </c>
      <c r="M363" t="str">
        <v>Male</v>
      </c>
      <c r="N363" t="str">
        <f>VLOOKUP(C:C,Customer_Dim!B:I,5,1)</f>
        <v>Port Joshuachester</v>
      </c>
      <c r="O363" t="str">
        <f>VLOOKUP(C:C,Customer_Dim!B:I,6,1)</f>
        <v>Pennsylvania</v>
      </c>
      <c r="P363" t="str">
        <f>VLOOKUP(C:C,Customer_Dim!B:I,7,1)</f>
        <v>USA</v>
      </c>
      <c r="Q363" t="str">
        <f>VLOOKUP(C:C,Customer_Dim!B:I,8,1)</f>
        <v>Bronze</v>
      </c>
      <c r="S363">
        <v>1</v>
      </c>
      <c r="T363">
        <v>645.48</v>
      </c>
      <c r="U363">
        <v>0.26</v>
      </c>
      <c r="V363">
        <v>477.65519999999998</v>
      </c>
      <c r="X363" s="4">
        <v>1</v>
      </c>
      <c r="Y363">
        <v>645.48</v>
      </c>
      <c r="Z363">
        <v>0.26</v>
      </c>
      <c r="AA363">
        <v>477.65519999999998</v>
      </c>
    </row>
    <row r="364" spans="1:27" x14ac:dyDescent="0.3">
      <c r="A364" t="s">
        <v>2171</v>
      </c>
      <c r="B364" s="2">
        <v>45856</v>
      </c>
      <c r="C364" t="s">
        <v>1115</v>
      </c>
      <c r="D364" t="s">
        <v>1677</v>
      </c>
      <c r="E364" t="s">
        <v>1744</v>
      </c>
      <c r="F364" s="4">
        <v>2</v>
      </c>
      <c r="G364">
        <v>934</v>
      </c>
      <c r="H364">
        <v>0.3</v>
      </c>
      <c r="I364" t="s">
        <v>1812</v>
      </c>
      <c r="J364">
        <v>1307.5999999999999</v>
      </c>
      <c r="K364" t="s">
        <v>1116</v>
      </c>
      <c r="L364">
        <v>64</v>
      </c>
      <c r="M364" t="str">
        <v>Male</v>
      </c>
      <c r="N364" t="str">
        <f>VLOOKUP(C:C,Customer_Dim!B:I,5,1)</f>
        <v>Andersonside</v>
      </c>
      <c r="O364" t="str">
        <f>VLOOKUP(C:C,Customer_Dim!B:I,6,1)</f>
        <v>Arkansas</v>
      </c>
      <c r="P364" t="str">
        <f>VLOOKUP(C:C,Customer_Dim!B:I,7,1)</f>
        <v>USA</v>
      </c>
      <c r="Q364" t="str">
        <f>VLOOKUP(C:C,Customer_Dim!B:I,8,1)</f>
        <v>Platinum</v>
      </c>
      <c r="S364">
        <v>2</v>
      </c>
      <c r="T364">
        <v>934</v>
      </c>
      <c r="U364">
        <v>0.3</v>
      </c>
      <c r="V364">
        <v>1307.5999999999999</v>
      </c>
      <c r="X364" s="4">
        <v>2</v>
      </c>
      <c r="Y364">
        <v>934</v>
      </c>
      <c r="Z364">
        <v>0.3</v>
      </c>
      <c r="AA364">
        <v>1307.5999999999999</v>
      </c>
    </row>
    <row r="365" spans="1:27" x14ac:dyDescent="0.3">
      <c r="A365" t="s">
        <v>2172</v>
      </c>
      <c r="B365" s="2">
        <v>45712</v>
      </c>
      <c r="C365" t="s">
        <v>1039</v>
      </c>
      <c r="D365" t="s">
        <v>1623</v>
      </c>
      <c r="E365" t="s">
        <v>1744</v>
      </c>
      <c r="F365" s="4">
        <v>1</v>
      </c>
      <c r="G365">
        <v>669.53</v>
      </c>
      <c r="H365">
        <v>0.2</v>
      </c>
      <c r="I365" t="s">
        <v>1807</v>
      </c>
      <c r="J365">
        <v>535.62400000000002</v>
      </c>
      <c r="K365" t="s">
        <v>1040</v>
      </c>
      <c r="L365">
        <v>37</v>
      </c>
      <c r="M365" t="str">
        <v>Male</v>
      </c>
      <c r="N365" t="str">
        <f>VLOOKUP(C:C,Customer_Dim!B:I,5,1)</f>
        <v>Donaldsontown</v>
      </c>
      <c r="O365" t="str">
        <f>VLOOKUP(C:C,Customer_Dim!B:I,6,1)</f>
        <v>Connecticut</v>
      </c>
      <c r="P365" t="str">
        <f>VLOOKUP(C:C,Customer_Dim!B:I,7,1)</f>
        <v>USA</v>
      </c>
      <c r="Q365" t="str">
        <f>VLOOKUP(C:C,Customer_Dim!B:I,8,1)</f>
        <v>Silver</v>
      </c>
      <c r="S365">
        <v>1</v>
      </c>
      <c r="T365">
        <v>669.53</v>
      </c>
      <c r="U365">
        <v>0.2</v>
      </c>
      <c r="V365">
        <v>535.62400000000002</v>
      </c>
      <c r="X365" s="4">
        <v>1</v>
      </c>
      <c r="Y365">
        <v>669.53</v>
      </c>
      <c r="Z365">
        <v>0.2</v>
      </c>
      <c r="AA365">
        <v>535.62400000000002</v>
      </c>
    </row>
    <row r="366" spans="1:27" x14ac:dyDescent="0.3">
      <c r="A366" t="s">
        <v>2173</v>
      </c>
      <c r="B366" s="2">
        <v>45723</v>
      </c>
      <c r="C366" t="s">
        <v>696</v>
      </c>
      <c r="D366" t="s">
        <v>1601</v>
      </c>
      <c r="E366" t="s">
        <v>1793</v>
      </c>
      <c r="F366" s="4">
        <v>1</v>
      </c>
      <c r="G366">
        <v>213.69</v>
      </c>
      <c r="H366">
        <v>0.28000000000000003</v>
      </c>
      <c r="I366" t="s">
        <v>1812</v>
      </c>
      <c r="J366">
        <v>153.85679999999999</v>
      </c>
      <c r="K366" t="s">
        <v>697</v>
      </c>
      <c r="L366">
        <v>42</v>
      </c>
      <c r="M366" t="str">
        <v>Male</v>
      </c>
      <c r="N366" t="str">
        <f>VLOOKUP(C:C,Customer_Dim!B:I,5,1)</f>
        <v>Morrismouth</v>
      </c>
      <c r="O366" t="str">
        <f>VLOOKUP(C:C,Customer_Dim!B:I,6,1)</f>
        <v>California</v>
      </c>
      <c r="P366" t="str">
        <f>VLOOKUP(C:C,Customer_Dim!B:I,7,1)</f>
        <v>USA</v>
      </c>
      <c r="Q366" t="str">
        <f>VLOOKUP(C:C,Customer_Dim!B:I,8,1)</f>
        <v>Platinum</v>
      </c>
      <c r="S366">
        <v>1</v>
      </c>
      <c r="T366">
        <v>213.69</v>
      </c>
      <c r="U366">
        <v>0.28000000000000003</v>
      </c>
      <c r="V366">
        <v>153.85679999999999</v>
      </c>
      <c r="X366" s="4">
        <v>1</v>
      </c>
      <c r="Y366">
        <v>213.69</v>
      </c>
      <c r="Z366">
        <v>0.28000000000000003</v>
      </c>
      <c r="AA366">
        <v>153.85679999999999</v>
      </c>
    </row>
    <row r="367" spans="1:27" x14ac:dyDescent="0.3">
      <c r="A367" t="s">
        <v>2174</v>
      </c>
      <c r="B367" s="2">
        <v>45706</v>
      </c>
      <c r="C367" t="s">
        <v>278</v>
      </c>
      <c r="D367" t="s">
        <v>1573</v>
      </c>
      <c r="E367" t="s">
        <v>1796</v>
      </c>
      <c r="F367" s="4">
        <v>2</v>
      </c>
      <c r="G367">
        <v>99.1</v>
      </c>
      <c r="H367">
        <v>0.2</v>
      </c>
      <c r="I367" t="s">
        <v>1809</v>
      </c>
      <c r="J367">
        <v>158.56</v>
      </c>
      <c r="K367" t="s">
        <v>279</v>
      </c>
      <c r="L367">
        <v>21</v>
      </c>
      <c r="M367" t="str">
        <v>Male</v>
      </c>
      <c r="N367" t="str">
        <f>VLOOKUP(C:C,Customer_Dim!B:I,5,1)</f>
        <v>North Valeriemouth</v>
      </c>
      <c r="O367" t="str">
        <f>VLOOKUP(C:C,Customer_Dim!B:I,6,1)</f>
        <v>Vermont</v>
      </c>
      <c r="P367" t="str">
        <f>VLOOKUP(C:C,Customer_Dim!B:I,7,1)</f>
        <v>USA</v>
      </c>
      <c r="Q367" t="str">
        <f>VLOOKUP(C:C,Customer_Dim!B:I,8,1)</f>
        <v>Gold</v>
      </c>
      <c r="S367">
        <v>2</v>
      </c>
      <c r="T367">
        <v>99.1</v>
      </c>
      <c r="U367">
        <v>0.2</v>
      </c>
      <c r="V367">
        <v>158.56</v>
      </c>
      <c r="X367" s="4">
        <v>2</v>
      </c>
      <c r="Y367">
        <v>99.1</v>
      </c>
      <c r="Z367">
        <v>0.2</v>
      </c>
      <c r="AA367">
        <v>158.56</v>
      </c>
    </row>
    <row r="368" spans="1:27" x14ac:dyDescent="0.3">
      <c r="A368" t="s">
        <v>2175</v>
      </c>
      <c r="B368" s="2">
        <v>45469</v>
      </c>
      <c r="C368" t="s">
        <v>1144</v>
      </c>
      <c r="D368" t="s">
        <v>1605</v>
      </c>
      <c r="E368" t="s">
        <v>1787</v>
      </c>
      <c r="F368" s="4">
        <v>1</v>
      </c>
      <c r="G368">
        <v>628.98</v>
      </c>
      <c r="H368">
        <v>0.03</v>
      </c>
      <c r="I368" t="s">
        <v>1812</v>
      </c>
      <c r="J368">
        <v>610.11059999999998</v>
      </c>
      <c r="K368" t="s">
        <v>1145</v>
      </c>
      <c r="L368">
        <v>21</v>
      </c>
      <c r="M368" t="str">
        <v>Female</v>
      </c>
      <c r="N368" t="str">
        <f>VLOOKUP(C:C,Customer_Dim!B:I,5,1)</f>
        <v>Millston</v>
      </c>
      <c r="O368" t="str">
        <f>VLOOKUP(C:C,Customer_Dim!B:I,6,1)</f>
        <v>Indiana</v>
      </c>
      <c r="P368" t="str">
        <f>VLOOKUP(C:C,Customer_Dim!B:I,7,1)</f>
        <v>USA</v>
      </c>
      <c r="Q368" t="str">
        <f>VLOOKUP(C:C,Customer_Dim!B:I,8,1)</f>
        <v>Silver</v>
      </c>
      <c r="S368">
        <v>1</v>
      </c>
      <c r="T368">
        <v>628.98</v>
      </c>
      <c r="U368">
        <v>0.03</v>
      </c>
      <c r="V368">
        <v>610.11059999999998</v>
      </c>
      <c r="X368" s="4">
        <v>1</v>
      </c>
      <c r="Y368">
        <v>628.98</v>
      </c>
      <c r="Z368">
        <v>0.03</v>
      </c>
      <c r="AA368">
        <v>610.11059999999998</v>
      </c>
    </row>
    <row r="369" spans="1:27" x14ac:dyDescent="0.3">
      <c r="A369" t="s">
        <v>2176</v>
      </c>
      <c r="B369" s="2">
        <v>45711</v>
      </c>
      <c r="C369" t="s">
        <v>304</v>
      </c>
      <c r="D369" t="s">
        <v>1699</v>
      </c>
      <c r="E369" t="s">
        <v>1752</v>
      </c>
      <c r="F369" s="4">
        <v>3</v>
      </c>
      <c r="G369">
        <v>944.64</v>
      </c>
      <c r="H369">
        <v>0.26</v>
      </c>
      <c r="I369" t="s">
        <v>1807</v>
      </c>
      <c r="J369">
        <v>2097.1008000000002</v>
      </c>
      <c r="K369" t="s">
        <v>305</v>
      </c>
      <c r="L369">
        <v>19</v>
      </c>
      <c r="M369" t="str">
        <v>Female</v>
      </c>
      <c r="N369" t="str">
        <f>VLOOKUP(C:C,Customer_Dim!B:I,5,1)</f>
        <v>West Theodorechester</v>
      </c>
      <c r="O369" t="str">
        <f>VLOOKUP(C:C,Customer_Dim!B:I,6,1)</f>
        <v>Pennsylvania</v>
      </c>
      <c r="P369" t="str">
        <f>VLOOKUP(C:C,Customer_Dim!B:I,7,1)</f>
        <v>USA</v>
      </c>
      <c r="Q369" t="str">
        <f>VLOOKUP(C:C,Customer_Dim!B:I,8,1)</f>
        <v>Silver</v>
      </c>
      <c r="S369">
        <v>3</v>
      </c>
      <c r="T369">
        <v>944.64</v>
      </c>
      <c r="U369">
        <v>0.26</v>
      </c>
      <c r="V369">
        <v>2097.1008000000002</v>
      </c>
      <c r="X369" s="4">
        <v>3</v>
      </c>
      <c r="Y369">
        <v>944.64</v>
      </c>
      <c r="Z369">
        <v>0.26</v>
      </c>
      <c r="AA369">
        <v>2097.1008000000002</v>
      </c>
    </row>
    <row r="370" spans="1:27" x14ac:dyDescent="0.3">
      <c r="A370" t="s">
        <v>2177</v>
      </c>
      <c r="B370" s="2">
        <v>45823</v>
      </c>
      <c r="C370" t="s">
        <v>1436</v>
      </c>
      <c r="D370" t="s">
        <v>1717</v>
      </c>
      <c r="E370" t="s">
        <v>1777</v>
      </c>
      <c r="F370" s="4">
        <v>2</v>
      </c>
      <c r="G370">
        <v>121.7</v>
      </c>
      <c r="H370">
        <v>0.06</v>
      </c>
      <c r="I370" t="s">
        <v>1812</v>
      </c>
      <c r="J370">
        <v>228.79599999999999</v>
      </c>
      <c r="K370" t="s">
        <v>1437</v>
      </c>
      <c r="L370">
        <v>42</v>
      </c>
      <c r="M370" t="str">
        <v>Male</v>
      </c>
      <c r="N370" t="str">
        <f>VLOOKUP(C:C,Customer_Dim!B:I,5,1)</f>
        <v>Mcdanielfurt</v>
      </c>
      <c r="O370" t="str">
        <f>VLOOKUP(C:C,Customer_Dim!B:I,6,1)</f>
        <v>Montana</v>
      </c>
      <c r="P370" t="str">
        <f>VLOOKUP(C:C,Customer_Dim!B:I,7,1)</f>
        <v>USA</v>
      </c>
      <c r="Q370" t="str">
        <f>VLOOKUP(C:C,Customer_Dim!B:I,8,1)</f>
        <v>Platinum</v>
      </c>
      <c r="S370">
        <v>2</v>
      </c>
      <c r="T370">
        <v>121.7</v>
      </c>
      <c r="U370">
        <v>0.06</v>
      </c>
      <c r="V370">
        <v>228.79599999999999</v>
      </c>
      <c r="X370" s="4">
        <v>2</v>
      </c>
      <c r="Y370">
        <v>121.7</v>
      </c>
      <c r="Z370">
        <v>0.06</v>
      </c>
      <c r="AA370">
        <v>228.79599999999999</v>
      </c>
    </row>
    <row r="371" spans="1:27" x14ac:dyDescent="0.3">
      <c r="A371" t="s">
        <v>2178</v>
      </c>
      <c r="B371" s="2">
        <v>45217</v>
      </c>
      <c r="C371" t="s">
        <v>1370</v>
      </c>
      <c r="D371" t="s">
        <v>1661</v>
      </c>
      <c r="E371" t="s">
        <v>1749</v>
      </c>
      <c r="F371" s="4">
        <v>4</v>
      </c>
      <c r="G371">
        <v>269.49</v>
      </c>
      <c r="H371">
        <v>7.0000000000000007E-2</v>
      </c>
      <c r="I371" t="s">
        <v>1809</v>
      </c>
      <c r="J371">
        <v>1002.5028</v>
      </c>
      <c r="K371" t="s">
        <v>1371</v>
      </c>
      <c r="L371">
        <v>29</v>
      </c>
      <c r="M371" t="str">
        <v>Male</v>
      </c>
      <c r="N371" t="str">
        <f>VLOOKUP(C:C,Customer_Dim!B:I,5,1)</f>
        <v>Smithville</v>
      </c>
      <c r="O371" t="str">
        <f>VLOOKUP(C:C,Customer_Dim!B:I,6,1)</f>
        <v>Wyoming</v>
      </c>
      <c r="P371" t="str">
        <f>VLOOKUP(C:C,Customer_Dim!B:I,7,1)</f>
        <v>USA</v>
      </c>
      <c r="Q371" t="str">
        <f>VLOOKUP(C:C,Customer_Dim!B:I,8,1)</f>
        <v>Bronze</v>
      </c>
      <c r="S371">
        <v>4</v>
      </c>
      <c r="T371">
        <v>269.49</v>
      </c>
      <c r="U371">
        <v>7.0000000000000007E-2</v>
      </c>
      <c r="V371">
        <v>1002.5028</v>
      </c>
      <c r="X371" s="4">
        <v>4</v>
      </c>
      <c r="Y371">
        <v>269.49</v>
      </c>
      <c r="Z371">
        <v>7.0000000000000007E-2</v>
      </c>
      <c r="AA371">
        <v>1002.5028</v>
      </c>
    </row>
    <row r="372" spans="1:27" x14ac:dyDescent="0.3">
      <c r="A372" t="s">
        <v>2179</v>
      </c>
      <c r="B372" s="2">
        <v>45733</v>
      </c>
      <c r="C372" t="s">
        <v>348</v>
      </c>
      <c r="D372" t="s">
        <v>1575</v>
      </c>
      <c r="E372" t="s">
        <v>1793</v>
      </c>
      <c r="F372" s="4">
        <v>1</v>
      </c>
      <c r="G372">
        <v>678.2</v>
      </c>
      <c r="H372">
        <v>0.14000000000000001</v>
      </c>
      <c r="I372" t="s">
        <v>1807</v>
      </c>
      <c r="J372">
        <v>583.25200000000007</v>
      </c>
      <c r="K372" t="s">
        <v>349</v>
      </c>
      <c r="L372">
        <v>53</v>
      </c>
      <c r="M372" t="str">
        <v>Female</v>
      </c>
      <c r="N372" t="str">
        <f>VLOOKUP(C:C,Customer_Dim!B:I,5,1)</f>
        <v>South Dustin</v>
      </c>
      <c r="O372" t="str">
        <f>VLOOKUP(C:C,Customer_Dim!B:I,6,1)</f>
        <v>Tennessee</v>
      </c>
      <c r="P372" t="str">
        <f>VLOOKUP(C:C,Customer_Dim!B:I,7,1)</f>
        <v>USA</v>
      </c>
      <c r="Q372" t="str">
        <f>VLOOKUP(C:C,Customer_Dim!B:I,8,1)</f>
        <v>Silver</v>
      </c>
      <c r="S372">
        <v>1</v>
      </c>
      <c r="T372">
        <v>678.2</v>
      </c>
      <c r="U372">
        <v>0.14000000000000001</v>
      </c>
      <c r="V372">
        <v>583.25200000000007</v>
      </c>
      <c r="X372" s="4">
        <v>1</v>
      </c>
      <c r="Y372">
        <v>678.2</v>
      </c>
      <c r="Z372">
        <v>0.14000000000000001</v>
      </c>
      <c r="AA372">
        <v>583.25200000000007</v>
      </c>
    </row>
    <row r="373" spans="1:27" x14ac:dyDescent="0.3">
      <c r="A373" t="s">
        <v>2180</v>
      </c>
      <c r="B373" s="2">
        <v>45520</v>
      </c>
      <c r="C373" t="s">
        <v>737</v>
      </c>
      <c r="D373" t="s">
        <v>1711</v>
      </c>
      <c r="E373" t="s">
        <v>1780</v>
      </c>
      <c r="F373" s="4">
        <v>1</v>
      </c>
      <c r="G373">
        <v>752.45</v>
      </c>
      <c r="H373">
        <v>0.21</v>
      </c>
      <c r="I373" t="s">
        <v>1812</v>
      </c>
      <c r="J373">
        <v>594.43550000000005</v>
      </c>
      <c r="K373" t="s">
        <v>738</v>
      </c>
      <c r="L373">
        <v>27</v>
      </c>
      <c r="M373" t="str">
        <v>Female</v>
      </c>
      <c r="N373" t="str">
        <f>VLOOKUP(C:C,Customer_Dim!B:I,5,1)</f>
        <v>Grahamstad</v>
      </c>
      <c r="O373" t="str">
        <f>VLOOKUP(C:C,Customer_Dim!B:I,6,1)</f>
        <v>South Carolina</v>
      </c>
      <c r="P373" t="str">
        <f>VLOOKUP(C:C,Customer_Dim!B:I,7,1)</f>
        <v>USA</v>
      </c>
      <c r="Q373" t="str">
        <f>VLOOKUP(C:C,Customer_Dim!B:I,8,1)</f>
        <v>Bronze</v>
      </c>
      <c r="S373">
        <v>1</v>
      </c>
      <c r="T373">
        <v>752.45</v>
      </c>
      <c r="U373">
        <v>0.21</v>
      </c>
      <c r="V373">
        <v>594.43550000000005</v>
      </c>
      <c r="X373" s="4">
        <v>1</v>
      </c>
      <c r="Y373">
        <v>752.45</v>
      </c>
      <c r="Z373">
        <v>0.21</v>
      </c>
      <c r="AA373">
        <v>594.43550000000005</v>
      </c>
    </row>
    <row r="374" spans="1:27" x14ac:dyDescent="0.3">
      <c r="A374" t="s">
        <v>2181</v>
      </c>
      <c r="B374" s="2">
        <v>45373</v>
      </c>
      <c r="C374" t="s">
        <v>146</v>
      </c>
      <c r="D374" t="s">
        <v>1719</v>
      </c>
      <c r="E374" t="s">
        <v>1780</v>
      </c>
      <c r="F374" s="4">
        <v>2</v>
      </c>
      <c r="G374">
        <v>209.66</v>
      </c>
      <c r="H374">
        <v>0.21</v>
      </c>
      <c r="I374" t="s">
        <v>1807</v>
      </c>
      <c r="J374">
        <v>331.26280000000003</v>
      </c>
      <c r="K374" t="s">
        <v>147</v>
      </c>
      <c r="L374">
        <v>35</v>
      </c>
      <c r="M374" t="str">
        <v>Female</v>
      </c>
      <c r="N374" t="str">
        <f>VLOOKUP(C:C,Customer_Dim!B:I,5,1)</f>
        <v>Brendastad</v>
      </c>
      <c r="O374" t="str">
        <f>VLOOKUP(C:C,Customer_Dim!B:I,6,1)</f>
        <v>South Dakota</v>
      </c>
      <c r="P374" t="str">
        <f>VLOOKUP(C:C,Customer_Dim!B:I,7,1)</f>
        <v>USA</v>
      </c>
      <c r="Q374" t="str">
        <f>VLOOKUP(C:C,Customer_Dim!B:I,8,1)</f>
        <v>Platinum</v>
      </c>
      <c r="S374">
        <v>2</v>
      </c>
      <c r="T374">
        <v>209.66</v>
      </c>
      <c r="U374">
        <v>0.21</v>
      </c>
      <c r="V374">
        <v>331.26280000000003</v>
      </c>
      <c r="X374" s="4">
        <v>2</v>
      </c>
      <c r="Y374">
        <v>209.66</v>
      </c>
      <c r="Z374">
        <v>0.21</v>
      </c>
      <c r="AA374">
        <v>331.26280000000003</v>
      </c>
    </row>
    <row r="375" spans="1:27" x14ac:dyDescent="0.3">
      <c r="A375" t="s">
        <v>2182</v>
      </c>
      <c r="B375" s="2">
        <v>45688</v>
      </c>
      <c r="C375" t="s">
        <v>533</v>
      </c>
      <c r="D375" t="s">
        <v>1725</v>
      </c>
      <c r="E375" t="s">
        <v>1796</v>
      </c>
      <c r="F375" s="4">
        <v>2</v>
      </c>
      <c r="G375">
        <v>739.95</v>
      </c>
      <c r="H375">
        <v>0.1</v>
      </c>
      <c r="I375" t="s">
        <v>1812</v>
      </c>
      <c r="J375">
        <v>1331.91</v>
      </c>
      <c r="K375" t="s">
        <v>534</v>
      </c>
      <c r="L375">
        <v>37</v>
      </c>
      <c r="M375" t="str">
        <v>Male</v>
      </c>
      <c r="N375" t="str">
        <f>VLOOKUP(C:C,Customer_Dim!B:I,5,1)</f>
        <v>Hessmouth</v>
      </c>
      <c r="O375" t="str">
        <f>VLOOKUP(C:C,Customer_Dim!B:I,6,1)</f>
        <v>Arizona</v>
      </c>
      <c r="P375" t="str">
        <f>VLOOKUP(C:C,Customer_Dim!B:I,7,1)</f>
        <v>USA</v>
      </c>
      <c r="Q375" t="str">
        <f>VLOOKUP(C:C,Customer_Dim!B:I,8,1)</f>
        <v>Silver</v>
      </c>
      <c r="S375">
        <v>2</v>
      </c>
      <c r="T375">
        <v>739.95</v>
      </c>
      <c r="U375">
        <v>0.1</v>
      </c>
      <c r="V375">
        <v>1331.91</v>
      </c>
      <c r="X375" s="4">
        <v>2</v>
      </c>
      <c r="Y375">
        <v>739.95</v>
      </c>
      <c r="Z375">
        <v>0.1</v>
      </c>
      <c r="AA375">
        <v>1331.91</v>
      </c>
    </row>
    <row r="376" spans="1:27" x14ac:dyDescent="0.3">
      <c r="A376" t="s">
        <v>2183</v>
      </c>
      <c r="B376" s="2">
        <v>45276</v>
      </c>
      <c r="C376" t="s">
        <v>1430</v>
      </c>
      <c r="D376" t="s">
        <v>1621</v>
      </c>
      <c r="E376" t="s">
        <v>1784</v>
      </c>
      <c r="F376" s="4">
        <v>1</v>
      </c>
      <c r="G376">
        <v>496.19</v>
      </c>
      <c r="H376">
        <v>0.08</v>
      </c>
      <c r="I376" t="s">
        <v>1812</v>
      </c>
      <c r="J376">
        <v>456.4948</v>
      </c>
      <c r="K376" t="s">
        <v>1431</v>
      </c>
      <c r="L376">
        <v>21</v>
      </c>
      <c r="M376" t="str">
        <v>Female</v>
      </c>
      <c r="N376" t="str">
        <f>VLOOKUP(C:C,Customer_Dim!B:I,5,1)</f>
        <v>East Audrey</v>
      </c>
      <c r="O376" t="str">
        <f>VLOOKUP(C:C,Customer_Dim!B:I,6,1)</f>
        <v>Utah</v>
      </c>
      <c r="P376" t="str">
        <f>VLOOKUP(C:C,Customer_Dim!B:I,7,1)</f>
        <v>USA</v>
      </c>
      <c r="Q376" t="str">
        <f>VLOOKUP(C:C,Customer_Dim!B:I,8,1)</f>
        <v>Gold</v>
      </c>
      <c r="S376">
        <v>1</v>
      </c>
      <c r="T376">
        <v>496.19</v>
      </c>
      <c r="U376">
        <v>0.08</v>
      </c>
      <c r="V376">
        <v>456.4948</v>
      </c>
      <c r="X376" s="4">
        <v>1</v>
      </c>
      <c r="Y376">
        <v>496.19</v>
      </c>
      <c r="Z376">
        <v>0.08</v>
      </c>
      <c r="AA376">
        <v>456.4948</v>
      </c>
    </row>
    <row r="377" spans="1:27" x14ac:dyDescent="0.3">
      <c r="A377" t="s">
        <v>2184</v>
      </c>
      <c r="B377" s="2">
        <v>45756</v>
      </c>
      <c r="C377" t="s">
        <v>171</v>
      </c>
      <c r="D377" t="s">
        <v>1548</v>
      </c>
      <c r="E377" t="s">
        <v>1777</v>
      </c>
      <c r="F377" s="4">
        <v>1</v>
      </c>
      <c r="G377">
        <v>306.36</v>
      </c>
      <c r="H377">
        <v>0.01</v>
      </c>
      <c r="I377" t="s">
        <v>1809</v>
      </c>
      <c r="J377">
        <v>303.29640000000001</v>
      </c>
      <c r="K377" t="s">
        <v>172</v>
      </c>
      <c r="L377">
        <v>54</v>
      </c>
      <c r="M377" t="str">
        <v>Male</v>
      </c>
      <c r="N377" t="str">
        <f>VLOOKUP(C:C,Customer_Dim!B:I,5,1)</f>
        <v>Christianstad</v>
      </c>
      <c r="O377" t="str">
        <f>VLOOKUP(C:C,Customer_Dim!B:I,6,1)</f>
        <v>Hawaii</v>
      </c>
      <c r="P377" t="str">
        <f>VLOOKUP(C:C,Customer_Dim!B:I,7,1)</f>
        <v>USA</v>
      </c>
      <c r="Q377" t="str">
        <f>VLOOKUP(C:C,Customer_Dim!B:I,8,1)</f>
        <v>Bronze</v>
      </c>
      <c r="S377">
        <v>1</v>
      </c>
      <c r="T377">
        <v>306.36</v>
      </c>
      <c r="U377">
        <v>0.01</v>
      </c>
      <c r="V377">
        <v>303.29640000000001</v>
      </c>
      <c r="X377" s="4">
        <v>1</v>
      </c>
      <c r="Y377">
        <v>306.36</v>
      </c>
      <c r="Z377">
        <v>0.01</v>
      </c>
      <c r="AA377">
        <v>303.29640000000001</v>
      </c>
    </row>
    <row r="378" spans="1:27" x14ac:dyDescent="0.3">
      <c r="A378" t="s">
        <v>2185</v>
      </c>
      <c r="B378" s="2">
        <v>45309</v>
      </c>
      <c r="C378" t="s">
        <v>412</v>
      </c>
      <c r="D378" t="s">
        <v>1677</v>
      </c>
      <c r="E378" t="s">
        <v>1752</v>
      </c>
      <c r="F378" s="4">
        <v>4</v>
      </c>
      <c r="G378">
        <v>693.16</v>
      </c>
      <c r="H378">
        <v>0.05</v>
      </c>
      <c r="I378" t="s">
        <v>1809</v>
      </c>
      <c r="J378">
        <v>2634.0079999999998</v>
      </c>
      <c r="K378" t="s">
        <v>413</v>
      </c>
      <c r="L378">
        <v>62</v>
      </c>
      <c r="M378" t="str">
        <v>Male</v>
      </c>
      <c r="N378" t="str">
        <f>VLOOKUP(C:C,Customer_Dim!B:I,5,1)</f>
        <v>Lake Tylerfort</v>
      </c>
      <c r="O378" t="str">
        <f>VLOOKUP(C:C,Customer_Dim!B:I,6,1)</f>
        <v>Pennsylvania</v>
      </c>
      <c r="P378" t="str">
        <f>VLOOKUP(C:C,Customer_Dim!B:I,7,1)</f>
        <v>USA</v>
      </c>
      <c r="Q378" t="str">
        <f>VLOOKUP(C:C,Customer_Dim!B:I,8,1)</f>
        <v>Platinum</v>
      </c>
      <c r="S378">
        <v>4</v>
      </c>
      <c r="T378">
        <v>693.16</v>
      </c>
      <c r="U378">
        <v>0.05</v>
      </c>
      <c r="V378">
        <v>2634.0079999999998</v>
      </c>
      <c r="X378" s="4">
        <v>4</v>
      </c>
      <c r="Y378">
        <v>693.16</v>
      </c>
      <c r="Z378">
        <v>0.05</v>
      </c>
      <c r="AA378">
        <v>2634.0079999999998</v>
      </c>
    </row>
    <row r="379" spans="1:27" x14ac:dyDescent="0.3">
      <c r="A379" t="s">
        <v>2186</v>
      </c>
      <c r="B379" s="2">
        <v>45744</v>
      </c>
      <c r="C379" t="s">
        <v>1389</v>
      </c>
      <c r="D379" t="s">
        <v>1697</v>
      </c>
      <c r="E379" t="s">
        <v>1772</v>
      </c>
      <c r="F379" s="4">
        <v>1</v>
      </c>
      <c r="G379">
        <v>995.52</v>
      </c>
      <c r="H379">
        <v>0.22</v>
      </c>
      <c r="I379" t="s">
        <v>1809</v>
      </c>
      <c r="J379">
        <v>776.50559999999996</v>
      </c>
      <c r="K379" t="s">
        <v>1390</v>
      </c>
      <c r="L379">
        <v>59</v>
      </c>
      <c r="M379" t="str">
        <v>Female</v>
      </c>
      <c r="N379" t="str">
        <f>VLOOKUP(C:C,Customer_Dim!B:I,5,1)</f>
        <v>East Yvette</v>
      </c>
      <c r="O379" t="str">
        <f>VLOOKUP(C:C,Customer_Dim!B:I,6,1)</f>
        <v>Illinois</v>
      </c>
      <c r="P379" t="str">
        <f>VLOOKUP(C:C,Customer_Dim!B:I,7,1)</f>
        <v>USA</v>
      </c>
      <c r="Q379" t="str">
        <f>VLOOKUP(C:C,Customer_Dim!B:I,8,1)</f>
        <v>Gold</v>
      </c>
      <c r="S379">
        <v>1</v>
      </c>
      <c r="T379">
        <v>995.52</v>
      </c>
      <c r="U379">
        <v>0.22</v>
      </c>
      <c r="V379">
        <v>776.50559999999996</v>
      </c>
      <c r="X379" s="4">
        <v>1</v>
      </c>
      <c r="Y379">
        <v>995.52</v>
      </c>
      <c r="Z379">
        <v>0.22</v>
      </c>
      <c r="AA379">
        <v>776.50559999999996</v>
      </c>
    </row>
    <row r="380" spans="1:27" x14ac:dyDescent="0.3">
      <c r="A380" t="s">
        <v>2187</v>
      </c>
      <c r="B380" s="2">
        <v>45535</v>
      </c>
      <c r="C380" t="s">
        <v>426</v>
      </c>
      <c r="D380" t="s">
        <v>1543</v>
      </c>
      <c r="E380" t="s">
        <v>1793</v>
      </c>
      <c r="F380" s="4">
        <v>4</v>
      </c>
      <c r="G380">
        <v>241.32</v>
      </c>
      <c r="H380">
        <v>0.28999999999999998</v>
      </c>
      <c r="I380" t="s">
        <v>1812</v>
      </c>
      <c r="J380">
        <v>685.34879999999998</v>
      </c>
      <c r="K380" t="s">
        <v>427</v>
      </c>
      <c r="L380">
        <v>62</v>
      </c>
      <c r="M380" t="str">
        <v>Female</v>
      </c>
      <c r="N380" t="str">
        <f>VLOOKUP(C:C,Customer_Dim!B:I,5,1)</f>
        <v>West Jameston</v>
      </c>
      <c r="O380" t="str">
        <f>VLOOKUP(C:C,Customer_Dim!B:I,6,1)</f>
        <v>Maine</v>
      </c>
      <c r="P380" t="str">
        <f>VLOOKUP(C:C,Customer_Dim!B:I,7,1)</f>
        <v>USA</v>
      </c>
      <c r="Q380" t="str">
        <f>VLOOKUP(C:C,Customer_Dim!B:I,8,1)</f>
        <v>Platinum</v>
      </c>
      <c r="S380">
        <v>4</v>
      </c>
      <c r="T380">
        <v>241.32</v>
      </c>
      <c r="U380">
        <v>0.28999999999999998</v>
      </c>
      <c r="V380">
        <v>685.34879999999998</v>
      </c>
      <c r="X380" s="4">
        <v>4</v>
      </c>
      <c r="Y380">
        <v>241.32</v>
      </c>
      <c r="Z380">
        <v>0.28999999999999998</v>
      </c>
      <c r="AA380">
        <v>685.34879999999998</v>
      </c>
    </row>
    <row r="381" spans="1:27" x14ac:dyDescent="0.3">
      <c r="A381" t="s">
        <v>2188</v>
      </c>
      <c r="B381" s="2">
        <v>45240</v>
      </c>
      <c r="C381" t="s">
        <v>761</v>
      </c>
      <c r="D381" t="s">
        <v>1687</v>
      </c>
      <c r="E381" t="s">
        <v>1740</v>
      </c>
      <c r="F381" s="4">
        <v>3</v>
      </c>
      <c r="G381">
        <v>636.03</v>
      </c>
      <c r="H381">
        <v>0.06</v>
      </c>
      <c r="I381" t="s">
        <v>1812</v>
      </c>
      <c r="J381">
        <v>1793.6045999999999</v>
      </c>
      <c r="K381" t="s">
        <v>762</v>
      </c>
      <c r="L381">
        <v>59</v>
      </c>
      <c r="M381" t="str">
        <v>Female</v>
      </c>
      <c r="N381" t="str">
        <f>VLOOKUP(C:C,Customer_Dim!B:I,5,1)</f>
        <v>Zamoraborough</v>
      </c>
      <c r="O381" t="str">
        <f>VLOOKUP(C:C,Customer_Dim!B:I,6,1)</f>
        <v>Nevada</v>
      </c>
      <c r="P381" t="str">
        <f>VLOOKUP(C:C,Customer_Dim!B:I,7,1)</f>
        <v>USA</v>
      </c>
      <c r="Q381" t="str">
        <f>VLOOKUP(C:C,Customer_Dim!B:I,8,1)</f>
        <v>Platinum</v>
      </c>
      <c r="S381">
        <v>3</v>
      </c>
      <c r="T381">
        <v>636.03</v>
      </c>
      <c r="U381">
        <v>0.06</v>
      </c>
      <c r="V381">
        <v>1793.6045999999999</v>
      </c>
      <c r="X381" s="4">
        <v>3</v>
      </c>
      <c r="Y381">
        <v>636.03</v>
      </c>
      <c r="Z381">
        <v>0.06</v>
      </c>
      <c r="AA381">
        <v>1793.6045999999999</v>
      </c>
    </row>
    <row r="382" spans="1:27" x14ac:dyDescent="0.3">
      <c r="A382" t="s">
        <v>2189</v>
      </c>
      <c r="B382" s="2">
        <v>45275</v>
      </c>
      <c r="C382" t="s">
        <v>339</v>
      </c>
      <c r="D382" t="s">
        <v>1536</v>
      </c>
      <c r="E382" t="s">
        <v>1796</v>
      </c>
      <c r="F382" s="4">
        <v>4</v>
      </c>
      <c r="G382">
        <v>603.30999999999995</v>
      </c>
      <c r="H382">
        <v>0.15</v>
      </c>
      <c r="I382" t="s">
        <v>1807</v>
      </c>
      <c r="J382">
        <v>2051.2539999999999</v>
      </c>
      <c r="K382" t="s">
        <v>340</v>
      </c>
      <c r="L382">
        <v>36</v>
      </c>
      <c r="M382" t="str">
        <v>Male</v>
      </c>
      <c r="N382" t="str">
        <f>VLOOKUP(C:C,Customer_Dim!B:I,5,1)</f>
        <v>Timothyburgh</v>
      </c>
      <c r="O382" t="str">
        <f>VLOOKUP(C:C,Customer_Dim!B:I,6,1)</f>
        <v>Louisiana</v>
      </c>
      <c r="P382" t="str">
        <f>VLOOKUP(C:C,Customer_Dim!B:I,7,1)</f>
        <v>USA</v>
      </c>
      <c r="Q382" t="str">
        <f>VLOOKUP(C:C,Customer_Dim!B:I,8,1)</f>
        <v>Platinum</v>
      </c>
      <c r="S382">
        <v>4</v>
      </c>
      <c r="T382">
        <v>603.30999999999995</v>
      </c>
      <c r="U382">
        <v>0.15</v>
      </c>
      <c r="V382">
        <v>2051.2539999999999</v>
      </c>
      <c r="X382" s="4">
        <v>4</v>
      </c>
      <c r="Y382">
        <v>603.30999999999995</v>
      </c>
      <c r="Z382">
        <v>0.15</v>
      </c>
      <c r="AA382">
        <v>2051.2539999999999</v>
      </c>
    </row>
    <row r="383" spans="1:27" x14ac:dyDescent="0.3">
      <c r="A383" t="s">
        <v>2190</v>
      </c>
      <c r="B383" s="2">
        <v>45427</v>
      </c>
      <c r="C383" t="s">
        <v>272</v>
      </c>
      <c r="D383" t="s">
        <v>1709</v>
      </c>
      <c r="E383" t="s">
        <v>1772</v>
      </c>
      <c r="F383" s="4">
        <v>3</v>
      </c>
      <c r="G383">
        <v>437.96</v>
      </c>
      <c r="H383">
        <v>0.27</v>
      </c>
      <c r="I383" t="s">
        <v>1812</v>
      </c>
      <c r="J383">
        <v>959.13239999999985</v>
      </c>
      <c r="K383" t="s">
        <v>273</v>
      </c>
      <c r="L383">
        <v>37</v>
      </c>
      <c r="M383" t="str">
        <v>Male</v>
      </c>
      <c r="N383" t="str">
        <f>VLOOKUP(C:C,Customer_Dim!B:I,5,1)</f>
        <v>Lake Barryfurt</v>
      </c>
      <c r="O383" t="str">
        <f>VLOOKUP(C:C,Customer_Dim!B:I,6,1)</f>
        <v>California</v>
      </c>
      <c r="P383" t="str">
        <f>VLOOKUP(C:C,Customer_Dim!B:I,7,1)</f>
        <v>USA</v>
      </c>
      <c r="Q383" t="str">
        <f>VLOOKUP(C:C,Customer_Dim!B:I,8,1)</f>
        <v>Gold</v>
      </c>
      <c r="S383">
        <v>3</v>
      </c>
      <c r="T383">
        <v>437.96</v>
      </c>
      <c r="U383">
        <v>0.27</v>
      </c>
      <c r="V383">
        <v>959.13239999999985</v>
      </c>
      <c r="X383" s="4">
        <v>3</v>
      </c>
      <c r="Y383">
        <v>437.96</v>
      </c>
      <c r="Z383">
        <v>0.27</v>
      </c>
      <c r="AA383">
        <v>959.13239999999985</v>
      </c>
    </row>
    <row r="384" spans="1:27" x14ac:dyDescent="0.3">
      <c r="A384" t="s">
        <v>2191</v>
      </c>
      <c r="B384" s="2">
        <v>45322</v>
      </c>
      <c r="C384" t="s">
        <v>672</v>
      </c>
      <c r="D384" t="s">
        <v>1599</v>
      </c>
      <c r="E384" t="s">
        <v>1752</v>
      </c>
      <c r="F384" s="4">
        <v>2</v>
      </c>
      <c r="G384">
        <v>56.91</v>
      </c>
      <c r="H384">
        <v>0.08</v>
      </c>
      <c r="I384" t="s">
        <v>1812</v>
      </c>
      <c r="J384">
        <v>104.7144</v>
      </c>
      <c r="K384" t="s">
        <v>673</v>
      </c>
      <c r="L384">
        <v>50</v>
      </c>
      <c r="M384" t="str">
        <v>Female</v>
      </c>
      <c r="N384" t="str">
        <f>VLOOKUP(C:C,Customer_Dim!B:I,5,1)</f>
        <v>Kathrynview</v>
      </c>
      <c r="O384" t="str">
        <f>VLOOKUP(C:C,Customer_Dim!B:I,6,1)</f>
        <v>Louisiana</v>
      </c>
      <c r="P384" t="str">
        <f>VLOOKUP(C:C,Customer_Dim!B:I,7,1)</f>
        <v>USA</v>
      </c>
      <c r="Q384" t="str">
        <f>VLOOKUP(C:C,Customer_Dim!B:I,8,1)</f>
        <v>Platinum</v>
      </c>
      <c r="S384">
        <v>2</v>
      </c>
      <c r="T384">
        <v>56.91</v>
      </c>
      <c r="U384">
        <v>0.08</v>
      </c>
      <c r="V384">
        <v>104.7144</v>
      </c>
      <c r="X384" s="4">
        <v>2</v>
      </c>
      <c r="Y384">
        <v>56.91</v>
      </c>
      <c r="Z384">
        <v>0.08</v>
      </c>
      <c r="AA384">
        <v>104.7144</v>
      </c>
    </row>
    <row r="385" spans="1:27" x14ac:dyDescent="0.3">
      <c r="A385" t="s">
        <v>2192</v>
      </c>
      <c r="B385" s="2">
        <v>45266</v>
      </c>
      <c r="C385" t="s">
        <v>1039</v>
      </c>
      <c r="D385" t="s">
        <v>1683</v>
      </c>
      <c r="E385" t="s">
        <v>1759</v>
      </c>
      <c r="F385" s="4">
        <v>1</v>
      </c>
      <c r="G385">
        <v>141.79</v>
      </c>
      <c r="H385">
        <v>0.1</v>
      </c>
      <c r="I385" t="s">
        <v>1807</v>
      </c>
      <c r="J385">
        <v>127.611</v>
      </c>
      <c r="K385" t="s">
        <v>1040</v>
      </c>
      <c r="L385">
        <v>37</v>
      </c>
      <c r="M385" t="str">
        <v>Male</v>
      </c>
      <c r="N385" t="str">
        <f>VLOOKUP(C:C,Customer_Dim!B:I,5,1)</f>
        <v>Donaldsontown</v>
      </c>
      <c r="O385" t="str">
        <f>VLOOKUP(C:C,Customer_Dim!B:I,6,1)</f>
        <v>Connecticut</v>
      </c>
      <c r="P385" t="str">
        <f>VLOOKUP(C:C,Customer_Dim!B:I,7,1)</f>
        <v>USA</v>
      </c>
      <c r="Q385" t="str">
        <f>VLOOKUP(C:C,Customer_Dim!B:I,8,1)</f>
        <v>Silver</v>
      </c>
      <c r="S385">
        <v>1</v>
      </c>
      <c r="T385">
        <v>141.79</v>
      </c>
      <c r="U385">
        <v>0.1</v>
      </c>
      <c r="V385">
        <v>127.611</v>
      </c>
      <c r="X385" s="4">
        <v>1</v>
      </c>
      <c r="Y385">
        <v>141.79</v>
      </c>
      <c r="Z385">
        <v>0.1</v>
      </c>
      <c r="AA385">
        <v>127.611</v>
      </c>
    </row>
    <row r="386" spans="1:27" x14ac:dyDescent="0.3">
      <c r="A386" t="s">
        <v>2193</v>
      </c>
      <c r="B386" s="2">
        <v>45302</v>
      </c>
      <c r="C386" t="s">
        <v>1470</v>
      </c>
      <c r="D386" t="s">
        <v>1548</v>
      </c>
      <c r="E386" t="s">
        <v>1784</v>
      </c>
      <c r="F386" s="4">
        <v>4</v>
      </c>
      <c r="G386">
        <v>355.14</v>
      </c>
      <c r="H386">
        <v>0.16</v>
      </c>
      <c r="I386" t="s">
        <v>1812</v>
      </c>
      <c r="J386">
        <v>1193.2704000000001</v>
      </c>
      <c r="K386" t="s">
        <v>1259</v>
      </c>
      <c r="L386">
        <v>32</v>
      </c>
      <c r="M386" t="str">
        <v>Male</v>
      </c>
      <c r="N386" t="str">
        <f>VLOOKUP(C:C,Customer_Dim!B:I,5,1)</f>
        <v>East Rodney</v>
      </c>
      <c r="O386" t="str">
        <f>VLOOKUP(C:C,Customer_Dim!B:I,6,1)</f>
        <v>Nevada</v>
      </c>
      <c r="P386" t="str">
        <f>VLOOKUP(C:C,Customer_Dim!B:I,7,1)</f>
        <v>USA</v>
      </c>
      <c r="Q386" t="str">
        <f>VLOOKUP(C:C,Customer_Dim!B:I,8,1)</f>
        <v>Gold</v>
      </c>
      <c r="S386">
        <v>4</v>
      </c>
      <c r="T386">
        <v>355.14</v>
      </c>
      <c r="U386">
        <v>0.16</v>
      </c>
      <c r="V386">
        <v>1193.2704000000001</v>
      </c>
      <c r="X386" s="4">
        <v>4</v>
      </c>
      <c r="Y386">
        <v>355.14</v>
      </c>
      <c r="Z386">
        <v>0.16</v>
      </c>
      <c r="AA386">
        <v>1193.2704000000001</v>
      </c>
    </row>
    <row r="387" spans="1:27" x14ac:dyDescent="0.3">
      <c r="A387" t="s">
        <v>2194</v>
      </c>
      <c r="B387" s="2">
        <v>45907</v>
      </c>
      <c r="C387" t="s">
        <v>681</v>
      </c>
      <c r="D387" t="s">
        <v>1607</v>
      </c>
      <c r="E387" t="s">
        <v>1759</v>
      </c>
      <c r="F387" s="4">
        <v>4</v>
      </c>
      <c r="G387">
        <v>960.38</v>
      </c>
      <c r="H387">
        <v>0.15</v>
      </c>
      <c r="I387" t="s">
        <v>1812</v>
      </c>
      <c r="J387">
        <v>3265.2919999999999</v>
      </c>
      <c r="K387" t="s">
        <v>682</v>
      </c>
      <c r="L387">
        <v>63</v>
      </c>
      <c r="M387" t="str">
        <v>Female</v>
      </c>
      <c r="N387" t="str">
        <f>VLOOKUP(C:C,Customer_Dim!B:I,5,1)</f>
        <v>Garzafort</v>
      </c>
      <c r="O387" t="str">
        <f>VLOOKUP(C:C,Customer_Dim!B:I,6,1)</f>
        <v>Delaware</v>
      </c>
      <c r="P387" t="str">
        <f>VLOOKUP(C:C,Customer_Dim!B:I,7,1)</f>
        <v>USA</v>
      </c>
      <c r="Q387" t="str">
        <f>VLOOKUP(C:C,Customer_Dim!B:I,8,1)</f>
        <v>Silver</v>
      </c>
      <c r="S387">
        <v>4</v>
      </c>
      <c r="T387">
        <v>960.38</v>
      </c>
      <c r="U387">
        <v>0.15</v>
      </c>
      <c r="V387">
        <v>3265.2919999999999</v>
      </c>
      <c r="X387" s="4">
        <v>4</v>
      </c>
      <c r="Y387">
        <v>960.38</v>
      </c>
      <c r="Z387">
        <v>0.15</v>
      </c>
      <c r="AA387">
        <v>3265.2919999999999</v>
      </c>
    </row>
    <row r="388" spans="1:27" x14ac:dyDescent="0.3">
      <c r="A388" t="s">
        <v>2195</v>
      </c>
      <c r="B388" s="2">
        <v>45433</v>
      </c>
      <c r="C388" t="s">
        <v>1290</v>
      </c>
      <c r="D388" t="s">
        <v>1669</v>
      </c>
      <c r="E388" t="s">
        <v>1787</v>
      </c>
      <c r="F388" s="4">
        <v>3</v>
      </c>
      <c r="G388">
        <v>847.21</v>
      </c>
      <c r="H388">
        <v>0.06</v>
      </c>
      <c r="I388" t="s">
        <v>1809</v>
      </c>
      <c r="J388">
        <v>2389.1322</v>
      </c>
      <c r="K388" t="s">
        <v>3949</v>
      </c>
      <c r="L388">
        <v>45</v>
      </c>
      <c r="M388" t="str">
        <v>Female</v>
      </c>
      <c r="N388" t="str">
        <f>VLOOKUP(C:C,Customer_Dim!B:I,5,1)</f>
        <v>New Benjamin</v>
      </c>
      <c r="O388" t="str">
        <f>VLOOKUP(C:C,Customer_Dim!B:I,6,1)</f>
        <v>North Carolina</v>
      </c>
      <c r="P388" t="str">
        <f>VLOOKUP(C:C,Customer_Dim!B:I,7,1)</f>
        <v>USA</v>
      </c>
      <c r="Q388" t="str">
        <f>VLOOKUP(C:C,Customer_Dim!B:I,8,1)</f>
        <v>Bronze</v>
      </c>
      <c r="S388">
        <v>3</v>
      </c>
      <c r="T388">
        <v>847.21</v>
      </c>
      <c r="U388">
        <v>0.06</v>
      </c>
      <c r="V388">
        <v>2389.1322</v>
      </c>
      <c r="X388" s="4">
        <v>3</v>
      </c>
      <c r="Y388">
        <v>847.21</v>
      </c>
      <c r="Z388">
        <v>0.06</v>
      </c>
      <c r="AA388">
        <v>2389.1322</v>
      </c>
    </row>
    <row r="389" spans="1:27" x14ac:dyDescent="0.3">
      <c r="A389" t="s">
        <v>2196</v>
      </c>
      <c r="B389" s="2">
        <v>45892</v>
      </c>
      <c r="C389" t="s">
        <v>241</v>
      </c>
      <c r="D389" t="s">
        <v>1691</v>
      </c>
      <c r="E389" t="s">
        <v>1772</v>
      </c>
      <c r="F389" s="4">
        <v>4</v>
      </c>
      <c r="G389">
        <v>773.81</v>
      </c>
      <c r="H389">
        <v>0.08</v>
      </c>
      <c r="I389" t="s">
        <v>1812</v>
      </c>
      <c r="J389">
        <v>2847.6208000000001</v>
      </c>
      <c r="K389" t="s">
        <v>242</v>
      </c>
      <c r="L389">
        <v>58</v>
      </c>
      <c r="M389" t="str">
        <v>Male</v>
      </c>
      <c r="N389" t="str">
        <f>VLOOKUP(C:C,Customer_Dim!B:I,5,1)</f>
        <v>South Aaronside</v>
      </c>
      <c r="O389" t="str">
        <f>VLOOKUP(C:C,Customer_Dim!B:I,6,1)</f>
        <v>New Hampshire</v>
      </c>
      <c r="P389" t="str">
        <f>VLOOKUP(C:C,Customer_Dim!B:I,7,1)</f>
        <v>USA</v>
      </c>
      <c r="Q389" t="str">
        <f>VLOOKUP(C:C,Customer_Dim!B:I,8,1)</f>
        <v>Silver</v>
      </c>
      <c r="S389">
        <v>4</v>
      </c>
      <c r="T389">
        <v>773.81</v>
      </c>
      <c r="U389">
        <v>0.08</v>
      </c>
      <c r="V389">
        <v>2847.6208000000001</v>
      </c>
      <c r="X389" s="4">
        <v>4</v>
      </c>
      <c r="Y389">
        <v>773.81</v>
      </c>
      <c r="Z389">
        <v>0.08</v>
      </c>
      <c r="AA389">
        <v>2847.6208000000001</v>
      </c>
    </row>
    <row r="390" spans="1:27" x14ac:dyDescent="0.3">
      <c r="A390" t="s">
        <v>2197</v>
      </c>
      <c r="B390" s="2">
        <v>45780</v>
      </c>
      <c r="C390" t="s">
        <v>8</v>
      </c>
      <c r="D390" t="s">
        <v>1657</v>
      </c>
      <c r="E390" t="s">
        <v>1787</v>
      </c>
      <c r="F390" s="4">
        <v>1</v>
      </c>
      <c r="G390">
        <v>664.71</v>
      </c>
      <c r="H390">
        <v>0.1</v>
      </c>
      <c r="I390" t="s">
        <v>1809</v>
      </c>
      <c r="J390">
        <v>598.23900000000003</v>
      </c>
      <c r="K390" t="s">
        <v>3952</v>
      </c>
      <c r="L390" t="e">
        <v>#N/A</v>
      </c>
      <c r="M390" t="e">
        <v>#N/A</v>
      </c>
      <c r="N390" t="str">
        <f>VLOOKUP(C:C,Customer_Dim!B:I,5,1)</f>
        <v>Donaldton</v>
      </c>
      <c r="O390" t="str">
        <f>VLOOKUP(C:C,Customer_Dim!B:I,6,1)</f>
        <v>North Carolina</v>
      </c>
      <c r="P390" t="str">
        <f>VLOOKUP(C:C,Customer_Dim!B:I,7,1)</f>
        <v>USA</v>
      </c>
      <c r="Q390" t="str">
        <f>VLOOKUP(C:C,Customer_Dim!B:I,8,1)</f>
        <v>Platinum</v>
      </c>
      <c r="S390">
        <v>1</v>
      </c>
      <c r="T390">
        <v>664.71</v>
      </c>
      <c r="U390">
        <v>0.1</v>
      </c>
      <c r="V390">
        <v>598.23900000000003</v>
      </c>
      <c r="X390" s="4">
        <v>1</v>
      </c>
      <c r="Y390">
        <v>664.71</v>
      </c>
      <c r="Z390">
        <v>0.1</v>
      </c>
      <c r="AA390">
        <v>598.23900000000003</v>
      </c>
    </row>
    <row r="391" spans="1:27" x14ac:dyDescent="0.3">
      <c r="A391" t="s">
        <v>2198</v>
      </c>
      <c r="B391" s="2">
        <v>45233</v>
      </c>
      <c r="C391" t="s">
        <v>1078</v>
      </c>
      <c r="D391" t="s">
        <v>1605</v>
      </c>
      <c r="E391" t="s">
        <v>1762</v>
      </c>
      <c r="F391" s="4">
        <v>4</v>
      </c>
      <c r="G391">
        <v>482.06</v>
      </c>
      <c r="H391">
        <v>7.0000000000000007E-2</v>
      </c>
      <c r="I391" t="s">
        <v>1809</v>
      </c>
      <c r="J391">
        <v>1793.2632000000001</v>
      </c>
      <c r="K391" t="s">
        <v>3946</v>
      </c>
      <c r="L391">
        <v>55</v>
      </c>
      <c r="M391" t="str">
        <v>Male</v>
      </c>
      <c r="N391" t="str">
        <f>VLOOKUP(C:C,Customer_Dim!B:I,5,1)</f>
        <v>Peggystad</v>
      </c>
      <c r="O391" t="str">
        <f>VLOOKUP(C:C,Customer_Dim!B:I,6,1)</f>
        <v>Connecticut</v>
      </c>
      <c r="P391" t="str">
        <f>VLOOKUP(C:C,Customer_Dim!B:I,7,1)</f>
        <v>USA</v>
      </c>
      <c r="Q391" t="str">
        <f>VLOOKUP(C:C,Customer_Dim!B:I,8,1)</f>
        <v>Gold</v>
      </c>
      <c r="S391">
        <v>4</v>
      </c>
      <c r="T391">
        <v>482.06</v>
      </c>
      <c r="U391">
        <v>7.0000000000000007E-2</v>
      </c>
      <c r="V391">
        <v>1793.2632000000001</v>
      </c>
      <c r="X391" s="4">
        <v>4</v>
      </c>
      <c r="Y391">
        <v>482.06</v>
      </c>
      <c r="Z391">
        <v>7.0000000000000007E-2</v>
      </c>
      <c r="AA391">
        <v>1793.2632000000001</v>
      </c>
    </row>
    <row r="392" spans="1:27" x14ac:dyDescent="0.3">
      <c r="A392" t="s">
        <v>2199</v>
      </c>
      <c r="B392" s="2">
        <v>45742</v>
      </c>
      <c r="C392" t="s">
        <v>316</v>
      </c>
      <c r="D392" t="s">
        <v>1645</v>
      </c>
      <c r="E392" t="s">
        <v>1749</v>
      </c>
      <c r="F392" s="4">
        <v>4</v>
      </c>
      <c r="G392">
        <v>995.55</v>
      </c>
      <c r="H392">
        <v>0.19</v>
      </c>
      <c r="I392" t="s">
        <v>1809</v>
      </c>
      <c r="J392">
        <v>3225.5819999999999</v>
      </c>
      <c r="K392" t="s">
        <v>317</v>
      </c>
      <c r="L392">
        <v>58</v>
      </c>
      <c r="M392" t="str">
        <v>Female</v>
      </c>
      <c r="N392" t="str">
        <f>VLOOKUP(C:C,Customer_Dim!B:I,5,1)</f>
        <v>New Gabrielleville</v>
      </c>
      <c r="O392" t="str">
        <f>VLOOKUP(C:C,Customer_Dim!B:I,6,1)</f>
        <v>Wisconsin</v>
      </c>
      <c r="P392" t="str">
        <f>VLOOKUP(C:C,Customer_Dim!B:I,7,1)</f>
        <v>USA</v>
      </c>
      <c r="Q392" t="str">
        <f>VLOOKUP(C:C,Customer_Dim!B:I,8,1)</f>
        <v>Platinum</v>
      </c>
      <c r="S392">
        <v>4</v>
      </c>
      <c r="T392">
        <v>995.55</v>
      </c>
      <c r="U392">
        <v>0.19</v>
      </c>
      <c r="V392">
        <v>3225.5819999999999</v>
      </c>
      <c r="X392" s="4">
        <v>4</v>
      </c>
      <c r="Y392">
        <v>995.55</v>
      </c>
      <c r="Z392">
        <v>0.19</v>
      </c>
      <c r="AA392">
        <v>3225.5819999999999</v>
      </c>
    </row>
    <row r="393" spans="1:27" x14ac:dyDescent="0.3">
      <c r="A393" t="s">
        <v>2200</v>
      </c>
      <c r="B393" s="2">
        <v>45478</v>
      </c>
      <c r="C393" t="s">
        <v>473</v>
      </c>
      <c r="D393" t="s">
        <v>1717</v>
      </c>
      <c r="E393" t="s">
        <v>1780</v>
      </c>
      <c r="F393" s="4">
        <v>2</v>
      </c>
      <c r="G393">
        <v>153.84</v>
      </c>
      <c r="H393">
        <v>0.27</v>
      </c>
      <c r="I393" t="s">
        <v>1809</v>
      </c>
      <c r="J393">
        <v>224.60640000000001</v>
      </c>
      <c r="K393" t="s">
        <v>474</v>
      </c>
      <c r="L393">
        <v>37</v>
      </c>
      <c r="M393" t="str">
        <v>Male</v>
      </c>
      <c r="N393" t="str">
        <f>VLOOKUP(C:C,Customer_Dim!B:I,5,1)</f>
        <v>Port Denise</v>
      </c>
      <c r="O393" t="str">
        <f>VLOOKUP(C:C,Customer_Dim!B:I,6,1)</f>
        <v>California</v>
      </c>
      <c r="P393" t="str">
        <f>VLOOKUP(C:C,Customer_Dim!B:I,7,1)</f>
        <v>USA</v>
      </c>
      <c r="Q393" t="str">
        <f>VLOOKUP(C:C,Customer_Dim!B:I,8,1)</f>
        <v>Bronze</v>
      </c>
      <c r="S393">
        <v>2</v>
      </c>
      <c r="T393">
        <v>153.84</v>
      </c>
      <c r="U393">
        <v>0.27</v>
      </c>
      <c r="V393">
        <v>224.60640000000001</v>
      </c>
      <c r="X393" s="4">
        <v>2</v>
      </c>
      <c r="Y393">
        <v>153.84</v>
      </c>
      <c r="Z393">
        <v>0.27</v>
      </c>
      <c r="AA393">
        <v>224.60640000000001</v>
      </c>
    </row>
    <row r="394" spans="1:27" x14ac:dyDescent="0.3">
      <c r="A394" t="s">
        <v>2201</v>
      </c>
      <c r="B394" s="2">
        <v>45789</v>
      </c>
      <c r="C394" t="s">
        <v>509</v>
      </c>
      <c r="D394" t="s">
        <v>1687</v>
      </c>
      <c r="E394" t="s">
        <v>1759</v>
      </c>
      <c r="F394" s="4">
        <v>3</v>
      </c>
      <c r="G394">
        <v>362.11</v>
      </c>
      <c r="H394">
        <v>0.23</v>
      </c>
      <c r="I394" t="s">
        <v>1812</v>
      </c>
      <c r="J394">
        <v>836.47409999999991</v>
      </c>
      <c r="K394" t="s">
        <v>510</v>
      </c>
      <c r="L394">
        <v>35</v>
      </c>
      <c r="M394" t="str">
        <v>Female</v>
      </c>
      <c r="N394" t="str">
        <f>VLOOKUP(C:C,Customer_Dim!B:I,5,1)</f>
        <v>New Leahfurt</v>
      </c>
      <c r="O394" t="str">
        <f>VLOOKUP(C:C,Customer_Dim!B:I,6,1)</f>
        <v>North Dakota</v>
      </c>
      <c r="P394" t="str">
        <f>VLOOKUP(C:C,Customer_Dim!B:I,7,1)</f>
        <v>USA</v>
      </c>
      <c r="Q394" t="str">
        <f>VLOOKUP(C:C,Customer_Dim!B:I,8,1)</f>
        <v>Bronze</v>
      </c>
      <c r="S394">
        <v>3</v>
      </c>
      <c r="T394">
        <v>362.11</v>
      </c>
      <c r="U394">
        <v>0.23</v>
      </c>
      <c r="V394">
        <v>836.47409999999991</v>
      </c>
      <c r="X394" s="4">
        <v>3</v>
      </c>
      <c r="Y394">
        <v>362.11</v>
      </c>
      <c r="Z394">
        <v>0.23</v>
      </c>
      <c r="AA394">
        <v>836.47409999999991</v>
      </c>
    </row>
    <row r="395" spans="1:27" x14ac:dyDescent="0.3">
      <c r="A395" t="s">
        <v>2202</v>
      </c>
      <c r="B395" s="2">
        <v>45561</v>
      </c>
      <c r="C395" t="s">
        <v>1439</v>
      </c>
      <c r="D395" t="s">
        <v>1617</v>
      </c>
      <c r="E395" t="s">
        <v>1765</v>
      </c>
      <c r="F395" s="4">
        <v>3</v>
      </c>
      <c r="G395">
        <v>112.26</v>
      </c>
      <c r="H395">
        <v>0.11</v>
      </c>
      <c r="I395" t="s">
        <v>1807</v>
      </c>
      <c r="J395">
        <v>299.73419999999999</v>
      </c>
      <c r="K395" t="s">
        <v>1440</v>
      </c>
      <c r="L395">
        <v>53</v>
      </c>
      <c r="M395" t="str">
        <v>Male</v>
      </c>
      <c r="N395" t="str">
        <f>VLOOKUP(C:C,Customer_Dim!B:I,5,1)</f>
        <v>Tylermouth</v>
      </c>
      <c r="O395" t="str">
        <f>VLOOKUP(C:C,Customer_Dim!B:I,6,1)</f>
        <v>Massachusetts</v>
      </c>
      <c r="P395" t="str">
        <f>VLOOKUP(C:C,Customer_Dim!B:I,7,1)</f>
        <v>USA</v>
      </c>
      <c r="Q395" t="str">
        <f>VLOOKUP(C:C,Customer_Dim!B:I,8,1)</f>
        <v>Silver</v>
      </c>
      <c r="S395">
        <v>3</v>
      </c>
      <c r="T395">
        <v>112.26</v>
      </c>
      <c r="U395">
        <v>0.11</v>
      </c>
      <c r="V395">
        <v>299.73419999999999</v>
      </c>
      <c r="X395" s="4">
        <v>3</v>
      </c>
      <c r="Y395">
        <v>112.26</v>
      </c>
      <c r="Z395">
        <v>0.11</v>
      </c>
      <c r="AA395">
        <v>299.73419999999999</v>
      </c>
    </row>
    <row r="396" spans="1:27" x14ac:dyDescent="0.3">
      <c r="A396" t="s">
        <v>2203</v>
      </c>
      <c r="B396" s="2">
        <v>45378</v>
      </c>
      <c r="C396" t="s">
        <v>657</v>
      </c>
      <c r="D396" t="s">
        <v>1719</v>
      </c>
      <c r="E396" t="s">
        <v>1796</v>
      </c>
      <c r="F396" s="4">
        <v>2</v>
      </c>
      <c r="G396">
        <v>962.81</v>
      </c>
      <c r="H396">
        <v>0.06</v>
      </c>
      <c r="I396" t="s">
        <v>1812</v>
      </c>
      <c r="J396">
        <v>1810.0827999999999</v>
      </c>
      <c r="K396" t="s">
        <v>658</v>
      </c>
      <c r="L396">
        <v>52</v>
      </c>
      <c r="M396" t="str">
        <v>Male</v>
      </c>
      <c r="N396" t="str">
        <f>VLOOKUP(C:C,Customer_Dim!B:I,5,1)</f>
        <v>Johnsonland</v>
      </c>
      <c r="O396" t="str">
        <f>VLOOKUP(C:C,Customer_Dim!B:I,6,1)</f>
        <v>Iowa</v>
      </c>
      <c r="P396" t="str">
        <f>VLOOKUP(C:C,Customer_Dim!B:I,7,1)</f>
        <v>USA</v>
      </c>
      <c r="Q396" t="str">
        <f>VLOOKUP(C:C,Customer_Dim!B:I,8,1)</f>
        <v>Platinum</v>
      </c>
      <c r="S396">
        <v>2</v>
      </c>
      <c r="T396">
        <v>962.81</v>
      </c>
      <c r="U396">
        <v>0.06</v>
      </c>
      <c r="V396">
        <v>1810.0827999999999</v>
      </c>
      <c r="X396" s="4">
        <v>2</v>
      </c>
      <c r="Y396">
        <v>962.81</v>
      </c>
      <c r="Z396">
        <v>0.06</v>
      </c>
      <c r="AA396">
        <v>1810.0827999999999</v>
      </c>
    </row>
    <row r="397" spans="1:27" x14ac:dyDescent="0.3">
      <c r="A397" t="s">
        <v>2204</v>
      </c>
      <c r="B397" s="2">
        <v>45308</v>
      </c>
      <c r="C397" t="s">
        <v>687</v>
      </c>
      <c r="D397" t="s">
        <v>1573</v>
      </c>
      <c r="E397" t="s">
        <v>1735</v>
      </c>
      <c r="F397" s="4">
        <v>4</v>
      </c>
      <c r="G397">
        <v>276.23</v>
      </c>
      <c r="H397">
        <v>0.12</v>
      </c>
      <c r="I397" t="s">
        <v>1807</v>
      </c>
      <c r="J397">
        <v>972.32960000000003</v>
      </c>
      <c r="K397" t="s">
        <v>688</v>
      </c>
      <c r="L397">
        <v>61</v>
      </c>
      <c r="M397" t="str">
        <v>Male</v>
      </c>
      <c r="N397" t="str">
        <f>VLOOKUP(C:C,Customer_Dim!B:I,5,1)</f>
        <v>West Markport</v>
      </c>
      <c r="O397" t="str">
        <f>VLOOKUP(C:C,Customer_Dim!B:I,6,1)</f>
        <v>North Dakota</v>
      </c>
      <c r="P397" t="str">
        <f>VLOOKUP(C:C,Customer_Dim!B:I,7,1)</f>
        <v>USA</v>
      </c>
      <c r="Q397" t="str">
        <f>VLOOKUP(C:C,Customer_Dim!B:I,8,1)</f>
        <v>Platinum</v>
      </c>
      <c r="S397">
        <v>4</v>
      </c>
      <c r="T397">
        <v>276.23</v>
      </c>
      <c r="U397">
        <v>0.12</v>
      </c>
      <c r="V397">
        <v>972.32960000000003</v>
      </c>
      <c r="X397" s="4">
        <v>4</v>
      </c>
      <c r="Y397">
        <v>276.23</v>
      </c>
      <c r="Z397">
        <v>0.12</v>
      </c>
      <c r="AA397">
        <v>972.32960000000003</v>
      </c>
    </row>
    <row r="398" spans="1:27" x14ac:dyDescent="0.3">
      <c r="A398" t="s">
        <v>2205</v>
      </c>
      <c r="B398" s="2">
        <v>45407</v>
      </c>
      <c r="C398" t="s">
        <v>71</v>
      </c>
      <c r="D398" t="s">
        <v>1567</v>
      </c>
      <c r="E398" t="s">
        <v>1782</v>
      </c>
      <c r="F398" s="4">
        <v>3</v>
      </c>
      <c r="G398">
        <v>991.37</v>
      </c>
      <c r="H398">
        <v>0.1</v>
      </c>
      <c r="I398" t="s">
        <v>1809</v>
      </c>
      <c r="J398">
        <v>2676.6990000000001</v>
      </c>
      <c r="K398" t="s">
        <v>72</v>
      </c>
      <c r="L398">
        <v>24</v>
      </c>
      <c r="M398" t="str">
        <v>Female</v>
      </c>
      <c r="N398" t="str">
        <f>VLOOKUP(C:C,Customer_Dim!B:I,5,1)</f>
        <v>Lawsonhaven</v>
      </c>
      <c r="O398" t="str">
        <f>VLOOKUP(C:C,Customer_Dim!B:I,6,1)</f>
        <v>Washington</v>
      </c>
      <c r="P398" t="str">
        <f>VLOOKUP(C:C,Customer_Dim!B:I,7,1)</f>
        <v>USA</v>
      </c>
      <c r="Q398" t="str">
        <f>VLOOKUP(C:C,Customer_Dim!B:I,8,1)</f>
        <v>Platinum</v>
      </c>
      <c r="S398">
        <v>3</v>
      </c>
      <c r="T398">
        <v>991.37</v>
      </c>
      <c r="U398">
        <v>0.1</v>
      </c>
      <c r="V398">
        <v>2676.6990000000001</v>
      </c>
      <c r="X398" s="4">
        <v>3</v>
      </c>
      <c r="Y398">
        <v>991.37</v>
      </c>
      <c r="Z398">
        <v>0.1</v>
      </c>
      <c r="AA398">
        <v>2676.6990000000001</v>
      </c>
    </row>
    <row r="399" spans="1:27" x14ac:dyDescent="0.3">
      <c r="A399" t="s">
        <v>2206</v>
      </c>
      <c r="B399" s="2">
        <v>45929</v>
      </c>
      <c r="C399" t="s">
        <v>554</v>
      </c>
      <c r="D399" t="s">
        <v>1573</v>
      </c>
      <c r="E399" t="s">
        <v>1780</v>
      </c>
      <c r="F399" s="4">
        <v>3</v>
      </c>
      <c r="G399">
        <v>977.47</v>
      </c>
      <c r="H399">
        <v>0.05</v>
      </c>
      <c r="I399" t="s">
        <v>1807</v>
      </c>
      <c r="J399">
        <v>2785.7894999999999</v>
      </c>
      <c r="K399" t="s">
        <v>555</v>
      </c>
      <c r="L399">
        <v>64</v>
      </c>
      <c r="M399" t="str">
        <v>Male</v>
      </c>
      <c r="N399" t="str">
        <f>VLOOKUP(C:C,Customer_Dim!B:I,5,1)</f>
        <v>Robertview</v>
      </c>
      <c r="O399" t="str">
        <f>VLOOKUP(C:C,Customer_Dim!B:I,6,1)</f>
        <v>Florida</v>
      </c>
      <c r="P399" t="str">
        <f>VLOOKUP(C:C,Customer_Dim!B:I,7,1)</f>
        <v>USA</v>
      </c>
      <c r="Q399" t="str">
        <f>VLOOKUP(C:C,Customer_Dim!B:I,8,1)</f>
        <v>Platinum</v>
      </c>
      <c r="S399">
        <v>3</v>
      </c>
      <c r="T399">
        <v>977.47</v>
      </c>
      <c r="U399">
        <v>0.05</v>
      </c>
      <c r="V399">
        <v>2785.7894999999999</v>
      </c>
      <c r="X399" s="4">
        <v>3</v>
      </c>
      <c r="Y399">
        <v>977.47</v>
      </c>
      <c r="Z399">
        <v>0.05</v>
      </c>
      <c r="AA399">
        <v>2785.7894999999999</v>
      </c>
    </row>
    <row r="400" spans="1:27" x14ac:dyDescent="0.3">
      <c r="A400" t="s">
        <v>2207</v>
      </c>
      <c r="B400" s="2">
        <v>45844</v>
      </c>
      <c r="C400" t="s">
        <v>666</v>
      </c>
      <c r="D400" t="s">
        <v>1719</v>
      </c>
      <c r="E400" t="s">
        <v>1777</v>
      </c>
      <c r="F400" s="4">
        <v>2</v>
      </c>
      <c r="G400">
        <v>308.7</v>
      </c>
      <c r="H400">
        <v>0.2</v>
      </c>
      <c r="I400" t="s">
        <v>1809</v>
      </c>
      <c r="J400">
        <v>493.92</v>
      </c>
      <c r="K400" t="s">
        <v>667</v>
      </c>
      <c r="L400">
        <v>28</v>
      </c>
      <c r="M400" t="str">
        <v>Female</v>
      </c>
      <c r="N400" t="str">
        <f>VLOOKUP(C:C,Customer_Dim!B:I,5,1)</f>
        <v>Brownshire</v>
      </c>
      <c r="O400" t="str">
        <f>VLOOKUP(C:C,Customer_Dim!B:I,6,1)</f>
        <v>Tennessee</v>
      </c>
      <c r="P400" t="str">
        <f>VLOOKUP(C:C,Customer_Dim!B:I,7,1)</f>
        <v>USA</v>
      </c>
      <c r="Q400" t="str">
        <f>VLOOKUP(C:C,Customer_Dim!B:I,8,1)</f>
        <v>Silver</v>
      </c>
      <c r="S400">
        <v>2</v>
      </c>
      <c r="T400">
        <v>308.7</v>
      </c>
      <c r="U400">
        <v>0.2</v>
      </c>
      <c r="V400">
        <v>493.92</v>
      </c>
      <c r="X400" s="4">
        <v>2</v>
      </c>
      <c r="Y400">
        <v>308.7</v>
      </c>
      <c r="Z400">
        <v>0.2</v>
      </c>
      <c r="AA400">
        <v>493.92</v>
      </c>
    </row>
    <row r="401" spans="1:27" x14ac:dyDescent="0.3">
      <c r="A401" t="s">
        <v>2208</v>
      </c>
      <c r="B401" s="2">
        <v>45579</v>
      </c>
      <c r="C401" t="s">
        <v>146</v>
      </c>
      <c r="D401" t="s">
        <v>1540</v>
      </c>
      <c r="E401" t="s">
        <v>1787</v>
      </c>
      <c r="F401" s="4">
        <v>2</v>
      </c>
      <c r="G401">
        <v>733.87</v>
      </c>
      <c r="H401">
        <v>0.1</v>
      </c>
      <c r="I401" t="s">
        <v>1809</v>
      </c>
      <c r="J401">
        <v>1320.9659999999999</v>
      </c>
      <c r="K401" t="s">
        <v>147</v>
      </c>
      <c r="L401">
        <v>35</v>
      </c>
      <c r="M401" t="str">
        <v>Female</v>
      </c>
      <c r="N401" t="str">
        <f>VLOOKUP(C:C,Customer_Dim!B:I,5,1)</f>
        <v>Brendastad</v>
      </c>
      <c r="O401" t="str">
        <f>VLOOKUP(C:C,Customer_Dim!B:I,6,1)</f>
        <v>South Dakota</v>
      </c>
      <c r="P401" t="str">
        <f>VLOOKUP(C:C,Customer_Dim!B:I,7,1)</f>
        <v>USA</v>
      </c>
      <c r="Q401" t="str">
        <f>VLOOKUP(C:C,Customer_Dim!B:I,8,1)</f>
        <v>Platinum</v>
      </c>
      <c r="S401">
        <v>2</v>
      </c>
      <c r="T401">
        <v>733.87</v>
      </c>
      <c r="U401">
        <v>0.1</v>
      </c>
      <c r="V401">
        <v>1320.9659999999999</v>
      </c>
      <c r="X401" s="4">
        <v>2</v>
      </c>
      <c r="Y401">
        <v>733.87</v>
      </c>
      <c r="Z401">
        <v>0.1</v>
      </c>
      <c r="AA401">
        <v>1320.9659999999999</v>
      </c>
    </row>
    <row r="402" spans="1:27" x14ac:dyDescent="0.3">
      <c r="A402" t="s">
        <v>2209</v>
      </c>
      <c r="B402" s="2">
        <v>45227</v>
      </c>
      <c r="C402" t="s">
        <v>336</v>
      </c>
      <c r="D402" t="s">
        <v>1569</v>
      </c>
      <c r="E402" t="s">
        <v>1787</v>
      </c>
      <c r="F402" s="4">
        <v>2</v>
      </c>
      <c r="G402">
        <v>22.47</v>
      </c>
      <c r="H402">
        <v>0.22</v>
      </c>
      <c r="I402" t="s">
        <v>1809</v>
      </c>
      <c r="J402">
        <v>35.053199999999997</v>
      </c>
      <c r="K402" t="s">
        <v>337</v>
      </c>
      <c r="L402">
        <v>30</v>
      </c>
      <c r="M402" t="str">
        <v>Female</v>
      </c>
      <c r="N402" t="str">
        <f>VLOOKUP(C:C,Customer_Dim!B:I,5,1)</f>
        <v>West Bobbyshire</v>
      </c>
      <c r="O402" t="str">
        <f>VLOOKUP(C:C,Customer_Dim!B:I,6,1)</f>
        <v>New York</v>
      </c>
      <c r="P402" t="str">
        <f>VLOOKUP(C:C,Customer_Dim!B:I,7,1)</f>
        <v>USA</v>
      </c>
      <c r="Q402" t="str">
        <f>VLOOKUP(C:C,Customer_Dim!B:I,8,1)</f>
        <v>Platinum</v>
      </c>
      <c r="S402">
        <v>2</v>
      </c>
      <c r="T402">
        <v>22.47</v>
      </c>
      <c r="U402">
        <v>0.22</v>
      </c>
      <c r="V402">
        <v>35.053199999999997</v>
      </c>
      <c r="X402" s="4">
        <v>2</v>
      </c>
      <c r="Y402">
        <v>22.47</v>
      </c>
      <c r="Z402">
        <v>0.22</v>
      </c>
      <c r="AA402">
        <v>35.053199999999997</v>
      </c>
    </row>
    <row r="403" spans="1:27" x14ac:dyDescent="0.3">
      <c r="A403" t="s">
        <v>2210</v>
      </c>
      <c r="B403" s="2">
        <v>45380</v>
      </c>
      <c r="C403" t="s">
        <v>1080</v>
      </c>
      <c r="D403" t="s">
        <v>1645</v>
      </c>
      <c r="E403" t="s">
        <v>1780</v>
      </c>
      <c r="F403" s="4">
        <v>4</v>
      </c>
      <c r="G403">
        <v>651.36</v>
      </c>
      <c r="H403">
        <v>0.13</v>
      </c>
      <c r="I403" t="s">
        <v>1807</v>
      </c>
      <c r="J403">
        <v>2266.7328000000002</v>
      </c>
      <c r="K403" t="s">
        <v>1081</v>
      </c>
      <c r="L403">
        <v>31</v>
      </c>
      <c r="M403" t="str">
        <v>Male</v>
      </c>
      <c r="N403" t="str">
        <f>VLOOKUP(C:C,Customer_Dim!B:I,5,1)</f>
        <v>Shannonview</v>
      </c>
      <c r="O403" t="str">
        <f>VLOOKUP(C:C,Customer_Dim!B:I,6,1)</f>
        <v>Pennsylvania</v>
      </c>
      <c r="P403" t="str">
        <f>VLOOKUP(C:C,Customer_Dim!B:I,7,1)</f>
        <v>USA</v>
      </c>
      <c r="Q403" t="str">
        <f>VLOOKUP(C:C,Customer_Dim!B:I,8,1)</f>
        <v>Silver</v>
      </c>
      <c r="S403">
        <v>4</v>
      </c>
      <c r="T403">
        <v>651.36</v>
      </c>
      <c r="U403">
        <v>0.13</v>
      </c>
      <c r="V403">
        <v>2266.7328000000002</v>
      </c>
      <c r="X403" s="4">
        <v>4</v>
      </c>
      <c r="Y403">
        <v>651.36</v>
      </c>
      <c r="Z403">
        <v>0.13</v>
      </c>
      <c r="AA403">
        <v>2266.7328000000002</v>
      </c>
    </row>
    <row r="404" spans="1:27" x14ac:dyDescent="0.3">
      <c r="A404" t="s">
        <v>2211</v>
      </c>
      <c r="B404" s="2">
        <v>45817</v>
      </c>
      <c r="C404" t="s">
        <v>928</v>
      </c>
      <c r="D404" t="s">
        <v>1559</v>
      </c>
      <c r="E404" t="s">
        <v>1772</v>
      </c>
      <c r="F404" s="4">
        <v>1</v>
      </c>
      <c r="G404">
        <v>753.39</v>
      </c>
      <c r="H404">
        <v>0.04</v>
      </c>
      <c r="I404" t="s">
        <v>1812</v>
      </c>
      <c r="J404">
        <v>723.25439999999992</v>
      </c>
      <c r="K404" t="s">
        <v>929</v>
      </c>
      <c r="L404">
        <v>47</v>
      </c>
      <c r="M404" t="str">
        <v>Female</v>
      </c>
      <c r="N404" t="str">
        <f>VLOOKUP(C:C,Customer_Dim!B:I,5,1)</f>
        <v>South David</v>
      </c>
      <c r="O404" t="str">
        <f>VLOOKUP(C:C,Customer_Dim!B:I,6,1)</f>
        <v>West Virginia</v>
      </c>
      <c r="P404" t="str">
        <f>VLOOKUP(C:C,Customer_Dim!B:I,7,1)</f>
        <v>USA</v>
      </c>
      <c r="Q404" t="str">
        <f>VLOOKUP(C:C,Customer_Dim!B:I,8,1)</f>
        <v>Bronze</v>
      </c>
      <c r="S404">
        <v>1</v>
      </c>
      <c r="T404">
        <v>753.39</v>
      </c>
      <c r="U404">
        <v>0.04</v>
      </c>
      <c r="V404">
        <v>723.25439999999992</v>
      </c>
      <c r="X404" s="4">
        <v>1</v>
      </c>
      <c r="Y404">
        <v>753.39</v>
      </c>
      <c r="Z404">
        <v>0.04</v>
      </c>
      <c r="AA404">
        <v>723.25439999999992</v>
      </c>
    </row>
    <row r="405" spans="1:27" x14ac:dyDescent="0.3">
      <c r="A405" t="s">
        <v>2212</v>
      </c>
      <c r="B405" s="2">
        <v>45576</v>
      </c>
      <c r="C405" t="s">
        <v>651</v>
      </c>
      <c r="D405" t="s">
        <v>1673</v>
      </c>
      <c r="E405" t="s">
        <v>1777</v>
      </c>
      <c r="F405" s="4">
        <v>4</v>
      </c>
      <c r="G405">
        <v>849.17</v>
      </c>
      <c r="H405">
        <v>0.12</v>
      </c>
      <c r="I405" t="s">
        <v>1812</v>
      </c>
      <c r="J405">
        <v>2989.0783999999999</v>
      </c>
      <c r="K405" t="s">
        <v>652</v>
      </c>
      <c r="L405">
        <v>37</v>
      </c>
      <c r="M405" t="str">
        <v>Female</v>
      </c>
      <c r="N405" t="str">
        <f>VLOOKUP(C:C,Customer_Dim!B:I,5,1)</f>
        <v>New Logan</v>
      </c>
      <c r="O405" t="str">
        <f>VLOOKUP(C:C,Customer_Dim!B:I,6,1)</f>
        <v>Michigan</v>
      </c>
      <c r="P405" t="str">
        <f>VLOOKUP(C:C,Customer_Dim!B:I,7,1)</f>
        <v>USA</v>
      </c>
      <c r="Q405" t="str">
        <f>VLOOKUP(C:C,Customer_Dim!B:I,8,1)</f>
        <v>Bronze</v>
      </c>
      <c r="S405">
        <v>4</v>
      </c>
      <c r="T405">
        <v>849.17</v>
      </c>
      <c r="U405">
        <v>0.12</v>
      </c>
      <c r="V405">
        <v>2989.0783999999999</v>
      </c>
      <c r="X405" s="4">
        <v>4</v>
      </c>
      <c r="Y405">
        <v>849.17</v>
      </c>
      <c r="Z405">
        <v>0.12</v>
      </c>
      <c r="AA405">
        <v>2989.0783999999999</v>
      </c>
    </row>
    <row r="406" spans="1:27" x14ac:dyDescent="0.3">
      <c r="A406" t="s">
        <v>2213</v>
      </c>
      <c r="B406" s="2">
        <v>45495</v>
      </c>
      <c r="C406" t="s">
        <v>1171</v>
      </c>
      <c r="D406" t="s">
        <v>1571</v>
      </c>
      <c r="E406" t="s">
        <v>1735</v>
      </c>
      <c r="F406" s="4">
        <v>4</v>
      </c>
      <c r="G406">
        <v>585.45000000000005</v>
      </c>
      <c r="H406">
        <v>0.25</v>
      </c>
      <c r="I406" t="s">
        <v>1812</v>
      </c>
      <c r="J406">
        <v>1756.35</v>
      </c>
      <c r="K406" t="s">
        <v>1172</v>
      </c>
      <c r="L406">
        <v>23</v>
      </c>
      <c r="M406" t="str">
        <v>Male</v>
      </c>
      <c r="N406" t="str">
        <f>VLOOKUP(C:C,Customer_Dim!B:I,5,1)</f>
        <v>West Jeffreyburgh</v>
      </c>
      <c r="O406" t="str">
        <f>VLOOKUP(C:C,Customer_Dim!B:I,6,1)</f>
        <v>Iowa</v>
      </c>
      <c r="P406" t="str">
        <f>VLOOKUP(C:C,Customer_Dim!B:I,7,1)</f>
        <v>USA</v>
      </c>
      <c r="Q406" t="str">
        <f>VLOOKUP(C:C,Customer_Dim!B:I,8,1)</f>
        <v>Gold</v>
      </c>
      <c r="S406">
        <v>4</v>
      </c>
      <c r="T406">
        <v>585.45000000000005</v>
      </c>
      <c r="U406">
        <v>0.25</v>
      </c>
      <c r="V406">
        <v>1756.35</v>
      </c>
      <c r="X406" s="4">
        <v>4</v>
      </c>
      <c r="Y406">
        <v>585.45000000000005</v>
      </c>
      <c r="Z406">
        <v>0.25</v>
      </c>
      <c r="AA406">
        <v>1756.35</v>
      </c>
    </row>
    <row r="407" spans="1:27" x14ac:dyDescent="0.3">
      <c r="A407" t="s">
        <v>2214</v>
      </c>
      <c r="B407" s="2">
        <v>45628</v>
      </c>
      <c r="C407" t="s">
        <v>1450</v>
      </c>
      <c r="D407" t="s">
        <v>1681</v>
      </c>
      <c r="E407" t="s">
        <v>1787</v>
      </c>
      <c r="F407" s="4">
        <v>1</v>
      </c>
      <c r="G407">
        <v>745.15</v>
      </c>
      <c r="H407">
        <v>0.25</v>
      </c>
      <c r="I407" t="s">
        <v>1812</v>
      </c>
      <c r="J407">
        <v>558.86249999999995</v>
      </c>
      <c r="K407" t="s">
        <v>1451</v>
      </c>
      <c r="L407">
        <v>41</v>
      </c>
      <c r="M407" t="str">
        <v>Female</v>
      </c>
      <c r="N407" t="str">
        <f>VLOOKUP(C:C,Customer_Dim!B:I,5,1)</f>
        <v>Anthonymouth</v>
      </c>
      <c r="O407" t="str">
        <f>VLOOKUP(C:C,Customer_Dim!B:I,6,1)</f>
        <v>Oklahoma</v>
      </c>
      <c r="P407" t="str">
        <f>VLOOKUP(C:C,Customer_Dim!B:I,7,1)</f>
        <v>USA</v>
      </c>
      <c r="Q407" t="str">
        <f>VLOOKUP(C:C,Customer_Dim!B:I,8,1)</f>
        <v>Gold</v>
      </c>
      <c r="S407">
        <v>1</v>
      </c>
      <c r="T407">
        <v>745.15</v>
      </c>
      <c r="U407">
        <v>0.25</v>
      </c>
      <c r="V407">
        <v>558.86249999999995</v>
      </c>
      <c r="X407" s="4">
        <v>1</v>
      </c>
      <c r="Y407">
        <v>745.15</v>
      </c>
      <c r="Z407">
        <v>0.25</v>
      </c>
      <c r="AA407">
        <v>558.86249999999995</v>
      </c>
    </row>
    <row r="408" spans="1:27" x14ac:dyDescent="0.3">
      <c r="A408" t="s">
        <v>2215</v>
      </c>
      <c r="B408" s="2">
        <v>45244</v>
      </c>
      <c r="C408" t="s">
        <v>188</v>
      </c>
      <c r="D408" t="s">
        <v>1729</v>
      </c>
      <c r="E408" t="s">
        <v>1744</v>
      </c>
      <c r="F408" s="4">
        <v>1</v>
      </c>
      <c r="G408">
        <v>848.69</v>
      </c>
      <c r="H408">
        <v>0.04</v>
      </c>
      <c r="I408" t="s">
        <v>1812</v>
      </c>
      <c r="J408">
        <v>814.74239999999998</v>
      </c>
      <c r="K408" t="s">
        <v>189</v>
      </c>
      <c r="L408">
        <v>23</v>
      </c>
      <c r="M408" t="str">
        <v>Female</v>
      </c>
      <c r="N408" t="str">
        <f>VLOOKUP(C:C,Customer_Dim!B:I,5,1)</f>
        <v>Gregoryview</v>
      </c>
      <c r="O408" t="str">
        <f>VLOOKUP(C:C,Customer_Dim!B:I,6,1)</f>
        <v>Illinois</v>
      </c>
      <c r="P408" t="str">
        <f>VLOOKUP(C:C,Customer_Dim!B:I,7,1)</f>
        <v>USA</v>
      </c>
      <c r="Q408" t="str">
        <f>VLOOKUP(C:C,Customer_Dim!B:I,8,1)</f>
        <v>Gold</v>
      </c>
      <c r="S408">
        <v>1</v>
      </c>
      <c r="T408">
        <v>848.69</v>
      </c>
      <c r="U408">
        <v>0.04</v>
      </c>
      <c r="V408">
        <v>814.74239999999998</v>
      </c>
      <c r="X408" s="4">
        <v>1</v>
      </c>
      <c r="Y408">
        <v>848.69</v>
      </c>
      <c r="Z408">
        <v>0.04</v>
      </c>
      <c r="AA408">
        <v>814.74239999999998</v>
      </c>
    </row>
    <row r="409" spans="1:27" x14ac:dyDescent="0.3">
      <c r="A409" t="s">
        <v>2216</v>
      </c>
      <c r="B409" s="2">
        <v>45336</v>
      </c>
      <c r="C409" t="s">
        <v>1269</v>
      </c>
      <c r="D409" t="s">
        <v>1671</v>
      </c>
      <c r="E409" t="s">
        <v>1782</v>
      </c>
      <c r="F409" s="4">
        <v>2</v>
      </c>
      <c r="G409">
        <v>247.67</v>
      </c>
      <c r="H409">
        <v>0.1</v>
      </c>
      <c r="I409" t="s">
        <v>1809</v>
      </c>
      <c r="J409">
        <v>445.80599999999998</v>
      </c>
      <c r="K409" t="s">
        <v>1270</v>
      </c>
      <c r="L409">
        <v>35</v>
      </c>
      <c r="M409" t="str">
        <v>Female</v>
      </c>
      <c r="N409" t="str">
        <f>VLOOKUP(C:C,Customer_Dim!B:I,5,1)</f>
        <v>Andrewsfurt</v>
      </c>
      <c r="O409" t="str">
        <f>VLOOKUP(C:C,Customer_Dim!B:I,6,1)</f>
        <v>Idaho</v>
      </c>
      <c r="P409" t="str">
        <f>VLOOKUP(C:C,Customer_Dim!B:I,7,1)</f>
        <v>USA</v>
      </c>
      <c r="Q409" t="str">
        <f>VLOOKUP(C:C,Customer_Dim!B:I,8,1)</f>
        <v>Bronze</v>
      </c>
      <c r="S409">
        <v>2</v>
      </c>
      <c r="T409">
        <v>247.67</v>
      </c>
      <c r="U409">
        <v>0.1</v>
      </c>
      <c r="V409">
        <v>445.80599999999998</v>
      </c>
      <c r="X409" s="4">
        <v>2</v>
      </c>
      <c r="Y409">
        <v>247.67</v>
      </c>
      <c r="Z409">
        <v>0.1</v>
      </c>
      <c r="AA409">
        <v>445.80599999999998</v>
      </c>
    </row>
    <row r="410" spans="1:27" x14ac:dyDescent="0.3">
      <c r="A410" t="s">
        <v>2217</v>
      </c>
      <c r="B410" s="2">
        <v>45465</v>
      </c>
      <c r="C410" t="s">
        <v>152</v>
      </c>
      <c r="D410" t="s">
        <v>1679</v>
      </c>
      <c r="E410" t="s">
        <v>1749</v>
      </c>
      <c r="F410" s="4">
        <v>3</v>
      </c>
      <c r="G410">
        <v>220.51</v>
      </c>
      <c r="H410">
        <v>0.02</v>
      </c>
      <c r="I410" t="s">
        <v>1809</v>
      </c>
      <c r="J410">
        <v>648.29939999999999</v>
      </c>
      <c r="K410" t="s">
        <v>153</v>
      </c>
      <c r="L410">
        <v>50</v>
      </c>
      <c r="M410" t="str">
        <v>Male</v>
      </c>
      <c r="N410" t="str">
        <f>VLOOKUP(C:C,Customer_Dim!B:I,5,1)</f>
        <v>Darleneton</v>
      </c>
      <c r="O410" t="str">
        <f>VLOOKUP(C:C,Customer_Dim!B:I,6,1)</f>
        <v>Michigan</v>
      </c>
      <c r="P410" t="str">
        <f>VLOOKUP(C:C,Customer_Dim!B:I,7,1)</f>
        <v>USA</v>
      </c>
      <c r="Q410" t="str">
        <f>VLOOKUP(C:C,Customer_Dim!B:I,8,1)</f>
        <v>Gold</v>
      </c>
      <c r="S410">
        <v>3</v>
      </c>
      <c r="T410">
        <v>220.51</v>
      </c>
      <c r="U410">
        <v>0.02</v>
      </c>
      <c r="V410">
        <v>648.29939999999999</v>
      </c>
      <c r="X410" s="4">
        <v>3</v>
      </c>
      <c r="Y410">
        <v>220.51</v>
      </c>
      <c r="Z410">
        <v>0.02</v>
      </c>
      <c r="AA410">
        <v>648.29939999999999</v>
      </c>
    </row>
    <row r="411" spans="1:27" x14ac:dyDescent="0.3">
      <c r="A411" t="s">
        <v>2218</v>
      </c>
      <c r="B411" s="2">
        <v>45837</v>
      </c>
      <c r="C411" t="s">
        <v>1018</v>
      </c>
      <c r="D411" t="s">
        <v>1561</v>
      </c>
      <c r="E411" t="s">
        <v>1787</v>
      </c>
      <c r="F411" s="4">
        <v>4</v>
      </c>
      <c r="G411">
        <v>370.63</v>
      </c>
      <c r="H411">
        <v>0.08</v>
      </c>
      <c r="I411" t="s">
        <v>1807</v>
      </c>
      <c r="J411">
        <v>1363.9184</v>
      </c>
      <c r="K411" t="s">
        <v>1019</v>
      </c>
      <c r="L411">
        <v>46</v>
      </c>
      <c r="M411" t="str">
        <v>Male</v>
      </c>
      <c r="N411" t="str">
        <f>VLOOKUP(C:C,Customer_Dim!B:I,5,1)</f>
        <v>Kellybury</v>
      </c>
      <c r="O411" t="str">
        <f>VLOOKUP(C:C,Customer_Dim!B:I,6,1)</f>
        <v>New York</v>
      </c>
      <c r="P411" t="str">
        <f>VLOOKUP(C:C,Customer_Dim!B:I,7,1)</f>
        <v>USA</v>
      </c>
      <c r="Q411" t="str">
        <f>VLOOKUP(C:C,Customer_Dim!B:I,8,1)</f>
        <v>Bronze</v>
      </c>
      <c r="S411">
        <v>4</v>
      </c>
      <c r="T411">
        <v>370.63</v>
      </c>
      <c r="U411">
        <v>0.08</v>
      </c>
      <c r="V411">
        <v>1363.9184</v>
      </c>
      <c r="X411" s="4">
        <v>4</v>
      </c>
      <c r="Y411">
        <v>370.63</v>
      </c>
      <c r="Z411">
        <v>0.08</v>
      </c>
      <c r="AA411">
        <v>1363.9184</v>
      </c>
    </row>
    <row r="412" spans="1:27" x14ac:dyDescent="0.3">
      <c r="A412" t="s">
        <v>2219</v>
      </c>
      <c r="B412" s="2">
        <v>45706</v>
      </c>
      <c r="C412" t="s">
        <v>1207</v>
      </c>
      <c r="D412" t="s">
        <v>1589</v>
      </c>
      <c r="E412" t="s">
        <v>1796</v>
      </c>
      <c r="F412" s="4">
        <v>4</v>
      </c>
      <c r="G412">
        <v>349.84</v>
      </c>
      <c r="H412">
        <v>0.11</v>
      </c>
      <c r="I412" t="s">
        <v>1807</v>
      </c>
      <c r="J412">
        <v>1245.4304</v>
      </c>
      <c r="K412" t="s">
        <v>1208</v>
      </c>
      <c r="L412">
        <v>46</v>
      </c>
      <c r="M412" t="str">
        <v>Male</v>
      </c>
      <c r="N412" t="str">
        <f>VLOOKUP(C:C,Customer_Dim!B:I,5,1)</f>
        <v>Dawnstad</v>
      </c>
      <c r="O412" t="str">
        <f>VLOOKUP(C:C,Customer_Dim!B:I,6,1)</f>
        <v>Oregon</v>
      </c>
      <c r="P412" t="str">
        <f>VLOOKUP(C:C,Customer_Dim!B:I,7,1)</f>
        <v>USA</v>
      </c>
      <c r="Q412" t="str">
        <f>VLOOKUP(C:C,Customer_Dim!B:I,8,1)</f>
        <v>Bronze</v>
      </c>
      <c r="S412">
        <v>4</v>
      </c>
      <c r="T412">
        <v>349.84</v>
      </c>
      <c r="U412">
        <v>0.11</v>
      </c>
      <c r="V412">
        <v>1245.4304</v>
      </c>
      <c r="X412" s="4">
        <v>4</v>
      </c>
      <c r="Y412">
        <v>349.84</v>
      </c>
      <c r="Z412">
        <v>0.11</v>
      </c>
      <c r="AA412">
        <v>1245.4304</v>
      </c>
    </row>
    <row r="413" spans="1:27" x14ac:dyDescent="0.3">
      <c r="A413" t="s">
        <v>2220</v>
      </c>
      <c r="B413" s="2">
        <v>45823</v>
      </c>
      <c r="C413" t="s">
        <v>167</v>
      </c>
      <c r="D413" t="s">
        <v>1609</v>
      </c>
      <c r="E413" t="s">
        <v>1777</v>
      </c>
      <c r="F413" s="4">
        <v>1</v>
      </c>
      <c r="G413">
        <v>770.87</v>
      </c>
      <c r="H413">
        <v>0.1</v>
      </c>
      <c r="I413" t="s">
        <v>1812</v>
      </c>
      <c r="J413">
        <v>693.78300000000002</v>
      </c>
      <c r="K413" t="s">
        <v>168</v>
      </c>
      <c r="L413">
        <v>34</v>
      </c>
      <c r="M413" t="str">
        <v>Male</v>
      </c>
      <c r="N413" t="str">
        <f>VLOOKUP(C:C,Customer_Dim!B:I,5,1)</f>
        <v>South Michaelfort</v>
      </c>
      <c r="O413" t="str">
        <f>VLOOKUP(C:C,Customer_Dim!B:I,6,1)</f>
        <v>Vermont</v>
      </c>
      <c r="P413" t="str">
        <f>VLOOKUP(C:C,Customer_Dim!B:I,7,1)</f>
        <v>USA</v>
      </c>
      <c r="Q413" t="str">
        <f>VLOOKUP(C:C,Customer_Dim!B:I,8,1)</f>
        <v>Gold</v>
      </c>
      <c r="S413">
        <v>1</v>
      </c>
      <c r="T413">
        <v>770.87</v>
      </c>
      <c r="U413">
        <v>0.1</v>
      </c>
      <c r="V413">
        <v>693.78300000000002</v>
      </c>
      <c r="X413" s="4">
        <v>1</v>
      </c>
      <c r="Y413">
        <v>770.87</v>
      </c>
      <c r="Z413">
        <v>0.1</v>
      </c>
      <c r="AA413">
        <v>693.78300000000002</v>
      </c>
    </row>
    <row r="414" spans="1:27" x14ac:dyDescent="0.3">
      <c r="A414" t="s">
        <v>2221</v>
      </c>
      <c r="B414" s="2">
        <v>45518</v>
      </c>
      <c r="C414" t="s">
        <v>1458</v>
      </c>
      <c r="D414" t="s">
        <v>1729</v>
      </c>
      <c r="E414" t="s">
        <v>1790</v>
      </c>
      <c r="F414" s="4">
        <v>3</v>
      </c>
      <c r="G414">
        <v>507.33</v>
      </c>
      <c r="H414">
        <v>0.06</v>
      </c>
      <c r="I414" t="s">
        <v>1809</v>
      </c>
      <c r="J414">
        <v>1430.6705999999999</v>
      </c>
      <c r="K414" t="s">
        <v>1459</v>
      </c>
      <c r="L414">
        <v>33</v>
      </c>
      <c r="M414" t="str">
        <v>Male</v>
      </c>
      <c r="N414" t="str">
        <f>VLOOKUP(C:C,Customer_Dim!B:I,5,1)</f>
        <v>New Jamesview</v>
      </c>
      <c r="O414" t="str">
        <f>VLOOKUP(C:C,Customer_Dim!B:I,6,1)</f>
        <v>West Virginia</v>
      </c>
      <c r="P414" t="str">
        <f>VLOOKUP(C:C,Customer_Dim!B:I,7,1)</f>
        <v>USA</v>
      </c>
      <c r="Q414" t="str">
        <f>VLOOKUP(C:C,Customer_Dim!B:I,8,1)</f>
        <v>Bronze</v>
      </c>
      <c r="S414">
        <v>3</v>
      </c>
      <c r="T414">
        <v>507.33</v>
      </c>
      <c r="U414">
        <v>0.06</v>
      </c>
      <c r="V414">
        <v>1430.6705999999999</v>
      </c>
      <c r="X414" s="4">
        <v>3</v>
      </c>
      <c r="Y414">
        <v>507.33</v>
      </c>
      <c r="Z414">
        <v>0.06</v>
      </c>
      <c r="AA414">
        <v>1430.6705999999999</v>
      </c>
    </row>
    <row r="415" spans="1:27" x14ac:dyDescent="0.3">
      <c r="A415" t="s">
        <v>2222</v>
      </c>
      <c r="B415" s="2">
        <v>45863</v>
      </c>
      <c r="C415" t="s">
        <v>604</v>
      </c>
      <c r="D415" t="s">
        <v>1663</v>
      </c>
      <c r="E415" t="s">
        <v>1769</v>
      </c>
      <c r="F415" s="4">
        <v>1</v>
      </c>
      <c r="G415">
        <v>87.78</v>
      </c>
      <c r="H415">
        <v>0.06</v>
      </c>
      <c r="I415" t="s">
        <v>1807</v>
      </c>
      <c r="J415">
        <v>82.513199999999998</v>
      </c>
      <c r="K415" t="s">
        <v>605</v>
      </c>
      <c r="L415">
        <v>53</v>
      </c>
      <c r="M415" t="str">
        <v>Male</v>
      </c>
      <c r="N415" t="str">
        <f>VLOOKUP(C:C,Customer_Dim!B:I,5,1)</f>
        <v>North Kellyberg</v>
      </c>
      <c r="O415" t="str">
        <f>VLOOKUP(C:C,Customer_Dim!B:I,6,1)</f>
        <v>New Jersey</v>
      </c>
      <c r="P415" t="str">
        <f>VLOOKUP(C:C,Customer_Dim!B:I,7,1)</f>
        <v>USA</v>
      </c>
      <c r="Q415" t="str">
        <f>VLOOKUP(C:C,Customer_Dim!B:I,8,1)</f>
        <v>Platinum</v>
      </c>
      <c r="S415">
        <v>1</v>
      </c>
      <c r="T415">
        <v>87.78</v>
      </c>
      <c r="U415">
        <v>0.06</v>
      </c>
      <c r="V415">
        <v>82.513199999999998</v>
      </c>
      <c r="X415" s="4">
        <v>1</v>
      </c>
      <c r="Y415">
        <v>87.78</v>
      </c>
      <c r="Z415">
        <v>0.06</v>
      </c>
      <c r="AA415">
        <v>82.513199999999998</v>
      </c>
    </row>
    <row r="416" spans="1:27" x14ac:dyDescent="0.3">
      <c r="A416" t="s">
        <v>2223</v>
      </c>
      <c r="B416" s="2">
        <v>45666</v>
      </c>
      <c r="C416" t="s">
        <v>36</v>
      </c>
      <c r="D416" t="s">
        <v>1717</v>
      </c>
      <c r="E416" t="s">
        <v>1752</v>
      </c>
      <c r="F416" s="4">
        <v>2</v>
      </c>
      <c r="G416">
        <v>772.24</v>
      </c>
      <c r="H416">
        <v>0.22</v>
      </c>
      <c r="I416" t="s">
        <v>1807</v>
      </c>
      <c r="J416">
        <v>1204.6944000000001</v>
      </c>
      <c r="K416" t="s">
        <v>37</v>
      </c>
      <c r="L416">
        <v>29</v>
      </c>
      <c r="M416" t="str">
        <v>Female</v>
      </c>
      <c r="N416" t="str">
        <f>VLOOKUP(C:C,Customer_Dim!B:I,5,1)</f>
        <v>Deborahborough</v>
      </c>
      <c r="O416" t="str">
        <f>VLOOKUP(C:C,Customer_Dim!B:I,6,1)</f>
        <v>South Dakota</v>
      </c>
      <c r="P416" t="str">
        <f>VLOOKUP(C:C,Customer_Dim!B:I,7,1)</f>
        <v>USA</v>
      </c>
      <c r="Q416" t="str">
        <f>VLOOKUP(C:C,Customer_Dim!B:I,8,1)</f>
        <v>Platinum</v>
      </c>
      <c r="S416">
        <v>2</v>
      </c>
      <c r="T416">
        <v>772.24</v>
      </c>
      <c r="U416">
        <v>0.22</v>
      </c>
      <c r="V416">
        <v>1204.6944000000001</v>
      </c>
      <c r="X416" s="4">
        <v>2</v>
      </c>
      <c r="Y416">
        <v>772.24</v>
      </c>
      <c r="Z416">
        <v>0.22</v>
      </c>
      <c r="AA416">
        <v>1204.6944000000001</v>
      </c>
    </row>
    <row r="417" spans="1:27" x14ac:dyDescent="0.3">
      <c r="A417" t="s">
        <v>2224</v>
      </c>
      <c r="B417" s="2">
        <v>45813</v>
      </c>
      <c r="C417" t="s">
        <v>178</v>
      </c>
      <c r="D417" t="s">
        <v>1671</v>
      </c>
      <c r="E417" t="s">
        <v>1782</v>
      </c>
      <c r="F417" s="4">
        <v>1</v>
      </c>
      <c r="G417">
        <v>108.27</v>
      </c>
      <c r="H417">
        <v>0.1</v>
      </c>
      <c r="I417" t="s">
        <v>1812</v>
      </c>
      <c r="J417">
        <v>97.442999999999998</v>
      </c>
      <c r="K417" t="s">
        <v>179</v>
      </c>
      <c r="L417">
        <v>54</v>
      </c>
      <c r="M417" t="str">
        <v>Male</v>
      </c>
      <c r="N417" t="str">
        <f>VLOOKUP(C:C,Customer_Dim!B:I,5,1)</f>
        <v>Lake Roberthaven</v>
      </c>
      <c r="O417" t="str">
        <f>VLOOKUP(C:C,Customer_Dim!B:I,6,1)</f>
        <v>Nevada</v>
      </c>
      <c r="P417" t="str">
        <f>VLOOKUP(C:C,Customer_Dim!B:I,7,1)</f>
        <v>USA</v>
      </c>
      <c r="Q417" t="str">
        <f>VLOOKUP(C:C,Customer_Dim!B:I,8,1)</f>
        <v>Silver</v>
      </c>
      <c r="S417">
        <v>1</v>
      </c>
      <c r="T417">
        <v>108.27</v>
      </c>
      <c r="U417">
        <v>0.1</v>
      </c>
      <c r="V417">
        <v>97.442999999999998</v>
      </c>
      <c r="X417" s="4">
        <v>1</v>
      </c>
      <c r="Y417">
        <v>108.27</v>
      </c>
      <c r="Z417">
        <v>0.1</v>
      </c>
      <c r="AA417">
        <v>97.442999999999998</v>
      </c>
    </row>
    <row r="418" spans="1:27" x14ac:dyDescent="0.3">
      <c r="A418" t="s">
        <v>2225</v>
      </c>
      <c r="B418" s="2">
        <v>45633</v>
      </c>
      <c r="C418" t="s">
        <v>1078</v>
      </c>
      <c r="D418" t="s">
        <v>1607</v>
      </c>
      <c r="E418" t="s">
        <v>1790</v>
      </c>
      <c r="F418" s="4">
        <v>2</v>
      </c>
      <c r="G418">
        <v>839.24</v>
      </c>
      <c r="H418">
        <v>0.21</v>
      </c>
      <c r="I418" t="s">
        <v>1809</v>
      </c>
      <c r="J418">
        <v>1325.9992</v>
      </c>
      <c r="K418" t="s">
        <v>3946</v>
      </c>
      <c r="L418">
        <v>55</v>
      </c>
      <c r="M418" t="str">
        <v>Male</v>
      </c>
      <c r="N418" t="str">
        <f>VLOOKUP(C:C,Customer_Dim!B:I,5,1)</f>
        <v>Peggystad</v>
      </c>
      <c r="O418" t="str">
        <f>VLOOKUP(C:C,Customer_Dim!B:I,6,1)</f>
        <v>Connecticut</v>
      </c>
      <c r="P418" t="str">
        <f>VLOOKUP(C:C,Customer_Dim!B:I,7,1)</f>
        <v>USA</v>
      </c>
      <c r="Q418" t="str">
        <f>VLOOKUP(C:C,Customer_Dim!B:I,8,1)</f>
        <v>Gold</v>
      </c>
      <c r="S418">
        <v>2</v>
      </c>
      <c r="T418">
        <v>839.24</v>
      </c>
      <c r="U418">
        <v>0.21</v>
      </c>
      <c r="V418">
        <v>1325.9992</v>
      </c>
      <c r="X418" s="4">
        <v>2</v>
      </c>
      <c r="Y418">
        <v>839.24</v>
      </c>
      <c r="Z418">
        <v>0.21</v>
      </c>
      <c r="AA418">
        <v>1325.9992</v>
      </c>
    </row>
    <row r="419" spans="1:27" x14ac:dyDescent="0.3">
      <c r="A419" t="s">
        <v>2226</v>
      </c>
      <c r="B419" s="2">
        <v>45331</v>
      </c>
      <c r="C419" t="s">
        <v>1183</v>
      </c>
      <c r="D419" t="s">
        <v>1647</v>
      </c>
      <c r="E419" t="s">
        <v>1772</v>
      </c>
      <c r="F419" s="4">
        <v>2</v>
      </c>
      <c r="G419">
        <v>466.27</v>
      </c>
      <c r="H419">
        <v>0.11</v>
      </c>
      <c r="I419" t="s">
        <v>1809</v>
      </c>
      <c r="J419">
        <v>829.9606</v>
      </c>
      <c r="K419" t="s">
        <v>1184</v>
      </c>
      <c r="L419">
        <v>52</v>
      </c>
      <c r="M419" t="str">
        <v>Female</v>
      </c>
      <c r="N419" t="str">
        <f>VLOOKUP(C:C,Customer_Dim!B:I,5,1)</f>
        <v>Jennifertown</v>
      </c>
      <c r="O419" t="str">
        <f>VLOOKUP(C:C,Customer_Dim!B:I,6,1)</f>
        <v>South Carolina</v>
      </c>
      <c r="P419" t="str">
        <f>VLOOKUP(C:C,Customer_Dim!B:I,7,1)</f>
        <v>USA</v>
      </c>
      <c r="Q419" t="str">
        <f>VLOOKUP(C:C,Customer_Dim!B:I,8,1)</f>
        <v>Silver</v>
      </c>
      <c r="S419">
        <v>2</v>
      </c>
      <c r="T419">
        <v>466.27</v>
      </c>
      <c r="U419">
        <v>0.11</v>
      </c>
      <c r="V419">
        <v>829.9606</v>
      </c>
      <c r="X419" s="4">
        <v>2</v>
      </c>
      <c r="Y419">
        <v>466.27</v>
      </c>
      <c r="Z419">
        <v>0.11</v>
      </c>
      <c r="AA419">
        <v>829.9606</v>
      </c>
    </row>
    <row r="420" spans="1:27" x14ac:dyDescent="0.3">
      <c r="A420" t="s">
        <v>2227</v>
      </c>
      <c r="B420" s="2">
        <v>45942</v>
      </c>
      <c r="C420" t="s">
        <v>1226</v>
      </c>
      <c r="D420" t="s">
        <v>1655</v>
      </c>
      <c r="E420" t="s">
        <v>1782</v>
      </c>
      <c r="F420" s="4">
        <v>3</v>
      </c>
      <c r="G420">
        <v>969.83</v>
      </c>
      <c r="H420">
        <v>0.02</v>
      </c>
      <c r="I420" t="s">
        <v>1807</v>
      </c>
      <c r="J420">
        <v>2851.3002000000001</v>
      </c>
      <c r="K420" t="s">
        <v>1227</v>
      </c>
      <c r="L420">
        <v>27</v>
      </c>
      <c r="M420" t="str">
        <v>Male</v>
      </c>
      <c r="N420" t="str">
        <f>VLOOKUP(C:C,Customer_Dim!B:I,5,1)</f>
        <v>Cheyenneborough</v>
      </c>
      <c r="O420" t="str">
        <f>VLOOKUP(C:C,Customer_Dim!B:I,6,1)</f>
        <v>New Hampshire</v>
      </c>
      <c r="P420" t="str">
        <f>VLOOKUP(C:C,Customer_Dim!B:I,7,1)</f>
        <v>USA</v>
      </c>
      <c r="Q420" t="str">
        <f>VLOOKUP(C:C,Customer_Dim!B:I,8,1)</f>
        <v>Bronze</v>
      </c>
      <c r="S420">
        <v>3</v>
      </c>
      <c r="T420">
        <v>969.83</v>
      </c>
      <c r="U420">
        <v>0.02</v>
      </c>
      <c r="V420">
        <v>2851.3002000000001</v>
      </c>
      <c r="X420" s="4">
        <v>3</v>
      </c>
      <c r="Y420">
        <v>969.83</v>
      </c>
      <c r="Z420">
        <v>0.02</v>
      </c>
      <c r="AA420">
        <v>2851.3002000000001</v>
      </c>
    </row>
    <row r="421" spans="1:27" x14ac:dyDescent="0.3">
      <c r="A421" t="s">
        <v>2228</v>
      </c>
      <c r="B421" s="2">
        <v>45824</v>
      </c>
      <c r="C421" t="s">
        <v>1281</v>
      </c>
      <c r="D421" t="s">
        <v>1713</v>
      </c>
      <c r="E421" t="s">
        <v>1796</v>
      </c>
      <c r="F421" s="4">
        <v>2</v>
      </c>
      <c r="G421">
        <v>782.11</v>
      </c>
      <c r="H421">
        <v>0.17</v>
      </c>
      <c r="I421" t="s">
        <v>1809</v>
      </c>
      <c r="J421">
        <v>1298.3026</v>
      </c>
      <c r="K421" t="s">
        <v>1282</v>
      </c>
      <c r="L421">
        <v>60</v>
      </c>
      <c r="M421" t="str">
        <v>Female</v>
      </c>
      <c r="N421" t="str">
        <f>VLOOKUP(C:C,Customer_Dim!B:I,5,1)</f>
        <v>Kimburgh</v>
      </c>
      <c r="O421" t="str">
        <f>VLOOKUP(C:C,Customer_Dim!B:I,6,1)</f>
        <v>North Carolina</v>
      </c>
      <c r="P421" t="str">
        <f>VLOOKUP(C:C,Customer_Dim!B:I,7,1)</f>
        <v>USA</v>
      </c>
      <c r="Q421" t="str">
        <f>VLOOKUP(C:C,Customer_Dim!B:I,8,1)</f>
        <v>Bronze</v>
      </c>
      <c r="S421">
        <v>2</v>
      </c>
      <c r="T421">
        <v>782.11</v>
      </c>
      <c r="U421">
        <v>0.17</v>
      </c>
      <c r="V421">
        <v>1298.3026</v>
      </c>
      <c r="X421" s="4">
        <v>2</v>
      </c>
      <c r="Y421">
        <v>782.11</v>
      </c>
      <c r="Z421">
        <v>0.17</v>
      </c>
      <c r="AA421">
        <v>1298.3026</v>
      </c>
    </row>
    <row r="422" spans="1:27" x14ac:dyDescent="0.3">
      <c r="A422" t="s">
        <v>2229</v>
      </c>
      <c r="B422" s="2">
        <v>45921</v>
      </c>
      <c r="C422" t="s">
        <v>1379</v>
      </c>
      <c r="D422" t="s">
        <v>1611</v>
      </c>
      <c r="E422" t="s">
        <v>1775</v>
      </c>
      <c r="F422" s="4">
        <v>2</v>
      </c>
      <c r="G422">
        <v>74.63</v>
      </c>
      <c r="H422">
        <v>0.01</v>
      </c>
      <c r="I422" t="s">
        <v>1809</v>
      </c>
      <c r="J422">
        <v>147.76740000000001</v>
      </c>
      <c r="K422" t="s">
        <v>1380</v>
      </c>
      <c r="L422">
        <v>60</v>
      </c>
      <c r="M422" t="str">
        <v>Female</v>
      </c>
      <c r="N422" t="str">
        <f>VLOOKUP(C:C,Customer_Dim!B:I,5,1)</f>
        <v>Josephmouth</v>
      </c>
      <c r="O422" t="str">
        <f>VLOOKUP(C:C,Customer_Dim!B:I,6,1)</f>
        <v>New Mexico</v>
      </c>
      <c r="P422" t="str">
        <f>VLOOKUP(C:C,Customer_Dim!B:I,7,1)</f>
        <v>USA</v>
      </c>
      <c r="Q422" t="str">
        <f>VLOOKUP(C:C,Customer_Dim!B:I,8,1)</f>
        <v>Gold</v>
      </c>
      <c r="S422">
        <v>2</v>
      </c>
      <c r="T422">
        <v>74.63</v>
      </c>
      <c r="U422">
        <v>0.01</v>
      </c>
      <c r="V422">
        <v>147.76740000000001</v>
      </c>
      <c r="X422" s="4">
        <v>2</v>
      </c>
      <c r="Y422">
        <v>74.63</v>
      </c>
      <c r="Z422">
        <v>0.01</v>
      </c>
      <c r="AA422">
        <v>147.76740000000001</v>
      </c>
    </row>
    <row r="423" spans="1:27" x14ac:dyDescent="0.3">
      <c r="A423" t="s">
        <v>2230</v>
      </c>
      <c r="B423" s="2">
        <v>45909</v>
      </c>
      <c r="C423" t="s">
        <v>159</v>
      </c>
      <c r="D423" t="s">
        <v>1701</v>
      </c>
      <c r="E423" t="s">
        <v>1759</v>
      </c>
      <c r="F423" s="4">
        <v>3</v>
      </c>
      <c r="G423">
        <v>522.78</v>
      </c>
      <c r="H423">
        <v>0.25</v>
      </c>
      <c r="I423" t="s">
        <v>1809</v>
      </c>
      <c r="J423">
        <v>1176.2550000000001</v>
      </c>
      <c r="K423" t="s">
        <v>160</v>
      </c>
      <c r="L423">
        <v>19</v>
      </c>
      <c r="M423" t="str">
        <v>Male</v>
      </c>
      <c r="N423" t="str">
        <f>VLOOKUP(C:C,Customer_Dim!B:I,5,1)</f>
        <v>Mooneyshire</v>
      </c>
      <c r="O423" t="str">
        <f>VLOOKUP(C:C,Customer_Dim!B:I,6,1)</f>
        <v>Alaska</v>
      </c>
      <c r="P423" t="str">
        <f>VLOOKUP(C:C,Customer_Dim!B:I,7,1)</f>
        <v>USA</v>
      </c>
      <c r="Q423" t="str">
        <f>VLOOKUP(C:C,Customer_Dim!B:I,8,1)</f>
        <v>Platinum</v>
      </c>
      <c r="S423">
        <v>3</v>
      </c>
      <c r="T423">
        <v>522.78</v>
      </c>
      <c r="U423">
        <v>0.25</v>
      </c>
      <c r="V423">
        <v>1176.2550000000001</v>
      </c>
      <c r="X423" s="4">
        <v>3</v>
      </c>
      <c r="Y423">
        <v>522.78</v>
      </c>
      <c r="Z423">
        <v>0.25</v>
      </c>
      <c r="AA423">
        <v>1176.2550000000001</v>
      </c>
    </row>
    <row r="424" spans="1:27" x14ac:dyDescent="0.3">
      <c r="A424" t="s">
        <v>2231</v>
      </c>
      <c r="B424" s="2">
        <v>45853</v>
      </c>
      <c r="C424" t="s">
        <v>1051</v>
      </c>
      <c r="D424" t="s">
        <v>1557</v>
      </c>
      <c r="E424" t="s">
        <v>1784</v>
      </c>
      <c r="F424" s="4">
        <v>1</v>
      </c>
      <c r="G424">
        <v>206.45</v>
      </c>
      <c r="H424">
        <v>0.15</v>
      </c>
      <c r="I424" t="s">
        <v>1809</v>
      </c>
      <c r="J424">
        <v>175.48249999999999</v>
      </c>
      <c r="K424" t="s">
        <v>1052</v>
      </c>
      <c r="L424">
        <v>52</v>
      </c>
      <c r="M424" t="str">
        <v>Female</v>
      </c>
      <c r="N424" t="str">
        <f>VLOOKUP(C:C,Customer_Dim!B:I,5,1)</f>
        <v>Hudsonfort</v>
      </c>
      <c r="O424" t="str">
        <f>VLOOKUP(C:C,Customer_Dim!B:I,6,1)</f>
        <v>Connecticut</v>
      </c>
      <c r="P424" t="str">
        <f>VLOOKUP(C:C,Customer_Dim!B:I,7,1)</f>
        <v>USA</v>
      </c>
      <c r="Q424" t="str">
        <f>VLOOKUP(C:C,Customer_Dim!B:I,8,1)</f>
        <v>Silver</v>
      </c>
      <c r="S424">
        <v>1</v>
      </c>
      <c r="T424">
        <v>206.45</v>
      </c>
      <c r="U424">
        <v>0.15</v>
      </c>
      <c r="V424">
        <v>175.48249999999999</v>
      </c>
      <c r="X424" s="4">
        <v>1</v>
      </c>
      <c r="Y424">
        <v>206.45</v>
      </c>
      <c r="Z424">
        <v>0.15</v>
      </c>
      <c r="AA424">
        <v>175.48249999999999</v>
      </c>
    </row>
    <row r="425" spans="1:27" x14ac:dyDescent="0.3">
      <c r="A425" t="s">
        <v>2232</v>
      </c>
      <c r="B425" s="2">
        <v>45580</v>
      </c>
      <c r="C425" t="s">
        <v>485</v>
      </c>
      <c r="D425" t="s">
        <v>1669</v>
      </c>
      <c r="E425" t="s">
        <v>1756</v>
      </c>
      <c r="F425" s="4">
        <v>1</v>
      </c>
      <c r="G425">
        <v>815.53</v>
      </c>
      <c r="H425">
        <v>0.3</v>
      </c>
      <c r="I425" t="s">
        <v>1809</v>
      </c>
      <c r="J425">
        <v>570.87099999999998</v>
      </c>
      <c r="K425" t="s">
        <v>486</v>
      </c>
      <c r="L425">
        <v>32</v>
      </c>
      <c r="M425" t="str">
        <v>Female</v>
      </c>
      <c r="N425" t="str">
        <f>VLOOKUP(C:C,Customer_Dim!B:I,5,1)</f>
        <v>Michaelfort</v>
      </c>
      <c r="O425" t="str">
        <f>VLOOKUP(C:C,Customer_Dim!B:I,6,1)</f>
        <v>Indiana</v>
      </c>
      <c r="P425" t="str">
        <f>VLOOKUP(C:C,Customer_Dim!B:I,7,1)</f>
        <v>USA</v>
      </c>
      <c r="Q425" t="str">
        <f>VLOOKUP(C:C,Customer_Dim!B:I,8,1)</f>
        <v>Platinum</v>
      </c>
      <c r="S425">
        <v>1</v>
      </c>
      <c r="T425">
        <v>815.53</v>
      </c>
      <c r="U425">
        <v>0.3</v>
      </c>
      <c r="V425">
        <v>570.87099999999998</v>
      </c>
      <c r="X425" s="4">
        <v>1</v>
      </c>
      <c r="Y425">
        <v>815.53</v>
      </c>
      <c r="Z425">
        <v>0.3</v>
      </c>
      <c r="AA425">
        <v>570.87099999999998</v>
      </c>
    </row>
    <row r="426" spans="1:27" x14ac:dyDescent="0.3">
      <c r="A426" t="s">
        <v>2233</v>
      </c>
      <c r="B426" s="2">
        <v>45220</v>
      </c>
      <c r="C426" t="s">
        <v>146</v>
      </c>
      <c r="D426" t="s">
        <v>1689</v>
      </c>
      <c r="E426" t="s">
        <v>1780</v>
      </c>
      <c r="F426" s="4">
        <v>1</v>
      </c>
      <c r="G426">
        <v>823.61</v>
      </c>
      <c r="H426">
        <v>0.28000000000000003</v>
      </c>
      <c r="I426" t="s">
        <v>1812</v>
      </c>
      <c r="J426">
        <v>592.99919999999997</v>
      </c>
      <c r="K426" t="s">
        <v>147</v>
      </c>
      <c r="L426">
        <v>35</v>
      </c>
      <c r="M426" t="str">
        <v>Female</v>
      </c>
      <c r="N426" t="str">
        <f>VLOOKUP(C:C,Customer_Dim!B:I,5,1)</f>
        <v>Brendastad</v>
      </c>
      <c r="O426" t="str">
        <f>VLOOKUP(C:C,Customer_Dim!B:I,6,1)</f>
        <v>South Dakota</v>
      </c>
      <c r="P426" t="str">
        <f>VLOOKUP(C:C,Customer_Dim!B:I,7,1)</f>
        <v>USA</v>
      </c>
      <c r="Q426" t="str">
        <f>VLOOKUP(C:C,Customer_Dim!B:I,8,1)</f>
        <v>Platinum</v>
      </c>
      <c r="S426">
        <v>1</v>
      </c>
      <c r="T426">
        <v>823.61</v>
      </c>
      <c r="U426">
        <v>0.28000000000000003</v>
      </c>
      <c r="V426">
        <v>592.99919999999997</v>
      </c>
      <c r="X426" s="4">
        <v>1</v>
      </c>
      <c r="Y426">
        <v>823.61</v>
      </c>
      <c r="Z426">
        <v>0.28000000000000003</v>
      </c>
      <c r="AA426">
        <v>592.99919999999997</v>
      </c>
    </row>
    <row r="427" spans="1:27" x14ac:dyDescent="0.3">
      <c r="A427" t="s">
        <v>2234</v>
      </c>
      <c r="B427" s="2">
        <v>45807</v>
      </c>
      <c r="C427" t="s">
        <v>1456</v>
      </c>
      <c r="D427" t="s">
        <v>1705</v>
      </c>
      <c r="E427" t="s">
        <v>1769</v>
      </c>
      <c r="F427" s="4">
        <v>2</v>
      </c>
      <c r="G427">
        <v>209.96</v>
      </c>
      <c r="H427">
        <v>0</v>
      </c>
      <c r="I427" t="s">
        <v>1807</v>
      </c>
      <c r="J427">
        <v>419.92</v>
      </c>
      <c r="K427" t="s">
        <v>3951</v>
      </c>
      <c r="L427">
        <v>40</v>
      </c>
      <c r="M427" t="str">
        <v>Male</v>
      </c>
      <c r="N427" t="str">
        <f>VLOOKUP(C:C,Customer_Dim!B:I,5,1)</f>
        <v>West Sarah</v>
      </c>
      <c r="O427" t="str">
        <f>VLOOKUP(C:C,Customer_Dim!B:I,6,1)</f>
        <v>South Dakota</v>
      </c>
      <c r="P427" t="str">
        <f>VLOOKUP(C:C,Customer_Dim!B:I,7,1)</f>
        <v>USA</v>
      </c>
      <c r="Q427" t="str">
        <f>VLOOKUP(C:C,Customer_Dim!B:I,8,1)</f>
        <v>Gold</v>
      </c>
      <c r="S427">
        <v>2</v>
      </c>
      <c r="T427">
        <v>209.96</v>
      </c>
      <c r="U427">
        <v>0</v>
      </c>
      <c r="V427">
        <v>419.92</v>
      </c>
      <c r="X427" s="4">
        <v>2</v>
      </c>
      <c r="Y427">
        <v>209.96</v>
      </c>
      <c r="Z427">
        <v>0</v>
      </c>
      <c r="AA427">
        <v>419.92</v>
      </c>
    </row>
    <row r="428" spans="1:27" x14ac:dyDescent="0.3">
      <c r="A428" t="s">
        <v>2235</v>
      </c>
      <c r="B428" s="2">
        <v>45462</v>
      </c>
      <c r="C428" t="s">
        <v>573</v>
      </c>
      <c r="D428" t="s">
        <v>1526</v>
      </c>
      <c r="E428" t="s">
        <v>1787</v>
      </c>
      <c r="F428" s="4">
        <v>4</v>
      </c>
      <c r="G428">
        <v>897.93</v>
      </c>
      <c r="H428">
        <v>0.05</v>
      </c>
      <c r="I428" t="s">
        <v>1812</v>
      </c>
      <c r="J428">
        <v>3412.134</v>
      </c>
      <c r="K428" t="s">
        <v>574</v>
      </c>
      <c r="L428">
        <v>48</v>
      </c>
      <c r="M428" t="str">
        <v>Male</v>
      </c>
      <c r="N428" t="str">
        <f>VLOOKUP(C:C,Customer_Dim!B:I,5,1)</f>
        <v>East Jessicaborough</v>
      </c>
      <c r="O428" t="str">
        <f>VLOOKUP(C:C,Customer_Dim!B:I,6,1)</f>
        <v>Hawaii</v>
      </c>
      <c r="P428" t="str">
        <f>VLOOKUP(C:C,Customer_Dim!B:I,7,1)</f>
        <v>USA</v>
      </c>
      <c r="Q428" t="str">
        <f>VLOOKUP(C:C,Customer_Dim!B:I,8,1)</f>
        <v>Platinum</v>
      </c>
      <c r="S428">
        <v>4</v>
      </c>
      <c r="T428">
        <v>897.93</v>
      </c>
      <c r="U428">
        <v>0.05</v>
      </c>
      <c r="V428">
        <v>3412.134</v>
      </c>
      <c r="X428" s="4">
        <v>4</v>
      </c>
      <c r="Y428">
        <v>897.93</v>
      </c>
      <c r="Z428">
        <v>0.05</v>
      </c>
      <c r="AA428">
        <v>3412.134</v>
      </c>
    </row>
    <row r="429" spans="1:27" x14ac:dyDescent="0.3">
      <c r="A429" t="s">
        <v>2236</v>
      </c>
      <c r="B429" s="2">
        <v>45646</v>
      </c>
      <c r="C429" t="s">
        <v>592</v>
      </c>
      <c r="D429" t="s">
        <v>1657</v>
      </c>
      <c r="E429" t="s">
        <v>1735</v>
      </c>
      <c r="F429" s="4">
        <v>4</v>
      </c>
      <c r="G429">
        <v>925.95</v>
      </c>
      <c r="H429">
        <v>0.16</v>
      </c>
      <c r="I429" t="s">
        <v>1812</v>
      </c>
      <c r="J429">
        <v>3111.192</v>
      </c>
      <c r="K429" t="s">
        <v>593</v>
      </c>
      <c r="L429">
        <v>23</v>
      </c>
      <c r="M429" t="str">
        <v>Female</v>
      </c>
      <c r="N429" t="str">
        <f>VLOOKUP(C:C,Customer_Dim!B:I,5,1)</f>
        <v>New Brianchester</v>
      </c>
      <c r="O429" t="str">
        <f>VLOOKUP(C:C,Customer_Dim!B:I,6,1)</f>
        <v>New York</v>
      </c>
      <c r="P429" t="str">
        <f>VLOOKUP(C:C,Customer_Dim!B:I,7,1)</f>
        <v>USA</v>
      </c>
      <c r="Q429" t="str">
        <f>VLOOKUP(C:C,Customer_Dim!B:I,8,1)</f>
        <v>Bronze</v>
      </c>
      <c r="S429">
        <v>4</v>
      </c>
      <c r="T429">
        <v>925.95</v>
      </c>
      <c r="U429">
        <v>0.16</v>
      </c>
      <c r="V429">
        <v>3111.192</v>
      </c>
      <c r="X429" s="4">
        <v>4</v>
      </c>
      <c r="Y429">
        <v>925.95</v>
      </c>
      <c r="Z429">
        <v>0.16</v>
      </c>
      <c r="AA429">
        <v>3111.192</v>
      </c>
    </row>
    <row r="430" spans="1:27" x14ac:dyDescent="0.3">
      <c r="A430" t="s">
        <v>2237</v>
      </c>
      <c r="B430" s="2">
        <v>45520</v>
      </c>
      <c r="C430" t="s">
        <v>301</v>
      </c>
      <c r="D430" t="s">
        <v>1633</v>
      </c>
      <c r="E430" t="s">
        <v>1759</v>
      </c>
      <c r="F430" s="4">
        <v>2</v>
      </c>
      <c r="G430">
        <v>573.09</v>
      </c>
      <c r="H430">
        <v>0.03</v>
      </c>
      <c r="I430" t="s">
        <v>1812</v>
      </c>
      <c r="J430">
        <v>1111.7945999999999</v>
      </c>
      <c r="K430" t="s">
        <v>302</v>
      </c>
      <c r="L430">
        <v>36</v>
      </c>
      <c r="M430" t="str">
        <v>Male</v>
      </c>
      <c r="N430" t="str">
        <f>VLOOKUP(C:C,Customer_Dim!B:I,5,1)</f>
        <v>Garyberg</v>
      </c>
      <c r="O430" t="str">
        <f>VLOOKUP(C:C,Customer_Dim!B:I,6,1)</f>
        <v>Indiana</v>
      </c>
      <c r="P430" t="str">
        <f>VLOOKUP(C:C,Customer_Dim!B:I,7,1)</f>
        <v>USA</v>
      </c>
      <c r="Q430" t="str">
        <f>VLOOKUP(C:C,Customer_Dim!B:I,8,1)</f>
        <v>Platinum</v>
      </c>
      <c r="S430">
        <v>2</v>
      </c>
      <c r="T430">
        <v>573.09</v>
      </c>
      <c r="U430">
        <v>0.03</v>
      </c>
      <c r="V430">
        <v>1111.7945999999999</v>
      </c>
      <c r="X430" s="4">
        <v>2</v>
      </c>
      <c r="Y430">
        <v>573.09</v>
      </c>
      <c r="Z430">
        <v>0.03</v>
      </c>
      <c r="AA430">
        <v>1111.7945999999999</v>
      </c>
    </row>
    <row r="431" spans="1:27" x14ac:dyDescent="0.3">
      <c r="A431" t="s">
        <v>2238</v>
      </c>
      <c r="B431" s="2">
        <v>45731</v>
      </c>
      <c r="C431" t="s">
        <v>598</v>
      </c>
      <c r="D431" t="s">
        <v>1543</v>
      </c>
      <c r="E431" t="s">
        <v>1752</v>
      </c>
      <c r="F431" s="4">
        <v>4</v>
      </c>
      <c r="G431">
        <v>149.83000000000001</v>
      </c>
      <c r="H431">
        <v>0.02</v>
      </c>
      <c r="I431" t="s">
        <v>1807</v>
      </c>
      <c r="J431">
        <v>587.33360000000005</v>
      </c>
      <c r="K431" t="s">
        <v>599</v>
      </c>
      <c r="L431">
        <v>46</v>
      </c>
      <c r="M431" t="str">
        <v>Female</v>
      </c>
      <c r="N431" t="str">
        <f>VLOOKUP(C:C,Customer_Dim!B:I,5,1)</f>
        <v>Port James</v>
      </c>
      <c r="O431" t="str">
        <f>VLOOKUP(C:C,Customer_Dim!B:I,6,1)</f>
        <v>New York</v>
      </c>
      <c r="P431" t="str">
        <f>VLOOKUP(C:C,Customer_Dim!B:I,7,1)</f>
        <v>USA</v>
      </c>
      <c r="Q431" t="str">
        <f>VLOOKUP(C:C,Customer_Dim!B:I,8,1)</f>
        <v>Platinum</v>
      </c>
      <c r="S431">
        <v>4</v>
      </c>
      <c r="T431">
        <v>149.83000000000001</v>
      </c>
      <c r="U431">
        <v>0.02</v>
      </c>
      <c r="V431">
        <v>587.33360000000005</v>
      </c>
      <c r="X431" s="4">
        <v>4</v>
      </c>
      <c r="Y431">
        <v>149.83000000000001</v>
      </c>
      <c r="Z431">
        <v>0.02</v>
      </c>
      <c r="AA431">
        <v>587.33360000000005</v>
      </c>
    </row>
    <row r="432" spans="1:27" x14ac:dyDescent="0.3">
      <c r="A432" t="s">
        <v>2239</v>
      </c>
      <c r="B432" s="2">
        <v>45445</v>
      </c>
      <c r="C432" t="s">
        <v>14</v>
      </c>
      <c r="D432" t="s">
        <v>1633</v>
      </c>
      <c r="E432" t="s">
        <v>1782</v>
      </c>
      <c r="F432" s="4">
        <v>3</v>
      </c>
      <c r="G432">
        <v>287.70999999999998</v>
      </c>
      <c r="H432">
        <v>0.03</v>
      </c>
      <c r="I432" t="s">
        <v>1812</v>
      </c>
      <c r="J432">
        <v>837.23609999999985</v>
      </c>
      <c r="K432" t="s">
        <v>15</v>
      </c>
      <c r="L432">
        <v>29</v>
      </c>
      <c r="M432" t="str">
        <v>Female</v>
      </c>
      <c r="N432" t="str">
        <f>VLOOKUP(C:C,Customer_Dim!B:I,5,1)</f>
        <v>Phillipsmouth</v>
      </c>
      <c r="O432" t="str">
        <f>VLOOKUP(C:C,Customer_Dim!B:I,6,1)</f>
        <v>North Dakota</v>
      </c>
      <c r="P432" t="str">
        <f>VLOOKUP(C:C,Customer_Dim!B:I,7,1)</f>
        <v>USA</v>
      </c>
      <c r="Q432" t="str">
        <f>VLOOKUP(C:C,Customer_Dim!B:I,8,1)</f>
        <v>Platinum</v>
      </c>
      <c r="S432">
        <v>3</v>
      </c>
      <c r="T432">
        <v>287.70999999999998</v>
      </c>
      <c r="U432">
        <v>0.03</v>
      </c>
      <c r="V432">
        <v>837.23609999999985</v>
      </c>
      <c r="X432" s="4">
        <v>3</v>
      </c>
      <c r="Y432">
        <v>287.70999999999998</v>
      </c>
      <c r="Z432">
        <v>0.03</v>
      </c>
      <c r="AA432">
        <v>837.23609999999985</v>
      </c>
    </row>
    <row r="433" spans="1:27" x14ac:dyDescent="0.3">
      <c r="A433" t="s">
        <v>2240</v>
      </c>
      <c r="B433" s="2">
        <v>45860</v>
      </c>
      <c r="C433" t="s">
        <v>333</v>
      </c>
      <c r="D433" t="s">
        <v>1665</v>
      </c>
      <c r="E433" t="s">
        <v>1759</v>
      </c>
      <c r="F433" s="4">
        <v>2</v>
      </c>
      <c r="G433">
        <v>849.8</v>
      </c>
      <c r="H433">
        <v>0.06</v>
      </c>
      <c r="I433" t="s">
        <v>1812</v>
      </c>
      <c r="J433">
        <v>1597.624</v>
      </c>
      <c r="K433" t="s">
        <v>334</v>
      </c>
      <c r="L433">
        <v>62</v>
      </c>
      <c r="M433" t="str">
        <v>Female</v>
      </c>
      <c r="N433" t="str">
        <f>VLOOKUP(C:C,Customer_Dim!B:I,5,1)</f>
        <v>New Amyport</v>
      </c>
      <c r="O433" t="str">
        <f>VLOOKUP(C:C,Customer_Dim!B:I,6,1)</f>
        <v>Nevada</v>
      </c>
      <c r="P433" t="str">
        <f>VLOOKUP(C:C,Customer_Dim!B:I,7,1)</f>
        <v>USA</v>
      </c>
      <c r="Q433" t="str">
        <f>VLOOKUP(C:C,Customer_Dim!B:I,8,1)</f>
        <v>Gold</v>
      </c>
      <c r="S433">
        <v>2</v>
      </c>
      <c r="T433">
        <v>849.8</v>
      </c>
      <c r="U433">
        <v>0.06</v>
      </c>
      <c r="V433">
        <v>1597.624</v>
      </c>
      <c r="X433" s="4">
        <v>2</v>
      </c>
      <c r="Y433">
        <v>849.8</v>
      </c>
      <c r="Z433">
        <v>0.06</v>
      </c>
      <c r="AA433">
        <v>1597.624</v>
      </c>
    </row>
    <row r="434" spans="1:27" x14ac:dyDescent="0.3">
      <c r="A434" t="s">
        <v>2241</v>
      </c>
      <c r="B434" s="2">
        <v>45725</v>
      </c>
      <c r="C434" t="s">
        <v>75</v>
      </c>
      <c r="D434" t="s">
        <v>1613</v>
      </c>
      <c r="E434" t="s">
        <v>1749</v>
      </c>
      <c r="F434" s="4">
        <v>3</v>
      </c>
      <c r="G434">
        <v>482.58</v>
      </c>
      <c r="H434">
        <v>0.28000000000000003</v>
      </c>
      <c r="I434" t="s">
        <v>1809</v>
      </c>
      <c r="J434">
        <v>1042.3728000000001</v>
      </c>
      <c r="K434" t="s">
        <v>76</v>
      </c>
      <c r="L434">
        <v>60</v>
      </c>
      <c r="M434" t="str">
        <v>Female</v>
      </c>
      <c r="N434" t="str">
        <f>VLOOKUP(C:C,Customer_Dim!B:I,5,1)</f>
        <v>South Christopher</v>
      </c>
      <c r="O434" t="str">
        <f>VLOOKUP(C:C,Customer_Dim!B:I,6,1)</f>
        <v>Pennsylvania</v>
      </c>
      <c r="P434" t="str">
        <f>VLOOKUP(C:C,Customer_Dim!B:I,7,1)</f>
        <v>USA</v>
      </c>
      <c r="Q434" t="str">
        <f>VLOOKUP(C:C,Customer_Dim!B:I,8,1)</f>
        <v>Bronze</v>
      </c>
      <c r="S434">
        <v>3</v>
      </c>
      <c r="T434">
        <v>482.58</v>
      </c>
      <c r="U434">
        <v>0.28000000000000003</v>
      </c>
      <c r="V434">
        <v>1042.3728000000001</v>
      </c>
      <c r="X434" s="4">
        <v>3</v>
      </c>
      <c r="Y434">
        <v>482.58</v>
      </c>
      <c r="Z434">
        <v>0.28000000000000003</v>
      </c>
      <c r="AA434">
        <v>1042.3728000000001</v>
      </c>
    </row>
    <row r="435" spans="1:27" x14ac:dyDescent="0.3">
      <c r="A435" t="s">
        <v>2242</v>
      </c>
      <c r="B435" s="2">
        <v>45699</v>
      </c>
      <c r="C435" t="s">
        <v>394</v>
      </c>
      <c r="D435" t="s">
        <v>1649</v>
      </c>
      <c r="E435" t="s">
        <v>1744</v>
      </c>
      <c r="F435" s="4">
        <v>2</v>
      </c>
      <c r="G435">
        <v>64.7</v>
      </c>
      <c r="H435">
        <v>0</v>
      </c>
      <c r="I435" t="s">
        <v>1807</v>
      </c>
      <c r="J435">
        <v>129.4</v>
      </c>
      <c r="K435" t="s">
        <v>395</v>
      </c>
      <c r="L435">
        <v>53</v>
      </c>
      <c r="M435" t="str">
        <v>Female</v>
      </c>
      <c r="N435" t="str">
        <f>VLOOKUP(C:C,Customer_Dim!B:I,5,1)</f>
        <v>East Donna</v>
      </c>
      <c r="O435" t="str">
        <f>VLOOKUP(C:C,Customer_Dim!B:I,6,1)</f>
        <v>Nevada</v>
      </c>
      <c r="P435" t="str">
        <f>VLOOKUP(C:C,Customer_Dim!B:I,7,1)</f>
        <v>USA</v>
      </c>
      <c r="Q435" t="str">
        <f>VLOOKUP(C:C,Customer_Dim!B:I,8,1)</f>
        <v>Bronze</v>
      </c>
      <c r="S435">
        <v>2</v>
      </c>
      <c r="T435">
        <v>64.7</v>
      </c>
      <c r="U435">
        <v>0</v>
      </c>
      <c r="V435">
        <v>129.4</v>
      </c>
      <c r="X435" s="4">
        <v>2</v>
      </c>
      <c r="Y435">
        <v>64.7</v>
      </c>
      <c r="Z435">
        <v>0</v>
      </c>
      <c r="AA435">
        <v>129.4</v>
      </c>
    </row>
    <row r="436" spans="1:27" x14ac:dyDescent="0.3">
      <c r="A436" t="s">
        <v>2243</v>
      </c>
      <c r="B436" s="2">
        <v>45266</v>
      </c>
      <c r="C436" t="s">
        <v>494</v>
      </c>
      <c r="D436" t="s">
        <v>1538</v>
      </c>
      <c r="E436" t="s">
        <v>1756</v>
      </c>
      <c r="F436" s="4">
        <v>3</v>
      </c>
      <c r="G436">
        <v>589.83000000000004</v>
      </c>
      <c r="H436">
        <v>0.26</v>
      </c>
      <c r="I436" t="s">
        <v>1807</v>
      </c>
      <c r="J436">
        <v>1309.4226000000001</v>
      </c>
      <c r="K436" t="s">
        <v>495</v>
      </c>
      <c r="L436">
        <v>33</v>
      </c>
      <c r="M436" t="str">
        <v>Male</v>
      </c>
      <c r="N436" t="str">
        <f>VLOOKUP(C:C,Customer_Dim!B:I,5,1)</f>
        <v>New Brian</v>
      </c>
      <c r="O436" t="str">
        <f>VLOOKUP(C:C,Customer_Dim!B:I,6,1)</f>
        <v>Wisconsin</v>
      </c>
      <c r="P436" t="str">
        <f>VLOOKUP(C:C,Customer_Dim!B:I,7,1)</f>
        <v>USA</v>
      </c>
      <c r="Q436" t="str">
        <f>VLOOKUP(C:C,Customer_Dim!B:I,8,1)</f>
        <v>Bronze</v>
      </c>
      <c r="S436">
        <v>3</v>
      </c>
      <c r="T436">
        <v>589.83000000000004</v>
      </c>
      <c r="U436">
        <v>0.26</v>
      </c>
      <c r="V436">
        <v>1309.4226000000001</v>
      </c>
      <c r="X436" s="4">
        <v>3</v>
      </c>
      <c r="Y436">
        <v>589.83000000000004</v>
      </c>
      <c r="Z436">
        <v>0.26</v>
      </c>
      <c r="AA436">
        <v>1309.4226000000001</v>
      </c>
    </row>
    <row r="437" spans="1:27" x14ac:dyDescent="0.3">
      <c r="A437" t="s">
        <v>2244</v>
      </c>
      <c r="B437" s="2">
        <v>45889</v>
      </c>
      <c r="C437" t="s">
        <v>906</v>
      </c>
      <c r="D437" t="s">
        <v>1534</v>
      </c>
      <c r="E437" t="s">
        <v>1769</v>
      </c>
      <c r="F437" s="4">
        <v>4</v>
      </c>
      <c r="G437">
        <v>758.49</v>
      </c>
      <c r="H437">
        <v>0.16</v>
      </c>
      <c r="I437" t="s">
        <v>1812</v>
      </c>
      <c r="J437">
        <v>2548.5264000000002</v>
      </c>
      <c r="K437" t="s">
        <v>907</v>
      </c>
      <c r="L437">
        <v>45</v>
      </c>
      <c r="M437" t="str">
        <v>Male</v>
      </c>
      <c r="N437" t="str">
        <f>VLOOKUP(C:C,Customer_Dim!B:I,5,1)</f>
        <v>North Joseside</v>
      </c>
      <c r="O437" t="str">
        <f>VLOOKUP(C:C,Customer_Dim!B:I,6,1)</f>
        <v>Connecticut</v>
      </c>
      <c r="P437" t="str">
        <f>VLOOKUP(C:C,Customer_Dim!B:I,7,1)</f>
        <v>USA</v>
      </c>
      <c r="Q437" t="str">
        <f>VLOOKUP(C:C,Customer_Dim!B:I,8,1)</f>
        <v>Gold</v>
      </c>
      <c r="S437">
        <v>4</v>
      </c>
      <c r="T437">
        <v>758.49</v>
      </c>
      <c r="U437">
        <v>0.16</v>
      </c>
      <c r="V437">
        <v>2548.5264000000002</v>
      </c>
      <c r="X437" s="4">
        <v>4</v>
      </c>
      <c r="Y437">
        <v>758.49</v>
      </c>
      <c r="Z437">
        <v>0.16</v>
      </c>
      <c r="AA437">
        <v>2548.5264000000002</v>
      </c>
    </row>
    <row r="438" spans="1:27" x14ac:dyDescent="0.3">
      <c r="A438" t="s">
        <v>2245</v>
      </c>
      <c r="B438" s="2">
        <v>45555</v>
      </c>
      <c r="C438" t="s">
        <v>199</v>
      </c>
      <c r="D438" t="s">
        <v>1605</v>
      </c>
      <c r="E438" t="s">
        <v>1777</v>
      </c>
      <c r="F438" s="4">
        <v>4</v>
      </c>
      <c r="G438">
        <v>747.56</v>
      </c>
      <c r="H438">
        <v>0.09</v>
      </c>
      <c r="I438" t="s">
        <v>1812</v>
      </c>
      <c r="J438">
        <v>2721.1183999999998</v>
      </c>
      <c r="K438" t="s">
        <v>200</v>
      </c>
      <c r="L438">
        <v>24</v>
      </c>
      <c r="M438" t="str">
        <v>Male</v>
      </c>
      <c r="N438" t="str">
        <f>VLOOKUP(C:C,Customer_Dim!B:I,5,1)</f>
        <v>East Andrea</v>
      </c>
      <c r="O438" t="str">
        <f>VLOOKUP(C:C,Customer_Dim!B:I,6,1)</f>
        <v>Michigan</v>
      </c>
      <c r="P438" t="str">
        <f>VLOOKUP(C:C,Customer_Dim!B:I,7,1)</f>
        <v>USA</v>
      </c>
      <c r="Q438" t="str">
        <f>VLOOKUP(C:C,Customer_Dim!B:I,8,1)</f>
        <v>Gold</v>
      </c>
      <c r="S438">
        <v>4</v>
      </c>
      <c r="T438">
        <v>747.56</v>
      </c>
      <c r="U438">
        <v>0.09</v>
      </c>
      <c r="V438">
        <v>2721.1183999999998</v>
      </c>
      <c r="X438" s="4">
        <v>4</v>
      </c>
      <c r="Y438">
        <v>747.56</v>
      </c>
      <c r="Z438">
        <v>0.09</v>
      </c>
      <c r="AA438">
        <v>2721.1183999999998</v>
      </c>
    </row>
    <row r="439" spans="1:27" x14ac:dyDescent="0.3">
      <c r="A439" t="s">
        <v>2246</v>
      </c>
      <c r="B439" s="2">
        <v>45813</v>
      </c>
      <c r="C439" t="s">
        <v>803</v>
      </c>
      <c r="D439" t="s">
        <v>1611</v>
      </c>
      <c r="E439" t="s">
        <v>1790</v>
      </c>
      <c r="F439" s="4">
        <v>3</v>
      </c>
      <c r="G439">
        <v>551.22</v>
      </c>
      <c r="H439">
        <v>0.12</v>
      </c>
      <c r="I439" t="s">
        <v>1809</v>
      </c>
      <c r="J439">
        <v>1455.2208000000001</v>
      </c>
      <c r="K439" t="s">
        <v>3941</v>
      </c>
      <c r="L439">
        <v>34</v>
      </c>
      <c r="M439" t="str">
        <v>Male</v>
      </c>
      <c r="N439" t="str">
        <f>VLOOKUP(C:C,Customer_Dim!B:I,5,1)</f>
        <v>New Maria</v>
      </c>
      <c r="O439" t="str">
        <f>VLOOKUP(C:C,Customer_Dim!B:I,6,1)</f>
        <v>Wisconsin</v>
      </c>
      <c r="P439" t="str">
        <f>VLOOKUP(C:C,Customer_Dim!B:I,7,1)</f>
        <v>USA</v>
      </c>
      <c r="Q439" t="str">
        <f>VLOOKUP(C:C,Customer_Dim!B:I,8,1)</f>
        <v>Bronze</v>
      </c>
      <c r="S439">
        <v>3</v>
      </c>
      <c r="T439">
        <v>551.22</v>
      </c>
      <c r="U439">
        <v>0.12</v>
      </c>
      <c r="V439">
        <v>1455.2208000000001</v>
      </c>
      <c r="X439" s="4">
        <v>3</v>
      </c>
      <c r="Y439">
        <v>551.22</v>
      </c>
      <c r="Z439">
        <v>0.12</v>
      </c>
      <c r="AA439">
        <v>1455.2208000000001</v>
      </c>
    </row>
    <row r="440" spans="1:27" x14ac:dyDescent="0.3">
      <c r="A440" t="s">
        <v>2247</v>
      </c>
      <c r="B440" s="2">
        <v>45811</v>
      </c>
      <c r="C440" t="s">
        <v>527</v>
      </c>
      <c r="D440" t="s">
        <v>1669</v>
      </c>
      <c r="E440" t="s">
        <v>1782</v>
      </c>
      <c r="F440" s="4">
        <v>2</v>
      </c>
      <c r="G440">
        <v>527.05999999999995</v>
      </c>
      <c r="H440">
        <v>0.17</v>
      </c>
      <c r="I440" t="s">
        <v>1809</v>
      </c>
      <c r="J440">
        <v>874.91959999999983</v>
      </c>
      <c r="K440" t="s">
        <v>528</v>
      </c>
      <c r="L440">
        <v>41</v>
      </c>
      <c r="M440" t="str">
        <v>Female</v>
      </c>
      <c r="N440" t="str">
        <f>VLOOKUP(C:C,Customer_Dim!B:I,5,1)</f>
        <v>Floydton</v>
      </c>
      <c r="O440" t="str">
        <f>VLOOKUP(C:C,Customer_Dim!B:I,6,1)</f>
        <v>New Jersey</v>
      </c>
      <c r="P440" t="str">
        <f>VLOOKUP(C:C,Customer_Dim!B:I,7,1)</f>
        <v>USA</v>
      </c>
      <c r="Q440" t="str">
        <f>VLOOKUP(C:C,Customer_Dim!B:I,8,1)</f>
        <v>Gold</v>
      </c>
      <c r="S440">
        <v>2</v>
      </c>
      <c r="T440">
        <v>527.05999999999995</v>
      </c>
      <c r="U440">
        <v>0.17</v>
      </c>
      <c r="V440">
        <v>874.91959999999983</v>
      </c>
      <c r="X440" s="4">
        <v>2</v>
      </c>
      <c r="Y440">
        <v>527.05999999999995</v>
      </c>
      <c r="Z440">
        <v>0.17</v>
      </c>
      <c r="AA440">
        <v>874.91959999999983</v>
      </c>
    </row>
    <row r="441" spans="1:27" x14ac:dyDescent="0.3">
      <c r="A441" t="s">
        <v>2248</v>
      </c>
      <c r="B441" s="2">
        <v>45670</v>
      </c>
      <c r="C441" t="s">
        <v>345</v>
      </c>
      <c r="D441" t="s">
        <v>1655</v>
      </c>
      <c r="E441" t="s">
        <v>1756</v>
      </c>
      <c r="F441" s="4">
        <v>4</v>
      </c>
      <c r="G441">
        <v>875.41</v>
      </c>
      <c r="H441">
        <v>0.27</v>
      </c>
      <c r="I441" t="s">
        <v>1807</v>
      </c>
      <c r="J441">
        <v>2556.1972000000001</v>
      </c>
      <c r="K441" t="s">
        <v>346</v>
      </c>
      <c r="L441">
        <v>35</v>
      </c>
      <c r="M441" t="str">
        <v>Male</v>
      </c>
      <c r="N441" t="str">
        <f>VLOOKUP(C:C,Customer_Dim!B:I,5,1)</f>
        <v>Lake Kaylahaven</v>
      </c>
      <c r="O441" t="str">
        <f>VLOOKUP(C:C,Customer_Dim!B:I,6,1)</f>
        <v>Alaska</v>
      </c>
      <c r="P441" t="str">
        <f>VLOOKUP(C:C,Customer_Dim!B:I,7,1)</f>
        <v>USA</v>
      </c>
      <c r="Q441" t="str">
        <f>VLOOKUP(C:C,Customer_Dim!B:I,8,1)</f>
        <v>Gold</v>
      </c>
      <c r="S441">
        <v>4</v>
      </c>
      <c r="T441">
        <v>875.41</v>
      </c>
      <c r="U441">
        <v>0.27</v>
      </c>
      <c r="V441">
        <v>2556.1972000000001</v>
      </c>
      <c r="X441" s="4">
        <v>4</v>
      </c>
      <c r="Y441">
        <v>875.41</v>
      </c>
      <c r="Z441">
        <v>0.27</v>
      </c>
      <c r="AA441">
        <v>2556.1972000000001</v>
      </c>
    </row>
    <row r="442" spans="1:27" x14ac:dyDescent="0.3">
      <c r="A442" t="s">
        <v>2249</v>
      </c>
      <c r="B442" s="2">
        <v>45736</v>
      </c>
      <c r="C442" t="s">
        <v>40</v>
      </c>
      <c r="D442" t="s">
        <v>1701</v>
      </c>
      <c r="E442" t="s">
        <v>1735</v>
      </c>
      <c r="F442" s="4">
        <v>2</v>
      </c>
      <c r="G442">
        <v>226.43</v>
      </c>
      <c r="H442">
        <v>0.03</v>
      </c>
      <c r="I442" t="s">
        <v>1807</v>
      </c>
      <c r="J442">
        <v>439.27420000000001</v>
      </c>
      <c r="K442" t="s">
        <v>41</v>
      </c>
      <c r="L442">
        <v>53</v>
      </c>
      <c r="M442" t="str">
        <v>Female</v>
      </c>
      <c r="N442" t="str">
        <f>VLOOKUP(C:C,Customer_Dim!B:I,5,1)</f>
        <v>West Pamelafurt</v>
      </c>
      <c r="O442" t="str">
        <f>VLOOKUP(C:C,Customer_Dim!B:I,6,1)</f>
        <v>West Virginia</v>
      </c>
      <c r="P442" t="str">
        <f>VLOOKUP(C:C,Customer_Dim!B:I,7,1)</f>
        <v>USA</v>
      </c>
      <c r="Q442" t="str">
        <f>VLOOKUP(C:C,Customer_Dim!B:I,8,1)</f>
        <v>Bronze</v>
      </c>
      <c r="S442">
        <v>2</v>
      </c>
      <c r="T442">
        <v>226.43</v>
      </c>
      <c r="U442">
        <v>0.03</v>
      </c>
      <c r="V442">
        <v>439.27420000000001</v>
      </c>
      <c r="X442" s="4">
        <v>2</v>
      </c>
      <c r="Y442">
        <v>226.43</v>
      </c>
      <c r="Z442">
        <v>0.03</v>
      </c>
      <c r="AA442">
        <v>439.27420000000001</v>
      </c>
    </row>
    <row r="443" spans="1:27" x14ac:dyDescent="0.3">
      <c r="A443" t="s">
        <v>2250</v>
      </c>
      <c r="B443" s="2">
        <v>45480</v>
      </c>
      <c r="C443" t="s">
        <v>140</v>
      </c>
      <c r="D443" t="s">
        <v>1689</v>
      </c>
      <c r="E443" t="s">
        <v>1756</v>
      </c>
      <c r="F443" s="4">
        <v>2</v>
      </c>
      <c r="G443">
        <v>285.39</v>
      </c>
      <c r="H443">
        <v>0.1</v>
      </c>
      <c r="I443" t="s">
        <v>1807</v>
      </c>
      <c r="J443">
        <v>513.702</v>
      </c>
      <c r="K443" t="s">
        <v>141</v>
      </c>
      <c r="L443">
        <v>20</v>
      </c>
      <c r="M443" t="str">
        <v>Female</v>
      </c>
      <c r="N443" t="str">
        <f>VLOOKUP(C:C,Customer_Dim!B:I,5,1)</f>
        <v>Robertberg</v>
      </c>
      <c r="O443" t="str">
        <f>VLOOKUP(C:C,Customer_Dim!B:I,6,1)</f>
        <v>North Dakota</v>
      </c>
      <c r="P443" t="str">
        <f>VLOOKUP(C:C,Customer_Dim!B:I,7,1)</f>
        <v>USA</v>
      </c>
      <c r="Q443" t="str">
        <f>VLOOKUP(C:C,Customer_Dim!B:I,8,1)</f>
        <v>Silver</v>
      </c>
      <c r="S443">
        <v>2</v>
      </c>
      <c r="T443">
        <v>285.39</v>
      </c>
      <c r="U443">
        <v>0.1</v>
      </c>
      <c r="V443">
        <v>513.702</v>
      </c>
      <c r="X443" s="4">
        <v>2</v>
      </c>
      <c r="Y443">
        <v>285.39</v>
      </c>
      <c r="Z443">
        <v>0.1</v>
      </c>
      <c r="AA443">
        <v>513.702</v>
      </c>
    </row>
    <row r="444" spans="1:27" x14ac:dyDescent="0.3">
      <c r="A444" t="s">
        <v>2251</v>
      </c>
      <c r="B444" s="2">
        <v>45929</v>
      </c>
      <c r="C444" t="s">
        <v>1039</v>
      </c>
      <c r="D444" t="s">
        <v>1553</v>
      </c>
      <c r="E444" t="s">
        <v>1784</v>
      </c>
      <c r="F444" s="4">
        <v>2</v>
      </c>
      <c r="G444">
        <v>298.01</v>
      </c>
      <c r="H444">
        <v>0.05</v>
      </c>
      <c r="I444" t="s">
        <v>1807</v>
      </c>
      <c r="J444">
        <v>566.21899999999994</v>
      </c>
      <c r="K444" t="s">
        <v>1040</v>
      </c>
      <c r="L444">
        <v>37</v>
      </c>
      <c r="M444" t="str">
        <v>Male</v>
      </c>
      <c r="N444" t="str">
        <f>VLOOKUP(C:C,Customer_Dim!B:I,5,1)</f>
        <v>Donaldsontown</v>
      </c>
      <c r="O444" t="str">
        <f>VLOOKUP(C:C,Customer_Dim!B:I,6,1)</f>
        <v>Connecticut</v>
      </c>
      <c r="P444" t="str">
        <f>VLOOKUP(C:C,Customer_Dim!B:I,7,1)</f>
        <v>USA</v>
      </c>
      <c r="Q444" t="str">
        <f>VLOOKUP(C:C,Customer_Dim!B:I,8,1)</f>
        <v>Silver</v>
      </c>
      <c r="S444">
        <v>2</v>
      </c>
      <c r="T444">
        <v>298.01</v>
      </c>
      <c r="U444">
        <v>0.05</v>
      </c>
      <c r="V444">
        <v>566.21899999999994</v>
      </c>
      <c r="X444" s="4">
        <v>2</v>
      </c>
      <c r="Y444">
        <v>298.01</v>
      </c>
      <c r="Z444">
        <v>0.05</v>
      </c>
      <c r="AA444">
        <v>566.21899999999994</v>
      </c>
    </row>
    <row r="445" spans="1:27" x14ac:dyDescent="0.3">
      <c r="A445" t="s">
        <v>2252</v>
      </c>
      <c r="B445" s="2">
        <v>45626</v>
      </c>
      <c r="C445" t="s">
        <v>527</v>
      </c>
      <c r="D445" t="s">
        <v>1611</v>
      </c>
      <c r="E445" t="s">
        <v>1752</v>
      </c>
      <c r="F445" s="4">
        <v>4</v>
      </c>
      <c r="G445">
        <v>753.49</v>
      </c>
      <c r="H445">
        <v>0.26</v>
      </c>
      <c r="I445" t="s">
        <v>1812</v>
      </c>
      <c r="J445">
        <v>2230.3303999999998</v>
      </c>
      <c r="K445" t="s">
        <v>528</v>
      </c>
      <c r="L445">
        <v>41</v>
      </c>
      <c r="M445" t="str">
        <v>Female</v>
      </c>
      <c r="N445" t="str">
        <f>VLOOKUP(C:C,Customer_Dim!B:I,5,1)</f>
        <v>Floydton</v>
      </c>
      <c r="O445" t="str">
        <f>VLOOKUP(C:C,Customer_Dim!B:I,6,1)</f>
        <v>New Jersey</v>
      </c>
      <c r="P445" t="str">
        <f>VLOOKUP(C:C,Customer_Dim!B:I,7,1)</f>
        <v>USA</v>
      </c>
      <c r="Q445" t="str">
        <f>VLOOKUP(C:C,Customer_Dim!B:I,8,1)</f>
        <v>Gold</v>
      </c>
      <c r="S445">
        <v>4</v>
      </c>
      <c r="T445">
        <v>753.49</v>
      </c>
      <c r="U445">
        <v>0.26</v>
      </c>
      <c r="V445">
        <v>2230.3303999999998</v>
      </c>
      <c r="X445" s="4">
        <v>4</v>
      </c>
      <c r="Y445">
        <v>753.49</v>
      </c>
      <c r="Z445">
        <v>0.26</v>
      </c>
      <c r="AA445">
        <v>2230.3303999999998</v>
      </c>
    </row>
    <row r="446" spans="1:27" x14ac:dyDescent="0.3">
      <c r="A446" t="s">
        <v>2253</v>
      </c>
      <c r="B446" s="2">
        <v>45460</v>
      </c>
      <c r="C446" t="s">
        <v>1484</v>
      </c>
      <c r="D446" t="s">
        <v>1687</v>
      </c>
      <c r="E446" t="s">
        <v>1777</v>
      </c>
      <c r="F446" s="4">
        <v>2</v>
      </c>
      <c r="G446">
        <v>130.38999999999999</v>
      </c>
      <c r="H446">
        <v>0.17</v>
      </c>
      <c r="I446" t="s">
        <v>1809</v>
      </c>
      <c r="J446">
        <v>216.44739999999999</v>
      </c>
      <c r="K446" t="s">
        <v>1485</v>
      </c>
      <c r="L446">
        <v>42</v>
      </c>
      <c r="M446" t="str">
        <v>Female</v>
      </c>
      <c r="N446" t="str">
        <f>VLOOKUP(C:C,Customer_Dim!B:I,5,1)</f>
        <v>South Davidport</v>
      </c>
      <c r="O446" t="str">
        <f>VLOOKUP(C:C,Customer_Dim!B:I,6,1)</f>
        <v>California</v>
      </c>
      <c r="P446" t="str">
        <f>VLOOKUP(C:C,Customer_Dim!B:I,7,1)</f>
        <v>USA</v>
      </c>
      <c r="Q446" t="str">
        <f>VLOOKUP(C:C,Customer_Dim!B:I,8,1)</f>
        <v>Platinum</v>
      </c>
      <c r="S446">
        <v>2</v>
      </c>
      <c r="T446">
        <v>130.38999999999999</v>
      </c>
      <c r="U446">
        <v>0.17</v>
      </c>
      <c r="V446">
        <v>216.44739999999999</v>
      </c>
      <c r="X446" s="4">
        <v>2</v>
      </c>
      <c r="Y446">
        <v>130.38999999999999</v>
      </c>
      <c r="Z446">
        <v>0.17</v>
      </c>
      <c r="AA446">
        <v>216.44739999999999</v>
      </c>
    </row>
    <row r="447" spans="1:27" x14ac:dyDescent="0.3">
      <c r="A447" t="s">
        <v>2254</v>
      </c>
      <c r="B447" s="2">
        <v>45709</v>
      </c>
      <c r="C447" t="s">
        <v>1072</v>
      </c>
      <c r="D447" t="s">
        <v>1575</v>
      </c>
      <c r="E447" t="s">
        <v>1769</v>
      </c>
      <c r="F447" s="4">
        <v>4</v>
      </c>
      <c r="G447">
        <v>164.02</v>
      </c>
      <c r="H447">
        <v>0.01</v>
      </c>
      <c r="I447" t="s">
        <v>1809</v>
      </c>
      <c r="J447">
        <v>649.51920000000007</v>
      </c>
      <c r="K447" t="s">
        <v>1073</v>
      </c>
      <c r="L447">
        <v>58</v>
      </c>
      <c r="M447" t="str">
        <v>Female</v>
      </c>
      <c r="N447" t="str">
        <f>VLOOKUP(C:C,Customer_Dim!B:I,5,1)</f>
        <v>North Jonathan</v>
      </c>
      <c r="O447" t="str">
        <f>VLOOKUP(C:C,Customer_Dim!B:I,6,1)</f>
        <v>Oklahoma</v>
      </c>
      <c r="P447" t="str">
        <f>VLOOKUP(C:C,Customer_Dim!B:I,7,1)</f>
        <v>USA</v>
      </c>
      <c r="Q447" t="str">
        <f>VLOOKUP(C:C,Customer_Dim!B:I,8,1)</f>
        <v>Bronze</v>
      </c>
      <c r="S447">
        <v>4</v>
      </c>
      <c r="T447">
        <v>164.02</v>
      </c>
      <c r="U447">
        <v>0.01</v>
      </c>
      <c r="V447">
        <v>649.51920000000007</v>
      </c>
      <c r="X447" s="4">
        <v>4</v>
      </c>
      <c r="Y447">
        <v>164.02</v>
      </c>
      <c r="Z447">
        <v>0.01</v>
      </c>
      <c r="AA447">
        <v>649.51920000000007</v>
      </c>
    </row>
    <row r="448" spans="1:27" x14ac:dyDescent="0.3">
      <c r="A448" t="s">
        <v>2255</v>
      </c>
      <c r="B448" s="2">
        <v>45551</v>
      </c>
      <c r="C448" t="s">
        <v>542</v>
      </c>
      <c r="D448" t="s">
        <v>1589</v>
      </c>
      <c r="E448" t="s">
        <v>1752</v>
      </c>
      <c r="F448" s="4">
        <v>2</v>
      </c>
      <c r="G448">
        <v>527.51</v>
      </c>
      <c r="H448">
        <v>0.18</v>
      </c>
      <c r="I448" t="s">
        <v>1809</v>
      </c>
      <c r="J448">
        <v>865.1164</v>
      </c>
      <c r="K448" t="s">
        <v>543</v>
      </c>
      <c r="L448">
        <v>47</v>
      </c>
      <c r="M448" t="str">
        <v>Female</v>
      </c>
      <c r="N448" t="str">
        <f>VLOOKUP(C:C,Customer_Dim!B:I,5,1)</f>
        <v>Dominiquefort</v>
      </c>
      <c r="O448" t="str">
        <f>VLOOKUP(C:C,Customer_Dim!B:I,6,1)</f>
        <v>Georgia</v>
      </c>
      <c r="P448" t="str">
        <f>VLOOKUP(C:C,Customer_Dim!B:I,7,1)</f>
        <v>USA</v>
      </c>
      <c r="Q448" t="str">
        <f>VLOOKUP(C:C,Customer_Dim!B:I,8,1)</f>
        <v>Silver</v>
      </c>
      <c r="S448">
        <v>2</v>
      </c>
      <c r="T448">
        <v>527.51</v>
      </c>
      <c r="U448">
        <v>0.18</v>
      </c>
      <c r="V448">
        <v>865.1164</v>
      </c>
      <c r="X448" s="4">
        <v>2</v>
      </c>
      <c r="Y448">
        <v>527.51</v>
      </c>
      <c r="Z448">
        <v>0.18</v>
      </c>
      <c r="AA448">
        <v>865.1164</v>
      </c>
    </row>
    <row r="449" spans="1:27" x14ac:dyDescent="0.3">
      <c r="A449" t="s">
        <v>2256</v>
      </c>
      <c r="B449" s="2">
        <v>45939</v>
      </c>
      <c r="C449" t="s">
        <v>803</v>
      </c>
      <c r="D449" t="s">
        <v>1645</v>
      </c>
      <c r="E449" t="s">
        <v>1780</v>
      </c>
      <c r="F449" s="4">
        <v>3</v>
      </c>
      <c r="G449">
        <v>628.17999999999995</v>
      </c>
      <c r="H449">
        <v>0.26</v>
      </c>
      <c r="I449" t="s">
        <v>1807</v>
      </c>
      <c r="J449">
        <v>1394.5596</v>
      </c>
      <c r="K449" t="s">
        <v>3941</v>
      </c>
      <c r="L449">
        <v>34</v>
      </c>
      <c r="M449" t="str">
        <v>Male</v>
      </c>
      <c r="N449" t="str">
        <f>VLOOKUP(C:C,Customer_Dim!B:I,5,1)</f>
        <v>New Maria</v>
      </c>
      <c r="O449" t="str">
        <f>VLOOKUP(C:C,Customer_Dim!B:I,6,1)</f>
        <v>Wisconsin</v>
      </c>
      <c r="P449" t="str">
        <f>VLOOKUP(C:C,Customer_Dim!B:I,7,1)</f>
        <v>USA</v>
      </c>
      <c r="Q449" t="str">
        <f>VLOOKUP(C:C,Customer_Dim!B:I,8,1)</f>
        <v>Bronze</v>
      </c>
      <c r="S449">
        <v>3</v>
      </c>
      <c r="T449">
        <v>628.17999999999995</v>
      </c>
      <c r="U449">
        <v>0.26</v>
      </c>
      <c r="V449">
        <v>1394.5596</v>
      </c>
      <c r="X449" s="4">
        <v>3</v>
      </c>
      <c r="Y449">
        <v>628.17999999999995</v>
      </c>
      <c r="Z449">
        <v>0.26</v>
      </c>
      <c r="AA449">
        <v>1394.5596</v>
      </c>
    </row>
    <row r="450" spans="1:27" x14ac:dyDescent="0.3">
      <c r="A450" t="s">
        <v>2257</v>
      </c>
      <c r="B450" s="2">
        <v>45553</v>
      </c>
      <c r="C450" t="s">
        <v>850</v>
      </c>
      <c r="D450" t="s">
        <v>1643</v>
      </c>
      <c r="E450" t="s">
        <v>1749</v>
      </c>
      <c r="F450" s="4">
        <v>1</v>
      </c>
      <c r="G450">
        <v>862.31</v>
      </c>
      <c r="H450">
        <v>0.06</v>
      </c>
      <c r="I450" t="s">
        <v>1807</v>
      </c>
      <c r="J450">
        <v>810.57139999999993</v>
      </c>
      <c r="K450" t="s">
        <v>851</v>
      </c>
      <c r="L450">
        <v>31</v>
      </c>
      <c r="M450" t="str">
        <v>Female</v>
      </c>
      <c r="N450" t="str">
        <f>VLOOKUP(C:C,Customer_Dim!B:I,5,1)</f>
        <v>Emilytown</v>
      </c>
      <c r="O450" t="str">
        <f>VLOOKUP(C:C,Customer_Dim!B:I,6,1)</f>
        <v>California</v>
      </c>
      <c r="P450" t="str">
        <f>VLOOKUP(C:C,Customer_Dim!B:I,7,1)</f>
        <v>USA</v>
      </c>
      <c r="Q450" t="str">
        <f>VLOOKUP(C:C,Customer_Dim!B:I,8,1)</f>
        <v>Silver</v>
      </c>
      <c r="S450">
        <v>1</v>
      </c>
      <c r="T450">
        <v>862.31</v>
      </c>
      <c r="U450">
        <v>0.06</v>
      </c>
      <c r="V450">
        <v>810.57139999999993</v>
      </c>
      <c r="X450" s="4">
        <v>1</v>
      </c>
      <c r="Y450">
        <v>862.31</v>
      </c>
      <c r="Z450">
        <v>0.06</v>
      </c>
      <c r="AA450">
        <v>810.57139999999993</v>
      </c>
    </row>
    <row r="451" spans="1:27" x14ac:dyDescent="0.3">
      <c r="A451" t="s">
        <v>2258</v>
      </c>
      <c r="B451" s="2">
        <v>45806</v>
      </c>
      <c r="C451" t="s">
        <v>258</v>
      </c>
      <c r="D451" t="s">
        <v>1697</v>
      </c>
      <c r="E451" t="s">
        <v>1782</v>
      </c>
      <c r="F451" s="4">
        <v>2</v>
      </c>
      <c r="G451">
        <v>541.39</v>
      </c>
      <c r="H451">
        <v>0.03</v>
      </c>
      <c r="I451" t="s">
        <v>1812</v>
      </c>
      <c r="J451">
        <v>1050.2965999999999</v>
      </c>
      <c r="K451" t="s">
        <v>259</v>
      </c>
      <c r="L451">
        <v>39</v>
      </c>
      <c r="M451" t="str">
        <v>Female</v>
      </c>
      <c r="N451" t="str">
        <f>VLOOKUP(C:C,Customer_Dim!B:I,5,1)</f>
        <v>South Shaun</v>
      </c>
      <c r="O451" t="str">
        <f>VLOOKUP(C:C,Customer_Dim!B:I,6,1)</f>
        <v>New Mexico</v>
      </c>
      <c r="P451" t="str">
        <f>VLOOKUP(C:C,Customer_Dim!B:I,7,1)</f>
        <v>USA</v>
      </c>
      <c r="Q451" t="str">
        <f>VLOOKUP(C:C,Customer_Dim!B:I,8,1)</f>
        <v>Gold</v>
      </c>
      <c r="S451">
        <v>2</v>
      </c>
      <c r="T451">
        <v>541.39</v>
      </c>
      <c r="U451">
        <v>0.03</v>
      </c>
      <c r="V451">
        <v>1050.2965999999999</v>
      </c>
      <c r="X451" s="4">
        <v>2</v>
      </c>
      <c r="Y451">
        <v>541.39</v>
      </c>
      <c r="Z451">
        <v>0.03</v>
      </c>
      <c r="AA451">
        <v>1050.2965999999999</v>
      </c>
    </row>
    <row r="452" spans="1:27" x14ac:dyDescent="0.3">
      <c r="A452" t="s">
        <v>2259</v>
      </c>
      <c r="B452" s="2">
        <v>45811</v>
      </c>
      <c r="C452" t="s">
        <v>1453</v>
      </c>
      <c r="D452" t="s">
        <v>1683</v>
      </c>
      <c r="E452" t="s">
        <v>1787</v>
      </c>
      <c r="F452" s="4">
        <v>3</v>
      </c>
      <c r="G452">
        <v>761.8</v>
      </c>
      <c r="H452">
        <v>0.06</v>
      </c>
      <c r="I452" t="s">
        <v>1812</v>
      </c>
      <c r="J452">
        <v>2148.2759999999989</v>
      </c>
      <c r="K452" t="s">
        <v>1454</v>
      </c>
      <c r="L452">
        <v>59</v>
      </c>
      <c r="M452" t="str">
        <v>Male</v>
      </c>
      <c r="N452" t="str">
        <f>VLOOKUP(C:C,Customer_Dim!B:I,5,1)</f>
        <v>West Kelseyberg</v>
      </c>
      <c r="O452" t="str">
        <f>VLOOKUP(C:C,Customer_Dim!B:I,6,1)</f>
        <v>Kansas</v>
      </c>
      <c r="P452" t="str">
        <f>VLOOKUP(C:C,Customer_Dim!B:I,7,1)</f>
        <v>USA</v>
      </c>
      <c r="Q452" t="str">
        <f>VLOOKUP(C:C,Customer_Dim!B:I,8,1)</f>
        <v>Platinum</v>
      </c>
      <c r="S452">
        <v>3</v>
      </c>
      <c r="T452">
        <v>761.8</v>
      </c>
      <c r="U452">
        <v>0.06</v>
      </c>
      <c r="V452">
        <v>2148.2759999999989</v>
      </c>
      <c r="X452" s="4">
        <v>3</v>
      </c>
      <c r="Y452">
        <v>761.8</v>
      </c>
      <c r="Z452">
        <v>0.06</v>
      </c>
      <c r="AA452">
        <v>2148.2759999999989</v>
      </c>
    </row>
    <row r="453" spans="1:27" x14ac:dyDescent="0.3">
      <c r="A453" t="s">
        <v>2260</v>
      </c>
      <c r="B453" s="2">
        <v>45508</v>
      </c>
      <c r="C453" t="s">
        <v>1295</v>
      </c>
      <c r="D453" t="s">
        <v>1629</v>
      </c>
      <c r="E453" t="s">
        <v>1744</v>
      </c>
      <c r="F453" s="4">
        <v>4</v>
      </c>
      <c r="G453">
        <v>829.36</v>
      </c>
      <c r="H453">
        <v>0.11</v>
      </c>
      <c r="I453" t="s">
        <v>1809</v>
      </c>
      <c r="J453">
        <v>2952.5216</v>
      </c>
      <c r="K453" t="s">
        <v>3950</v>
      </c>
      <c r="L453">
        <v>35</v>
      </c>
      <c r="M453" t="str">
        <v>Male</v>
      </c>
      <c r="N453" t="str">
        <f>VLOOKUP(C:C,Customer_Dim!B:I,5,1)</f>
        <v>Aliciahaven</v>
      </c>
      <c r="O453" t="str">
        <f>VLOOKUP(C:C,Customer_Dim!B:I,6,1)</f>
        <v>Kansas</v>
      </c>
      <c r="P453" t="str">
        <f>VLOOKUP(C:C,Customer_Dim!B:I,7,1)</f>
        <v>USA</v>
      </c>
      <c r="Q453" t="str">
        <f>VLOOKUP(C:C,Customer_Dim!B:I,8,1)</f>
        <v>Platinum</v>
      </c>
      <c r="S453">
        <v>4</v>
      </c>
      <c r="T453">
        <v>829.36</v>
      </c>
      <c r="U453">
        <v>0.11</v>
      </c>
      <c r="V453">
        <v>2952.5216</v>
      </c>
      <c r="X453" s="4">
        <v>4</v>
      </c>
      <c r="Y453">
        <v>829.36</v>
      </c>
      <c r="Z453">
        <v>0.11</v>
      </c>
      <c r="AA453">
        <v>2952.5216</v>
      </c>
    </row>
    <row r="454" spans="1:27" x14ac:dyDescent="0.3">
      <c r="A454" t="s">
        <v>2261</v>
      </c>
      <c r="B454" s="2">
        <v>45460</v>
      </c>
      <c r="C454" t="s">
        <v>1243</v>
      </c>
      <c r="D454" t="s">
        <v>1577</v>
      </c>
      <c r="E454" t="s">
        <v>1787</v>
      </c>
      <c r="F454" s="4">
        <v>2</v>
      </c>
      <c r="G454">
        <v>425.06</v>
      </c>
      <c r="H454">
        <v>0.09</v>
      </c>
      <c r="I454" t="s">
        <v>1809</v>
      </c>
      <c r="J454">
        <v>773.60919999999999</v>
      </c>
      <c r="K454" t="s">
        <v>1244</v>
      </c>
      <c r="L454">
        <v>18</v>
      </c>
      <c r="M454" t="str">
        <v>Female</v>
      </c>
      <c r="N454" t="str">
        <f>VLOOKUP(C:C,Customer_Dim!B:I,5,1)</f>
        <v>South Angela</v>
      </c>
      <c r="O454" t="str">
        <f>VLOOKUP(C:C,Customer_Dim!B:I,6,1)</f>
        <v>Arkansas</v>
      </c>
      <c r="P454" t="str">
        <f>VLOOKUP(C:C,Customer_Dim!B:I,7,1)</f>
        <v>USA</v>
      </c>
      <c r="Q454" t="str">
        <f>VLOOKUP(C:C,Customer_Dim!B:I,8,1)</f>
        <v>Silver</v>
      </c>
      <c r="S454">
        <v>2</v>
      </c>
      <c r="T454">
        <v>425.06</v>
      </c>
      <c r="U454">
        <v>0.09</v>
      </c>
      <c r="V454">
        <v>773.60919999999999</v>
      </c>
      <c r="X454" s="4">
        <v>2</v>
      </c>
      <c r="Y454">
        <v>425.06</v>
      </c>
      <c r="Z454">
        <v>0.09</v>
      </c>
      <c r="AA454">
        <v>773.60919999999999</v>
      </c>
    </row>
    <row r="455" spans="1:27" x14ac:dyDescent="0.3">
      <c r="A455" t="s">
        <v>2262</v>
      </c>
      <c r="B455" s="2">
        <v>45311</v>
      </c>
      <c r="C455" t="s">
        <v>433</v>
      </c>
      <c r="D455" t="s">
        <v>1641</v>
      </c>
      <c r="E455" t="s">
        <v>1735</v>
      </c>
      <c r="F455" s="4">
        <v>2</v>
      </c>
      <c r="G455">
        <v>911.14</v>
      </c>
      <c r="H455">
        <v>0.1</v>
      </c>
      <c r="I455" t="s">
        <v>1807</v>
      </c>
      <c r="J455">
        <v>1640.0519999999999</v>
      </c>
      <c r="K455" t="s">
        <v>434</v>
      </c>
      <c r="L455">
        <v>45</v>
      </c>
      <c r="M455" t="str">
        <v>Male</v>
      </c>
      <c r="N455" t="str">
        <f>VLOOKUP(C:C,Customer_Dim!B:I,5,1)</f>
        <v>South Nathan</v>
      </c>
      <c r="O455" t="str">
        <f>VLOOKUP(C:C,Customer_Dim!B:I,6,1)</f>
        <v>Vermont</v>
      </c>
      <c r="P455" t="str">
        <f>VLOOKUP(C:C,Customer_Dim!B:I,7,1)</f>
        <v>USA</v>
      </c>
      <c r="Q455" t="str">
        <f>VLOOKUP(C:C,Customer_Dim!B:I,8,1)</f>
        <v>Platinum</v>
      </c>
      <c r="S455">
        <v>2</v>
      </c>
      <c r="T455">
        <v>911.14</v>
      </c>
      <c r="U455">
        <v>0.1</v>
      </c>
      <c r="V455">
        <v>1640.0519999999999</v>
      </c>
      <c r="X455" s="4">
        <v>2</v>
      </c>
      <c r="Y455">
        <v>911.14</v>
      </c>
      <c r="Z455">
        <v>0.1</v>
      </c>
      <c r="AA455">
        <v>1640.0519999999999</v>
      </c>
    </row>
    <row r="456" spans="1:27" x14ac:dyDescent="0.3">
      <c r="A456" t="s">
        <v>2263</v>
      </c>
      <c r="B456" s="2">
        <v>45906</v>
      </c>
      <c r="C456" t="s">
        <v>301</v>
      </c>
      <c r="D456" t="s">
        <v>1667</v>
      </c>
      <c r="E456" t="s">
        <v>1765</v>
      </c>
      <c r="F456" s="4">
        <v>3</v>
      </c>
      <c r="G456">
        <v>811.96</v>
      </c>
      <c r="H456">
        <v>0.28999999999999998</v>
      </c>
      <c r="I456" t="s">
        <v>1807</v>
      </c>
      <c r="J456">
        <v>1729.4748</v>
      </c>
      <c r="K456" t="s">
        <v>302</v>
      </c>
      <c r="L456">
        <v>36</v>
      </c>
      <c r="M456" t="str">
        <v>Male</v>
      </c>
      <c r="N456" t="str">
        <f>VLOOKUP(C:C,Customer_Dim!B:I,5,1)</f>
        <v>Garyberg</v>
      </c>
      <c r="O456" t="str">
        <f>VLOOKUP(C:C,Customer_Dim!B:I,6,1)</f>
        <v>Indiana</v>
      </c>
      <c r="P456" t="str">
        <f>VLOOKUP(C:C,Customer_Dim!B:I,7,1)</f>
        <v>USA</v>
      </c>
      <c r="Q456" t="str">
        <f>VLOOKUP(C:C,Customer_Dim!B:I,8,1)</f>
        <v>Platinum</v>
      </c>
      <c r="S456">
        <v>3</v>
      </c>
      <c r="T456">
        <v>811.96</v>
      </c>
      <c r="U456">
        <v>0.28999999999999998</v>
      </c>
      <c r="V456">
        <v>1729.4748</v>
      </c>
      <c r="X456" s="4">
        <v>3</v>
      </c>
      <c r="Y456">
        <v>811.96</v>
      </c>
      <c r="Z456">
        <v>0.28999999999999998</v>
      </c>
      <c r="AA456">
        <v>1729.4748</v>
      </c>
    </row>
    <row r="457" spans="1:27" x14ac:dyDescent="0.3">
      <c r="A457" t="s">
        <v>2264</v>
      </c>
      <c r="B457" s="2">
        <v>45380</v>
      </c>
      <c r="C457" t="s">
        <v>861</v>
      </c>
      <c r="D457" t="s">
        <v>1593</v>
      </c>
      <c r="E457" t="s">
        <v>1772</v>
      </c>
      <c r="F457" s="4">
        <v>2</v>
      </c>
      <c r="G457">
        <v>780.05</v>
      </c>
      <c r="H457">
        <v>0.12</v>
      </c>
      <c r="I457" t="s">
        <v>1812</v>
      </c>
      <c r="J457">
        <v>1372.8879999999999</v>
      </c>
      <c r="K457" t="s">
        <v>862</v>
      </c>
      <c r="L457">
        <v>38</v>
      </c>
      <c r="M457" t="str">
        <v>Male</v>
      </c>
      <c r="N457" t="str">
        <f>VLOOKUP(C:C,Customer_Dim!B:I,5,1)</f>
        <v>North Roy</v>
      </c>
      <c r="O457" t="str">
        <f>VLOOKUP(C:C,Customer_Dim!B:I,6,1)</f>
        <v>Mississippi</v>
      </c>
      <c r="P457" t="str">
        <f>VLOOKUP(C:C,Customer_Dim!B:I,7,1)</f>
        <v>USA</v>
      </c>
      <c r="Q457" t="str">
        <f>VLOOKUP(C:C,Customer_Dim!B:I,8,1)</f>
        <v>Bronze</v>
      </c>
      <c r="S457">
        <v>2</v>
      </c>
      <c r="T457">
        <v>780.05</v>
      </c>
      <c r="U457">
        <v>0.12</v>
      </c>
      <c r="V457">
        <v>1372.8879999999999</v>
      </c>
      <c r="X457" s="4">
        <v>2</v>
      </c>
      <c r="Y457">
        <v>780.05</v>
      </c>
      <c r="Z457">
        <v>0.12</v>
      </c>
      <c r="AA457">
        <v>1372.8879999999999</v>
      </c>
    </row>
    <row r="458" spans="1:27" x14ac:dyDescent="0.3">
      <c r="A458" t="s">
        <v>2265</v>
      </c>
      <c r="B458" s="2">
        <v>45527</v>
      </c>
      <c r="C458" t="s">
        <v>693</v>
      </c>
      <c r="D458" t="s">
        <v>1595</v>
      </c>
      <c r="E458" t="s">
        <v>1769</v>
      </c>
      <c r="F458" s="4">
        <v>4</v>
      </c>
      <c r="G458">
        <v>315.95</v>
      </c>
      <c r="H458">
        <v>0.19</v>
      </c>
      <c r="I458" t="s">
        <v>1812</v>
      </c>
      <c r="J458">
        <v>1023.678</v>
      </c>
      <c r="K458" t="s">
        <v>694</v>
      </c>
      <c r="L458">
        <v>44</v>
      </c>
      <c r="M458" t="str">
        <v>Male</v>
      </c>
      <c r="N458" t="str">
        <f>VLOOKUP(C:C,Customer_Dim!B:I,5,1)</f>
        <v>East Josephside</v>
      </c>
      <c r="O458" t="str">
        <f>VLOOKUP(C:C,Customer_Dim!B:I,6,1)</f>
        <v>Oregon</v>
      </c>
      <c r="P458" t="str">
        <f>VLOOKUP(C:C,Customer_Dim!B:I,7,1)</f>
        <v>USA</v>
      </c>
      <c r="Q458" t="str">
        <f>VLOOKUP(C:C,Customer_Dim!B:I,8,1)</f>
        <v>Gold</v>
      </c>
      <c r="S458">
        <v>4</v>
      </c>
      <c r="T458">
        <v>315.95</v>
      </c>
      <c r="U458">
        <v>0.19</v>
      </c>
      <c r="V458">
        <v>1023.678</v>
      </c>
      <c r="X458" s="4">
        <v>4</v>
      </c>
      <c r="Y458">
        <v>315.95</v>
      </c>
      <c r="Z458">
        <v>0.19</v>
      </c>
      <c r="AA458">
        <v>1023.678</v>
      </c>
    </row>
    <row r="459" spans="1:27" x14ac:dyDescent="0.3">
      <c r="A459" t="s">
        <v>2266</v>
      </c>
      <c r="B459" s="2">
        <v>45796</v>
      </c>
      <c r="C459" t="s">
        <v>731</v>
      </c>
      <c r="D459" t="s">
        <v>1635</v>
      </c>
      <c r="E459" t="s">
        <v>1769</v>
      </c>
      <c r="F459" s="4">
        <v>2</v>
      </c>
      <c r="G459">
        <v>810.17</v>
      </c>
      <c r="H459">
        <v>0.27</v>
      </c>
      <c r="I459" t="s">
        <v>1807</v>
      </c>
      <c r="J459">
        <v>1182.8481999999999</v>
      </c>
      <c r="K459" t="s">
        <v>732</v>
      </c>
      <c r="L459">
        <v>29</v>
      </c>
      <c r="M459" t="str">
        <v>Male</v>
      </c>
      <c r="N459" t="str">
        <f>VLOOKUP(C:C,Customer_Dim!B:I,5,1)</f>
        <v>Port Lisashire</v>
      </c>
      <c r="O459" t="str">
        <f>VLOOKUP(C:C,Customer_Dim!B:I,6,1)</f>
        <v>Maryland</v>
      </c>
      <c r="P459" t="str">
        <f>VLOOKUP(C:C,Customer_Dim!B:I,7,1)</f>
        <v>USA</v>
      </c>
      <c r="Q459" t="str">
        <f>VLOOKUP(C:C,Customer_Dim!B:I,8,1)</f>
        <v>Bronze</v>
      </c>
      <c r="S459">
        <v>2</v>
      </c>
      <c r="T459">
        <v>810.17</v>
      </c>
      <c r="U459">
        <v>0.27</v>
      </c>
      <c r="V459">
        <v>1182.8481999999999</v>
      </c>
      <c r="X459" s="4">
        <v>2</v>
      </c>
      <c r="Y459">
        <v>810.17</v>
      </c>
      <c r="Z459">
        <v>0.27</v>
      </c>
      <c r="AA459">
        <v>1182.8481999999999</v>
      </c>
    </row>
    <row r="460" spans="1:27" x14ac:dyDescent="0.3">
      <c r="A460" t="s">
        <v>2267</v>
      </c>
      <c r="B460" s="2">
        <v>45389</v>
      </c>
      <c r="C460" t="s">
        <v>663</v>
      </c>
      <c r="D460" t="s">
        <v>1699</v>
      </c>
      <c r="E460" t="s">
        <v>1752</v>
      </c>
      <c r="F460" s="4">
        <v>3</v>
      </c>
      <c r="G460">
        <v>505.01</v>
      </c>
      <c r="H460">
        <v>0.02</v>
      </c>
      <c r="I460" t="s">
        <v>1809</v>
      </c>
      <c r="J460">
        <v>1484.7293999999999</v>
      </c>
      <c r="K460" t="s">
        <v>664</v>
      </c>
      <c r="L460">
        <v>26</v>
      </c>
      <c r="M460" t="str">
        <v>Female</v>
      </c>
      <c r="N460" t="str">
        <f>VLOOKUP(C:C,Customer_Dim!B:I,5,1)</f>
        <v>Lake Danielleton</v>
      </c>
      <c r="O460" t="str">
        <f>VLOOKUP(C:C,Customer_Dim!B:I,6,1)</f>
        <v>New Jersey</v>
      </c>
      <c r="P460" t="str">
        <f>VLOOKUP(C:C,Customer_Dim!B:I,7,1)</f>
        <v>USA</v>
      </c>
      <c r="Q460" t="str">
        <f>VLOOKUP(C:C,Customer_Dim!B:I,8,1)</f>
        <v>Gold</v>
      </c>
      <c r="S460">
        <v>3</v>
      </c>
      <c r="T460">
        <v>505.01</v>
      </c>
      <c r="U460">
        <v>0.02</v>
      </c>
      <c r="V460">
        <v>1484.7293999999999</v>
      </c>
      <c r="X460" s="4">
        <v>3</v>
      </c>
      <c r="Y460">
        <v>505.01</v>
      </c>
      <c r="Z460">
        <v>0.02</v>
      </c>
      <c r="AA460">
        <v>1484.7293999999999</v>
      </c>
    </row>
    <row r="461" spans="1:27" x14ac:dyDescent="0.3">
      <c r="A461" t="s">
        <v>2268</v>
      </c>
      <c r="B461" s="2">
        <v>45315</v>
      </c>
      <c r="C461" t="s">
        <v>1424</v>
      </c>
      <c r="D461" t="s">
        <v>1675</v>
      </c>
      <c r="E461" t="s">
        <v>1790</v>
      </c>
      <c r="F461" s="4">
        <v>2</v>
      </c>
      <c r="G461">
        <v>736.75</v>
      </c>
      <c r="H461">
        <v>0.18</v>
      </c>
      <c r="I461" t="s">
        <v>1807</v>
      </c>
      <c r="J461">
        <v>1208.27</v>
      </c>
      <c r="K461" t="s">
        <v>1425</v>
      </c>
      <c r="L461">
        <v>45</v>
      </c>
      <c r="M461" t="str">
        <v>Male</v>
      </c>
      <c r="N461" t="str">
        <f>VLOOKUP(C:C,Customer_Dim!B:I,5,1)</f>
        <v>Oneillfurt</v>
      </c>
      <c r="O461" t="str">
        <f>VLOOKUP(C:C,Customer_Dim!B:I,6,1)</f>
        <v>Vermont</v>
      </c>
      <c r="P461" t="str">
        <f>VLOOKUP(C:C,Customer_Dim!B:I,7,1)</f>
        <v>USA</v>
      </c>
      <c r="Q461" t="str">
        <f>VLOOKUP(C:C,Customer_Dim!B:I,8,1)</f>
        <v>Gold</v>
      </c>
      <c r="S461">
        <v>2</v>
      </c>
      <c r="T461">
        <v>736.75</v>
      </c>
      <c r="U461">
        <v>0.18</v>
      </c>
      <c r="V461">
        <v>1208.27</v>
      </c>
      <c r="X461" s="4">
        <v>2</v>
      </c>
      <c r="Y461">
        <v>736.75</v>
      </c>
      <c r="Z461">
        <v>0.18</v>
      </c>
      <c r="AA461">
        <v>1208.27</v>
      </c>
    </row>
    <row r="462" spans="1:27" x14ac:dyDescent="0.3">
      <c r="A462" t="s">
        <v>2269</v>
      </c>
      <c r="B462" s="2">
        <v>45311</v>
      </c>
      <c r="C462" t="s">
        <v>114</v>
      </c>
      <c r="D462" t="s">
        <v>1685</v>
      </c>
      <c r="E462" t="s">
        <v>1769</v>
      </c>
      <c r="F462" s="4">
        <v>4</v>
      </c>
      <c r="G462">
        <v>700.31</v>
      </c>
      <c r="H462">
        <v>0.2</v>
      </c>
      <c r="I462" t="s">
        <v>1809</v>
      </c>
      <c r="J462">
        <v>2240.9920000000002</v>
      </c>
      <c r="K462" t="s">
        <v>115</v>
      </c>
      <c r="L462">
        <v>27</v>
      </c>
      <c r="M462" t="str">
        <v>Female</v>
      </c>
      <c r="N462" t="str">
        <f>VLOOKUP(C:C,Customer_Dim!B:I,5,1)</f>
        <v>Mollyshire</v>
      </c>
      <c r="O462" t="str">
        <f>VLOOKUP(C:C,Customer_Dim!B:I,6,1)</f>
        <v>Utah</v>
      </c>
      <c r="P462" t="str">
        <f>VLOOKUP(C:C,Customer_Dim!B:I,7,1)</f>
        <v>USA</v>
      </c>
      <c r="Q462" t="str">
        <f>VLOOKUP(C:C,Customer_Dim!B:I,8,1)</f>
        <v>Platinum</v>
      </c>
      <c r="S462">
        <v>4</v>
      </c>
      <c r="T462">
        <v>700.31</v>
      </c>
      <c r="U462">
        <v>0.2</v>
      </c>
      <c r="V462">
        <v>2240.9920000000002</v>
      </c>
      <c r="X462" s="4">
        <v>4</v>
      </c>
      <c r="Y462">
        <v>700.31</v>
      </c>
      <c r="Z462">
        <v>0.2</v>
      </c>
      <c r="AA462">
        <v>2240.9920000000002</v>
      </c>
    </row>
    <row r="463" spans="1:27" x14ac:dyDescent="0.3">
      <c r="A463" t="s">
        <v>2270</v>
      </c>
      <c r="B463" s="2">
        <v>45270</v>
      </c>
      <c r="C463" t="s">
        <v>439</v>
      </c>
      <c r="D463" t="s">
        <v>1713</v>
      </c>
      <c r="E463" t="s">
        <v>1775</v>
      </c>
      <c r="F463" s="4">
        <v>4</v>
      </c>
      <c r="G463">
        <v>202.46</v>
      </c>
      <c r="H463">
        <v>0.24</v>
      </c>
      <c r="I463" t="s">
        <v>1807</v>
      </c>
      <c r="J463">
        <v>615.47840000000008</v>
      </c>
      <c r="K463" t="s">
        <v>440</v>
      </c>
      <c r="L463">
        <v>29</v>
      </c>
      <c r="M463" t="str">
        <v>Male</v>
      </c>
      <c r="N463" t="str">
        <f>VLOOKUP(C:C,Customer_Dim!B:I,5,1)</f>
        <v>Matthewbury</v>
      </c>
      <c r="O463" t="str">
        <f>VLOOKUP(C:C,Customer_Dim!B:I,6,1)</f>
        <v>South Dakota</v>
      </c>
      <c r="P463" t="str">
        <f>VLOOKUP(C:C,Customer_Dim!B:I,7,1)</f>
        <v>USA</v>
      </c>
      <c r="Q463" t="str">
        <f>VLOOKUP(C:C,Customer_Dim!B:I,8,1)</f>
        <v>Silver</v>
      </c>
      <c r="S463">
        <v>4</v>
      </c>
      <c r="T463">
        <v>202.46</v>
      </c>
      <c r="U463">
        <v>0.24</v>
      </c>
      <c r="V463">
        <v>615.47840000000008</v>
      </c>
      <c r="X463" s="4">
        <v>4</v>
      </c>
      <c r="Y463">
        <v>202.46</v>
      </c>
      <c r="Z463">
        <v>0.24</v>
      </c>
      <c r="AA463">
        <v>615.47840000000008</v>
      </c>
    </row>
    <row r="464" spans="1:27" x14ac:dyDescent="0.3">
      <c r="A464" t="s">
        <v>2271</v>
      </c>
      <c r="B464" s="2">
        <v>45279</v>
      </c>
      <c r="C464" t="s">
        <v>839</v>
      </c>
      <c r="D464" t="s">
        <v>1705</v>
      </c>
      <c r="E464" t="s">
        <v>1740</v>
      </c>
      <c r="F464" s="4">
        <v>2</v>
      </c>
      <c r="G464">
        <v>291.83999999999997</v>
      </c>
      <c r="H464">
        <v>0.25</v>
      </c>
      <c r="I464" t="s">
        <v>1809</v>
      </c>
      <c r="J464">
        <v>437.76</v>
      </c>
      <c r="K464" t="s">
        <v>840</v>
      </c>
      <c r="L464">
        <v>32</v>
      </c>
      <c r="M464" t="str">
        <v>Female</v>
      </c>
      <c r="N464" t="str">
        <f>VLOOKUP(C:C,Customer_Dim!B:I,5,1)</f>
        <v>West Jamieport</v>
      </c>
      <c r="O464" t="str">
        <f>VLOOKUP(C:C,Customer_Dim!B:I,6,1)</f>
        <v>Tennessee</v>
      </c>
      <c r="P464" t="str">
        <f>VLOOKUP(C:C,Customer_Dim!B:I,7,1)</f>
        <v>USA</v>
      </c>
      <c r="Q464" t="str">
        <f>VLOOKUP(C:C,Customer_Dim!B:I,8,1)</f>
        <v>Silver</v>
      </c>
      <c r="S464">
        <v>2</v>
      </c>
      <c r="T464">
        <v>291.83999999999997</v>
      </c>
      <c r="U464">
        <v>0.25</v>
      </c>
      <c r="V464">
        <v>437.76</v>
      </c>
      <c r="X464" s="4">
        <v>2</v>
      </c>
      <c r="Y464">
        <v>291.83999999999997</v>
      </c>
      <c r="Z464">
        <v>0.25</v>
      </c>
      <c r="AA464">
        <v>437.76</v>
      </c>
    </row>
    <row r="465" spans="1:27" x14ac:dyDescent="0.3">
      <c r="A465" t="s">
        <v>2272</v>
      </c>
      <c r="B465" s="2">
        <v>45252</v>
      </c>
      <c r="C465" t="s">
        <v>539</v>
      </c>
      <c r="D465" t="s">
        <v>1725</v>
      </c>
      <c r="E465" t="s">
        <v>1756</v>
      </c>
      <c r="F465" s="4">
        <v>2</v>
      </c>
      <c r="G465">
        <v>261.48</v>
      </c>
      <c r="H465">
        <v>0.17</v>
      </c>
      <c r="I465" t="s">
        <v>1807</v>
      </c>
      <c r="J465">
        <v>434.05680000000001</v>
      </c>
      <c r="K465" t="s">
        <v>540</v>
      </c>
      <c r="L465">
        <v>39</v>
      </c>
      <c r="M465" t="str">
        <v>Female</v>
      </c>
      <c r="N465" t="str">
        <f>VLOOKUP(C:C,Customer_Dim!B:I,5,1)</f>
        <v>North Matthew</v>
      </c>
      <c r="O465" t="str">
        <f>VLOOKUP(C:C,Customer_Dim!B:I,6,1)</f>
        <v>Illinois</v>
      </c>
      <c r="P465" t="str">
        <f>VLOOKUP(C:C,Customer_Dim!B:I,7,1)</f>
        <v>USA</v>
      </c>
      <c r="Q465" t="str">
        <f>VLOOKUP(C:C,Customer_Dim!B:I,8,1)</f>
        <v>Bronze</v>
      </c>
      <c r="S465">
        <v>2</v>
      </c>
      <c r="T465">
        <v>261.48</v>
      </c>
      <c r="U465">
        <v>0.17</v>
      </c>
      <c r="V465">
        <v>434.05680000000001</v>
      </c>
      <c r="X465" s="4">
        <v>2</v>
      </c>
      <c r="Y465">
        <v>261.48</v>
      </c>
      <c r="Z465">
        <v>0.17</v>
      </c>
      <c r="AA465">
        <v>434.05680000000001</v>
      </c>
    </row>
    <row r="466" spans="1:27" x14ac:dyDescent="0.3">
      <c r="A466" t="s">
        <v>2273</v>
      </c>
      <c r="B466" s="2">
        <v>45938</v>
      </c>
      <c r="C466" t="s">
        <v>939</v>
      </c>
      <c r="D466" t="s">
        <v>1603</v>
      </c>
      <c r="E466" t="s">
        <v>1782</v>
      </c>
      <c r="F466" s="4">
        <v>1</v>
      </c>
      <c r="G466">
        <v>850.83</v>
      </c>
      <c r="H466">
        <v>0.28000000000000003</v>
      </c>
      <c r="I466" t="s">
        <v>1809</v>
      </c>
      <c r="J466">
        <v>612.59760000000006</v>
      </c>
      <c r="K466" t="s">
        <v>940</v>
      </c>
      <c r="L466">
        <v>50</v>
      </c>
      <c r="M466" t="str">
        <v>Male</v>
      </c>
      <c r="N466" t="str">
        <f>VLOOKUP(C:C,Customer_Dim!B:I,5,1)</f>
        <v>Lake Melissashire</v>
      </c>
      <c r="O466" t="str">
        <f>VLOOKUP(C:C,Customer_Dim!B:I,6,1)</f>
        <v>Oregon</v>
      </c>
      <c r="P466" t="str">
        <f>VLOOKUP(C:C,Customer_Dim!B:I,7,1)</f>
        <v>USA</v>
      </c>
      <c r="Q466" t="str">
        <f>VLOOKUP(C:C,Customer_Dim!B:I,8,1)</f>
        <v>Silver</v>
      </c>
      <c r="S466">
        <v>1</v>
      </c>
      <c r="T466">
        <v>850.83</v>
      </c>
      <c r="U466">
        <v>0.28000000000000003</v>
      </c>
      <c r="V466">
        <v>612.59760000000006</v>
      </c>
      <c r="X466" s="4">
        <v>1</v>
      </c>
      <c r="Y466">
        <v>850.83</v>
      </c>
      <c r="Z466">
        <v>0.28000000000000003</v>
      </c>
      <c r="AA466">
        <v>612.59760000000006</v>
      </c>
    </row>
    <row r="467" spans="1:27" x14ac:dyDescent="0.3">
      <c r="A467" t="s">
        <v>2274</v>
      </c>
      <c r="B467" s="2">
        <v>45711</v>
      </c>
      <c r="C467" t="s">
        <v>1246</v>
      </c>
      <c r="D467" t="s">
        <v>1623</v>
      </c>
      <c r="E467" t="s">
        <v>1769</v>
      </c>
      <c r="F467" s="4">
        <v>1</v>
      </c>
      <c r="G467">
        <v>83.83</v>
      </c>
      <c r="H467">
        <v>0.05</v>
      </c>
      <c r="I467" t="s">
        <v>1807</v>
      </c>
      <c r="J467">
        <v>79.638499999999993</v>
      </c>
      <c r="K467" t="s">
        <v>1247</v>
      </c>
      <c r="L467">
        <v>23</v>
      </c>
      <c r="M467" t="str">
        <v>Female</v>
      </c>
      <c r="N467" t="str">
        <f>VLOOKUP(C:C,Customer_Dim!B:I,5,1)</f>
        <v>Garciaview</v>
      </c>
      <c r="O467" t="str">
        <f>VLOOKUP(C:C,Customer_Dim!B:I,6,1)</f>
        <v>Louisiana</v>
      </c>
      <c r="P467" t="str">
        <f>VLOOKUP(C:C,Customer_Dim!B:I,7,1)</f>
        <v>USA</v>
      </c>
      <c r="Q467" t="str">
        <f>VLOOKUP(C:C,Customer_Dim!B:I,8,1)</f>
        <v>Gold</v>
      </c>
      <c r="S467">
        <v>1</v>
      </c>
      <c r="T467">
        <v>83.83</v>
      </c>
      <c r="U467">
        <v>0.05</v>
      </c>
      <c r="V467">
        <v>79.638499999999993</v>
      </c>
      <c r="X467" s="4">
        <v>1</v>
      </c>
      <c r="Y467">
        <v>83.83</v>
      </c>
      <c r="Z467">
        <v>0.05</v>
      </c>
      <c r="AA467">
        <v>79.638499999999993</v>
      </c>
    </row>
    <row r="468" spans="1:27" x14ac:dyDescent="0.3">
      <c r="A468" t="s">
        <v>2275</v>
      </c>
      <c r="B468" s="2">
        <v>45713</v>
      </c>
      <c r="C468" t="s">
        <v>36</v>
      </c>
      <c r="D468" t="s">
        <v>1707</v>
      </c>
      <c r="E468" t="s">
        <v>1787</v>
      </c>
      <c r="F468" s="4">
        <v>3</v>
      </c>
      <c r="G468">
        <v>649.95000000000005</v>
      </c>
      <c r="H468">
        <v>0.28000000000000003</v>
      </c>
      <c r="I468" t="s">
        <v>1812</v>
      </c>
      <c r="J468">
        <v>1403.8920000000001</v>
      </c>
      <c r="K468" t="s">
        <v>37</v>
      </c>
      <c r="L468">
        <v>29</v>
      </c>
      <c r="M468" t="str">
        <v>Female</v>
      </c>
      <c r="N468" t="str">
        <f>VLOOKUP(C:C,Customer_Dim!B:I,5,1)</f>
        <v>Deborahborough</v>
      </c>
      <c r="O468" t="str">
        <f>VLOOKUP(C:C,Customer_Dim!B:I,6,1)</f>
        <v>South Dakota</v>
      </c>
      <c r="P468" t="str">
        <f>VLOOKUP(C:C,Customer_Dim!B:I,7,1)</f>
        <v>USA</v>
      </c>
      <c r="Q468" t="str">
        <f>VLOOKUP(C:C,Customer_Dim!B:I,8,1)</f>
        <v>Platinum</v>
      </c>
      <c r="S468">
        <v>3</v>
      </c>
      <c r="T468">
        <v>649.95000000000005</v>
      </c>
      <c r="U468">
        <v>0.28000000000000003</v>
      </c>
      <c r="V468">
        <v>1403.8920000000001</v>
      </c>
      <c r="X468" s="4">
        <v>3</v>
      </c>
      <c r="Y468">
        <v>649.95000000000005</v>
      </c>
      <c r="Z468">
        <v>0.28000000000000003</v>
      </c>
      <c r="AA468">
        <v>1403.8920000000001</v>
      </c>
    </row>
    <row r="469" spans="1:27" x14ac:dyDescent="0.3">
      <c r="A469" t="s">
        <v>2276</v>
      </c>
      <c r="B469" s="2">
        <v>45565</v>
      </c>
      <c r="C469" t="s">
        <v>1132</v>
      </c>
      <c r="D469" t="s">
        <v>1677</v>
      </c>
      <c r="E469" t="s">
        <v>1759</v>
      </c>
      <c r="F469" s="4">
        <v>4</v>
      </c>
      <c r="G469">
        <v>934.96</v>
      </c>
      <c r="H469">
        <v>0.18</v>
      </c>
      <c r="I469" t="s">
        <v>1809</v>
      </c>
      <c r="J469">
        <v>3066.6687999999999</v>
      </c>
      <c r="K469" t="s">
        <v>1133</v>
      </c>
      <c r="L469">
        <v>51</v>
      </c>
      <c r="M469" t="str">
        <v>Male</v>
      </c>
      <c r="N469" t="str">
        <f>VLOOKUP(C:C,Customer_Dim!B:I,5,1)</f>
        <v>North Theresa</v>
      </c>
      <c r="O469" t="str">
        <f>VLOOKUP(C:C,Customer_Dim!B:I,6,1)</f>
        <v>Alabama</v>
      </c>
      <c r="P469" t="str">
        <f>VLOOKUP(C:C,Customer_Dim!B:I,7,1)</f>
        <v>USA</v>
      </c>
      <c r="Q469" t="str">
        <f>VLOOKUP(C:C,Customer_Dim!B:I,8,1)</f>
        <v>Platinum</v>
      </c>
      <c r="S469">
        <v>4</v>
      </c>
      <c r="T469">
        <v>934.96</v>
      </c>
      <c r="U469">
        <v>0.18</v>
      </c>
      <c r="V469">
        <v>3066.6687999999999</v>
      </c>
      <c r="X469" s="4">
        <v>4</v>
      </c>
      <c r="Y469">
        <v>934.96</v>
      </c>
      <c r="Z469">
        <v>0.18</v>
      </c>
      <c r="AA469">
        <v>3066.6687999999999</v>
      </c>
    </row>
    <row r="470" spans="1:27" x14ac:dyDescent="0.3">
      <c r="A470" t="s">
        <v>2277</v>
      </c>
      <c r="B470" s="2">
        <v>45279</v>
      </c>
      <c r="C470" t="s">
        <v>666</v>
      </c>
      <c r="D470" t="s">
        <v>1565</v>
      </c>
      <c r="E470" t="s">
        <v>1782</v>
      </c>
      <c r="F470" s="4">
        <v>1</v>
      </c>
      <c r="G470">
        <v>880.89</v>
      </c>
      <c r="H470">
        <v>0.13</v>
      </c>
      <c r="I470" t="s">
        <v>1812</v>
      </c>
      <c r="J470">
        <v>766.37429999999995</v>
      </c>
      <c r="K470" t="s">
        <v>667</v>
      </c>
      <c r="L470">
        <v>28</v>
      </c>
      <c r="M470" t="str">
        <v>Female</v>
      </c>
      <c r="N470" t="str">
        <f>VLOOKUP(C:C,Customer_Dim!B:I,5,1)</f>
        <v>Brownshire</v>
      </c>
      <c r="O470" t="str">
        <f>VLOOKUP(C:C,Customer_Dim!B:I,6,1)</f>
        <v>Tennessee</v>
      </c>
      <c r="P470" t="str">
        <f>VLOOKUP(C:C,Customer_Dim!B:I,7,1)</f>
        <v>USA</v>
      </c>
      <c r="Q470" t="str">
        <f>VLOOKUP(C:C,Customer_Dim!B:I,8,1)</f>
        <v>Silver</v>
      </c>
      <c r="S470">
        <v>1</v>
      </c>
      <c r="T470">
        <v>880.89</v>
      </c>
      <c r="U470">
        <v>0.13</v>
      </c>
      <c r="V470">
        <v>766.37429999999995</v>
      </c>
      <c r="X470" s="4">
        <v>1</v>
      </c>
      <c r="Y470">
        <v>880.89</v>
      </c>
      <c r="Z470">
        <v>0.13</v>
      </c>
      <c r="AA470">
        <v>766.37429999999995</v>
      </c>
    </row>
    <row r="471" spans="1:27" x14ac:dyDescent="0.3">
      <c r="A471" t="s">
        <v>2278</v>
      </c>
      <c r="B471" s="2">
        <v>45614</v>
      </c>
      <c r="C471" t="s">
        <v>1453</v>
      </c>
      <c r="D471" t="s">
        <v>1727</v>
      </c>
      <c r="E471" t="s">
        <v>1765</v>
      </c>
      <c r="F471" s="4">
        <v>4</v>
      </c>
      <c r="G471">
        <v>610.6</v>
      </c>
      <c r="H471">
        <v>0.1</v>
      </c>
      <c r="I471" t="s">
        <v>1809</v>
      </c>
      <c r="J471">
        <v>2198.16</v>
      </c>
      <c r="K471" t="s">
        <v>1454</v>
      </c>
      <c r="L471">
        <v>59</v>
      </c>
      <c r="M471" t="str">
        <v>Male</v>
      </c>
      <c r="N471" t="str">
        <f>VLOOKUP(C:C,Customer_Dim!B:I,5,1)</f>
        <v>West Kelseyberg</v>
      </c>
      <c r="O471" t="str">
        <f>VLOOKUP(C:C,Customer_Dim!B:I,6,1)</f>
        <v>Kansas</v>
      </c>
      <c r="P471" t="str">
        <f>VLOOKUP(C:C,Customer_Dim!B:I,7,1)</f>
        <v>USA</v>
      </c>
      <c r="Q471" t="str">
        <f>VLOOKUP(C:C,Customer_Dim!B:I,8,1)</f>
        <v>Platinum</v>
      </c>
      <c r="S471">
        <v>4</v>
      </c>
      <c r="T471">
        <v>610.6</v>
      </c>
      <c r="U471">
        <v>0.1</v>
      </c>
      <c r="V471">
        <v>2198.16</v>
      </c>
      <c r="X471" s="4">
        <v>4</v>
      </c>
      <c r="Y471">
        <v>610.6</v>
      </c>
      <c r="Z471">
        <v>0.1</v>
      </c>
      <c r="AA471">
        <v>2198.16</v>
      </c>
    </row>
    <row r="472" spans="1:27" x14ac:dyDescent="0.3">
      <c r="A472" t="s">
        <v>2279</v>
      </c>
      <c r="B472" s="2">
        <v>45912</v>
      </c>
      <c r="C472" t="s">
        <v>272</v>
      </c>
      <c r="D472" t="s">
        <v>1587</v>
      </c>
      <c r="E472" t="s">
        <v>1793</v>
      </c>
      <c r="F472" s="4">
        <v>1</v>
      </c>
      <c r="G472">
        <v>514.19000000000005</v>
      </c>
      <c r="H472">
        <v>0.2</v>
      </c>
      <c r="I472" t="s">
        <v>1807</v>
      </c>
      <c r="J472">
        <v>411.35200000000009</v>
      </c>
      <c r="K472" t="s">
        <v>273</v>
      </c>
      <c r="L472">
        <v>37</v>
      </c>
      <c r="M472" t="str">
        <v>Male</v>
      </c>
      <c r="N472" t="str">
        <f>VLOOKUP(C:C,Customer_Dim!B:I,5,1)</f>
        <v>Lake Barryfurt</v>
      </c>
      <c r="O472" t="str">
        <f>VLOOKUP(C:C,Customer_Dim!B:I,6,1)</f>
        <v>California</v>
      </c>
      <c r="P472" t="str">
        <f>VLOOKUP(C:C,Customer_Dim!B:I,7,1)</f>
        <v>USA</v>
      </c>
      <c r="Q472" t="str">
        <f>VLOOKUP(C:C,Customer_Dim!B:I,8,1)</f>
        <v>Gold</v>
      </c>
      <c r="S472">
        <v>1</v>
      </c>
      <c r="T472">
        <v>514.19000000000005</v>
      </c>
      <c r="U472">
        <v>0.2</v>
      </c>
      <c r="V472">
        <v>411.35200000000009</v>
      </c>
      <c r="X472" s="4">
        <v>1</v>
      </c>
      <c r="Y472">
        <v>514.19000000000005</v>
      </c>
      <c r="Z472">
        <v>0.2</v>
      </c>
      <c r="AA472">
        <v>411.35200000000009</v>
      </c>
    </row>
    <row r="473" spans="1:27" x14ac:dyDescent="0.3">
      <c r="A473" t="s">
        <v>2280</v>
      </c>
      <c r="B473" s="2">
        <v>45688</v>
      </c>
      <c r="C473" t="s">
        <v>1229</v>
      </c>
      <c r="D473" t="s">
        <v>1605</v>
      </c>
      <c r="E473" t="s">
        <v>1780</v>
      </c>
      <c r="F473" s="4">
        <v>1</v>
      </c>
      <c r="G473">
        <v>546.20000000000005</v>
      </c>
      <c r="H473">
        <v>0.22</v>
      </c>
      <c r="I473" t="s">
        <v>1809</v>
      </c>
      <c r="J473">
        <v>426.03600000000012</v>
      </c>
      <c r="K473" t="s">
        <v>1230</v>
      </c>
      <c r="L473">
        <v>57</v>
      </c>
      <c r="M473" t="str">
        <v>Female</v>
      </c>
      <c r="N473" t="str">
        <f>VLOOKUP(C:C,Customer_Dim!B:I,5,1)</f>
        <v>New Edward</v>
      </c>
      <c r="O473" t="str">
        <f>VLOOKUP(C:C,Customer_Dim!B:I,6,1)</f>
        <v>Maine</v>
      </c>
      <c r="P473" t="str">
        <f>VLOOKUP(C:C,Customer_Dim!B:I,7,1)</f>
        <v>USA</v>
      </c>
      <c r="Q473" t="str">
        <f>VLOOKUP(C:C,Customer_Dim!B:I,8,1)</f>
        <v>Bronze</v>
      </c>
      <c r="S473">
        <v>1</v>
      </c>
      <c r="T473">
        <v>546.20000000000005</v>
      </c>
      <c r="U473">
        <v>0.22</v>
      </c>
      <c r="V473">
        <v>426.03600000000012</v>
      </c>
      <c r="X473" s="4">
        <v>1</v>
      </c>
      <c r="Y473">
        <v>546.20000000000005</v>
      </c>
      <c r="Z473">
        <v>0.22</v>
      </c>
      <c r="AA473">
        <v>426.03600000000012</v>
      </c>
    </row>
    <row r="474" spans="1:27" x14ac:dyDescent="0.3">
      <c r="A474" t="s">
        <v>2281</v>
      </c>
      <c r="B474" s="2">
        <v>45591</v>
      </c>
      <c r="C474" t="s">
        <v>640</v>
      </c>
      <c r="D474" t="s">
        <v>1605</v>
      </c>
      <c r="E474" t="s">
        <v>1735</v>
      </c>
      <c r="F474" s="4">
        <v>3</v>
      </c>
      <c r="G474">
        <v>416.01</v>
      </c>
      <c r="H474">
        <v>0.02</v>
      </c>
      <c r="I474" t="s">
        <v>1807</v>
      </c>
      <c r="J474">
        <v>1223.0694000000001</v>
      </c>
      <c r="K474" t="s">
        <v>641</v>
      </c>
      <c r="L474">
        <v>54</v>
      </c>
      <c r="M474" t="str">
        <v>Male</v>
      </c>
      <c r="N474" t="str">
        <f>VLOOKUP(C:C,Customer_Dim!B:I,5,1)</f>
        <v>Christopherland</v>
      </c>
      <c r="O474" t="str">
        <f>VLOOKUP(C:C,Customer_Dim!B:I,6,1)</f>
        <v>Minnesota</v>
      </c>
      <c r="P474" t="str">
        <f>VLOOKUP(C:C,Customer_Dim!B:I,7,1)</f>
        <v>USA</v>
      </c>
      <c r="Q474" t="str">
        <f>VLOOKUP(C:C,Customer_Dim!B:I,8,1)</f>
        <v>Platinum</v>
      </c>
      <c r="S474">
        <v>3</v>
      </c>
      <c r="T474">
        <v>416.01</v>
      </c>
      <c r="U474">
        <v>0.02</v>
      </c>
      <c r="V474">
        <v>1223.0694000000001</v>
      </c>
      <c r="X474" s="4">
        <v>3</v>
      </c>
      <c r="Y474">
        <v>416.01</v>
      </c>
      <c r="Z474">
        <v>0.02</v>
      </c>
      <c r="AA474">
        <v>1223.0694000000001</v>
      </c>
    </row>
    <row r="475" spans="1:27" x14ac:dyDescent="0.3">
      <c r="A475" t="s">
        <v>2282</v>
      </c>
      <c r="B475" s="2">
        <v>45864</v>
      </c>
      <c r="C475" t="s">
        <v>1186</v>
      </c>
      <c r="D475" t="s">
        <v>1679</v>
      </c>
      <c r="E475" t="s">
        <v>1772</v>
      </c>
      <c r="F475" s="4">
        <v>1</v>
      </c>
      <c r="G475">
        <v>30.94</v>
      </c>
      <c r="H475">
        <v>0.21</v>
      </c>
      <c r="I475" t="s">
        <v>1812</v>
      </c>
      <c r="J475">
        <v>24.442599999999999</v>
      </c>
      <c r="K475" t="s">
        <v>1187</v>
      </c>
      <c r="L475">
        <v>60</v>
      </c>
      <c r="M475" t="str">
        <v>Male</v>
      </c>
      <c r="N475" t="str">
        <f>VLOOKUP(C:C,Customer_Dim!B:I,5,1)</f>
        <v>North Michael</v>
      </c>
      <c r="O475" t="str">
        <f>VLOOKUP(C:C,Customer_Dim!B:I,6,1)</f>
        <v>Iowa</v>
      </c>
      <c r="P475" t="str">
        <f>VLOOKUP(C:C,Customer_Dim!B:I,7,1)</f>
        <v>USA</v>
      </c>
      <c r="Q475" t="str">
        <f>VLOOKUP(C:C,Customer_Dim!B:I,8,1)</f>
        <v>Bronze</v>
      </c>
      <c r="S475">
        <v>1</v>
      </c>
      <c r="T475">
        <v>30.94</v>
      </c>
      <c r="U475">
        <v>0.21</v>
      </c>
      <c r="V475">
        <v>24.442599999999999</v>
      </c>
      <c r="X475" s="4">
        <v>1</v>
      </c>
      <c r="Y475">
        <v>30.94</v>
      </c>
      <c r="Z475">
        <v>0.21</v>
      </c>
      <c r="AA475">
        <v>24.442599999999999</v>
      </c>
    </row>
    <row r="476" spans="1:27" x14ac:dyDescent="0.3">
      <c r="A476" t="s">
        <v>2283</v>
      </c>
      <c r="B476" s="2">
        <v>45875</v>
      </c>
      <c r="C476" t="s">
        <v>648</v>
      </c>
      <c r="D476" t="s">
        <v>1647</v>
      </c>
      <c r="E476" t="s">
        <v>1787</v>
      </c>
      <c r="F476" s="4">
        <v>3</v>
      </c>
      <c r="G476">
        <v>666.39</v>
      </c>
      <c r="H476">
        <v>0.21</v>
      </c>
      <c r="I476" t="s">
        <v>1812</v>
      </c>
      <c r="J476">
        <v>1579.3443</v>
      </c>
      <c r="K476" t="s">
        <v>649</v>
      </c>
      <c r="L476">
        <v>25</v>
      </c>
      <c r="M476" t="str">
        <v>Female</v>
      </c>
      <c r="N476" t="str">
        <f>VLOOKUP(C:C,Customer_Dim!B:I,5,1)</f>
        <v>South Jerry</v>
      </c>
      <c r="O476" t="str">
        <f>VLOOKUP(C:C,Customer_Dim!B:I,6,1)</f>
        <v>Maine</v>
      </c>
      <c r="P476" t="str">
        <f>VLOOKUP(C:C,Customer_Dim!B:I,7,1)</f>
        <v>USA</v>
      </c>
      <c r="Q476" t="str">
        <f>VLOOKUP(C:C,Customer_Dim!B:I,8,1)</f>
        <v>Platinum</v>
      </c>
      <c r="S476">
        <v>3</v>
      </c>
      <c r="T476">
        <v>666.39</v>
      </c>
      <c r="U476">
        <v>0.21</v>
      </c>
      <c r="V476">
        <v>1579.3443</v>
      </c>
      <c r="X476" s="4">
        <v>3</v>
      </c>
      <c r="Y476">
        <v>666.39</v>
      </c>
      <c r="Z476">
        <v>0.21</v>
      </c>
      <c r="AA476">
        <v>1579.3443</v>
      </c>
    </row>
    <row r="477" spans="1:27" x14ac:dyDescent="0.3">
      <c r="A477" t="s">
        <v>2284</v>
      </c>
      <c r="B477" s="2">
        <v>45797</v>
      </c>
      <c r="C477" t="s">
        <v>548</v>
      </c>
      <c r="D477" t="s">
        <v>1693</v>
      </c>
      <c r="E477" t="s">
        <v>1772</v>
      </c>
      <c r="F477" s="4">
        <v>2</v>
      </c>
      <c r="G477">
        <v>145.26</v>
      </c>
      <c r="H477">
        <v>0.19</v>
      </c>
      <c r="I477" t="s">
        <v>1809</v>
      </c>
      <c r="J477">
        <v>235.3212</v>
      </c>
      <c r="K477" t="s">
        <v>549</v>
      </c>
      <c r="L477">
        <v>36</v>
      </c>
      <c r="M477" t="str">
        <v>Female</v>
      </c>
      <c r="N477" t="str">
        <f>VLOOKUP(C:C,Customer_Dim!B:I,5,1)</f>
        <v>South Ashleyton</v>
      </c>
      <c r="O477" t="str">
        <f>VLOOKUP(C:C,Customer_Dim!B:I,6,1)</f>
        <v>Michigan</v>
      </c>
      <c r="P477" t="str">
        <f>VLOOKUP(C:C,Customer_Dim!B:I,7,1)</f>
        <v>USA</v>
      </c>
      <c r="Q477" t="str">
        <f>VLOOKUP(C:C,Customer_Dim!B:I,8,1)</f>
        <v>Silver</v>
      </c>
      <c r="S477">
        <v>2</v>
      </c>
      <c r="T477">
        <v>145.26</v>
      </c>
      <c r="U477">
        <v>0.19</v>
      </c>
      <c r="V477">
        <v>235.3212</v>
      </c>
      <c r="X477" s="4">
        <v>2</v>
      </c>
      <c r="Y477">
        <v>145.26</v>
      </c>
      <c r="Z477">
        <v>0.19</v>
      </c>
      <c r="AA477">
        <v>235.3212</v>
      </c>
    </row>
    <row r="478" spans="1:27" x14ac:dyDescent="0.3">
      <c r="A478" t="s">
        <v>2285</v>
      </c>
      <c r="B478" s="2">
        <v>45364</v>
      </c>
      <c r="C478" t="s">
        <v>406</v>
      </c>
      <c r="D478" t="s">
        <v>1713</v>
      </c>
      <c r="E478" t="s">
        <v>1756</v>
      </c>
      <c r="F478" s="4">
        <v>4</v>
      </c>
      <c r="G478">
        <v>940.77</v>
      </c>
      <c r="H478">
        <v>0.24</v>
      </c>
      <c r="I478" t="s">
        <v>1812</v>
      </c>
      <c r="J478">
        <v>2859.9407999999999</v>
      </c>
      <c r="K478" t="s">
        <v>407</v>
      </c>
      <c r="L478">
        <v>40</v>
      </c>
      <c r="M478" t="str">
        <v>Male</v>
      </c>
      <c r="N478" t="str">
        <f>VLOOKUP(C:C,Customer_Dim!B:I,5,1)</f>
        <v>New Jenniferburgh</v>
      </c>
      <c r="O478" t="str">
        <f>VLOOKUP(C:C,Customer_Dim!B:I,6,1)</f>
        <v>Nebraska</v>
      </c>
      <c r="P478" t="str">
        <f>VLOOKUP(C:C,Customer_Dim!B:I,7,1)</f>
        <v>USA</v>
      </c>
      <c r="Q478" t="str">
        <f>VLOOKUP(C:C,Customer_Dim!B:I,8,1)</f>
        <v>Platinum</v>
      </c>
      <c r="S478">
        <v>4</v>
      </c>
      <c r="T478">
        <v>940.77</v>
      </c>
      <c r="U478">
        <v>0.24</v>
      </c>
      <c r="V478">
        <v>2859.9407999999999</v>
      </c>
      <c r="X478" s="4">
        <v>4</v>
      </c>
      <c r="Y478">
        <v>940.77</v>
      </c>
      <c r="Z478">
        <v>0.24</v>
      </c>
      <c r="AA478">
        <v>2859.9407999999999</v>
      </c>
    </row>
    <row r="479" spans="1:27" x14ac:dyDescent="0.3">
      <c r="A479" t="s">
        <v>2286</v>
      </c>
      <c r="B479" s="2">
        <v>45700</v>
      </c>
      <c r="C479" t="s">
        <v>1430</v>
      </c>
      <c r="D479" t="s">
        <v>1623</v>
      </c>
      <c r="E479" t="s">
        <v>1790</v>
      </c>
      <c r="F479" s="4">
        <v>1</v>
      </c>
      <c r="G479">
        <v>708.88</v>
      </c>
      <c r="H479">
        <v>0.09</v>
      </c>
      <c r="I479" t="s">
        <v>1807</v>
      </c>
      <c r="J479">
        <v>645.08080000000007</v>
      </c>
      <c r="K479" t="s">
        <v>1431</v>
      </c>
      <c r="L479">
        <v>21</v>
      </c>
      <c r="M479" t="str">
        <v>Female</v>
      </c>
      <c r="N479" t="str">
        <f>VLOOKUP(C:C,Customer_Dim!B:I,5,1)</f>
        <v>East Audrey</v>
      </c>
      <c r="O479" t="str">
        <f>VLOOKUP(C:C,Customer_Dim!B:I,6,1)</f>
        <v>Utah</v>
      </c>
      <c r="P479" t="str">
        <f>VLOOKUP(C:C,Customer_Dim!B:I,7,1)</f>
        <v>USA</v>
      </c>
      <c r="Q479" t="str">
        <f>VLOOKUP(C:C,Customer_Dim!B:I,8,1)</f>
        <v>Gold</v>
      </c>
      <c r="S479">
        <v>1</v>
      </c>
      <c r="T479">
        <v>708.88</v>
      </c>
      <c r="U479">
        <v>0.09</v>
      </c>
      <c r="V479">
        <v>645.08080000000007</v>
      </c>
      <c r="X479" s="4">
        <v>1</v>
      </c>
      <c r="Y479">
        <v>708.88</v>
      </c>
      <c r="Z479">
        <v>0.09</v>
      </c>
      <c r="AA479">
        <v>645.08080000000007</v>
      </c>
    </row>
    <row r="480" spans="1:27" x14ac:dyDescent="0.3">
      <c r="A480" t="s">
        <v>2287</v>
      </c>
      <c r="B480" s="2">
        <v>45924</v>
      </c>
      <c r="C480" t="s">
        <v>959</v>
      </c>
      <c r="D480" t="s">
        <v>1591</v>
      </c>
      <c r="E480" t="s">
        <v>1744</v>
      </c>
      <c r="F480" s="4">
        <v>1</v>
      </c>
      <c r="G480">
        <v>790.73</v>
      </c>
      <c r="H480">
        <v>0.24</v>
      </c>
      <c r="I480" t="s">
        <v>1809</v>
      </c>
      <c r="J480">
        <v>600.95479999999998</v>
      </c>
      <c r="K480" t="s">
        <v>960</v>
      </c>
      <c r="L480">
        <v>60</v>
      </c>
      <c r="M480" t="str">
        <v>Female</v>
      </c>
      <c r="N480" t="str">
        <f>VLOOKUP(C:C,Customer_Dim!B:I,5,1)</f>
        <v>West Patriciaview</v>
      </c>
      <c r="O480" t="str">
        <f>VLOOKUP(C:C,Customer_Dim!B:I,6,1)</f>
        <v>Alabama</v>
      </c>
      <c r="P480" t="str">
        <f>VLOOKUP(C:C,Customer_Dim!B:I,7,1)</f>
        <v>USA</v>
      </c>
      <c r="Q480" t="str">
        <f>VLOOKUP(C:C,Customer_Dim!B:I,8,1)</f>
        <v>Bronze</v>
      </c>
      <c r="S480">
        <v>1</v>
      </c>
      <c r="T480">
        <v>790.73</v>
      </c>
      <c r="U480">
        <v>0.24</v>
      </c>
      <c r="V480">
        <v>600.95479999999998</v>
      </c>
      <c r="X480" s="4">
        <v>1</v>
      </c>
      <c r="Y480">
        <v>790.73</v>
      </c>
      <c r="Z480">
        <v>0.24</v>
      </c>
      <c r="AA480">
        <v>600.95479999999998</v>
      </c>
    </row>
    <row r="481" spans="1:27" x14ac:dyDescent="0.3">
      <c r="A481" t="s">
        <v>2288</v>
      </c>
      <c r="B481" s="2">
        <v>45574</v>
      </c>
      <c r="C481" t="s">
        <v>1373</v>
      </c>
      <c r="D481" t="s">
        <v>1561</v>
      </c>
      <c r="E481" t="s">
        <v>1769</v>
      </c>
      <c r="F481" s="4">
        <v>3</v>
      </c>
      <c r="G481">
        <v>635.13</v>
      </c>
      <c r="H481">
        <v>0.09</v>
      </c>
      <c r="I481" t="s">
        <v>1809</v>
      </c>
      <c r="J481">
        <v>1733.9049</v>
      </c>
      <c r="K481" t="s">
        <v>1374</v>
      </c>
      <c r="L481">
        <v>59</v>
      </c>
      <c r="M481" t="str">
        <v>Male</v>
      </c>
      <c r="N481" t="str">
        <f>VLOOKUP(C:C,Customer_Dim!B:I,5,1)</f>
        <v>Port Hannahport</v>
      </c>
      <c r="O481" t="str">
        <f>VLOOKUP(C:C,Customer_Dim!B:I,6,1)</f>
        <v>Ohio</v>
      </c>
      <c r="P481" t="str">
        <f>VLOOKUP(C:C,Customer_Dim!B:I,7,1)</f>
        <v>USA</v>
      </c>
      <c r="Q481" t="str">
        <f>VLOOKUP(C:C,Customer_Dim!B:I,8,1)</f>
        <v>Bronze</v>
      </c>
      <c r="S481">
        <v>3</v>
      </c>
      <c r="T481">
        <v>635.13</v>
      </c>
      <c r="U481">
        <v>0.09</v>
      </c>
      <c r="V481">
        <v>1733.9049</v>
      </c>
      <c r="X481" s="4">
        <v>3</v>
      </c>
      <c r="Y481">
        <v>635.13</v>
      </c>
      <c r="Z481">
        <v>0.09</v>
      </c>
      <c r="AA481">
        <v>1733.9049</v>
      </c>
    </row>
    <row r="482" spans="1:27" x14ac:dyDescent="0.3">
      <c r="A482" t="s">
        <v>2289</v>
      </c>
      <c r="B482" s="2">
        <v>45233</v>
      </c>
      <c r="C482" t="s">
        <v>842</v>
      </c>
      <c r="D482" t="s">
        <v>1717</v>
      </c>
      <c r="E482" t="s">
        <v>1782</v>
      </c>
      <c r="F482" s="4">
        <v>1</v>
      </c>
      <c r="G482">
        <v>744.88</v>
      </c>
      <c r="H482">
        <v>0.15</v>
      </c>
      <c r="I482" t="s">
        <v>1812</v>
      </c>
      <c r="J482">
        <v>633.14800000000002</v>
      </c>
      <c r="K482" t="s">
        <v>843</v>
      </c>
      <c r="L482">
        <v>18</v>
      </c>
      <c r="M482" t="str">
        <v>Male</v>
      </c>
      <c r="N482" t="str">
        <f>VLOOKUP(C:C,Customer_Dim!B:I,5,1)</f>
        <v>South Gina</v>
      </c>
      <c r="O482" t="str">
        <f>VLOOKUP(C:C,Customer_Dim!B:I,6,1)</f>
        <v>Kentucky</v>
      </c>
      <c r="P482" t="str">
        <f>VLOOKUP(C:C,Customer_Dim!B:I,7,1)</f>
        <v>USA</v>
      </c>
      <c r="Q482" t="str">
        <f>VLOOKUP(C:C,Customer_Dim!B:I,8,1)</f>
        <v>Bronze</v>
      </c>
      <c r="S482">
        <v>1</v>
      </c>
      <c r="T482">
        <v>744.88</v>
      </c>
      <c r="U482">
        <v>0.15</v>
      </c>
      <c r="V482">
        <v>633.14800000000002</v>
      </c>
      <c r="X482" s="4">
        <v>1</v>
      </c>
      <c r="Y482">
        <v>744.88</v>
      </c>
      <c r="Z482">
        <v>0.15</v>
      </c>
      <c r="AA482">
        <v>633.14800000000002</v>
      </c>
    </row>
    <row r="483" spans="1:27" x14ac:dyDescent="0.3">
      <c r="A483" t="s">
        <v>2290</v>
      </c>
      <c r="B483" s="2">
        <v>45745</v>
      </c>
      <c r="C483" t="s">
        <v>598</v>
      </c>
      <c r="D483" t="s">
        <v>1587</v>
      </c>
      <c r="E483" t="s">
        <v>1740</v>
      </c>
      <c r="F483" s="4">
        <v>3</v>
      </c>
      <c r="G483">
        <v>205.34</v>
      </c>
      <c r="H483">
        <v>0.25</v>
      </c>
      <c r="I483" t="s">
        <v>1807</v>
      </c>
      <c r="J483">
        <v>462.01499999999999</v>
      </c>
      <c r="K483" t="s">
        <v>599</v>
      </c>
      <c r="L483">
        <v>46</v>
      </c>
      <c r="M483" t="str">
        <v>Female</v>
      </c>
      <c r="N483" t="str">
        <f>VLOOKUP(C:C,Customer_Dim!B:I,5,1)</f>
        <v>Port James</v>
      </c>
      <c r="O483" t="str">
        <f>VLOOKUP(C:C,Customer_Dim!B:I,6,1)</f>
        <v>New York</v>
      </c>
      <c r="P483" t="str">
        <f>VLOOKUP(C:C,Customer_Dim!B:I,7,1)</f>
        <v>USA</v>
      </c>
      <c r="Q483" t="str">
        <f>VLOOKUP(C:C,Customer_Dim!B:I,8,1)</f>
        <v>Platinum</v>
      </c>
      <c r="S483">
        <v>3</v>
      </c>
      <c r="T483">
        <v>205.34</v>
      </c>
      <c r="U483">
        <v>0.25</v>
      </c>
      <c r="V483">
        <v>462.01499999999999</v>
      </c>
      <c r="X483" s="4">
        <v>3</v>
      </c>
      <c r="Y483">
        <v>205.34</v>
      </c>
      <c r="Z483">
        <v>0.25</v>
      </c>
      <c r="AA483">
        <v>462.01499999999999</v>
      </c>
    </row>
    <row r="484" spans="1:27" x14ac:dyDescent="0.3">
      <c r="A484" t="s">
        <v>2291</v>
      </c>
      <c r="B484" s="2">
        <v>45851</v>
      </c>
      <c r="C484" t="s">
        <v>1287</v>
      </c>
      <c r="D484" t="s">
        <v>1589</v>
      </c>
      <c r="E484" t="s">
        <v>1765</v>
      </c>
      <c r="F484" s="4">
        <v>2</v>
      </c>
      <c r="G484">
        <v>756.8</v>
      </c>
      <c r="H484">
        <v>0.15</v>
      </c>
      <c r="I484" t="s">
        <v>1807</v>
      </c>
      <c r="J484">
        <v>1286.56</v>
      </c>
      <c r="K484" t="s">
        <v>1288</v>
      </c>
      <c r="L484">
        <v>60</v>
      </c>
      <c r="M484" t="str">
        <v>Male</v>
      </c>
      <c r="N484" t="str">
        <f>VLOOKUP(C:C,Customer_Dim!B:I,5,1)</f>
        <v>Lake David</v>
      </c>
      <c r="O484" t="str">
        <f>VLOOKUP(C:C,Customer_Dim!B:I,6,1)</f>
        <v>Mississippi</v>
      </c>
      <c r="P484" t="str">
        <f>VLOOKUP(C:C,Customer_Dim!B:I,7,1)</f>
        <v>USA</v>
      </c>
      <c r="Q484" t="str">
        <f>VLOOKUP(C:C,Customer_Dim!B:I,8,1)</f>
        <v>Gold</v>
      </c>
      <c r="S484">
        <v>2</v>
      </c>
      <c r="T484">
        <v>756.8</v>
      </c>
      <c r="U484">
        <v>0.15</v>
      </c>
      <c r="V484">
        <v>1286.56</v>
      </c>
      <c r="X484" s="4">
        <v>2</v>
      </c>
      <c r="Y484">
        <v>756.8</v>
      </c>
      <c r="Z484">
        <v>0.15</v>
      </c>
      <c r="AA484">
        <v>1286.56</v>
      </c>
    </row>
    <row r="485" spans="1:27" x14ac:dyDescent="0.3">
      <c r="A485" t="s">
        <v>2292</v>
      </c>
      <c r="B485" s="2">
        <v>45308</v>
      </c>
      <c r="C485" t="s">
        <v>171</v>
      </c>
      <c r="D485" t="s">
        <v>1573</v>
      </c>
      <c r="E485" t="s">
        <v>1772</v>
      </c>
      <c r="F485" s="4">
        <v>1</v>
      </c>
      <c r="G485">
        <v>771.73</v>
      </c>
      <c r="H485">
        <v>0.2</v>
      </c>
      <c r="I485" t="s">
        <v>1807</v>
      </c>
      <c r="J485">
        <v>617.38400000000001</v>
      </c>
      <c r="K485" t="s">
        <v>172</v>
      </c>
      <c r="L485">
        <v>54</v>
      </c>
      <c r="M485" t="str">
        <v>Male</v>
      </c>
      <c r="N485" t="str">
        <f>VLOOKUP(C:C,Customer_Dim!B:I,5,1)</f>
        <v>Christianstad</v>
      </c>
      <c r="O485" t="str">
        <f>VLOOKUP(C:C,Customer_Dim!B:I,6,1)</f>
        <v>Hawaii</v>
      </c>
      <c r="P485" t="str">
        <f>VLOOKUP(C:C,Customer_Dim!B:I,7,1)</f>
        <v>USA</v>
      </c>
      <c r="Q485" t="str">
        <f>VLOOKUP(C:C,Customer_Dim!B:I,8,1)</f>
        <v>Bronze</v>
      </c>
      <c r="S485">
        <v>1</v>
      </c>
      <c r="T485">
        <v>771.73</v>
      </c>
      <c r="U485">
        <v>0.2</v>
      </c>
      <c r="V485">
        <v>617.38400000000001</v>
      </c>
      <c r="X485" s="4">
        <v>1</v>
      </c>
      <c r="Y485">
        <v>771.73</v>
      </c>
      <c r="Z485">
        <v>0.2</v>
      </c>
      <c r="AA485">
        <v>617.38400000000001</v>
      </c>
    </row>
    <row r="486" spans="1:27" x14ac:dyDescent="0.3">
      <c r="A486" t="s">
        <v>2293</v>
      </c>
      <c r="B486" s="2">
        <v>45639</v>
      </c>
      <c r="C486" t="s">
        <v>1458</v>
      </c>
      <c r="D486" t="s">
        <v>1663</v>
      </c>
      <c r="E486" t="s">
        <v>1790</v>
      </c>
      <c r="F486" s="4">
        <v>1</v>
      </c>
      <c r="G486">
        <v>440.19</v>
      </c>
      <c r="H486">
        <v>0.03</v>
      </c>
      <c r="I486" t="s">
        <v>1809</v>
      </c>
      <c r="J486">
        <v>426.98430000000002</v>
      </c>
      <c r="K486" t="s">
        <v>1459</v>
      </c>
      <c r="L486">
        <v>33</v>
      </c>
      <c r="M486" t="str">
        <v>Male</v>
      </c>
      <c r="N486" t="str">
        <f>VLOOKUP(C:C,Customer_Dim!B:I,5,1)</f>
        <v>New Jamesview</v>
      </c>
      <c r="O486" t="str">
        <f>VLOOKUP(C:C,Customer_Dim!B:I,6,1)</f>
        <v>West Virginia</v>
      </c>
      <c r="P486" t="str">
        <f>VLOOKUP(C:C,Customer_Dim!B:I,7,1)</f>
        <v>USA</v>
      </c>
      <c r="Q486" t="str">
        <f>VLOOKUP(C:C,Customer_Dim!B:I,8,1)</f>
        <v>Bronze</v>
      </c>
      <c r="S486">
        <v>1</v>
      </c>
      <c r="T486">
        <v>440.19</v>
      </c>
      <c r="U486">
        <v>0.03</v>
      </c>
      <c r="V486">
        <v>426.98430000000002</v>
      </c>
      <c r="X486" s="4">
        <v>1</v>
      </c>
      <c r="Y486">
        <v>440.19</v>
      </c>
      <c r="Z486">
        <v>0.03</v>
      </c>
      <c r="AA486">
        <v>426.98430000000002</v>
      </c>
    </row>
    <row r="487" spans="1:27" x14ac:dyDescent="0.3">
      <c r="A487" t="s">
        <v>2294</v>
      </c>
      <c r="B487" s="2">
        <v>45919</v>
      </c>
      <c r="C487" t="s">
        <v>178</v>
      </c>
      <c r="D487" t="s">
        <v>1536</v>
      </c>
      <c r="E487" t="s">
        <v>1744</v>
      </c>
      <c r="F487" s="4">
        <v>2</v>
      </c>
      <c r="G487">
        <v>409</v>
      </c>
      <c r="H487">
        <v>0.17</v>
      </c>
      <c r="I487" t="s">
        <v>1807</v>
      </c>
      <c r="J487">
        <v>678.93999999999994</v>
      </c>
      <c r="K487" t="s">
        <v>179</v>
      </c>
      <c r="L487">
        <v>54</v>
      </c>
      <c r="M487" t="str">
        <v>Male</v>
      </c>
      <c r="N487" t="str">
        <f>VLOOKUP(C:C,Customer_Dim!B:I,5,1)</f>
        <v>Lake Roberthaven</v>
      </c>
      <c r="O487" t="str">
        <f>VLOOKUP(C:C,Customer_Dim!B:I,6,1)</f>
        <v>Nevada</v>
      </c>
      <c r="P487" t="str">
        <f>VLOOKUP(C:C,Customer_Dim!B:I,7,1)</f>
        <v>USA</v>
      </c>
      <c r="Q487" t="str">
        <f>VLOOKUP(C:C,Customer_Dim!B:I,8,1)</f>
        <v>Silver</v>
      </c>
      <c r="S487">
        <v>2</v>
      </c>
      <c r="T487">
        <v>409</v>
      </c>
      <c r="U487">
        <v>0.17</v>
      </c>
      <c r="V487">
        <v>678.93999999999994</v>
      </c>
      <c r="X487" s="4">
        <v>2</v>
      </c>
      <c r="Y487">
        <v>409</v>
      </c>
      <c r="Z487">
        <v>0.17</v>
      </c>
      <c r="AA487">
        <v>678.93999999999994</v>
      </c>
    </row>
    <row r="488" spans="1:27" x14ac:dyDescent="0.3">
      <c r="A488" t="s">
        <v>2295</v>
      </c>
      <c r="B488" s="2">
        <v>45333</v>
      </c>
      <c r="C488" t="s">
        <v>1066</v>
      </c>
      <c r="D488" t="s">
        <v>1607</v>
      </c>
      <c r="E488" t="s">
        <v>1796</v>
      </c>
      <c r="F488" s="4">
        <v>3</v>
      </c>
      <c r="G488">
        <v>134.58000000000001</v>
      </c>
      <c r="H488">
        <v>0.04</v>
      </c>
      <c r="I488" t="s">
        <v>1812</v>
      </c>
      <c r="J488">
        <v>387.59039999999999</v>
      </c>
      <c r="K488" t="s">
        <v>1067</v>
      </c>
      <c r="L488">
        <v>39</v>
      </c>
      <c r="M488" t="str">
        <v>Male</v>
      </c>
      <c r="N488" t="str">
        <f>VLOOKUP(C:C,Customer_Dim!B:I,5,1)</f>
        <v>Cartershire</v>
      </c>
      <c r="O488" t="str">
        <f>VLOOKUP(C:C,Customer_Dim!B:I,6,1)</f>
        <v>Virginia</v>
      </c>
      <c r="P488" t="str">
        <f>VLOOKUP(C:C,Customer_Dim!B:I,7,1)</f>
        <v>USA</v>
      </c>
      <c r="Q488" t="str">
        <f>VLOOKUP(C:C,Customer_Dim!B:I,8,1)</f>
        <v>Bronze</v>
      </c>
      <c r="S488">
        <v>3</v>
      </c>
      <c r="T488">
        <v>134.58000000000001</v>
      </c>
      <c r="U488">
        <v>0.04</v>
      </c>
      <c r="V488">
        <v>387.59039999999999</v>
      </c>
      <c r="X488" s="4">
        <v>3</v>
      </c>
      <c r="Y488">
        <v>134.58000000000001</v>
      </c>
      <c r="Z488">
        <v>0.04</v>
      </c>
      <c r="AA488">
        <v>387.59039999999999</v>
      </c>
    </row>
    <row r="489" spans="1:27" x14ac:dyDescent="0.3">
      <c r="A489" t="s">
        <v>2296</v>
      </c>
      <c r="B489" s="2">
        <v>45811</v>
      </c>
      <c r="C489" t="s">
        <v>1080</v>
      </c>
      <c r="D489" t="s">
        <v>1609</v>
      </c>
      <c r="E489" t="s">
        <v>1762</v>
      </c>
      <c r="F489" s="4">
        <v>4</v>
      </c>
      <c r="G489">
        <v>284.44</v>
      </c>
      <c r="H489">
        <v>0.02</v>
      </c>
      <c r="I489" t="s">
        <v>1807</v>
      </c>
      <c r="J489">
        <v>1115.0047999999999</v>
      </c>
      <c r="K489" t="s">
        <v>1081</v>
      </c>
      <c r="L489">
        <v>31</v>
      </c>
      <c r="M489" t="str">
        <v>Male</v>
      </c>
      <c r="N489" t="str">
        <f>VLOOKUP(C:C,Customer_Dim!B:I,5,1)</f>
        <v>Shannonview</v>
      </c>
      <c r="O489" t="str">
        <f>VLOOKUP(C:C,Customer_Dim!B:I,6,1)</f>
        <v>Pennsylvania</v>
      </c>
      <c r="P489" t="str">
        <f>VLOOKUP(C:C,Customer_Dim!B:I,7,1)</f>
        <v>USA</v>
      </c>
      <c r="Q489" t="str">
        <f>VLOOKUP(C:C,Customer_Dim!B:I,8,1)</f>
        <v>Silver</v>
      </c>
      <c r="S489">
        <v>4</v>
      </c>
      <c r="T489">
        <v>284.44</v>
      </c>
      <c r="U489">
        <v>0.02</v>
      </c>
      <c r="V489">
        <v>1115.0047999999999</v>
      </c>
      <c r="X489" s="4">
        <v>4</v>
      </c>
      <c r="Y489">
        <v>284.44</v>
      </c>
      <c r="Z489">
        <v>0.02</v>
      </c>
      <c r="AA489">
        <v>1115.0047999999999</v>
      </c>
    </row>
    <row r="490" spans="1:27" x14ac:dyDescent="0.3">
      <c r="A490" t="s">
        <v>2297</v>
      </c>
      <c r="B490" s="2">
        <v>45726</v>
      </c>
      <c r="C490" t="s">
        <v>1246</v>
      </c>
      <c r="D490" t="s">
        <v>1677</v>
      </c>
      <c r="E490" t="s">
        <v>1780</v>
      </c>
      <c r="F490" s="4">
        <v>4</v>
      </c>
      <c r="G490">
        <v>922.69</v>
      </c>
      <c r="H490">
        <v>0.16</v>
      </c>
      <c r="I490" t="s">
        <v>1807</v>
      </c>
      <c r="J490">
        <v>3100.2384000000002</v>
      </c>
      <c r="K490" t="s">
        <v>1247</v>
      </c>
      <c r="L490">
        <v>23</v>
      </c>
      <c r="M490" t="str">
        <v>Female</v>
      </c>
      <c r="N490" t="str">
        <f>VLOOKUP(C:C,Customer_Dim!B:I,5,1)</f>
        <v>Garciaview</v>
      </c>
      <c r="O490" t="str">
        <f>VLOOKUP(C:C,Customer_Dim!B:I,6,1)</f>
        <v>Louisiana</v>
      </c>
      <c r="P490" t="str">
        <f>VLOOKUP(C:C,Customer_Dim!B:I,7,1)</f>
        <v>USA</v>
      </c>
      <c r="Q490" t="str">
        <f>VLOOKUP(C:C,Customer_Dim!B:I,8,1)</f>
        <v>Gold</v>
      </c>
      <c r="S490">
        <v>4</v>
      </c>
      <c r="T490">
        <v>922.69</v>
      </c>
      <c r="U490">
        <v>0.16</v>
      </c>
      <c r="V490">
        <v>3100.2384000000002</v>
      </c>
      <c r="X490" s="4">
        <v>4</v>
      </c>
      <c r="Y490">
        <v>922.69</v>
      </c>
      <c r="Z490">
        <v>0.16</v>
      </c>
      <c r="AA490">
        <v>3100.2384000000002</v>
      </c>
    </row>
    <row r="491" spans="1:27" x14ac:dyDescent="0.3">
      <c r="A491" t="s">
        <v>2298</v>
      </c>
      <c r="B491" s="2">
        <v>45644</v>
      </c>
      <c r="C491" t="s">
        <v>867</v>
      </c>
      <c r="D491" t="s">
        <v>1603</v>
      </c>
      <c r="E491" t="s">
        <v>1759</v>
      </c>
      <c r="F491" s="4">
        <v>2</v>
      </c>
      <c r="G491">
        <v>992.55</v>
      </c>
      <c r="H491">
        <v>0.28000000000000003</v>
      </c>
      <c r="I491" t="s">
        <v>1807</v>
      </c>
      <c r="J491">
        <v>1429.2719999999999</v>
      </c>
      <c r="K491" t="s">
        <v>868</v>
      </c>
      <c r="L491">
        <v>38</v>
      </c>
      <c r="M491" t="str">
        <v>Male</v>
      </c>
      <c r="N491" t="str">
        <f>VLOOKUP(C:C,Customer_Dim!B:I,5,1)</f>
        <v>North Austinport</v>
      </c>
      <c r="O491" t="str">
        <f>VLOOKUP(C:C,Customer_Dim!B:I,6,1)</f>
        <v>Kentucky</v>
      </c>
      <c r="P491" t="str">
        <f>VLOOKUP(C:C,Customer_Dim!B:I,7,1)</f>
        <v>USA</v>
      </c>
      <c r="Q491" t="str">
        <f>VLOOKUP(C:C,Customer_Dim!B:I,8,1)</f>
        <v>Gold</v>
      </c>
      <c r="S491">
        <v>2</v>
      </c>
      <c r="T491">
        <v>992.55</v>
      </c>
      <c r="U491">
        <v>0.28000000000000003</v>
      </c>
      <c r="V491">
        <v>1429.2719999999999</v>
      </c>
      <c r="X491" s="4">
        <v>2</v>
      </c>
      <c r="Y491">
        <v>992.55</v>
      </c>
      <c r="Z491">
        <v>0.28000000000000003</v>
      </c>
      <c r="AA491">
        <v>1429.2719999999999</v>
      </c>
    </row>
    <row r="492" spans="1:27" x14ac:dyDescent="0.3">
      <c r="A492" t="s">
        <v>2299</v>
      </c>
      <c r="B492" s="2">
        <v>45371</v>
      </c>
      <c r="C492" t="s">
        <v>1284</v>
      </c>
      <c r="D492" t="s">
        <v>1709</v>
      </c>
      <c r="E492" t="s">
        <v>1793</v>
      </c>
      <c r="F492" s="4">
        <v>1</v>
      </c>
      <c r="G492">
        <v>170.43</v>
      </c>
      <c r="H492">
        <v>0.03</v>
      </c>
      <c r="I492" t="s">
        <v>1807</v>
      </c>
      <c r="J492">
        <v>165.31710000000001</v>
      </c>
      <c r="K492" t="s">
        <v>1285</v>
      </c>
      <c r="L492">
        <v>33</v>
      </c>
      <c r="M492" t="str">
        <v>Male</v>
      </c>
      <c r="N492" t="str">
        <f>VLOOKUP(C:C,Customer_Dim!B:I,5,1)</f>
        <v>West Mario</v>
      </c>
      <c r="O492" t="str">
        <f>VLOOKUP(C:C,Customer_Dim!B:I,6,1)</f>
        <v>New Hampshire</v>
      </c>
      <c r="P492" t="str">
        <f>VLOOKUP(C:C,Customer_Dim!B:I,7,1)</f>
        <v>USA</v>
      </c>
      <c r="Q492" t="str">
        <f>VLOOKUP(C:C,Customer_Dim!B:I,8,1)</f>
        <v>Silver</v>
      </c>
      <c r="S492">
        <v>1</v>
      </c>
      <c r="T492">
        <v>170.43</v>
      </c>
      <c r="U492">
        <v>0.03</v>
      </c>
      <c r="V492">
        <v>165.31710000000001</v>
      </c>
      <c r="X492" s="4">
        <v>1</v>
      </c>
      <c r="Y492">
        <v>170.43</v>
      </c>
      <c r="Z492">
        <v>0.03</v>
      </c>
      <c r="AA492">
        <v>165.31710000000001</v>
      </c>
    </row>
    <row r="493" spans="1:27" x14ac:dyDescent="0.3">
      <c r="A493" t="s">
        <v>2300</v>
      </c>
      <c r="B493" s="2">
        <v>45462</v>
      </c>
      <c r="C493" t="s">
        <v>716</v>
      </c>
      <c r="D493" t="s">
        <v>1675</v>
      </c>
      <c r="E493" t="s">
        <v>1744</v>
      </c>
      <c r="F493" s="4">
        <v>3</v>
      </c>
      <c r="G493">
        <v>480.51</v>
      </c>
      <c r="H493">
        <v>0.03</v>
      </c>
      <c r="I493" t="s">
        <v>1807</v>
      </c>
      <c r="J493">
        <v>1398.2841000000001</v>
      </c>
      <c r="K493" t="s">
        <v>717</v>
      </c>
      <c r="L493">
        <v>29</v>
      </c>
      <c r="M493" t="str">
        <v>Male</v>
      </c>
      <c r="N493" t="str">
        <f>VLOOKUP(C:C,Customer_Dim!B:I,5,1)</f>
        <v>East Jeremy</v>
      </c>
      <c r="O493" t="str">
        <f>VLOOKUP(C:C,Customer_Dim!B:I,6,1)</f>
        <v>Iowa</v>
      </c>
      <c r="P493" t="str">
        <f>VLOOKUP(C:C,Customer_Dim!B:I,7,1)</f>
        <v>USA</v>
      </c>
      <c r="Q493" t="str">
        <f>VLOOKUP(C:C,Customer_Dim!B:I,8,1)</f>
        <v>Platinum</v>
      </c>
      <c r="S493">
        <v>3</v>
      </c>
      <c r="T493">
        <v>480.51</v>
      </c>
      <c r="U493">
        <v>0.03</v>
      </c>
      <c r="V493">
        <v>1398.2841000000001</v>
      </c>
      <c r="X493" s="4">
        <v>3</v>
      </c>
      <c r="Y493">
        <v>480.51</v>
      </c>
      <c r="Z493">
        <v>0.03</v>
      </c>
      <c r="AA493">
        <v>1398.2841000000001</v>
      </c>
    </row>
    <row r="494" spans="1:27" x14ac:dyDescent="0.3">
      <c r="A494" t="s">
        <v>2301</v>
      </c>
      <c r="B494" s="2">
        <v>45632</v>
      </c>
      <c r="C494" t="s">
        <v>518</v>
      </c>
      <c r="D494" t="s">
        <v>1629</v>
      </c>
      <c r="E494" t="s">
        <v>1762</v>
      </c>
      <c r="F494" s="4">
        <v>2</v>
      </c>
      <c r="G494">
        <v>955.66</v>
      </c>
      <c r="H494">
        <v>0.28999999999999998</v>
      </c>
      <c r="I494" t="s">
        <v>1812</v>
      </c>
      <c r="J494">
        <v>1357.0372</v>
      </c>
      <c r="K494" t="s">
        <v>519</v>
      </c>
      <c r="L494">
        <v>59</v>
      </c>
      <c r="M494" t="str">
        <v>Male</v>
      </c>
      <c r="N494" t="str">
        <f>VLOOKUP(C:C,Customer_Dim!B:I,5,1)</f>
        <v>East Peterbury</v>
      </c>
      <c r="O494" t="str">
        <f>VLOOKUP(C:C,Customer_Dim!B:I,6,1)</f>
        <v>North Dakota</v>
      </c>
      <c r="P494" t="str">
        <f>VLOOKUP(C:C,Customer_Dim!B:I,7,1)</f>
        <v>USA</v>
      </c>
      <c r="Q494" t="str">
        <f>VLOOKUP(C:C,Customer_Dim!B:I,8,1)</f>
        <v>Bronze</v>
      </c>
      <c r="S494">
        <v>2</v>
      </c>
      <c r="T494">
        <v>955.66</v>
      </c>
      <c r="U494">
        <v>0.28999999999999998</v>
      </c>
      <c r="V494">
        <v>1357.0372</v>
      </c>
      <c r="X494" s="4">
        <v>2</v>
      </c>
      <c r="Y494">
        <v>955.66</v>
      </c>
      <c r="Z494">
        <v>0.28999999999999998</v>
      </c>
      <c r="AA494">
        <v>1357.0372</v>
      </c>
    </row>
    <row r="495" spans="1:27" x14ac:dyDescent="0.3">
      <c r="A495" t="s">
        <v>2302</v>
      </c>
      <c r="B495" s="2">
        <v>45863</v>
      </c>
      <c r="C495" t="s">
        <v>1379</v>
      </c>
      <c r="D495" t="s">
        <v>1675</v>
      </c>
      <c r="E495" t="s">
        <v>1735</v>
      </c>
      <c r="F495" s="4">
        <v>2</v>
      </c>
      <c r="G495">
        <v>488.02</v>
      </c>
      <c r="H495">
        <v>0.27</v>
      </c>
      <c r="I495" t="s">
        <v>1809</v>
      </c>
      <c r="J495">
        <v>712.50919999999996</v>
      </c>
      <c r="K495" t="s">
        <v>1380</v>
      </c>
      <c r="L495">
        <v>60</v>
      </c>
      <c r="M495" t="str">
        <v>Female</v>
      </c>
      <c r="N495" t="str">
        <f>VLOOKUP(C:C,Customer_Dim!B:I,5,1)</f>
        <v>Josephmouth</v>
      </c>
      <c r="O495" t="str">
        <f>VLOOKUP(C:C,Customer_Dim!B:I,6,1)</f>
        <v>New Mexico</v>
      </c>
      <c r="P495" t="str">
        <f>VLOOKUP(C:C,Customer_Dim!B:I,7,1)</f>
        <v>USA</v>
      </c>
      <c r="Q495" t="str">
        <f>VLOOKUP(C:C,Customer_Dim!B:I,8,1)</f>
        <v>Gold</v>
      </c>
      <c r="S495">
        <v>2</v>
      </c>
      <c r="T495">
        <v>488.02</v>
      </c>
      <c r="U495">
        <v>0.27</v>
      </c>
      <c r="V495">
        <v>712.50919999999996</v>
      </c>
      <c r="X495" s="4">
        <v>2</v>
      </c>
      <c r="Y495">
        <v>488.02</v>
      </c>
      <c r="Z495">
        <v>0.27</v>
      </c>
      <c r="AA495">
        <v>712.50919999999996</v>
      </c>
    </row>
    <row r="496" spans="1:27" x14ac:dyDescent="0.3">
      <c r="A496" t="s">
        <v>2303</v>
      </c>
      <c r="B496" s="2">
        <v>45501</v>
      </c>
      <c r="C496" t="s">
        <v>764</v>
      </c>
      <c r="D496" t="s">
        <v>1567</v>
      </c>
      <c r="E496" t="s">
        <v>1735</v>
      </c>
      <c r="F496" s="4">
        <v>1</v>
      </c>
      <c r="G496">
        <v>917.17</v>
      </c>
      <c r="H496">
        <v>0.13</v>
      </c>
      <c r="I496" t="s">
        <v>1812</v>
      </c>
      <c r="J496">
        <v>797.93790000000001</v>
      </c>
      <c r="K496" t="s">
        <v>765</v>
      </c>
      <c r="L496">
        <v>31</v>
      </c>
      <c r="M496" t="str">
        <v>Male</v>
      </c>
      <c r="N496" t="str">
        <f>VLOOKUP(C:C,Customer_Dim!B:I,5,1)</f>
        <v>Heathfort</v>
      </c>
      <c r="O496" t="str">
        <f>VLOOKUP(C:C,Customer_Dim!B:I,6,1)</f>
        <v>Michigan</v>
      </c>
      <c r="P496" t="str">
        <f>VLOOKUP(C:C,Customer_Dim!B:I,7,1)</f>
        <v>USA</v>
      </c>
      <c r="Q496" t="str">
        <f>VLOOKUP(C:C,Customer_Dim!B:I,8,1)</f>
        <v>Platinum</v>
      </c>
      <c r="S496">
        <v>1</v>
      </c>
      <c r="T496">
        <v>917.17</v>
      </c>
      <c r="U496">
        <v>0.13</v>
      </c>
      <c r="V496">
        <v>797.93790000000001</v>
      </c>
      <c r="X496" s="4">
        <v>1</v>
      </c>
      <c r="Y496">
        <v>917.17</v>
      </c>
      <c r="Z496">
        <v>0.13</v>
      </c>
      <c r="AA496">
        <v>797.93790000000001</v>
      </c>
    </row>
    <row r="497" spans="1:27" x14ac:dyDescent="0.3">
      <c r="A497" t="s">
        <v>2304</v>
      </c>
      <c r="B497" s="2">
        <v>45568</v>
      </c>
      <c r="C497" t="s">
        <v>1010</v>
      </c>
      <c r="D497" t="s">
        <v>1545</v>
      </c>
      <c r="E497" t="s">
        <v>1756</v>
      </c>
      <c r="F497" s="4">
        <v>2</v>
      </c>
      <c r="G497">
        <v>406.46</v>
      </c>
      <c r="H497">
        <v>0.3</v>
      </c>
      <c r="I497" t="s">
        <v>1809</v>
      </c>
      <c r="J497">
        <v>569.04399999999998</v>
      </c>
      <c r="K497" t="s">
        <v>3945</v>
      </c>
      <c r="L497">
        <v>60</v>
      </c>
      <c r="M497" t="str">
        <v>Male</v>
      </c>
      <c r="N497" t="str">
        <f>VLOOKUP(C:C,Customer_Dim!B:I,5,1)</f>
        <v>South Zacharychester</v>
      </c>
      <c r="O497" t="str">
        <f>VLOOKUP(C:C,Customer_Dim!B:I,6,1)</f>
        <v>Oklahoma</v>
      </c>
      <c r="P497" t="str">
        <f>VLOOKUP(C:C,Customer_Dim!B:I,7,1)</f>
        <v>USA</v>
      </c>
      <c r="Q497" t="str">
        <f>VLOOKUP(C:C,Customer_Dim!B:I,8,1)</f>
        <v>Bronze</v>
      </c>
      <c r="S497">
        <v>2</v>
      </c>
      <c r="T497">
        <v>406.46</v>
      </c>
      <c r="U497">
        <v>0.3</v>
      </c>
      <c r="V497">
        <v>569.04399999999998</v>
      </c>
      <c r="X497" s="4">
        <v>2</v>
      </c>
      <c r="Y497">
        <v>406.46</v>
      </c>
      <c r="Z497">
        <v>0.3</v>
      </c>
      <c r="AA497">
        <v>569.04399999999998</v>
      </c>
    </row>
    <row r="498" spans="1:27" x14ac:dyDescent="0.3">
      <c r="A498" t="s">
        <v>2305</v>
      </c>
      <c r="B498" s="2">
        <v>45238</v>
      </c>
      <c r="C498" t="s">
        <v>740</v>
      </c>
      <c r="D498" t="s">
        <v>1721</v>
      </c>
      <c r="E498" t="s">
        <v>1735</v>
      </c>
      <c r="F498" s="4">
        <v>2</v>
      </c>
      <c r="G498">
        <v>264.39</v>
      </c>
      <c r="H498">
        <v>0.11</v>
      </c>
      <c r="I498" t="s">
        <v>1812</v>
      </c>
      <c r="J498">
        <v>470.61419999999998</v>
      </c>
      <c r="K498" t="s">
        <v>741</v>
      </c>
      <c r="L498">
        <v>59</v>
      </c>
      <c r="M498" t="str">
        <v>Male</v>
      </c>
      <c r="N498" t="str">
        <f>VLOOKUP(C:C,Customer_Dim!B:I,5,1)</f>
        <v>Tammyton</v>
      </c>
      <c r="O498" t="str">
        <f>VLOOKUP(C:C,Customer_Dim!B:I,6,1)</f>
        <v>New Jersey</v>
      </c>
      <c r="P498" t="str">
        <f>VLOOKUP(C:C,Customer_Dim!B:I,7,1)</f>
        <v>USA</v>
      </c>
      <c r="Q498" t="str">
        <f>VLOOKUP(C:C,Customer_Dim!B:I,8,1)</f>
        <v>Platinum</v>
      </c>
      <c r="S498">
        <v>2</v>
      </c>
      <c r="T498">
        <v>264.39</v>
      </c>
      <c r="U498">
        <v>0.11</v>
      </c>
      <c r="V498">
        <v>470.61419999999998</v>
      </c>
      <c r="X498" s="4">
        <v>2</v>
      </c>
      <c r="Y498">
        <v>264.39</v>
      </c>
      <c r="Z498">
        <v>0.11</v>
      </c>
      <c r="AA498">
        <v>470.61419999999998</v>
      </c>
    </row>
    <row r="499" spans="1:27" x14ac:dyDescent="0.3">
      <c r="A499" t="s">
        <v>2306</v>
      </c>
      <c r="B499" s="2">
        <v>45754</v>
      </c>
      <c r="C499" t="s">
        <v>622</v>
      </c>
      <c r="D499" t="s">
        <v>1667</v>
      </c>
      <c r="E499" t="s">
        <v>1787</v>
      </c>
      <c r="F499" s="4">
        <v>1</v>
      </c>
      <c r="G499">
        <v>414.97</v>
      </c>
      <c r="H499">
        <v>0.22</v>
      </c>
      <c r="I499" t="s">
        <v>1809</v>
      </c>
      <c r="J499">
        <v>323.67660000000001</v>
      </c>
      <c r="K499" t="s">
        <v>623</v>
      </c>
      <c r="L499">
        <v>26</v>
      </c>
      <c r="M499" t="str">
        <v>Male</v>
      </c>
      <c r="N499" t="str">
        <f>VLOOKUP(C:C,Customer_Dim!B:I,5,1)</f>
        <v>Johnsonshire</v>
      </c>
      <c r="O499" t="str">
        <f>VLOOKUP(C:C,Customer_Dim!B:I,6,1)</f>
        <v>Ohio</v>
      </c>
      <c r="P499" t="str">
        <f>VLOOKUP(C:C,Customer_Dim!B:I,7,1)</f>
        <v>USA</v>
      </c>
      <c r="Q499" t="str">
        <f>VLOOKUP(C:C,Customer_Dim!B:I,8,1)</f>
        <v>Bronze</v>
      </c>
      <c r="S499">
        <v>1</v>
      </c>
      <c r="T499">
        <v>414.97</v>
      </c>
      <c r="U499">
        <v>0.22</v>
      </c>
      <c r="V499">
        <v>323.67660000000001</v>
      </c>
      <c r="X499" s="4">
        <v>1</v>
      </c>
      <c r="Y499">
        <v>414.97</v>
      </c>
      <c r="Z499">
        <v>0.22</v>
      </c>
      <c r="AA499">
        <v>323.67660000000001</v>
      </c>
    </row>
    <row r="500" spans="1:27" x14ac:dyDescent="0.3">
      <c r="A500" t="s">
        <v>2307</v>
      </c>
      <c r="B500" s="2">
        <v>45280</v>
      </c>
      <c r="C500" t="s">
        <v>488</v>
      </c>
      <c r="D500" t="s">
        <v>1581</v>
      </c>
      <c r="E500" t="s">
        <v>1777</v>
      </c>
      <c r="F500" s="4">
        <v>2</v>
      </c>
      <c r="G500">
        <v>583.51</v>
      </c>
      <c r="H500">
        <v>0.2</v>
      </c>
      <c r="I500" t="s">
        <v>1812</v>
      </c>
      <c r="J500">
        <v>933.61599999999999</v>
      </c>
      <c r="K500" t="s">
        <v>489</v>
      </c>
      <c r="L500">
        <v>49</v>
      </c>
      <c r="M500" t="str">
        <v>Female</v>
      </c>
      <c r="N500" t="str">
        <f>VLOOKUP(C:C,Customer_Dim!B:I,5,1)</f>
        <v>Chungmouth</v>
      </c>
      <c r="O500" t="str">
        <f>VLOOKUP(C:C,Customer_Dim!B:I,6,1)</f>
        <v>South Carolina</v>
      </c>
      <c r="P500" t="str">
        <f>VLOOKUP(C:C,Customer_Dim!B:I,7,1)</f>
        <v>USA</v>
      </c>
      <c r="Q500" t="str">
        <f>VLOOKUP(C:C,Customer_Dim!B:I,8,1)</f>
        <v>Gold</v>
      </c>
      <c r="S500">
        <v>2</v>
      </c>
      <c r="T500">
        <v>583.51</v>
      </c>
      <c r="U500">
        <v>0.2</v>
      </c>
      <c r="V500">
        <v>933.61599999999999</v>
      </c>
      <c r="X500" s="4">
        <v>2</v>
      </c>
      <c r="Y500">
        <v>583.51</v>
      </c>
      <c r="Z500">
        <v>0.2</v>
      </c>
      <c r="AA500">
        <v>933.61599999999999</v>
      </c>
    </row>
    <row r="501" spans="1:27" x14ac:dyDescent="0.3">
      <c r="A501" t="s">
        <v>2308</v>
      </c>
      <c r="B501" s="2">
        <v>45911</v>
      </c>
      <c r="C501" t="s">
        <v>55</v>
      </c>
      <c r="D501" t="s">
        <v>1593</v>
      </c>
      <c r="E501" t="s">
        <v>1790</v>
      </c>
      <c r="F501" s="4">
        <v>1</v>
      </c>
      <c r="G501">
        <v>659.27</v>
      </c>
      <c r="H501">
        <v>0.15</v>
      </c>
      <c r="I501" t="s">
        <v>1809</v>
      </c>
      <c r="J501">
        <v>560.37950000000001</v>
      </c>
      <c r="K501" t="s">
        <v>56</v>
      </c>
      <c r="L501">
        <v>55</v>
      </c>
      <c r="M501" t="str">
        <v>Female</v>
      </c>
      <c r="N501" t="str">
        <f>VLOOKUP(C:C,Customer_Dim!B:I,5,1)</f>
        <v>East Krista</v>
      </c>
      <c r="O501" t="str">
        <f>VLOOKUP(C:C,Customer_Dim!B:I,6,1)</f>
        <v>New York</v>
      </c>
      <c r="P501" t="str">
        <f>VLOOKUP(C:C,Customer_Dim!B:I,7,1)</f>
        <v>USA</v>
      </c>
      <c r="Q501" t="str">
        <f>VLOOKUP(C:C,Customer_Dim!B:I,8,1)</f>
        <v>Gold</v>
      </c>
      <c r="S501">
        <v>1</v>
      </c>
      <c r="T501">
        <v>659.27</v>
      </c>
      <c r="U501">
        <v>0.15</v>
      </c>
      <c r="V501">
        <v>560.37950000000001</v>
      </c>
      <c r="X501" s="4">
        <v>1</v>
      </c>
      <c r="Y501">
        <v>659.27</v>
      </c>
      <c r="Z501">
        <v>0.15</v>
      </c>
      <c r="AA501">
        <v>560.37950000000001</v>
      </c>
    </row>
    <row r="502" spans="1:27" x14ac:dyDescent="0.3">
      <c r="A502" t="s">
        <v>2309</v>
      </c>
      <c r="B502" s="2">
        <v>45627</v>
      </c>
      <c r="C502" t="s">
        <v>1361</v>
      </c>
      <c r="D502" t="s">
        <v>1532</v>
      </c>
      <c r="E502" t="s">
        <v>1752</v>
      </c>
      <c r="F502" s="4">
        <v>4</v>
      </c>
      <c r="G502">
        <v>106.66</v>
      </c>
      <c r="H502">
        <v>0.2</v>
      </c>
      <c r="I502" t="s">
        <v>1812</v>
      </c>
      <c r="J502">
        <v>341.31200000000001</v>
      </c>
      <c r="K502" t="s">
        <v>1362</v>
      </c>
      <c r="L502">
        <v>35</v>
      </c>
      <c r="M502" t="str">
        <v>Male</v>
      </c>
      <c r="N502" t="str">
        <f>VLOOKUP(C:C,Customer_Dim!B:I,5,1)</f>
        <v>Mcfarlandmouth</v>
      </c>
      <c r="O502" t="str">
        <f>VLOOKUP(C:C,Customer_Dim!B:I,6,1)</f>
        <v>Virginia</v>
      </c>
      <c r="P502" t="str">
        <f>VLOOKUP(C:C,Customer_Dim!B:I,7,1)</f>
        <v>USA</v>
      </c>
      <c r="Q502" t="str">
        <f>VLOOKUP(C:C,Customer_Dim!B:I,8,1)</f>
        <v>Platinum</v>
      </c>
      <c r="S502">
        <v>4</v>
      </c>
      <c r="T502">
        <v>106.66</v>
      </c>
      <c r="U502">
        <v>0.2</v>
      </c>
      <c r="V502">
        <v>341.31200000000001</v>
      </c>
      <c r="X502" s="4">
        <v>4</v>
      </c>
      <c r="Y502">
        <v>106.66</v>
      </c>
      <c r="Z502">
        <v>0.2</v>
      </c>
      <c r="AA502">
        <v>341.31200000000001</v>
      </c>
    </row>
    <row r="503" spans="1:27" x14ac:dyDescent="0.3">
      <c r="A503" t="s">
        <v>2310</v>
      </c>
      <c r="B503" s="2">
        <v>45617</v>
      </c>
      <c r="C503" t="s">
        <v>539</v>
      </c>
      <c r="D503" t="s">
        <v>1551</v>
      </c>
      <c r="E503" t="s">
        <v>1756</v>
      </c>
      <c r="F503" s="4">
        <v>4</v>
      </c>
      <c r="G503">
        <v>168.55</v>
      </c>
      <c r="H503">
        <v>0.15</v>
      </c>
      <c r="I503" t="s">
        <v>1809</v>
      </c>
      <c r="J503">
        <v>573.07000000000005</v>
      </c>
      <c r="K503" t="s">
        <v>540</v>
      </c>
      <c r="L503">
        <v>39</v>
      </c>
      <c r="M503" t="str">
        <v>Female</v>
      </c>
      <c r="N503" t="str">
        <f>VLOOKUP(C:C,Customer_Dim!B:I,5,1)</f>
        <v>North Matthew</v>
      </c>
      <c r="O503" t="str">
        <f>VLOOKUP(C:C,Customer_Dim!B:I,6,1)</f>
        <v>Illinois</v>
      </c>
      <c r="P503" t="str">
        <f>VLOOKUP(C:C,Customer_Dim!B:I,7,1)</f>
        <v>USA</v>
      </c>
      <c r="Q503" t="str">
        <f>VLOOKUP(C:C,Customer_Dim!B:I,8,1)</f>
        <v>Bronze</v>
      </c>
      <c r="S503">
        <v>4</v>
      </c>
      <c r="T503">
        <v>168.55</v>
      </c>
      <c r="U503">
        <v>0.15</v>
      </c>
      <c r="V503">
        <v>573.07000000000005</v>
      </c>
      <c r="X503" s="4">
        <v>4</v>
      </c>
      <c r="Y503">
        <v>168.55</v>
      </c>
      <c r="Z503">
        <v>0.15</v>
      </c>
      <c r="AA503">
        <v>573.07000000000005</v>
      </c>
    </row>
    <row r="504" spans="1:27" x14ac:dyDescent="0.3">
      <c r="A504" t="s">
        <v>2311</v>
      </c>
      <c r="B504" s="2">
        <v>45899</v>
      </c>
      <c r="C504" t="s">
        <v>1484</v>
      </c>
      <c r="D504" t="s">
        <v>1619</v>
      </c>
      <c r="E504" t="s">
        <v>1744</v>
      </c>
      <c r="F504" s="4">
        <v>1</v>
      </c>
      <c r="G504">
        <v>230.53</v>
      </c>
      <c r="H504">
        <v>0.06</v>
      </c>
      <c r="I504" t="s">
        <v>1812</v>
      </c>
      <c r="J504">
        <v>216.69820000000001</v>
      </c>
      <c r="K504" t="s">
        <v>1485</v>
      </c>
      <c r="L504">
        <v>42</v>
      </c>
      <c r="M504" t="str">
        <v>Female</v>
      </c>
      <c r="N504" t="str">
        <f>VLOOKUP(C:C,Customer_Dim!B:I,5,1)</f>
        <v>South Davidport</v>
      </c>
      <c r="O504" t="str">
        <f>VLOOKUP(C:C,Customer_Dim!B:I,6,1)</f>
        <v>California</v>
      </c>
      <c r="P504" t="str">
        <f>VLOOKUP(C:C,Customer_Dim!B:I,7,1)</f>
        <v>USA</v>
      </c>
      <c r="Q504" t="str">
        <f>VLOOKUP(C:C,Customer_Dim!B:I,8,1)</f>
        <v>Platinum</v>
      </c>
      <c r="S504">
        <v>1</v>
      </c>
      <c r="T504">
        <v>230.53</v>
      </c>
      <c r="U504">
        <v>0.06</v>
      </c>
      <c r="V504">
        <v>216.69820000000001</v>
      </c>
      <c r="X504" s="4">
        <v>1</v>
      </c>
      <c r="Y504">
        <v>230.53</v>
      </c>
      <c r="Z504">
        <v>0.06</v>
      </c>
      <c r="AA504">
        <v>216.69820000000001</v>
      </c>
    </row>
    <row r="505" spans="1:27" x14ac:dyDescent="0.3">
      <c r="A505" t="s">
        <v>2312</v>
      </c>
      <c r="B505" s="2">
        <v>45889</v>
      </c>
      <c r="C505" t="s">
        <v>40</v>
      </c>
      <c r="D505" t="s">
        <v>1639</v>
      </c>
      <c r="E505" t="s">
        <v>1740</v>
      </c>
      <c r="F505" s="4">
        <v>2</v>
      </c>
      <c r="G505">
        <v>355.41</v>
      </c>
      <c r="H505">
        <v>0.13</v>
      </c>
      <c r="I505" t="s">
        <v>1812</v>
      </c>
      <c r="J505">
        <v>618.41340000000002</v>
      </c>
      <c r="K505" t="s">
        <v>41</v>
      </c>
      <c r="L505">
        <v>53</v>
      </c>
      <c r="M505" t="str">
        <v>Female</v>
      </c>
      <c r="N505" t="str">
        <f>VLOOKUP(C:C,Customer_Dim!B:I,5,1)</f>
        <v>West Pamelafurt</v>
      </c>
      <c r="O505" t="str">
        <f>VLOOKUP(C:C,Customer_Dim!B:I,6,1)</f>
        <v>West Virginia</v>
      </c>
      <c r="P505" t="str">
        <f>VLOOKUP(C:C,Customer_Dim!B:I,7,1)</f>
        <v>USA</v>
      </c>
      <c r="Q505" t="str">
        <f>VLOOKUP(C:C,Customer_Dim!B:I,8,1)</f>
        <v>Bronze</v>
      </c>
      <c r="S505">
        <v>2</v>
      </c>
      <c r="T505">
        <v>355.41</v>
      </c>
      <c r="U505">
        <v>0.13</v>
      </c>
      <c r="V505">
        <v>618.41340000000002</v>
      </c>
      <c r="X505" s="4">
        <v>2</v>
      </c>
      <c r="Y505">
        <v>355.41</v>
      </c>
      <c r="Z505">
        <v>0.13</v>
      </c>
      <c r="AA505">
        <v>618.41340000000002</v>
      </c>
    </row>
    <row r="506" spans="1:27" x14ac:dyDescent="0.3">
      <c r="A506" t="s">
        <v>2313</v>
      </c>
      <c r="B506" s="2">
        <v>45943</v>
      </c>
      <c r="C506" t="s">
        <v>551</v>
      </c>
      <c r="D506" t="s">
        <v>1625</v>
      </c>
      <c r="E506" t="s">
        <v>1744</v>
      </c>
      <c r="F506" s="4">
        <v>3</v>
      </c>
      <c r="G506">
        <v>843.44</v>
      </c>
      <c r="H506">
        <v>0.22</v>
      </c>
      <c r="I506" t="s">
        <v>1807</v>
      </c>
      <c r="J506">
        <v>1973.6496</v>
      </c>
      <c r="K506" t="s">
        <v>552</v>
      </c>
      <c r="L506">
        <v>36</v>
      </c>
      <c r="M506" t="str">
        <v>Female</v>
      </c>
      <c r="N506" t="str">
        <f>VLOOKUP(C:C,Customer_Dim!B:I,5,1)</f>
        <v>New Jasonmouth</v>
      </c>
      <c r="O506" t="str">
        <f>VLOOKUP(C:C,Customer_Dim!B:I,6,1)</f>
        <v>Tennessee</v>
      </c>
      <c r="P506" t="str">
        <f>VLOOKUP(C:C,Customer_Dim!B:I,7,1)</f>
        <v>USA</v>
      </c>
      <c r="Q506" t="str">
        <f>VLOOKUP(C:C,Customer_Dim!B:I,8,1)</f>
        <v>Gold</v>
      </c>
      <c r="S506">
        <v>3</v>
      </c>
      <c r="T506">
        <v>843.44</v>
      </c>
      <c r="U506">
        <v>0.22</v>
      </c>
      <c r="V506">
        <v>1973.6496</v>
      </c>
      <c r="X506" s="4">
        <v>3</v>
      </c>
      <c r="Y506">
        <v>843.44</v>
      </c>
      <c r="Z506">
        <v>0.22</v>
      </c>
      <c r="AA506">
        <v>1973.6496</v>
      </c>
    </row>
    <row r="507" spans="1:27" x14ac:dyDescent="0.3">
      <c r="A507" t="s">
        <v>2314</v>
      </c>
      <c r="B507" s="2">
        <v>45306</v>
      </c>
      <c r="C507" t="s">
        <v>539</v>
      </c>
      <c r="D507" t="s">
        <v>1721</v>
      </c>
      <c r="E507" t="s">
        <v>1740</v>
      </c>
      <c r="F507" s="4">
        <v>1</v>
      </c>
      <c r="G507">
        <v>301.60000000000002</v>
      </c>
      <c r="H507">
        <v>0.27</v>
      </c>
      <c r="I507" t="s">
        <v>1807</v>
      </c>
      <c r="J507">
        <v>220.16800000000001</v>
      </c>
      <c r="K507" t="s">
        <v>540</v>
      </c>
      <c r="L507">
        <v>39</v>
      </c>
      <c r="M507" t="str">
        <v>Female</v>
      </c>
      <c r="N507" t="str">
        <f>VLOOKUP(C:C,Customer_Dim!B:I,5,1)</f>
        <v>North Matthew</v>
      </c>
      <c r="O507" t="str">
        <f>VLOOKUP(C:C,Customer_Dim!B:I,6,1)</f>
        <v>Illinois</v>
      </c>
      <c r="P507" t="str">
        <f>VLOOKUP(C:C,Customer_Dim!B:I,7,1)</f>
        <v>USA</v>
      </c>
      <c r="Q507" t="str">
        <f>VLOOKUP(C:C,Customer_Dim!B:I,8,1)</f>
        <v>Bronze</v>
      </c>
      <c r="S507">
        <v>1</v>
      </c>
      <c r="T507">
        <v>301.60000000000002</v>
      </c>
      <c r="U507">
        <v>0.27</v>
      </c>
      <c r="V507">
        <v>220.16800000000001</v>
      </c>
      <c r="X507" s="4">
        <v>1</v>
      </c>
      <c r="Y507">
        <v>301.60000000000002</v>
      </c>
      <c r="Z507">
        <v>0.27</v>
      </c>
      <c r="AA507">
        <v>220.16800000000001</v>
      </c>
    </row>
    <row r="508" spans="1:27" x14ac:dyDescent="0.3">
      <c r="A508" t="s">
        <v>2315</v>
      </c>
      <c r="B508" s="2">
        <v>45772</v>
      </c>
      <c r="C508" t="s">
        <v>163</v>
      </c>
      <c r="D508" t="s">
        <v>1709</v>
      </c>
      <c r="E508" t="s">
        <v>1744</v>
      </c>
      <c r="F508" s="4">
        <v>3</v>
      </c>
      <c r="G508">
        <v>21.59</v>
      </c>
      <c r="H508">
        <v>0.16</v>
      </c>
      <c r="I508" t="s">
        <v>1812</v>
      </c>
      <c r="J508">
        <v>54.406799999999997</v>
      </c>
      <c r="K508" t="s">
        <v>164</v>
      </c>
      <c r="L508">
        <v>45</v>
      </c>
      <c r="M508" t="str">
        <v>Male</v>
      </c>
      <c r="N508" t="str">
        <f>VLOOKUP(C:C,Customer_Dim!B:I,5,1)</f>
        <v>Ryanburgh</v>
      </c>
      <c r="O508" t="str">
        <f>VLOOKUP(C:C,Customer_Dim!B:I,6,1)</f>
        <v>Connecticut</v>
      </c>
      <c r="P508" t="str">
        <f>VLOOKUP(C:C,Customer_Dim!B:I,7,1)</f>
        <v>USA</v>
      </c>
      <c r="Q508" t="str">
        <f>VLOOKUP(C:C,Customer_Dim!B:I,8,1)</f>
        <v>Platinum</v>
      </c>
      <c r="S508">
        <v>3</v>
      </c>
      <c r="T508">
        <v>21.59</v>
      </c>
      <c r="U508">
        <v>0.16</v>
      </c>
      <c r="V508">
        <v>54.406799999999997</v>
      </c>
      <c r="X508" s="4">
        <v>3</v>
      </c>
      <c r="Y508">
        <v>21.59</v>
      </c>
      <c r="Z508">
        <v>0.16</v>
      </c>
      <c r="AA508">
        <v>54.406799999999997</v>
      </c>
    </row>
    <row r="509" spans="1:27" x14ac:dyDescent="0.3">
      <c r="A509" t="s">
        <v>2316</v>
      </c>
      <c r="B509" s="2">
        <v>45346</v>
      </c>
      <c r="C509" t="s">
        <v>684</v>
      </c>
      <c r="D509" t="s">
        <v>1557</v>
      </c>
      <c r="E509" t="s">
        <v>1744</v>
      </c>
      <c r="F509" s="4">
        <v>4</v>
      </c>
      <c r="G509">
        <v>284.24</v>
      </c>
      <c r="H509">
        <v>0.09</v>
      </c>
      <c r="I509" t="s">
        <v>1807</v>
      </c>
      <c r="J509">
        <v>1034.6335999999999</v>
      </c>
      <c r="K509" t="s">
        <v>685</v>
      </c>
      <c r="L509">
        <v>42</v>
      </c>
      <c r="M509" t="str">
        <v>Female</v>
      </c>
      <c r="N509" t="str">
        <f>VLOOKUP(C:C,Customer_Dim!B:I,5,1)</f>
        <v>Lyonsfort</v>
      </c>
      <c r="O509" t="str">
        <f>VLOOKUP(C:C,Customer_Dim!B:I,6,1)</f>
        <v>Washington</v>
      </c>
      <c r="P509" t="str">
        <f>VLOOKUP(C:C,Customer_Dim!B:I,7,1)</f>
        <v>USA</v>
      </c>
      <c r="Q509" t="str">
        <f>VLOOKUP(C:C,Customer_Dim!B:I,8,1)</f>
        <v>Platinum</v>
      </c>
      <c r="S509">
        <v>4</v>
      </c>
      <c r="T509">
        <v>284.24</v>
      </c>
      <c r="U509">
        <v>0.09</v>
      </c>
      <c r="V509">
        <v>1034.6335999999999</v>
      </c>
      <c r="X509" s="4">
        <v>4</v>
      </c>
      <c r="Y509">
        <v>284.24</v>
      </c>
      <c r="Z509">
        <v>0.09</v>
      </c>
      <c r="AA509">
        <v>1034.6335999999999</v>
      </c>
    </row>
    <row r="510" spans="1:27" x14ac:dyDescent="0.3">
      <c r="A510" t="s">
        <v>2317</v>
      </c>
      <c r="B510" s="2">
        <v>45656</v>
      </c>
      <c r="C510" t="s">
        <v>1138</v>
      </c>
      <c r="D510" t="s">
        <v>1538</v>
      </c>
      <c r="E510" t="s">
        <v>1769</v>
      </c>
      <c r="F510" s="4">
        <v>1</v>
      </c>
      <c r="G510">
        <v>191.6</v>
      </c>
      <c r="H510">
        <v>0.27</v>
      </c>
      <c r="I510" t="s">
        <v>1809</v>
      </c>
      <c r="J510">
        <v>139.86799999999999</v>
      </c>
      <c r="K510" t="s">
        <v>1139</v>
      </c>
      <c r="L510">
        <v>20</v>
      </c>
      <c r="M510" t="str">
        <v>Female</v>
      </c>
      <c r="N510" t="str">
        <f>VLOOKUP(C:C,Customer_Dim!B:I,5,1)</f>
        <v>West Mathew</v>
      </c>
      <c r="O510" t="str">
        <f>VLOOKUP(C:C,Customer_Dim!B:I,6,1)</f>
        <v>New York</v>
      </c>
      <c r="P510" t="str">
        <f>VLOOKUP(C:C,Customer_Dim!B:I,7,1)</f>
        <v>USA</v>
      </c>
      <c r="Q510" t="str">
        <f>VLOOKUP(C:C,Customer_Dim!B:I,8,1)</f>
        <v>Platinum</v>
      </c>
      <c r="S510">
        <v>1</v>
      </c>
      <c r="T510">
        <v>191.6</v>
      </c>
      <c r="U510">
        <v>0.27</v>
      </c>
      <c r="V510">
        <v>139.86799999999999</v>
      </c>
      <c r="X510" s="4">
        <v>1</v>
      </c>
      <c r="Y510">
        <v>191.6</v>
      </c>
      <c r="Z510">
        <v>0.27</v>
      </c>
      <c r="AA510">
        <v>139.86799999999999</v>
      </c>
    </row>
    <row r="511" spans="1:27" x14ac:dyDescent="0.3">
      <c r="A511" t="s">
        <v>2318</v>
      </c>
      <c r="B511" s="2">
        <v>45762</v>
      </c>
      <c r="C511" t="s">
        <v>971</v>
      </c>
      <c r="D511" t="s">
        <v>1687</v>
      </c>
      <c r="E511" t="s">
        <v>1777</v>
      </c>
      <c r="F511" s="4">
        <v>2</v>
      </c>
      <c r="G511">
        <v>616.97</v>
      </c>
      <c r="H511">
        <v>0.22</v>
      </c>
      <c r="I511" t="s">
        <v>1807</v>
      </c>
      <c r="J511">
        <v>962.47320000000002</v>
      </c>
      <c r="K511" t="s">
        <v>972</v>
      </c>
      <c r="L511">
        <v>47</v>
      </c>
      <c r="M511" t="str">
        <v>Female</v>
      </c>
      <c r="N511" t="str">
        <f>VLOOKUP(C:C,Customer_Dim!B:I,5,1)</f>
        <v>Port Edwardmouth</v>
      </c>
      <c r="O511" t="str">
        <f>VLOOKUP(C:C,Customer_Dim!B:I,6,1)</f>
        <v>Oregon</v>
      </c>
      <c r="P511" t="str">
        <f>VLOOKUP(C:C,Customer_Dim!B:I,7,1)</f>
        <v>USA</v>
      </c>
      <c r="Q511" t="str">
        <f>VLOOKUP(C:C,Customer_Dim!B:I,8,1)</f>
        <v>Platinum</v>
      </c>
      <c r="S511">
        <v>2</v>
      </c>
      <c r="T511">
        <v>616.97</v>
      </c>
      <c r="U511">
        <v>0.22</v>
      </c>
      <c r="V511">
        <v>962.47320000000002</v>
      </c>
      <c r="X511" s="4">
        <v>2</v>
      </c>
      <c r="Y511">
        <v>616.97</v>
      </c>
      <c r="Z511">
        <v>0.22</v>
      </c>
      <c r="AA511">
        <v>962.47320000000002</v>
      </c>
    </row>
    <row r="512" spans="1:27" x14ac:dyDescent="0.3">
      <c r="A512" t="s">
        <v>2319</v>
      </c>
      <c r="B512" s="2">
        <v>45580</v>
      </c>
      <c r="C512" t="s">
        <v>554</v>
      </c>
      <c r="D512" t="s">
        <v>1587</v>
      </c>
      <c r="E512" t="s">
        <v>1772</v>
      </c>
      <c r="F512" s="4">
        <v>3</v>
      </c>
      <c r="G512">
        <v>125.68</v>
      </c>
      <c r="H512">
        <v>0.26</v>
      </c>
      <c r="I512" t="s">
        <v>1812</v>
      </c>
      <c r="J512">
        <v>279.00959999999998</v>
      </c>
      <c r="K512" t="s">
        <v>555</v>
      </c>
      <c r="L512">
        <v>64</v>
      </c>
      <c r="M512" t="str">
        <v>Male</v>
      </c>
      <c r="N512" t="str">
        <f>VLOOKUP(C:C,Customer_Dim!B:I,5,1)</f>
        <v>Robertview</v>
      </c>
      <c r="O512" t="str">
        <f>VLOOKUP(C:C,Customer_Dim!B:I,6,1)</f>
        <v>Florida</v>
      </c>
      <c r="P512" t="str">
        <f>VLOOKUP(C:C,Customer_Dim!B:I,7,1)</f>
        <v>USA</v>
      </c>
      <c r="Q512" t="str">
        <f>VLOOKUP(C:C,Customer_Dim!B:I,8,1)</f>
        <v>Platinum</v>
      </c>
      <c r="S512">
        <v>3</v>
      </c>
      <c r="T512">
        <v>125.68</v>
      </c>
      <c r="U512">
        <v>0.26</v>
      </c>
      <c r="V512">
        <v>279.00959999999998</v>
      </c>
      <c r="X512" s="4">
        <v>3</v>
      </c>
      <c r="Y512">
        <v>125.68</v>
      </c>
      <c r="Z512">
        <v>0.26</v>
      </c>
      <c r="AA512">
        <v>279.00959999999998</v>
      </c>
    </row>
    <row r="513" spans="1:27" x14ac:dyDescent="0.3">
      <c r="A513" t="s">
        <v>2320</v>
      </c>
      <c r="B513" s="2">
        <v>45676</v>
      </c>
      <c r="C513" t="s">
        <v>1092</v>
      </c>
      <c r="D513" t="s">
        <v>1617</v>
      </c>
      <c r="E513" t="s">
        <v>1752</v>
      </c>
      <c r="F513" s="4">
        <v>3</v>
      </c>
      <c r="G513">
        <v>307.48</v>
      </c>
      <c r="H513">
        <v>0.24</v>
      </c>
      <c r="I513" t="s">
        <v>1807</v>
      </c>
      <c r="J513">
        <v>701.0544000000001</v>
      </c>
      <c r="K513" t="s">
        <v>1093</v>
      </c>
      <c r="L513">
        <v>56</v>
      </c>
      <c r="M513" t="str">
        <v>Female</v>
      </c>
      <c r="N513" t="str">
        <f>VLOOKUP(C:C,Customer_Dim!B:I,5,1)</f>
        <v>Port Saramouth</v>
      </c>
      <c r="O513" t="str">
        <f>VLOOKUP(C:C,Customer_Dim!B:I,6,1)</f>
        <v>Wisconsin</v>
      </c>
      <c r="P513" t="str">
        <f>VLOOKUP(C:C,Customer_Dim!B:I,7,1)</f>
        <v>USA</v>
      </c>
      <c r="Q513" t="str">
        <f>VLOOKUP(C:C,Customer_Dim!B:I,8,1)</f>
        <v>Silver</v>
      </c>
      <c r="S513">
        <v>3</v>
      </c>
      <c r="T513">
        <v>307.48</v>
      </c>
      <c r="U513">
        <v>0.24</v>
      </c>
      <c r="V513">
        <v>701.0544000000001</v>
      </c>
      <c r="X513" s="4">
        <v>3</v>
      </c>
      <c r="Y513">
        <v>307.48</v>
      </c>
      <c r="Z513">
        <v>0.24</v>
      </c>
      <c r="AA513">
        <v>701.0544000000001</v>
      </c>
    </row>
    <row r="514" spans="1:27" x14ac:dyDescent="0.3">
      <c r="A514" t="s">
        <v>2321</v>
      </c>
      <c r="B514" s="2">
        <v>45495</v>
      </c>
      <c r="C514" t="s">
        <v>933</v>
      </c>
      <c r="D514" t="s">
        <v>1532</v>
      </c>
      <c r="E514" t="s">
        <v>1796</v>
      </c>
      <c r="F514" s="4">
        <v>1</v>
      </c>
      <c r="G514">
        <v>505.23</v>
      </c>
      <c r="H514">
        <v>0.11</v>
      </c>
      <c r="I514" t="s">
        <v>1807</v>
      </c>
      <c r="J514">
        <v>449.65469999999999</v>
      </c>
      <c r="K514" t="s">
        <v>934</v>
      </c>
      <c r="L514">
        <v>48</v>
      </c>
      <c r="M514" t="str">
        <v>Female</v>
      </c>
      <c r="N514" t="str">
        <f>VLOOKUP(C:C,Customer_Dim!B:I,5,1)</f>
        <v>New Joshuatown</v>
      </c>
      <c r="O514" t="str">
        <f>VLOOKUP(C:C,Customer_Dim!B:I,6,1)</f>
        <v>Maine</v>
      </c>
      <c r="P514" t="str">
        <f>VLOOKUP(C:C,Customer_Dim!B:I,7,1)</f>
        <v>USA</v>
      </c>
      <c r="Q514" t="str">
        <f>VLOOKUP(C:C,Customer_Dim!B:I,8,1)</f>
        <v>Platinum</v>
      </c>
      <c r="S514">
        <v>1</v>
      </c>
      <c r="T514">
        <v>505.23</v>
      </c>
      <c r="U514">
        <v>0.11</v>
      </c>
      <c r="V514">
        <v>449.65469999999999</v>
      </c>
      <c r="X514" s="4">
        <v>1</v>
      </c>
      <c r="Y514">
        <v>505.23</v>
      </c>
      <c r="Z514">
        <v>0.11</v>
      </c>
      <c r="AA514">
        <v>449.65469999999999</v>
      </c>
    </row>
    <row r="515" spans="1:27" x14ac:dyDescent="0.3">
      <c r="A515" t="s">
        <v>2322</v>
      </c>
      <c r="B515" s="2">
        <v>45735</v>
      </c>
      <c r="C515" t="s">
        <v>1129</v>
      </c>
      <c r="D515" t="s">
        <v>1621</v>
      </c>
      <c r="E515" t="s">
        <v>1787</v>
      </c>
      <c r="F515" s="4">
        <v>1</v>
      </c>
      <c r="G515">
        <v>853.12</v>
      </c>
      <c r="H515">
        <v>0.19</v>
      </c>
      <c r="I515" t="s">
        <v>1812</v>
      </c>
      <c r="J515">
        <v>691.02719999999999</v>
      </c>
      <c r="K515" t="s">
        <v>1130</v>
      </c>
      <c r="L515">
        <v>40</v>
      </c>
      <c r="M515" t="str">
        <v>Female</v>
      </c>
      <c r="N515" t="str">
        <f>VLOOKUP(C:C,Customer_Dim!B:I,5,1)</f>
        <v>Kellyside</v>
      </c>
      <c r="O515" t="str">
        <f>VLOOKUP(C:C,Customer_Dim!B:I,6,1)</f>
        <v>Alaska</v>
      </c>
      <c r="P515" t="str">
        <f>VLOOKUP(C:C,Customer_Dim!B:I,7,1)</f>
        <v>USA</v>
      </c>
      <c r="Q515" t="str">
        <f>VLOOKUP(C:C,Customer_Dim!B:I,8,1)</f>
        <v>Platinum</v>
      </c>
      <c r="S515">
        <v>1</v>
      </c>
      <c r="T515">
        <v>853.12</v>
      </c>
      <c r="U515">
        <v>0.19</v>
      </c>
      <c r="V515">
        <v>691.02719999999999</v>
      </c>
      <c r="X515" s="4">
        <v>1</v>
      </c>
      <c r="Y515">
        <v>853.12</v>
      </c>
      <c r="Z515">
        <v>0.19</v>
      </c>
      <c r="AA515">
        <v>691.02719999999999</v>
      </c>
    </row>
    <row r="516" spans="1:27" x14ac:dyDescent="0.3">
      <c r="A516" t="s">
        <v>2323</v>
      </c>
      <c r="B516" s="2">
        <v>45312</v>
      </c>
      <c r="C516" t="s">
        <v>439</v>
      </c>
      <c r="D516" t="s">
        <v>1526</v>
      </c>
      <c r="E516" t="s">
        <v>1762</v>
      </c>
      <c r="F516" s="4">
        <v>4</v>
      </c>
      <c r="G516">
        <v>191.65</v>
      </c>
      <c r="H516">
        <v>0.19</v>
      </c>
      <c r="I516" t="s">
        <v>1809</v>
      </c>
      <c r="J516">
        <v>620.94600000000003</v>
      </c>
      <c r="K516" t="s">
        <v>440</v>
      </c>
      <c r="L516">
        <v>29</v>
      </c>
      <c r="M516" t="str">
        <v>Male</v>
      </c>
      <c r="N516" t="str">
        <f>VLOOKUP(C:C,Customer_Dim!B:I,5,1)</f>
        <v>Matthewbury</v>
      </c>
      <c r="O516" t="str">
        <f>VLOOKUP(C:C,Customer_Dim!B:I,6,1)</f>
        <v>South Dakota</v>
      </c>
      <c r="P516" t="str">
        <f>VLOOKUP(C:C,Customer_Dim!B:I,7,1)</f>
        <v>USA</v>
      </c>
      <c r="Q516" t="str">
        <f>VLOOKUP(C:C,Customer_Dim!B:I,8,1)</f>
        <v>Silver</v>
      </c>
      <c r="S516">
        <v>4</v>
      </c>
      <c r="T516">
        <v>191.65</v>
      </c>
      <c r="U516">
        <v>0.19</v>
      </c>
      <c r="V516">
        <v>620.94600000000003</v>
      </c>
      <c r="X516" s="4">
        <v>4</v>
      </c>
      <c r="Y516">
        <v>191.65</v>
      </c>
      <c r="Z516">
        <v>0.19</v>
      </c>
      <c r="AA516">
        <v>620.94600000000003</v>
      </c>
    </row>
    <row r="517" spans="1:27" x14ac:dyDescent="0.3">
      <c r="A517" t="s">
        <v>2324</v>
      </c>
      <c r="B517" s="2">
        <v>45286</v>
      </c>
      <c r="C517" t="s">
        <v>530</v>
      </c>
      <c r="D517" t="s">
        <v>1625</v>
      </c>
      <c r="E517" t="s">
        <v>1749</v>
      </c>
      <c r="F517" s="4">
        <v>1</v>
      </c>
      <c r="G517">
        <v>169.69</v>
      </c>
      <c r="H517">
        <v>0.22</v>
      </c>
      <c r="I517" t="s">
        <v>1807</v>
      </c>
      <c r="J517">
        <v>132.35820000000001</v>
      </c>
      <c r="K517" t="s">
        <v>531</v>
      </c>
      <c r="L517">
        <v>18</v>
      </c>
      <c r="M517" t="str">
        <v>Female</v>
      </c>
      <c r="N517" t="str">
        <f>VLOOKUP(C:C,Customer_Dim!B:I,5,1)</f>
        <v>New Juliemouth</v>
      </c>
      <c r="O517" t="str">
        <f>VLOOKUP(C:C,Customer_Dim!B:I,6,1)</f>
        <v>North Carolina</v>
      </c>
      <c r="P517" t="str">
        <f>VLOOKUP(C:C,Customer_Dim!B:I,7,1)</f>
        <v>USA</v>
      </c>
      <c r="Q517" t="str">
        <f>VLOOKUP(C:C,Customer_Dim!B:I,8,1)</f>
        <v>Platinum</v>
      </c>
      <c r="S517">
        <v>1</v>
      </c>
      <c r="T517">
        <v>169.69</v>
      </c>
      <c r="U517">
        <v>0.22</v>
      </c>
      <c r="V517">
        <v>132.35820000000001</v>
      </c>
      <c r="X517" s="4">
        <v>1</v>
      </c>
      <c r="Y517">
        <v>169.69</v>
      </c>
      <c r="Z517">
        <v>0.22</v>
      </c>
      <c r="AA517">
        <v>132.35820000000001</v>
      </c>
    </row>
    <row r="518" spans="1:27" x14ac:dyDescent="0.3">
      <c r="A518" t="s">
        <v>2325</v>
      </c>
      <c r="B518" s="2">
        <v>45372</v>
      </c>
      <c r="C518" t="s">
        <v>573</v>
      </c>
      <c r="D518" t="s">
        <v>1655</v>
      </c>
      <c r="E518" t="s">
        <v>1782</v>
      </c>
      <c r="F518" s="4">
        <v>1</v>
      </c>
      <c r="G518">
        <v>145.43</v>
      </c>
      <c r="H518">
        <v>0.08</v>
      </c>
      <c r="I518" t="s">
        <v>1807</v>
      </c>
      <c r="J518">
        <v>133.79560000000001</v>
      </c>
      <c r="K518" t="s">
        <v>574</v>
      </c>
      <c r="L518">
        <v>48</v>
      </c>
      <c r="M518" t="str">
        <v>Male</v>
      </c>
      <c r="N518" t="str">
        <f>VLOOKUP(C:C,Customer_Dim!B:I,5,1)</f>
        <v>East Jessicaborough</v>
      </c>
      <c r="O518" t="str">
        <f>VLOOKUP(C:C,Customer_Dim!B:I,6,1)</f>
        <v>Hawaii</v>
      </c>
      <c r="P518" t="str">
        <f>VLOOKUP(C:C,Customer_Dim!B:I,7,1)</f>
        <v>USA</v>
      </c>
      <c r="Q518" t="str">
        <f>VLOOKUP(C:C,Customer_Dim!B:I,8,1)</f>
        <v>Platinum</v>
      </c>
      <c r="S518">
        <v>1</v>
      </c>
      <c r="T518">
        <v>145.43</v>
      </c>
      <c r="U518">
        <v>0.08</v>
      </c>
      <c r="V518">
        <v>133.79560000000001</v>
      </c>
      <c r="X518" s="4">
        <v>1</v>
      </c>
      <c r="Y518">
        <v>145.43</v>
      </c>
      <c r="Z518">
        <v>0.08</v>
      </c>
      <c r="AA518">
        <v>133.79560000000001</v>
      </c>
    </row>
    <row r="519" spans="1:27" x14ac:dyDescent="0.3">
      <c r="A519" t="s">
        <v>2326</v>
      </c>
      <c r="B519" s="2">
        <v>45633</v>
      </c>
      <c r="C519" t="s">
        <v>301</v>
      </c>
      <c r="D519" t="s">
        <v>1717</v>
      </c>
      <c r="E519" t="s">
        <v>1777</v>
      </c>
      <c r="F519" s="4">
        <v>4</v>
      </c>
      <c r="G519">
        <v>828.35</v>
      </c>
      <c r="H519">
        <v>0.17</v>
      </c>
      <c r="I519" t="s">
        <v>1807</v>
      </c>
      <c r="J519">
        <v>2750.1219999999998</v>
      </c>
      <c r="K519" t="s">
        <v>302</v>
      </c>
      <c r="L519">
        <v>36</v>
      </c>
      <c r="M519" t="str">
        <v>Male</v>
      </c>
      <c r="N519" t="str">
        <f>VLOOKUP(C:C,Customer_Dim!B:I,5,1)</f>
        <v>Garyberg</v>
      </c>
      <c r="O519" t="str">
        <f>VLOOKUP(C:C,Customer_Dim!B:I,6,1)</f>
        <v>Indiana</v>
      </c>
      <c r="P519" t="str">
        <f>VLOOKUP(C:C,Customer_Dim!B:I,7,1)</f>
        <v>USA</v>
      </c>
      <c r="Q519" t="str">
        <f>VLOOKUP(C:C,Customer_Dim!B:I,8,1)</f>
        <v>Platinum</v>
      </c>
      <c r="S519">
        <v>4</v>
      </c>
      <c r="T519">
        <v>828.35</v>
      </c>
      <c r="U519">
        <v>0.17</v>
      </c>
      <c r="V519">
        <v>2750.1219999999998</v>
      </c>
      <c r="X519" s="4">
        <v>4</v>
      </c>
      <c r="Y519">
        <v>828.35</v>
      </c>
      <c r="Z519">
        <v>0.17</v>
      </c>
      <c r="AA519">
        <v>2750.1219999999998</v>
      </c>
    </row>
    <row r="520" spans="1:27" x14ac:dyDescent="0.3">
      <c r="A520" t="s">
        <v>2327</v>
      </c>
      <c r="B520" s="2">
        <v>45598</v>
      </c>
      <c r="C520" t="s">
        <v>1121</v>
      </c>
      <c r="D520" t="s">
        <v>1721</v>
      </c>
      <c r="E520" t="s">
        <v>1762</v>
      </c>
      <c r="F520" s="4">
        <v>3</v>
      </c>
      <c r="G520">
        <v>268.76</v>
      </c>
      <c r="H520">
        <v>0.01</v>
      </c>
      <c r="I520" t="s">
        <v>1809</v>
      </c>
      <c r="J520">
        <v>798.21719999999993</v>
      </c>
      <c r="K520" t="s">
        <v>3947</v>
      </c>
      <c r="L520">
        <v>23</v>
      </c>
      <c r="M520" t="str">
        <v>Male</v>
      </c>
      <c r="N520" t="str">
        <f>VLOOKUP(C:C,Customer_Dim!B:I,5,1)</f>
        <v>Melvinton</v>
      </c>
      <c r="O520" t="str">
        <f>VLOOKUP(C:C,Customer_Dim!B:I,6,1)</f>
        <v>Alaska</v>
      </c>
      <c r="P520" t="str">
        <f>VLOOKUP(C:C,Customer_Dim!B:I,7,1)</f>
        <v>USA</v>
      </c>
      <c r="Q520" t="str">
        <f>VLOOKUP(C:C,Customer_Dim!B:I,8,1)</f>
        <v>Gold</v>
      </c>
      <c r="S520">
        <v>3</v>
      </c>
      <c r="T520">
        <v>268.76</v>
      </c>
      <c r="U520">
        <v>0.01</v>
      </c>
      <c r="V520">
        <v>798.21719999999993</v>
      </c>
      <c r="X520" s="4">
        <v>3</v>
      </c>
      <c r="Y520">
        <v>268.76</v>
      </c>
      <c r="Z520">
        <v>0.01</v>
      </c>
      <c r="AA520">
        <v>798.21719999999993</v>
      </c>
    </row>
    <row r="521" spans="1:27" x14ac:dyDescent="0.3">
      <c r="A521" t="s">
        <v>2328</v>
      </c>
      <c r="B521" s="2">
        <v>45495</v>
      </c>
      <c r="C521" t="s">
        <v>743</v>
      </c>
      <c r="D521" t="s">
        <v>1707</v>
      </c>
      <c r="E521" t="s">
        <v>1735</v>
      </c>
      <c r="F521" s="4">
        <v>4</v>
      </c>
      <c r="G521">
        <v>370.09</v>
      </c>
      <c r="H521">
        <v>0.22</v>
      </c>
      <c r="I521" t="s">
        <v>1812</v>
      </c>
      <c r="J521">
        <v>1154.6808000000001</v>
      </c>
      <c r="K521" t="s">
        <v>744</v>
      </c>
      <c r="L521">
        <v>43</v>
      </c>
      <c r="M521" t="str">
        <v>Female</v>
      </c>
      <c r="N521" t="str">
        <f>VLOOKUP(C:C,Customer_Dim!B:I,5,1)</f>
        <v>Clarkport</v>
      </c>
      <c r="O521" t="str">
        <f>VLOOKUP(C:C,Customer_Dim!B:I,6,1)</f>
        <v>West Virginia</v>
      </c>
      <c r="P521" t="str">
        <f>VLOOKUP(C:C,Customer_Dim!B:I,7,1)</f>
        <v>USA</v>
      </c>
      <c r="Q521" t="str">
        <f>VLOOKUP(C:C,Customer_Dim!B:I,8,1)</f>
        <v>Silver</v>
      </c>
      <c r="S521">
        <v>4</v>
      </c>
      <c r="T521">
        <v>370.09</v>
      </c>
      <c r="U521">
        <v>0.22</v>
      </c>
      <c r="V521">
        <v>1154.6808000000001</v>
      </c>
      <c r="X521" s="4">
        <v>4</v>
      </c>
      <c r="Y521">
        <v>370.09</v>
      </c>
      <c r="Z521">
        <v>0.22</v>
      </c>
      <c r="AA521">
        <v>1154.6808000000001</v>
      </c>
    </row>
    <row r="522" spans="1:27" x14ac:dyDescent="0.3">
      <c r="A522" t="s">
        <v>2329</v>
      </c>
      <c r="B522" s="2">
        <v>45229</v>
      </c>
      <c r="C522" t="s">
        <v>803</v>
      </c>
      <c r="D522" t="s">
        <v>1687</v>
      </c>
      <c r="E522" t="s">
        <v>1759</v>
      </c>
      <c r="F522" s="4">
        <v>3</v>
      </c>
      <c r="G522">
        <v>679.22</v>
      </c>
      <c r="H522">
        <v>0.11</v>
      </c>
      <c r="I522" t="s">
        <v>1809</v>
      </c>
      <c r="J522">
        <v>1813.5174</v>
      </c>
      <c r="K522" t="s">
        <v>3941</v>
      </c>
      <c r="L522">
        <v>34</v>
      </c>
      <c r="M522" t="str">
        <v>Male</v>
      </c>
      <c r="N522" t="str">
        <f>VLOOKUP(C:C,Customer_Dim!B:I,5,1)</f>
        <v>New Maria</v>
      </c>
      <c r="O522" t="str">
        <f>VLOOKUP(C:C,Customer_Dim!B:I,6,1)</f>
        <v>Wisconsin</v>
      </c>
      <c r="P522" t="str">
        <f>VLOOKUP(C:C,Customer_Dim!B:I,7,1)</f>
        <v>USA</v>
      </c>
      <c r="Q522" t="str">
        <f>VLOOKUP(C:C,Customer_Dim!B:I,8,1)</f>
        <v>Bronze</v>
      </c>
      <c r="S522">
        <v>3</v>
      </c>
      <c r="T522">
        <v>679.22</v>
      </c>
      <c r="U522">
        <v>0.11</v>
      </c>
      <c r="V522">
        <v>1813.5174</v>
      </c>
      <c r="X522" s="4">
        <v>3</v>
      </c>
      <c r="Y522">
        <v>679.22</v>
      </c>
      <c r="Z522">
        <v>0.11</v>
      </c>
      <c r="AA522">
        <v>1813.5174</v>
      </c>
    </row>
    <row r="523" spans="1:27" x14ac:dyDescent="0.3">
      <c r="A523" t="s">
        <v>2330</v>
      </c>
      <c r="B523" s="2">
        <v>45433</v>
      </c>
      <c r="C523" t="s">
        <v>1153</v>
      </c>
      <c r="D523" t="s">
        <v>1677</v>
      </c>
      <c r="E523" t="s">
        <v>1735</v>
      </c>
      <c r="F523" s="4">
        <v>3</v>
      </c>
      <c r="G523">
        <v>780.69</v>
      </c>
      <c r="H523">
        <v>0.1</v>
      </c>
      <c r="I523" t="s">
        <v>1812</v>
      </c>
      <c r="J523">
        <v>2107.8629999999998</v>
      </c>
      <c r="K523" t="s">
        <v>1154</v>
      </c>
      <c r="L523">
        <v>60</v>
      </c>
      <c r="M523" t="str">
        <v>Male</v>
      </c>
      <c r="N523" t="str">
        <f>VLOOKUP(C:C,Customer_Dim!B:I,5,1)</f>
        <v>Simpsonfort</v>
      </c>
      <c r="O523" t="str">
        <f>VLOOKUP(C:C,Customer_Dim!B:I,6,1)</f>
        <v>Maine</v>
      </c>
      <c r="P523" t="str">
        <f>VLOOKUP(C:C,Customer_Dim!B:I,7,1)</f>
        <v>USA</v>
      </c>
      <c r="Q523" t="str">
        <f>VLOOKUP(C:C,Customer_Dim!B:I,8,1)</f>
        <v>Gold</v>
      </c>
      <c r="S523">
        <v>3</v>
      </c>
      <c r="T523">
        <v>780.69</v>
      </c>
      <c r="U523">
        <v>0.1</v>
      </c>
      <c r="V523">
        <v>2107.8629999999998</v>
      </c>
      <c r="X523" s="4">
        <v>3</v>
      </c>
      <c r="Y523">
        <v>780.69</v>
      </c>
      <c r="Z523">
        <v>0.1</v>
      </c>
      <c r="AA523">
        <v>2107.8629999999998</v>
      </c>
    </row>
    <row r="524" spans="1:27" x14ac:dyDescent="0.3">
      <c r="A524" t="s">
        <v>2331</v>
      </c>
      <c r="B524" s="2">
        <v>45766</v>
      </c>
      <c r="C524" t="s">
        <v>826</v>
      </c>
      <c r="D524" t="s">
        <v>1615</v>
      </c>
      <c r="E524" t="s">
        <v>1744</v>
      </c>
      <c r="F524" s="4">
        <v>2</v>
      </c>
      <c r="G524">
        <v>42.97</v>
      </c>
      <c r="H524">
        <v>0.18</v>
      </c>
      <c r="I524" t="s">
        <v>1809</v>
      </c>
      <c r="J524">
        <v>70.470799999999997</v>
      </c>
      <c r="K524" t="s">
        <v>827</v>
      </c>
      <c r="L524">
        <v>60</v>
      </c>
      <c r="M524" t="str">
        <v>Female</v>
      </c>
      <c r="N524" t="str">
        <f>VLOOKUP(C:C,Customer_Dim!B:I,5,1)</f>
        <v>Lake Saramouth</v>
      </c>
      <c r="O524" t="str">
        <f>VLOOKUP(C:C,Customer_Dim!B:I,6,1)</f>
        <v>Oregon</v>
      </c>
      <c r="P524" t="str">
        <f>VLOOKUP(C:C,Customer_Dim!B:I,7,1)</f>
        <v>USA</v>
      </c>
      <c r="Q524" t="str">
        <f>VLOOKUP(C:C,Customer_Dim!B:I,8,1)</f>
        <v>Silver</v>
      </c>
      <c r="S524">
        <v>2</v>
      </c>
      <c r="T524">
        <v>42.97</v>
      </c>
      <c r="U524">
        <v>0.18</v>
      </c>
      <c r="V524">
        <v>70.470799999999997</v>
      </c>
      <c r="X524" s="4">
        <v>2</v>
      </c>
      <c r="Y524">
        <v>42.97</v>
      </c>
      <c r="Z524">
        <v>0.18</v>
      </c>
      <c r="AA524">
        <v>70.470799999999997</v>
      </c>
    </row>
    <row r="525" spans="1:27" x14ac:dyDescent="0.3">
      <c r="A525" t="s">
        <v>2332</v>
      </c>
      <c r="B525" s="2">
        <v>45639</v>
      </c>
      <c r="C525" t="s">
        <v>900</v>
      </c>
      <c r="D525" t="s">
        <v>1695</v>
      </c>
      <c r="E525" t="s">
        <v>1735</v>
      </c>
      <c r="F525" s="4">
        <v>4</v>
      </c>
      <c r="G525">
        <v>854.37</v>
      </c>
      <c r="H525">
        <v>7.0000000000000007E-2</v>
      </c>
      <c r="I525" t="s">
        <v>1809</v>
      </c>
      <c r="J525">
        <v>3178.2564000000002</v>
      </c>
      <c r="K525" t="s">
        <v>901</v>
      </c>
      <c r="L525">
        <v>22</v>
      </c>
      <c r="M525" t="str">
        <v>Female</v>
      </c>
      <c r="N525" t="str">
        <f>VLOOKUP(C:C,Customer_Dim!B:I,5,1)</f>
        <v>Port Tonyfort</v>
      </c>
      <c r="O525" t="str">
        <f>VLOOKUP(C:C,Customer_Dim!B:I,6,1)</f>
        <v>South Dakota</v>
      </c>
      <c r="P525" t="str">
        <f>VLOOKUP(C:C,Customer_Dim!B:I,7,1)</f>
        <v>USA</v>
      </c>
      <c r="Q525" t="str">
        <f>VLOOKUP(C:C,Customer_Dim!B:I,8,1)</f>
        <v>Silver</v>
      </c>
      <c r="S525">
        <v>4</v>
      </c>
      <c r="T525">
        <v>854.37</v>
      </c>
      <c r="U525">
        <v>7.0000000000000007E-2</v>
      </c>
      <c r="V525">
        <v>3178.2564000000002</v>
      </c>
      <c r="X525" s="4">
        <v>4</v>
      </c>
      <c r="Y525">
        <v>854.37</v>
      </c>
      <c r="Z525">
        <v>7.0000000000000007E-2</v>
      </c>
      <c r="AA525">
        <v>3178.2564000000002</v>
      </c>
    </row>
    <row r="526" spans="1:27" x14ac:dyDescent="0.3">
      <c r="A526" t="s">
        <v>2333</v>
      </c>
      <c r="B526" s="2">
        <v>45774</v>
      </c>
      <c r="C526" t="s">
        <v>351</v>
      </c>
      <c r="D526" t="s">
        <v>1579</v>
      </c>
      <c r="E526" t="s">
        <v>1787</v>
      </c>
      <c r="F526" s="4">
        <v>2</v>
      </c>
      <c r="G526">
        <v>409.52</v>
      </c>
      <c r="H526">
        <v>0.06</v>
      </c>
      <c r="I526" t="s">
        <v>1812</v>
      </c>
      <c r="J526">
        <v>769.8975999999999</v>
      </c>
      <c r="K526" t="s">
        <v>352</v>
      </c>
      <c r="L526">
        <v>29</v>
      </c>
      <c r="M526" t="str">
        <v>Male</v>
      </c>
      <c r="N526" t="str">
        <f>VLOOKUP(C:C,Customer_Dim!B:I,5,1)</f>
        <v>North Codyport</v>
      </c>
      <c r="O526" t="str">
        <f>VLOOKUP(C:C,Customer_Dim!B:I,6,1)</f>
        <v>Texas</v>
      </c>
      <c r="P526" t="str">
        <f>VLOOKUP(C:C,Customer_Dim!B:I,7,1)</f>
        <v>USA</v>
      </c>
      <c r="Q526" t="str">
        <f>VLOOKUP(C:C,Customer_Dim!B:I,8,1)</f>
        <v>Platinum</v>
      </c>
      <c r="S526">
        <v>2</v>
      </c>
      <c r="T526">
        <v>409.52</v>
      </c>
      <c r="U526">
        <v>0.06</v>
      </c>
      <c r="V526">
        <v>769.8975999999999</v>
      </c>
      <c r="X526" s="4">
        <v>2</v>
      </c>
      <c r="Y526">
        <v>409.52</v>
      </c>
      <c r="Z526">
        <v>0.06</v>
      </c>
      <c r="AA526">
        <v>769.8975999999999</v>
      </c>
    </row>
    <row r="527" spans="1:27" x14ac:dyDescent="0.3">
      <c r="A527" t="s">
        <v>2334</v>
      </c>
      <c r="B527" s="2">
        <v>45569</v>
      </c>
      <c r="C527" t="s">
        <v>542</v>
      </c>
      <c r="D527" t="s">
        <v>1679</v>
      </c>
      <c r="E527" t="s">
        <v>1772</v>
      </c>
      <c r="F527" s="4">
        <v>2</v>
      </c>
      <c r="G527">
        <v>407.46</v>
      </c>
      <c r="H527">
        <v>0.21</v>
      </c>
      <c r="I527" t="s">
        <v>1807</v>
      </c>
      <c r="J527">
        <v>643.78679999999997</v>
      </c>
      <c r="K527" t="s">
        <v>543</v>
      </c>
      <c r="L527">
        <v>47</v>
      </c>
      <c r="M527" t="str">
        <v>Female</v>
      </c>
      <c r="N527" t="str">
        <f>VLOOKUP(C:C,Customer_Dim!B:I,5,1)</f>
        <v>Dominiquefort</v>
      </c>
      <c r="O527" t="str">
        <f>VLOOKUP(C:C,Customer_Dim!B:I,6,1)</f>
        <v>Georgia</v>
      </c>
      <c r="P527" t="str">
        <f>VLOOKUP(C:C,Customer_Dim!B:I,7,1)</f>
        <v>USA</v>
      </c>
      <c r="Q527" t="str">
        <f>VLOOKUP(C:C,Customer_Dim!B:I,8,1)</f>
        <v>Silver</v>
      </c>
      <c r="S527">
        <v>2</v>
      </c>
      <c r="T527">
        <v>407.46</v>
      </c>
      <c r="U527">
        <v>0.21</v>
      </c>
      <c r="V527">
        <v>643.78679999999997</v>
      </c>
      <c r="X527" s="4">
        <v>2</v>
      </c>
      <c r="Y527">
        <v>407.46</v>
      </c>
      <c r="Z527">
        <v>0.21</v>
      </c>
      <c r="AA527">
        <v>643.78679999999997</v>
      </c>
    </row>
    <row r="528" spans="1:27" x14ac:dyDescent="0.3">
      <c r="A528" t="s">
        <v>2335</v>
      </c>
      <c r="B528" s="2">
        <v>45856</v>
      </c>
      <c r="C528" t="s">
        <v>729</v>
      </c>
      <c r="D528" t="s">
        <v>1536</v>
      </c>
      <c r="E528" t="s">
        <v>1765</v>
      </c>
      <c r="F528" s="4">
        <v>1</v>
      </c>
      <c r="G528">
        <v>728.84</v>
      </c>
      <c r="H528">
        <v>0.28000000000000003</v>
      </c>
      <c r="I528" t="s">
        <v>1809</v>
      </c>
      <c r="J528">
        <v>524.76480000000004</v>
      </c>
      <c r="K528" t="s">
        <v>730</v>
      </c>
      <c r="L528">
        <v>32</v>
      </c>
      <c r="M528" t="str">
        <v>Female</v>
      </c>
      <c r="N528" t="str">
        <f>VLOOKUP(C:C,Customer_Dim!B:I,5,1)</f>
        <v>Lake Michael</v>
      </c>
      <c r="O528" t="str">
        <f>VLOOKUP(C:C,Customer_Dim!B:I,6,1)</f>
        <v>Utah</v>
      </c>
      <c r="P528" t="str">
        <f>VLOOKUP(C:C,Customer_Dim!B:I,7,1)</f>
        <v>USA</v>
      </c>
      <c r="Q528" t="str">
        <f>VLOOKUP(C:C,Customer_Dim!B:I,8,1)</f>
        <v>Gold</v>
      </c>
      <c r="S528">
        <v>1</v>
      </c>
      <c r="T528">
        <v>728.84</v>
      </c>
      <c r="U528">
        <v>0.28000000000000003</v>
      </c>
      <c r="V528">
        <v>524.76480000000004</v>
      </c>
      <c r="X528" s="4">
        <v>1</v>
      </c>
      <c r="Y528">
        <v>728.84</v>
      </c>
      <c r="Z528">
        <v>0.28000000000000003</v>
      </c>
      <c r="AA528">
        <v>524.76480000000004</v>
      </c>
    </row>
    <row r="529" spans="1:27" x14ac:dyDescent="0.3">
      <c r="A529" t="s">
        <v>2336</v>
      </c>
      <c r="B529" s="2">
        <v>45362</v>
      </c>
      <c r="C529" t="s">
        <v>1384</v>
      </c>
      <c r="D529" t="s">
        <v>1687</v>
      </c>
      <c r="E529" t="s">
        <v>1759</v>
      </c>
      <c r="F529" s="4">
        <v>4</v>
      </c>
      <c r="G529">
        <v>467.24</v>
      </c>
      <c r="H529">
        <v>0.08</v>
      </c>
      <c r="I529" t="s">
        <v>1809</v>
      </c>
      <c r="J529">
        <v>1719.4431999999999</v>
      </c>
      <c r="K529" t="s">
        <v>1385</v>
      </c>
      <c r="L529">
        <v>60</v>
      </c>
      <c r="M529" t="str">
        <v>Male</v>
      </c>
      <c r="N529" t="str">
        <f>VLOOKUP(C:C,Customer_Dim!B:I,5,1)</f>
        <v>Lake Carolyn</v>
      </c>
      <c r="O529" t="str">
        <f>VLOOKUP(C:C,Customer_Dim!B:I,6,1)</f>
        <v>Hawaii</v>
      </c>
      <c r="P529" t="str">
        <f>VLOOKUP(C:C,Customer_Dim!B:I,7,1)</f>
        <v>USA</v>
      </c>
      <c r="Q529" t="str">
        <f>VLOOKUP(C:C,Customer_Dim!B:I,8,1)</f>
        <v>Platinum</v>
      </c>
      <c r="S529">
        <v>4</v>
      </c>
      <c r="T529">
        <v>467.24</v>
      </c>
      <c r="U529">
        <v>0.08</v>
      </c>
      <c r="V529">
        <v>1719.4431999999999</v>
      </c>
      <c r="X529" s="4">
        <v>4</v>
      </c>
      <c r="Y529">
        <v>467.24</v>
      </c>
      <c r="Z529">
        <v>0.08</v>
      </c>
      <c r="AA529">
        <v>1719.4431999999999</v>
      </c>
    </row>
    <row r="530" spans="1:27" x14ac:dyDescent="0.3">
      <c r="A530" t="s">
        <v>2337</v>
      </c>
      <c r="B530" s="2">
        <v>45457</v>
      </c>
      <c r="C530" t="s">
        <v>327</v>
      </c>
      <c r="D530" t="s">
        <v>1551</v>
      </c>
      <c r="E530" t="s">
        <v>1775</v>
      </c>
      <c r="F530" s="4">
        <v>1</v>
      </c>
      <c r="G530">
        <v>57.94</v>
      </c>
      <c r="H530">
        <v>0.13</v>
      </c>
      <c r="I530" t="s">
        <v>1809</v>
      </c>
      <c r="J530">
        <v>50.407799999999988</v>
      </c>
      <c r="K530" t="s">
        <v>328</v>
      </c>
      <c r="L530">
        <v>28</v>
      </c>
      <c r="M530" t="str">
        <v>Female</v>
      </c>
      <c r="N530" t="str">
        <f>VLOOKUP(C:C,Customer_Dim!B:I,5,1)</f>
        <v>Lake Brandy</v>
      </c>
      <c r="O530" t="str">
        <f>VLOOKUP(C:C,Customer_Dim!B:I,6,1)</f>
        <v>Tennessee</v>
      </c>
      <c r="P530" t="str">
        <f>VLOOKUP(C:C,Customer_Dim!B:I,7,1)</f>
        <v>USA</v>
      </c>
      <c r="Q530" t="str">
        <f>VLOOKUP(C:C,Customer_Dim!B:I,8,1)</f>
        <v>Platinum</v>
      </c>
      <c r="S530">
        <v>1</v>
      </c>
      <c r="T530">
        <v>57.94</v>
      </c>
      <c r="U530">
        <v>0.13</v>
      </c>
      <c r="V530">
        <v>50.407799999999988</v>
      </c>
      <c r="X530" s="4">
        <v>1</v>
      </c>
      <c r="Y530">
        <v>57.94</v>
      </c>
      <c r="Z530">
        <v>0.13</v>
      </c>
      <c r="AA530">
        <v>50.407799999999988</v>
      </c>
    </row>
    <row r="531" spans="1:27" x14ac:dyDescent="0.3">
      <c r="A531" t="s">
        <v>2338</v>
      </c>
      <c r="B531" s="2">
        <v>45338</v>
      </c>
      <c r="C531" t="s">
        <v>1069</v>
      </c>
      <c r="D531" t="s">
        <v>1629</v>
      </c>
      <c r="E531" t="s">
        <v>1790</v>
      </c>
      <c r="F531" s="4">
        <v>1</v>
      </c>
      <c r="G531">
        <v>540.1</v>
      </c>
      <c r="H531">
        <v>0.22</v>
      </c>
      <c r="I531" t="s">
        <v>1807</v>
      </c>
      <c r="J531">
        <v>421.27800000000002</v>
      </c>
      <c r="K531" t="s">
        <v>1070</v>
      </c>
      <c r="L531">
        <v>33</v>
      </c>
      <c r="M531" t="str">
        <v>Male</v>
      </c>
      <c r="N531" t="str">
        <f>VLOOKUP(C:C,Customer_Dim!B:I,5,1)</f>
        <v>West Victoriaborough</v>
      </c>
      <c r="O531" t="str">
        <f>VLOOKUP(C:C,Customer_Dim!B:I,6,1)</f>
        <v>New Mexico</v>
      </c>
      <c r="P531" t="str">
        <f>VLOOKUP(C:C,Customer_Dim!B:I,7,1)</f>
        <v>USA</v>
      </c>
      <c r="Q531" t="str">
        <f>VLOOKUP(C:C,Customer_Dim!B:I,8,1)</f>
        <v>Gold</v>
      </c>
      <c r="S531">
        <v>1</v>
      </c>
      <c r="T531">
        <v>540.1</v>
      </c>
      <c r="U531">
        <v>0.22</v>
      </c>
      <c r="V531">
        <v>421.27800000000002</v>
      </c>
      <c r="X531" s="4">
        <v>1</v>
      </c>
      <c r="Y531">
        <v>540.1</v>
      </c>
      <c r="Z531">
        <v>0.22</v>
      </c>
      <c r="AA531">
        <v>421.27800000000002</v>
      </c>
    </row>
    <row r="532" spans="1:27" x14ac:dyDescent="0.3">
      <c r="A532" t="s">
        <v>2339</v>
      </c>
      <c r="B532" s="2">
        <v>45552</v>
      </c>
      <c r="C532" t="s">
        <v>278</v>
      </c>
      <c r="D532" t="s">
        <v>1545</v>
      </c>
      <c r="E532" t="s">
        <v>1796</v>
      </c>
      <c r="F532" s="4">
        <v>4</v>
      </c>
      <c r="G532">
        <v>816.28</v>
      </c>
      <c r="H532">
        <v>0.15</v>
      </c>
      <c r="I532" t="s">
        <v>1812</v>
      </c>
      <c r="J532">
        <v>2775.3519999999999</v>
      </c>
      <c r="K532" t="s">
        <v>279</v>
      </c>
      <c r="L532">
        <v>21</v>
      </c>
      <c r="M532" t="str">
        <v>Male</v>
      </c>
      <c r="N532" t="str">
        <f>VLOOKUP(C:C,Customer_Dim!B:I,5,1)</f>
        <v>North Valeriemouth</v>
      </c>
      <c r="O532" t="str">
        <f>VLOOKUP(C:C,Customer_Dim!B:I,6,1)</f>
        <v>Vermont</v>
      </c>
      <c r="P532" t="str">
        <f>VLOOKUP(C:C,Customer_Dim!B:I,7,1)</f>
        <v>USA</v>
      </c>
      <c r="Q532" t="str">
        <f>VLOOKUP(C:C,Customer_Dim!B:I,8,1)</f>
        <v>Gold</v>
      </c>
      <c r="S532">
        <v>4</v>
      </c>
      <c r="T532">
        <v>816.28</v>
      </c>
      <c r="U532">
        <v>0.15</v>
      </c>
      <c r="V532">
        <v>2775.3519999999999</v>
      </c>
      <c r="X532" s="4">
        <v>4</v>
      </c>
      <c r="Y532">
        <v>816.28</v>
      </c>
      <c r="Z532">
        <v>0.15</v>
      </c>
      <c r="AA532">
        <v>2775.3519999999999</v>
      </c>
    </row>
    <row r="533" spans="1:27" x14ac:dyDescent="0.3">
      <c r="A533" t="s">
        <v>2340</v>
      </c>
      <c r="B533" s="2">
        <v>45895</v>
      </c>
      <c r="C533" t="s">
        <v>583</v>
      </c>
      <c r="D533" t="s">
        <v>1615</v>
      </c>
      <c r="E533" t="s">
        <v>1765</v>
      </c>
      <c r="F533" s="4">
        <v>4</v>
      </c>
      <c r="G533">
        <v>727.49</v>
      </c>
      <c r="H533">
        <v>0.11</v>
      </c>
      <c r="I533" t="s">
        <v>1807</v>
      </c>
      <c r="J533">
        <v>2589.8643999999999</v>
      </c>
      <c r="K533" t="s">
        <v>584</v>
      </c>
      <c r="L533">
        <v>43</v>
      </c>
      <c r="M533" t="str">
        <v>Female</v>
      </c>
      <c r="N533" t="str">
        <f>VLOOKUP(C:C,Customer_Dim!B:I,5,1)</f>
        <v>West Daniel</v>
      </c>
      <c r="O533" t="str">
        <f>VLOOKUP(C:C,Customer_Dim!B:I,6,1)</f>
        <v>South Carolina</v>
      </c>
      <c r="P533" t="str">
        <f>VLOOKUP(C:C,Customer_Dim!B:I,7,1)</f>
        <v>USA</v>
      </c>
      <c r="Q533" t="str">
        <f>VLOOKUP(C:C,Customer_Dim!B:I,8,1)</f>
        <v>Bronze</v>
      </c>
      <c r="S533">
        <v>4</v>
      </c>
      <c r="T533">
        <v>727.49</v>
      </c>
      <c r="U533">
        <v>0.11</v>
      </c>
      <c r="V533">
        <v>2589.8643999999999</v>
      </c>
      <c r="X533" s="4">
        <v>4</v>
      </c>
      <c r="Y533">
        <v>727.49</v>
      </c>
      <c r="Z533">
        <v>0.11</v>
      </c>
      <c r="AA533">
        <v>2589.8643999999999</v>
      </c>
    </row>
    <row r="534" spans="1:27" x14ac:dyDescent="0.3">
      <c r="A534" t="s">
        <v>2341</v>
      </c>
      <c r="B534" s="2">
        <v>45447</v>
      </c>
      <c r="C534" t="s">
        <v>562</v>
      </c>
      <c r="D534" t="s">
        <v>1703</v>
      </c>
      <c r="E534" t="s">
        <v>1780</v>
      </c>
      <c r="F534" s="4">
        <v>4</v>
      </c>
      <c r="G534">
        <v>817.92</v>
      </c>
      <c r="H534">
        <v>0.21</v>
      </c>
      <c r="I534" t="s">
        <v>1807</v>
      </c>
      <c r="J534">
        <v>2584.6271999999999</v>
      </c>
      <c r="K534" t="s">
        <v>563</v>
      </c>
      <c r="L534">
        <v>41</v>
      </c>
      <c r="M534" t="str">
        <v>Female</v>
      </c>
      <c r="N534" t="str">
        <f>VLOOKUP(C:C,Customer_Dim!B:I,5,1)</f>
        <v>Morrisburgh</v>
      </c>
      <c r="O534" t="str">
        <f>VLOOKUP(C:C,Customer_Dim!B:I,6,1)</f>
        <v>Indiana</v>
      </c>
      <c r="P534" t="str">
        <f>VLOOKUP(C:C,Customer_Dim!B:I,7,1)</f>
        <v>USA</v>
      </c>
      <c r="Q534" t="str">
        <f>VLOOKUP(C:C,Customer_Dim!B:I,8,1)</f>
        <v>Platinum</v>
      </c>
      <c r="S534">
        <v>4</v>
      </c>
      <c r="T534">
        <v>817.92</v>
      </c>
      <c r="U534">
        <v>0.21</v>
      </c>
      <c r="V534">
        <v>2584.6271999999999</v>
      </c>
      <c r="X534" s="4">
        <v>4</v>
      </c>
      <c r="Y534">
        <v>817.92</v>
      </c>
      <c r="Z534">
        <v>0.21</v>
      </c>
      <c r="AA534">
        <v>2584.6271999999999</v>
      </c>
    </row>
    <row r="535" spans="1:27" x14ac:dyDescent="0.3">
      <c r="A535" t="s">
        <v>2342</v>
      </c>
      <c r="B535" s="2">
        <v>45578</v>
      </c>
      <c r="C535" t="s">
        <v>1012</v>
      </c>
      <c r="D535" t="s">
        <v>1607</v>
      </c>
      <c r="E535" t="s">
        <v>1762</v>
      </c>
      <c r="F535" s="4">
        <v>2</v>
      </c>
      <c r="G535">
        <v>358.45</v>
      </c>
      <c r="H535">
        <v>7.0000000000000007E-2</v>
      </c>
      <c r="I535" t="s">
        <v>1812</v>
      </c>
      <c r="J535">
        <v>666.71699999999998</v>
      </c>
      <c r="K535" t="s">
        <v>1013</v>
      </c>
      <c r="L535">
        <v>58</v>
      </c>
      <c r="M535" t="str">
        <v>Female</v>
      </c>
      <c r="N535" t="str">
        <f>VLOOKUP(C:C,Customer_Dim!B:I,5,1)</f>
        <v>East Matthew</v>
      </c>
      <c r="O535" t="str">
        <f>VLOOKUP(C:C,Customer_Dim!B:I,6,1)</f>
        <v>Wisconsin</v>
      </c>
      <c r="P535" t="str">
        <f>VLOOKUP(C:C,Customer_Dim!B:I,7,1)</f>
        <v>USA</v>
      </c>
      <c r="Q535" t="str">
        <f>VLOOKUP(C:C,Customer_Dim!B:I,8,1)</f>
        <v>Bronze</v>
      </c>
      <c r="S535">
        <v>2</v>
      </c>
      <c r="T535">
        <v>358.45</v>
      </c>
      <c r="U535">
        <v>7.0000000000000007E-2</v>
      </c>
      <c r="V535">
        <v>666.71699999999998</v>
      </c>
      <c r="X535" s="4">
        <v>2</v>
      </c>
      <c r="Y535">
        <v>358.45</v>
      </c>
      <c r="Z535">
        <v>7.0000000000000007E-2</v>
      </c>
      <c r="AA535">
        <v>666.71699999999998</v>
      </c>
    </row>
    <row r="536" spans="1:27" x14ac:dyDescent="0.3">
      <c r="A536" t="s">
        <v>2343</v>
      </c>
      <c r="B536" s="2">
        <v>45697</v>
      </c>
      <c r="C536" t="s">
        <v>651</v>
      </c>
      <c r="D536" t="s">
        <v>1705</v>
      </c>
      <c r="E536" t="s">
        <v>1769</v>
      </c>
      <c r="F536" s="4">
        <v>1</v>
      </c>
      <c r="G536">
        <v>972.06</v>
      </c>
      <c r="H536">
        <v>0.3</v>
      </c>
      <c r="I536" t="s">
        <v>1812</v>
      </c>
      <c r="J536">
        <v>680.44199999999989</v>
      </c>
      <c r="K536" t="s">
        <v>652</v>
      </c>
      <c r="L536">
        <v>37</v>
      </c>
      <c r="M536" t="str">
        <v>Female</v>
      </c>
      <c r="N536" t="str">
        <f>VLOOKUP(C:C,Customer_Dim!B:I,5,1)</f>
        <v>New Logan</v>
      </c>
      <c r="O536" t="str">
        <f>VLOOKUP(C:C,Customer_Dim!B:I,6,1)</f>
        <v>Michigan</v>
      </c>
      <c r="P536" t="str">
        <f>VLOOKUP(C:C,Customer_Dim!B:I,7,1)</f>
        <v>USA</v>
      </c>
      <c r="Q536" t="str">
        <f>VLOOKUP(C:C,Customer_Dim!B:I,8,1)</f>
        <v>Bronze</v>
      </c>
      <c r="S536">
        <v>1</v>
      </c>
      <c r="T536">
        <v>972.06</v>
      </c>
      <c r="U536">
        <v>0.3</v>
      </c>
      <c r="V536">
        <v>680.44199999999989</v>
      </c>
      <c r="X536" s="4">
        <v>1</v>
      </c>
      <c r="Y536">
        <v>972.06</v>
      </c>
      <c r="Z536">
        <v>0.3</v>
      </c>
      <c r="AA536">
        <v>680.44199999999989</v>
      </c>
    </row>
    <row r="537" spans="1:27" x14ac:dyDescent="0.3">
      <c r="A537" t="s">
        <v>2344</v>
      </c>
      <c r="B537" s="2">
        <v>45281</v>
      </c>
      <c r="C537" t="s">
        <v>130</v>
      </c>
      <c r="D537" t="s">
        <v>1563</v>
      </c>
      <c r="E537" t="s">
        <v>1735</v>
      </c>
      <c r="F537" s="4">
        <v>1</v>
      </c>
      <c r="G537">
        <v>791.36</v>
      </c>
      <c r="H537">
        <v>0.06</v>
      </c>
      <c r="I537" t="s">
        <v>1809</v>
      </c>
      <c r="J537">
        <v>743.87839999999994</v>
      </c>
      <c r="K537" t="s">
        <v>131</v>
      </c>
      <c r="L537">
        <v>25</v>
      </c>
      <c r="M537" t="str">
        <v>Male</v>
      </c>
      <c r="N537" t="str">
        <f>VLOOKUP(C:C,Customer_Dim!B:I,5,1)</f>
        <v>Fostermouth</v>
      </c>
      <c r="O537" t="str">
        <f>VLOOKUP(C:C,Customer_Dim!B:I,6,1)</f>
        <v>Arizona</v>
      </c>
      <c r="P537" t="str">
        <f>VLOOKUP(C:C,Customer_Dim!B:I,7,1)</f>
        <v>USA</v>
      </c>
      <c r="Q537" t="str">
        <f>VLOOKUP(C:C,Customer_Dim!B:I,8,1)</f>
        <v>Gold</v>
      </c>
      <c r="S537">
        <v>1</v>
      </c>
      <c r="T537">
        <v>791.36</v>
      </c>
      <c r="U537">
        <v>0.06</v>
      </c>
      <c r="V537">
        <v>743.87839999999994</v>
      </c>
      <c r="X537" s="4">
        <v>1</v>
      </c>
      <c r="Y537">
        <v>791.36</v>
      </c>
      <c r="Z537">
        <v>0.06</v>
      </c>
      <c r="AA537">
        <v>743.87839999999994</v>
      </c>
    </row>
    <row r="538" spans="1:27" x14ac:dyDescent="0.3">
      <c r="A538" t="s">
        <v>2345</v>
      </c>
      <c r="B538" s="2">
        <v>45855</v>
      </c>
      <c r="C538" t="s">
        <v>980</v>
      </c>
      <c r="D538" t="s">
        <v>1659</v>
      </c>
      <c r="E538" t="s">
        <v>1756</v>
      </c>
      <c r="F538" s="4">
        <v>4</v>
      </c>
      <c r="G538">
        <v>839.65</v>
      </c>
      <c r="H538">
        <v>0.26</v>
      </c>
      <c r="I538" t="s">
        <v>1812</v>
      </c>
      <c r="J538">
        <v>2485.364</v>
      </c>
      <c r="K538" t="s">
        <v>981</v>
      </c>
      <c r="L538">
        <v>49</v>
      </c>
      <c r="M538" t="str">
        <v>Male</v>
      </c>
      <c r="N538" t="str">
        <f>VLOOKUP(C:C,Customer_Dim!B:I,5,1)</f>
        <v>Anitaland</v>
      </c>
      <c r="O538" t="str">
        <f>VLOOKUP(C:C,Customer_Dim!B:I,6,1)</f>
        <v>Washington</v>
      </c>
      <c r="P538" t="str">
        <f>VLOOKUP(C:C,Customer_Dim!B:I,7,1)</f>
        <v>USA</v>
      </c>
      <c r="Q538" t="str">
        <f>VLOOKUP(C:C,Customer_Dim!B:I,8,1)</f>
        <v>Silver</v>
      </c>
      <c r="S538">
        <v>4</v>
      </c>
      <c r="T538">
        <v>839.65</v>
      </c>
      <c r="U538">
        <v>0.26</v>
      </c>
      <c r="V538">
        <v>2485.364</v>
      </c>
      <c r="X538" s="4">
        <v>4</v>
      </c>
      <c r="Y538">
        <v>839.65</v>
      </c>
      <c r="Z538">
        <v>0.26</v>
      </c>
      <c r="AA538">
        <v>2485.364</v>
      </c>
    </row>
    <row r="539" spans="1:27" x14ac:dyDescent="0.3">
      <c r="A539" t="s">
        <v>2346</v>
      </c>
      <c r="B539" s="2">
        <v>45793</v>
      </c>
      <c r="C539" t="s">
        <v>808</v>
      </c>
      <c r="D539" t="s">
        <v>1675</v>
      </c>
      <c r="E539" t="s">
        <v>1744</v>
      </c>
      <c r="F539" s="4">
        <v>2</v>
      </c>
      <c r="G539">
        <v>245.52</v>
      </c>
      <c r="H539">
        <v>0.11</v>
      </c>
      <c r="I539" t="s">
        <v>1812</v>
      </c>
      <c r="J539">
        <v>437.0256</v>
      </c>
      <c r="K539" t="s">
        <v>809</v>
      </c>
      <c r="L539">
        <v>57</v>
      </c>
      <c r="M539" t="str">
        <v>Male</v>
      </c>
      <c r="N539" t="str">
        <f>VLOOKUP(C:C,Customer_Dim!B:I,5,1)</f>
        <v>Jasonton</v>
      </c>
      <c r="O539" t="str">
        <f>VLOOKUP(C:C,Customer_Dim!B:I,6,1)</f>
        <v>Ohio</v>
      </c>
      <c r="P539" t="str">
        <f>VLOOKUP(C:C,Customer_Dim!B:I,7,1)</f>
        <v>USA</v>
      </c>
      <c r="Q539" t="str">
        <f>VLOOKUP(C:C,Customer_Dim!B:I,8,1)</f>
        <v>Gold</v>
      </c>
      <c r="S539">
        <v>2</v>
      </c>
      <c r="T539">
        <v>245.52</v>
      </c>
      <c r="U539">
        <v>0.11</v>
      </c>
      <c r="V539">
        <v>437.0256</v>
      </c>
      <c r="X539" s="4">
        <v>2</v>
      </c>
      <c r="Y539">
        <v>245.52</v>
      </c>
      <c r="Z539">
        <v>0.11</v>
      </c>
      <c r="AA539">
        <v>437.0256</v>
      </c>
    </row>
    <row r="540" spans="1:27" x14ac:dyDescent="0.3">
      <c r="A540" t="s">
        <v>2347</v>
      </c>
      <c r="B540" s="2">
        <v>45881</v>
      </c>
      <c r="C540" t="s">
        <v>1198</v>
      </c>
      <c r="D540" t="s">
        <v>1695</v>
      </c>
      <c r="E540" t="s">
        <v>1765</v>
      </c>
      <c r="F540" s="4">
        <v>3</v>
      </c>
      <c r="G540">
        <v>787.91</v>
      </c>
      <c r="H540">
        <v>0.06</v>
      </c>
      <c r="I540" t="s">
        <v>1809</v>
      </c>
      <c r="J540">
        <v>2221.9061999999999</v>
      </c>
      <c r="K540" t="s">
        <v>1199</v>
      </c>
      <c r="L540">
        <v>50</v>
      </c>
      <c r="M540" t="str">
        <v>Male</v>
      </c>
      <c r="N540" t="str">
        <f>VLOOKUP(C:C,Customer_Dim!B:I,5,1)</f>
        <v>Stevensshire</v>
      </c>
      <c r="O540" t="str">
        <f>VLOOKUP(C:C,Customer_Dim!B:I,6,1)</f>
        <v>Missouri</v>
      </c>
      <c r="P540" t="str">
        <f>VLOOKUP(C:C,Customer_Dim!B:I,7,1)</f>
        <v>USA</v>
      </c>
      <c r="Q540" t="str">
        <f>VLOOKUP(C:C,Customer_Dim!B:I,8,1)</f>
        <v>Platinum</v>
      </c>
      <c r="S540">
        <v>3</v>
      </c>
      <c r="T540">
        <v>787.91</v>
      </c>
      <c r="U540">
        <v>0.06</v>
      </c>
      <c r="V540">
        <v>2221.9061999999999</v>
      </c>
      <c r="X540" s="4">
        <v>3</v>
      </c>
      <c r="Y540">
        <v>787.91</v>
      </c>
      <c r="Z540">
        <v>0.06</v>
      </c>
      <c r="AA540">
        <v>2221.9061999999999</v>
      </c>
    </row>
    <row r="541" spans="1:27" x14ac:dyDescent="0.3">
      <c r="A541" t="s">
        <v>2348</v>
      </c>
      <c r="B541" s="2">
        <v>45890</v>
      </c>
      <c r="C541" t="s">
        <v>199</v>
      </c>
      <c r="D541" t="s">
        <v>1681</v>
      </c>
      <c r="E541" t="s">
        <v>1752</v>
      </c>
      <c r="F541" s="4">
        <v>2</v>
      </c>
      <c r="G541">
        <v>709.17</v>
      </c>
      <c r="H541">
        <v>0.22</v>
      </c>
      <c r="I541" t="s">
        <v>1807</v>
      </c>
      <c r="J541">
        <v>1106.3052</v>
      </c>
      <c r="K541" t="s">
        <v>200</v>
      </c>
      <c r="L541">
        <v>24</v>
      </c>
      <c r="M541" t="str">
        <v>Male</v>
      </c>
      <c r="N541" t="str">
        <f>VLOOKUP(C:C,Customer_Dim!B:I,5,1)</f>
        <v>East Andrea</v>
      </c>
      <c r="O541" t="str">
        <f>VLOOKUP(C:C,Customer_Dim!B:I,6,1)</f>
        <v>Michigan</v>
      </c>
      <c r="P541" t="str">
        <f>VLOOKUP(C:C,Customer_Dim!B:I,7,1)</f>
        <v>USA</v>
      </c>
      <c r="Q541" t="str">
        <f>VLOOKUP(C:C,Customer_Dim!B:I,8,1)</f>
        <v>Gold</v>
      </c>
      <c r="S541">
        <v>2</v>
      </c>
      <c r="T541">
        <v>709.17</v>
      </c>
      <c r="U541">
        <v>0.22</v>
      </c>
      <c r="V541">
        <v>1106.3052</v>
      </c>
      <c r="X541" s="4">
        <v>2</v>
      </c>
      <c r="Y541">
        <v>709.17</v>
      </c>
      <c r="Z541">
        <v>0.22</v>
      </c>
      <c r="AA541">
        <v>1106.3052</v>
      </c>
    </row>
    <row r="542" spans="1:27" x14ac:dyDescent="0.3">
      <c r="A542" t="s">
        <v>2349</v>
      </c>
      <c r="B542" s="2">
        <v>45251</v>
      </c>
      <c r="C542" t="s">
        <v>749</v>
      </c>
      <c r="D542" t="s">
        <v>1713</v>
      </c>
      <c r="E542" t="s">
        <v>1762</v>
      </c>
      <c r="F542" s="4">
        <v>2</v>
      </c>
      <c r="G542">
        <v>533.91999999999996</v>
      </c>
      <c r="H542">
        <v>0.13</v>
      </c>
      <c r="I542" t="s">
        <v>1807</v>
      </c>
      <c r="J542">
        <v>929.02079999999989</v>
      </c>
      <c r="K542" t="s">
        <v>750</v>
      </c>
      <c r="L542">
        <v>42</v>
      </c>
      <c r="M542" t="str">
        <v>Female</v>
      </c>
      <c r="N542" t="str">
        <f>VLOOKUP(C:C,Customer_Dim!B:I,5,1)</f>
        <v>South Angelaport</v>
      </c>
      <c r="O542" t="str">
        <f>VLOOKUP(C:C,Customer_Dim!B:I,6,1)</f>
        <v>Delaware</v>
      </c>
      <c r="P542" t="str">
        <f>VLOOKUP(C:C,Customer_Dim!B:I,7,1)</f>
        <v>USA</v>
      </c>
      <c r="Q542" t="str">
        <f>VLOOKUP(C:C,Customer_Dim!B:I,8,1)</f>
        <v>Bronze</v>
      </c>
      <c r="S542">
        <v>2</v>
      </c>
      <c r="T542">
        <v>533.91999999999996</v>
      </c>
      <c r="U542">
        <v>0.13</v>
      </c>
      <c r="V542">
        <v>929.02079999999989</v>
      </c>
      <c r="X542" s="4">
        <v>2</v>
      </c>
      <c r="Y542">
        <v>533.91999999999996</v>
      </c>
      <c r="Z542">
        <v>0.13</v>
      </c>
      <c r="AA542">
        <v>929.02079999999989</v>
      </c>
    </row>
    <row r="543" spans="1:27" x14ac:dyDescent="0.3">
      <c r="A543" t="s">
        <v>2350</v>
      </c>
      <c r="B543" s="2">
        <v>45695</v>
      </c>
      <c r="C543" t="s">
        <v>1496</v>
      </c>
      <c r="D543" t="s">
        <v>1615</v>
      </c>
      <c r="E543" t="s">
        <v>1735</v>
      </c>
      <c r="F543" s="4">
        <v>1</v>
      </c>
      <c r="G543">
        <v>878.84</v>
      </c>
      <c r="H543">
        <v>0.28000000000000003</v>
      </c>
      <c r="I543" t="s">
        <v>1812</v>
      </c>
      <c r="J543">
        <v>632.76480000000004</v>
      </c>
      <c r="K543" t="s">
        <v>1497</v>
      </c>
      <c r="L543">
        <v>28</v>
      </c>
      <c r="M543" t="str">
        <v>Male</v>
      </c>
      <c r="N543" t="str">
        <f>VLOOKUP(C:C,Customer_Dim!B:I,5,1)</f>
        <v>Port Carol</v>
      </c>
      <c r="O543" t="str">
        <f>VLOOKUP(C:C,Customer_Dim!B:I,6,1)</f>
        <v>Florida</v>
      </c>
      <c r="P543" t="str">
        <f>VLOOKUP(C:C,Customer_Dim!B:I,7,1)</f>
        <v>USA</v>
      </c>
      <c r="Q543" t="str">
        <f>VLOOKUP(C:C,Customer_Dim!B:I,8,1)</f>
        <v>Platinum</v>
      </c>
      <c r="S543">
        <v>1</v>
      </c>
      <c r="T543">
        <v>878.84</v>
      </c>
      <c r="U543">
        <v>0.28000000000000003</v>
      </c>
      <c r="V543">
        <v>632.76480000000004</v>
      </c>
      <c r="X543" s="4">
        <v>1</v>
      </c>
      <c r="Y543">
        <v>878.84</v>
      </c>
      <c r="Z543">
        <v>0.28000000000000003</v>
      </c>
      <c r="AA543">
        <v>632.76480000000004</v>
      </c>
    </row>
    <row r="544" spans="1:27" x14ac:dyDescent="0.3">
      <c r="A544" t="s">
        <v>2351</v>
      </c>
      <c r="B544" s="2">
        <v>45287</v>
      </c>
      <c r="C544" t="s">
        <v>660</v>
      </c>
      <c r="D544" t="s">
        <v>1619</v>
      </c>
      <c r="E544" t="s">
        <v>1787</v>
      </c>
      <c r="F544" s="4">
        <v>1</v>
      </c>
      <c r="G544">
        <v>442.36</v>
      </c>
      <c r="H544">
        <v>0.14000000000000001</v>
      </c>
      <c r="I544" t="s">
        <v>1807</v>
      </c>
      <c r="J544">
        <v>380.42959999999999</v>
      </c>
      <c r="K544" t="s">
        <v>661</v>
      </c>
      <c r="L544">
        <v>44</v>
      </c>
      <c r="M544" t="str">
        <v>Female</v>
      </c>
      <c r="N544" t="str">
        <f>VLOOKUP(C:C,Customer_Dim!B:I,5,1)</f>
        <v>New Dianebury</v>
      </c>
      <c r="O544" t="str">
        <f>VLOOKUP(C:C,Customer_Dim!B:I,6,1)</f>
        <v>Virginia</v>
      </c>
      <c r="P544" t="str">
        <f>VLOOKUP(C:C,Customer_Dim!B:I,7,1)</f>
        <v>USA</v>
      </c>
      <c r="Q544" t="str">
        <f>VLOOKUP(C:C,Customer_Dim!B:I,8,1)</f>
        <v>Platinum</v>
      </c>
      <c r="S544">
        <v>1</v>
      </c>
      <c r="T544">
        <v>442.36</v>
      </c>
      <c r="U544">
        <v>0.14000000000000001</v>
      </c>
      <c r="V544">
        <v>380.42959999999999</v>
      </c>
      <c r="X544" s="4">
        <v>1</v>
      </c>
      <c r="Y544">
        <v>442.36</v>
      </c>
      <c r="Z544">
        <v>0.14000000000000001</v>
      </c>
      <c r="AA544">
        <v>380.42959999999999</v>
      </c>
    </row>
    <row r="545" spans="1:27" x14ac:dyDescent="0.3">
      <c r="A545" t="s">
        <v>2352</v>
      </c>
      <c r="B545" s="2">
        <v>45711</v>
      </c>
      <c r="C545" t="s">
        <v>1036</v>
      </c>
      <c r="D545" t="s">
        <v>1601</v>
      </c>
      <c r="E545" t="s">
        <v>1759</v>
      </c>
      <c r="F545" s="4">
        <v>1</v>
      </c>
      <c r="G545">
        <v>763.34</v>
      </c>
      <c r="H545">
        <v>0.11</v>
      </c>
      <c r="I545" t="s">
        <v>1812</v>
      </c>
      <c r="J545">
        <v>679.37260000000003</v>
      </c>
      <c r="K545" t="s">
        <v>1037</v>
      </c>
      <c r="L545">
        <v>50</v>
      </c>
      <c r="M545" t="str">
        <v>Female</v>
      </c>
      <c r="N545" t="str">
        <f>VLOOKUP(C:C,Customer_Dim!B:I,5,1)</f>
        <v>Johnsonbury</v>
      </c>
      <c r="O545" t="str">
        <f>VLOOKUP(C:C,Customer_Dim!B:I,6,1)</f>
        <v>Georgia</v>
      </c>
      <c r="P545" t="str">
        <f>VLOOKUP(C:C,Customer_Dim!B:I,7,1)</f>
        <v>USA</v>
      </c>
      <c r="Q545" t="str">
        <f>VLOOKUP(C:C,Customer_Dim!B:I,8,1)</f>
        <v>Gold</v>
      </c>
      <c r="S545">
        <v>1</v>
      </c>
      <c r="T545">
        <v>763.34</v>
      </c>
      <c r="U545">
        <v>0.11</v>
      </c>
      <c r="V545">
        <v>679.37260000000003</v>
      </c>
      <c r="X545" s="4">
        <v>1</v>
      </c>
      <c r="Y545">
        <v>763.34</v>
      </c>
      <c r="Z545">
        <v>0.11</v>
      </c>
      <c r="AA545">
        <v>679.37260000000003</v>
      </c>
    </row>
    <row r="546" spans="1:27" x14ac:dyDescent="0.3">
      <c r="A546" t="s">
        <v>2353</v>
      </c>
      <c r="B546" s="2">
        <v>45842</v>
      </c>
      <c r="C546" t="s">
        <v>548</v>
      </c>
      <c r="D546" t="s">
        <v>1649</v>
      </c>
      <c r="E546" t="s">
        <v>1793</v>
      </c>
      <c r="F546" s="4">
        <v>3</v>
      </c>
      <c r="G546">
        <v>178.22</v>
      </c>
      <c r="H546">
        <v>0.15</v>
      </c>
      <c r="I546" t="s">
        <v>1812</v>
      </c>
      <c r="J546">
        <v>454.46100000000001</v>
      </c>
      <c r="K546" t="s">
        <v>549</v>
      </c>
      <c r="L546">
        <v>36</v>
      </c>
      <c r="M546" t="str">
        <v>Female</v>
      </c>
      <c r="N546" t="str">
        <f>VLOOKUP(C:C,Customer_Dim!B:I,5,1)</f>
        <v>South Ashleyton</v>
      </c>
      <c r="O546" t="str">
        <f>VLOOKUP(C:C,Customer_Dim!B:I,6,1)</f>
        <v>Michigan</v>
      </c>
      <c r="P546" t="str">
        <f>VLOOKUP(C:C,Customer_Dim!B:I,7,1)</f>
        <v>USA</v>
      </c>
      <c r="Q546" t="str">
        <f>VLOOKUP(C:C,Customer_Dim!B:I,8,1)</f>
        <v>Silver</v>
      </c>
      <c r="S546">
        <v>3</v>
      </c>
      <c r="T546">
        <v>178.22</v>
      </c>
      <c r="U546">
        <v>0.15</v>
      </c>
      <c r="V546">
        <v>454.46100000000001</v>
      </c>
      <c r="X546" s="4">
        <v>3</v>
      </c>
      <c r="Y546">
        <v>178.22</v>
      </c>
      <c r="Z546">
        <v>0.15</v>
      </c>
      <c r="AA546">
        <v>454.46100000000001</v>
      </c>
    </row>
    <row r="547" spans="1:27" x14ac:dyDescent="0.3">
      <c r="A547" t="s">
        <v>2354</v>
      </c>
      <c r="B547" s="2">
        <v>45255</v>
      </c>
      <c r="C547" t="s">
        <v>361</v>
      </c>
      <c r="D547" t="s">
        <v>1583</v>
      </c>
      <c r="E547" t="s">
        <v>1740</v>
      </c>
      <c r="F547" s="4">
        <v>4</v>
      </c>
      <c r="G547">
        <v>90.32</v>
      </c>
      <c r="H547">
        <v>0.08</v>
      </c>
      <c r="I547" t="s">
        <v>1809</v>
      </c>
      <c r="J547">
        <v>332.37759999999997</v>
      </c>
      <c r="K547" t="s">
        <v>362</v>
      </c>
      <c r="L547">
        <v>64</v>
      </c>
      <c r="M547" t="str">
        <v>Male</v>
      </c>
      <c r="N547" t="str">
        <f>VLOOKUP(C:C,Customer_Dim!B:I,5,1)</f>
        <v>West Lauren</v>
      </c>
      <c r="O547" t="str">
        <f>VLOOKUP(C:C,Customer_Dim!B:I,6,1)</f>
        <v>Connecticut</v>
      </c>
      <c r="P547" t="str">
        <f>VLOOKUP(C:C,Customer_Dim!B:I,7,1)</f>
        <v>USA</v>
      </c>
      <c r="Q547" t="str">
        <f>VLOOKUP(C:C,Customer_Dim!B:I,8,1)</f>
        <v>Bronze</v>
      </c>
      <c r="S547">
        <v>4</v>
      </c>
      <c r="T547">
        <v>90.32</v>
      </c>
      <c r="U547">
        <v>0.08</v>
      </c>
      <c r="V547">
        <v>332.37759999999997</v>
      </c>
      <c r="X547" s="4">
        <v>4</v>
      </c>
      <c r="Y547">
        <v>90.32</v>
      </c>
      <c r="Z547">
        <v>0.08</v>
      </c>
      <c r="AA547">
        <v>332.37759999999997</v>
      </c>
    </row>
    <row r="548" spans="1:27" x14ac:dyDescent="0.3">
      <c r="A548" t="s">
        <v>2355</v>
      </c>
      <c r="B548" s="2">
        <v>45695</v>
      </c>
      <c r="C548" t="s">
        <v>1168</v>
      </c>
      <c r="D548" t="s">
        <v>1551</v>
      </c>
      <c r="E548" t="s">
        <v>1759</v>
      </c>
      <c r="F548" s="4">
        <v>3</v>
      </c>
      <c r="G548">
        <v>370.93</v>
      </c>
      <c r="H548">
        <v>0</v>
      </c>
      <c r="I548" t="s">
        <v>1807</v>
      </c>
      <c r="J548">
        <v>1112.79</v>
      </c>
      <c r="K548" t="s">
        <v>1169</v>
      </c>
      <c r="L548">
        <v>34</v>
      </c>
      <c r="M548" t="str">
        <v>Female</v>
      </c>
      <c r="N548" t="str">
        <f>VLOOKUP(C:C,Customer_Dim!B:I,5,1)</f>
        <v>Fischerborough</v>
      </c>
      <c r="O548" t="str">
        <f>VLOOKUP(C:C,Customer_Dim!B:I,6,1)</f>
        <v>Delaware</v>
      </c>
      <c r="P548" t="str">
        <f>VLOOKUP(C:C,Customer_Dim!B:I,7,1)</f>
        <v>USA</v>
      </c>
      <c r="Q548" t="str">
        <f>VLOOKUP(C:C,Customer_Dim!B:I,8,1)</f>
        <v>Bronze</v>
      </c>
      <c r="S548">
        <v>3</v>
      </c>
      <c r="T548">
        <v>370.93</v>
      </c>
      <c r="U548">
        <v>0</v>
      </c>
      <c r="V548">
        <v>1112.79</v>
      </c>
      <c r="X548" s="4">
        <v>3</v>
      </c>
      <c r="Y548">
        <v>370.93</v>
      </c>
      <c r="Z548">
        <v>0</v>
      </c>
      <c r="AA548">
        <v>1112.79</v>
      </c>
    </row>
    <row r="549" spans="1:27" x14ac:dyDescent="0.3">
      <c r="A549" t="s">
        <v>2356</v>
      </c>
      <c r="B549" s="2">
        <v>45281</v>
      </c>
      <c r="C549" t="s">
        <v>176</v>
      </c>
      <c r="D549" t="s">
        <v>1577</v>
      </c>
      <c r="E549" t="s">
        <v>1784</v>
      </c>
      <c r="F549" s="4">
        <v>1</v>
      </c>
      <c r="G549">
        <v>352.43</v>
      </c>
      <c r="H549">
        <v>0.14000000000000001</v>
      </c>
      <c r="I549" t="s">
        <v>1809</v>
      </c>
      <c r="J549">
        <v>303.08980000000003</v>
      </c>
      <c r="K549" t="s">
        <v>3937</v>
      </c>
      <c r="L549">
        <v>54</v>
      </c>
      <c r="M549" t="str">
        <v>Female</v>
      </c>
      <c r="N549" t="str">
        <f>VLOOKUP(C:C,Customer_Dim!B:I,5,1)</f>
        <v>Perezbury</v>
      </c>
      <c r="O549" t="str">
        <f>VLOOKUP(C:C,Customer_Dim!B:I,6,1)</f>
        <v>Ohio</v>
      </c>
      <c r="P549" t="str">
        <f>VLOOKUP(C:C,Customer_Dim!B:I,7,1)</f>
        <v>USA</v>
      </c>
      <c r="Q549" t="str">
        <f>VLOOKUP(C:C,Customer_Dim!B:I,8,1)</f>
        <v>Platinum</v>
      </c>
      <c r="S549">
        <v>1</v>
      </c>
      <c r="T549">
        <v>352.43</v>
      </c>
      <c r="U549">
        <v>0.14000000000000001</v>
      </c>
      <c r="V549">
        <v>303.08980000000003</v>
      </c>
      <c r="X549" s="4">
        <v>1</v>
      </c>
      <c r="Y549">
        <v>352.43</v>
      </c>
      <c r="Z549">
        <v>0.14000000000000001</v>
      </c>
      <c r="AA549">
        <v>303.08980000000003</v>
      </c>
    </row>
    <row r="550" spans="1:27" x14ac:dyDescent="0.3">
      <c r="A550" t="s">
        <v>2357</v>
      </c>
      <c r="B550" s="2">
        <v>45295</v>
      </c>
      <c r="C550" t="s">
        <v>420</v>
      </c>
      <c r="D550" t="s">
        <v>1555</v>
      </c>
      <c r="E550" t="s">
        <v>1784</v>
      </c>
      <c r="F550" s="4">
        <v>2</v>
      </c>
      <c r="G550">
        <v>562.97</v>
      </c>
      <c r="H550">
        <v>0.2</v>
      </c>
      <c r="I550" t="s">
        <v>1807</v>
      </c>
      <c r="J550">
        <v>900.75200000000007</v>
      </c>
      <c r="K550" t="s">
        <v>421</v>
      </c>
      <c r="L550">
        <v>26</v>
      </c>
      <c r="M550" t="str">
        <v>Male</v>
      </c>
      <c r="N550" t="str">
        <f>VLOOKUP(C:C,Customer_Dim!B:I,5,1)</f>
        <v>North Sabrina</v>
      </c>
      <c r="O550" t="str">
        <f>VLOOKUP(C:C,Customer_Dim!B:I,6,1)</f>
        <v>Iowa</v>
      </c>
      <c r="P550" t="str">
        <f>VLOOKUP(C:C,Customer_Dim!B:I,7,1)</f>
        <v>USA</v>
      </c>
      <c r="Q550" t="str">
        <f>VLOOKUP(C:C,Customer_Dim!B:I,8,1)</f>
        <v>Silver</v>
      </c>
      <c r="S550">
        <v>2</v>
      </c>
      <c r="T550">
        <v>562.97</v>
      </c>
      <c r="U550">
        <v>0.2</v>
      </c>
      <c r="V550">
        <v>900.75200000000007</v>
      </c>
      <c r="X550" s="4">
        <v>2</v>
      </c>
      <c r="Y550">
        <v>562.97</v>
      </c>
      <c r="Z550">
        <v>0.2</v>
      </c>
      <c r="AA550">
        <v>900.75200000000007</v>
      </c>
    </row>
    <row r="551" spans="1:27" x14ac:dyDescent="0.3">
      <c r="A551" t="s">
        <v>2358</v>
      </c>
      <c r="B551" s="2">
        <v>45260</v>
      </c>
      <c r="C551" t="s">
        <v>521</v>
      </c>
      <c r="D551" t="s">
        <v>1641</v>
      </c>
      <c r="E551" t="s">
        <v>1762</v>
      </c>
      <c r="F551" s="4">
        <v>1</v>
      </c>
      <c r="G551">
        <v>522.85</v>
      </c>
      <c r="H551">
        <v>0.12</v>
      </c>
      <c r="I551" t="s">
        <v>1809</v>
      </c>
      <c r="J551">
        <v>460.108</v>
      </c>
      <c r="K551" t="s">
        <v>522</v>
      </c>
      <c r="L551">
        <v>43</v>
      </c>
      <c r="M551" t="str">
        <v>Male</v>
      </c>
      <c r="N551" t="str">
        <f>VLOOKUP(C:C,Customer_Dim!B:I,5,1)</f>
        <v>North Larryfurt</v>
      </c>
      <c r="O551" t="str">
        <f>VLOOKUP(C:C,Customer_Dim!B:I,6,1)</f>
        <v>North Dakota</v>
      </c>
      <c r="P551" t="str">
        <f>VLOOKUP(C:C,Customer_Dim!B:I,7,1)</f>
        <v>USA</v>
      </c>
      <c r="Q551" t="str">
        <f>VLOOKUP(C:C,Customer_Dim!B:I,8,1)</f>
        <v>Platinum</v>
      </c>
      <c r="S551">
        <v>1</v>
      </c>
      <c r="T551">
        <v>522.85</v>
      </c>
      <c r="U551">
        <v>0.12</v>
      </c>
      <c r="V551">
        <v>460.108</v>
      </c>
      <c r="X551" s="4">
        <v>1</v>
      </c>
      <c r="Y551">
        <v>522.85</v>
      </c>
      <c r="Z551">
        <v>0.12</v>
      </c>
      <c r="AA551">
        <v>460.108</v>
      </c>
    </row>
    <row r="552" spans="1:27" x14ac:dyDescent="0.3">
      <c r="A552" t="s">
        <v>2359</v>
      </c>
      <c r="B552" s="2">
        <v>45851</v>
      </c>
      <c r="C552" t="s">
        <v>1083</v>
      </c>
      <c r="D552" t="s">
        <v>1573</v>
      </c>
      <c r="E552" t="s">
        <v>1787</v>
      </c>
      <c r="F552" s="4">
        <v>4</v>
      </c>
      <c r="G552">
        <v>714.89</v>
      </c>
      <c r="H552">
        <v>0.15</v>
      </c>
      <c r="I552" t="s">
        <v>1807</v>
      </c>
      <c r="J552">
        <v>2430.6260000000002</v>
      </c>
      <c r="K552" t="s">
        <v>1084</v>
      </c>
      <c r="L552">
        <v>26</v>
      </c>
      <c r="M552" t="str">
        <v>Male</v>
      </c>
      <c r="N552" t="str">
        <f>VLOOKUP(C:C,Customer_Dim!B:I,5,1)</f>
        <v>New Angiefurt</v>
      </c>
      <c r="O552" t="str">
        <f>VLOOKUP(C:C,Customer_Dim!B:I,6,1)</f>
        <v>Alaska</v>
      </c>
      <c r="P552" t="str">
        <f>VLOOKUP(C:C,Customer_Dim!B:I,7,1)</f>
        <v>USA</v>
      </c>
      <c r="Q552" t="str">
        <f>VLOOKUP(C:C,Customer_Dim!B:I,8,1)</f>
        <v>Bronze</v>
      </c>
      <c r="S552">
        <v>4</v>
      </c>
      <c r="T552">
        <v>714.89</v>
      </c>
      <c r="U552">
        <v>0.15</v>
      </c>
      <c r="V552">
        <v>2430.6260000000002</v>
      </c>
      <c r="X552" s="4">
        <v>4</v>
      </c>
      <c r="Y552">
        <v>714.89</v>
      </c>
      <c r="Z552">
        <v>0.15</v>
      </c>
      <c r="AA552">
        <v>2430.6260000000002</v>
      </c>
    </row>
    <row r="553" spans="1:27" x14ac:dyDescent="0.3">
      <c r="A553" t="s">
        <v>2360</v>
      </c>
      <c r="B553" s="2">
        <v>45222</v>
      </c>
      <c r="C553" t="s">
        <v>610</v>
      </c>
      <c r="D553" t="s">
        <v>1617</v>
      </c>
      <c r="E553" t="s">
        <v>1744</v>
      </c>
      <c r="F553" s="4">
        <v>3</v>
      </c>
      <c r="G553">
        <v>137.77000000000001</v>
      </c>
      <c r="H553">
        <v>0.26</v>
      </c>
      <c r="I553" t="s">
        <v>1809</v>
      </c>
      <c r="J553">
        <v>305.84940000000012</v>
      </c>
      <c r="K553" t="s">
        <v>611</v>
      </c>
      <c r="L553">
        <v>42</v>
      </c>
      <c r="M553" t="str">
        <v>Male</v>
      </c>
      <c r="N553" t="str">
        <f>VLOOKUP(C:C,Customer_Dim!B:I,5,1)</f>
        <v>Lake Blaketon</v>
      </c>
      <c r="O553" t="str">
        <f>VLOOKUP(C:C,Customer_Dim!B:I,6,1)</f>
        <v>Alabama</v>
      </c>
      <c r="P553" t="str">
        <f>VLOOKUP(C:C,Customer_Dim!B:I,7,1)</f>
        <v>USA</v>
      </c>
      <c r="Q553" t="str">
        <f>VLOOKUP(C:C,Customer_Dim!B:I,8,1)</f>
        <v>Platinum</v>
      </c>
      <c r="S553">
        <v>3</v>
      </c>
      <c r="T553">
        <v>137.77000000000001</v>
      </c>
      <c r="U553">
        <v>0.26</v>
      </c>
      <c r="V553">
        <v>305.84940000000012</v>
      </c>
      <c r="X553" s="4">
        <v>3</v>
      </c>
      <c r="Y553">
        <v>137.77000000000001</v>
      </c>
      <c r="Z553">
        <v>0.26</v>
      </c>
      <c r="AA553">
        <v>305.84940000000012</v>
      </c>
    </row>
    <row r="554" spans="1:27" x14ac:dyDescent="0.3">
      <c r="A554" t="s">
        <v>2361</v>
      </c>
      <c r="B554" s="2">
        <v>45940</v>
      </c>
      <c r="C554" t="s">
        <v>114</v>
      </c>
      <c r="D554" t="s">
        <v>1715</v>
      </c>
      <c r="E554" t="s">
        <v>1775</v>
      </c>
      <c r="F554" s="4">
        <v>3</v>
      </c>
      <c r="G554">
        <v>862.18</v>
      </c>
      <c r="H554">
        <v>0.22</v>
      </c>
      <c r="I554" t="s">
        <v>1809</v>
      </c>
      <c r="J554">
        <v>2017.5011999999999</v>
      </c>
      <c r="K554" t="s">
        <v>115</v>
      </c>
      <c r="L554">
        <v>27</v>
      </c>
      <c r="M554" t="str">
        <v>Female</v>
      </c>
      <c r="N554" t="str">
        <f>VLOOKUP(C:C,Customer_Dim!B:I,5,1)</f>
        <v>Mollyshire</v>
      </c>
      <c r="O554" t="str">
        <f>VLOOKUP(C:C,Customer_Dim!B:I,6,1)</f>
        <v>Utah</v>
      </c>
      <c r="P554" t="str">
        <f>VLOOKUP(C:C,Customer_Dim!B:I,7,1)</f>
        <v>USA</v>
      </c>
      <c r="Q554" t="str">
        <f>VLOOKUP(C:C,Customer_Dim!B:I,8,1)</f>
        <v>Platinum</v>
      </c>
      <c r="S554">
        <v>3</v>
      </c>
      <c r="T554">
        <v>862.18</v>
      </c>
      <c r="U554">
        <v>0.22</v>
      </c>
      <c r="V554">
        <v>2017.5011999999999</v>
      </c>
      <c r="X554" s="4">
        <v>3</v>
      </c>
      <c r="Y554">
        <v>862.18</v>
      </c>
      <c r="Z554">
        <v>0.22</v>
      </c>
      <c r="AA554">
        <v>2017.5011999999999</v>
      </c>
    </row>
    <row r="555" spans="1:27" x14ac:dyDescent="0.3">
      <c r="A555" t="s">
        <v>2362</v>
      </c>
      <c r="B555" s="2">
        <v>45822</v>
      </c>
      <c r="C555" t="s">
        <v>211</v>
      </c>
      <c r="D555" t="s">
        <v>1607</v>
      </c>
      <c r="E555" t="s">
        <v>1782</v>
      </c>
      <c r="F555" s="4">
        <v>2</v>
      </c>
      <c r="G555">
        <v>833.64</v>
      </c>
      <c r="H555">
        <v>0.24</v>
      </c>
      <c r="I555" t="s">
        <v>1809</v>
      </c>
      <c r="J555">
        <v>1267.1328000000001</v>
      </c>
      <c r="K555" t="s">
        <v>212</v>
      </c>
      <c r="L555">
        <v>51</v>
      </c>
      <c r="M555" t="str">
        <v>Male</v>
      </c>
      <c r="N555" t="str">
        <f>VLOOKUP(C:C,Customer_Dim!B:I,5,1)</f>
        <v>Morrisbury</v>
      </c>
      <c r="O555" t="str">
        <f>VLOOKUP(C:C,Customer_Dim!B:I,6,1)</f>
        <v>Rhode Island</v>
      </c>
      <c r="P555" t="str">
        <f>VLOOKUP(C:C,Customer_Dim!B:I,7,1)</f>
        <v>USA</v>
      </c>
      <c r="Q555" t="str">
        <f>VLOOKUP(C:C,Customer_Dim!B:I,8,1)</f>
        <v>Platinum</v>
      </c>
      <c r="S555">
        <v>2</v>
      </c>
      <c r="T555">
        <v>833.64</v>
      </c>
      <c r="U555">
        <v>0.24</v>
      </c>
      <c r="V555">
        <v>1267.1328000000001</v>
      </c>
      <c r="X555" s="4">
        <v>2</v>
      </c>
      <c r="Y555">
        <v>833.64</v>
      </c>
      <c r="Z555">
        <v>0.24</v>
      </c>
      <c r="AA555">
        <v>1267.1328000000001</v>
      </c>
    </row>
    <row r="556" spans="1:27" x14ac:dyDescent="0.3">
      <c r="A556" t="s">
        <v>2363</v>
      </c>
      <c r="B556" s="2">
        <v>45752</v>
      </c>
      <c r="C556" t="s">
        <v>853</v>
      </c>
      <c r="D556" t="s">
        <v>1569</v>
      </c>
      <c r="E556" t="s">
        <v>1784</v>
      </c>
      <c r="F556" s="4">
        <v>3</v>
      </c>
      <c r="G556">
        <v>543.22</v>
      </c>
      <c r="H556">
        <v>0.05</v>
      </c>
      <c r="I556" t="s">
        <v>1812</v>
      </c>
      <c r="J556">
        <v>1548.1769999999999</v>
      </c>
      <c r="K556" t="s">
        <v>854</v>
      </c>
      <c r="L556">
        <v>64</v>
      </c>
      <c r="M556" t="str">
        <v>Male</v>
      </c>
      <c r="N556" t="str">
        <f>VLOOKUP(C:C,Customer_Dim!B:I,5,1)</f>
        <v>Ramosmouth</v>
      </c>
      <c r="O556" t="str">
        <f>VLOOKUP(C:C,Customer_Dim!B:I,6,1)</f>
        <v>Louisiana</v>
      </c>
      <c r="P556" t="str">
        <f>VLOOKUP(C:C,Customer_Dim!B:I,7,1)</f>
        <v>USA</v>
      </c>
      <c r="Q556" t="str">
        <f>VLOOKUP(C:C,Customer_Dim!B:I,8,1)</f>
        <v>Gold</v>
      </c>
      <c r="S556">
        <v>3</v>
      </c>
      <c r="T556">
        <v>543.22</v>
      </c>
      <c r="U556">
        <v>0.05</v>
      </c>
      <c r="V556">
        <v>1548.1769999999999</v>
      </c>
      <c r="X556" s="4">
        <v>3</v>
      </c>
      <c r="Y556">
        <v>543.22</v>
      </c>
      <c r="Z556">
        <v>0.05</v>
      </c>
      <c r="AA556">
        <v>1548.1769999999999</v>
      </c>
    </row>
    <row r="557" spans="1:27" x14ac:dyDescent="0.3">
      <c r="A557" t="s">
        <v>2364</v>
      </c>
      <c r="B557" s="2">
        <v>45677</v>
      </c>
      <c r="C557" t="s">
        <v>876</v>
      </c>
      <c r="D557" t="s">
        <v>1707</v>
      </c>
      <c r="E557" t="s">
        <v>1744</v>
      </c>
      <c r="F557" s="4">
        <v>3</v>
      </c>
      <c r="G557">
        <v>691.02</v>
      </c>
      <c r="H557">
        <v>0.12</v>
      </c>
      <c r="I557" t="s">
        <v>1812</v>
      </c>
      <c r="J557">
        <v>1824.2927999999999</v>
      </c>
      <c r="K557" t="s">
        <v>877</v>
      </c>
      <c r="L557">
        <v>21</v>
      </c>
      <c r="M557" t="str">
        <v>Female</v>
      </c>
      <c r="N557" t="str">
        <f>VLOOKUP(C:C,Customer_Dim!B:I,5,1)</f>
        <v>Port Mariastad</v>
      </c>
      <c r="O557" t="str">
        <f>VLOOKUP(C:C,Customer_Dim!B:I,6,1)</f>
        <v>Rhode Island</v>
      </c>
      <c r="P557" t="str">
        <f>VLOOKUP(C:C,Customer_Dim!B:I,7,1)</f>
        <v>USA</v>
      </c>
      <c r="Q557" t="str">
        <f>VLOOKUP(C:C,Customer_Dim!B:I,8,1)</f>
        <v>Platinum</v>
      </c>
      <c r="S557">
        <v>3</v>
      </c>
      <c r="T557">
        <v>691.02</v>
      </c>
      <c r="U557">
        <v>0.12</v>
      </c>
      <c r="V557">
        <v>1824.2927999999999</v>
      </c>
      <c r="X557" s="4">
        <v>3</v>
      </c>
      <c r="Y557">
        <v>691.02</v>
      </c>
      <c r="Z557">
        <v>0.12</v>
      </c>
      <c r="AA557">
        <v>1824.2927999999999</v>
      </c>
    </row>
    <row r="558" spans="1:27" x14ac:dyDescent="0.3">
      <c r="A558" t="s">
        <v>2365</v>
      </c>
      <c r="B558" s="2">
        <v>45253</v>
      </c>
      <c r="C558" t="s">
        <v>310</v>
      </c>
      <c r="D558" t="s">
        <v>1703</v>
      </c>
      <c r="E558" t="s">
        <v>1790</v>
      </c>
      <c r="F558" s="4">
        <v>4</v>
      </c>
      <c r="G558">
        <v>338.73</v>
      </c>
      <c r="H558">
        <v>0.18</v>
      </c>
      <c r="I558" t="s">
        <v>1807</v>
      </c>
      <c r="J558">
        <v>1111.0344</v>
      </c>
      <c r="K558" t="s">
        <v>3939</v>
      </c>
      <c r="L558">
        <v>58</v>
      </c>
      <c r="M558" t="str">
        <v>Male</v>
      </c>
      <c r="N558" t="str">
        <f>VLOOKUP(C:C,Customer_Dim!B:I,5,1)</f>
        <v>East Jenna</v>
      </c>
      <c r="O558" t="str">
        <f>VLOOKUP(C:C,Customer_Dim!B:I,6,1)</f>
        <v>South Carolina</v>
      </c>
      <c r="P558" t="str">
        <f>VLOOKUP(C:C,Customer_Dim!B:I,7,1)</f>
        <v>USA</v>
      </c>
      <c r="Q558" t="str">
        <f>VLOOKUP(C:C,Customer_Dim!B:I,8,1)</f>
        <v>Bronze</v>
      </c>
      <c r="S558">
        <v>4</v>
      </c>
      <c r="T558">
        <v>338.73</v>
      </c>
      <c r="U558">
        <v>0.18</v>
      </c>
      <c r="V558">
        <v>1111.0344</v>
      </c>
      <c r="X558" s="4">
        <v>4</v>
      </c>
      <c r="Y558">
        <v>338.73</v>
      </c>
      <c r="Z558">
        <v>0.18</v>
      </c>
      <c r="AA558">
        <v>1111.0344</v>
      </c>
    </row>
    <row r="559" spans="1:27" x14ac:dyDescent="0.3">
      <c r="A559" t="s">
        <v>2366</v>
      </c>
      <c r="B559" s="2">
        <v>45389</v>
      </c>
      <c r="C559" t="s">
        <v>227</v>
      </c>
      <c r="D559" t="s">
        <v>1699</v>
      </c>
      <c r="E559" t="s">
        <v>1787</v>
      </c>
      <c r="F559" s="4">
        <v>3</v>
      </c>
      <c r="G559">
        <v>366.08</v>
      </c>
      <c r="H559">
        <v>0.05</v>
      </c>
      <c r="I559" t="s">
        <v>1807</v>
      </c>
      <c r="J559">
        <v>1043.328</v>
      </c>
      <c r="K559" t="s">
        <v>228</v>
      </c>
      <c r="L559">
        <v>51</v>
      </c>
      <c r="M559" t="str">
        <v>Male</v>
      </c>
      <c r="N559" t="str">
        <f>VLOOKUP(C:C,Customer_Dim!B:I,5,1)</f>
        <v>Stevensonton</v>
      </c>
      <c r="O559" t="str">
        <f>VLOOKUP(C:C,Customer_Dim!B:I,6,1)</f>
        <v>New Mexico</v>
      </c>
      <c r="P559" t="str">
        <f>VLOOKUP(C:C,Customer_Dim!B:I,7,1)</f>
        <v>USA</v>
      </c>
      <c r="Q559" t="str">
        <f>VLOOKUP(C:C,Customer_Dim!B:I,8,1)</f>
        <v>Bronze</v>
      </c>
      <c r="S559">
        <v>3</v>
      </c>
      <c r="T559">
        <v>366.08</v>
      </c>
      <c r="U559">
        <v>0.05</v>
      </c>
      <c r="V559">
        <v>1043.328</v>
      </c>
      <c r="X559" s="4">
        <v>3</v>
      </c>
      <c r="Y559">
        <v>366.08</v>
      </c>
      <c r="Z559">
        <v>0.05</v>
      </c>
      <c r="AA559">
        <v>1043.328</v>
      </c>
    </row>
    <row r="560" spans="1:27" x14ac:dyDescent="0.3">
      <c r="A560" t="s">
        <v>2367</v>
      </c>
      <c r="B560" s="2">
        <v>45840</v>
      </c>
      <c r="C560" t="s">
        <v>367</v>
      </c>
      <c r="D560" t="s">
        <v>1557</v>
      </c>
      <c r="E560" t="s">
        <v>1780</v>
      </c>
      <c r="F560" s="4">
        <v>4</v>
      </c>
      <c r="G560">
        <v>539.48</v>
      </c>
      <c r="H560">
        <v>0.28000000000000003</v>
      </c>
      <c r="I560" t="s">
        <v>1812</v>
      </c>
      <c r="J560">
        <v>1553.7023999999999</v>
      </c>
      <c r="K560" t="s">
        <v>368</v>
      </c>
      <c r="L560">
        <v>53</v>
      </c>
      <c r="M560" t="str">
        <v>Female</v>
      </c>
      <c r="N560" t="str">
        <f>VLOOKUP(C:C,Customer_Dim!B:I,5,1)</f>
        <v>Port Victoria</v>
      </c>
      <c r="O560" t="str">
        <f>VLOOKUP(C:C,Customer_Dim!B:I,6,1)</f>
        <v>Florida</v>
      </c>
      <c r="P560" t="str">
        <f>VLOOKUP(C:C,Customer_Dim!B:I,7,1)</f>
        <v>USA</v>
      </c>
      <c r="Q560" t="str">
        <f>VLOOKUP(C:C,Customer_Dim!B:I,8,1)</f>
        <v>Gold</v>
      </c>
      <c r="S560">
        <v>4</v>
      </c>
      <c r="T560">
        <v>539.48</v>
      </c>
      <c r="U560">
        <v>0.28000000000000003</v>
      </c>
      <c r="V560">
        <v>1553.7023999999999</v>
      </c>
      <c r="X560" s="4">
        <v>4</v>
      </c>
      <c r="Y560">
        <v>539.48</v>
      </c>
      <c r="Z560">
        <v>0.28000000000000003</v>
      </c>
      <c r="AA560">
        <v>1553.7023999999999</v>
      </c>
    </row>
    <row r="561" spans="1:27" x14ac:dyDescent="0.3">
      <c r="A561" t="s">
        <v>2368</v>
      </c>
      <c r="B561" s="2">
        <v>45256</v>
      </c>
      <c r="C561" t="s">
        <v>1201</v>
      </c>
      <c r="D561" t="s">
        <v>1713</v>
      </c>
      <c r="E561" t="s">
        <v>1787</v>
      </c>
      <c r="F561" s="4">
        <v>1</v>
      </c>
      <c r="G561">
        <v>499.59</v>
      </c>
      <c r="H561">
        <v>0.03</v>
      </c>
      <c r="I561" t="s">
        <v>1812</v>
      </c>
      <c r="J561">
        <v>484.60230000000001</v>
      </c>
      <c r="K561" t="s">
        <v>1202</v>
      </c>
      <c r="L561">
        <v>56</v>
      </c>
      <c r="M561" t="str">
        <v>Male</v>
      </c>
      <c r="N561" t="str">
        <f>VLOOKUP(C:C,Customer_Dim!B:I,5,1)</f>
        <v>Joseland</v>
      </c>
      <c r="O561" t="str">
        <f>VLOOKUP(C:C,Customer_Dim!B:I,6,1)</f>
        <v>Nebraska</v>
      </c>
      <c r="P561" t="str">
        <f>VLOOKUP(C:C,Customer_Dim!B:I,7,1)</f>
        <v>USA</v>
      </c>
      <c r="Q561" t="str">
        <f>VLOOKUP(C:C,Customer_Dim!B:I,8,1)</f>
        <v>Platinum</v>
      </c>
      <c r="S561">
        <v>1</v>
      </c>
      <c r="T561">
        <v>499.59</v>
      </c>
      <c r="U561">
        <v>0.03</v>
      </c>
      <c r="V561">
        <v>484.60230000000001</v>
      </c>
      <c r="X561" s="4">
        <v>1</v>
      </c>
      <c r="Y561">
        <v>499.59</v>
      </c>
      <c r="Z561">
        <v>0.03</v>
      </c>
      <c r="AA561">
        <v>484.60230000000001</v>
      </c>
    </row>
    <row r="562" spans="1:27" x14ac:dyDescent="0.3">
      <c r="A562" t="s">
        <v>2369</v>
      </c>
      <c r="B562" s="2">
        <v>45326</v>
      </c>
      <c r="C562" t="s">
        <v>613</v>
      </c>
      <c r="D562" t="s">
        <v>1591</v>
      </c>
      <c r="E562" t="s">
        <v>1765</v>
      </c>
      <c r="F562" s="4">
        <v>3</v>
      </c>
      <c r="G562">
        <v>330.04</v>
      </c>
      <c r="H562">
        <v>0.2</v>
      </c>
      <c r="I562" t="s">
        <v>1807</v>
      </c>
      <c r="J562">
        <v>792.09600000000012</v>
      </c>
      <c r="K562" t="s">
        <v>614</v>
      </c>
      <c r="L562">
        <v>29</v>
      </c>
      <c r="M562" t="str">
        <v>Male</v>
      </c>
      <c r="N562" t="str">
        <f>VLOOKUP(C:C,Customer_Dim!B:I,5,1)</f>
        <v>Kingfort</v>
      </c>
      <c r="O562" t="str">
        <f>VLOOKUP(C:C,Customer_Dim!B:I,6,1)</f>
        <v>New Mexico</v>
      </c>
      <c r="P562" t="str">
        <f>VLOOKUP(C:C,Customer_Dim!B:I,7,1)</f>
        <v>USA</v>
      </c>
      <c r="Q562" t="str">
        <f>VLOOKUP(C:C,Customer_Dim!B:I,8,1)</f>
        <v>Silver</v>
      </c>
      <c r="S562">
        <v>3</v>
      </c>
      <c r="T562">
        <v>330.04</v>
      </c>
      <c r="U562">
        <v>0.2</v>
      </c>
      <c r="V562">
        <v>792.09600000000012</v>
      </c>
      <c r="X562" s="4">
        <v>3</v>
      </c>
      <c r="Y562">
        <v>330.04</v>
      </c>
      <c r="Z562">
        <v>0.2</v>
      </c>
      <c r="AA562">
        <v>792.09600000000012</v>
      </c>
    </row>
    <row r="563" spans="1:27" x14ac:dyDescent="0.3">
      <c r="A563" t="s">
        <v>2370</v>
      </c>
      <c r="B563" s="2">
        <v>45459</v>
      </c>
      <c r="C563" t="s">
        <v>595</v>
      </c>
      <c r="D563" t="s">
        <v>1553</v>
      </c>
      <c r="E563" t="s">
        <v>1790</v>
      </c>
      <c r="F563" s="4">
        <v>2</v>
      </c>
      <c r="G563">
        <v>813.01</v>
      </c>
      <c r="H563">
        <v>0.06</v>
      </c>
      <c r="I563" t="s">
        <v>1809</v>
      </c>
      <c r="J563">
        <v>1528.4588000000001</v>
      </c>
      <c r="K563" t="s">
        <v>596</v>
      </c>
      <c r="L563">
        <v>18</v>
      </c>
      <c r="M563" t="str">
        <v>Male</v>
      </c>
      <c r="N563" t="str">
        <f>VLOOKUP(C:C,Customer_Dim!B:I,5,1)</f>
        <v>Hutchinsonville</v>
      </c>
      <c r="O563" t="str">
        <f>VLOOKUP(C:C,Customer_Dim!B:I,6,1)</f>
        <v>Oklahoma</v>
      </c>
      <c r="P563" t="str">
        <f>VLOOKUP(C:C,Customer_Dim!B:I,7,1)</f>
        <v>USA</v>
      </c>
      <c r="Q563" t="str">
        <f>VLOOKUP(C:C,Customer_Dim!B:I,8,1)</f>
        <v>Silver</v>
      </c>
      <c r="S563">
        <v>2</v>
      </c>
      <c r="T563">
        <v>813.01</v>
      </c>
      <c r="U563">
        <v>0.06</v>
      </c>
      <c r="V563">
        <v>1528.4588000000001</v>
      </c>
      <c r="X563" s="4">
        <v>2</v>
      </c>
      <c r="Y563">
        <v>813.01</v>
      </c>
      <c r="Z563">
        <v>0.06</v>
      </c>
      <c r="AA563">
        <v>1528.4588000000001</v>
      </c>
    </row>
    <row r="564" spans="1:27" x14ac:dyDescent="0.3">
      <c r="A564" t="s">
        <v>2371</v>
      </c>
      <c r="B564" s="2">
        <v>45715</v>
      </c>
      <c r="C564" t="s">
        <v>110</v>
      </c>
      <c r="D564" t="s">
        <v>1529</v>
      </c>
      <c r="E564" t="s">
        <v>1744</v>
      </c>
      <c r="F564" s="4">
        <v>4</v>
      </c>
      <c r="G564">
        <v>204.8</v>
      </c>
      <c r="H564">
        <v>0.03</v>
      </c>
      <c r="I564" t="s">
        <v>1809</v>
      </c>
      <c r="J564">
        <v>794.62400000000002</v>
      </c>
      <c r="K564" t="s">
        <v>111</v>
      </c>
      <c r="L564">
        <v>31</v>
      </c>
      <c r="M564" t="str">
        <v>Male</v>
      </c>
      <c r="N564" t="str">
        <f>VLOOKUP(C:C,Customer_Dim!B:I,5,1)</f>
        <v>East Michellemouth</v>
      </c>
      <c r="O564" t="str">
        <f>VLOOKUP(C:C,Customer_Dim!B:I,6,1)</f>
        <v>Missouri</v>
      </c>
      <c r="P564" t="str">
        <f>VLOOKUP(C:C,Customer_Dim!B:I,7,1)</f>
        <v>USA</v>
      </c>
      <c r="Q564" t="str">
        <f>VLOOKUP(C:C,Customer_Dim!B:I,8,1)</f>
        <v>Gold</v>
      </c>
      <c r="S564">
        <v>4</v>
      </c>
      <c r="T564">
        <v>204.8</v>
      </c>
      <c r="U564">
        <v>0.03</v>
      </c>
      <c r="V564">
        <v>794.62400000000002</v>
      </c>
      <c r="X564" s="4">
        <v>4</v>
      </c>
      <c r="Y564">
        <v>204.8</v>
      </c>
      <c r="Z564">
        <v>0.03</v>
      </c>
      <c r="AA564">
        <v>794.62400000000002</v>
      </c>
    </row>
    <row r="565" spans="1:27" x14ac:dyDescent="0.3">
      <c r="A565" t="s">
        <v>2372</v>
      </c>
      <c r="B565" s="2">
        <v>45223</v>
      </c>
      <c r="C565" t="s">
        <v>55</v>
      </c>
      <c r="D565" t="s">
        <v>1534</v>
      </c>
      <c r="E565" t="s">
        <v>1749</v>
      </c>
      <c r="F565" s="4">
        <v>3</v>
      </c>
      <c r="G565">
        <v>728.32</v>
      </c>
      <c r="H565">
        <v>0.01</v>
      </c>
      <c r="I565" t="s">
        <v>1807</v>
      </c>
      <c r="J565">
        <v>2163.1104</v>
      </c>
      <c r="K565" t="s">
        <v>56</v>
      </c>
      <c r="L565">
        <v>55</v>
      </c>
      <c r="M565" t="str">
        <v>Female</v>
      </c>
      <c r="N565" t="str">
        <f>VLOOKUP(C:C,Customer_Dim!B:I,5,1)</f>
        <v>East Krista</v>
      </c>
      <c r="O565" t="str">
        <f>VLOOKUP(C:C,Customer_Dim!B:I,6,1)</f>
        <v>New York</v>
      </c>
      <c r="P565" t="str">
        <f>VLOOKUP(C:C,Customer_Dim!B:I,7,1)</f>
        <v>USA</v>
      </c>
      <c r="Q565" t="str">
        <f>VLOOKUP(C:C,Customer_Dim!B:I,8,1)</f>
        <v>Gold</v>
      </c>
      <c r="S565">
        <v>3</v>
      </c>
      <c r="T565">
        <v>728.32</v>
      </c>
      <c r="U565">
        <v>0.01</v>
      </c>
      <c r="V565">
        <v>2163.1104</v>
      </c>
      <c r="X565" s="4">
        <v>3</v>
      </c>
      <c r="Y565">
        <v>728.32</v>
      </c>
      <c r="Z565">
        <v>0.01</v>
      </c>
      <c r="AA565">
        <v>2163.1104</v>
      </c>
    </row>
    <row r="566" spans="1:27" x14ac:dyDescent="0.3">
      <c r="A566" t="s">
        <v>2373</v>
      </c>
      <c r="B566" s="2">
        <v>45507</v>
      </c>
      <c r="C566" t="s">
        <v>1381</v>
      </c>
      <c r="D566" t="s">
        <v>1649</v>
      </c>
      <c r="E566" t="s">
        <v>1762</v>
      </c>
      <c r="F566" s="4">
        <v>3</v>
      </c>
      <c r="G566">
        <v>836.4</v>
      </c>
      <c r="H566">
        <v>0</v>
      </c>
      <c r="I566" t="s">
        <v>1807</v>
      </c>
      <c r="J566">
        <v>2509.1999999999998</v>
      </c>
      <c r="K566" t="s">
        <v>1382</v>
      </c>
      <c r="L566">
        <v>62</v>
      </c>
      <c r="M566" t="str">
        <v>Female</v>
      </c>
      <c r="N566" t="str">
        <f>VLOOKUP(C:C,Customer_Dim!B:I,5,1)</f>
        <v>New Laura</v>
      </c>
      <c r="O566" t="str">
        <f>VLOOKUP(C:C,Customer_Dim!B:I,6,1)</f>
        <v>Mississippi</v>
      </c>
      <c r="P566" t="str">
        <f>VLOOKUP(C:C,Customer_Dim!B:I,7,1)</f>
        <v>USA</v>
      </c>
      <c r="Q566" t="str">
        <f>VLOOKUP(C:C,Customer_Dim!B:I,8,1)</f>
        <v>Bronze</v>
      </c>
      <c r="S566">
        <v>3</v>
      </c>
      <c r="T566">
        <v>836.4</v>
      </c>
      <c r="U566">
        <v>0</v>
      </c>
      <c r="V566">
        <v>2509.1999999999998</v>
      </c>
      <c r="X566" s="4">
        <v>3</v>
      </c>
      <c r="Y566">
        <v>836.4</v>
      </c>
      <c r="Z566">
        <v>0</v>
      </c>
      <c r="AA566">
        <v>2509.1999999999998</v>
      </c>
    </row>
    <row r="567" spans="1:27" x14ac:dyDescent="0.3">
      <c r="A567" t="s">
        <v>2374</v>
      </c>
      <c r="B567" s="2">
        <v>45843</v>
      </c>
      <c r="C567" t="s">
        <v>497</v>
      </c>
      <c r="D567" t="s">
        <v>1711</v>
      </c>
      <c r="E567" t="s">
        <v>1777</v>
      </c>
      <c r="F567" s="4">
        <v>1</v>
      </c>
      <c r="G567">
        <v>780.16</v>
      </c>
      <c r="H567">
        <v>0.02</v>
      </c>
      <c r="I567" t="s">
        <v>1812</v>
      </c>
      <c r="J567">
        <v>764.55679999999995</v>
      </c>
      <c r="K567" t="s">
        <v>498</v>
      </c>
      <c r="L567">
        <v>24</v>
      </c>
      <c r="M567" t="str">
        <v>Male</v>
      </c>
      <c r="N567" t="str">
        <f>VLOOKUP(C:C,Customer_Dim!B:I,5,1)</f>
        <v>West Markhaven</v>
      </c>
      <c r="O567" t="str">
        <f>VLOOKUP(C:C,Customer_Dim!B:I,6,1)</f>
        <v>Florida</v>
      </c>
      <c r="P567" t="str">
        <f>VLOOKUP(C:C,Customer_Dim!B:I,7,1)</f>
        <v>USA</v>
      </c>
      <c r="Q567" t="str">
        <f>VLOOKUP(C:C,Customer_Dim!B:I,8,1)</f>
        <v>Platinum</v>
      </c>
      <c r="S567">
        <v>1</v>
      </c>
      <c r="T567">
        <v>780.16</v>
      </c>
      <c r="U567">
        <v>0.02</v>
      </c>
      <c r="V567">
        <v>764.55679999999995</v>
      </c>
      <c r="X567" s="4">
        <v>1</v>
      </c>
      <c r="Y567">
        <v>780.16</v>
      </c>
      <c r="Z567">
        <v>0.02</v>
      </c>
      <c r="AA567">
        <v>764.55679999999995</v>
      </c>
    </row>
    <row r="568" spans="1:27" x14ac:dyDescent="0.3">
      <c r="A568" t="s">
        <v>2375</v>
      </c>
      <c r="B568" s="2">
        <v>45804</v>
      </c>
      <c r="C568" t="s">
        <v>1433</v>
      </c>
      <c r="D568" t="s">
        <v>1623</v>
      </c>
      <c r="E568" t="s">
        <v>1780</v>
      </c>
      <c r="F568" s="4">
        <v>4</v>
      </c>
      <c r="G568">
        <v>354.12</v>
      </c>
      <c r="H568">
        <v>0.06</v>
      </c>
      <c r="I568" t="s">
        <v>1809</v>
      </c>
      <c r="J568">
        <v>1331.4911999999999</v>
      </c>
      <c r="K568" t="s">
        <v>1434</v>
      </c>
      <c r="L568">
        <v>42</v>
      </c>
      <c r="M568" t="str">
        <v>Male</v>
      </c>
      <c r="N568" t="str">
        <f>VLOOKUP(C:C,Customer_Dim!B:I,5,1)</f>
        <v>Kanebury</v>
      </c>
      <c r="O568" t="str">
        <f>VLOOKUP(C:C,Customer_Dim!B:I,6,1)</f>
        <v>New Hampshire</v>
      </c>
      <c r="P568" t="str">
        <f>VLOOKUP(C:C,Customer_Dim!B:I,7,1)</f>
        <v>USA</v>
      </c>
      <c r="Q568" t="str">
        <f>VLOOKUP(C:C,Customer_Dim!B:I,8,1)</f>
        <v>Gold</v>
      </c>
      <c r="S568">
        <v>4</v>
      </c>
      <c r="T568">
        <v>354.12</v>
      </c>
      <c r="U568">
        <v>0.06</v>
      </c>
      <c r="V568">
        <v>1331.4911999999999</v>
      </c>
      <c r="X568" s="4">
        <v>4</v>
      </c>
      <c r="Y568">
        <v>354.12</v>
      </c>
      <c r="Z568">
        <v>0.06</v>
      </c>
      <c r="AA568">
        <v>1331.4911999999999</v>
      </c>
    </row>
    <row r="569" spans="1:27" x14ac:dyDescent="0.3">
      <c r="A569" t="s">
        <v>2376</v>
      </c>
      <c r="B569" s="2">
        <v>45602</v>
      </c>
      <c r="C569" t="s">
        <v>1381</v>
      </c>
      <c r="D569" t="s">
        <v>1657</v>
      </c>
      <c r="E569" t="s">
        <v>1744</v>
      </c>
      <c r="F569" s="4">
        <v>4</v>
      </c>
      <c r="G569">
        <v>282.48</v>
      </c>
      <c r="H569">
        <v>0.11</v>
      </c>
      <c r="I569" t="s">
        <v>1809</v>
      </c>
      <c r="J569">
        <v>1005.6288</v>
      </c>
      <c r="K569" t="s">
        <v>1382</v>
      </c>
      <c r="L569">
        <v>62</v>
      </c>
      <c r="M569" t="str">
        <v>Female</v>
      </c>
      <c r="N569" t="str">
        <f>VLOOKUP(C:C,Customer_Dim!B:I,5,1)</f>
        <v>New Laura</v>
      </c>
      <c r="O569" t="str">
        <f>VLOOKUP(C:C,Customer_Dim!B:I,6,1)</f>
        <v>Mississippi</v>
      </c>
      <c r="P569" t="str">
        <f>VLOOKUP(C:C,Customer_Dim!B:I,7,1)</f>
        <v>USA</v>
      </c>
      <c r="Q569" t="str">
        <f>VLOOKUP(C:C,Customer_Dim!B:I,8,1)</f>
        <v>Bronze</v>
      </c>
      <c r="S569">
        <v>4</v>
      </c>
      <c r="T569">
        <v>282.48</v>
      </c>
      <c r="U569">
        <v>0.11</v>
      </c>
      <c r="V569">
        <v>1005.6288</v>
      </c>
      <c r="X569" s="4">
        <v>4</v>
      </c>
      <c r="Y569">
        <v>282.48</v>
      </c>
      <c r="Z569">
        <v>0.11</v>
      </c>
      <c r="AA569">
        <v>1005.6288</v>
      </c>
    </row>
    <row r="570" spans="1:27" x14ac:dyDescent="0.3">
      <c r="A570" t="s">
        <v>2377</v>
      </c>
      <c r="B570" s="2">
        <v>45446</v>
      </c>
      <c r="C570" t="s">
        <v>1021</v>
      </c>
      <c r="D570" t="s">
        <v>1571</v>
      </c>
      <c r="E570" t="s">
        <v>1759</v>
      </c>
      <c r="F570" s="4">
        <v>2</v>
      </c>
      <c r="G570">
        <v>740.68</v>
      </c>
      <c r="H570">
        <v>0.02</v>
      </c>
      <c r="I570" t="s">
        <v>1809</v>
      </c>
      <c r="J570">
        <v>1451.7328</v>
      </c>
      <c r="K570" t="s">
        <v>1022</v>
      </c>
      <c r="L570">
        <v>62</v>
      </c>
      <c r="M570" t="str">
        <v>Female</v>
      </c>
      <c r="N570" t="str">
        <f>VLOOKUP(C:C,Customer_Dim!B:I,5,1)</f>
        <v>Jessicaport</v>
      </c>
      <c r="O570" t="str">
        <f>VLOOKUP(C:C,Customer_Dim!B:I,6,1)</f>
        <v>Minnesota</v>
      </c>
      <c r="P570" t="str">
        <f>VLOOKUP(C:C,Customer_Dim!B:I,7,1)</f>
        <v>USA</v>
      </c>
      <c r="Q570" t="str">
        <f>VLOOKUP(C:C,Customer_Dim!B:I,8,1)</f>
        <v>Platinum</v>
      </c>
      <c r="S570">
        <v>2</v>
      </c>
      <c r="T570">
        <v>740.68</v>
      </c>
      <c r="U570">
        <v>0.02</v>
      </c>
      <c r="V570">
        <v>1451.7328</v>
      </c>
      <c r="X570" s="4">
        <v>2</v>
      </c>
      <c r="Y570">
        <v>740.68</v>
      </c>
      <c r="Z570">
        <v>0.02</v>
      </c>
      <c r="AA570">
        <v>1451.7328</v>
      </c>
    </row>
    <row r="571" spans="1:27" x14ac:dyDescent="0.3">
      <c r="A571" t="s">
        <v>2378</v>
      </c>
      <c r="B571" s="2">
        <v>45384</v>
      </c>
      <c r="C571" t="s">
        <v>367</v>
      </c>
      <c r="D571" t="s">
        <v>1643</v>
      </c>
      <c r="E571" t="s">
        <v>1769</v>
      </c>
      <c r="F571" s="4">
        <v>3</v>
      </c>
      <c r="G571">
        <v>600.58000000000004</v>
      </c>
      <c r="H571">
        <v>0.28999999999999998</v>
      </c>
      <c r="I571" t="s">
        <v>1812</v>
      </c>
      <c r="J571">
        <v>1279.2354</v>
      </c>
      <c r="K571" t="s">
        <v>368</v>
      </c>
      <c r="L571">
        <v>53</v>
      </c>
      <c r="M571" t="str">
        <v>Female</v>
      </c>
      <c r="N571" t="str">
        <f>VLOOKUP(C:C,Customer_Dim!B:I,5,1)</f>
        <v>Port Victoria</v>
      </c>
      <c r="O571" t="str">
        <f>VLOOKUP(C:C,Customer_Dim!B:I,6,1)</f>
        <v>Florida</v>
      </c>
      <c r="P571" t="str">
        <f>VLOOKUP(C:C,Customer_Dim!B:I,7,1)</f>
        <v>USA</v>
      </c>
      <c r="Q571" t="str">
        <f>VLOOKUP(C:C,Customer_Dim!B:I,8,1)</f>
        <v>Gold</v>
      </c>
      <c r="S571">
        <v>3</v>
      </c>
      <c r="T571">
        <v>600.58000000000004</v>
      </c>
      <c r="U571">
        <v>0.28999999999999998</v>
      </c>
      <c r="V571">
        <v>1279.2354</v>
      </c>
      <c r="X571" s="4">
        <v>3</v>
      </c>
      <c r="Y571">
        <v>600.58000000000004</v>
      </c>
      <c r="Z571">
        <v>0.28999999999999998</v>
      </c>
      <c r="AA571">
        <v>1279.2354</v>
      </c>
    </row>
    <row r="572" spans="1:27" x14ac:dyDescent="0.3">
      <c r="A572" t="s">
        <v>2379</v>
      </c>
      <c r="B572" s="2">
        <v>45348</v>
      </c>
      <c r="C572" t="s">
        <v>1406</v>
      </c>
      <c r="D572" t="s">
        <v>1661</v>
      </c>
      <c r="E572" t="s">
        <v>1749</v>
      </c>
      <c r="F572" s="4">
        <v>3</v>
      </c>
      <c r="G572">
        <v>345.58</v>
      </c>
      <c r="H572">
        <v>0.22</v>
      </c>
      <c r="I572" t="s">
        <v>1807</v>
      </c>
      <c r="J572">
        <v>808.65719999999999</v>
      </c>
      <c r="K572" t="s">
        <v>1407</v>
      </c>
      <c r="L572">
        <v>34</v>
      </c>
      <c r="M572" t="str">
        <v>Female</v>
      </c>
      <c r="N572" t="str">
        <f>VLOOKUP(C:C,Customer_Dim!B:I,5,1)</f>
        <v>East Julie</v>
      </c>
      <c r="O572" t="str">
        <f>VLOOKUP(C:C,Customer_Dim!B:I,6,1)</f>
        <v>Kansas</v>
      </c>
      <c r="P572" t="str">
        <f>VLOOKUP(C:C,Customer_Dim!B:I,7,1)</f>
        <v>USA</v>
      </c>
      <c r="Q572" t="str">
        <f>VLOOKUP(C:C,Customer_Dim!B:I,8,1)</f>
        <v>Silver</v>
      </c>
      <c r="S572">
        <v>3</v>
      </c>
      <c r="T572">
        <v>345.58</v>
      </c>
      <c r="U572">
        <v>0.22</v>
      </c>
      <c r="V572">
        <v>808.65719999999999</v>
      </c>
      <c r="X572" s="4">
        <v>3</v>
      </c>
      <c r="Y572">
        <v>345.58</v>
      </c>
      <c r="Z572">
        <v>0.22</v>
      </c>
      <c r="AA572">
        <v>808.65719999999999</v>
      </c>
    </row>
    <row r="573" spans="1:27" x14ac:dyDescent="0.3">
      <c r="A573" t="s">
        <v>2380</v>
      </c>
      <c r="B573" s="2">
        <v>45688</v>
      </c>
      <c r="C573" t="s">
        <v>894</v>
      </c>
      <c r="D573" t="s">
        <v>1567</v>
      </c>
      <c r="E573" t="s">
        <v>1775</v>
      </c>
      <c r="F573" s="4">
        <v>1</v>
      </c>
      <c r="G573">
        <v>974.52</v>
      </c>
      <c r="H573">
        <v>0.01</v>
      </c>
      <c r="I573" t="s">
        <v>1809</v>
      </c>
      <c r="J573">
        <v>964.77480000000003</v>
      </c>
      <c r="K573" t="s">
        <v>895</v>
      </c>
      <c r="L573">
        <v>46</v>
      </c>
      <c r="M573" t="str">
        <v>Female</v>
      </c>
      <c r="N573" t="str">
        <f>VLOOKUP(C:C,Customer_Dim!B:I,5,1)</f>
        <v>Patrickshire</v>
      </c>
      <c r="O573" t="str">
        <f>VLOOKUP(C:C,Customer_Dim!B:I,6,1)</f>
        <v>Connecticut</v>
      </c>
      <c r="P573" t="str">
        <f>VLOOKUP(C:C,Customer_Dim!B:I,7,1)</f>
        <v>USA</v>
      </c>
      <c r="Q573" t="str">
        <f>VLOOKUP(C:C,Customer_Dim!B:I,8,1)</f>
        <v>Gold</v>
      </c>
      <c r="S573">
        <v>1</v>
      </c>
      <c r="T573">
        <v>974.52</v>
      </c>
      <c r="U573">
        <v>0.01</v>
      </c>
      <c r="V573">
        <v>964.77480000000003</v>
      </c>
      <c r="X573" s="4">
        <v>1</v>
      </c>
      <c r="Y573">
        <v>974.52</v>
      </c>
      <c r="Z573">
        <v>0.01</v>
      </c>
      <c r="AA573">
        <v>964.77480000000003</v>
      </c>
    </row>
    <row r="574" spans="1:27" x14ac:dyDescent="0.3">
      <c r="A574" t="s">
        <v>2381</v>
      </c>
      <c r="B574" s="2">
        <v>45249</v>
      </c>
      <c r="C574" t="s">
        <v>156</v>
      </c>
      <c r="D574" t="s">
        <v>1565</v>
      </c>
      <c r="E574" t="s">
        <v>1740</v>
      </c>
      <c r="F574" s="4">
        <v>3</v>
      </c>
      <c r="G574">
        <v>282.33</v>
      </c>
      <c r="H574">
        <v>7.0000000000000007E-2</v>
      </c>
      <c r="I574" t="s">
        <v>1807</v>
      </c>
      <c r="J574">
        <v>787.70069999999998</v>
      </c>
      <c r="K574" t="s">
        <v>157</v>
      </c>
      <c r="L574">
        <v>21</v>
      </c>
      <c r="M574" t="str">
        <v>Male</v>
      </c>
      <c r="N574" t="str">
        <f>VLOOKUP(C:C,Customer_Dim!B:I,5,1)</f>
        <v>Williamsonland</v>
      </c>
      <c r="O574" t="str">
        <f>VLOOKUP(C:C,Customer_Dim!B:I,6,1)</f>
        <v>Kansas</v>
      </c>
      <c r="P574" t="str">
        <f>VLOOKUP(C:C,Customer_Dim!B:I,7,1)</f>
        <v>USA</v>
      </c>
      <c r="Q574" t="str">
        <f>VLOOKUP(C:C,Customer_Dim!B:I,8,1)</f>
        <v>Gold</v>
      </c>
      <c r="S574">
        <v>3</v>
      </c>
      <c r="T574">
        <v>282.33</v>
      </c>
      <c r="U574">
        <v>7.0000000000000007E-2</v>
      </c>
      <c r="V574">
        <v>787.70069999999998</v>
      </c>
      <c r="X574" s="4">
        <v>3</v>
      </c>
      <c r="Y574">
        <v>282.33</v>
      </c>
      <c r="Z574">
        <v>7.0000000000000007E-2</v>
      </c>
      <c r="AA574">
        <v>787.70069999999998</v>
      </c>
    </row>
    <row r="575" spans="1:27" x14ac:dyDescent="0.3">
      <c r="A575" t="s">
        <v>2382</v>
      </c>
      <c r="B575" s="2">
        <v>45726</v>
      </c>
      <c r="C575" t="s">
        <v>1180</v>
      </c>
      <c r="D575" t="s">
        <v>1683</v>
      </c>
      <c r="E575" t="s">
        <v>1796</v>
      </c>
      <c r="F575" s="4">
        <v>4</v>
      </c>
      <c r="G575">
        <v>158.46</v>
      </c>
      <c r="H575">
        <v>0.09</v>
      </c>
      <c r="I575" t="s">
        <v>1809</v>
      </c>
      <c r="J575">
        <v>576.7944</v>
      </c>
      <c r="K575" t="s">
        <v>1181</v>
      </c>
      <c r="L575">
        <v>27</v>
      </c>
      <c r="M575" t="str">
        <v>Female</v>
      </c>
      <c r="N575" t="str">
        <f>VLOOKUP(C:C,Customer_Dim!B:I,5,1)</f>
        <v>Novakstad</v>
      </c>
      <c r="O575" t="str">
        <f>VLOOKUP(C:C,Customer_Dim!B:I,6,1)</f>
        <v>California</v>
      </c>
      <c r="P575" t="str">
        <f>VLOOKUP(C:C,Customer_Dim!B:I,7,1)</f>
        <v>USA</v>
      </c>
      <c r="Q575" t="str">
        <f>VLOOKUP(C:C,Customer_Dim!B:I,8,1)</f>
        <v>Gold</v>
      </c>
      <c r="S575">
        <v>4</v>
      </c>
      <c r="T575">
        <v>158.46</v>
      </c>
      <c r="U575">
        <v>0.09</v>
      </c>
      <c r="V575">
        <v>576.7944</v>
      </c>
      <c r="X575" s="4">
        <v>4</v>
      </c>
      <c r="Y575">
        <v>158.46</v>
      </c>
      <c r="Z575">
        <v>0.09</v>
      </c>
      <c r="AA575">
        <v>576.7944</v>
      </c>
    </row>
    <row r="576" spans="1:27" x14ac:dyDescent="0.3">
      <c r="A576" t="s">
        <v>2383</v>
      </c>
      <c r="B576" s="2">
        <v>45283</v>
      </c>
      <c r="C576" t="s">
        <v>1066</v>
      </c>
      <c r="D576" t="s">
        <v>1641</v>
      </c>
      <c r="E576" t="s">
        <v>1762</v>
      </c>
      <c r="F576" s="4">
        <v>2</v>
      </c>
      <c r="G576">
        <v>778.56</v>
      </c>
      <c r="H576">
        <v>0.11</v>
      </c>
      <c r="I576" t="s">
        <v>1812</v>
      </c>
      <c r="J576">
        <v>1385.8368</v>
      </c>
      <c r="K576" t="s">
        <v>1067</v>
      </c>
      <c r="L576">
        <v>39</v>
      </c>
      <c r="M576" t="str">
        <v>Male</v>
      </c>
      <c r="N576" t="str">
        <f>VLOOKUP(C:C,Customer_Dim!B:I,5,1)</f>
        <v>Cartershire</v>
      </c>
      <c r="O576" t="str">
        <f>VLOOKUP(C:C,Customer_Dim!B:I,6,1)</f>
        <v>Virginia</v>
      </c>
      <c r="P576" t="str">
        <f>VLOOKUP(C:C,Customer_Dim!B:I,7,1)</f>
        <v>USA</v>
      </c>
      <c r="Q576" t="str">
        <f>VLOOKUP(C:C,Customer_Dim!B:I,8,1)</f>
        <v>Bronze</v>
      </c>
      <c r="S576">
        <v>2</v>
      </c>
      <c r="T576">
        <v>778.56</v>
      </c>
      <c r="U576">
        <v>0.11</v>
      </c>
      <c r="V576">
        <v>1385.8368</v>
      </c>
      <c r="X576" s="4">
        <v>2</v>
      </c>
      <c r="Y576">
        <v>778.56</v>
      </c>
      <c r="Z576">
        <v>0.11</v>
      </c>
      <c r="AA576">
        <v>1385.8368</v>
      </c>
    </row>
    <row r="577" spans="1:27" x14ac:dyDescent="0.3">
      <c r="A577" t="s">
        <v>2384</v>
      </c>
      <c r="B577" s="2">
        <v>45353</v>
      </c>
      <c r="C577" t="s">
        <v>755</v>
      </c>
      <c r="D577" t="s">
        <v>1631</v>
      </c>
      <c r="E577" t="s">
        <v>1796</v>
      </c>
      <c r="F577" s="4">
        <v>4</v>
      </c>
      <c r="G577">
        <v>280.16000000000003</v>
      </c>
      <c r="H577">
        <v>0.18</v>
      </c>
      <c r="I577" t="s">
        <v>1812</v>
      </c>
      <c r="J577">
        <v>918.92480000000012</v>
      </c>
      <c r="K577" t="s">
        <v>756</v>
      </c>
      <c r="L577">
        <v>40</v>
      </c>
      <c r="M577" t="str">
        <v>Male</v>
      </c>
      <c r="N577" t="str">
        <f>VLOOKUP(C:C,Customer_Dim!B:I,5,1)</f>
        <v>Susanstad</v>
      </c>
      <c r="O577" t="str">
        <f>VLOOKUP(C:C,Customer_Dim!B:I,6,1)</f>
        <v>Montana</v>
      </c>
      <c r="P577" t="str">
        <f>VLOOKUP(C:C,Customer_Dim!B:I,7,1)</f>
        <v>USA</v>
      </c>
      <c r="Q577" t="str">
        <f>VLOOKUP(C:C,Customer_Dim!B:I,8,1)</f>
        <v>Gold</v>
      </c>
      <c r="S577">
        <v>4</v>
      </c>
      <c r="T577">
        <v>280.16000000000003</v>
      </c>
      <c r="U577">
        <v>0.18</v>
      </c>
      <c r="V577">
        <v>918.92480000000012</v>
      </c>
      <c r="X577" s="4">
        <v>4</v>
      </c>
      <c r="Y577">
        <v>280.16000000000003</v>
      </c>
      <c r="Z577">
        <v>0.18</v>
      </c>
      <c r="AA577">
        <v>918.92480000000012</v>
      </c>
    </row>
    <row r="578" spans="1:27" x14ac:dyDescent="0.3">
      <c r="A578" t="s">
        <v>2385</v>
      </c>
      <c r="B578" s="2">
        <v>45592</v>
      </c>
      <c r="C578" t="s">
        <v>903</v>
      </c>
      <c r="D578" t="s">
        <v>1673</v>
      </c>
      <c r="E578" t="s">
        <v>1780</v>
      </c>
      <c r="F578" s="4">
        <v>2</v>
      </c>
      <c r="G578">
        <v>649.54999999999995</v>
      </c>
      <c r="H578">
        <v>0.28999999999999998</v>
      </c>
      <c r="I578" t="s">
        <v>1809</v>
      </c>
      <c r="J578">
        <v>922.36099999999988</v>
      </c>
      <c r="K578" t="s">
        <v>904</v>
      </c>
      <c r="L578">
        <v>58</v>
      </c>
      <c r="M578" t="str">
        <v>Male</v>
      </c>
      <c r="N578" t="str">
        <f>VLOOKUP(C:C,Customer_Dim!B:I,5,1)</f>
        <v>Millerfort</v>
      </c>
      <c r="O578" t="str">
        <f>VLOOKUP(C:C,Customer_Dim!B:I,6,1)</f>
        <v>Vermont</v>
      </c>
      <c r="P578" t="str">
        <f>VLOOKUP(C:C,Customer_Dim!B:I,7,1)</f>
        <v>USA</v>
      </c>
      <c r="Q578" t="str">
        <f>VLOOKUP(C:C,Customer_Dim!B:I,8,1)</f>
        <v>Gold</v>
      </c>
      <c r="S578">
        <v>2</v>
      </c>
      <c r="T578">
        <v>649.54999999999995</v>
      </c>
      <c r="U578">
        <v>0.28999999999999998</v>
      </c>
      <c r="V578">
        <v>922.36099999999988</v>
      </c>
      <c r="X578" s="4">
        <v>2</v>
      </c>
      <c r="Y578">
        <v>649.54999999999995</v>
      </c>
      <c r="Z578">
        <v>0.28999999999999998</v>
      </c>
      <c r="AA578">
        <v>922.36099999999988</v>
      </c>
    </row>
    <row r="579" spans="1:27" x14ac:dyDescent="0.3">
      <c r="A579" t="s">
        <v>2386</v>
      </c>
      <c r="B579" s="2">
        <v>45360</v>
      </c>
      <c r="C579" t="s">
        <v>40</v>
      </c>
      <c r="D579" t="s">
        <v>1707</v>
      </c>
      <c r="E579" t="s">
        <v>1744</v>
      </c>
      <c r="F579" s="4">
        <v>2</v>
      </c>
      <c r="G579">
        <v>994.32</v>
      </c>
      <c r="H579">
        <v>0.27</v>
      </c>
      <c r="I579" t="s">
        <v>1809</v>
      </c>
      <c r="J579">
        <v>1451.7072000000001</v>
      </c>
      <c r="K579" t="s">
        <v>41</v>
      </c>
      <c r="L579">
        <v>53</v>
      </c>
      <c r="M579" t="str">
        <v>Female</v>
      </c>
      <c r="N579" t="str">
        <f>VLOOKUP(C:C,Customer_Dim!B:I,5,1)</f>
        <v>West Pamelafurt</v>
      </c>
      <c r="O579" t="str">
        <f>VLOOKUP(C:C,Customer_Dim!B:I,6,1)</f>
        <v>West Virginia</v>
      </c>
      <c r="P579" t="str">
        <f>VLOOKUP(C:C,Customer_Dim!B:I,7,1)</f>
        <v>USA</v>
      </c>
      <c r="Q579" t="str">
        <f>VLOOKUP(C:C,Customer_Dim!B:I,8,1)</f>
        <v>Bronze</v>
      </c>
      <c r="S579">
        <v>2</v>
      </c>
      <c r="T579">
        <v>994.32</v>
      </c>
      <c r="U579">
        <v>0.27</v>
      </c>
      <c r="V579">
        <v>1451.7072000000001</v>
      </c>
      <c r="X579" s="4">
        <v>2</v>
      </c>
      <c r="Y579">
        <v>994.32</v>
      </c>
      <c r="Z579">
        <v>0.27</v>
      </c>
      <c r="AA579">
        <v>1451.7072000000001</v>
      </c>
    </row>
    <row r="580" spans="1:27" x14ac:dyDescent="0.3">
      <c r="A580" t="s">
        <v>2387</v>
      </c>
      <c r="B580" s="2">
        <v>45649</v>
      </c>
      <c r="C580" t="s">
        <v>716</v>
      </c>
      <c r="D580" t="s">
        <v>1693</v>
      </c>
      <c r="E580" t="s">
        <v>1777</v>
      </c>
      <c r="F580" s="4">
        <v>1</v>
      </c>
      <c r="G580">
        <v>64.94</v>
      </c>
      <c r="H580">
        <v>0.21</v>
      </c>
      <c r="I580" t="s">
        <v>1809</v>
      </c>
      <c r="J580">
        <v>51.302599999999998</v>
      </c>
      <c r="K580" t="s">
        <v>717</v>
      </c>
      <c r="L580">
        <v>29</v>
      </c>
      <c r="M580" t="str">
        <v>Male</v>
      </c>
      <c r="N580" t="str">
        <f>VLOOKUP(C:C,Customer_Dim!B:I,5,1)</f>
        <v>East Jeremy</v>
      </c>
      <c r="O580" t="str">
        <f>VLOOKUP(C:C,Customer_Dim!B:I,6,1)</f>
        <v>Iowa</v>
      </c>
      <c r="P580" t="str">
        <f>VLOOKUP(C:C,Customer_Dim!B:I,7,1)</f>
        <v>USA</v>
      </c>
      <c r="Q580" t="str">
        <f>VLOOKUP(C:C,Customer_Dim!B:I,8,1)</f>
        <v>Platinum</v>
      </c>
      <c r="S580">
        <v>1</v>
      </c>
      <c r="T580">
        <v>64.94</v>
      </c>
      <c r="U580">
        <v>0.21</v>
      </c>
      <c r="V580">
        <v>51.302599999999998</v>
      </c>
      <c r="X580" s="4">
        <v>1</v>
      </c>
      <c r="Y580">
        <v>64.94</v>
      </c>
      <c r="Z580">
        <v>0.21</v>
      </c>
      <c r="AA580">
        <v>51.302599999999998</v>
      </c>
    </row>
    <row r="581" spans="1:27" x14ac:dyDescent="0.3">
      <c r="A581" t="s">
        <v>2388</v>
      </c>
      <c r="B581" s="2">
        <v>45709</v>
      </c>
      <c r="C581" t="s">
        <v>459</v>
      </c>
      <c r="D581" t="s">
        <v>1609</v>
      </c>
      <c r="E581" t="s">
        <v>1762</v>
      </c>
      <c r="F581" s="4">
        <v>2</v>
      </c>
      <c r="G581">
        <v>507.66</v>
      </c>
      <c r="H581">
        <v>0</v>
      </c>
      <c r="I581" t="s">
        <v>1812</v>
      </c>
      <c r="J581">
        <v>1015.32</v>
      </c>
      <c r="K581" t="s">
        <v>460</v>
      </c>
      <c r="L581">
        <v>55</v>
      </c>
      <c r="M581" t="str">
        <v>Female</v>
      </c>
      <c r="N581" t="str">
        <f>VLOOKUP(C:C,Customer_Dim!B:I,5,1)</f>
        <v>New Jeffrey</v>
      </c>
      <c r="O581" t="str">
        <f>VLOOKUP(C:C,Customer_Dim!B:I,6,1)</f>
        <v>Nebraska</v>
      </c>
      <c r="P581" t="str">
        <f>VLOOKUP(C:C,Customer_Dim!B:I,7,1)</f>
        <v>USA</v>
      </c>
      <c r="Q581" t="str">
        <f>VLOOKUP(C:C,Customer_Dim!B:I,8,1)</f>
        <v>Silver</v>
      </c>
      <c r="S581">
        <v>2</v>
      </c>
      <c r="T581">
        <v>507.66</v>
      </c>
      <c r="U581">
        <v>0</v>
      </c>
      <c r="V581">
        <v>1015.32</v>
      </c>
      <c r="X581" s="4">
        <v>2</v>
      </c>
      <c r="Y581">
        <v>507.66</v>
      </c>
      <c r="Z581">
        <v>0</v>
      </c>
      <c r="AA581">
        <v>1015.32</v>
      </c>
    </row>
    <row r="582" spans="1:27" x14ac:dyDescent="0.3">
      <c r="A582" t="s">
        <v>2389</v>
      </c>
      <c r="B582" s="2">
        <v>45273</v>
      </c>
      <c r="C582" t="s">
        <v>770</v>
      </c>
      <c r="D582" t="s">
        <v>1693</v>
      </c>
      <c r="E582" t="s">
        <v>1752</v>
      </c>
      <c r="F582" s="4">
        <v>4</v>
      </c>
      <c r="G582">
        <v>968.27</v>
      </c>
      <c r="H582">
        <v>0.03</v>
      </c>
      <c r="I582" t="s">
        <v>1809</v>
      </c>
      <c r="J582">
        <v>3756.8876</v>
      </c>
      <c r="K582" t="s">
        <v>771</v>
      </c>
      <c r="L582">
        <v>56</v>
      </c>
      <c r="M582" t="str">
        <v>Female</v>
      </c>
      <c r="N582" t="str">
        <f>VLOOKUP(C:C,Customer_Dim!B:I,5,1)</f>
        <v>New Tina</v>
      </c>
      <c r="O582" t="str">
        <f>VLOOKUP(C:C,Customer_Dim!B:I,6,1)</f>
        <v>Connecticut</v>
      </c>
      <c r="P582" t="str">
        <f>VLOOKUP(C:C,Customer_Dim!B:I,7,1)</f>
        <v>USA</v>
      </c>
      <c r="Q582" t="str">
        <f>VLOOKUP(C:C,Customer_Dim!B:I,8,1)</f>
        <v>Silver</v>
      </c>
      <c r="S582">
        <v>4</v>
      </c>
      <c r="T582">
        <v>968.27</v>
      </c>
      <c r="U582">
        <v>0.03</v>
      </c>
      <c r="V582">
        <v>3756.8876</v>
      </c>
      <c r="X582" s="4">
        <v>4</v>
      </c>
      <c r="Y582">
        <v>968.27</v>
      </c>
      <c r="Z582">
        <v>0.03</v>
      </c>
      <c r="AA582">
        <v>3756.8876</v>
      </c>
    </row>
    <row r="583" spans="1:27" x14ac:dyDescent="0.3">
      <c r="A583" t="s">
        <v>2390</v>
      </c>
      <c r="B583" s="2">
        <v>45250</v>
      </c>
      <c r="C583" t="s">
        <v>78</v>
      </c>
      <c r="D583" t="s">
        <v>1707</v>
      </c>
      <c r="E583" t="s">
        <v>1756</v>
      </c>
      <c r="F583" s="4">
        <v>4</v>
      </c>
      <c r="G583">
        <v>510.33</v>
      </c>
      <c r="H583">
        <v>0.2</v>
      </c>
      <c r="I583" t="s">
        <v>1809</v>
      </c>
      <c r="J583">
        <v>1633.056</v>
      </c>
      <c r="K583" t="s">
        <v>79</v>
      </c>
      <c r="L583">
        <v>43</v>
      </c>
      <c r="M583" t="str">
        <v>Male</v>
      </c>
      <c r="N583" t="str">
        <f>VLOOKUP(C:C,Customer_Dim!B:I,5,1)</f>
        <v>Brandonville</v>
      </c>
      <c r="O583" t="str">
        <f>VLOOKUP(C:C,Customer_Dim!B:I,6,1)</f>
        <v>Georgia</v>
      </c>
      <c r="P583" t="str">
        <f>VLOOKUP(C:C,Customer_Dim!B:I,7,1)</f>
        <v>USA</v>
      </c>
      <c r="Q583" t="str">
        <f>VLOOKUP(C:C,Customer_Dim!B:I,8,1)</f>
        <v>Platinum</v>
      </c>
      <c r="S583">
        <v>4</v>
      </c>
      <c r="T583">
        <v>510.33</v>
      </c>
      <c r="U583">
        <v>0.2</v>
      </c>
      <c r="V583">
        <v>1633.056</v>
      </c>
      <c r="X583" s="4">
        <v>4</v>
      </c>
      <c r="Y583">
        <v>510.33</v>
      </c>
      <c r="Z583">
        <v>0.2</v>
      </c>
      <c r="AA583">
        <v>1633.056</v>
      </c>
    </row>
    <row r="584" spans="1:27" x14ac:dyDescent="0.3">
      <c r="A584" t="s">
        <v>2391</v>
      </c>
      <c r="B584" s="2">
        <v>45539</v>
      </c>
      <c r="C584" t="s">
        <v>55</v>
      </c>
      <c r="D584" t="s">
        <v>1619</v>
      </c>
      <c r="E584" t="s">
        <v>1796</v>
      </c>
      <c r="F584" s="4">
        <v>2</v>
      </c>
      <c r="G584">
        <v>156.72999999999999</v>
      </c>
      <c r="H584">
        <v>0.18</v>
      </c>
      <c r="I584" t="s">
        <v>1812</v>
      </c>
      <c r="J584">
        <v>257.03719999999998</v>
      </c>
      <c r="K584" t="s">
        <v>56</v>
      </c>
      <c r="L584">
        <v>55</v>
      </c>
      <c r="M584" t="str">
        <v>Female</v>
      </c>
      <c r="N584" t="str">
        <f>VLOOKUP(C:C,Customer_Dim!B:I,5,1)</f>
        <v>East Krista</v>
      </c>
      <c r="O584" t="str">
        <f>VLOOKUP(C:C,Customer_Dim!B:I,6,1)</f>
        <v>New York</v>
      </c>
      <c r="P584" t="str">
        <f>VLOOKUP(C:C,Customer_Dim!B:I,7,1)</f>
        <v>USA</v>
      </c>
      <c r="Q584" t="str">
        <f>VLOOKUP(C:C,Customer_Dim!B:I,8,1)</f>
        <v>Gold</v>
      </c>
      <c r="S584">
        <v>2</v>
      </c>
      <c r="T584">
        <v>156.72999999999999</v>
      </c>
      <c r="U584">
        <v>0.18</v>
      </c>
      <c r="V584">
        <v>257.03719999999998</v>
      </c>
      <c r="X584" s="4">
        <v>2</v>
      </c>
      <c r="Y584">
        <v>156.72999999999999</v>
      </c>
      <c r="Z584">
        <v>0.18</v>
      </c>
      <c r="AA584">
        <v>257.03719999999998</v>
      </c>
    </row>
    <row r="585" spans="1:27" x14ac:dyDescent="0.3">
      <c r="A585" t="s">
        <v>2392</v>
      </c>
      <c r="B585" s="2">
        <v>45810</v>
      </c>
      <c r="C585" t="s">
        <v>476</v>
      </c>
      <c r="D585" t="s">
        <v>1729</v>
      </c>
      <c r="E585" t="s">
        <v>1772</v>
      </c>
      <c r="F585" s="4">
        <v>3</v>
      </c>
      <c r="G585">
        <v>53.83</v>
      </c>
      <c r="H585">
        <v>0.24</v>
      </c>
      <c r="I585" t="s">
        <v>1807</v>
      </c>
      <c r="J585">
        <v>122.7324</v>
      </c>
      <c r="K585" t="s">
        <v>477</v>
      </c>
      <c r="L585">
        <v>46</v>
      </c>
      <c r="M585" t="str">
        <v>Male</v>
      </c>
      <c r="N585" t="str">
        <f>VLOOKUP(C:C,Customer_Dim!B:I,5,1)</f>
        <v>West Brandon</v>
      </c>
      <c r="O585" t="str">
        <f>VLOOKUP(C:C,Customer_Dim!B:I,6,1)</f>
        <v>Montana</v>
      </c>
      <c r="P585" t="str">
        <f>VLOOKUP(C:C,Customer_Dim!B:I,7,1)</f>
        <v>USA</v>
      </c>
      <c r="Q585" t="str">
        <f>VLOOKUP(C:C,Customer_Dim!B:I,8,1)</f>
        <v>Bronze</v>
      </c>
      <c r="S585">
        <v>3</v>
      </c>
      <c r="T585">
        <v>53.83</v>
      </c>
      <c r="U585">
        <v>0.24</v>
      </c>
      <c r="V585">
        <v>122.7324</v>
      </c>
      <c r="X585" s="4">
        <v>3</v>
      </c>
      <c r="Y585">
        <v>53.83</v>
      </c>
      <c r="Z585">
        <v>0.24</v>
      </c>
      <c r="AA585">
        <v>122.7324</v>
      </c>
    </row>
    <row r="586" spans="1:27" x14ac:dyDescent="0.3">
      <c r="A586" t="s">
        <v>2393</v>
      </c>
      <c r="B586" s="2">
        <v>45350</v>
      </c>
      <c r="C586" t="s">
        <v>1165</v>
      </c>
      <c r="D586" t="s">
        <v>1687</v>
      </c>
      <c r="E586" t="s">
        <v>1752</v>
      </c>
      <c r="F586" s="4">
        <v>1</v>
      </c>
      <c r="G586">
        <v>34.71</v>
      </c>
      <c r="H586">
        <v>0.1</v>
      </c>
      <c r="I586" t="s">
        <v>1812</v>
      </c>
      <c r="J586">
        <v>31.239000000000001</v>
      </c>
      <c r="K586" t="s">
        <v>1166</v>
      </c>
      <c r="L586">
        <v>44</v>
      </c>
      <c r="M586" t="str">
        <v>Female</v>
      </c>
      <c r="N586" t="str">
        <f>VLOOKUP(C:C,Customer_Dim!B:I,5,1)</f>
        <v>Nathanshire</v>
      </c>
      <c r="O586" t="str">
        <f>VLOOKUP(C:C,Customer_Dim!B:I,6,1)</f>
        <v>Maine</v>
      </c>
      <c r="P586" t="str">
        <f>VLOOKUP(C:C,Customer_Dim!B:I,7,1)</f>
        <v>USA</v>
      </c>
      <c r="Q586" t="str">
        <f>VLOOKUP(C:C,Customer_Dim!B:I,8,1)</f>
        <v>Gold</v>
      </c>
      <c r="S586">
        <v>1</v>
      </c>
      <c r="T586">
        <v>34.71</v>
      </c>
      <c r="U586">
        <v>0.1</v>
      </c>
      <c r="V586">
        <v>31.239000000000001</v>
      </c>
      <c r="X586" s="4">
        <v>1</v>
      </c>
      <c r="Y586">
        <v>34.71</v>
      </c>
      <c r="Z586">
        <v>0.1</v>
      </c>
      <c r="AA586">
        <v>31.239000000000001</v>
      </c>
    </row>
    <row r="587" spans="1:27" x14ac:dyDescent="0.3">
      <c r="A587" t="s">
        <v>2394</v>
      </c>
      <c r="B587" s="2">
        <v>45633</v>
      </c>
      <c r="C587" t="s">
        <v>731</v>
      </c>
      <c r="D587" t="s">
        <v>1685</v>
      </c>
      <c r="E587" t="s">
        <v>1740</v>
      </c>
      <c r="F587" s="4">
        <v>2</v>
      </c>
      <c r="G587">
        <v>829.15</v>
      </c>
      <c r="H587">
        <v>0.11</v>
      </c>
      <c r="I587" t="s">
        <v>1809</v>
      </c>
      <c r="J587">
        <v>1475.8869999999999</v>
      </c>
      <c r="K587" t="s">
        <v>732</v>
      </c>
      <c r="L587">
        <v>29</v>
      </c>
      <c r="M587" t="str">
        <v>Male</v>
      </c>
      <c r="N587" t="str">
        <f>VLOOKUP(C:C,Customer_Dim!B:I,5,1)</f>
        <v>Port Lisashire</v>
      </c>
      <c r="O587" t="str">
        <f>VLOOKUP(C:C,Customer_Dim!B:I,6,1)</f>
        <v>Maryland</v>
      </c>
      <c r="P587" t="str">
        <f>VLOOKUP(C:C,Customer_Dim!B:I,7,1)</f>
        <v>USA</v>
      </c>
      <c r="Q587" t="str">
        <f>VLOOKUP(C:C,Customer_Dim!B:I,8,1)</f>
        <v>Bronze</v>
      </c>
      <c r="S587">
        <v>2</v>
      </c>
      <c r="T587">
        <v>829.15</v>
      </c>
      <c r="U587">
        <v>0.11</v>
      </c>
      <c r="V587">
        <v>1475.8869999999999</v>
      </c>
      <c r="X587" s="4">
        <v>2</v>
      </c>
      <c r="Y587">
        <v>829.15</v>
      </c>
      <c r="Z587">
        <v>0.11</v>
      </c>
      <c r="AA587">
        <v>1475.8869999999999</v>
      </c>
    </row>
    <row r="588" spans="1:27" x14ac:dyDescent="0.3">
      <c r="A588" t="s">
        <v>2395</v>
      </c>
      <c r="B588" s="2">
        <v>45798</v>
      </c>
      <c r="C588" t="s">
        <v>835</v>
      </c>
      <c r="D588" t="s">
        <v>1727</v>
      </c>
      <c r="E588" t="s">
        <v>1749</v>
      </c>
      <c r="F588" s="4">
        <v>2</v>
      </c>
      <c r="G588">
        <v>481.86</v>
      </c>
      <c r="H588">
        <v>0.1</v>
      </c>
      <c r="I588" t="s">
        <v>1812</v>
      </c>
      <c r="J588">
        <v>867.34800000000007</v>
      </c>
      <c r="K588" t="s">
        <v>836</v>
      </c>
      <c r="L588">
        <v>38</v>
      </c>
      <c r="M588" t="str">
        <v>Male</v>
      </c>
      <c r="N588" t="str">
        <f>VLOOKUP(C:C,Customer_Dim!B:I,5,1)</f>
        <v>Grahamfurt</v>
      </c>
      <c r="O588" t="str">
        <f>VLOOKUP(C:C,Customer_Dim!B:I,6,1)</f>
        <v>Wyoming</v>
      </c>
      <c r="P588" t="str">
        <f>VLOOKUP(C:C,Customer_Dim!B:I,7,1)</f>
        <v>USA</v>
      </c>
      <c r="Q588" t="str">
        <f>VLOOKUP(C:C,Customer_Dim!B:I,8,1)</f>
        <v>Gold</v>
      </c>
      <c r="S588">
        <v>2</v>
      </c>
      <c r="T588">
        <v>481.86</v>
      </c>
      <c r="U588">
        <v>0.1</v>
      </c>
      <c r="V588">
        <v>867.34800000000007</v>
      </c>
      <c r="X588" s="4">
        <v>2</v>
      </c>
      <c r="Y588">
        <v>481.86</v>
      </c>
      <c r="Z588">
        <v>0.1</v>
      </c>
      <c r="AA588">
        <v>867.34800000000007</v>
      </c>
    </row>
    <row r="589" spans="1:27" x14ac:dyDescent="0.3">
      <c r="A589" t="s">
        <v>2396</v>
      </c>
      <c r="B589" s="2">
        <v>45354</v>
      </c>
      <c r="C589" t="s">
        <v>491</v>
      </c>
      <c r="D589" t="s">
        <v>1635</v>
      </c>
      <c r="E589" t="s">
        <v>1762</v>
      </c>
      <c r="F589" s="4">
        <v>4</v>
      </c>
      <c r="G589">
        <v>915.17</v>
      </c>
      <c r="H589">
        <v>0.19</v>
      </c>
      <c r="I589" t="s">
        <v>1812</v>
      </c>
      <c r="J589">
        <v>2965.1507999999999</v>
      </c>
      <c r="K589" t="s">
        <v>492</v>
      </c>
      <c r="L589">
        <v>42</v>
      </c>
      <c r="M589" t="str">
        <v>Female</v>
      </c>
      <c r="N589" t="str">
        <f>VLOOKUP(C:C,Customer_Dim!B:I,5,1)</f>
        <v>Lake Nathanfort</v>
      </c>
      <c r="O589" t="str">
        <f>VLOOKUP(C:C,Customer_Dim!B:I,6,1)</f>
        <v>Alaska</v>
      </c>
      <c r="P589" t="str">
        <f>VLOOKUP(C:C,Customer_Dim!B:I,7,1)</f>
        <v>USA</v>
      </c>
      <c r="Q589" t="str">
        <f>VLOOKUP(C:C,Customer_Dim!B:I,8,1)</f>
        <v>Platinum</v>
      </c>
      <c r="S589">
        <v>4</v>
      </c>
      <c r="T589">
        <v>915.17</v>
      </c>
      <c r="U589">
        <v>0.19</v>
      </c>
      <c r="V589">
        <v>2965.1507999999999</v>
      </c>
      <c r="X589" s="4">
        <v>4</v>
      </c>
      <c r="Y589">
        <v>915.17</v>
      </c>
      <c r="Z589">
        <v>0.19</v>
      </c>
      <c r="AA589">
        <v>2965.1507999999999</v>
      </c>
    </row>
    <row r="590" spans="1:27" x14ac:dyDescent="0.3">
      <c r="A590" t="s">
        <v>2397</v>
      </c>
      <c r="B590" s="2">
        <v>45357</v>
      </c>
      <c r="C590" t="s">
        <v>690</v>
      </c>
      <c r="D590" t="s">
        <v>1673</v>
      </c>
      <c r="E590" t="s">
        <v>1793</v>
      </c>
      <c r="F590" s="4">
        <v>1</v>
      </c>
      <c r="G590">
        <v>250.95</v>
      </c>
      <c r="H590">
        <v>0.03</v>
      </c>
      <c r="I590" t="s">
        <v>1809</v>
      </c>
      <c r="J590">
        <v>243.42150000000001</v>
      </c>
      <c r="K590" t="s">
        <v>691</v>
      </c>
      <c r="L590">
        <v>50</v>
      </c>
      <c r="M590" t="str">
        <v>Female</v>
      </c>
      <c r="N590" t="str">
        <f>VLOOKUP(C:C,Customer_Dim!B:I,5,1)</f>
        <v>Danielstad</v>
      </c>
      <c r="O590" t="str">
        <f>VLOOKUP(C:C,Customer_Dim!B:I,6,1)</f>
        <v>Montana</v>
      </c>
      <c r="P590" t="str">
        <f>VLOOKUP(C:C,Customer_Dim!B:I,7,1)</f>
        <v>USA</v>
      </c>
      <c r="Q590" t="str">
        <f>VLOOKUP(C:C,Customer_Dim!B:I,8,1)</f>
        <v>Gold</v>
      </c>
      <c r="S590">
        <v>1</v>
      </c>
      <c r="T590">
        <v>250.95</v>
      </c>
      <c r="U590">
        <v>0.03</v>
      </c>
      <c r="V590">
        <v>243.42150000000001</v>
      </c>
      <c r="X590" s="4">
        <v>1</v>
      </c>
      <c r="Y590">
        <v>250.95</v>
      </c>
      <c r="Z590">
        <v>0.03</v>
      </c>
      <c r="AA590">
        <v>243.42150000000001</v>
      </c>
    </row>
    <row r="591" spans="1:27" x14ac:dyDescent="0.3">
      <c r="A591" t="s">
        <v>2398</v>
      </c>
      <c r="B591" s="2">
        <v>45257</v>
      </c>
      <c r="C591" t="s">
        <v>1012</v>
      </c>
      <c r="D591" t="s">
        <v>1723</v>
      </c>
      <c r="E591" t="s">
        <v>1756</v>
      </c>
      <c r="F591" s="4">
        <v>3</v>
      </c>
      <c r="G591">
        <v>882.84</v>
      </c>
      <c r="H591">
        <v>0.1</v>
      </c>
      <c r="I591" t="s">
        <v>1807</v>
      </c>
      <c r="J591">
        <v>2383.6680000000001</v>
      </c>
      <c r="K591" t="s">
        <v>1013</v>
      </c>
      <c r="L591">
        <v>58</v>
      </c>
      <c r="M591" t="str">
        <v>Female</v>
      </c>
      <c r="N591" t="str">
        <f>VLOOKUP(C:C,Customer_Dim!B:I,5,1)</f>
        <v>East Matthew</v>
      </c>
      <c r="O591" t="str">
        <f>VLOOKUP(C:C,Customer_Dim!B:I,6,1)</f>
        <v>Wisconsin</v>
      </c>
      <c r="P591" t="str">
        <f>VLOOKUP(C:C,Customer_Dim!B:I,7,1)</f>
        <v>USA</v>
      </c>
      <c r="Q591" t="str">
        <f>VLOOKUP(C:C,Customer_Dim!B:I,8,1)</f>
        <v>Bronze</v>
      </c>
      <c r="S591">
        <v>3</v>
      </c>
      <c r="T591">
        <v>882.84</v>
      </c>
      <c r="U591">
        <v>0.1</v>
      </c>
      <c r="V591">
        <v>2383.6680000000001</v>
      </c>
      <c r="X591" s="4">
        <v>3</v>
      </c>
      <c r="Y591">
        <v>882.84</v>
      </c>
      <c r="Z591">
        <v>0.1</v>
      </c>
      <c r="AA591">
        <v>2383.6680000000001</v>
      </c>
    </row>
    <row r="592" spans="1:27" x14ac:dyDescent="0.3">
      <c r="A592" t="s">
        <v>2399</v>
      </c>
      <c r="B592" s="2">
        <v>45702</v>
      </c>
      <c r="C592" t="s">
        <v>465</v>
      </c>
      <c r="D592" t="s">
        <v>1569</v>
      </c>
      <c r="E592" t="s">
        <v>1793</v>
      </c>
      <c r="F592" s="4">
        <v>4</v>
      </c>
      <c r="G592">
        <v>573.37</v>
      </c>
      <c r="H592">
        <v>0.04</v>
      </c>
      <c r="I592" t="s">
        <v>1812</v>
      </c>
      <c r="J592">
        <v>2201.7408</v>
      </c>
      <c r="K592" t="s">
        <v>466</v>
      </c>
      <c r="L592">
        <v>32</v>
      </c>
      <c r="M592" t="str">
        <v>Male</v>
      </c>
      <c r="N592" t="str">
        <f>VLOOKUP(C:C,Customer_Dim!B:I,5,1)</f>
        <v>Lake Michael</v>
      </c>
      <c r="O592" t="str">
        <f>VLOOKUP(C:C,Customer_Dim!B:I,6,1)</f>
        <v>Virginia</v>
      </c>
      <c r="P592" t="str">
        <f>VLOOKUP(C:C,Customer_Dim!B:I,7,1)</f>
        <v>USA</v>
      </c>
      <c r="Q592" t="str">
        <f>VLOOKUP(C:C,Customer_Dim!B:I,8,1)</f>
        <v>Gold</v>
      </c>
      <c r="S592">
        <v>4</v>
      </c>
      <c r="T592">
        <v>573.37</v>
      </c>
      <c r="U592">
        <v>0.04</v>
      </c>
      <c r="V592">
        <v>2201.7408</v>
      </c>
      <c r="X592" s="4">
        <v>4</v>
      </c>
      <c r="Y592">
        <v>573.37</v>
      </c>
      <c r="Z592">
        <v>0.04</v>
      </c>
      <c r="AA592">
        <v>2201.7408</v>
      </c>
    </row>
    <row r="593" spans="1:27" x14ac:dyDescent="0.3">
      <c r="A593" t="s">
        <v>2400</v>
      </c>
      <c r="B593" s="2">
        <v>45318</v>
      </c>
      <c r="C593" t="s">
        <v>215</v>
      </c>
      <c r="D593" t="s">
        <v>1595</v>
      </c>
      <c r="E593" t="s">
        <v>1777</v>
      </c>
      <c r="F593" s="4">
        <v>3</v>
      </c>
      <c r="G593">
        <v>622.72</v>
      </c>
      <c r="H593">
        <v>0.04</v>
      </c>
      <c r="I593" t="s">
        <v>1807</v>
      </c>
      <c r="J593">
        <v>1793.4336000000001</v>
      </c>
      <c r="K593" t="s">
        <v>216</v>
      </c>
      <c r="L593">
        <v>53</v>
      </c>
      <c r="M593" t="str">
        <v>Male</v>
      </c>
      <c r="N593" t="str">
        <f>VLOOKUP(C:C,Customer_Dim!B:I,5,1)</f>
        <v>Snowmouth</v>
      </c>
      <c r="O593" t="str">
        <f>VLOOKUP(C:C,Customer_Dim!B:I,6,1)</f>
        <v>Maryland</v>
      </c>
      <c r="P593" t="str">
        <f>VLOOKUP(C:C,Customer_Dim!B:I,7,1)</f>
        <v>USA</v>
      </c>
      <c r="Q593" t="str">
        <f>VLOOKUP(C:C,Customer_Dim!B:I,8,1)</f>
        <v>Platinum</v>
      </c>
      <c r="S593">
        <v>3</v>
      </c>
      <c r="T593">
        <v>622.72</v>
      </c>
      <c r="U593">
        <v>0.04</v>
      </c>
      <c r="V593">
        <v>1793.4336000000001</v>
      </c>
      <c r="X593" s="4">
        <v>3</v>
      </c>
      <c r="Y593">
        <v>622.72</v>
      </c>
      <c r="Z593">
        <v>0.04</v>
      </c>
      <c r="AA593">
        <v>1793.4336000000001</v>
      </c>
    </row>
    <row r="594" spans="1:27" x14ac:dyDescent="0.3">
      <c r="A594" t="s">
        <v>2401</v>
      </c>
      <c r="B594" s="2">
        <v>45943</v>
      </c>
      <c r="C594" t="s">
        <v>1198</v>
      </c>
      <c r="D594" t="s">
        <v>1715</v>
      </c>
      <c r="E594" t="s">
        <v>1790</v>
      </c>
      <c r="F594" s="4">
        <v>3</v>
      </c>
      <c r="G594">
        <v>259.74</v>
      </c>
      <c r="H594">
        <v>0.24</v>
      </c>
      <c r="I594" t="s">
        <v>1807</v>
      </c>
      <c r="J594">
        <v>592.20720000000006</v>
      </c>
      <c r="K594" t="s">
        <v>1199</v>
      </c>
      <c r="L594">
        <v>50</v>
      </c>
      <c r="M594" t="str">
        <v>Male</v>
      </c>
      <c r="N594" t="str">
        <f>VLOOKUP(C:C,Customer_Dim!B:I,5,1)</f>
        <v>Stevensshire</v>
      </c>
      <c r="O594" t="str">
        <f>VLOOKUP(C:C,Customer_Dim!B:I,6,1)</f>
        <v>Missouri</v>
      </c>
      <c r="P594" t="str">
        <f>VLOOKUP(C:C,Customer_Dim!B:I,7,1)</f>
        <v>USA</v>
      </c>
      <c r="Q594" t="str">
        <f>VLOOKUP(C:C,Customer_Dim!B:I,8,1)</f>
        <v>Platinum</v>
      </c>
      <c r="S594">
        <v>3</v>
      </c>
      <c r="T594">
        <v>259.74</v>
      </c>
      <c r="U594">
        <v>0.24</v>
      </c>
      <c r="V594">
        <v>592.20720000000006</v>
      </c>
      <c r="X594" s="4">
        <v>3</v>
      </c>
      <c r="Y594">
        <v>259.74</v>
      </c>
      <c r="Z594">
        <v>0.24</v>
      </c>
      <c r="AA594">
        <v>592.20720000000006</v>
      </c>
    </row>
    <row r="595" spans="1:27" x14ac:dyDescent="0.3">
      <c r="A595" t="s">
        <v>2402</v>
      </c>
      <c r="B595" s="2">
        <v>45769</v>
      </c>
      <c r="C595" t="s">
        <v>202</v>
      </c>
      <c r="D595" t="s">
        <v>1587</v>
      </c>
      <c r="E595" t="s">
        <v>1780</v>
      </c>
      <c r="F595" s="4">
        <v>4</v>
      </c>
      <c r="G595">
        <v>951.09</v>
      </c>
      <c r="H595">
        <v>0.14000000000000001</v>
      </c>
      <c r="I595" t="s">
        <v>1812</v>
      </c>
      <c r="J595">
        <v>3271.7496000000001</v>
      </c>
      <c r="K595" t="s">
        <v>203</v>
      </c>
      <c r="L595">
        <v>56</v>
      </c>
      <c r="M595" t="str">
        <v>Female</v>
      </c>
      <c r="N595" t="str">
        <f>VLOOKUP(C:C,Customer_Dim!B:I,5,1)</f>
        <v>Christopherland</v>
      </c>
      <c r="O595" t="str">
        <f>VLOOKUP(C:C,Customer_Dim!B:I,6,1)</f>
        <v>Oklahoma</v>
      </c>
      <c r="P595" t="str">
        <f>VLOOKUP(C:C,Customer_Dim!B:I,7,1)</f>
        <v>USA</v>
      </c>
      <c r="Q595" t="str">
        <f>VLOOKUP(C:C,Customer_Dim!B:I,8,1)</f>
        <v>Platinum</v>
      </c>
      <c r="S595">
        <v>4</v>
      </c>
      <c r="T595">
        <v>951.09</v>
      </c>
      <c r="U595">
        <v>0.14000000000000001</v>
      </c>
      <c r="V595">
        <v>3271.7496000000001</v>
      </c>
      <c r="X595" s="4">
        <v>4</v>
      </c>
      <c r="Y595">
        <v>951.09</v>
      </c>
      <c r="Z595">
        <v>0.14000000000000001</v>
      </c>
      <c r="AA595">
        <v>3271.7496000000001</v>
      </c>
    </row>
    <row r="596" spans="1:27" x14ac:dyDescent="0.3">
      <c r="A596" t="s">
        <v>2403</v>
      </c>
      <c r="B596" s="2">
        <v>45765</v>
      </c>
      <c r="C596" t="s">
        <v>645</v>
      </c>
      <c r="D596" t="s">
        <v>1729</v>
      </c>
      <c r="E596" t="s">
        <v>1744</v>
      </c>
      <c r="F596" s="4">
        <v>1</v>
      </c>
      <c r="G596">
        <v>71.709999999999994</v>
      </c>
      <c r="H596">
        <v>0.23</v>
      </c>
      <c r="I596" t="s">
        <v>1812</v>
      </c>
      <c r="J596">
        <v>55.216700000000003</v>
      </c>
      <c r="K596" t="s">
        <v>646</v>
      </c>
      <c r="L596">
        <v>30</v>
      </c>
      <c r="M596" t="str">
        <v>Male</v>
      </c>
      <c r="N596" t="str">
        <f>VLOOKUP(C:C,Customer_Dim!B:I,5,1)</f>
        <v>North Briannamouth</v>
      </c>
      <c r="O596" t="str">
        <f>VLOOKUP(C:C,Customer_Dim!B:I,6,1)</f>
        <v>Tennessee</v>
      </c>
      <c r="P596" t="str">
        <f>VLOOKUP(C:C,Customer_Dim!B:I,7,1)</f>
        <v>USA</v>
      </c>
      <c r="Q596" t="str">
        <f>VLOOKUP(C:C,Customer_Dim!B:I,8,1)</f>
        <v>Bronze</v>
      </c>
      <c r="S596">
        <v>1</v>
      </c>
      <c r="T596">
        <v>71.709999999999994</v>
      </c>
      <c r="U596">
        <v>0.23</v>
      </c>
      <c r="V596">
        <v>55.216700000000003</v>
      </c>
      <c r="X596" s="4">
        <v>1</v>
      </c>
      <c r="Y596">
        <v>71.709999999999994</v>
      </c>
      <c r="Z596">
        <v>0.23</v>
      </c>
      <c r="AA596">
        <v>55.216700000000003</v>
      </c>
    </row>
    <row r="597" spans="1:27" x14ac:dyDescent="0.3">
      <c r="A597" t="s">
        <v>2404</v>
      </c>
      <c r="B597" s="2">
        <v>45891</v>
      </c>
      <c r="C597" t="s">
        <v>568</v>
      </c>
      <c r="D597" t="s">
        <v>1571</v>
      </c>
      <c r="E597" t="s">
        <v>1762</v>
      </c>
      <c r="F597" s="4">
        <v>4</v>
      </c>
      <c r="G597">
        <v>894.93</v>
      </c>
      <c r="H597">
        <v>0.05</v>
      </c>
      <c r="I597" t="s">
        <v>1812</v>
      </c>
      <c r="J597">
        <v>3400.733999999999</v>
      </c>
      <c r="K597" t="s">
        <v>569</v>
      </c>
      <c r="L597">
        <v>26</v>
      </c>
      <c r="M597" t="str">
        <v>Female</v>
      </c>
      <c r="N597" t="str">
        <f>VLOOKUP(C:C,Customer_Dim!B:I,5,1)</f>
        <v>New William</v>
      </c>
      <c r="O597" t="str">
        <f>VLOOKUP(C:C,Customer_Dim!B:I,6,1)</f>
        <v>Iowa</v>
      </c>
      <c r="P597" t="str">
        <f>VLOOKUP(C:C,Customer_Dim!B:I,7,1)</f>
        <v>USA</v>
      </c>
      <c r="Q597" t="str">
        <f>VLOOKUP(C:C,Customer_Dim!B:I,8,1)</f>
        <v>Platinum</v>
      </c>
      <c r="S597">
        <v>4</v>
      </c>
      <c r="T597">
        <v>894.93</v>
      </c>
      <c r="U597">
        <v>0.05</v>
      </c>
      <c r="V597">
        <v>3400.733999999999</v>
      </c>
      <c r="X597" s="4">
        <v>4</v>
      </c>
      <c r="Y597">
        <v>894.93</v>
      </c>
      <c r="Z597">
        <v>0.05</v>
      </c>
      <c r="AA597">
        <v>3400.733999999999</v>
      </c>
    </row>
    <row r="598" spans="1:27" x14ac:dyDescent="0.3">
      <c r="A598" t="s">
        <v>2405</v>
      </c>
      <c r="B598" s="2">
        <v>45842</v>
      </c>
      <c r="C598" t="s">
        <v>654</v>
      </c>
      <c r="D598" t="s">
        <v>1687</v>
      </c>
      <c r="E598" t="s">
        <v>1765</v>
      </c>
      <c r="F598" s="4">
        <v>4</v>
      </c>
      <c r="G598">
        <v>870.18</v>
      </c>
      <c r="H598">
        <v>0.13</v>
      </c>
      <c r="I598" t="s">
        <v>1812</v>
      </c>
      <c r="J598">
        <v>3028.2264</v>
      </c>
      <c r="K598" t="s">
        <v>655</v>
      </c>
      <c r="L598">
        <v>47</v>
      </c>
      <c r="M598" t="str">
        <v>Male</v>
      </c>
      <c r="N598" t="str">
        <f>VLOOKUP(C:C,Customer_Dim!B:I,5,1)</f>
        <v>Clarkeside</v>
      </c>
      <c r="O598" t="str">
        <f>VLOOKUP(C:C,Customer_Dim!B:I,6,1)</f>
        <v>Kansas</v>
      </c>
      <c r="P598" t="str">
        <f>VLOOKUP(C:C,Customer_Dim!B:I,7,1)</f>
        <v>USA</v>
      </c>
      <c r="Q598" t="str">
        <f>VLOOKUP(C:C,Customer_Dim!B:I,8,1)</f>
        <v>Platinum</v>
      </c>
      <c r="S598">
        <v>4</v>
      </c>
      <c r="T598">
        <v>870.18</v>
      </c>
      <c r="U598">
        <v>0.13</v>
      </c>
      <c r="V598">
        <v>3028.2264</v>
      </c>
      <c r="X598" s="4">
        <v>4</v>
      </c>
      <c r="Y598">
        <v>870.18</v>
      </c>
      <c r="Z598">
        <v>0.13</v>
      </c>
      <c r="AA598">
        <v>3028.2264</v>
      </c>
    </row>
    <row r="599" spans="1:27" x14ac:dyDescent="0.3">
      <c r="A599" t="s">
        <v>2406</v>
      </c>
      <c r="B599" s="2">
        <v>45382</v>
      </c>
      <c r="C599" t="s">
        <v>876</v>
      </c>
      <c r="D599" t="s">
        <v>1659</v>
      </c>
      <c r="E599" t="s">
        <v>1744</v>
      </c>
      <c r="F599" s="4">
        <v>2</v>
      </c>
      <c r="G599">
        <v>552.72</v>
      </c>
      <c r="H599">
        <v>0.06</v>
      </c>
      <c r="I599" t="s">
        <v>1809</v>
      </c>
      <c r="J599">
        <v>1039.1135999999999</v>
      </c>
      <c r="K599" t="s">
        <v>877</v>
      </c>
      <c r="L599">
        <v>21</v>
      </c>
      <c r="M599" t="str">
        <v>Female</v>
      </c>
      <c r="N599" t="str">
        <f>VLOOKUP(C:C,Customer_Dim!B:I,5,1)</f>
        <v>Port Mariastad</v>
      </c>
      <c r="O599" t="str">
        <f>VLOOKUP(C:C,Customer_Dim!B:I,6,1)</f>
        <v>Rhode Island</v>
      </c>
      <c r="P599" t="str">
        <f>VLOOKUP(C:C,Customer_Dim!B:I,7,1)</f>
        <v>USA</v>
      </c>
      <c r="Q599" t="str">
        <f>VLOOKUP(C:C,Customer_Dim!B:I,8,1)</f>
        <v>Platinum</v>
      </c>
      <c r="S599">
        <v>2</v>
      </c>
      <c r="T599">
        <v>552.72</v>
      </c>
      <c r="U599">
        <v>0.06</v>
      </c>
      <c r="V599">
        <v>1039.1135999999999</v>
      </c>
      <c r="X599" s="4">
        <v>2</v>
      </c>
      <c r="Y599">
        <v>552.72</v>
      </c>
      <c r="Z599">
        <v>0.06</v>
      </c>
      <c r="AA599">
        <v>1039.1135999999999</v>
      </c>
    </row>
    <row r="600" spans="1:27" x14ac:dyDescent="0.3">
      <c r="A600" t="s">
        <v>2407</v>
      </c>
      <c r="B600" s="2">
        <v>45236</v>
      </c>
      <c r="C600" t="s">
        <v>782</v>
      </c>
      <c r="D600" t="s">
        <v>1609</v>
      </c>
      <c r="E600" t="s">
        <v>1765</v>
      </c>
      <c r="F600" s="4">
        <v>3</v>
      </c>
      <c r="G600">
        <v>700.43</v>
      </c>
      <c r="H600">
        <v>0.01</v>
      </c>
      <c r="I600" t="s">
        <v>1812</v>
      </c>
      <c r="J600">
        <v>2080.2770999999998</v>
      </c>
      <c r="K600" t="s">
        <v>783</v>
      </c>
      <c r="L600">
        <v>32</v>
      </c>
      <c r="M600" t="str">
        <v>Male</v>
      </c>
      <c r="N600" t="str">
        <f>VLOOKUP(C:C,Customer_Dim!B:I,5,1)</f>
        <v>South Regina</v>
      </c>
      <c r="O600" t="str">
        <f>VLOOKUP(C:C,Customer_Dim!B:I,6,1)</f>
        <v>Arkansas</v>
      </c>
      <c r="P600" t="str">
        <f>VLOOKUP(C:C,Customer_Dim!B:I,7,1)</f>
        <v>USA</v>
      </c>
      <c r="Q600" t="str">
        <f>VLOOKUP(C:C,Customer_Dim!B:I,8,1)</f>
        <v>Bronze</v>
      </c>
      <c r="S600">
        <v>3</v>
      </c>
      <c r="T600">
        <v>700.43</v>
      </c>
      <c r="U600">
        <v>0.01</v>
      </c>
      <c r="V600">
        <v>2080.2770999999998</v>
      </c>
      <c r="X600" s="4">
        <v>3</v>
      </c>
      <c r="Y600">
        <v>700.43</v>
      </c>
      <c r="Z600">
        <v>0.01</v>
      </c>
      <c r="AA600">
        <v>2080.2770999999998</v>
      </c>
    </row>
    <row r="601" spans="1:27" x14ac:dyDescent="0.3">
      <c r="A601" t="s">
        <v>2408</v>
      </c>
      <c r="B601" s="2">
        <v>45806</v>
      </c>
      <c r="C601" t="s">
        <v>1054</v>
      </c>
      <c r="D601" t="s">
        <v>1548</v>
      </c>
      <c r="E601" t="s">
        <v>1744</v>
      </c>
      <c r="F601" s="4">
        <v>2</v>
      </c>
      <c r="G601">
        <v>823.03</v>
      </c>
      <c r="H601">
        <v>0.18</v>
      </c>
      <c r="I601" t="s">
        <v>1809</v>
      </c>
      <c r="J601">
        <v>1349.7692</v>
      </c>
      <c r="K601" t="s">
        <v>1055</v>
      </c>
      <c r="L601">
        <v>27</v>
      </c>
      <c r="M601" t="str">
        <v>Male</v>
      </c>
      <c r="N601" t="str">
        <f>VLOOKUP(C:C,Customer_Dim!B:I,5,1)</f>
        <v>Stevensbury</v>
      </c>
      <c r="O601" t="str">
        <f>VLOOKUP(C:C,Customer_Dim!B:I,6,1)</f>
        <v>Arizona</v>
      </c>
      <c r="P601" t="str">
        <f>VLOOKUP(C:C,Customer_Dim!B:I,7,1)</f>
        <v>USA</v>
      </c>
      <c r="Q601" t="str">
        <f>VLOOKUP(C:C,Customer_Dim!B:I,8,1)</f>
        <v>Platinum</v>
      </c>
      <c r="S601">
        <v>2</v>
      </c>
      <c r="T601">
        <v>823.03</v>
      </c>
      <c r="U601">
        <v>0.18</v>
      </c>
      <c r="V601">
        <v>1349.7692</v>
      </c>
      <c r="X601" s="4">
        <v>2</v>
      </c>
      <c r="Y601">
        <v>823.03</v>
      </c>
      <c r="Z601">
        <v>0.18</v>
      </c>
      <c r="AA601">
        <v>1349.7692</v>
      </c>
    </row>
    <row r="602" spans="1:27" x14ac:dyDescent="0.3">
      <c r="A602" t="s">
        <v>2409</v>
      </c>
      <c r="B602" s="2">
        <v>45401</v>
      </c>
      <c r="C602" t="s">
        <v>808</v>
      </c>
      <c r="D602" t="s">
        <v>1715</v>
      </c>
      <c r="E602" t="s">
        <v>1759</v>
      </c>
      <c r="F602" s="4">
        <v>1</v>
      </c>
      <c r="G602">
        <v>117.37</v>
      </c>
      <c r="H602">
        <v>0.21</v>
      </c>
      <c r="I602" t="s">
        <v>1807</v>
      </c>
      <c r="J602">
        <v>92.722300000000004</v>
      </c>
      <c r="K602" t="s">
        <v>809</v>
      </c>
      <c r="L602">
        <v>57</v>
      </c>
      <c r="M602" t="str">
        <v>Male</v>
      </c>
      <c r="N602" t="str">
        <f>VLOOKUP(C:C,Customer_Dim!B:I,5,1)</f>
        <v>Jasonton</v>
      </c>
      <c r="O602" t="str">
        <f>VLOOKUP(C:C,Customer_Dim!B:I,6,1)</f>
        <v>Ohio</v>
      </c>
      <c r="P602" t="str">
        <f>VLOOKUP(C:C,Customer_Dim!B:I,7,1)</f>
        <v>USA</v>
      </c>
      <c r="Q602" t="str">
        <f>VLOOKUP(C:C,Customer_Dim!B:I,8,1)</f>
        <v>Gold</v>
      </c>
      <c r="S602">
        <v>1</v>
      </c>
      <c r="T602">
        <v>117.37</v>
      </c>
      <c r="U602">
        <v>0.21</v>
      </c>
      <c r="V602">
        <v>92.722300000000004</v>
      </c>
      <c r="X602" s="4">
        <v>1</v>
      </c>
      <c r="Y602">
        <v>117.37</v>
      </c>
      <c r="Z602">
        <v>0.21</v>
      </c>
      <c r="AA602">
        <v>92.722300000000004</v>
      </c>
    </row>
    <row r="603" spans="1:27" x14ac:dyDescent="0.3">
      <c r="A603" t="s">
        <v>2410</v>
      </c>
      <c r="B603" s="2">
        <v>45716</v>
      </c>
      <c r="C603" t="s">
        <v>364</v>
      </c>
      <c r="D603" t="s">
        <v>1643</v>
      </c>
      <c r="E603" t="s">
        <v>1740</v>
      </c>
      <c r="F603" s="4">
        <v>4</v>
      </c>
      <c r="G603">
        <v>165.37</v>
      </c>
      <c r="H603">
        <v>0.28999999999999998</v>
      </c>
      <c r="I603" t="s">
        <v>1807</v>
      </c>
      <c r="J603">
        <v>469.6508</v>
      </c>
      <c r="K603" t="s">
        <v>365</v>
      </c>
      <c r="L603">
        <v>50</v>
      </c>
      <c r="M603" t="str">
        <v>Female</v>
      </c>
      <c r="N603" t="str">
        <f>VLOOKUP(C:C,Customer_Dim!B:I,5,1)</f>
        <v>South Jenniferville</v>
      </c>
      <c r="O603" t="str">
        <f>VLOOKUP(C:C,Customer_Dim!B:I,6,1)</f>
        <v>Georgia</v>
      </c>
      <c r="P603" t="str">
        <f>VLOOKUP(C:C,Customer_Dim!B:I,7,1)</f>
        <v>USA</v>
      </c>
      <c r="Q603" t="str">
        <f>VLOOKUP(C:C,Customer_Dim!B:I,8,1)</f>
        <v>Silver</v>
      </c>
      <c r="S603">
        <v>4</v>
      </c>
      <c r="T603">
        <v>165.37</v>
      </c>
      <c r="U603">
        <v>0.28999999999999998</v>
      </c>
      <c r="V603">
        <v>469.6508</v>
      </c>
      <c r="X603" s="4">
        <v>4</v>
      </c>
      <c r="Y603">
        <v>165.37</v>
      </c>
      <c r="Z603">
        <v>0.28999999999999998</v>
      </c>
      <c r="AA603">
        <v>469.6508</v>
      </c>
    </row>
    <row r="604" spans="1:27" x14ac:dyDescent="0.3">
      <c r="A604" t="s">
        <v>2411</v>
      </c>
      <c r="B604" s="2">
        <v>45718</v>
      </c>
      <c r="C604" t="s">
        <v>1168</v>
      </c>
      <c r="D604" t="s">
        <v>1540</v>
      </c>
      <c r="E604" t="s">
        <v>1772</v>
      </c>
      <c r="F604" s="4">
        <v>3</v>
      </c>
      <c r="G604">
        <v>483.06</v>
      </c>
      <c r="H604">
        <v>0.05</v>
      </c>
      <c r="I604" t="s">
        <v>1807</v>
      </c>
      <c r="J604">
        <v>1376.721</v>
      </c>
      <c r="K604" t="s">
        <v>1169</v>
      </c>
      <c r="L604">
        <v>34</v>
      </c>
      <c r="M604" t="str">
        <v>Female</v>
      </c>
      <c r="N604" t="str">
        <f>VLOOKUP(C:C,Customer_Dim!B:I,5,1)</f>
        <v>Fischerborough</v>
      </c>
      <c r="O604" t="str">
        <f>VLOOKUP(C:C,Customer_Dim!B:I,6,1)</f>
        <v>Delaware</v>
      </c>
      <c r="P604" t="str">
        <f>VLOOKUP(C:C,Customer_Dim!B:I,7,1)</f>
        <v>USA</v>
      </c>
      <c r="Q604" t="str">
        <f>VLOOKUP(C:C,Customer_Dim!B:I,8,1)</f>
        <v>Bronze</v>
      </c>
      <c r="S604">
        <v>3</v>
      </c>
      <c r="T604">
        <v>483.06</v>
      </c>
      <c r="U604">
        <v>0.05</v>
      </c>
      <c r="V604">
        <v>1376.721</v>
      </c>
      <c r="X604" s="4">
        <v>3</v>
      </c>
      <c r="Y604">
        <v>483.06</v>
      </c>
      <c r="Z604">
        <v>0.05</v>
      </c>
      <c r="AA604">
        <v>1376.721</v>
      </c>
    </row>
    <row r="605" spans="1:27" x14ac:dyDescent="0.3">
      <c r="A605" t="s">
        <v>2412</v>
      </c>
      <c r="B605" s="2">
        <v>45379</v>
      </c>
      <c r="C605" t="s">
        <v>920</v>
      </c>
      <c r="D605" t="s">
        <v>1693</v>
      </c>
      <c r="E605" t="s">
        <v>1762</v>
      </c>
      <c r="F605" s="4">
        <v>4</v>
      </c>
      <c r="G605">
        <v>262.05</v>
      </c>
      <c r="H605">
        <v>0.24</v>
      </c>
      <c r="I605" t="s">
        <v>1809</v>
      </c>
      <c r="J605">
        <v>796.63200000000006</v>
      </c>
      <c r="K605" t="s">
        <v>921</v>
      </c>
      <c r="L605">
        <v>29</v>
      </c>
      <c r="M605" t="str">
        <v>Male</v>
      </c>
      <c r="N605" t="str">
        <f>VLOOKUP(C:C,Customer_Dim!B:I,5,1)</f>
        <v>North Daniel</v>
      </c>
      <c r="O605" t="str">
        <f>VLOOKUP(C:C,Customer_Dim!B:I,6,1)</f>
        <v>Louisiana</v>
      </c>
      <c r="P605" t="str">
        <f>VLOOKUP(C:C,Customer_Dim!B:I,7,1)</f>
        <v>USA</v>
      </c>
      <c r="Q605" t="str">
        <f>VLOOKUP(C:C,Customer_Dim!B:I,8,1)</f>
        <v>Platinum</v>
      </c>
      <c r="S605">
        <v>4</v>
      </c>
      <c r="T605">
        <v>262.05</v>
      </c>
      <c r="U605">
        <v>0.24</v>
      </c>
      <c r="V605">
        <v>796.63200000000006</v>
      </c>
      <c r="X605" s="4">
        <v>4</v>
      </c>
      <c r="Y605">
        <v>262.05</v>
      </c>
      <c r="Z605">
        <v>0.24</v>
      </c>
      <c r="AA605">
        <v>796.63200000000006</v>
      </c>
    </row>
    <row r="606" spans="1:27" x14ac:dyDescent="0.3">
      <c r="A606" t="s">
        <v>2413</v>
      </c>
      <c r="B606" s="2">
        <v>45635</v>
      </c>
      <c r="C606" t="s">
        <v>1412</v>
      </c>
      <c r="D606" t="s">
        <v>1559</v>
      </c>
      <c r="E606" t="s">
        <v>1782</v>
      </c>
      <c r="F606" s="4">
        <v>3</v>
      </c>
      <c r="G606">
        <v>970.89</v>
      </c>
      <c r="H606">
        <v>0.11</v>
      </c>
      <c r="I606" t="s">
        <v>1812</v>
      </c>
      <c r="J606">
        <v>2592.2763</v>
      </c>
      <c r="K606" t="s">
        <v>1413</v>
      </c>
      <c r="L606">
        <v>45</v>
      </c>
      <c r="M606" t="str">
        <v>Female</v>
      </c>
      <c r="N606" t="str">
        <f>VLOOKUP(C:C,Customer_Dim!B:I,5,1)</f>
        <v>Port Anthony</v>
      </c>
      <c r="O606" t="str">
        <f>VLOOKUP(C:C,Customer_Dim!B:I,6,1)</f>
        <v>Connecticut</v>
      </c>
      <c r="P606" t="str">
        <f>VLOOKUP(C:C,Customer_Dim!B:I,7,1)</f>
        <v>USA</v>
      </c>
      <c r="Q606" t="str">
        <f>VLOOKUP(C:C,Customer_Dim!B:I,8,1)</f>
        <v>Bronze</v>
      </c>
      <c r="S606">
        <v>3</v>
      </c>
      <c r="T606">
        <v>970.89</v>
      </c>
      <c r="U606">
        <v>0.11</v>
      </c>
      <c r="V606">
        <v>2592.2763</v>
      </c>
      <c r="X606" s="4">
        <v>3</v>
      </c>
      <c r="Y606">
        <v>970.89</v>
      </c>
      <c r="Z606">
        <v>0.11</v>
      </c>
      <c r="AA606">
        <v>2592.2763</v>
      </c>
    </row>
    <row r="607" spans="1:27" x14ac:dyDescent="0.3">
      <c r="A607" t="s">
        <v>2414</v>
      </c>
      <c r="B607" s="2">
        <v>45222</v>
      </c>
      <c r="C607" t="s">
        <v>696</v>
      </c>
      <c r="D607" t="s">
        <v>1675</v>
      </c>
      <c r="E607" t="s">
        <v>1735</v>
      </c>
      <c r="F607" s="4">
        <v>1</v>
      </c>
      <c r="G607">
        <v>61.11</v>
      </c>
      <c r="H607">
        <v>0.1</v>
      </c>
      <c r="I607" t="s">
        <v>1809</v>
      </c>
      <c r="J607">
        <v>54.999000000000002</v>
      </c>
      <c r="K607" t="s">
        <v>697</v>
      </c>
      <c r="L607">
        <v>42</v>
      </c>
      <c r="M607" t="str">
        <v>Male</v>
      </c>
      <c r="N607" t="str">
        <f>VLOOKUP(C:C,Customer_Dim!B:I,5,1)</f>
        <v>Morrismouth</v>
      </c>
      <c r="O607" t="str">
        <f>VLOOKUP(C:C,Customer_Dim!B:I,6,1)</f>
        <v>California</v>
      </c>
      <c r="P607" t="str">
        <f>VLOOKUP(C:C,Customer_Dim!B:I,7,1)</f>
        <v>USA</v>
      </c>
      <c r="Q607" t="str">
        <f>VLOOKUP(C:C,Customer_Dim!B:I,8,1)</f>
        <v>Platinum</v>
      </c>
      <c r="S607">
        <v>1</v>
      </c>
      <c r="T607">
        <v>61.11</v>
      </c>
      <c r="U607">
        <v>0.1</v>
      </c>
      <c r="V607">
        <v>54.999000000000002</v>
      </c>
      <c r="X607" s="4">
        <v>1</v>
      </c>
      <c r="Y607">
        <v>61.11</v>
      </c>
      <c r="Z607">
        <v>0.1</v>
      </c>
      <c r="AA607">
        <v>54.999000000000002</v>
      </c>
    </row>
    <row r="608" spans="1:27" x14ac:dyDescent="0.3">
      <c r="A608" t="s">
        <v>2415</v>
      </c>
      <c r="B608" s="2">
        <v>45555</v>
      </c>
      <c r="C608" t="s">
        <v>121</v>
      </c>
      <c r="D608" t="s">
        <v>1585</v>
      </c>
      <c r="E608" t="s">
        <v>1765</v>
      </c>
      <c r="F608" s="4">
        <v>3</v>
      </c>
      <c r="G608">
        <v>827.88</v>
      </c>
      <c r="H608">
        <v>0.19</v>
      </c>
      <c r="I608" t="s">
        <v>1809</v>
      </c>
      <c r="J608">
        <v>2011.7483999999999</v>
      </c>
      <c r="K608" t="s">
        <v>122</v>
      </c>
      <c r="L608">
        <v>64</v>
      </c>
      <c r="M608" t="str">
        <v>Female</v>
      </c>
      <c r="N608" t="str">
        <f>VLOOKUP(C:C,Customer_Dim!B:I,5,1)</f>
        <v>East Jennifer</v>
      </c>
      <c r="O608" t="str">
        <f>VLOOKUP(C:C,Customer_Dim!B:I,6,1)</f>
        <v>California</v>
      </c>
      <c r="P608" t="str">
        <f>VLOOKUP(C:C,Customer_Dim!B:I,7,1)</f>
        <v>USA</v>
      </c>
      <c r="Q608" t="str">
        <f>VLOOKUP(C:C,Customer_Dim!B:I,8,1)</f>
        <v>Silver</v>
      </c>
      <c r="S608">
        <v>3</v>
      </c>
      <c r="T608">
        <v>827.88</v>
      </c>
      <c r="U608">
        <v>0.19</v>
      </c>
      <c r="V608">
        <v>2011.7483999999999</v>
      </c>
      <c r="X608" s="4">
        <v>3</v>
      </c>
      <c r="Y608">
        <v>827.88</v>
      </c>
      <c r="Z608">
        <v>0.19</v>
      </c>
      <c r="AA608">
        <v>2011.7483999999999</v>
      </c>
    </row>
    <row r="609" spans="1:27" x14ac:dyDescent="0.3">
      <c r="A609" t="s">
        <v>2416</v>
      </c>
      <c r="B609" s="2">
        <v>45583</v>
      </c>
      <c r="C609" t="s">
        <v>1318</v>
      </c>
      <c r="D609" t="s">
        <v>1705</v>
      </c>
      <c r="E609" t="s">
        <v>1780</v>
      </c>
      <c r="F609" s="4">
        <v>3</v>
      </c>
      <c r="G609">
        <v>926.85</v>
      </c>
      <c r="H609">
        <v>0.18</v>
      </c>
      <c r="I609" t="s">
        <v>1812</v>
      </c>
      <c r="J609">
        <v>2280.0509999999999</v>
      </c>
      <c r="K609" t="s">
        <v>1319</v>
      </c>
      <c r="L609">
        <v>27</v>
      </c>
      <c r="M609" t="str">
        <v>Male</v>
      </c>
      <c r="N609" t="str">
        <f>VLOOKUP(C:C,Customer_Dim!B:I,5,1)</f>
        <v>Josephchester</v>
      </c>
      <c r="O609" t="str">
        <f>VLOOKUP(C:C,Customer_Dim!B:I,6,1)</f>
        <v>New Jersey</v>
      </c>
      <c r="P609" t="str">
        <f>VLOOKUP(C:C,Customer_Dim!B:I,7,1)</f>
        <v>USA</v>
      </c>
      <c r="Q609" t="str">
        <f>VLOOKUP(C:C,Customer_Dim!B:I,8,1)</f>
        <v>Gold</v>
      </c>
      <c r="S609">
        <v>3</v>
      </c>
      <c r="T609">
        <v>926.85</v>
      </c>
      <c r="U609">
        <v>0.18</v>
      </c>
      <c r="V609">
        <v>2280.0509999999999</v>
      </c>
      <c r="X609" s="4">
        <v>3</v>
      </c>
      <c r="Y609">
        <v>926.85</v>
      </c>
      <c r="Z609">
        <v>0.18</v>
      </c>
      <c r="AA609">
        <v>2280.0509999999999</v>
      </c>
    </row>
    <row r="610" spans="1:27" x14ac:dyDescent="0.3">
      <c r="A610" t="s">
        <v>2417</v>
      </c>
      <c r="B610" s="2">
        <v>45662</v>
      </c>
      <c r="C610" t="s">
        <v>989</v>
      </c>
      <c r="D610" t="s">
        <v>1551</v>
      </c>
      <c r="E610" t="s">
        <v>1782</v>
      </c>
      <c r="F610" s="4">
        <v>1</v>
      </c>
      <c r="G610">
        <v>874.59</v>
      </c>
      <c r="H610">
        <v>0.28999999999999998</v>
      </c>
      <c r="I610" t="s">
        <v>1809</v>
      </c>
      <c r="J610">
        <v>620.95889999999997</v>
      </c>
      <c r="K610" t="s">
        <v>990</v>
      </c>
      <c r="L610">
        <v>25</v>
      </c>
      <c r="M610" t="str">
        <v>Male</v>
      </c>
      <c r="N610" t="str">
        <f>VLOOKUP(C:C,Customer_Dim!B:I,5,1)</f>
        <v>Richardsport</v>
      </c>
      <c r="O610" t="str">
        <f>VLOOKUP(C:C,Customer_Dim!B:I,6,1)</f>
        <v>New Hampshire</v>
      </c>
      <c r="P610" t="str">
        <f>VLOOKUP(C:C,Customer_Dim!B:I,7,1)</f>
        <v>USA</v>
      </c>
      <c r="Q610" t="str">
        <f>VLOOKUP(C:C,Customer_Dim!B:I,8,1)</f>
        <v>Gold</v>
      </c>
      <c r="S610">
        <v>1</v>
      </c>
      <c r="T610">
        <v>874.59</v>
      </c>
      <c r="U610">
        <v>0.28999999999999998</v>
      </c>
      <c r="V610">
        <v>620.95889999999997</v>
      </c>
      <c r="X610" s="4">
        <v>1</v>
      </c>
      <c r="Y610">
        <v>874.59</v>
      </c>
      <c r="Z610">
        <v>0.28999999999999998</v>
      </c>
      <c r="AA610">
        <v>620.95889999999997</v>
      </c>
    </row>
    <row r="611" spans="1:27" x14ac:dyDescent="0.3">
      <c r="A611" t="s">
        <v>2418</v>
      </c>
      <c r="B611" s="2">
        <v>45921</v>
      </c>
      <c r="C611" t="s">
        <v>1433</v>
      </c>
      <c r="D611" t="s">
        <v>1561</v>
      </c>
      <c r="E611" t="s">
        <v>1740</v>
      </c>
      <c r="F611" s="4">
        <v>4</v>
      </c>
      <c r="G611">
        <v>479.11</v>
      </c>
      <c r="H611">
        <v>0.24</v>
      </c>
      <c r="I611" t="s">
        <v>1809</v>
      </c>
      <c r="J611">
        <v>1456.4944</v>
      </c>
      <c r="K611" t="s">
        <v>1434</v>
      </c>
      <c r="L611">
        <v>42</v>
      </c>
      <c r="M611" t="str">
        <v>Male</v>
      </c>
      <c r="N611" t="str">
        <f>VLOOKUP(C:C,Customer_Dim!B:I,5,1)</f>
        <v>Kanebury</v>
      </c>
      <c r="O611" t="str">
        <f>VLOOKUP(C:C,Customer_Dim!B:I,6,1)</f>
        <v>New Hampshire</v>
      </c>
      <c r="P611" t="str">
        <f>VLOOKUP(C:C,Customer_Dim!B:I,7,1)</f>
        <v>USA</v>
      </c>
      <c r="Q611" t="str">
        <f>VLOOKUP(C:C,Customer_Dim!B:I,8,1)</f>
        <v>Gold</v>
      </c>
      <c r="S611">
        <v>4</v>
      </c>
      <c r="T611">
        <v>479.11</v>
      </c>
      <c r="U611">
        <v>0.24</v>
      </c>
      <c r="V611">
        <v>1456.4944</v>
      </c>
      <c r="X611" s="4">
        <v>4</v>
      </c>
      <c r="Y611">
        <v>479.11</v>
      </c>
      <c r="Z611">
        <v>0.24</v>
      </c>
      <c r="AA611">
        <v>1456.4944</v>
      </c>
    </row>
    <row r="612" spans="1:27" x14ac:dyDescent="0.3">
      <c r="A612" t="s">
        <v>2419</v>
      </c>
      <c r="B612" s="2">
        <v>45490</v>
      </c>
      <c r="C612" t="s">
        <v>687</v>
      </c>
      <c r="D612" t="s">
        <v>1595</v>
      </c>
      <c r="E612" t="s">
        <v>1790</v>
      </c>
      <c r="F612" s="4">
        <v>3</v>
      </c>
      <c r="G612">
        <v>182.91</v>
      </c>
      <c r="H612">
        <v>0.28999999999999998</v>
      </c>
      <c r="I612" t="s">
        <v>1807</v>
      </c>
      <c r="J612">
        <v>389.59829999999999</v>
      </c>
      <c r="K612" t="s">
        <v>688</v>
      </c>
      <c r="L612">
        <v>61</v>
      </c>
      <c r="M612" t="str">
        <v>Male</v>
      </c>
      <c r="N612" t="str">
        <f>VLOOKUP(C:C,Customer_Dim!B:I,5,1)</f>
        <v>West Markport</v>
      </c>
      <c r="O612" t="str">
        <f>VLOOKUP(C:C,Customer_Dim!B:I,6,1)</f>
        <v>North Dakota</v>
      </c>
      <c r="P612" t="str">
        <f>VLOOKUP(C:C,Customer_Dim!B:I,7,1)</f>
        <v>USA</v>
      </c>
      <c r="Q612" t="str">
        <f>VLOOKUP(C:C,Customer_Dim!B:I,8,1)</f>
        <v>Platinum</v>
      </c>
      <c r="S612">
        <v>3</v>
      </c>
      <c r="T612">
        <v>182.91</v>
      </c>
      <c r="U612">
        <v>0.28999999999999998</v>
      </c>
      <c r="V612">
        <v>389.59829999999999</v>
      </c>
      <c r="X612" s="4">
        <v>3</v>
      </c>
      <c r="Y612">
        <v>182.91</v>
      </c>
      <c r="Z612">
        <v>0.28999999999999998</v>
      </c>
      <c r="AA612">
        <v>389.59829999999999</v>
      </c>
    </row>
    <row r="613" spans="1:27" x14ac:dyDescent="0.3">
      <c r="A613" t="s">
        <v>2420</v>
      </c>
      <c r="B613" s="2">
        <v>45652</v>
      </c>
      <c r="C613" t="s">
        <v>858</v>
      </c>
      <c r="D613" t="s">
        <v>1599</v>
      </c>
      <c r="E613" t="s">
        <v>1756</v>
      </c>
      <c r="F613" s="4">
        <v>4</v>
      </c>
      <c r="G613">
        <v>745.51</v>
      </c>
      <c r="H613">
        <v>0.05</v>
      </c>
      <c r="I613" t="s">
        <v>1807</v>
      </c>
      <c r="J613">
        <v>2832.9380000000001</v>
      </c>
      <c r="K613" t="s">
        <v>859</v>
      </c>
      <c r="L613">
        <v>23</v>
      </c>
      <c r="M613" t="str">
        <v>Male</v>
      </c>
      <c r="N613" t="str">
        <f>VLOOKUP(C:C,Customer_Dim!B:I,5,1)</f>
        <v>Welchview</v>
      </c>
      <c r="O613" t="str">
        <f>VLOOKUP(C:C,Customer_Dim!B:I,6,1)</f>
        <v>California</v>
      </c>
      <c r="P613" t="str">
        <f>VLOOKUP(C:C,Customer_Dim!B:I,7,1)</f>
        <v>USA</v>
      </c>
      <c r="Q613" t="str">
        <f>VLOOKUP(C:C,Customer_Dim!B:I,8,1)</f>
        <v>Gold</v>
      </c>
      <c r="S613">
        <v>4</v>
      </c>
      <c r="T613">
        <v>745.51</v>
      </c>
      <c r="U613">
        <v>0.05</v>
      </c>
      <c r="V613">
        <v>2832.9380000000001</v>
      </c>
      <c r="X613" s="4">
        <v>4</v>
      </c>
      <c r="Y613">
        <v>745.51</v>
      </c>
      <c r="Z613">
        <v>0.05</v>
      </c>
      <c r="AA613">
        <v>2832.9380000000001</v>
      </c>
    </row>
    <row r="614" spans="1:27" x14ac:dyDescent="0.3">
      <c r="A614" t="s">
        <v>2421</v>
      </c>
      <c r="B614" s="2">
        <v>45598</v>
      </c>
      <c r="C614" t="s">
        <v>1464</v>
      </c>
      <c r="D614" t="s">
        <v>1707</v>
      </c>
      <c r="E614" t="s">
        <v>1784</v>
      </c>
      <c r="F614" s="4">
        <v>3</v>
      </c>
      <c r="G614">
        <v>920.61</v>
      </c>
      <c r="H614">
        <v>0.04</v>
      </c>
      <c r="I614" t="s">
        <v>1807</v>
      </c>
      <c r="J614">
        <v>2651.3568</v>
      </c>
      <c r="K614" t="s">
        <v>1465</v>
      </c>
      <c r="L614">
        <v>26</v>
      </c>
      <c r="M614" t="str">
        <v>Male</v>
      </c>
      <c r="N614" t="str">
        <f>VLOOKUP(C:C,Customer_Dim!B:I,5,1)</f>
        <v>Kelseybury</v>
      </c>
      <c r="O614" t="str">
        <f>VLOOKUP(C:C,Customer_Dim!B:I,6,1)</f>
        <v>Georgia</v>
      </c>
      <c r="P614" t="str">
        <f>VLOOKUP(C:C,Customer_Dim!B:I,7,1)</f>
        <v>USA</v>
      </c>
      <c r="Q614" t="str">
        <f>VLOOKUP(C:C,Customer_Dim!B:I,8,1)</f>
        <v>Gold</v>
      </c>
      <c r="S614">
        <v>3</v>
      </c>
      <c r="T614">
        <v>920.61</v>
      </c>
      <c r="U614">
        <v>0.04</v>
      </c>
      <c r="V614">
        <v>2651.3568</v>
      </c>
      <c r="X614" s="4">
        <v>3</v>
      </c>
      <c r="Y614">
        <v>920.61</v>
      </c>
      <c r="Z614">
        <v>0.04</v>
      </c>
      <c r="AA614">
        <v>2651.3568</v>
      </c>
    </row>
    <row r="615" spans="1:27" x14ac:dyDescent="0.3">
      <c r="A615" t="s">
        <v>2422</v>
      </c>
      <c r="B615" s="2">
        <v>45772</v>
      </c>
      <c r="C615" t="s">
        <v>1303</v>
      </c>
      <c r="D615" t="s">
        <v>1681</v>
      </c>
      <c r="E615" t="s">
        <v>1772</v>
      </c>
      <c r="F615" s="4">
        <v>4</v>
      </c>
      <c r="G615">
        <v>659.03</v>
      </c>
      <c r="H615">
        <v>0.15</v>
      </c>
      <c r="I615" t="s">
        <v>1807</v>
      </c>
      <c r="J615">
        <v>2240.7020000000002</v>
      </c>
      <c r="K615" t="s">
        <v>1304</v>
      </c>
      <c r="L615">
        <v>28</v>
      </c>
      <c r="M615" t="str">
        <v>Male</v>
      </c>
      <c r="N615" t="str">
        <f>VLOOKUP(C:C,Customer_Dim!B:I,5,1)</f>
        <v>Lake Monique</v>
      </c>
      <c r="O615" t="str">
        <f>VLOOKUP(C:C,Customer_Dim!B:I,6,1)</f>
        <v>Utah</v>
      </c>
      <c r="P615" t="str">
        <f>VLOOKUP(C:C,Customer_Dim!B:I,7,1)</f>
        <v>USA</v>
      </c>
      <c r="Q615" t="str">
        <f>VLOOKUP(C:C,Customer_Dim!B:I,8,1)</f>
        <v>Bronze</v>
      </c>
      <c r="S615">
        <v>4</v>
      </c>
      <c r="T615">
        <v>659.03</v>
      </c>
      <c r="U615">
        <v>0.15</v>
      </c>
      <c r="V615">
        <v>2240.7020000000002</v>
      </c>
      <c r="X615" s="4">
        <v>4</v>
      </c>
      <c r="Y615">
        <v>659.03</v>
      </c>
      <c r="Z615">
        <v>0.15</v>
      </c>
      <c r="AA615">
        <v>2240.7020000000002</v>
      </c>
    </row>
    <row r="616" spans="1:27" x14ac:dyDescent="0.3">
      <c r="A616" t="s">
        <v>2423</v>
      </c>
      <c r="B616" s="2">
        <v>45338</v>
      </c>
      <c r="C616" t="s">
        <v>1493</v>
      </c>
      <c r="D616" t="s">
        <v>1548</v>
      </c>
      <c r="E616" t="s">
        <v>1744</v>
      </c>
      <c r="F616" s="4">
        <v>1</v>
      </c>
      <c r="G616">
        <v>312.91000000000003</v>
      </c>
      <c r="H616">
        <v>0.12</v>
      </c>
      <c r="I616" t="s">
        <v>1809</v>
      </c>
      <c r="J616">
        <v>275.36079999999998</v>
      </c>
      <c r="K616" t="s">
        <v>1494</v>
      </c>
      <c r="L616">
        <v>59</v>
      </c>
      <c r="M616" t="str">
        <v>Female</v>
      </c>
      <c r="N616" t="str">
        <f>VLOOKUP(C:C,Customer_Dim!B:I,5,1)</f>
        <v>Kellyberg</v>
      </c>
      <c r="O616" t="str">
        <f>VLOOKUP(C:C,Customer_Dim!B:I,6,1)</f>
        <v>South Dakota</v>
      </c>
      <c r="P616" t="str">
        <f>VLOOKUP(C:C,Customer_Dim!B:I,7,1)</f>
        <v>USA</v>
      </c>
      <c r="Q616" t="str">
        <f>VLOOKUP(C:C,Customer_Dim!B:I,8,1)</f>
        <v>Gold</v>
      </c>
      <c r="S616">
        <v>1</v>
      </c>
      <c r="T616">
        <v>312.91000000000003</v>
      </c>
      <c r="U616">
        <v>0.12</v>
      </c>
      <c r="V616">
        <v>275.36079999999998</v>
      </c>
      <c r="X616" s="4">
        <v>1</v>
      </c>
      <c r="Y616">
        <v>312.91000000000003</v>
      </c>
      <c r="Z616">
        <v>0.12</v>
      </c>
      <c r="AA616">
        <v>275.36079999999998</v>
      </c>
    </row>
    <row r="617" spans="1:27" x14ac:dyDescent="0.3">
      <c r="A617" t="s">
        <v>2424</v>
      </c>
      <c r="B617" s="2">
        <v>45524</v>
      </c>
      <c r="C617" t="s">
        <v>729</v>
      </c>
      <c r="D617" t="s">
        <v>1555</v>
      </c>
      <c r="E617" t="s">
        <v>1793</v>
      </c>
      <c r="F617" s="4">
        <v>4</v>
      </c>
      <c r="G617">
        <v>705.64</v>
      </c>
      <c r="H617">
        <v>0.11</v>
      </c>
      <c r="I617" t="s">
        <v>1809</v>
      </c>
      <c r="J617">
        <v>2512.0783999999999</v>
      </c>
      <c r="K617" t="s">
        <v>730</v>
      </c>
      <c r="L617">
        <v>32</v>
      </c>
      <c r="M617" t="str">
        <v>Female</v>
      </c>
      <c r="N617" t="str">
        <f>VLOOKUP(C:C,Customer_Dim!B:I,5,1)</f>
        <v>Lake Michael</v>
      </c>
      <c r="O617" t="str">
        <f>VLOOKUP(C:C,Customer_Dim!B:I,6,1)</f>
        <v>Utah</v>
      </c>
      <c r="P617" t="str">
        <f>VLOOKUP(C:C,Customer_Dim!B:I,7,1)</f>
        <v>USA</v>
      </c>
      <c r="Q617" t="str">
        <f>VLOOKUP(C:C,Customer_Dim!B:I,8,1)</f>
        <v>Gold</v>
      </c>
      <c r="S617">
        <v>4</v>
      </c>
      <c r="T617">
        <v>705.64</v>
      </c>
      <c r="U617">
        <v>0.11</v>
      </c>
      <c r="V617">
        <v>2512.0783999999999</v>
      </c>
      <c r="X617" s="4">
        <v>4</v>
      </c>
      <c r="Y617">
        <v>705.64</v>
      </c>
      <c r="Z617">
        <v>0.11</v>
      </c>
      <c r="AA617">
        <v>2512.0783999999999</v>
      </c>
    </row>
    <row r="618" spans="1:27" x14ac:dyDescent="0.3">
      <c r="A618" t="s">
        <v>2425</v>
      </c>
      <c r="B618" s="2">
        <v>45497</v>
      </c>
      <c r="C618" t="s">
        <v>482</v>
      </c>
      <c r="D618" t="s">
        <v>1548</v>
      </c>
      <c r="E618" t="s">
        <v>1772</v>
      </c>
      <c r="F618" s="4">
        <v>4</v>
      </c>
      <c r="G618">
        <v>386.41</v>
      </c>
      <c r="H618">
        <v>0.13</v>
      </c>
      <c r="I618" t="s">
        <v>1812</v>
      </c>
      <c r="J618">
        <v>1344.7067999999999</v>
      </c>
      <c r="K618" t="s">
        <v>483</v>
      </c>
      <c r="L618">
        <v>46</v>
      </c>
      <c r="M618" t="str">
        <v>Male</v>
      </c>
      <c r="N618" t="str">
        <f>VLOOKUP(C:C,Customer_Dim!B:I,5,1)</f>
        <v>North Anthonychester</v>
      </c>
      <c r="O618" t="str">
        <f>VLOOKUP(C:C,Customer_Dim!B:I,6,1)</f>
        <v>Nevada</v>
      </c>
      <c r="P618" t="str">
        <f>VLOOKUP(C:C,Customer_Dim!B:I,7,1)</f>
        <v>USA</v>
      </c>
      <c r="Q618" t="str">
        <f>VLOOKUP(C:C,Customer_Dim!B:I,8,1)</f>
        <v>Bronze</v>
      </c>
      <c r="S618">
        <v>4</v>
      </c>
      <c r="T618">
        <v>386.41</v>
      </c>
      <c r="U618">
        <v>0.13</v>
      </c>
      <c r="V618">
        <v>1344.7067999999999</v>
      </c>
      <c r="X618" s="4">
        <v>4</v>
      </c>
      <c r="Y618">
        <v>386.41</v>
      </c>
      <c r="Z618">
        <v>0.13</v>
      </c>
      <c r="AA618">
        <v>1344.7067999999999</v>
      </c>
    </row>
    <row r="619" spans="1:27" x14ac:dyDescent="0.3">
      <c r="A619" t="s">
        <v>2426</v>
      </c>
      <c r="B619" s="2">
        <v>45534</v>
      </c>
      <c r="C619" t="s">
        <v>121</v>
      </c>
      <c r="D619" t="s">
        <v>1719</v>
      </c>
      <c r="E619" t="s">
        <v>1775</v>
      </c>
      <c r="F619" s="4">
        <v>3</v>
      </c>
      <c r="G619">
        <v>265.89</v>
      </c>
      <c r="H619">
        <v>0.08</v>
      </c>
      <c r="I619" t="s">
        <v>1812</v>
      </c>
      <c r="J619">
        <v>733.85640000000001</v>
      </c>
      <c r="K619" t="s">
        <v>122</v>
      </c>
      <c r="L619">
        <v>64</v>
      </c>
      <c r="M619" t="str">
        <v>Female</v>
      </c>
      <c r="N619" t="str">
        <f>VLOOKUP(C:C,Customer_Dim!B:I,5,1)</f>
        <v>East Jennifer</v>
      </c>
      <c r="O619" t="str">
        <f>VLOOKUP(C:C,Customer_Dim!B:I,6,1)</f>
        <v>California</v>
      </c>
      <c r="P619" t="str">
        <f>VLOOKUP(C:C,Customer_Dim!B:I,7,1)</f>
        <v>USA</v>
      </c>
      <c r="Q619" t="str">
        <f>VLOOKUP(C:C,Customer_Dim!B:I,8,1)</f>
        <v>Silver</v>
      </c>
      <c r="S619">
        <v>3</v>
      </c>
      <c r="T619">
        <v>265.89</v>
      </c>
      <c r="U619">
        <v>0.08</v>
      </c>
      <c r="V619">
        <v>733.85640000000001</v>
      </c>
      <c r="X619" s="4">
        <v>3</v>
      </c>
      <c r="Y619">
        <v>265.89</v>
      </c>
      <c r="Z619">
        <v>0.08</v>
      </c>
      <c r="AA619">
        <v>733.85640000000001</v>
      </c>
    </row>
    <row r="620" spans="1:27" x14ac:dyDescent="0.3">
      <c r="A620" t="s">
        <v>2427</v>
      </c>
      <c r="B620" s="2">
        <v>45925</v>
      </c>
      <c r="C620" t="s">
        <v>272</v>
      </c>
      <c r="D620" t="s">
        <v>1591</v>
      </c>
      <c r="E620" t="s">
        <v>1787</v>
      </c>
      <c r="F620" s="4">
        <v>1</v>
      </c>
      <c r="G620">
        <v>703.16</v>
      </c>
      <c r="H620">
        <v>0.28999999999999998</v>
      </c>
      <c r="I620" t="s">
        <v>1807</v>
      </c>
      <c r="J620">
        <v>499.24360000000001</v>
      </c>
      <c r="K620" t="s">
        <v>273</v>
      </c>
      <c r="L620">
        <v>37</v>
      </c>
      <c r="M620" t="str">
        <v>Male</v>
      </c>
      <c r="N620" t="str">
        <f>VLOOKUP(C:C,Customer_Dim!B:I,5,1)</f>
        <v>Lake Barryfurt</v>
      </c>
      <c r="O620" t="str">
        <f>VLOOKUP(C:C,Customer_Dim!B:I,6,1)</f>
        <v>California</v>
      </c>
      <c r="P620" t="str">
        <f>VLOOKUP(C:C,Customer_Dim!B:I,7,1)</f>
        <v>USA</v>
      </c>
      <c r="Q620" t="str">
        <f>VLOOKUP(C:C,Customer_Dim!B:I,8,1)</f>
        <v>Gold</v>
      </c>
      <c r="S620">
        <v>1</v>
      </c>
      <c r="T620">
        <v>703.16</v>
      </c>
      <c r="U620">
        <v>0.28999999999999998</v>
      </c>
      <c r="V620">
        <v>499.24360000000001</v>
      </c>
      <c r="X620" s="4">
        <v>1</v>
      </c>
      <c r="Y620">
        <v>703.16</v>
      </c>
      <c r="Z620">
        <v>0.28999999999999998</v>
      </c>
      <c r="AA620">
        <v>499.24360000000001</v>
      </c>
    </row>
    <row r="621" spans="1:27" x14ac:dyDescent="0.3">
      <c r="A621" t="s">
        <v>2428</v>
      </c>
      <c r="B621" s="2">
        <v>45765</v>
      </c>
      <c r="C621" t="s">
        <v>1436</v>
      </c>
      <c r="D621" t="s">
        <v>1725</v>
      </c>
      <c r="E621" t="s">
        <v>1780</v>
      </c>
      <c r="F621" s="4">
        <v>2</v>
      </c>
      <c r="G621">
        <v>394.5</v>
      </c>
      <c r="H621">
        <v>0.28999999999999998</v>
      </c>
      <c r="I621" t="s">
        <v>1812</v>
      </c>
      <c r="J621">
        <v>560.18999999999994</v>
      </c>
      <c r="K621" t="s">
        <v>1437</v>
      </c>
      <c r="L621">
        <v>42</v>
      </c>
      <c r="M621" t="str">
        <v>Male</v>
      </c>
      <c r="N621" t="str">
        <f>VLOOKUP(C:C,Customer_Dim!B:I,5,1)</f>
        <v>Mcdanielfurt</v>
      </c>
      <c r="O621" t="str">
        <f>VLOOKUP(C:C,Customer_Dim!B:I,6,1)</f>
        <v>Montana</v>
      </c>
      <c r="P621" t="str">
        <f>VLOOKUP(C:C,Customer_Dim!B:I,7,1)</f>
        <v>USA</v>
      </c>
      <c r="Q621" t="str">
        <f>VLOOKUP(C:C,Customer_Dim!B:I,8,1)</f>
        <v>Platinum</v>
      </c>
      <c r="S621">
        <v>2</v>
      </c>
      <c r="T621">
        <v>394.5</v>
      </c>
      <c r="U621">
        <v>0.28999999999999998</v>
      </c>
      <c r="V621">
        <v>560.18999999999994</v>
      </c>
      <c r="X621" s="4">
        <v>2</v>
      </c>
      <c r="Y621">
        <v>394.5</v>
      </c>
      <c r="Z621">
        <v>0.28999999999999998</v>
      </c>
      <c r="AA621">
        <v>560.18999999999994</v>
      </c>
    </row>
    <row r="622" spans="1:27" x14ac:dyDescent="0.3">
      <c r="A622" t="s">
        <v>2429</v>
      </c>
      <c r="B622" s="2">
        <v>45882</v>
      </c>
      <c r="C622" t="s">
        <v>403</v>
      </c>
      <c r="D622" t="s">
        <v>1725</v>
      </c>
      <c r="E622" t="s">
        <v>1762</v>
      </c>
      <c r="F622" s="4">
        <v>3</v>
      </c>
      <c r="G622">
        <v>411.25</v>
      </c>
      <c r="H622">
        <v>0.05</v>
      </c>
      <c r="I622" t="s">
        <v>1807</v>
      </c>
      <c r="J622">
        <v>1172.0625</v>
      </c>
      <c r="K622" t="s">
        <v>404</v>
      </c>
      <c r="L622">
        <v>36</v>
      </c>
      <c r="M622" t="str">
        <v>Male</v>
      </c>
      <c r="N622" t="str">
        <f>VLOOKUP(C:C,Customer_Dim!B:I,5,1)</f>
        <v>North Katherine</v>
      </c>
      <c r="O622" t="str">
        <f>VLOOKUP(C:C,Customer_Dim!B:I,6,1)</f>
        <v>Washington</v>
      </c>
      <c r="P622" t="str">
        <f>VLOOKUP(C:C,Customer_Dim!B:I,7,1)</f>
        <v>USA</v>
      </c>
      <c r="Q622" t="str">
        <f>VLOOKUP(C:C,Customer_Dim!B:I,8,1)</f>
        <v>Platinum</v>
      </c>
      <c r="S622">
        <v>3</v>
      </c>
      <c r="T622">
        <v>411.25</v>
      </c>
      <c r="U622">
        <v>0.05</v>
      </c>
      <c r="V622">
        <v>1172.0625</v>
      </c>
      <c r="X622" s="4">
        <v>3</v>
      </c>
      <c r="Y622">
        <v>411.25</v>
      </c>
      <c r="Z622">
        <v>0.05</v>
      </c>
      <c r="AA622">
        <v>1172.0625</v>
      </c>
    </row>
    <row r="623" spans="1:27" x14ac:dyDescent="0.3">
      <c r="A623" t="s">
        <v>2430</v>
      </c>
      <c r="B623" s="2">
        <v>45923</v>
      </c>
      <c r="C623" t="s">
        <v>1095</v>
      </c>
      <c r="D623" t="s">
        <v>1627</v>
      </c>
      <c r="E623" t="s">
        <v>1744</v>
      </c>
      <c r="F623" s="4">
        <v>4</v>
      </c>
      <c r="G623">
        <v>395.45</v>
      </c>
      <c r="H623">
        <v>0.01</v>
      </c>
      <c r="I623" t="s">
        <v>1807</v>
      </c>
      <c r="J623">
        <v>1565.982</v>
      </c>
      <c r="K623" t="s">
        <v>3954</v>
      </c>
      <c r="L623">
        <v>38</v>
      </c>
      <c r="M623" t="str">
        <v>Male</v>
      </c>
      <c r="N623" t="str">
        <f>VLOOKUP(C:C,Customer_Dim!B:I,5,1)</f>
        <v>Westbury</v>
      </c>
      <c r="O623" t="str">
        <f>VLOOKUP(C:C,Customer_Dim!B:I,6,1)</f>
        <v>Oregon</v>
      </c>
      <c r="P623" t="str">
        <f>VLOOKUP(C:C,Customer_Dim!B:I,7,1)</f>
        <v>USA</v>
      </c>
      <c r="Q623" t="str">
        <f>VLOOKUP(C:C,Customer_Dim!B:I,8,1)</f>
        <v>Platinum</v>
      </c>
      <c r="S623">
        <v>4</v>
      </c>
      <c r="T623">
        <v>395.45</v>
      </c>
      <c r="U623">
        <v>0.01</v>
      </c>
      <c r="V623">
        <v>1565.982</v>
      </c>
      <c r="X623" s="4">
        <v>4</v>
      </c>
      <c r="Y623">
        <v>395.45</v>
      </c>
      <c r="Z623">
        <v>0.01</v>
      </c>
      <c r="AA623">
        <v>1565.982</v>
      </c>
    </row>
    <row r="624" spans="1:27" x14ac:dyDescent="0.3">
      <c r="A624" t="s">
        <v>2431</v>
      </c>
      <c r="B624" s="2">
        <v>45421</v>
      </c>
      <c r="C624" t="s">
        <v>143</v>
      </c>
      <c r="D624" t="s">
        <v>1711</v>
      </c>
      <c r="E624" t="s">
        <v>1756</v>
      </c>
      <c r="F624" s="4">
        <v>2</v>
      </c>
      <c r="G624">
        <v>678.98</v>
      </c>
      <c r="H624">
        <v>0.23</v>
      </c>
      <c r="I624" t="s">
        <v>1807</v>
      </c>
      <c r="J624">
        <v>1045.6292000000001</v>
      </c>
      <c r="K624" t="s">
        <v>144</v>
      </c>
      <c r="L624">
        <v>27</v>
      </c>
      <c r="M624" t="str">
        <v>Female</v>
      </c>
      <c r="N624" t="str">
        <f>VLOOKUP(C:C,Customer_Dim!B:I,5,1)</f>
        <v>Luisfurt</v>
      </c>
      <c r="O624" t="str">
        <f>VLOOKUP(C:C,Customer_Dim!B:I,6,1)</f>
        <v>Georgia</v>
      </c>
      <c r="P624" t="str">
        <f>VLOOKUP(C:C,Customer_Dim!B:I,7,1)</f>
        <v>USA</v>
      </c>
      <c r="Q624" t="str">
        <f>VLOOKUP(C:C,Customer_Dim!B:I,8,1)</f>
        <v>Gold</v>
      </c>
      <c r="S624">
        <v>2</v>
      </c>
      <c r="T624">
        <v>678.98</v>
      </c>
      <c r="U624">
        <v>0.23</v>
      </c>
      <c r="V624">
        <v>1045.6292000000001</v>
      </c>
      <c r="X624" s="4">
        <v>2</v>
      </c>
      <c r="Y624">
        <v>678.98</v>
      </c>
      <c r="Z624">
        <v>0.23</v>
      </c>
      <c r="AA624">
        <v>1045.6292000000001</v>
      </c>
    </row>
    <row r="625" spans="1:27" x14ac:dyDescent="0.3">
      <c r="A625" t="s">
        <v>2432</v>
      </c>
      <c r="B625" s="2">
        <v>45608</v>
      </c>
      <c r="C625" t="s">
        <v>261</v>
      </c>
      <c r="D625" t="s">
        <v>1585</v>
      </c>
      <c r="E625" t="s">
        <v>1782</v>
      </c>
      <c r="F625" s="4">
        <v>4</v>
      </c>
      <c r="G625">
        <v>757.71</v>
      </c>
      <c r="H625">
        <v>0.26</v>
      </c>
      <c r="I625" t="s">
        <v>1812</v>
      </c>
      <c r="J625">
        <v>2242.8216000000002</v>
      </c>
      <c r="K625" t="s">
        <v>262</v>
      </c>
      <c r="L625">
        <v>56</v>
      </c>
      <c r="M625" t="str">
        <v>Female</v>
      </c>
      <c r="N625" t="str">
        <f>VLOOKUP(C:C,Customer_Dim!B:I,5,1)</f>
        <v>Olsonhaven</v>
      </c>
      <c r="O625" t="str">
        <f>VLOOKUP(C:C,Customer_Dim!B:I,6,1)</f>
        <v>Iowa</v>
      </c>
      <c r="P625" t="str">
        <f>VLOOKUP(C:C,Customer_Dim!B:I,7,1)</f>
        <v>USA</v>
      </c>
      <c r="Q625" t="str">
        <f>VLOOKUP(C:C,Customer_Dim!B:I,8,1)</f>
        <v>Gold</v>
      </c>
      <c r="S625">
        <v>4</v>
      </c>
      <c r="T625">
        <v>757.71</v>
      </c>
      <c r="U625">
        <v>0.26</v>
      </c>
      <c r="V625">
        <v>2242.8216000000002</v>
      </c>
      <c r="X625" s="4">
        <v>4</v>
      </c>
      <c r="Y625">
        <v>757.71</v>
      </c>
      <c r="Z625">
        <v>0.26</v>
      </c>
      <c r="AA625">
        <v>2242.8216000000002</v>
      </c>
    </row>
    <row r="626" spans="1:27" x14ac:dyDescent="0.3">
      <c r="A626" t="s">
        <v>2433</v>
      </c>
      <c r="B626" s="2">
        <v>45644</v>
      </c>
      <c r="C626" t="s">
        <v>218</v>
      </c>
      <c r="D626" t="s">
        <v>1719</v>
      </c>
      <c r="E626" t="s">
        <v>1752</v>
      </c>
      <c r="F626" s="4">
        <v>1</v>
      </c>
      <c r="G626">
        <v>647.86</v>
      </c>
      <c r="H626">
        <v>0.05</v>
      </c>
      <c r="I626" t="s">
        <v>1812</v>
      </c>
      <c r="J626">
        <v>615.46699999999998</v>
      </c>
      <c r="K626" t="s">
        <v>219</v>
      </c>
      <c r="L626">
        <v>22</v>
      </c>
      <c r="M626" t="str">
        <v>Female</v>
      </c>
      <c r="N626" t="str">
        <f>VLOOKUP(C:C,Customer_Dim!B:I,5,1)</f>
        <v>New Kathrynland</v>
      </c>
      <c r="O626" t="str">
        <f>VLOOKUP(C:C,Customer_Dim!B:I,6,1)</f>
        <v>Montana</v>
      </c>
      <c r="P626" t="str">
        <f>VLOOKUP(C:C,Customer_Dim!B:I,7,1)</f>
        <v>USA</v>
      </c>
      <c r="Q626" t="str">
        <f>VLOOKUP(C:C,Customer_Dim!B:I,8,1)</f>
        <v>Platinum</v>
      </c>
      <c r="S626">
        <v>1</v>
      </c>
      <c r="T626">
        <v>647.86</v>
      </c>
      <c r="U626">
        <v>0.05</v>
      </c>
      <c r="V626">
        <v>615.46699999999998</v>
      </c>
      <c r="X626" s="4">
        <v>1</v>
      </c>
      <c r="Y626">
        <v>647.86</v>
      </c>
      <c r="Z626">
        <v>0.05</v>
      </c>
      <c r="AA626">
        <v>615.46699999999998</v>
      </c>
    </row>
    <row r="627" spans="1:27" x14ac:dyDescent="0.3">
      <c r="A627" t="s">
        <v>2434</v>
      </c>
      <c r="B627" s="2">
        <v>45517</v>
      </c>
      <c r="C627" t="s">
        <v>456</v>
      </c>
      <c r="D627" t="s">
        <v>1555</v>
      </c>
      <c r="E627" t="s">
        <v>1759</v>
      </c>
      <c r="F627" s="4">
        <v>2</v>
      </c>
      <c r="G627">
        <v>179.64</v>
      </c>
      <c r="H627">
        <v>0.1</v>
      </c>
      <c r="I627" t="s">
        <v>1809</v>
      </c>
      <c r="J627">
        <v>323.35199999999998</v>
      </c>
      <c r="K627" t="s">
        <v>457</v>
      </c>
      <c r="L627">
        <v>29</v>
      </c>
      <c r="M627" t="str">
        <v>Male</v>
      </c>
      <c r="N627" t="str">
        <f>VLOOKUP(C:C,Customer_Dim!B:I,5,1)</f>
        <v>Gonzalezbury</v>
      </c>
      <c r="O627" t="str">
        <f>VLOOKUP(C:C,Customer_Dim!B:I,6,1)</f>
        <v>Michigan</v>
      </c>
      <c r="P627" t="str">
        <f>VLOOKUP(C:C,Customer_Dim!B:I,7,1)</f>
        <v>USA</v>
      </c>
      <c r="Q627" t="str">
        <f>VLOOKUP(C:C,Customer_Dim!B:I,8,1)</f>
        <v>Platinum</v>
      </c>
      <c r="S627">
        <v>2</v>
      </c>
      <c r="T627">
        <v>179.64</v>
      </c>
      <c r="U627">
        <v>0.1</v>
      </c>
      <c r="V627">
        <v>323.35199999999998</v>
      </c>
      <c r="X627" s="4">
        <v>2</v>
      </c>
      <c r="Y627">
        <v>179.64</v>
      </c>
      <c r="Z627">
        <v>0.1</v>
      </c>
      <c r="AA627">
        <v>323.35199999999998</v>
      </c>
    </row>
    <row r="628" spans="1:27" x14ac:dyDescent="0.3">
      <c r="A628" t="s">
        <v>2435</v>
      </c>
      <c r="B628" s="2">
        <v>45545</v>
      </c>
      <c r="C628" t="s">
        <v>1222</v>
      </c>
      <c r="D628" t="s">
        <v>1655</v>
      </c>
      <c r="E628" t="s">
        <v>1752</v>
      </c>
      <c r="F628" s="4">
        <v>3</v>
      </c>
      <c r="G628">
        <v>392.65</v>
      </c>
      <c r="H628">
        <v>0.17</v>
      </c>
      <c r="I628" t="s">
        <v>1809</v>
      </c>
      <c r="J628">
        <v>977.69849999999985</v>
      </c>
      <c r="K628" t="s">
        <v>1223</v>
      </c>
      <c r="L628">
        <v>62</v>
      </c>
      <c r="M628" t="str">
        <v>Female</v>
      </c>
      <c r="N628" t="str">
        <f>VLOOKUP(C:C,Customer_Dim!B:I,5,1)</f>
        <v>Parkerview</v>
      </c>
      <c r="O628" t="str">
        <f>VLOOKUP(C:C,Customer_Dim!B:I,6,1)</f>
        <v>New York</v>
      </c>
      <c r="P628" t="str">
        <f>VLOOKUP(C:C,Customer_Dim!B:I,7,1)</f>
        <v>USA</v>
      </c>
      <c r="Q628" t="str">
        <f>VLOOKUP(C:C,Customer_Dim!B:I,8,1)</f>
        <v>Silver</v>
      </c>
      <c r="S628">
        <v>3</v>
      </c>
      <c r="T628">
        <v>392.65</v>
      </c>
      <c r="U628">
        <v>0.17</v>
      </c>
      <c r="V628">
        <v>977.69849999999985</v>
      </c>
      <c r="X628" s="4">
        <v>3</v>
      </c>
      <c r="Y628">
        <v>392.65</v>
      </c>
      <c r="Z628">
        <v>0.17</v>
      </c>
      <c r="AA628">
        <v>977.69849999999985</v>
      </c>
    </row>
    <row r="629" spans="1:27" x14ac:dyDescent="0.3">
      <c r="A629" t="s">
        <v>2436</v>
      </c>
      <c r="B629" s="2">
        <v>45547</v>
      </c>
      <c r="C629" t="s">
        <v>576</v>
      </c>
      <c r="D629" t="s">
        <v>1713</v>
      </c>
      <c r="E629" t="s">
        <v>1787</v>
      </c>
      <c r="F629" s="4">
        <v>4</v>
      </c>
      <c r="G629">
        <v>969.55</v>
      </c>
      <c r="H629">
        <v>0.09</v>
      </c>
      <c r="I629" t="s">
        <v>1812</v>
      </c>
      <c r="J629">
        <v>3529.1619999999998</v>
      </c>
      <c r="K629" t="s">
        <v>577</v>
      </c>
      <c r="L629">
        <v>55</v>
      </c>
      <c r="M629" t="str">
        <v>Male</v>
      </c>
      <c r="N629" t="str">
        <f>VLOOKUP(C:C,Customer_Dim!B:I,5,1)</f>
        <v>Anabury</v>
      </c>
      <c r="O629" t="str">
        <f>VLOOKUP(C:C,Customer_Dim!B:I,6,1)</f>
        <v>Vermont</v>
      </c>
      <c r="P629" t="str">
        <f>VLOOKUP(C:C,Customer_Dim!B:I,7,1)</f>
        <v>USA</v>
      </c>
      <c r="Q629" t="str">
        <f>VLOOKUP(C:C,Customer_Dim!B:I,8,1)</f>
        <v>Silver</v>
      </c>
      <c r="S629">
        <v>4</v>
      </c>
      <c r="T629">
        <v>969.55</v>
      </c>
      <c r="U629">
        <v>0.09</v>
      </c>
      <c r="V629">
        <v>3529.1619999999998</v>
      </c>
      <c r="X629" s="4">
        <v>4</v>
      </c>
      <c r="Y629">
        <v>969.55</v>
      </c>
      <c r="Z629">
        <v>0.09</v>
      </c>
      <c r="AA629">
        <v>3529.1619999999998</v>
      </c>
    </row>
    <row r="630" spans="1:27" x14ac:dyDescent="0.3">
      <c r="A630" t="s">
        <v>2437</v>
      </c>
      <c r="B630" s="2">
        <v>45433</v>
      </c>
      <c r="C630" t="s">
        <v>1409</v>
      </c>
      <c r="D630" t="s">
        <v>1679</v>
      </c>
      <c r="E630" t="s">
        <v>1777</v>
      </c>
      <c r="F630" s="4">
        <v>3</v>
      </c>
      <c r="G630">
        <v>322.94</v>
      </c>
      <c r="H630">
        <v>0.01</v>
      </c>
      <c r="I630" t="s">
        <v>1807</v>
      </c>
      <c r="J630">
        <v>959.13179999999988</v>
      </c>
      <c r="K630" t="s">
        <v>1410</v>
      </c>
      <c r="L630">
        <v>36</v>
      </c>
      <c r="M630" t="str">
        <v>Female</v>
      </c>
      <c r="N630" t="str">
        <f>VLOOKUP(C:C,Customer_Dim!B:I,5,1)</f>
        <v>Burkefurt</v>
      </c>
      <c r="O630" t="str">
        <f>VLOOKUP(C:C,Customer_Dim!B:I,6,1)</f>
        <v>West Virginia</v>
      </c>
      <c r="P630" t="str">
        <f>VLOOKUP(C:C,Customer_Dim!B:I,7,1)</f>
        <v>USA</v>
      </c>
      <c r="Q630" t="str">
        <f>VLOOKUP(C:C,Customer_Dim!B:I,8,1)</f>
        <v>Silver</v>
      </c>
      <c r="S630">
        <v>3</v>
      </c>
      <c r="T630">
        <v>322.94</v>
      </c>
      <c r="U630">
        <v>0.01</v>
      </c>
      <c r="V630">
        <v>959.13179999999988</v>
      </c>
      <c r="X630" s="4">
        <v>3</v>
      </c>
      <c r="Y630">
        <v>322.94</v>
      </c>
      <c r="Z630">
        <v>0.01</v>
      </c>
      <c r="AA630">
        <v>959.13179999999988</v>
      </c>
    </row>
    <row r="631" spans="1:27" x14ac:dyDescent="0.3">
      <c r="A631" t="s">
        <v>2438</v>
      </c>
      <c r="B631" s="2">
        <v>45792</v>
      </c>
      <c r="C631" t="s">
        <v>1121</v>
      </c>
      <c r="D631" t="s">
        <v>1697</v>
      </c>
      <c r="E631" t="s">
        <v>1735</v>
      </c>
      <c r="F631" s="4">
        <v>1</v>
      </c>
      <c r="G631">
        <v>92.83</v>
      </c>
      <c r="H631">
        <v>0.26</v>
      </c>
      <c r="I631" t="s">
        <v>1809</v>
      </c>
      <c r="J631">
        <v>68.694199999999995</v>
      </c>
      <c r="K631" t="s">
        <v>3947</v>
      </c>
      <c r="L631">
        <v>23</v>
      </c>
      <c r="M631" t="str">
        <v>Male</v>
      </c>
      <c r="N631" t="str">
        <f>VLOOKUP(C:C,Customer_Dim!B:I,5,1)</f>
        <v>Melvinton</v>
      </c>
      <c r="O631" t="str">
        <f>VLOOKUP(C:C,Customer_Dim!B:I,6,1)</f>
        <v>Alaska</v>
      </c>
      <c r="P631" t="str">
        <f>VLOOKUP(C:C,Customer_Dim!B:I,7,1)</f>
        <v>USA</v>
      </c>
      <c r="Q631" t="str">
        <f>VLOOKUP(C:C,Customer_Dim!B:I,8,1)</f>
        <v>Gold</v>
      </c>
      <c r="S631">
        <v>1</v>
      </c>
      <c r="T631">
        <v>92.83</v>
      </c>
      <c r="U631">
        <v>0.26</v>
      </c>
      <c r="V631">
        <v>68.694199999999995</v>
      </c>
      <c r="X631" s="4">
        <v>1</v>
      </c>
      <c r="Y631">
        <v>92.83</v>
      </c>
      <c r="Z631">
        <v>0.26</v>
      </c>
      <c r="AA631">
        <v>68.694199999999995</v>
      </c>
    </row>
    <row r="632" spans="1:27" x14ac:dyDescent="0.3">
      <c r="A632" t="s">
        <v>2439</v>
      </c>
      <c r="B632" s="2">
        <v>45804</v>
      </c>
      <c r="C632" t="s">
        <v>1290</v>
      </c>
      <c r="D632" t="s">
        <v>1545</v>
      </c>
      <c r="E632" t="s">
        <v>1749</v>
      </c>
      <c r="F632" s="4">
        <v>4</v>
      </c>
      <c r="G632">
        <v>432.29</v>
      </c>
      <c r="H632">
        <v>0.16</v>
      </c>
      <c r="I632" t="s">
        <v>1812</v>
      </c>
      <c r="J632">
        <v>1452.4944</v>
      </c>
      <c r="K632" t="s">
        <v>3949</v>
      </c>
      <c r="L632">
        <v>45</v>
      </c>
      <c r="M632" t="str">
        <v>Female</v>
      </c>
      <c r="N632" t="str">
        <f>VLOOKUP(C:C,Customer_Dim!B:I,5,1)</f>
        <v>New Benjamin</v>
      </c>
      <c r="O632" t="str">
        <f>VLOOKUP(C:C,Customer_Dim!B:I,6,1)</f>
        <v>North Carolina</v>
      </c>
      <c r="P632" t="str">
        <f>VLOOKUP(C:C,Customer_Dim!B:I,7,1)</f>
        <v>USA</v>
      </c>
      <c r="Q632" t="str">
        <f>VLOOKUP(C:C,Customer_Dim!B:I,8,1)</f>
        <v>Bronze</v>
      </c>
      <c r="S632">
        <v>4</v>
      </c>
      <c r="T632">
        <v>432.29</v>
      </c>
      <c r="U632">
        <v>0.16</v>
      </c>
      <c r="V632">
        <v>1452.4944</v>
      </c>
      <c r="X632" s="4">
        <v>4</v>
      </c>
      <c r="Y632">
        <v>432.29</v>
      </c>
      <c r="Z632">
        <v>0.16</v>
      </c>
      <c r="AA632">
        <v>1452.4944</v>
      </c>
    </row>
    <row r="633" spans="1:27" x14ac:dyDescent="0.3">
      <c r="A633" t="s">
        <v>2440</v>
      </c>
      <c r="B633" s="2">
        <v>45311</v>
      </c>
      <c r="C633" t="s">
        <v>289</v>
      </c>
      <c r="D633" t="s">
        <v>1609</v>
      </c>
      <c r="E633" t="s">
        <v>1780</v>
      </c>
      <c r="F633" s="4">
        <v>2</v>
      </c>
      <c r="G633">
        <v>925.78</v>
      </c>
      <c r="H633">
        <v>0.14000000000000001</v>
      </c>
      <c r="I633" t="s">
        <v>1812</v>
      </c>
      <c r="J633">
        <v>1592.3416</v>
      </c>
      <c r="K633" t="s">
        <v>290</v>
      </c>
      <c r="L633">
        <v>34</v>
      </c>
      <c r="M633" t="str">
        <v>Female</v>
      </c>
      <c r="N633" t="str">
        <f>VLOOKUP(C:C,Customer_Dim!B:I,5,1)</f>
        <v>New Sean</v>
      </c>
      <c r="O633" t="str">
        <f>VLOOKUP(C:C,Customer_Dim!B:I,6,1)</f>
        <v>New Mexico</v>
      </c>
      <c r="P633" t="str">
        <f>VLOOKUP(C:C,Customer_Dim!B:I,7,1)</f>
        <v>USA</v>
      </c>
      <c r="Q633" t="str">
        <f>VLOOKUP(C:C,Customer_Dim!B:I,8,1)</f>
        <v>Bronze</v>
      </c>
      <c r="S633">
        <v>2</v>
      </c>
      <c r="T633">
        <v>925.78</v>
      </c>
      <c r="U633">
        <v>0.14000000000000001</v>
      </c>
      <c r="V633">
        <v>1592.3416</v>
      </c>
      <c r="X633" s="4">
        <v>2</v>
      </c>
      <c r="Y633">
        <v>925.78</v>
      </c>
      <c r="Z633">
        <v>0.14000000000000001</v>
      </c>
      <c r="AA633">
        <v>1592.3416</v>
      </c>
    </row>
    <row r="634" spans="1:27" x14ac:dyDescent="0.3">
      <c r="A634" t="s">
        <v>2441</v>
      </c>
      <c r="B634" s="2">
        <v>45605</v>
      </c>
      <c r="C634" t="s">
        <v>1453</v>
      </c>
      <c r="D634" t="s">
        <v>1581</v>
      </c>
      <c r="E634" t="s">
        <v>1775</v>
      </c>
      <c r="F634" s="4">
        <v>2</v>
      </c>
      <c r="G634">
        <v>151.47</v>
      </c>
      <c r="H634">
        <v>0.21</v>
      </c>
      <c r="I634" t="s">
        <v>1809</v>
      </c>
      <c r="J634">
        <v>239.32259999999999</v>
      </c>
      <c r="K634" t="s">
        <v>1454</v>
      </c>
      <c r="L634">
        <v>59</v>
      </c>
      <c r="M634" t="str">
        <v>Male</v>
      </c>
      <c r="N634" t="str">
        <f>VLOOKUP(C:C,Customer_Dim!B:I,5,1)</f>
        <v>West Kelseyberg</v>
      </c>
      <c r="O634" t="str">
        <f>VLOOKUP(C:C,Customer_Dim!B:I,6,1)</f>
        <v>Kansas</v>
      </c>
      <c r="P634" t="str">
        <f>VLOOKUP(C:C,Customer_Dim!B:I,7,1)</f>
        <v>USA</v>
      </c>
      <c r="Q634" t="str">
        <f>VLOOKUP(C:C,Customer_Dim!B:I,8,1)</f>
        <v>Platinum</v>
      </c>
      <c r="S634">
        <v>2</v>
      </c>
      <c r="T634">
        <v>151.47</v>
      </c>
      <c r="U634">
        <v>0.21</v>
      </c>
      <c r="V634">
        <v>239.32259999999999</v>
      </c>
      <c r="X634" s="4">
        <v>2</v>
      </c>
      <c r="Y634">
        <v>151.47</v>
      </c>
      <c r="Z634">
        <v>0.21</v>
      </c>
      <c r="AA634">
        <v>239.32259999999999</v>
      </c>
    </row>
    <row r="635" spans="1:27" x14ac:dyDescent="0.3">
      <c r="A635" t="s">
        <v>2442</v>
      </c>
      <c r="B635" s="2">
        <v>45338</v>
      </c>
      <c r="C635" t="s">
        <v>1373</v>
      </c>
      <c r="D635" t="s">
        <v>1697</v>
      </c>
      <c r="E635" t="s">
        <v>1772</v>
      </c>
      <c r="F635" s="4">
        <v>1</v>
      </c>
      <c r="G635">
        <v>343.05</v>
      </c>
      <c r="H635">
        <v>0.28000000000000003</v>
      </c>
      <c r="I635" t="s">
        <v>1809</v>
      </c>
      <c r="J635">
        <v>246.99600000000001</v>
      </c>
      <c r="K635" t="s">
        <v>1374</v>
      </c>
      <c r="L635">
        <v>59</v>
      </c>
      <c r="M635" t="str">
        <v>Male</v>
      </c>
      <c r="N635" t="str">
        <f>VLOOKUP(C:C,Customer_Dim!B:I,5,1)</f>
        <v>Port Hannahport</v>
      </c>
      <c r="O635" t="str">
        <f>VLOOKUP(C:C,Customer_Dim!B:I,6,1)</f>
        <v>Ohio</v>
      </c>
      <c r="P635" t="str">
        <f>VLOOKUP(C:C,Customer_Dim!B:I,7,1)</f>
        <v>USA</v>
      </c>
      <c r="Q635" t="str">
        <f>VLOOKUP(C:C,Customer_Dim!B:I,8,1)</f>
        <v>Bronze</v>
      </c>
      <c r="S635">
        <v>1</v>
      </c>
      <c r="T635">
        <v>343.05</v>
      </c>
      <c r="U635">
        <v>0.28000000000000003</v>
      </c>
      <c r="V635">
        <v>246.99600000000001</v>
      </c>
      <c r="X635" s="4">
        <v>1</v>
      </c>
      <c r="Y635">
        <v>343.05</v>
      </c>
      <c r="Z635">
        <v>0.28000000000000003</v>
      </c>
      <c r="AA635">
        <v>246.99600000000001</v>
      </c>
    </row>
    <row r="636" spans="1:27" x14ac:dyDescent="0.3">
      <c r="A636" t="s">
        <v>2443</v>
      </c>
      <c r="B636" s="2">
        <v>45642</v>
      </c>
      <c r="C636" t="s">
        <v>241</v>
      </c>
      <c r="D636" t="s">
        <v>1565</v>
      </c>
      <c r="E636" t="s">
        <v>1752</v>
      </c>
      <c r="F636" s="4">
        <v>1</v>
      </c>
      <c r="G636">
        <v>373.06</v>
      </c>
      <c r="H636">
        <v>0.11</v>
      </c>
      <c r="I636" t="s">
        <v>1809</v>
      </c>
      <c r="J636">
        <v>332.02339999999998</v>
      </c>
      <c r="K636" t="s">
        <v>242</v>
      </c>
      <c r="L636">
        <v>58</v>
      </c>
      <c r="M636" t="str">
        <v>Male</v>
      </c>
      <c r="N636" t="str">
        <f>VLOOKUP(C:C,Customer_Dim!B:I,5,1)</f>
        <v>South Aaronside</v>
      </c>
      <c r="O636" t="str">
        <f>VLOOKUP(C:C,Customer_Dim!B:I,6,1)</f>
        <v>New Hampshire</v>
      </c>
      <c r="P636" t="str">
        <f>VLOOKUP(C:C,Customer_Dim!B:I,7,1)</f>
        <v>USA</v>
      </c>
      <c r="Q636" t="str">
        <f>VLOOKUP(C:C,Customer_Dim!B:I,8,1)</f>
        <v>Silver</v>
      </c>
      <c r="S636">
        <v>1</v>
      </c>
      <c r="T636">
        <v>373.06</v>
      </c>
      <c r="U636">
        <v>0.11</v>
      </c>
      <c r="V636">
        <v>332.02339999999998</v>
      </c>
      <c r="X636" s="4">
        <v>1</v>
      </c>
      <c r="Y636">
        <v>373.06</v>
      </c>
      <c r="Z636">
        <v>0.11</v>
      </c>
      <c r="AA636">
        <v>332.02339999999998</v>
      </c>
    </row>
    <row r="637" spans="1:27" x14ac:dyDescent="0.3">
      <c r="A637" t="s">
        <v>2444</v>
      </c>
      <c r="B637" s="2">
        <v>45693</v>
      </c>
      <c r="C637" t="s">
        <v>1264</v>
      </c>
      <c r="D637" t="s">
        <v>1567</v>
      </c>
      <c r="E637" t="s">
        <v>1784</v>
      </c>
      <c r="F637" s="4">
        <v>1</v>
      </c>
      <c r="G637">
        <v>124.98</v>
      </c>
      <c r="H637">
        <v>7.0000000000000007E-2</v>
      </c>
      <c r="I637" t="s">
        <v>1812</v>
      </c>
      <c r="J637">
        <v>116.23139999999999</v>
      </c>
      <c r="K637" t="s">
        <v>1265</v>
      </c>
      <c r="L637">
        <v>23</v>
      </c>
      <c r="M637" t="str">
        <v>Female</v>
      </c>
      <c r="N637" t="str">
        <f>VLOOKUP(C:C,Customer_Dim!B:I,5,1)</f>
        <v>West Rebecca</v>
      </c>
      <c r="O637" t="str">
        <f>VLOOKUP(C:C,Customer_Dim!B:I,6,1)</f>
        <v>Ohio</v>
      </c>
      <c r="P637" t="str">
        <f>VLOOKUP(C:C,Customer_Dim!B:I,7,1)</f>
        <v>USA</v>
      </c>
      <c r="Q637" t="str">
        <f>VLOOKUP(C:C,Customer_Dim!B:I,8,1)</f>
        <v>Silver</v>
      </c>
      <c r="S637">
        <v>1</v>
      </c>
      <c r="T637">
        <v>124.98</v>
      </c>
      <c r="U637">
        <v>7.0000000000000007E-2</v>
      </c>
      <c r="V637">
        <v>116.23139999999999</v>
      </c>
      <c r="X637" s="4">
        <v>1</v>
      </c>
      <c r="Y637">
        <v>124.98</v>
      </c>
      <c r="Z637">
        <v>7.0000000000000007E-2</v>
      </c>
      <c r="AA637">
        <v>116.23139999999999</v>
      </c>
    </row>
    <row r="638" spans="1:27" x14ac:dyDescent="0.3">
      <c r="A638" t="s">
        <v>2445</v>
      </c>
      <c r="B638" s="2">
        <v>45763</v>
      </c>
      <c r="C638" t="s">
        <v>858</v>
      </c>
      <c r="D638" t="s">
        <v>1677</v>
      </c>
      <c r="E638" t="s">
        <v>1796</v>
      </c>
      <c r="F638" s="4">
        <v>4</v>
      </c>
      <c r="G638">
        <v>221.49</v>
      </c>
      <c r="H638">
        <v>0.26</v>
      </c>
      <c r="I638" t="s">
        <v>1809</v>
      </c>
      <c r="J638">
        <v>655.61040000000003</v>
      </c>
      <c r="K638" t="s">
        <v>859</v>
      </c>
      <c r="L638">
        <v>23</v>
      </c>
      <c r="M638" t="str">
        <v>Male</v>
      </c>
      <c r="N638" t="str">
        <f>VLOOKUP(C:C,Customer_Dim!B:I,5,1)</f>
        <v>Welchview</v>
      </c>
      <c r="O638" t="str">
        <f>VLOOKUP(C:C,Customer_Dim!B:I,6,1)</f>
        <v>California</v>
      </c>
      <c r="P638" t="str">
        <f>VLOOKUP(C:C,Customer_Dim!B:I,7,1)</f>
        <v>USA</v>
      </c>
      <c r="Q638" t="str">
        <f>VLOOKUP(C:C,Customer_Dim!B:I,8,1)</f>
        <v>Gold</v>
      </c>
      <c r="S638">
        <v>4</v>
      </c>
      <c r="T638">
        <v>221.49</v>
      </c>
      <c r="U638">
        <v>0.26</v>
      </c>
      <c r="V638">
        <v>655.61040000000003</v>
      </c>
      <c r="X638" s="4">
        <v>4</v>
      </c>
      <c r="Y638">
        <v>221.49</v>
      </c>
      <c r="Z638">
        <v>0.26</v>
      </c>
      <c r="AA638">
        <v>655.61040000000003</v>
      </c>
    </row>
    <row r="639" spans="1:27" x14ac:dyDescent="0.3">
      <c r="A639" t="s">
        <v>2446</v>
      </c>
      <c r="B639" s="2">
        <v>45572</v>
      </c>
      <c r="C639" t="s">
        <v>560</v>
      </c>
      <c r="D639" t="s">
        <v>1577</v>
      </c>
      <c r="E639" t="s">
        <v>1784</v>
      </c>
      <c r="F639" s="4">
        <v>1</v>
      </c>
      <c r="G639">
        <v>563.32000000000005</v>
      </c>
      <c r="H639">
        <v>0.01</v>
      </c>
      <c r="I639" t="s">
        <v>1809</v>
      </c>
      <c r="J639">
        <v>557.68680000000006</v>
      </c>
      <c r="K639" t="s">
        <v>3940</v>
      </c>
      <c r="L639">
        <v>44</v>
      </c>
      <c r="M639" t="str">
        <v>Female</v>
      </c>
      <c r="N639" t="str">
        <f>VLOOKUP(C:C,Customer_Dim!B:I,5,1)</f>
        <v>New Joseph</v>
      </c>
      <c r="O639" t="str">
        <f>VLOOKUP(C:C,Customer_Dim!B:I,6,1)</f>
        <v>Missouri</v>
      </c>
      <c r="P639" t="str">
        <f>VLOOKUP(C:C,Customer_Dim!B:I,7,1)</f>
        <v>USA</v>
      </c>
      <c r="Q639" t="str">
        <f>VLOOKUP(C:C,Customer_Dim!B:I,8,1)</f>
        <v>Gold</v>
      </c>
      <c r="S639">
        <v>1</v>
      </c>
      <c r="T639">
        <v>563.32000000000005</v>
      </c>
      <c r="U639">
        <v>0.01</v>
      </c>
      <c r="V639">
        <v>557.68680000000006</v>
      </c>
      <c r="X639" s="4">
        <v>1</v>
      </c>
      <c r="Y639">
        <v>563.32000000000005</v>
      </c>
      <c r="Z639">
        <v>0.01</v>
      </c>
      <c r="AA639">
        <v>557.68680000000006</v>
      </c>
    </row>
    <row r="640" spans="1:27" x14ac:dyDescent="0.3">
      <c r="A640" t="s">
        <v>2447</v>
      </c>
      <c r="B640" s="2">
        <v>45338</v>
      </c>
      <c r="C640" t="s">
        <v>1204</v>
      </c>
      <c r="D640" t="s">
        <v>1553</v>
      </c>
      <c r="E640" t="s">
        <v>1735</v>
      </c>
      <c r="F640" s="4">
        <v>1</v>
      </c>
      <c r="G640">
        <v>362.93</v>
      </c>
      <c r="H640">
        <v>0.27</v>
      </c>
      <c r="I640" t="s">
        <v>1807</v>
      </c>
      <c r="J640">
        <v>264.93889999999999</v>
      </c>
      <c r="K640" t="s">
        <v>1205</v>
      </c>
      <c r="L640">
        <v>40</v>
      </c>
      <c r="M640" t="str">
        <v>Female</v>
      </c>
      <c r="N640" t="str">
        <f>VLOOKUP(C:C,Customer_Dim!B:I,5,1)</f>
        <v>Deniseberg</v>
      </c>
      <c r="O640" t="str">
        <f>VLOOKUP(C:C,Customer_Dim!B:I,6,1)</f>
        <v>Arkansas</v>
      </c>
      <c r="P640" t="str">
        <f>VLOOKUP(C:C,Customer_Dim!B:I,7,1)</f>
        <v>USA</v>
      </c>
      <c r="Q640" t="str">
        <f>VLOOKUP(C:C,Customer_Dim!B:I,8,1)</f>
        <v>Silver</v>
      </c>
      <c r="S640">
        <v>1</v>
      </c>
      <c r="T640">
        <v>362.93</v>
      </c>
      <c r="U640">
        <v>0.27</v>
      </c>
      <c r="V640">
        <v>264.93889999999999</v>
      </c>
      <c r="X640" s="4">
        <v>1</v>
      </c>
      <c r="Y640">
        <v>362.93</v>
      </c>
      <c r="Z640">
        <v>0.27</v>
      </c>
      <c r="AA640">
        <v>264.93889999999999</v>
      </c>
    </row>
    <row r="641" spans="1:27" x14ac:dyDescent="0.3">
      <c r="A641" t="s">
        <v>2448</v>
      </c>
      <c r="B641" s="2">
        <v>45373</v>
      </c>
      <c r="C641" t="s">
        <v>1045</v>
      </c>
      <c r="D641" t="s">
        <v>1553</v>
      </c>
      <c r="E641" t="s">
        <v>1784</v>
      </c>
      <c r="F641" s="4">
        <v>4</v>
      </c>
      <c r="G641">
        <v>369.22</v>
      </c>
      <c r="H641">
        <v>0.18</v>
      </c>
      <c r="I641" t="s">
        <v>1812</v>
      </c>
      <c r="J641">
        <v>1211.0416</v>
      </c>
      <c r="K641" t="s">
        <v>1046</v>
      </c>
      <c r="L641">
        <v>40</v>
      </c>
      <c r="M641" t="str">
        <v>Female</v>
      </c>
      <c r="N641" t="str">
        <f>VLOOKUP(C:C,Customer_Dim!B:I,5,1)</f>
        <v>North Michaelborough</v>
      </c>
      <c r="O641" t="str">
        <f>VLOOKUP(C:C,Customer_Dim!B:I,6,1)</f>
        <v>Oregon</v>
      </c>
      <c r="P641" t="str">
        <f>VLOOKUP(C:C,Customer_Dim!B:I,7,1)</f>
        <v>USA</v>
      </c>
      <c r="Q641" t="str">
        <f>VLOOKUP(C:C,Customer_Dim!B:I,8,1)</f>
        <v>Silver</v>
      </c>
      <c r="S641">
        <v>4</v>
      </c>
      <c r="T641">
        <v>369.22</v>
      </c>
      <c r="U641">
        <v>0.18</v>
      </c>
      <c r="V641">
        <v>1211.0416</v>
      </c>
      <c r="X641" s="4">
        <v>4</v>
      </c>
      <c r="Y641">
        <v>369.22</v>
      </c>
      <c r="Z641">
        <v>0.18</v>
      </c>
      <c r="AA641">
        <v>1211.0416</v>
      </c>
    </row>
    <row r="642" spans="1:27" x14ac:dyDescent="0.3">
      <c r="A642" t="s">
        <v>2449</v>
      </c>
      <c r="B642" s="2">
        <v>45590</v>
      </c>
      <c r="C642" t="s">
        <v>1261</v>
      </c>
      <c r="D642" t="s">
        <v>1723</v>
      </c>
      <c r="E642" t="s">
        <v>1782</v>
      </c>
      <c r="F642" s="4">
        <v>3</v>
      </c>
      <c r="G642">
        <v>950.83</v>
      </c>
      <c r="H642">
        <v>0.06</v>
      </c>
      <c r="I642" t="s">
        <v>1809</v>
      </c>
      <c r="J642">
        <v>2681.3406</v>
      </c>
      <c r="K642" t="s">
        <v>1262</v>
      </c>
      <c r="L642">
        <v>63</v>
      </c>
      <c r="M642" t="str">
        <v>Male</v>
      </c>
      <c r="N642" t="str">
        <f>VLOOKUP(C:C,Customer_Dim!B:I,5,1)</f>
        <v>South Edwin</v>
      </c>
      <c r="O642" t="str">
        <f>VLOOKUP(C:C,Customer_Dim!B:I,6,1)</f>
        <v>New Jersey</v>
      </c>
      <c r="P642" t="str">
        <f>VLOOKUP(C:C,Customer_Dim!B:I,7,1)</f>
        <v>USA</v>
      </c>
      <c r="Q642" t="str">
        <f>VLOOKUP(C:C,Customer_Dim!B:I,8,1)</f>
        <v>Bronze</v>
      </c>
      <c r="S642">
        <v>3</v>
      </c>
      <c r="T642">
        <v>950.83</v>
      </c>
      <c r="U642">
        <v>0.06</v>
      </c>
      <c r="V642">
        <v>2681.3406</v>
      </c>
      <c r="X642" s="4">
        <v>3</v>
      </c>
      <c r="Y642">
        <v>950.83</v>
      </c>
      <c r="Z642">
        <v>0.06</v>
      </c>
      <c r="AA642">
        <v>2681.3406</v>
      </c>
    </row>
    <row r="643" spans="1:27" x14ac:dyDescent="0.3">
      <c r="A643" t="s">
        <v>2450</v>
      </c>
      <c r="B643" s="2">
        <v>45365</v>
      </c>
      <c r="C643" t="s">
        <v>479</v>
      </c>
      <c r="D643" t="s">
        <v>1605</v>
      </c>
      <c r="E643" t="s">
        <v>1780</v>
      </c>
      <c r="F643" s="4">
        <v>3</v>
      </c>
      <c r="G643">
        <v>338.79</v>
      </c>
      <c r="H643">
        <v>0.01</v>
      </c>
      <c r="I643" t="s">
        <v>1807</v>
      </c>
      <c r="J643">
        <v>1006.2063000000001</v>
      </c>
      <c r="K643" t="s">
        <v>480</v>
      </c>
      <c r="L643">
        <v>62</v>
      </c>
      <c r="M643" t="str">
        <v>Female</v>
      </c>
      <c r="N643" t="str">
        <f>VLOOKUP(C:C,Customer_Dim!B:I,5,1)</f>
        <v>Dwaynemouth</v>
      </c>
      <c r="O643" t="str">
        <f>VLOOKUP(C:C,Customer_Dim!B:I,6,1)</f>
        <v>Alabama</v>
      </c>
      <c r="P643" t="str">
        <f>VLOOKUP(C:C,Customer_Dim!B:I,7,1)</f>
        <v>USA</v>
      </c>
      <c r="Q643" t="str">
        <f>VLOOKUP(C:C,Customer_Dim!B:I,8,1)</f>
        <v>Bronze</v>
      </c>
      <c r="S643">
        <v>3</v>
      </c>
      <c r="T643">
        <v>338.79</v>
      </c>
      <c r="U643">
        <v>0.01</v>
      </c>
      <c r="V643">
        <v>1006.2063000000001</v>
      </c>
      <c r="X643" s="4">
        <v>3</v>
      </c>
      <c r="Y643">
        <v>338.79</v>
      </c>
      <c r="Z643">
        <v>0.01</v>
      </c>
      <c r="AA643">
        <v>1006.2063000000001</v>
      </c>
    </row>
    <row r="644" spans="1:27" x14ac:dyDescent="0.3">
      <c r="A644" t="s">
        <v>2451</v>
      </c>
      <c r="B644" s="2">
        <v>45711</v>
      </c>
      <c r="C644" t="s">
        <v>488</v>
      </c>
      <c r="D644" t="s">
        <v>1711</v>
      </c>
      <c r="E644" t="s">
        <v>1740</v>
      </c>
      <c r="F644" s="4">
        <v>3</v>
      </c>
      <c r="G644">
        <v>853.32</v>
      </c>
      <c r="H644">
        <v>7.0000000000000007E-2</v>
      </c>
      <c r="I644" t="s">
        <v>1812</v>
      </c>
      <c r="J644">
        <v>2380.7628</v>
      </c>
      <c r="K644" t="s">
        <v>489</v>
      </c>
      <c r="L644">
        <v>49</v>
      </c>
      <c r="M644" t="str">
        <v>Female</v>
      </c>
      <c r="N644" t="str">
        <f>VLOOKUP(C:C,Customer_Dim!B:I,5,1)</f>
        <v>Chungmouth</v>
      </c>
      <c r="O644" t="str">
        <f>VLOOKUP(C:C,Customer_Dim!B:I,6,1)</f>
        <v>South Carolina</v>
      </c>
      <c r="P644" t="str">
        <f>VLOOKUP(C:C,Customer_Dim!B:I,7,1)</f>
        <v>USA</v>
      </c>
      <c r="Q644" t="str">
        <f>VLOOKUP(C:C,Customer_Dim!B:I,8,1)</f>
        <v>Gold</v>
      </c>
      <c r="S644">
        <v>3</v>
      </c>
      <c r="T644">
        <v>853.32</v>
      </c>
      <c r="U644">
        <v>7.0000000000000007E-2</v>
      </c>
      <c r="V644">
        <v>2380.7628</v>
      </c>
      <c r="X644" s="4">
        <v>3</v>
      </c>
      <c r="Y644">
        <v>853.32</v>
      </c>
      <c r="Z644">
        <v>7.0000000000000007E-2</v>
      </c>
      <c r="AA644">
        <v>2380.7628</v>
      </c>
    </row>
    <row r="645" spans="1:27" x14ac:dyDescent="0.3">
      <c r="A645" t="s">
        <v>2452</v>
      </c>
      <c r="B645" s="2">
        <v>45586</v>
      </c>
      <c r="C645" t="s">
        <v>497</v>
      </c>
      <c r="D645" t="s">
        <v>1683</v>
      </c>
      <c r="E645" t="s">
        <v>1759</v>
      </c>
      <c r="F645" s="4">
        <v>3</v>
      </c>
      <c r="G645">
        <v>89.78</v>
      </c>
      <c r="H645">
        <v>0.2</v>
      </c>
      <c r="I645" t="s">
        <v>1812</v>
      </c>
      <c r="J645">
        <v>215.47200000000001</v>
      </c>
      <c r="K645" t="s">
        <v>498</v>
      </c>
      <c r="L645">
        <v>24</v>
      </c>
      <c r="M645" t="str">
        <v>Male</v>
      </c>
      <c r="N645" t="str">
        <f>VLOOKUP(C:C,Customer_Dim!B:I,5,1)</f>
        <v>West Markhaven</v>
      </c>
      <c r="O645" t="str">
        <f>VLOOKUP(C:C,Customer_Dim!B:I,6,1)</f>
        <v>Florida</v>
      </c>
      <c r="P645" t="str">
        <f>VLOOKUP(C:C,Customer_Dim!B:I,7,1)</f>
        <v>USA</v>
      </c>
      <c r="Q645" t="str">
        <f>VLOOKUP(C:C,Customer_Dim!B:I,8,1)</f>
        <v>Platinum</v>
      </c>
      <c r="S645">
        <v>3</v>
      </c>
      <c r="T645">
        <v>89.78</v>
      </c>
      <c r="U645">
        <v>0.2</v>
      </c>
      <c r="V645">
        <v>215.47200000000001</v>
      </c>
      <c r="X645" s="4">
        <v>3</v>
      </c>
      <c r="Y645">
        <v>89.78</v>
      </c>
      <c r="Z645">
        <v>0.2</v>
      </c>
      <c r="AA645">
        <v>215.47200000000001</v>
      </c>
    </row>
    <row r="646" spans="1:27" x14ac:dyDescent="0.3">
      <c r="A646" t="s">
        <v>2453</v>
      </c>
      <c r="B646" s="2">
        <v>45334</v>
      </c>
      <c r="C646" t="s">
        <v>622</v>
      </c>
      <c r="D646" t="s">
        <v>1641</v>
      </c>
      <c r="E646" t="s">
        <v>1740</v>
      </c>
      <c r="F646" s="4">
        <v>1</v>
      </c>
      <c r="G646">
        <v>172.04</v>
      </c>
      <c r="H646">
        <v>0.04</v>
      </c>
      <c r="I646" t="s">
        <v>1809</v>
      </c>
      <c r="J646">
        <v>165.1584</v>
      </c>
      <c r="K646" t="s">
        <v>623</v>
      </c>
      <c r="L646">
        <v>26</v>
      </c>
      <c r="M646" t="str">
        <v>Male</v>
      </c>
      <c r="N646" t="str">
        <f>VLOOKUP(C:C,Customer_Dim!B:I,5,1)</f>
        <v>Johnsonshire</v>
      </c>
      <c r="O646" t="str">
        <f>VLOOKUP(C:C,Customer_Dim!B:I,6,1)</f>
        <v>Ohio</v>
      </c>
      <c r="P646" t="str">
        <f>VLOOKUP(C:C,Customer_Dim!B:I,7,1)</f>
        <v>USA</v>
      </c>
      <c r="Q646" t="str">
        <f>VLOOKUP(C:C,Customer_Dim!B:I,8,1)</f>
        <v>Bronze</v>
      </c>
      <c r="S646">
        <v>1</v>
      </c>
      <c r="T646">
        <v>172.04</v>
      </c>
      <c r="U646">
        <v>0.04</v>
      </c>
      <c r="V646">
        <v>165.1584</v>
      </c>
      <c r="X646" s="4">
        <v>1</v>
      </c>
      <c r="Y646">
        <v>172.04</v>
      </c>
      <c r="Z646">
        <v>0.04</v>
      </c>
      <c r="AA646">
        <v>165.1584</v>
      </c>
    </row>
    <row r="647" spans="1:27" x14ac:dyDescent="0.3">
      <c r="A647" t="s">
        <v>2454</v>
      </c>
      <c r="B647" s="2">
        <v>45333</v>
      </c>
      <c r="C647" t="s">
        <v>1424</v>
      </c>
      <c r="D647" t="s">
        <v>1639</v>
      </c>
      <c r="E647" t="s">
        <v>1740</v>
      </c>
      <c r="F647" s="4">
        <v>1</v>
      </c>
      <c r="G647">
        <v>389.2</v>
      </c>
      <c r="H647">
        <v>0.05</v>
      </c>
      <c r="I647" t="s">
        <v>1807</v>
      </c>
      <c r="J647">
        <v>369.74</v>
      </c>
      <c r="K647" t="s">
        <v>1425</v>
      </c>
      <c r="L647">
        <v>45</v>
      </c>
      <c r="M647" t="str">
        <v>Male</v>
      </c>
      <c r="N647" t="str">
        <f>VLOOKUP(C:C,Customer_Dim!B:I,5,1)</f>
        <v>Oneillfurt</v>
      </c>
      <c r="O647" t="str">
        <f>VLOOKUP(C:C,Customer_Dim!B:I,6,1)</f>
        <v>Vermont</v>
      </c>
      <c r="P647" t="str">
        <f>VLOOKUP(C:C,Customer_Dim!B:I,7,1)</f>
        <v>USA</v>
      </c>
      <c r="Q647" t="str">
        <f>VLOOKUP(C:C,Customer_Dim!B:I,8,1)</f>
        <v>Gold</v>
      </c>
      <c r="S647">
        <v>1</v>
      </c>
      <c r="T647">
        <v>389.2</v>
      </c>
      <c r="U647">
        <v>0.05</v>
      </c>
      <c r="V647">
        <v>369.74</v>
      </c>
      <c r="X647" s="4">
        <v>1</v>
      </c>
      <c r="Y647">
        <v>389.2</v>
      </c>
      <c r="Z647">
        <v>0.05</v>
      </c>
      <c r="AA647">
        <v>369.74</v>
      </c>
    </row>
    <row r="648" spans="1:27" x14ac:dyDescent="0.3">
      <c r="A648" t="s">
        <v>2455</v>
      </c>
      <c r="B648" s="2">
        <v>45778</v>
      </c>
      <c r="C648" t="s">
        <v>1406</v>
      </c>
      <c r="D648" t="s">
        <v>1685</v>
      </c>
      <c r="E648" t="s">
        <v>1780</v>
      </c>
      <c r="F648" s="4">
        <v>3</v>
      </c>
      <c r="G648">
        <v>865.96</v>
      </c>
      <c r="H648">
        <v>0.12</v>
      </c>
      <c r="I648" t="s">
        <v>1809</v>
      </c>
      <c r="J648">
        <v>2286.1343999999999</v>
      </c>
      <c r="K648" t="s">
        <v>1407</v>
      </c>
      <c r="L648">
        <v>34</v>
      </c>
      <c r="M648" t="str">
        <v>Female</v>
      </c>
      <c r="N648" t="str">
        <f>VLOOKUP(C:C,Customer_Dim!B:I,5,1)</f>
        <v>East Julie</v>
      </c>
      <c r="O648" t="str">
        <f>VLOOKUP(C:C,Customer_Dim!B:I,6,1)</f>
        <v>Kansas</v>
      </c>
      <c r="P648" t="str">
        <f>VLOOKUP(C:C,Customer_Dim!B:I,7,1)</f>
        <v>USA</v>
      </c>
      <c r="Q648" t="str">
        <f>VLOOKUP(C:C,Customer_Dim!B:I,8,1)</f>
        <v>Silver</v>
      </c>
      <c r="S648">
        <v>3</v>
      </c>
      <c r="T648">
        <v>865.96</v>
      </c>
      <c r="U648">
        <v>0.12</v>
      </c>
      <c r="V648">
        <v>2286.1343999999999</v>
      </c>
      <c r="X648" s="4">
        <v>3</v>
      </c>
      <c r="Y648">
        <v>865.96</v>
      </c>
      <c r="Z648">
        <v>0.12</v>
      </c>
      <c r="AA648">
        <v>2286.1343999999999</v>
      </c>
    </row>
    <row r="649" spans="1:27" x14ac:dyDescent="0.3">
      <c r="A649" t="s">
        <v>2456</v>
      </c>
      <c r="B649" s="2">
        <v>45592</v>
      </c>
      <c r="C649" t="s">
        <v>557</v>
      </c>
      <c r="D649" t="s">
        <v>1569</v>
      </c>
      <c r="E649" t="s">
        <v>1740</v>
      </c>
      <c r="F649" s="4">
        <v>3</v>
      </c>
      <c r="G649">
        <v>79.95</v>
      </c>
      <c r="H649">
        <v>0.2</v>
      </c>
      <c r="I649" t="s">
        <v>1812</v>
      </c>
      <c r="J649">
        <v>191.88</v>
      </c>
      <c r="K649" t="s">
        <v>558</v>
      </c>
      <c r="L649">
        <v>18</v>
      </c>
      <c r="M649" t="str">
        <v>Male</v>
      </c>
      <c r="N649" t="str">
        <f>VLOOKUP(C:C,Customer_Dim!B:I,5,1)</f>
        <v>Josephmouth</v>
      </c>
      <c r="O649" t="str">
        <f>VLOOKUP(C:C,Customer_Dim!B:I,6,1)</f>
        <v>New Hampshire</v>
      </c>
      <c r="P649" t="str">
        <f>VLOOKUP(C:C,Customer_Dim!B:I,7,1)</f>
        <v>USA</v>
      </c>
      <c r="Q649" t="str">
        <f>VLOOKUP(C:C,Customer_Dim!B:I,8,1)</f>
        <v>Bronze</v>
      </c>
      <c r="S649">
        <v>3</v>
      </c>
      <c r="T649">
        <v>79.95</v>
      </c>
      <c r="U649">
        <v>0.2</v>
      </c>
      <c r="V649">
        <v>191.88</v>
      </c>
      <c r="X649" s="4">
        <v>3</v>
      </c>
      <c r="Y649">
        <v>79.95</v>
      </c>
      <c r="Z649">
        <v>0.2</v>
      </c>
      <c r="AA649">
        <v>191.88</v>
      </c>
    </row>
    <row r="650" spans="1:27" x14ac:dyDescent="0.3">
      <c r="A650" t="s">
        <v>2457</v>
      </c>
      <c r="B650" s="2">
        <v>45259</v>
      </c>
      <c r="C650" t="s">
        <v>1177</v>
      </c>
      <c r="D650" t="s">
        <v>1583</v>
      </c>
      <c r="E650" t="s">
        <v>1762</v>
      </c>
      <c r="F650" s="4">
        <v>1</v>
      </c>
      <c r="G650">
        <v>566.5</v>
      </c>
      <c r="H650">
        <v>0.25</v>
      </c>
      <c r="I650" t="s">
        <v>1812</v>
      </c>
      <c r="J650">
        <v>424.875</v>
      </c>
      <c r="K650" t="s">
        <v>1178</v>
      </c>
      <c r="L650">
        <v>20</v>
      </c>
      <c r="M650" t="str">
        <v>Female</v>
      </c>
      <c r="N650" t="str">
        <f>VLOOKUP(C:C,Customer_Dim!B:I,5,1)</f>
        <v>Andrewsland</v>
      </c>
      <c r="O650" t="str">
        <f>VLOOKUP(C:C,Customer_Dim!B:I,6,1)</f>
        <v>Alabama</v>
      </c>
      <c r="P650" t="str">
        <f>VLOOKUP(C:C,Customer_Dim!B:I,7,1)</f>
        <v>USA</v>
      </c>
      <c r="Q650" t="str">
        <f>VLOOKUP(C:C,Customer_Dim!B:I,8,1)</f>
        <v>Silver</v>
      </c>
      <c r="S650">
        <v>1</v>
      </c>
      <c r="T650">
        <v>566.5</v>
      </c>
      <c r="U650">
        <v>0.25</v>
      </c>
      <c r="V650">
        <v>424.875</v>
      </c>
      <c r="X650" s="4">
        <v>1</v>
      </c>
      <c r="Y650">
        <v>566.5</v>
      </c>
      <c r="Z650">
        <v>0.25</v>
      </c>
      <c r="AA650">
        <v>424.875</v>
      </c>
    </row>
    <row r="651" spans="1:27" x14ac:dyDescent="0.3">
      <c r="A651" t="s">
        <v>2458</v>
      </c>
      <c r="B651" s="2">
        <v>45801</v>
      </c>
      <c r="C651" t="s">
        <v>1238</v>
      </c>
      <c r="D651" t="s">
        <v>1573</v>
      </c>
      <c r="E651" t="s">
        <v>1735</v>
      </c>
      <c r="F651" s="4">
        <v>2</v>
      </c>
      <c r="G651">
        <v>347.95</v>
      </c>
      <c r="H651">
        <v>0.13</v>
      </c>
      <c r="I651" t="s">
        <v>1812</v>
      </c>
      <c r="J651">
        <v>605.43299999999999</v>
      </c>
      <c r="K651" t="s">
        <v>1239</v>
      </c>
      <c r="L651">
        <v>34</v>
      </c>
      <c r="M651" t="str">
        <v>Male</v>
      </c>
      <c r="N651" t="str">
        <f>VLOOKUP(C:C,Customer_Dim!B:I,5,1)</f>
        <v>Brandonville</v>
      </c>
      <c r="O651" t="str">
        <f>VLOOKUP(C:C,Customer_Dim!B:I,6,1)</f>
        <v>Mississippi</v>
      </c>
      <c r="P651" t="str">
        <f>VLOOKUP(C:C,Customer_Dim!B:I,7,1)</f>
        <v>USA</v>
      </c>
      <c r="Q651" t="str">
        <f>VLOOKUP(C:C,Customer_Dim!B:I,8,1)</f>
        <v>Bronze</v>
      </c>
      <c r="S651">
        <v>2</v>
      </c>
      <c r="T651">
        <v>347.95</v>
      </c>
      <c r="U651">
        <v>0.13</v>
      </c>
      <c r="V651">
        <v>605.43299999999999</v>
      </c>
      <c r="X651" s="4">
        <v>2</v>
      </c>
      <c r="Y651">
        <v>347.95</v>
      </c>
      <c r="Z651">
        <v>0.13</v>
      </c>
      <c r="AA651">
        <v>605.43299999999999</v>
      </c>
    </row>
    <row r="652" spans="1:27" x14ac:dyDescent="0.3">
      <c r="A652" t="s">
        <v>2459</v>
      </c>
      <c r="B652" s="2">
        <v>45347</v>
      </c>
      <c r="C652" t="s">
        <v>675</v>
      </c>
      <c r="D652" t="s">
        <v>1647</v>
      </c>
      <c r="E652" t="s">
        <v>1749</v>
      </c>
      <c r="F652" s="4">
        <v>2</v>
      </c>
      <c r="G652">
        <v>250.83</v>
      </c>
      <c r="H652">
        <v>0.15</v>
      </c>
      <c r="I652" t="s">
        <v>1809</v>
      </c>
      <c r="J652">
        <v>426.411</v>
      </c>
      <c r="K652" t="s">
        <v>676</v>
      </c>
      <c r="L652">
        <v>48</v>
      </c>
      <c r="M652" t="str">
        <v>Male</v>
      </c>
      <c r="N652" t="str">
        <f>VLOOKUP(C:C,Customer_Dim!B:I,5,1)</f>
        <v>Lake Josephport</v>
      </c>
      <c r="O652" t="str">
        <f>VLOOKUP(C:C,Customer_Dim!B:I,6,1)</f>
        <v>Maine</v>
      </c>
      <c r="P652" t="str">
        <f>VLOOKUP(C:C,Customer_Dim!B:I,7,1)</f>
        <v>USA</v>
      </c>
      <c r="Q652" t="str">
        <f>VLOOKUP(C:C,Customer_Dim!B:I,8,1)</f>
        <v>Platinum</v>
      </c>
      <c r="S652">
        <v>2</v>
      </c>
      <c r="T652">
        <v>250.83</v>
      </c>
      <c r="U652">
        <v>0.15</v>
      </c>
      <c r="V652">
        <v>426.411</v>
      </c>
      <c r="X652" s="4">
        <v>2</v>
      </c>
      <c r="Y652">
        <v>250.83</v>
      </c>
      <c r="Z652">
        <v>0.15</v>
      </c>
      <c r="AA652">
        <v>426.411</v>
      </c>
    </row>
    <row r="653" spans="1:27" x14ac:dyDescent="0.3">
      <c r="A653" t="s">
        <v>2460</v>
      </c>
      <c r="B653" s="2">
        <v>45721</v>
      </c>
      <c r="C653" t="s">
        <v>497</v>
      </c>
      <c r="D653" t="s">
        <v>1673</v>
      </c>
      <c r="E653" t="s">
        <v>1740</v>
      </c>
      <c r="F653" s="4">
        <v>1</v>
      </c>
      <c r="G653">
        <v>888.05</v>
      </c>
      <c r="H653">
        <v>0.2</v>
      </c>
      <c r="I653" t="s">
        <v>1809</v>
      </c>
      <c r="J653">
        <v>710.44</v>
      </c>
      <c r="K653" t="s">
        <v>498</v>
      </c>
      <c r="L653">
        <v>24</v>
      </c>
      <c r="M653" t="str">
        <v>Male</v>
      </c>
      <c r="N653" t="str">
        <f>VLOOKUP(C:C,Customer_Dim!B:I,5,1)</f>
        <v>West Markhaven</v>
      </c>
      <c r="O653" t="str">
        <f>VLOOKUP(C:C,Customer_Dim!B:I,6,1)</f>
        <v>Florida</v>
      </c>
      <c r="P653" t="str">
        <f>VLOOKUP(C:C,Customer_Dim!B:I,7,1)</f>
        <v>USA</v>
      </c>
      <c r="Q653" t="str">
        <f>VLOOKUP(C:C,Customer_Dim!B:I,8,1)</f>
        <v>Platinum</v>
      </c>
      <c r="S653">
        <v>1</v>
      </c>
      <c r="T653">
        <v>888.05</v>
      </c>
      <c r="U653">
        <v>0.2</v>
      </c>
      <c r="V653">
        <v>710.44</v>
      </c>
      <c r="X653" s="4">
        <v>1</v>
      </c>
      <c r="Y653">
        <v>888.05</v>
      </c>
      <c r="Z653">
        <v>0.2</v>
      </c>
      <c r="AA653">
        <v>710.44</v>
      </c>
    </row>
    <row r="654" spans="1:27" x14ac:dyDescent="0.3">
      <c r="A654" t="s">
        <v>2461</v>
      </c>
      <c r="B654" s="2">
        <v>45531</v>
      </c>
      <c r="C654" t="s">
        <v>36</v>
      </c>
      <c r="D654" t="s">
        <v>1609</v>
      </c>
      <c r="E654" t="s">
        <v>1793</v>
      </c>
      <c r="F654" s="4">
        <v>2</v>
      </c>
      <c r="G654">
        <v>673.02</v>
      </c>
      <c r="H654">
        <v>0.11</v>
      </c>
      <c r="I654" t="s">
        <v>1809</v>
      </c>
      <c r="J654">
        <v>1197.9756</v>
      </c>
      <c r="K654" t="s">
        <v>37</v>
      </c>
      <c r="L654">
        <v>29</v>
      </c>
      <c r="M654" t="str">
        <v>Female</v>
      </c>
      <c r="N654" t="str">
        <f>VLOOKUP(C:C,Customer_Dim!B:I,5,1)</f>
        <v>Deborahborough</v>
      </c>
      <c r="O654" t="str">
        <f>VLOOKUP(C:C,Customer_Dim!B:I,6,1)</f>
        <v>South Dakota</v>
      </c>
      <c r="P654" t="str">
        <f>VLOOKUP(C:C,Customer_Dim!B:I,7,1)</f>
        <v>USA</v>
      </c>
      <c r="Q654" t="str">
        <f>VLOOKUP(C:C,Customer_Dim!B:I,8,1)</f>
        <v>Platinum</v>
      </c>
      <c r="S654">
        <v>2</v>
      </c>
      <c r="T654">
        <v>673.02</v>
      </c>
      <c r="U654">
        <v>0.11</v>
      </c>
      <c r="V654">
        <v>1197.9756</v>
      </c>
      <c r="X654" s="4">
        <v>2</v>
      </c>
      <c r="Y654">
        <v>673.02</v>
      </c>
      <c r="Z654">
        <v>0.11</v>
      </c>
      <c r="AA654">
        <v>1197.9756</v>
      </c>
    </row>
    <row r="655" spans="1:27" x14ac:dyDescent="0.3">
      <c r="A655" t="s">
        <v>2462</v>
      </c>
      <c r="B655" s="2">
        <v>45332</v>
      </c>
      <c r="C655" t="s">
        <v>1346</v>
      </c>
      <c r="D655" t="s">
        <v>1659</v>
      </c>
      <c r="E655" t="s">
        <v>1749</v>
      </c>
      <c r="F655" s="4">
        <v>2</v>
      </c>
      <c r="G655">
        <v>492.62</v>
      </c>
      <c r="H655">
        <v>0.26</v>
      </c>
      <c r="I655" t="s">
        <v>1812</v>
      </c>
      <c r="J655">
        <v>729.07759999999996</v>
      </c>
      <c r="K655" t="s">
        <v>1347</v>
      </c>
      <c r="L655">
        <v>31</v>
      </c>
      <c r="M655" t="str">
        <v>Male</v>
      </c>
      <c r="N655" t="str">
        <f>VLOOKUP(C:C,Customer_Dim!B:I,5,1)</f>
        <v>Justinberg</v>
      </c>
      <c r="O655" t="str">
        <f>VLOOKUP(C:C,Customer_Dim!B:I,6,1)</f>
        <v>North Dakota</v>
      </c>
      <c r="P655" t="str">
        <f>VLOOKUP(C:C,Customer_Dim!B:I,7,1)</f>
        <v>USA</v>
      </c>
      <c r="Q655" t="str">
        <f>VLOOKUP(C:C,Customer_Dim!B:I,8,1)</f>
        <v>Silver</v>
      </c>
      <c r="S655">
        <v>2</v>
      </c>
      <c r="T655">
        <v>492.62</v>
      </c>
      <c r="U655">
        <v>0.26</v>
      </c>
      <c r="V655">
        <v>729.07759999999996</v>
      </c>
      <c r="X655" s="4">
        <v>2</v>
      </c>
      <c r="Y655">
        <v>492.62</v>
      </c>
      <c r="Z655">
        <v>0.26</v>
      </c>
      <c r="AA655">
        <v>729.07759999999996</v>
      </c>
    </row>
    <row r="656" spans="1:27" x14ac:dyDescent="0.3">
      <c r="A656" t="s">
        <v>2463</v>
      </c>
      <c r="B656" s="2">
        <v>45344</v>
      </c>
      <c r="C656" t="s">
        <v>1162</v>
      </c>
      <c r="D656" t="s">
        <v>1701</v>
      </c>
      <c r="E656" t="s">
        <v>1749</v>
      </c>
      <c r="F656" s="4">
        <v>4</v>
      </c>
      <c r="G656">
        <v>986.93</v>
      </c>
      <c r="H656">
        <v>0.01</v>
      </c>
      <c r="I656" t="s">
        <v>1807</v>
      </c>
      <c r="J656">
        <v>3908.2428</v>
      </c>
      <c r="K656" t="s">
        <v>1163</v>
      </c>
      <c r="L656">
        <v>39</v>
      </c>
      <c r="M656" t="str">
        <v>Female</v>
      </c>
      <c r="N656" t="str">
        <f>VLOOKUP(C:C,Customer_Dim!B:I,5,1)</f>
        <v>Chambersberg</v>
      </c>
      <c r="O656" t="str">
        <f>VLOOKUP(C:C,Customer_Dim!B:I,6,1)</f>
        <v>Connecticut</v>
      </c>
      <c r="P656" t="str">
        <f>VLOOKUP(C:C,Customer_Dim!B:I,7,1)</f>
        <v>USA</v>
      </c>
      <c r="Q656" t="str">
        <f>VLOOKUP(C:C,Customer_Dim!B:I,8,1)</f>
        <v>Bronze</v>
      </c>
      <c r="S656">
        <v>4</v>
      </c>
      <c r="T656">
        <v>986.93</v>
      </c>
      <c r="U656">
        <v>0.01</v>
      </c>
      <c r="V656">
        <v>3908.2428</v>
      </c>
      <c r="X656" s="4">
        <v>4</v>
      </c>
      <c r="Y656">
        <v>986.93</v>
      </c>
      <c r="Z656">
        <v>0.01</v>
      </c>
      <c r="AA656">
        <v>3908.2428</v>
      </c>
    </row>
    <row r="657" spans="1:27" x14ac:dyDescent="0.3">
      <c r="A657" t="s">
        <v>2464</v>
      </c>
      <c r="B657" s="2">
        <v>45388</v>
      </c>
      <c r="C657" t="s">
        <v>1458</v>
      </c>
      <c r="D657" t="s">
        <v>1575</v>
      </c>
      <c r="E657" t="s">
        <v>1777</v>
      </c>
      <c r="F657" s="4">
        <v>4</v>
      </c>
      <c r="G657">
        <v>411.68</v>
      </c>
      <c r="H657">
        <v>0.06</v>
      </c>
      <c r="I657" t="s">
        <v>1809</v>
      </c>
      <c r="J657">
        <v>1547.9168</v>
      </c>
      <c r="K657" t="s">
        <v>1459</v>
      </c>
      <c r="L657">
        <v>33</v>
      </c>
      <c r="M657" t="str">
        <v>Male</v>
      </c>
      <c r="N657" t="str">
        <f>VLOOKUP(C:C,Customer_Dim!B:I,5,1)</f>
        <v>New Jamesview</v>
      </c>
      <c r="O657" t="str">
        <f>VLOOKUP(C:C,Customer_Dim!B:I,6,1)</f>
        <v>West Virginia</v>
      </c>
      <c r="P657" t="str">
        <f>VLOOKUP(C:C,Customer_Dim!B:I,7,1)</f>
        <v>USA</v>
      </c>
      <c r="Q657" t="str">
        <f>VLOOKUP(C:C,Customer_Dim!B:I,8,1)</f>
        <v>Bronze</v>
      </c>
      <c r="S657">
        <v>4</v>
      </c>
      <c r="T657">
        <v>411.68</v>
      </c>
      <c r="U657">
        <v>0.06</v>
      </c>
      <c r="V657">
        <v>1547.9168</v>
      </c>
      <c r="X657" s="4">
        <v>4</v>
      </c>
      <c r="Y657">
        <v>411.68</v>
      </c>
      <c r="Z657">
        <v>0.06</v>
      </c>
      <c r="AA657">
        <v>1547.9168</v>
      </c>
    </row>
    <row r="658" spans="1:27" x14ac:dyDescent="0.3">
      <c r="A658" t="s">
        <v>2465</v>
      </c>
      <c r="B658" s="2">
        <v>45397</v>
      </c>
      <c r="C658" t="s">
        <v>705</v>
      </c>
      <c r="D658" t="s">
        <v>1603</v>
      </c>
      <c r="E658" t="s">
        <v>1790</v>
      </c>
      <c r="F658" s="4">
        <v>2</v>
      </c>
      <c r="G658">
        <v>637.55999999999995</v>
      </c>
      <c r="H658">
        <v>0.05</v>
      </c>
      <c r="I658" t="s">
        <v>1812</v>
      </c>
      <c r="J658">
        <v>1211.364</v>
      </c>
      <c r="K658" t="s">
        <v>706</v>
      </c>
      <c r="L658">
        <v>50</v>
      </c>
      <c r="M658" t="str">
        <v>Female</v>
      </c>
      <c r="N658" t="str">
        <f>VLOOKUP(C:C,Customer_Dim!B:I,5,1)</f>
        <v xml:space="preserve">Phillipschester   </v>
      </c>
      <c r="O658" t="str">
        <f>VLOOKUP(C:C,Customer_Dim!B:I,6,1)</f>
        <v>New Jersey</v>
      </c>
      <c r="P658" t="str">
        <f>VLOOKUP(C:C,Customer_Dim!B:I,7,1)</f>
        <v>USA</v>
      </c>
      <c r="Q658" t="str">
        <f>VLOOKUP(C:C,Customer_Dim!B:I,8,1)</f>
        <v>Gold</v>
      </c>
      <c r="S658">
        <v>2</v>
      </c>
      <c r="T658">
        <v>637.55999999999995</v>
      </c>
      <c r="U658">
        <v>0.05</v>
      </c>
      <c r="V658">
        <v>1211.364</v>
      </c>
      <c r="X658" s="4">
        <v>2</v>
      </c>
      <c r="Y658">
        <v>637.55999999999995</v>
      </c>
      <c r="Z658">
        <v>0.05</v>
      </c>
      <c r="AA658">
        <v>1211.364</v>
      </c>
    </row>
    <row r="659" spans="1:27" x14ac:dyDescent="0.3">
      <c r="A659" t="s">
        <v>2466</v>
      </c>
      <c r="B659" s="2">
        <v>45633</v>
      </c>
      <c r="C659" t="s">
        <v>67</v>
      </c>
      <c r="D659" t="s">
        <v>1557</v>
      </c>
      <c r="E659" t="s">
        <v>1749</v>
      </c>
      <c r="F659" s="4">
        <v>3</v>
      </c>
      <c r="G659">
        <v>706.87</v>
      </c>
      <c r="H659">
        <v>0.27</v>
      </c>
      <c r="I659" t="s">
        <v>1807</v>
      </c>
      <c r="J659">
        <v>1548.0453</v>
      </c>
      <c r="K659" t="s">
        <v>68</v>
      </c>
      <c r="L659">
        <v>49</v>
      </c>
      <c r="M659" t="str">
        <v>Female</v>
      </c>
      <c r="N659" t="str">
        <f>VLOOKUP(C:C,Customer_Dim!B:I,5,1)</f>
        <v>Lake Kristamouth</v>
      </c>
      <c r="O659" t="str">
        <f>VLOOKUP(C:C,Customer_Dim!B:I,6,1)</f>
        <v>Nebraska</v>
      </c>
      <c r="P659" t="str">
        <f>VLOOKUP(C:C,Customer_Dim!B:I,7,1)</f>
        <v>USA</v>
      </c>
      <c r="Q659" t="str">
        <f>VLOOKUP(C:C,Customer_Dim!B:I,8,1)</f>
        <v>Silver</v>
      </c>
      <c r="S659">
        <v>3</v>
      </c>
      <c r="T659">
        <v>706.87</v>
      </c>
      <c r="U659">
        <v>0.27</v>
      </c>
      <c r="V659">
        <v>1548.0453</v>
      </c>
      <c r="X659" s="4">
        <v>3</v>
      </c>
      <c r="Y659">
        <v>706.87</v>
      </c>
      <c r="Z659">
        <v>0.27</v>
      </c>
      <c r="AA659">
        <v>1548.0453</v>
      </c>
    </row>
    <row r="660" spans="1:27" x14ac:dyDescent="0.3">
      <c r="A660" t="s">
        <v>2467</v>
      </c>
      <c r="B660" s="2">
        <v>45629</v>
      </c>
      <c r="C660" t="s">
        <v>205</v>
      </c>
      <c r="D660" t="s">
        <v>1561</v>
      </c>
      <c r="E660" t="s">
        <v>1759</v>
      </c>
      <c r="F660" s="4">
        <v>2</v>
      </c>
      <c r="G660">
        <v>884.48</v>
      </c>
      <c r="H660">
        <v>0</v>
      </c>
      <c r="I660" t="s">
        <v>1812</v>
      </c>
      <c r="J660">
        <v>1768.96</v>
      </c>
      <c r="K660" t="s">
        <v>206</v>
      </c>
      <c r="L660">
        <v>49</v>
      </c>
      <c r="M660" t="str">
        <v>Female</v>
      </c>
      <c r="N660" t="str">
        <f>VLOOKUP(C:C,Customer_Dim!B:I,5,1)</f>
        <v>Edwardsfort</v>
      </c>
      <c r="O660" t="str">
        <f>VLOOKUP(C:C,Customer_Dim!B:I,6,1)</f>
        <v>Minnesota</v>
      </c>
      <c r="P660" t="str">
        <f>VLOOKUP(C:C,Customer_Dim!B:I,7,1)</f>
        <v>USA</v>
      </c>
      <c r="Q660" t="str">
        <f>VLOOKUP(C:C,Customer_Dim!B:I,8,1)</f>
        <v>Bronze</v>
      </c>
      <c r="S660">
        <v>2</v>
      </c>
      <c r="T660">
        <v>884.48</v>
      </c>
      <c r="U660">
        <v>0</v>
      </c>
      <c r="V660">
        <v>1768.96</v>
      </c>
      <c r="X660" s="4">
        <v>2</v>
      </c>
      <c r="Y660">
        <v>884.48</v>
      </c>
      <c r="Z660">
        <v>0</v>
      </c>
      <c r="AA660">
        <v>1768.96</v>
      </c>
    </row>
    <row r="661" spans="1:27" x14ac:dyDescent="0.3">
      <c r="A661" t="s">
        <v>2468</v>
      </c>
      <c r="B661" s="2">
        <v>45291</v>
      </c>
      <c r="C661" t="s">
        <v>178</v>
      </c>
      <c r="D661" t="s">
        <v>1715</v>
      </c>
      <c r="E661" t="s">
        <v>1752</v>
      </c>
      <c r="F661" s="4">
        <v>3</v>
      </c>
      <c r="G661">
        <v>718.23</v>
      </c>
      <c r="H661">
        <v>0.19</v>
      </c>
      <c r="I661" t="s">
        <v>1809</v>
      </c>
      <c r="J661">
        <v>1745.2989</v>
      </c>
      <c r="K661" t="s">
        <v>179</v>
      </c>
      <c r="L661">
        <v>54</v>
      </c>
      <c r="M661" t="str">
        <v>Male</v>
      </c>
      <c r="N661" t="str">
        <f>VLOOKUP(C:C,Customer_Dim!B:I,5,1)</f>
        <v>Lake Roberthaven</v>
      </c>
      <c r="O661" t="str">
        <f>VLOOKUP(C:C,Customer_Dim!B:I,6,1)</f>
        <v>Nevada</v>
      </c>
      <c r="P661" t="str">
        <f>VLOOKUP(C:C,Customer_Dim!B:I,7,1)</f>
        <v>USA</v>
      </c>
      <c r="Q661" t="str">
        <f>VLOOKUP(C:C,Customer_Dim!B:I,8,1)</f>
        <v>Silver</v>
      </c>
      <c r="S661">
        <v>3</v>
      </c>
      <c r="T661">
        <v>718.23</v>
      </c>
      <c r="U661">
        <v>0.19</v>
      </c>
      <c r="V661">
        <v>1745.2989</v>
      </c>
      <c r="X661" s="4">
        <v>3</v>
      </c>
      <c r="Y661">
        <v>718.23</v>
      </c>
      <c r="Z661">
        <v>0.19</v>
      </c>
      <c r="AA661">
        <v>1745.2989</v>
      </c>
    </row>
    <row r="662" spans="1:27" x14ac:dyDescent="0.3">
      <c r="A662" t="s">
        <v>2469</v>
      </c>
      <c r="B662" s="2">
        <v>45914</v>
      </c>
      <c r="C662" t="s">
        <v>589</v>
      </c>
      <c r="D662" t="s">
        <v>1711</v>
      </c>
      <c r="E662" t="s">
        <v>1793</v>
      </c>
      <c r="F662" s="4">
        <v>3</v>
      </c>
      <c r="G662">
        <v>107.44</v>
      </c>
      <c r="H662">
        <v>0.27</v>
      </c>
      <c r="I662" t="s">
        <v>1809</v>
      </c>
      <c r="J662">
        <v>235.2936</v>
      </c>
      <c r="K662" t="s">
        <v>590</v>
      </c>
      <c r="L662">
        <v>60</v>
      </c>
      <c r="M662" t="str">
        <v>Male</v>
      </c>
      <c r="N662" t="str">
        <f>VLOOKUP(C:C,Customer_Dim!B:I,5,1)</f>
        <v>East Davidmouth</v>
      </c>
      <c r="O662" t="str">
        <f>VLOOKUP(C:C,Customer_Dim!B:I,6,1)</f>
        <v>Maine</v>
      </c>
      <c r="P662" t="str">
        <f>VLOOKUP(C:C,Customer_Dim!B:I,7,1)</f>
        <v>USA</v>
      </c>
      <c r="Q662" t="str">
        <f>VLOOKUP(C:C,Customer_Dim!B:I,8,1)</f>
        <v>Bronze</v>
      </c>
      <c r="S662">
        <v>3</v>
      </c>
      <c r="T662">
        <v>107.44</v>
      </c>
      <c r="U662">
        <v>0.27</v>
      </c>
      <c r="V662">
        <v>235.2936</v>
      </c>
      <c r="X662" s="4">
        <v>3</v>
      </c>
      <c r="Y662">
        <v>107.44</v>
      </c>
      <c r="Z662">
        <v>0.27</v>
      </c>
      <c r="AA662">
        <v>235.2936</v>
      </c>
    </row>
    <row r="663" spans="1:27" x14ac:dyDescent="0.3">
      <c r="A663" t="s">
        <v>2470</v>
      </c>
      <c r="B663" s="2">
        <v>45673</v>
      </c>
      <c r="C663" t="s">
        <v>208</v>
      </c>
      <c r="D663" t="s">
        <v>1623</v>
      </c>
      <c r="E663" t="s">
        <v>1749</v>
      </c>
      <c r="F663" s="4">
        <v>4</v>
      </c>
      <c r="G663">
        <v>608.97</v>
      </c>
      <c r="H663">
        <v>0.14000000000000001</v>
      </c>
      <c r="I663" t="s">
        <v>1812</v>
      </c>
      <c r="J663">
        <v>2094.8568</v>
      </c>
      <c r="K663" t="s">
        <v>209</v>
      </c>
      <c r="L663">
        <v>43</v>
      </c>
      <c r="M663" t="str">
        <v>Female</v>
      </c>
      <c r="N663" t="str">
        <f>VLOOKUP(C:C,Customer_Dim!B:I,5,1)</f>
        <v>Deborahberg</v>
      </c>
      <c r="O663" t="str">
        <f>VLOOKUP(C:C,Customer_Dim!B:I,6,1)</f>
        <v>Pennsylvania</v>
      </c>
      <c r="P663" t="str">
        <f>VLOOKUP(C:C,Customer_Dim!B:I,7,1)</f>
        <v>USA</v>
      </c>
      <c r="Q663" t="str">
        <f>VLOOKUP(C:C,Customer_Dim!B:I,8,1)</f>
        <v>Gold</v>
      </c>
      <c r="S663">
        <v>4</v>
      </c>
      <c r="T663">
        <v>608.97</v>
      </c>
      <c r="U663">
        <v>0.14000000000000001</v>
      </c>
      <c r="V663">
        <v>2094.8568</v>
      </c>
      <c r="X663" s="4">
        <v>4</v>
      </c>
      <c r="Y663">
        <v>608.97</v>
      </c>
      <c r="Z663">
        <v>0.14000000000000001</v>
      </c>
      <c r="AA663">
        <v>2094.8568</v>
      </c>
    </row>
    <row r="664" spans="1:27" x14ac:dyDescent="0.3">
      <c r="A664" t="s">
        <v>2471</v>
      </c>
      <c r="B664" s="2">
        <v>45689</v>
      </c>
      <c r="C664" t="s">
        <v>1097</v>
      </c>
      <c r="D664" t="s">
        <v>1653</v>
      </c>
      <c r="E664" t="s">
        <v>1759</v>
      </c>
      <c r="F664" s="4">
        <v>3</v>
      </c>
      <c r="G664">
        <v>260.45999999999998</v>
      </c>
      <c r="H664">
        <v>0.09</v>
      </c>
      <c r="I664" t="s">
        <v>1807</v>
      </c>
      <c r="J664">
        <v>711.05579999999986</v>
      </c>
      <c r="K664" t="s">
        <v>1098</v>
      </c>
      <c r="L664">
        <v>20</v>
      </c>
      <c r="M664" t="str">
        <v>Male</v>
      </c>
      <c r="N664" t="str">
        <f>VLOOKUP(C:C,Customer_Dim!B:I,5,1)</f>
        <v>Guerreroport</v>
      </c>
      <c r="O664" t="str">
        <f>VLOOKUP(C:C,Customer_Dim!B:I,6,1)</f>
        <v>Connecticut</v>
      </c>
      <c r="P664" t="str">
        <f>VLOOKUP(C:C,Customer_Dim!B:I,7,1)</f>
        <v>USA</v>
      </c>
      <c r="Q664" t="str">
        <f>VLOOKUP(C:C,Customer_Dim!B:I,8,1)</f>
        <v>Silver</v>
      </c>
      <c r="S664">
        <v>3</v>
      </c>
      <c r="T664">
        <v>260.45999999999998</v>
      </c>
      <c r="U664">
        <v>0.09</v>
      </c>
      <c r="V664">
        <v>711.05579999999986</v>
      </c>
      <c r="X664" s="4">
        <v>3</v>
      </c>
      <c r="Y664">
        <v>260.45999999999998</v>
      </c>
      <c r="Z664">
        <v>0.09</v>
      </c>
      <c r="AA664">
        <v>711.05579999999986</v>
      </c>
    </row>
    <row r="665" spans="1:27" x14ac:dyDescent="0.3">
      <c r="A665" t="s">
        <v>2472</v>
      </c>
      <c r="B665" s="2">
        <v>45646</v>
      </c>
      <c r="C665" t="s">
        <v>420</v>
      </c>
      <c r="D665" t="s">
        <v>1575</v>
      </c>
      <c r="E665" t="s">
        <v>1759</v>
      </c>
      <c r="F665" s="4">
        <v>1</v>
      </c>
      <c r="G665">
        <v>747.03</v>
      </c>
      <c r="H665">
        <v>0.01</v>
      </c>
      <c r="I665" t="s">
        <v>1807</v>
      </c>
      <c r="J665">
        <v>739.55970000000002</v>
      </c>
      <c r="K665" t="s">
        <v>421</v>
      </c>
      <c r="L665">
        <v>26</v>
      </c>
      <c r="M665" t="str">
        <v>Male</v>
      </c>
      <c r="N665" t="str">
        <f>VLOOKUP(C:C,Customer_Dim!B:I,5,1)</f>
        <v>North Sabrina</v>
      </c>
      <c r="O665" t="str">
        <f>VLOOKUP(C:C,Customer_Dim!B:I,6,1)</f>
        <v>Iowa</v>
      </c>
      <c r="P665" t="str">
        <f>VLOOKUP(C:C,Customer_Dim!B:I,7,1)</f>
        <v>USA</v>
      </c>
      <c r="Q665" t="str">
        <f>VLOOKUP(C:C,Customer_Dim!B:I,8,1)</f>
        <v>Silver</v>
      </c>
      <c r="S665">
        <v>1</v>
      </c>
      <c r="T665">
        <v>747.03</v>
      </c>
      <c r="U665">
        <v>0.01</v>
      </c>
      <c r="V665">
        <v>739.55970000000002</v>
      </c>
      <c r="X665" s="4">
        <v>1</v>
      </c>
      <c r="Y665">
        <v>747.03</v>
      </c>
      <c r="Z665">
        <v>0.01</v>
      </c>
      <c r="AA665">
        <v>739.55970000000002</v>
      </c>
    </row>
    <row r="666" spans="1:27" x14ac:dyDescent="0.3">
      <c r="A666" t="s">
        <v>2473</v>
      </c>
      <c r="B666" s="2">
        <v>45475</v>
      </c>
      <c r="C666" t="s">
        <v>1243</v>
      </c>
      <c r="D666" t="s">
        <v>1563</v>
      </c>
      <c r="E666" t="s">
        <v>1765</v>
      </c>
      <c r="F666" s="4">
        <v>4</v>
      </c>
      <c r="G666">
        <v>700.88</v>
      </c>
      <c r="H666">
        <v>0.23</v>
      </c>
      <c r="I666" t="s">
        <v>1809</v>
      </c>
      <c r="J666">
        <v>2158.7103999999999</v>
      </c>
      <c r="K666" t="s">
        <v>1244</v>
      </c>
      <c r="L666">
        <v>18</v>
      </c>
      <c r="M666" t="str">
        <v>Female</v>
      </c>
      <c r="N666" t="str">
        <f>VLOOKUP(C:C,Customer_Dim!B:I,5,1)</f>
        <v>South Angela</v>
      </c>
      <c r="O666" t="str">
        <f>VLOOKUP(C:C,Customer_Dim!B:I,6,1)</f>
        <v>Arkansas</v>
      </c>
      <c r="P666" t="str">
        <f>VLOOKUP(C:C,Customer_Dim!B:I,7,1)</f>
        <v>USA</v>
      </c>
      <c r="Q666" t="str">
        <f>VLOOKUP(C:C,Customer_Dim!B:I,8,1)</f>
        <v>Silver</v>
      </c>
      <c r="S666">
        <v>4</v>
      </c>
      <c r="T666">
        <v>700.88</v>
      </c>
      <c r="U666">
        <v>0.23</v>
      </c>
      <c r="V666">
        <v>2158.7103999999999</v>
      </c>
      <c r="X666" s="4">
        <v>4</v>
      </c>
      <c r="Y666">
        <v>700.88</v>
      </c>
      <c r="Z666">
        <v>0.23</v>
      </c>
      <c r="AA666">
        <v>2158.7103999999999</v>
      </c>
    </row>
    <row r="667" spans="1:27" x14ac:dyDescent="0.3">
      <c r="A667" t="s">
        <v>2474</v>
      </c>
      <c r="B667" s="2">
        <v>45781</v>
      </c>
      <c r="C667" t="s">
        <v>182</v>
      </c>
      <c r="D667" t="s">
        <v>1721</v>
      </c>
      <c r="E667" t="s">
        <v>1782</v>
      </c>
      <c r="F667" s="4">
        <v>4</v>
      </c>
      <c r="G667">
        <v>20.09</v>
      </c>
      <c r="H667">
        <v>0.16</v>
      </c>
      <c r="I667" t="s">
        <v>1809</v>
      </c>
      <c r="J667">
        <v>67.502399999999994</v>
      </c>
      <c r="K667" t="s">
        <v>183</v>
      </c>
      <c r="L667">
        <v>45</v>
      </c>
      <c r="M667" t="str">
        <v>Female</v>
      </c>
      <c r="N667" t="str">
        <f>VLOOKUP(C:C,Customer_Dim!B:I,5,1)</f>
        <v>Dawsonbury</v>
      </c>
      <c r="O667" t="str">
        <f>VLOOKUP(C:C,Customer_Dim!B:I,6,1)</f>
        <v>North Carolina</v>
      </c>
      <c r="P667" t="str">
        <f>VLOOKUP(C:C,Customer_Dim!B:I,7,1)</f>
        <v>USA</v>
      </c>
      <c r="Q667" t="str">
        <f>VLOOKUP(C:C,Customer_Dim!B:I,8,1)</f>
        <v>Platinum</v>
      </c>
      <c r="S667">
        <v>4</v>
      </c>
      <c r="T667">
        <v>20.09</v>
      </c>
      <c r="U667">
        <v>0.16</v>
      </c>
      <c r="V667">
        <v>67.502399999999994</v>
      </c>
      <c r="X667" s="4">
        <v>4</v>
      </c>
      <c r="Y667">
        <v>20.09</v>
      </c>
      <c r="Z667">
        <v>0.16</v>
      </c>
      <c r="AA667">
        <v>67.502399999999994</v>
      </c>
    </row>
    <row r="668" spans="1:27" x14ac:dyDescent="0.3">
      <c r="A668" t="s">
        <v>2475</v>
      </c>
      <c r="B668" s="2">
        <v>45654</v>
      </c>
      <c r="C668" t="s">
        <v>227</v>
      </c>
      <c r="D668" t="s">
        <v>1605</v>
      </c>
      <c r="E668" t="s">
        <v>1775</v>
      </c>
      <c r="F668" s="4">
        <v>3</v>
      </c>
      <c r="G668">
        <v>917.64</v>
      </c>
      <c r="H668">
        <v>0.24</v>
      </c>
      <c r="I668" t="s">
        <v>1809</v>
      </c>
      <c r="J668">
        <v>2092.2192</v>
      </c>
      <c r="K668" t="s">
        <v>228</v>
      </c>
      <c r="L668">
        <v>51</v>
      </c>
      <c r="M668" t="str">
        <v>Male</v>
      </c>
      <c r="N668" t="str">
        <f>VLOOKUP(C:C,Customer_Dim!B:I,5,1)</f>
        <v>Stevensonton</v>
      </c>
      <c r="O668" t="str">
        <f>VLOOKUP(C:C,Customer_Dim!B:I,6,1)</f>
        <v>New Mexico</v>
      </c>
      <c r="P668" t="str">
        <f>VLOOKUP(C:C,Customer_Dim!B:I,7,1)</f>
        <v>USA</v>
      </c>
      <c r="Q668" t="str">
        <f>VLOOKUP(C:C,Customer_Dim!B:I,8,1)</f>
        <v>Bronze</v>
      </c>
      <c r="S668">
        <v>3</v>
      </c>
      <c r="T668">
        <v>917.64</v>
      </c>
      <c r="U668">
        <v>0.24</v>
      </c>
      <c r="V668">
        <v>2092.2192</v>
      </c>
      <c r="X668" s="4">
        <v>3</v>
      </c>
      <c r="Y668">
        <v>917.64</v>
      </c>
      <c r="Z668">
        <v>0.24</v>
      </c>
      <c r="AA668">
        <v>2092.2192</v>
      </c>
    </row>
    <row r="669" spans="1:27" x14ac:dyDescent="0.3">
      <c r="A669" t="s">
        <v>2476</v>
      </c>
      <c r="B669" s="2">
        <v>45594</v>
      </c>
      <c r="C669" t="s">
        <v>192</v>
      </c>
      <c r="D669" t="s">
        <v>1573</v>
      </c>
      <c r="E669" t="s">
        <v>1735</v>
      </c>
      <c r="F669" s="4">
        <v>1</v>
      </c>
      <c r="G669">
        <v>242.08</v>
      </c>
      <c r="H669">
        <v>0.18</v>
      </c>
      <c r="I669" t="s">
        <v>1809</v>
      </c>
      <c r="J669">
        <v>198.50559999999999</v>
      </c>
      <c r="K669" t="s">
        <v>193</v>
      </c>
      <c r="L669">
        <v>55</v>
      </c>
      <c r="M669" t="str">
        <v>Male</v>
      </c>
      <c r="N669" t="str">
        <f>VLOOKUP(C:C,Customer_Dim!B:I,5,1)</f>
        <v>New Julia</v>
      </c>
      <c r="O669" t="str">
        <f>VLOOKUP(C:C,Customer_Dim!B:I,6,1)</f>
        <v>West Virginia</v>
      </c>
      <c r="P669" t="str">
        <f>VLOOKUP(C:C,Customer_Dim!B:I,7,1)</f>
        <v>USA</v>
      </c>
      <c r="Q669" t="str">
        <f>VLOOKUP(C:C,Customer_Dim!B:I,8,1)</f>
        <v>Gold</v>
      </c>
      <c r="S669">
        <v>1</v>
      </c>
      <c r="T669">
        <v>242.08</v>
      </c>
      <c r="U669">
        <v>0.18</v>
      </c>
      <c r="V669">
        <v>198.50559999999999</v>
      </c>
      <c r="X669" s="4">
        <v>1</v>
      </c>
      <c r="Y669">
        <v>242.08</v>
      </c>
      <c r="Z669">
        <v>0.18</v>
      </c>
      <c r="AA669">
        <v>198.50559999999999</v>
      </c>
    </row>
    <row r="670" spans="1:27" x14ac:dyDescent="0.3">
      <c r="A670" t="s">
        <v>2477</v>
      </c>
      <c r="B670" s="2">
        <v>45581</v>
      </c>
      <c r="C670" t="s">
        <v>211</v>
      </c>
      <c r="D670" t="s">
        <v>1657</v>
      </c>
      <c r="E670" t="s">
        <v>1762</v>
      </c>
      <c r="F670" s="4">
        <v>1</v>
      </c>
      <c r="G670">
        <v>536.67999999999995</v>
      </c>
      <c r="H670">
        <v>0.27</v>
      </c>
      <c r="I670" t="s">
        <v>1807</v>
      </c>
      <c r="J670">
        <v>391.77640000000002</v>
      </c>
      <c r="K670" t="s">
        <v>212</v>
      </c>
      <c r="L670">
        <v>51</v>
      </c>
      <c r="M670" t="str">
        <v>Male</v>
      </c>
      <c r="N670" t="str">
        <f>VLOOKUP(C:C,Customer_Dim!B:I,5,1)</f>
        <v>Morrisbury</v>
      </c>
      <c r="O670" t="str">
        <f>VLOOKUP(C:C,Customer_Dim!B:I,6,1)</f>
        <v>Rhode Island</v>
      </c>
      <c r="P670" t="str">
        <f>VLOOKUP(C:C,Customer_Dim!B:I,7,1)</f>
        <v>USA</v>
      </c>
      <c r="Q670" t="str">
        <f>VLOOKUP(C:C,Customer_Dim!B:I,8,1)</f>
        <v>Platinum</v>
      </c>
      <c r="S670">
        <v>1</v>
      </c>
      <c r="T670">
        <v>536.67999999999995</v>
      </c>
      <c r="U670">
        <v>0.27</v>
      </c>
      <c r="V670">
        <v>391.77640000000002</v>
      </c>
      <c r="X670" s="4">
        <v>1</v>
      </c>
      <c r="Y670">
        <v>536.67999999999995</v>
      </c>
      <c r="Z670">
        <v>0.27</v>
      </c>
      <c r="AA670">
        <v>391.77640000000002</v>
      </c>
    </row>
    <row r="671" spans="1:27" x14ac:dyDescent="0.3">
      <c r="A671" t="s">
        <v>2478</v>
      </c>
      <c r="B671" s="2">
        <v>45748</v>
      </c>
      <c r="C671" t="s">
        <v>333</v>
      </c>
      <c r="D671" t="s">
        <v>1589</v>
      </c>
      <c r="E671" t="s">
        <v>1752</v>
      </c>
      <c r="F671" s="4">
        <v>2</v>
      </c>
      <c r="G671">
        <v>145.18</v>
      </c>
      <c r="H671">
        <v>0.26</v>
      </c>
      <c r="I671" t="s">
        <v>1809</v>
      </c>
      <c r="J671">
        <v>214.8664</v>
      </c>
      <c r="K671" t="s">
        <v>334</v>
      </c>
      <c r="L671">
        <v>62</v>
      </c>
      <c r="M671" t="str">
        <v>Female</v>
      </c>
      <c r="N671" t="str">
        <f>VLOOKUP(C:C,Customer_Dim!B:I,5,1)</f>
        <v>New Amyport</v>
      </c>
      <c r="O671" t="str">
        <f>VLOOKUP(C:C,Customer_Dim!B:I,6,1)</f>
        <v>Nevada</v>
      </c>
      <c r="P671" t="str">
        <f>VLOOKUP(C:C,Customer_Dim!B:I,7,1)</f>
        <v>USA</v>
      </c>
      <c r="Q671" t="str">
        <f>VLOOKUP(C:C,Customer_Dim!B:I,8,1)</f>
        <v>Gold</v>
      </c>
      <c r="S671">
        <v>2</v>
      </c>
      <c r="T671">
        <v>145.18</v>
      </c>
      <c r="U671">
        <v>0.26</v>
      </c>
      <c r="V671">
        <v>214.8664</v>
      </c>
      <c r="X671" s="4">
        <v>2</v>
      </c>
      <c r="Y671">
        <v>145.18</v>
      </c>
      <c r="Z671">
        <v>0.26</v>
      </c>
      <c r="AA671">
        <v>214.8664</v>
      </c>
    </row>
    <row r="672" spans="1:27" x14ac:dyDescent="0.3">
      <c r="A672" t="s">
        <v>2479</v>
      </c>
      <c r="B672" s="2">
        <v>45369</v>
      </c>
      <c r="C672" t="s">
        <v>710</v>
      </c>
      <c r="D672" t="s">
        <v>1665</v>
      </c>
      <c r="E672" t="s">
        <v>1752</v>
      </c>
      <c r="F672" s="4">
        <v>2</v>
      </c>
      <c r="G672">
        <v>132.77000000000001</v>
      </c>
      <c r="H672">
        <v>0.13</v>
      </c>
      <c r="I672" t="s">
        <v>1812</v>
      </c>
      <c r="J672">
        <v>231.0198</v>
      </c>
      <c r="K672" t="s">
        <v>711</v>
      </c>
      <c r="L672">
        <v>35</v>
      </c>
      <c r="M672" t="str">
        <v>Male</v>
      </c>
      <c r="N672" t="str">
        <f>VLOOKUP(C:C,Customer_Dim!B:I,5,1)</f>
        <v>Maybury</v>
      </c>
      <c r="O672" t="str">
        <f>VLOOKUP(C:C,Customer_Dim!B:I,6,1)</f>
        <v>Georgia</v>
      </c>
      <c r="P672" t="str">
        <f>VLOOKUP(C:C,Customer_Dim!B:I,7,1)</f>
        <v>USA</v>
      </c>
      <c r="Q672" t="str">
        <f>VLOOKUP(C:C,Customer_Dim!B:I,8,1)</f>
        <v>Platinum</v>
      </c>
      <c r="S672">
        <v>2</v>
      </c>
      <c r="T672">
        <v>132.77000000000001</v>
      </c>
      <c r="U672">
        <v>0.13</v>
      </c>
      <c r="V672">
        <v>231.0198</v>
      </c>
      <c r="X672" s="4">
        <v>2</v>
      </c>
      <c r="Y672">
        <v>132.77000000000001</v>
      </c>
      <c r="Z672">
        <v>0.13</v>
      </c>
      <c r="AA672">
        <v>231.0198</v>
      </c>
    </row>
    <row r="673" spans="1:27" x14ac:dyDescent="0.3">
      <c r="A673" t="s">
        <v>2480</v>
      </c>
      <c r="B673" s="2">
        <v>45701</v>
      </c>
      <c r="C673" t="s">
        <v>63</v>
      </c>
      <c r="D673" t="s">
        <v>1613</v>
      </c>
      <c r="E673" t="s">
        <v>1769</v>
      </c>
      <c r="F673" s="4">
        <v>4</v>
      </c>
      <c r="G673">
        <v>682.11</v>
      </c>
      <c r="H673">
        <v>0.14000000000000001</v>
      </c>
      <c r="I673" t="s">
        <v>1807</v>
      </c>
      <c r="J673">
        <v>2346.4584</v>
      </c>
      <c r="K673" t="s">
        <v>64</v>
      </c>
      <c r="L673">
        <v>53</v>
      </c>
      <c r="M673" t="str">
        <v>Female</v>
      </c>
      <c r="N673" t="str">
        <f>VLOOKUP(C:C,Customer_Dim!B:I,5,1)</f>
        <v>New Becky</v>
      </c>
      <c r="O673" t="str">
        <f>VLOOKUP(C:C,Customer_Dim!B:I,6,1)</f>
        <v>Montana</v>
      </c>
      <c r="P673" t="str">
        <f>VLOOKUP(C:C,Customer_Dim!B:I,7,1)</f>
        <v>USA</v>
      </c>
      <c r="Q673" t="str">
        <f>VLOOKUP(C:C,Customer_Dim!B:I,8,1)</f>
        <v>Silver</v>
      </c>
      <c r="S673">
        <v>4</v>
      </c>
      <c r="T673">
        <v>682.11</v>
      </c>
      <c r="U673">
        <v>0.14000000000000001</v>
      </c>
      <c r="V673">
        <v>2346.4584</v>
      </c>
      <c r="X673" s="4">
        <v>4</v>
      </c>
      <c r="Y673">
        <v>682.11</v>
      </c>
      <c r="Z673">
        <v>0.14000000000000001</v>
      </c>
      <c r="AA673">
        <v>2346.4584</v>
      </c>
    </row>
    <row r="674" spans="1:27" x14ac:dyDescent="0.3">
      <c r="A674" t="s">
        <v>2481</v>
      </c>
      <c r="B674" s="2">
        <v>45510</v>
      </c>
      <c r="C674" t="s">
        <v>1478</v>
      </c>
      <c r="D674" t="s">
        <v>1611</v>
      </c>
      <c r="E674" t="s">
        <v>1790</v>
      </c>
      <c r="F674" s="4">
        <v>4</v>
      </c>
      <c r="G674">
        <v>502.95</v>
      </c>
      <c r="H674">
        <v>0.14000000000000001</v>
      </c>
      <c r="I674" t="s">
        <v>1812</v>
      </c>
      <c r="J674">
        <v>1730.1479999999999</v>
      </c>
      <c r="K674" t="s">
        <v>1479</v>
      </c>
      <c r="L674">
        <v>36</v>
      </c>
      <c r="M674" t="str">
        <v>Female</v>
      </c>
      <c r="N674" t="str">
        <f>VLOOKUP(C:C,Customer_Dim!B:I,5,1)</f>
        <v>Lake April</v>
      </c>
      <c r="O674" t="str">
        <f>VLOOKUP(C:C,Customer_Dim!B:I,6,1)</f>
        <v>Vermont</v>
      </c>
      <c r="P674" t="str">
        <f>VLOOKUP(C:C,Customer_Dim!B:I,7,1)</f>
        <v>USA</v>
      </c>
      <c r="Q674" t="str">
        <f>VLOOKUP(C:C,Customer_Dim!B:I,8,1)</f>
        <v>Bronze</v>
      </c>
      <c r="S674">
        <v>4</v>
      </c>
      <c r="T674">
        <v>502.95</v>
      </c>
      <c r="U674">
        <v>0.14000000000000001</v>
      </c>
      <c r="V674">
        <v>1730.1479999999999</v>
      </c>
      <c r="X674" s="4">
        <v>4</v>
      </c>
      <c r="Y674">
        <v>502.95</v>
      </c>
      <c r="Z674">
        <v>0.14000000000000001</v>
      </c>
      <c r="AA674">
        <v>1730.1479999999999</v>
      </c>
    </row>
    <row r="675" spans="1:27" x14ac:dyDescent="0.3">
      <c r="A675" t="s">
        <v>2482</v>
      </c>
      <c r="B675" s="2">
        <v>45538</v>
      </c>
      <c r="C675" t="s">
        <v>746</v>
      </c>
      <c r="D675" t="s">
        <v>1605</v>
      </c>
      <c r="E675" t="s">
        <v>1787</v>
      </c>
      <c r="F675" s="4">
        <v>2</v>
      </c>
      <c r="G675">
        <v>472.08</v>
      </c>
      <c r="H675">
        <v>7.0000000000000007E-2</v>
      </c>
      <c r="I675" t="s">
        <v>1807</v>
      </c>
      <c r="J675">
        <v>878.0687999999999</v>
      </c>
      <c r="K675" t="s">
        <v>747</v>
      </c>
      <c r="L675">
        <v>28</v>
      </c>
      <c r="M675" t="str">
        <v>Female</v>
      </c>
      <c r="N675" t="str">
        <f>VLOOKUP(C:C,Customer_Dim!B:I,5,1)</f>
        <v>Lake Mark</v>
      </c>
      <c r="O675" t="str">
        <f>VLOOKUP(C:C,Customer_Dim!B:I,6,1)</f>
        <v>Kansas</v>
      </c>
      <c r="P675" t="str">
        <f>VLOOKUP(C:C,Customer_Dim!B:I,7,1)</f>
        <v>USA</v>
      </c>
      <c r="Q675" t="str">
        <f>VLOOKUP(C:C,Customer_Dim!B:I,8,1)</f>
        <v>Gold</v>
      </c>
      <c r="S675">
        <v>2</v>
      </c>
      <c r="T675">
        <v>472.08</v>
      </c>
      <c r="U675">
        <v>7.0000000000000007E-2</v>
      </c>
      <c r="V675">
        <v>878.0687999999999</v>
      </c>
      <c r="X675" s="4">
        <v>2</v>
      </c>
      <c r="Y675">
        <v>472.08</v>
      </c>
      <c r="Z675">
        <v>7.0000000000000007E-2</v>
      </c>
      <c r="AA675">
        <v>878.0687999999999</v>
      </c>
    </row>
    <row r="676" spans="1:27" x14ac:dyDescent="0.3">
      <c r="A676" t="s">
        <v>2483</v>
      </c>
      <c r="B676" s="2">
        <v>45665</v>
      </c>
      <c r="C676" t="s">
        <v>1442</v>
      </c>
      <c r="D676" t="s">
        <v>1645</v>
      </c>
      <c r="E676" t="s">
        <v>1790</v>
      </c>
      <c r="F676" s="4">
        <v>2</v>
      </c>
      <c r="G676">
        <v>218.11</v>
      </c>
      <c r="H676">
        <v>0.02</v>
      </c>
      <c r="I676" t="s">
        <v>1812</v>
      </c>
      <c r="J676">
        <v>427.49560000000002</v>
      </c>
      <c r="K676" t="s">
        <v>1443</v>
      </c>
      <c r="L676">
        <v>32</v>
      </c>
      <c r="M676" t="str">
        <v>Female</v>
      </c>
      <c r="N676" t="str">
        <f>VLOOKUP(C:C,Customer_Dim!B:I,5,1)</f>
        <v>Chambersfurt</v>
      </c>
      <c r="O676" t="str">
        <f>VLOOKUP(C:C,Customer_Dim!B:I,6,1)</f>
        <v>Wisconsin</v>
      </c>
      <c r="P676" t="str">
        <f>VLOOKUP(C:C,Customer_Dim!B:I,7,1)</f>
        <v>USA</v>
      </c>
      <c r="Q676" t="str">
        <f>VLOOKUP(C:C,Customer_Dim!B:I,8,1)</f>
        <v>Bronze</v>
      </c>
      <c r="S676">
        <v>2</v>
      </c>
      <c r="T676">
        <v>218.11</v>
      </c>
      <c r="U676">
        <v>0.02</v>
      </c>
      <c r="V676">
        <v>427.49560000000002</v>
      </c>
      <c r="X676" s="4">
        <v>2</v>
      </c>
      <c r="Y676">
        <v>218.11</v>
      </c>
      <c r="Z676">
        <v>0.02</v>
      </c>
      <c r="AA676">
        <v>427.49560000000002</v>
      </c>
    </row>
    <row r="677" spans="1:27" x14ac:dyDescent="0.3">
      <c r="A677" t="s">
        <v>2484</v>
      </c>
      <c r="B677" s="2">
        <v>45859</v>
      </c>
      <c r="C677" t="s">
        <v>211</v>
      </c>
      <c r="D677" t="s">
        <v>1529</v>
      </c>
      <c r="E677" t="s">
        <v>1759</v>
      </c>
      <c r="F677" s="4">
        <v>4</v>
      </c>
      <c r="G677">
        <v>845.58</v>
      </c>
      <c r="H677">
        <v>0.06</v>
      </c>
      <c r="I677" t="s">
        <v>1809</v>
      </c>
      <c r="J677">
        <v>3179.3807999999999</v>
      </c>
      <c r="K677" t="s">
        <v>212</v>
      </c>
      <c r="L677">
        <v>51</v>
      </c>
      <c r="M677" t="str">
        <v>Male</v>
      </c>
      <c r="N677" t="str">
        <f>VLOOKUP(C:C,Customer_Dim!B:I,5,1)</f>
        <v>Morrisbury</v>
      </c>
      <c r="O677" t="str">
        <f>VLOOKUP(C:C,Customer_Dim!B:I,6,1)</f>
        <v>Rhode Island</v>
      </c>
      <c r="P677" t="str">
        <f>VLOOKUP(C:C,Customer_Dim!B:I,7,1)</f>
        <v>USA</v>
      </c>
      <c r="Q677" t="str">
        <f>VLOOKUP(C:C,Customer_Dim!B:I,8,1)</f>
        <v>Platinum</v>
      </c>
      <c r="S677">
        <v>4</v>
      </c>
      <c r="T677">
        <v>845.58</v>
      </c>
      <c r="U677">
        <v>0.06</v>
      </c>
      <c r="V677">
        <v>3179.3807999999999</v>
      </c>
      <c r="X677" s="4">
        <v>4</v>
      </c>
      <c r="Y677">
        <v>845.58</v>
      </c>
      <c r="Z677">
        <v>0.06</v>
      </c>
      <c r="AA677">
        <v>3179.3807999999999</v>
      </c>
    </row>
    <row r="678" spans="1:27" x14ac:dyDescent="0.3">
      <c r="A678" t="s">
        <v>2485</v>
      </c>
      <c r="B678" s="2">
        <v>45255</v>
      </c>
      <c r="C678" t="s">
        <v>436</v>
      </c>
      <c r="D678" t="s">
        <v>1691</v>
      </c>
      <c r="E678" t="s">
        <v>1744</v>
      </c>
      <c r="F678" s="4">
        <v>2</v>
      </c>
      <c r="G678">
        <v>111.28</v>
      </c>
      <c r="H678">
        <v>0.14000000000000001</v>
      </c>
      <c r="I678" t="s">
        <v>1807</v>
      </c>
      <c r="J678">
        <v>191.4016</v>
      </c>
      <c r="K678" t="s">
        <v>437</v>
      </c>
      <c r="L678">
        <v>43</v>
      </c>
      <c r="M678" t="str">
        <v>Female</v>
      </c>
      <c r="N678" t="str">
        <f>VLOOKUP(C:C,Customer_Dim!B:I,5,1)</f>
        <v>East Ellen</v>
      </c>
      <c r="O678" t="str">
        <f>VLOOKUP(C:C,Customer_Dim!B:I,6,1)</f>
        <v>Arkansas</v>
      </c>
      <c r="P678" t="str">
        <f>VLOOKUP(C:C,Customer_Dim!B:I,7,1)</f>
        <v>USA</v>
      </c>
      <c r="Q678" t="str">
        <f>VLOOKUP(C:C,Customer_Dim!B:I,8,1)</f>
        <v>Silver</v>
      </c>
      <c r="S678">
        <v>2</v>
      </c>
      <c r="T678">
        <v>111.28</v>
      </c>
      <c r="U678">
        <v>0.14000000000000001</v>
      </c>
      <c r="V678">
        <v>191.4016</v>
      </c>
      <c r="X678" s="4">
        <v>2</v>
      </c>
      <c r="Y678">
        <v>111.28</v>
      </c>
      <c r="Z678">
        <v>0.14000000000000001</v>
      </c>
      <c r="AA678">
        <v>191.4016</v>
      </c>
    </row>
    <row r="679" spans="1:27" x14ac:dyDescent="0.3">
      <c r="A679" t="s">
        <v>2486</v>
      </c>
      <c r="B679" s="2">
        <v>45842</v>
      </c>
      <c r="C679" t="s">
        <v>579</v>
      </c>
      <c r="D679" t="s">
        <v>1649</v>
      </c>
      <c r="E679" t="s">
        <v>1782</v>
      </c>
      <c r="F679" s="4">
        <v>2</v>
      </c>
      <c r="G679">
        <v>37.21</v>
      </c>
      <c r="H679">
        <v>0.19</v>
      </c>
      <c r="I679" t="s">
        <v>1807</v>
      </c>
      <c r="J679">
        <v>60.280200000000008</v>
      </c>
      <c r="K679" t="s">
        <v>580</v>
      </c>
      <c r="L679">
        <v>33</v>
      </c>
      <c r="M679" t="str">
        <v>Female</v>
      </c>
      <c r="N679" t="str">
        <f>VLOOKUP(C:C,Customer_Dim!B:I,5,1)</f>
        <v>Butlerberg</v>
      </c>
      <c r="O679" t="str">
        <f>VLOOKUP(C:C,Customer_Dim!B:I,6,1)</f>
        <v>Kentucky</v>
      </c>
      <c r="P679" t="str">
        <f>VLOOKUP(C:C,Customer_Dim!B:I,7,1)</f>
        <v>USA</v>
      </c>
      <c r="Q679" t="str">
        <f>VLOOKUP(C:C,Customer_Dim!B:I,8,1)</f>
        <v>Platinum</v>
      </c>
      <c r="S679">
        <v>2</v>
      </c>
      <c r="T679">
        <v>37.21</v>
      </c>
      <c r="U679">
        <v>0.19</v>
      </c>
      <c r="V679">
        <v>60.280200000000008</v>
      </c>
      <c r="X679" s="4">
        <v>2</v>
      </c>
      <c r="Y679">
        <v>37.21</v>
      </c>
      <c r="Z679">
        <v>0.19</v>
      </c>
      <c r="AA679">
        <v>60.280200000000008</v>
      </c>
    </row>
    <row r="680" spans="1:27" x14ac:dyDescent="0.3">
      <c r="A680" t="s">
        <v>2487</v>
      </c>
      <c r="B680" s="2">
        <v>45220</v>
      </c>
      <c r="C680" t="s">
        <v>1281</v>
      </c>
      <c r="D680" t="s">
        <v>1655</v>
      </c>
      <c r="E680" t="s">
        <v>1780</v>
      </c>
      <c r="F680" s="4">
        <v>1</v>
      </c>
      <c r="G680">
        <v>331.73</v>
      </c>
      <c r="H680">
        <v>0.04</v>
      </c>
      <c r="I680" t="s">
        <v>1807</v>
      </c>
      <c r="J680">
        <v>318.46080000000001</v>
      </c>
      <c r="K680" t="s">
        <v>1282</v>
      </c>
      <c r="L680">
        <v>60</v>
      </c>
      <c r="M680" t="str">
        <v>Female</v>
      </c>
      <c r="N680" t="str">
        <f>VLOOKUP(C:C,Customer_Dim!B:I,5,1)</f>
        <v>Kimburgh</v>
      </c>
      <c r="O680" t="str">
        <f>VLOOKUP(C:C,Customer_Dim!B:I,6,1)</f>
        <v>North Carolina</v>
      </c>
      <c r="P680" t="str">
        <f>VLOOKUP(C:C,Customer_Dim!B:I,7,1)</f>
        <v>USA</v>
      </c>
      <c r="Q680" t="str">
        <f>VLOOKUP(C:C,Customer_Dim!B:I,8,1)</f>
        <v>Bronze</v>
      </c>
      <c r="S680">
        <v>1</v>
      </c>
      <c r="T680">
        <v>331.73</v>
      </c>
      <c r="U680">
        <v>0.04</v>
      </c>
      <c r="V680">
        <v>318.46080000000001</v>
      </c>
      <c r="X680" s="4">
        <v>1</v>
      </c>
      <c r="Y680">
        <v>331.73</v>
      </c>
      <c r="Z680">
        <v>0.04</v>
      </c>
      <c r="AA680">
        <v>318.46080000000001</v>
      </c>
    </row>
    <row r="681" spans="1:27" x14ac:dyDescent="0.3">
      <c r="A681" t="s">
        <v>2488</v>
      </c>
      <c r="B681" s="2">
        <v>45273</v>
      </c>
      <c r="C681" t="s">
        <v>1126</v>
      </c>
      <c r="D681" t="s">
        <v>1671</v>
      </c>
      <c r="E681" t="s">
        <v>1777</v>
      </c>
      <c r="F681" s="4">
        <v>3</v>
      </c>
      <c r="G681">
        <v>306.70999999999998</v>
      </c>
      <c r="H681">
        <v>0.09</v>
      </c>
      <c r="I681" t="s">
        <v>1809</v>
      </c>
      <c r="J681">
        <v>837.31829999999991</v>
      </c>
      <c r="K681" t="s">
        <v>1127</v>
      </c>
      <c r="L681">
        <v>63</v>
      </c>
      <c r="M681" t="str">
        <v>Female</v>
      </c>
      <c r="N681" t="str">
        <f>VLOOKUP(C:C,Customer_Dim!B:I,5,1)</f>
        <v>Lake Johnside</v>
      </c>
      <c r="O681" t="str">
        <f>VLOOKUP(C:C,Customer_Dim!B:I,6,1)</f>
        <v>Arizona</v>
      </c>
      <c r="P681" t="str">
        <f>VLOOKUP(C:C,Customer_Dim!B:I,7,1)</f>
        <v>USA</v>
      </c>
      <c r="Q681" t="str">
        <f>VLOOKUP(C:C,Customer_Dim!B:I,8,1)</f>
        <v>Bronze</v>
      </c>
      <c r="S681">
        <v>3</v>
      </c>
      <c r="T681">
        <v>306.70999999999998</v>
      </c>
      <c r="U681">
        <v>0.09</v>
      </c>
      <c r="V681">
        <v>837.31829999999991</v>
      </c>
      <c r="X681" s="4">
        <v>3</v>
      </c>
      <c r="Y681">
        <v>306.70999999999998</v>
      </c>
      <c r="Z681">
        <v>0.09</v>
      </c>
      <c r="AA681">
        <v>837.31829999999991</v>
      </c>
    </row>
    <row r="682" spans="1:27" x14ac:dyDescent="0.3">
      <c r="A682" t="s">
        <v>2489</v>
      </c>
      <c r="B682" s="2">
        <v>45456</v>
      </c>
      <c r="C682" t="s">
        <v>853</v>
      </c>
      <c r="D682" t="s">
        <v>1581</v>
      </c>
      <c r="E682" t="s">
        <v>1759</v>
      </c>
      <c r="F682" s="4">
        <v>4</v>
      </c>
      <c r="G682">
        <v>484.92</v>
      </c>
      <c r="H682">
        <v>0.28000000000000003</v>
      </c>
      <c r="I682" t="s">
        <v>1809</v>
      </c>
      <c r="J682">
        <v>1396.5696</v>
      </c>
      <c r="K682" t="s">
        <v>854</v>
      </c>
      <c r="L682">
        <v>64</v>
      </c>
      <c r="M682" t="str">
        <v>Male</v>
      </c>
      <c r="N682" t="str">
        <f>VLOOKUP(C:C,Customer_Dim!B:I,5,1)</f>
        <v>Ramosmouth</v>
      </c>
      <c r="O682" t="str">
        <f>VLOOKUP(C:C,Customer_Dim!B:I,6,1)</f>
        <v>Louisiana</v>
      </c>
      <c r="P682" t="str">
        <f>VLOOKUP(C:C,Customer_Dim!B:I,7,1)</f>
        <v>USA</v>
      </c>
      <c r="Q682" t="str">
        <f>VLOOKUP(C:C,Customer_Dim!B:I,8,1)</f>
        <v>Gold</v>
      </c>
      <c r="S682">
        <v>4</v>
      </c>
      <c r="T682">
        <v>484.92</v>
      </c>
      <c r="U682">
        <v>0.28000000000000003</v>
      </c>
      <c r="V682">
        <v>1396.5696</v>
      </c>
      <c r="X682" s="4">
        <v>4</v>
      </c>
      <c r="Y682">
        <v>484.92</v>
      </c>
      <c r="Z682">
        <v>0.28000000000000003</v>
      </c>
      <c r="AA682">
        <v>1396.5696</v>
      </c>
    </row>
    <row r="683" spans="1:27" x14ac:dyDescent="0.3">
      <c r="A683" t="s">
        <v>2490</v>
      </c>
      <c r="B683" s="2">
        <v>45292</v>
      </c>
      <c r="C683" t="s">
        <v>167</v>
      </c>
      <c r="D683" t="s">
        <v>1631</v>
      </c>
      <c r="E683" t="s">
        <v>1756</v>
      </c>
      <c r="F683" s="4">
        <v>2</v>
      </c>
      <c r="G683">
        <v>42.04</v>
      </c>
      <c r="H683">
        <v>7.0000000000000007E-2</v>
      </c>
      <c r="I683" t="s">
        <v>1807</v>
      </c>
      <c r="J683">
        <v>78.194399999999987</v>
      </c>
      <c r="K683" t="s">
        <v>168</v>
      </c>
      <c r="L683">
        <v>34</v>
      </c>
      <c r="M683" t="str">
        <v>Male</v>
      </c>
      <c r="N683" t="str">
        <f>VLOOKUP(C:C,Customer_Dim!B:I,5,1)</f>
        <v>South Michaelfort</v>
      </c>
      <c r="O683" t="str">
        <f>VLOOKUP(C:C,Customer_Dim!B:I,6,1)</f>
        <v>Vermont</v>
      </c>
      <c r="P683" t="str">
        <f>VLOOKUP(C:C,Customer_Dim!B:I,7,1)</f>
        <v>USA</v>
      </c>
      <c r="Q683" t="str">
        <f>VLOOKUP(C:C,Customer_Dim!B:I,8,1)</f>
        <v>Gold</v>
      </c>
      <c r="S683">
        <v>2</v>
      </c>
      <c r="T683">
        <v>42.04</v>
      </c>
      <c r="U683">
        <v>7.0000000000000007E-2</v>
      </c>
      <c r="V683">
        <v>78.194399999999987</v>
      </c>
      <c r="X683" s="4">
        <v>2</v>
      </c>
      <c r="Y683">
        <v>42.04</v>
      </c>
      <c r="Z683">
        <v>7.0000000000000007E-2</v>
      </c>
      <c r="AA683">
        <v>78.194399999999987</v>
      </c>
    </row>
    <row r="684" spans="1:27" x14ac:dyDescent="0.3">
      <c r="A684" t="s">
        <v>2491</v>
      </c>
      <c r="B684" s="2">
        <v>45278</v>
      </c>
      <c r="C684" t="s">
        <v>885</v>
      </c>
      <c r="D684" t="s">
        <v>1641</v>
      </c>
      <c r="E684" t="s">
        <v>1759</v>
      </c>
      <c r="F684" s="4">
        <v>3</v>
      </c>
      <c r="G684">
        <v>599.48</v>
      </c>
      <c r="H684">
        <v>0.22</v>
      </c>
      <c r="I684" t="s">
        <v>1809</v>
      </c>
      <c r="J684">
        <v>1402.7832000000001</v>
      </c>
      <c r="K684" t="s">
        <v>886</v>
      </c>
      <c r="L684">
        <v>46</v>
      </c>
      <c r="M684" t="str">
        <v>Female</v>
      </c>
      <c r="N684" t="str">
        <f>VLOOKUP(C:C,Customer_Dim!B:I,5,1)</f>
        <v>North Joshualand</v>
      </c>
      <c r="O684" t="str">
        <f>VLOOKUP(C:C,Customer_Dim!B:I,6,1)</f>
        <v>Connecticut</v>
      </c>
      <c r="P684" t="str">
        <f>VLOOKUP(C:C,Customer_Dim!B:I,7,1)</f>
        <v>USA</v>
      </c>
      <c r="Q684" t="str">
        <f>VLOOKUP(C:C,Customer_Dim!B:I,8,1)</f>
        <v>Platinum</v>
      </c>
      <c r="S684">
        <v>3</v>
      </c>
      <c r="T684">
        <v>599.48</v>
      </c>
      <c r="U684">
        <v>0.22</v>
      </c>
      <c r="V684">
        <v>1402.7832000000001</v>
      </c>
      <c r="X684" s="4">
        <v>3</v>
      </c>
      <c r="Y684">
        <v>599.48</v>
      </c>
      <c r="Z684">
        <v>0.22</v>
      </c>
      <c r="AA684">
        <v>1402.7832000000001</v>
      </c>
    </row>
    <row r="685" spans="1:27" x14ac:dyDescent="0.3">
      <c r="A685" t="s">
        <v>2492</v>
      </c>
      <c r="B685" s="2">
        <v>45232</v>
      </c>
      <c r="C685" t="s">
        <v>1106</v>
      </c>
      <c r="D685" t="s">
        <v>1565</v>
      </c>
      <c r="E685" t="s">
        <v>1740</v>
      </c>
      <c r="F685" s="4">
        <v>3</v>
      </c>
      <c r="G685">
        <v>401.42</v>
      </c>
      <c r="H685">
        <v>0.01</v>
      </c>
      <c r="I685" t="s">
        <v>1812</v>
      </c>
      <c r="J685">
        <v>1192.2174</v>
      </c>
      <c r="K685" t="s">
        <v>1107</v>
      </c>
      <c r="L685">
        <v>60</v>
      </c>
      <c r="M685" t="str">
        <v>Female</v>
      </c>
      <c r="N685" t="str">
        <f>VLOOKUP(C:C,Customer_Dim!B:I,5,1)</f>
        <v>Nealview</v>
      </c>
      <c r="O685" t="str">
        <f>VLOOKUP(C:C,Customer_Dim!B:I,6,1)</f>
        <v>Tennessee</v>
      </c>
      <c r="P685" t="str">
        <f>VLOOKUP(C:C,Customer_Dim!B:I,7,1)</f>
        <v>USA</v>
      </c>
      <c r="Q685" t="str">
        <f>VLOOKUP(C:C,Customer_Dim!B:I,8,1)</f>
        <v>Gold</v>
      </c>
      <c r="S685">
        <v>3</v>
      </c>
      <c r="T685">
        <v>401.42</v>
      </c>
      <c r="U685">
        <v>0.01</v>
      </c>
      <c r="V685">
        <v>1192.2174</v>
      </c>
      <c r="X685" s="4">
        <v>3</v>
      </c>
      <c r="Y685">
        <v>401.42</v>
      </c>
      <c r="Z685">
        <v>0.01</v>
      </c>
      <c r="AA685">
        <v>1192.2174</v>
      </c>
    </row>
    <row r="686" spans="1:27" x14ac:dyDescent="0.3">
      <c r="A686" t="s">
        <v>2493</v>
      </c>
      <c r="B686" s="2">
        <v>45907</v>
      </c>
      <c r="C686" t="s">
        <v>625</v>
      </c>
      <c r="D686" t="s">
        <v>1623</v>
      </c>
      <c r="E686" t="s">
        <v>1765</v>
      </c>
      <c r="F686" s="4">
        <v>4</v>
      </c>
      <c r="G686">
        <v>442.54</v>
      </c>
      <c r="H686">
        <v>0.06</v>
      </c>
      <c r="I686" t="s">
        <v>1807</v>
      </c>
      <c r="J686">
        <v>1663.9503999999999</v>
      </c>
      <c r="K686" t="s">
        <v>626</v>
      </c>
      <c r="L686">
        <v>38</v>
      </c>
      <c r="M686" t="str">
        <v>Male</v>
      </c>
      <c r="N686" t="str">
        <f>VLOOKUP(C:C,Customer_Dim!B:I,5,1)</f>
        <v>Lake Samanthafort</v>
      </c>
      <c r="O686" t="str">
        <f>VLOOKUP(C:C,Customer_Dim!B:I,6,1)</f>
        <v>Idaho</v>
      </c>
      <c r="P686" t="str">
        <f>VLOOKUP(C:C,Customer_Dim!B:I,7,1)</f>
        <v>USA</v>
      </c>
      <c r="Q686" t="str">
        <f>VLOOKUP(C:C,Customer_Dim!B:I,8,1)</f>
        <v>Gold</v>
      </c>
      <c r="S686">
        <v>4</v>
      </c>
      <c r="T686">
        <v>442.54</v>
      </c>
      <c r="U686">
        <v>0.06</v>
      </c>
      <c r="V686">
        <v>1663.9503999999999</v>
      </c>
      <c r="X686" s="4">
        <v>4</v>
      </c>
      <c r="Y686">
        <v>442.54</v>
      </c>
      <c r="Z686">
        <v>0.06</v>
      </c>
      <c r="AA686">
        <v>1663.9503999999999</v>
      </c>
    </row>
    <row r="687" spans="1:27" x14ac:dyDescent="0.3">
      <c r="A687" t="s">
        <v>2494</v>
      </c>
      <c r="B687" s="2">
        <v>45270</v>
      </c>
      <c r="C687" t="s">
        <v>1392</v>
      </c>
      <c r="D687" t="s">
        <v>1707</v>
      </c>
      <c r="E687" t="s">
        <v>1780</v>
      </c>
      <c r="F687" s="4">
        <v>4</v>
      </c>
      <c r="G687">
        <v>451.41</v>
      </c>
      <c r="H687">
        <v>0.06</v>
      </c>
      <c r="I687" t="s">
        <v>1809</v>
      </c>
      <c r="J687">
        <v>1697.3016</v>
      </c>
      <c r="K687" t="s">
        <v>1393</v>
      </c>
      <c r="L687">
        <v>59</v>
      </c>
      <c r="M687" t="str">
        <v>Male</v>
      </c>
      <c r="N687" t="str">
        <f>VLOOKUP(C:C,Customer_Dim!B:I,5,1)</f>
        <v>South Barbara</v>
      </c>
      <c r="O687" t="str">
        <f>VLOOKUP(C:C,Customer_Dim!B:I,6,1)</f>
        <v>Arkansas</v>
      </c>
      <c r="P687" t="str">
        <f>VLOOKUP(C:C,Customer_Dim!B:I,7,1)</f>
        <v>USA</v>
      </c>
      <c r="Q687" t="str">
        <f>VLOOKUP(C:C,Customer_Dim!B:I,8,1)</f>
        <v>Gold</v>
      </c>
      <c r="S687">
        <v>4</v>
      </c>
      <c r="T687">
        <v>451.41</v>
      </c>
      <c r="U687">
        <v>0.06</v>
      </c>
      <c r="V687">
        <v>1697.3016</v>
      </c>
      <c r="X687" s="4">
        <v>4</v>
      </c>
      <c r="Y687">
        <v>451.41</v>
      </c>
      <c r="Z687">
        <v>0.06</v>
      </c>
      <c r="AA687">
        <v>1697.3016</v>
      </c>
    </row>
    <row r="688" spans="1:27" x14ac:dyDescent="0.3">
      <c r="A688" t="s">
        <v>2495</v>
      </c>
      <c r="B688" s="2">
        <v>45942</v>
      </c>
      <c r="C688" t="s">
        <v>839</v>
      </c>
      <c r="D688" t="s">
        <v>1713</v>
      </c>
      <c r="E688" t="s">
        <v>1769</v>
      </c>
      <c r="F688" s="4">
        <v>4</v>
      </c>
      <c r="G688">
        <v>547.21</v>
      </c>
      <c r="H688">
        <v>0.25</v>
      </c>
      <c r="I688" t="s">
        <v>1807</v>
      </c>
      <c r="J688">
        <v>1641.63</v>
      </c>
      <c r="K688" t="s">
        <v>840</v>
      </c>
      <c r="L688">
        <v>32</v>
      </c>
      <c r="M688" t="str">
        <v>Female</v>
      </c>
      <c r="N688" t="str">
        <f>VLOOKUP(C:C,Customer_Dim!B:I,5,1)</f>
        <v>West Jamieport</v>
      </c>
      <c r="O688" t="str">
        <f>VLOOKUP(C:C,Customer_Dim!B:I,6,1)</f>
        <v>Tennessee</v>
      </c>
      <c r="P688" t="str">
        <f>VLOOKUP(C:C,Customer_Dim!B:I,7,1)</f>
        <v>USA</v>
      </c>
      <c r="Q688" t="str">
        <f>VLOOKUP(C:C,Customer_Dim!B:I,8,1)</f>
        <v>Silver</v>
      </c>
      <c r="S688">
        <v>4</v>
      </c>
      <c r="T688">
        <v>547.21</v>
      </c>
      <c r="U688">
        <v>0.25</v>
      </c>
      <c r="V688">
        <v>1641.63</v>
      </c>
      <c r="X688" s="4">
        <v>4</v>
      </c>
      <c r="Y688">
        <v>547.21</v>
      </c>
      <c r="Z688">
        <v>0.25</v>
      </c>
      <c r="AA688">
        <v>1641.63</v>
      </c>
    </row>
    <row r="689" spans="1:27" x14ac:dyDescent="0.3">
      <c r="A689" t="s">
        <v>2496</v>
      </c>
      <c r="B689" s="2">
        <v>45750</v>
      </c>
      <c r="C689" t="s">
        <v>657</v>
      </c>
      <c r="D689" t="s">
        <v>1705</v>
      </c>
      <c r="E689" t="s">
        <v>1752</v>
      </c>
      <c r="F689" s="4">
        <v>1</v>
      </c>
      <c r="G689">
        <v>979.28</v>
      </c>
      <c r="H689">
        <v>0.2</v>
      </c>
      <c r="I689" t="s">
        <v>1809</v>
      </c>
      <c r="J689">
        <v>783.42399999999998</v>
      </c>
      <c r="K689" t="s">
        <v>658</v>
      </c>
      <c r="L689">
        <v>52</v>
      </c>
      <c r="M689" t="str">
        <v>Male</v>
      </c>
      <c r="N689" t="str">
        <f>VLOOKUP(C:C,Customer_Dim!B:I,5,1)</f>
        <v>Johnsonland</v>
      </c>
      <c r="O689" t="str">
        <f>VLOOKUP(C:C,Customer_Dim!B:I,6,1)</f>
        <v>Iowa</v>
      </c>
      <c r="P689" t="str">
        <f>VLOOKUP(C:C,Customer_Dim!B:I,7,1)</f>
        <v>USA</v>
      </c>
      <c r="Q689" t="str">
        <f>VLOOKUP(C:C,Customer_Dim!B:I,8,1)</f>
        <v>Platinum</v>
      </c>
      <c r="S689">
        <v>1</v>
      </c>
      <c r="T689">
        <v>979.28</v>
      </c>
      <c r="U689">
        <v>0.2</v>
      </c>
      <c r="V689">
        <v>783.42399999999998</v>
      </c>
      <c r="X689" s="4">
        <v>1</v>
      </c>
      <c r="Y689">
        <v>979.28</v>
      </c>
      <c r="Z689">
        <v>0.2</v>
      </c>
      <c r="AA689">
        <v>783.42399999999998</v>
      </c>
    </row>
    <row r="690" spans="1:27" x14ac:dyDescent="0.3">
      <c r="A690" t="s">
        <v>2497</v>
      </c>
      <c r="B690" s="2">
        <v>45300</v>
      </c>
      <c r="C690" t="s">
        <v>1415</v>
      </c>
      <c r="D690" t="s">
        <v>1643</v>
      </c>
      <c r="E690" t="s">
        <v>1762</v>
      </c>
      <c r="F690" s="4">
        <v>4</v>
      </c>
      <c r="G690">
        <v>263.58999999999997</v>
      </c>
      <c r="H690">
        <v>0.04</v>
      </c>
      <c r="I690" t="s">
        <v>1807</v>
      </c>
      <c r="J690">
        <v>1012.1856</v>
      </c>
      <c r="K690" t="s">
        <v>1416</v>
      </c>
      <c r="L690">
        <v>28</v>
      </c>
      <c r="M690" t="str">
        <v>Female</v>
      </c>
      <c r="N690" t="str">
        <f>VLOOKUP(C:C,Customer_Dim!B:I,5,1)</f>
        <v>Grayland</v>
      </c>
      <c r="O690" t="str">
        <f>VLOOKUP(C:C,Customer_Dim!B:I,6,1)</f>
        <v>Washington</v>
      </c>
      <c r="P690" t="str">
        <f>VLOOKUP(C:C,Customer_Dim!B:I,7,1)</f>
        <v>USA</v>
      </c>
      <c r="Q690" t="str">
        <f>VLOOKUP(C:C,Customer_Dim!B:I,8,1)</f>
        <v>Platinum</v>
      </c>
      <c r="S690">
        <v>4</v>
      </c>
      <c r="T690">
        <v>263.58999999999997</v>
      </c>
      <c r="U690">
        <v>0.04</v>
      </c>
      <c r="V690">
        <v>1012.1856</v>
      </c>
      <c r="X690" s="4">
        <v>4</v>
      </c>
      <c r="Y690">
        <v>263.58999999999997</v>
      </c>
      <c r="Z690">
        <v>0.04</v>
      </c>
      <c r="AA690">
        <v>1012.1856</v>
      </c>
    </row>
    <row r="691" spans="1:27" x14ac:dyDescent="0.3">
      <c r="A691" t="s">
        <v>2498</v>
      </c>
      <c r="B691" s="2">
        <v>45876</v>
      </c>
      <c r="C691" t="s">
        <v>20</v>
      </c>
      <c r="D691" t="s">
        <v>1639</v>
      </c>
      <c r="E691" t="s">
        <v>1756</v>
      </c>
      <c r="F691" s="4">
        <v>1</v>
      </c>
      <c r="G691">
        <v>692.75</v>
      </c>
      <c r="H691">
        <v>0.11</v>
      </c>
      <c r="I691" t="s">
        <v>1812</v>
      </c>
      <c r="J691">
        <v>616.54750000000001</v>
      </c>
      <c r="K691" t="s">
        <v>3933</v>
      </c>
      <c r="L691">
        <v>59</v>
      </c>
      <c r="M691" t="str">
        <v>Female</v>
      </c>
      <c r="N691" t="str">
        <f>VLOOKUP(C:C,Customer_Dim!B:I,5,1)</f>
        <v>Kylebury</v>
      </c>
      <c r="O691" t="str">
        <f>VLOOKUP(C:C,Customer_Dim!B:I,6,1)</f>
        <v>Alabama</v>
      </c>
      <c r="P691" t="str">
        <f>VLOOKUP(C:C,Customer_Dim!B:I,7,1)</f>
        <v>USA</v>
      </c>
      <c r="Q691" t="str">
        <f>VLOOKUP(C:C,Customer_Dim!B:I,8,1)</f>
        <v>Platinum</v>
      </c>
      <c r="S691">
        <v>1</v>
      </c>
      <c r="T691">
        <v>692.75</v>
      </c>
      <c r="U691">
        <v>0.11</v>
      </c>
      <c r="V691">
        <v>616.54750000000001</v>
      </c>
      <c r="X691" s="4">
        <v>1</v>
      </c>
      <c r="Y691">
        <v>692.75</v>
      </c>
      <c r="Z691">
        <v>0.11</v>
      </c>
      <c r="AA691">
        <v>616.54750000000001</v>
      </c>
    </row>
    <row r="692" spans="1:27" x14ac:dyDescent="0.3">
      <c r="A692" t="s">
        <v>2499</v>
      </c>
      <c r="B692" s="2">
        <v>45301</v>
      </c>
      <c r="C692" t="s">
        <v>539</v>
      </c>
      <c r="D692" t="s">
        <v>1657</v>
      </c>
      <c r="E692" t="s">
        <v>1749</v>
      </c>
      <c r="F692" s="4">
        <v>3</v>
      </c>
      <c r="G692">
        <v>142.83000000000001</v>
      </c>
      <c r="H692">
        <v>0.01</v>
      </c>
      <c r="I692" t="s">
        <v>1807</v>
      </c>
      <c r="J692">
        <v>424.20510000000002</v>
      </c>
      <c r="K692" t="s">
        <v>540</v>
      </c>
      <c r="L692">
        <v>39</v>
      </c>
      <c r="M692" t="str">
        <v>Female</v>
      </c>
      <c r="N692" t="str">
        <f>VLOOKUP(C:C,Customer_Dim!B:I,5,1)</f>
        <v>North Matthew</v>
      </c>
      <c r="O692" t="str">
        <f>VLOOKUP(C:C,Customer_Dim!B:I,6,1)</f>
        <v>Illinois</v>
      </c>
      <c r="P692" t="str">
        <f>VLOOKUP(C:C,Customer_Dim!B:I,7,1)</f>
        <v>USA</v>
      </c>
      <c r="Q692" t="str">
        <f>VLOOKUP(C:C,Customer_Dim!B:I,8,1)</f>
        <v>Bronze</v>
      </c>
      <c r="S692">
        <v>3</v>
      </c>
      <c r="T692">
        <v>142.83000000000001</v>
      </c>
      <c r="U692">
        <v>0.01</v>
      </c>
      <c r="V692">
        <v>424.20510000000002</v>
      </c>
      <c r="X692" s="4">
        <v>3</v>
      </c>
      <c r="Y692">
        <v>142.83000000000001</v>
      </c>
      <c r="Z692">
        <v>0.01</v>
      </c>
      <c r="AA692">
        <v>424.20510000000002</v>
      </c>
    </row>
    <row r="693" spans="1:27" x14ac:dyDescent="0.3">
      <c r="A693" t="s">
        <v>2500</v>
      </c>
      <c r="B693" s="2">
        <v>45857</v>
      </c>
      <c r="C693" t="s">
        <v>423</v>
      </c>
      <c r="D693" t="s">
        <v>1575</v>
      </c>
      <c r="E693" t="s">
        <v>1744</v>
      </c>
      <c r="F693" s="4">
        <v>2</v>
      </c>
      <c r="G693">
        <v>419.25</v>
      </c>
      <c r="H693">
        <v>0.17</v>
      </c>
      <c r="I693" t="s">
        <v>1809</v>
      </c>
      <c r="J693">
        <v>695.95499999999993</v>
      </c>
      <c r="K693" t="s">
        <v>424</v>
      </c>
      <c r="L693">
        <v>64</v>
      </c>
      <c r="M693" t="str">
        <v>Female</v>
      </c>
      <c r="N693" t="str">
        <f>VLOOKUP(C:C,Customer_Dim!B:I,5,1)</f>
        <v>Wongberg</v>
      </c>
      <c r="O693" t="str">
        <f>VLOOKUP(C:C,Customer_Dim!B:I,6,1)</f>
        <v>Illinois</v>
      </c>
      <c r="P693" t="str">
        <f>VLOOKUP(C:C,Customer_Dim!B:I,7,1)</f>
        <v>USA</v>
      </c>
      <c r="Q693" t="str">
        <f>VLOOKUP(C:C,Customer_Dim!B:I,8,1)</f>
        <v>Bronze</v>
      </c>
      <c r="S693">
        <v>2</v>
      </c>
      <c r="T693">
        <v>419.25</v>
      </c>
      <c r="U693">
        <v>0.17</v>
      </c>
      <c r="V693">
        <v>695.95499999999993</v>
      </c>
      <c r="X693" s="4">
        <v>2</v>
      </c>
      <c r="Y693">
        <v>419.25</v>
      </c>
      <c r="Z693">
        <v>0.17</v>
      </c>
      <c r="AA693">
        <v>695.95499999999993</v>
      </c>
    </row>
    <row r="694" spans="1:27" x14ac:dyDescent="0.3">
      <c r="A694" t="s">
        <v>2501</v>
      </c>
      <c r="B694" s="2">
        <v>45650</v>
      </c>
      <c r="C694" t="s">
        <v>764</v>
      </c>
      <c r="D694" t="s">
        <v>1583</v>
      </c>
      <c r="E694" t="s">
        <v>1796</v>
      </c>
      <c r="F694" s="4">
        <v>2</v>
      </c>
      <c r="G694">
        <v>800.84</v>
      </c>
      <c r="H694">
        <v>0.27</v>
      </c>
      <c r="I694" t="s">
        <v>1812</v>
      </c>
      <c r="J694">
        <v>1169.2264</v>
      </c>
      <c r="K694" t="s">
        <v>765</v>
      </c>
      <c r="L694">
        <v>31</v>
      </c>
      <c r="M694" t="str">
        <v>Male</v>
      </c>
      <c r="N694" t="str">
        <f>VLOOKUP(C:C,Customer_Dim!B:I,5,1)</f>
        <v>Heathfort</v>
      </c>
      <c r="O694" t="str">
        <f>VLOOKUP(C:C,Customer_Dim!B:I,6,1)</f>
        <v>Michigan</v>
      </c>
      <c r="P694" t="str">
        <f>VLOOKUP(C:C,Customer_Dim!B:I,7,1)</f>
        <v>USA</v>
      </c>
      <c r="Q694" t="str">
        <f>VLOOKUP(C:C,Customer_Dim!B:I,8,1)</f>
        <v>Platinum</v>
      </c>
      <c r="S694">
        <v>2</v>
      </c>
      <c r="T694">
        <v>800.84</v>
      </c>
      <c r="U694">
        <v>0.27</v>
      </c>
      <c r="V694">
        <v>1169.2264</v>
      </c>
      <c r="X694" s="4">
        <v>2</v>
      </c>
      <c r="Y694">
        <v>800.84</v>
      </c>
      <c r="Z694">
        <v>0.27</v>
      </c>
      <c r="AA694">
        <v>1169.2264</v>
      </c>
    </row>
    <row r="695" spans="1:27" x14ac:dyDescent="0.3">
      <c r="A695" t="s">
        <v>2502</v>
      </c>
      <c r="B695" s="2">
        <v>45520</v>
      </c>
      <c r="C695" t="s">
        <v>14</v>
      </c>
      <c r="D695" t="s">
        <v>1627</v>
      </c>
      <c r="E695" t="s">
        <v>1744</v>
      </c>
      <c r="F695" s="4">
        <v>1</v>
      </c>
      <c r="G695">
        <v>301.24</v>
      </c>
      <c r="H695">
        <v>0.11</v>
      </c>
      <c r="I695" t="s">
        <v>1809</v>
      </c>
      <c r="J695">
        <v>268.10359999999997</v>
      </c>
      <c r="K695" t="s">
        <v>15</v>
      </c>
      <c r="L695">
        <v>29</v>
      </c>
      <c r="M695" t="str">
        <v>Female</v>
      </c>
      <c r="N695" t="str">
        <f>VLOOKUP(C:C,Customer_Dim!B:I,5,1)</f>
        <v>Phillipsmouth</v>
      </c>
      <c r="O695" t="str">
        <f>VLOOKUP(C:C,Customer_Dim!B:I,6,1)</f>
        <v>North Dakota</v>
      </c>
      <c r="P695" t="str">
        <f>VLOOKUP(C:C,Customer_Dim!B:I,7,1)</f>
        <v>USA</v>
      </c>
      <c r="Q695" t="str">
        <f>VLOOKUP(C:C,Customer_Dim!B:I,8,1)</f>
        <v>Platinum</v>
      </c>
      <c r="S695">
        <v>1</v>
      </c>
      <c r="T695">
        <v>301.24</v>
      </c>
      <c r="U695">
        <v>0.11</v>
      </c>
      <c r="V695">
        <v>268.10359999999997</v>
      </c>
      <c r="X695" s="4">
        <v>1</v>
      </c>
      <c r="Y695">
        <v>301.24</v>
      </c>
      <c r="Z695">
        <v>0.11</v>
      </c>
      <c r="AA695">
        <v>268.10359999999997</v>
      </c>
    </row>
    <row r="696" spans="1:27" x14ac:dyDescent="0.3">
      <c r="A696" t="s">
        <v>2503</v>
      </c>
      <c r="B696" s="2">
        <v>45497</v>
      </c>
      <c r="C696" t="s">
        <v>906</v>
      </c>
      <c r="D696" t="s">
        <v>1701</v>
      </c>
      <c r="E696" t="s">
        <v>1756</v>
      </c>
      <c r="F696" s="4">
        <v>2</v>
      </c>
      <c r="G696">
        <v>701.49</v>
      </c>
      <c r="H696">
        <v>0.09</v>
      </c>
      <c r="I696" t="s">
        <v>1809</v>
      </c>
      <c r="J696">
        <v>1276.7118</v>
      </c>
      <c r="K696" t="s">
        <v>907</v>
      </c>
      <c r="L696">
        <v>45</v>
      </c>
      <c r="M696" t="str">
        <v>Male</v>
      </c>
      <c r="N696" t="str">
        <f>VLOOKUP(C:C,Customer_Dim!B:I,5,1)</f>
        <v>North Joseside</v>
      </c>
      <c r="O696" t="str">
        <f>VLOOKUP(C:C,Customer_Dim!B:I,6,1)</f>
        <v>Connecticut</v>
      </c>
      <c r="P696" t="str">
        <f>VLOOKUP(C:C,Customer_Dim!B:I,7,1)</f>
        <v>USA</v>
      </c>
      <c r="Q696" t="str">
        <f>VLOOKUP(C:C,Customer_Dim!B:I,8,1)</f>
        <v>Gold</v>
      </c>
      <c r="S696">
        <v>2</v>
      </c>
      <c r="T696">
        <v>701.49</v>
      </c>
      <c r="U696">
        <v>0.09</v>
      </c>
      <c r="V696">
        <v>1276.7118</v>
      </c>
      <c r="X696" s="4">
        <v>2</v>
      </c>
      <c r="Y696">
        <v>701.49</v>
      </c>
      <c r="Z696">
        <v>0.09</v>
      </c>
      <c r="AA696">
        <v>1276.7118</v>
      </c>
    </row>
    <row r="697" spans="1:27" x14ac:dyDescent="0.3">
      <c r="A697" t="s">
        <v>2504</v>
      </c>
      <c r="B697" s="2">
        <v>45615</v>
      </c>
      <c r="C697" t="s">
        <v>1089</v>
      </c>
      <c r="D697" t="s">
        <v>1583</v>
      </c>
      <c r="E697" t="s">
        <v>1772</v>
      </c>
      <c r="F697" s="4">
        <v>4</v>
      </c>
      <c r="G697">
        <v>413.48</v>
      </c>
      <c r="H697">
        <v>0.02</v>
      </c>
      <c r="I697" t="s">
        <v>1809</v>
      </c>
      <c r="J697">
        <v>1620.8416</v>
      </c>
      <c r="K697" t="s">
        <v>1090</v>
      </c>
      <c r="L697">
        <v>52</v>
      </c>
      <c r="M697" t="str">
        <v>Female</v>
      </c>
      <c r="N697" t="str">
        <f>VLOOKUP(C:C,Customer_Dim!B:I,5,1)</f>
        <v>North Samuel</v>
      </c>
      <c r="O697" t="str">
        <f>VLOOKUP(C:C,Customer_Dim!B:I,6,1)</f>
        <v>Nebraska</v>
      </c>
      <c r="P697" t="str">
        <f>VLOOKUP(C:C,Customer_Dim!B:I,7,1)</f>
        <v>USA</v>
      </c>
      <c r="Q697" t="str">
        <f>VLOOKUP(C:C,Customer_Dim!B:I,8,1)</f>
        <v>Bronze</v>
      </c>
      <c r="S697">
        <v>4</v>
      </c>
      <c r="T697">
        <v>413.48</v>
      </c>
      <c r="U697">
        <v>0.02</v>
      </c>
      <c r="V697">
        <v>1620.8416</v>
      </c>
      <c r="X697" s="4">
        <v>4</v>
      </c>
      <c r="Y697">
        <v>413.48</v>
      </c>
      <c r="Z697">
        <v>0.02</v>
      </c>
      <c r="AA697">
        <v>1620.8416</v>
      </c>
    </row>
    <row r="698" spans="1:27" x14ac:dyDescent="0.3">
      <c r="A698" t="s">
        <v>2505</v>
      </c>
      <c r="B698" s="2">
        <v>45365</v>
      </c>
      <c r="C698" t="s">
        <v>640</v>
      </c>
      <c r="D698" t="s">
        <v>1545</v>
      </c>
      <c r="E698" t="s">
        <v>1740</v>
      </c>
      <c r="F698" s="4">
        <v>4</v>
      </c>
      <c r="G698">
        <v>167.83</v>
      </c>
      <c r="H698">
        <v>0.15</v>
      </c>
      <c r="I698" t="s">
        <v>1807</v>
      </c>
      <c r="J698">
        <v>570.62200000000007</v>
      </c>
      <c r="K698" t="s">
        <v>641</v>
      </c>
      <c r="L698">
        <v>54</v>
      </c>
      <c r="M698" t="str">
        <v>Male</v>
      </c>
      <c r="N698" t="str">
        <f>VLOOKUP(C:C,Customer_Dim!B:I,5,1)</f>
        <v>Christopherland</v>
      </c>
      <c r="O698" t="str">
        <f>VLOOKUP(C:C,Customer_Dim!B:I,6,1)</f>
        <v>Minnesota</v>
      </c>
      <c r="P698" t="str">
        <f>VLOOKUP(C:C,Customer_Dim!B:I,7,1)</f>
        <v>USA</v>
      </c>
      <c r="Q698" t="str">
        <f>VLOOKUP(C:C,Customer_Dim!B:I,8,1)</f>
        <v>Platinum</v>
      </c>
      <c r="S698">
        <v>4</v>
      </c>
      <c r="T698">
        <v>167.83</v>
      </c>
      <c r="U698">
        <v>0.15</v>
      </c>
      <c r="V698">
        <v>570.62200000000007</v>
      </c>
      <c r="X698" s="4">
        <v>4</v>
      </c>
      <c r="Y698">
        <v>167.83</v>
      </c>
      <c r="Z698">
        <v>0.15</v>
      </c>
      <c r="AA698">
        <v>570.62200000000007</v>
      </c>
    </row>
    <row r="699" spans="1:27" x14ac:dyDescent="0.3">
      <c r="A699" t="s">
        <v>2506</v>
      </c>
      <c r="B699" s="2">
        <v>45832</v>
      </c>
      <c r="C699" t="s">
        <v>467</v>
      </c>
      <c r="D699" t="s">
        <v>1561</v>
      </c>
      <c r="E699" t="s">
        <v>1793</v>
      </c>
      <c r="F699" s="4">
        <v>2</v>
      </c>
      <c r="G699">
        <v>669.12</v>
      </c>
      <c r="H699">
        <v>0.22</v>
      </c>
      <c r="I699" t="s">
        <v>1807</v>
      </c>
      <c r="J699">
        <v>1043.8271999999999</v>
      </c>
      <c r="K699" t="s">
        <v>468</v>
      </c>
      <c r="L699">
        <v>63</v>
      </c>
      <c r="M699" t="str">
        <v>Female</v>
      </c>
      <c r="N699" t="str">
        <f>VLOOKUP(C:C,Customer_Dim!B:I,5,1)</f>
        <v>Port Travis</v>
      </c>
      <c r="O699" t="str">
        <f>VLOOKUP(C:C,Customer_Dim!B:I,6,1)</f>
        <v>Utah</v>
      </c>
      <c r="P699" t="str">
        <f>VLOOKUP(C:C,Customer_Dim!B:I,7,1)</f>
        <v>USA</v>
      </c>
      <c r="Q699" t="str">
        <f>VLOOKUP(C:C,Customer_Dim!B:I,8,1)</f>
        <v>Bronze</v>
      </c>
      <c r="S699">
        <v>2</v>
      </c>
      <c r="T699">
        <v>669.12</v>
      </c>
      <c r="U699">
        <v>0.22</v>
      </c>
      <c r="V699">
        <v>1043.8271999999999</v>
      </c>
      <c r="X699" s="4">
        <v>2</v>
      </c>
      <c r="Y699">
        <v>669.12</v>
      </c>
      <c r="Z699">
        <v>0.22</v>
      </c>
      <c r="AA699">
        <v>1043.8271999999999</v>
      </c>
    </row>
    <row r="700" spans="1:27" x14ac:dyDescent="0.3">
      <c r="A700" t="s">
        <v>2507</v>
      </c>
      <c r="B700" s="2">
        <v>45530</v>
      </c>
      <c r="C700" t="s">
        <v>152</v>
      </c>
      <c r="D700" t="s">
        <v>1605</v>
      </c>
      <c r="E700" t="s">
        <v>1762</v>
      </c>
      <c r="F700" s="4">
        <v>3</v>
      </c>
      <c r="G700">
        <v>346.77</v>
      </c>
      <c r="H700">
        <v>0.18</v>
      </c>
      <c r="I700" t="s">
        <v>1809</v>
      </c>
      <c r="J700">
        <v>853.05420000000004</v>
      </c>
      <c r="K700" t="s">
        <v>153</v>
      </c>
      <c r="L700">
        <v>50</v>
      </c>
      <c r="M700" t="str">
        <v>Male</v>
      </c>
      <c r="N700" t="str">
        <f>VLOOKUP(C:C,Customer_Dim!B:I,5,1)</f>
        <v>Darleneton</v>
      </c>
      <c r="O700" t="str">
        <f>VLOOKUP(C:C,Customer_Dim!B:I,6,1)</f>
        <v>Michigan</v>
      </c>
      <c r="P700" t="str">
        <f>VLOOKUP(C:C,Customer_Dim!B:I,7,1)</f>
        <v>USA</v>
      </c>
      <c r="Q700" t="str">
        <f>VLOOKUP(C:C,Customer_Dim!B:I,8,1)</f>
        <v>Gold</v>
      </c>
      <c r="S700">
        <v>3</v>
      </c>
      <c r="T700">
        <v>346.77</v>
      </c>
      <c r="U700">
        <v>0.18</v>
      </c>
      <c r="V700">
        <v>853.05420000000004</v>
      </c>
      <c r="X700" s="4">
        <v>3</v>
      </c>
      <c r="Y700">
        <v>346.77</v>
      </c>
      <c r="Z700">
        <v>0.18</v>
      </c>
      <c r="AA700">
        <v>853.05420000000004</v>
      </c>
    </row>
    <row r="701" spans="1:27" x14ac:dyDescent="0.3">
      <c r="A701" t="s">
        <v>2508</v>
      </c>
      <c r="B701" s="2">
        <v>45939</v>
      </c>
      <c r="C701" t="s">
        <v>218</v>
      </c>
      <c r="D701" t="s">
        <v>1577</v>
      </c>
      <c r="E701" t="s">
        <v>1796</v>
      </c>
      <c r="F701" s="4">
        <v>3</v>
      </c>
      <c r="G701">
        <v>648.33000000000004</v>
      </c>
      <c r="H701">
        <v>0.2</v>
      </c>
      <c r="I701" t="s">
        <v>1812</v>
      </c>
      <c r="J701">
        <v>1555.992</v>
      </c>
      <c r="K701" t="s">
        <v>219</v>
      </c>
      <c r="L701">
        <v>22</v>
      </c>
      <c r="M701" t="str">
        <v>Female</v>
      </c>
      <c r="N701" t="str">
        <f>VLOOKUP(C:C,Customer_Dim!B:I,5,1)</f>
        <v>New Kathrynland</v>
      </c>
      <c r="O701" t="str">
        <f>VLOOKUP(C:C,Customer_Dim!B:I,6,1)</f>
        <v>Montana</v>
      </c>
      <c r="P701" t="str">
        <f>VLOOKUP(C:C,Customer_Dim!B:I,7,1)</f>
        <v>USA</v>
      </c>
      <c r="Q701" t="str">
        <f>VLOOKUP(C:C,Customer_Dim!B:I,8,1)</f>
        <v>Platinum</v>
      </c>
      <c r="S701">
        <v>3</v>
      </c>
      <c r="T701">
        <v>648.33000000000004</v>
      </c>
      <c r="U701">
        <v>0.2</v>
      </c>
      <c r="V701">
        <v>1555.992</v>
      </c>
      <c r="X701" s="4">
        <v>3</v>
      </c>
      <c r="Y701">
        <v>648.33000000000004</v>
      </c>
      <c r="Z701">
        <v>0.2</v>
      </c>
      <c r="AA701">
        <v>1555.992</v>
      </c>
    </row>
    <row r="702" spans="1:27" x14ac:dyDescent="0.3">
      <c r="A702" t="s">
        <v>2509</v>
      </c>
      <c r="B702" s="2">
        <v>45401</v>
      </c>
      <c r="C702" t="s">
        <v>897</v>
      </c>
      <c r="D702" t="s">
        <v>1540</v>
      </c>
      <c r="E702" t="s">
        <v>1744</v>
      </c>
      <c r="F702" s="4">
        <v>4</v>
      </c>
      <c r="G702">
        <v>254.94</v>
      </c>
      <c r="H702">
        <v>0.06</v>
      </c>
      <c r="I702" t="s">
        <v>1809</v>
      </c>
      <c r="J702">
        <v>958.57439999999997</v>
      </c>
      <c r="K702" t="s">
        <v>898</v>
      </c>
      <c r="L702">
        <v>22</v>
      </c>
      <c r="M702" t="str">
        <v>Male</v>
      </c>
      <c r="N702" t="str">
        <f>VLOOKUP(C:C,Customer_Dim!B:I,5,1)</f>
        <v>North Robert</v>
      </c>
      <c r="O702" t="str">
        <f>VLOOKUP(C:C,Customer_Dim!B:I,6,1)</f>
        <v>Massachusetts</v>
      </c>
      <c r="P702" t="str">
        <f>VLOOKUP(C:C,Customer_Dim!B:I,7,1)</f>
        <v>USA</v>
      </c>
      <c r="Q702" t="str">
        <f>VLOOKUP(C:C,Customer_Dim!B:I,8,1)</f>
        <v>Silver</v>
      </c>
      <c r="S702">
        <v>4</v>
      </c>
      <c r="T702">
        <v>254.94</v>
      </c>
      <c r="U702">
        <v>0.06</v>
      </c>
      <c r="V702">
        <v>958.57439999999997</v>
      </c>
      <c r="X702" s="4">
        <v>4</v>
      </c>
      <c r="Y702">
        <v>254.94</v>
      </c>
      <c r="Z702">
        <v>0.06</v>
      </c>
      <c r="AA702">
        <v>958.57439999999997</v>
      </c>
    </row>
    <row r="703" spans="1:27" x14ac:dyDescent="0.3">
      <c r="A703" t="s">
        <v>2510</v>
      </c>
      <c r="B703" s="2">
        <v>45420</v>
      </c>
      <c r="C703" t="s">
        <v>1051</v>
      </c>
      <c r="D703" t="s">
        <v>1693</v>
      </c>
      <c r="E703" t="s">
        <v>1752</v>
      </c>
      <c r="F703" s="4">
        <v>1</v>
      </c>
      <c r="G703">
        <v>445.5</v>
      </c>
      <c r="H703">
        <v>0.28000000000000003</v>
      </c>
      <c r="I703" t="s">
        <v>1807</v>
      </c>
      <c r="J703">
        <v>320.76</v>
      </c>
      <c r="K703" t="s">
        <v>1052</v>
      </c>
      <c r="L703">
        <v>52</v>
      </c>
      <c r="M703" t="str">
        <v>Female</v>
      </c>
      <c r="N703" t="str">
        <f>VLOOKUP(C:C,Customer_Dim!B:I,5,1)</f>
        <v>Hudsonfort</v>
      </c>
      <c r="O703" t="str">
        <f>VLOOKUP(C:C,Customer_Dim!B:I,6,1)</f>
        <v>Connecticut</v>
      </c>
      <c r="P703" t="str">
        <f>VLOOKUP(C:C,Customer_Dim!B:I,7,1)</f>
        <v>USA</v>
      </c>
      <c r="Q703" t="str">
        <f>VLOOKUP(C:C,Customer_Dim!B:I,8,1)</f>
        <v>Silver</v>
      </c>
      <c r="S703">
        <v>1</v>
      </c>
      <c r="T703">
        <v>445.5</v>
      </c>
      <c r="U703">
        <v>0.28000000000000003</v>
      </c>
      <c r="V703">
        <v>320.76</v>
      </c>
      <c r="X703" s="4">
        <v>1</v>
      </c>
      <c r="Y703">
        <v>445.5</v>
      </c>
      <c r="Z703">
        <v>0.28000000000000003</v>
      </c>
      <c r="AA703">
        <v>320.76</v>
      </c>
    </row>
    <row r="704" spans="1:27" x14ac:dyDescent="0.3">
      <c r="A704" t="s">
        <v>2511</v>
      </c>
      <c r="B704" s="2">
        <v>45459</v>
      </c>
      <c r="C704" t="s">
        <v>710</v>
      </c>
      <c r="D704" t="s">
        <v>1711</v>
      </c>
      <c r="E704" t="s">
        <v>1752</v>
      </c>
      <c r="F704" s="4">
        <v>1</v>
      </c>
      <c r="G704">
        <v>900.94</v>
      </c>
      <c r="H704">
        <v>0.1</v>
      </c>
      <c r="I704" t="s">
        <v>1807</v>
      </c>
      <c r="J704">
        <v>810.84600000000012</v>
      </c>
      <c r="K704" t="s">
        <v>711</v>
      </c>
      <c r="L704">
        <v>35</v>
      </c>
      <c r="M704" t="str">
        <v>Male</v>
      </c>
      <c r="N704" t="str">
        <f>VLOOKUP(C:C,Customer_Dim!B:I,5,1)</f>
        <v>Maybury</v>
      </c>
      <c r="O704" t="str">
        <f>VLOOKUP(C:C,Customer_Dim!B:I,6,1)</f>
        <v>Georgia</v>
      </c>
      <c r="P704" t="str">
        <f>VLOOKUP(C:C,Customer_Dim!B:I,7,1)</f>
        <v>USA</v>
      </c>
      <c r="Q704" t="str">
        <f>VLOOKUP(C:C,Customer_Dim!B:I,8,1)</f>
        <v>Platinum</v>
      </c>
      <c r="S704">
        <v>1</v>
      </c>
      <c r="T704">
        <v>900.94</v>
      </c>
      <c r="U704">
        <v>0.1</v>
      </c>
      <c r="V704">
        <v>810.84600000000012</v>
      </c>
      <c r="X704" s="4">
        <v>1</v>
      </c>
      <c r="Y704">
        <v>900.94</v>
      </c>
      <c r="Z704">
        <v>0.1</v>
      </c>
      <c r="AA704">
        <v>810.84600000000012</v>
      </c>
    </row>
    <row r="705" spans="1:27" x14ac:dyDescent="0.3">
      <c r="A705" t="s">
        <v>2512</v>
      </c>
      <c r="B705" s="2">
        <v>45429</v>
      </c>
      <c r="C705" t="s">
        <v>637</v>
      </c>
      <c r="D705" t="s">
        <v>1561</v>
      </c>
      <c r="E705" t="s">
        <v>1787</v>
      </c>
      <c r="F705" s="4">
        <v>3</v>
      </c>
      <c r="G705">
        <v>262.69</v>
      </c>
      <c r="H705">
        <v>0.04</v>
      </c>
      <c r="I705" t="s">
        <v>1809</v>
      </c>
      <c r="J705">
        <v>756.54719999999986</v>
      </c>
      <c r="K705" t="s">
        <v>638</v>
      </c>
      <c r="L705">
        <v>45</v>
      </c>
      <c r="M705" t="str">
        <v>Female</v>
      </c>
      <c r="N705" t="str">
        <f>VLOOKUP(C:C,Customer_Dim!B:I,5,1)</f>
        <v>West John</v>
      </c>
      <c r="O705" t="str">
        <f>VLOOKUP(C:C,Customer_Dim!B:I,6,1)</f>
        <v>Alaska</v>
      </c>
      <c r="P705" t="str">
        <f>VLOOKUP(C:C,Customer_Dim!B:I,7,1)</f>
        <v>USA</v>
      </c>
      <c r="Q705" t="str">
        <f>VLOOKUP(C:C,Customer_Dim!B:I,8,1)</f>
        <v>Platinum</v>
      </c>
      <c r="S705">
        <v>3</v>
      </c>
      <c r="T705">
        <v>262.69</v>
      </c>
      <c r="U705">
        <v>0.04</v>
      </c>
      <c r="V705">
        <v>756.54719999999986</v>
      </c>
      <c r="X705" s="4">
        <v>3</v>
      </c>
      <c r="Y705">
        <v>262.69</v>
      </c>
      <c r="Z705">
        <v>0.04</v>
      </c>
      <c r="AA705">
        <v>756.54719999999986</v>
      </c>
    </row>
    <row r="706" spans="1:27" x14ac:dyDescent="0.3">
      <c r="A706" t="s">
        <v>2513</v>
      </c>
      <c r="B706" s="2">
        <v>45386</v>
      </c>
      <c r="C706" t="s">
        <v>1467</v>
      </c>
      <c r="D706" t="s">
        <v>1667</v>
      </c>
      <c r="E706" t="s">
        <v>1744</v>
      </c>
      <c r="F706" s="4">
        <v>3</v>
      </c>
      <c r="G706">
        <v>212.72</v>
      </c>
      <c r="H706">
        <v>0.22</v>
      </c>
      <c r="I706" t="s">
        <v>1809</v>
      </c>
      <c r="J706">
        <v>497.76479999999998</v>
      </c>
      <c r="K706" t="s">
        <v>1468</v>
      </c>
      <c r="L706">
        <v>48</v>
      </c>
      <c r="M706" t="str">
        <v>Male</v>
      </c>
      <c r="N706" t="str">
        <f>VLOOKUP(C:C,Customer_Dim!B:I,5,1)</f>
        <v>West Tylerfort</v>
      </c>
      <c r="O706" t="str">
        <f>VLOOKUP(C:C,Customer_Dim!B:I,6,1)</f>
        <v>Kentucky</v>
      </c>
      <c r="P706" t="str">
        <f>VLOOKUP(C:C,Customer_Dim!B:I,7,1)</f>
        <v>USA</v>
      </c>
      <c r="Q706" t="str">
        <f>VLOOKUP(C:C,Customer_Dim!B:I,8,1)</f>
        <v>Platinum</v>
      </c>
      <c r="S706">
        <v>3</v>
      </c>
      <c r="T706">
        <v>212.72</v>
      </c>
      <c r="U706">
        <v>0.22</v>
      </c>
      <c r="V706">
        <v>497.76479999999998</v>
      </c>
      <c r="X706" s="4">
        <v>3</v>
      </c>
      <c r="Y706">
        <v>212.72</v>
      </c>
      <c r="Z706">
        <v>0.22</v>
      </c>
      <c r="AA706">
        <v>497.76479999999998</v>
      </c>
    </row>
    <row r="707" spans="1:27" x14ac:dyDescent="0.3">
      <c r="A707" t="s">
        <v>2514</v>
      </c>
      <c r="B707" s="2">
        <v>45803</v>
      </c>
      <c r="C707" t="s">
        <v>503</v>
      </c>
      <c r="D707" t="s">
        <v>1579</v>
      </c>
      <c r="E707" t="s">
        <v>1793</v>
      </c>
      <c r="F707" s="4">
        <v>4</v>
      </c>
      <c r="G707">
        <v>757.9</v>
      </c>
      <c r="H707">
        <v>0.22</v>
      </c>
      <c r="I707" t="s">
        <v>1809</v>
      </c>
      <c r="J707">
        <v>2364.6480000000001</v>
      </c>
      <c r="K707" t="s">
        <v>504</v>
      </c>
      <c r="L707">
        <v>41</v>
      </c>
      <c r="M707" t="str">
        <v>Female</v>
      </c>
      <c r="N707" t="str">
        <f>VLOOKUP(C:C,Customer_Dim!B:I,5,1)</f>
        <v>Lake Stevenfort</v>
      </c>
      <c r="O707" t="str">
        <f>VLOOKUP(C:C,Customer_Dim!B:I,6,1)</f>
        <v>Oregon</v>
      </c>
      <c r="P707" t="str">
        <f>VLOOKUP(C:C,Customer_Dim!B:I,7,1)</f>
        <v>USA</v>
      </c>
      <c r="Q707" t="str">
        <f>VLOOKUP(C:C,Customer_Dim!B:I,8,1)</f>
        <v>Gold</v>
      </c>
      <c r="S707">
        <v>4</v>
      </c>
      <c r="T707">
        <v>757.9</v>
      </c>
      <c r="U707">
        <v>0.22</v>
      </c>
      <c r="V707">
        <v>2364.6480000000001</v>
      </c>
      <c r="X707" s="4">
        <v>4</v>
      </c>
      <c r="Y707">
        <v>757.9</v>
      </c>
      <c r="Z707">
        <v>0.22</v>
      </c>
      <c r="AA707">
        <v>2364.6480000000001</v>
      </c>
    </row>
    <row r="708" spans="1:27" x14ac:dyDescent="0.3">
      <c r="A708" t="s">
        <v>2515</v>
      </c>
      <c r="B708" s="2">
        <v>45346</v>
      </c>
      <c r="C708" t="s">
        <v>78</v>
      </c>
      <c r="D708" t="s">
        <v>1691</v>
      </c>
      <c r="E708" t="s">
        <v>1790</v>
      </c>
      <c r="F708" s="4">
        <v>1</v>
      </c>
      <c r="G708">
        <v>846.04</v>
      </c>
      <c r="H708">
        <v>0.08</v>
      </c>
      <c r="I708" t="s">
        <v>1809</v>
      </c>
      <c r="J708">
        <v>778.35680000000002</v>
      </c>
      <c r="K708" t="s">
        <v>79</v>
      </c>
      <c r="L708">
        <v>43</v>
      </c>
      <c r="M708" t="str">
        <v>Male</v>
      </c>
      <c r="N708" t="str">
        <f>VLOOKUP(C:C,Customer_Dim!B:I,5,1)</f>
        <v>Brandonville</v>
      </c>
      <c r="O708" t="str">
        <f>VLOOKUP(C:C,Customer_Dim!B:I,6,1)</f>
        <v>Georgia</v>
      </c>
      <c r="P708" t="str">
        <f>VLOOKUP(C:C,Customer_Dim!B:I,7,1)</f>
        <v>USA</v>
      </c>
      <c r="Q708" t="str">
        <f>VLOOKUP(C:C,Customer_Dim!B:I,8,1)</f>
        <v>Platinum</v>
      </c>
      <c r="S708">
        <v>1</v>
      </c>
      <c r="T708">
        <v>846.04</v>
      </c>
      <c r="U708">
        <v>0.08</v>
      </c>
      <c r="V708">
        <v>778.35680000000002</v>
      </c>
      <c r="X708" s="4">
        <v>1</v>
      </c>
      <c r="Y708">
        <v>846.04</v>
      </c>
      <c r="Z708">
        <v>0.08</v>
      </c>
      <c r="AA708">
        <v>778.35680000000002</v>
      </c>
    </row>
    <row r="709" spans="1:27" x14ac:dyDescent="0.3">
      <c r="A709" t="s">
        <v>2516</v>
      </c>
      <c r="B709" s="2">
        <v>45267</v>
      </c>
      <c r="C709" t="s">
        <v>527</v>
      </c>
      <c r="D709" t="s">
        <v>1607</v>
      </c>
      <c r="E709" t="s">
        <v>1762</v>
      </c>
      <c r="F709" s="4">
        <v>3</v>
      </c>
      <c r="G709">
        <v>179.7</v>
      </c>
      <c r="H709">
        <v>0.17</v>
      </c>
      <c r="I709" t="s">
        <v>1812</v>
      </c>
      <c r="J709">
        <v>447.45299999999992</v>
      </c>
      <c r="K709" t="s">
        <v>528</v>
      </c>
      <c r="L709">
        <v>41</v>
      </c>
      <c r="M709" t="str">
        <v>Female</v>
      </c>
      <c r="N709" t="str">
        <f>VLOOKUP(C:C,Customer_Dim!B:I,5,1)</f>
        <v>Floydton</v>
      </c>
      <c r="O709" t="str">
        <f>VLOOKUP(C:C,Customer_Dim!B:I,6,1)</f>
        <v>New Jersey</v>
      </c>
      <c r="P709" t="str">
        <f>VLOOKUP(C:C,Customer_Dim!B:I,7,1)</f>
        <v>USA</v>
      </c>
      <c r="Q709" t="str">
        <f>VLOOKUP(C:C,Customer_Dim!B:I,8,1)</f>
        <v>Gold</v>
      </c>
      <c r="S709">
        <v>3</v>
      </c>
      <c r="T709">
        <v>179.7</v>
      </c>
      <c r="U709">
        <v>0.17</v>
      </c>
      <c r="V709">
        <v>447.45299999999992</v>
      </c>
      <c r="X709" s="4">
        <v>3</v>
      </c>
      <c r="Y709">
        <v>179.7</v>
      </c>
      <c r="Z709">
        <v>0.17</v>
      </c>
      <c r="AA709">
        <v>447.45299999999992</v>
      </c>
    </row>
    <row r="710" spans="1:27" x14ac:dyDescent="0.3">
      <c r="A710" t="s">
        <v>2517</v>
      </c>
      <c r="B710" s="2">
        <v>45572</v>
      </c>
      <c r="C710" t="s">
        <v>1364</v>
      </c>
      <c r="D710" t="s">
        <v>1593</v>
      </c>
      <c r="E710" t="s">
        <v>1752</v>
      </c>
      <c r="F710" s="4">
        <v>4</v>
      </c>
      <c r="G710">
        <v>681.08</v>
      </c>
      <c r="H710">
        <v>0</v>
      </c>
      <c r="I710" t="s">
        <v>1809</v>
      </c>
      <c r="J710">
        <v>2724.32</v>
      </c>
      <c r="K710" t="s">
        <v>1365</v>
      </c>
      <c r="L710">
        <v>45</v>
      </c>
      <c r="M710" t="str">
        <v>Male</v>
      </c>
      <c r="N710" t="str">
        <f>VLOOKUP(C:C,Customer_Dim!B:I,5,1)</f>
        <v>West Jorge</v>
      </c>
      <c r="O710" t="str">
        <f>VLOOKUP(C:C,Customer_Dim!B:I,6,1)</f>
        <v>Oklahoma</v>
      </c>
      <c r="P710" t="str">
        <f>VLOOKUP(C:C,Customer_Dim!B:I,7,1)</f>
        <v>USA</v>
      </c>
      <c r="Q710" t="str">
        <f>VLOOKUP(C:C,Customer_Dim!B:I,8,1)</f>
        <v>Silver</v>
      </c>
      <c r="S710">
        <v>4</v>
      </c>
      <c r="T710">
        <v>681.08</v>
      </c>
      <c r="U710">
        <v>0</v>
      </c>
      <c r="V710">
        <v>2724.32</v>
      </c>
      <c r="X710" s="4">
        <v>4</v>
      </c>
      <c r="Y710">
        <v>681.08</v>
      </c>
      <c r="Z710">
        <v>0</v>
      </c>
      <c r="AA710">
        <v>2724.32</v>
      </c>
    </row>
    <row r="711" spans="1:27" x14ac:dyDescent="0.3">
      <c r="A711" t="s">
        <v>2518</v>
      </c>
      <c r="B711" s="2">
        <v>45252</v>
      </c>
      <c r="C711" t="s">
        <v>1240</v>
      </c>
      <c r="D711" t="s">
        <v>1536</v>
      </c>
      <c r="E711" t="s">
        <v>1762</v>
      </c>
      <c r="F711" s="4">
        <v>4</v>
      </c>
      <c r="G711">
        <v>723.44</v>
      </c>
      <c r="H711">
        <v>0.14000000000000001</v>
      </c>
      <c r="I711" t="s">
        <v>1809</v>
      </c>
      <c r="J711">
        <v>2488.6336000000001</v>
      </c>
      <c r="K711" t="s">
        <v>1241</v>
      </c>
      <c r="L711">
        <v>22</v>
      </c>
      <c r="M711" t="str">
        <v>Female</v>
      </c>
      <c r="N711" t="str">
        <f>VLOOKUP(C:C,Customer_Dim!B:I,5,1)</f>
        <v>Lake Lisaland</v>
      </c>
      <c r="O711" t="str">
        <f>VLOOKUP(C:C,Customer_Dim!B:I,6,1)</f>
        <v>Louisiana</v>
      </c>
      <c r="P711" t="str">
        <f>VLOOKUP(C:C,Customer_Dim!B:I,7,1)</f>
        <v>USA</v>
      </c>
      <c r="Q711" t="str">
        <f>VLOOKUP(C:C,Customer_Dim!B:I,8,1)</f>
        <v>Bronze</v>
      </c>
      <c r="S711">
        <v>4</v>
      </c>
      <c r="T711">
        <v>723.44</v>
      </c>
      <c r="U711">
        <v>0.14000000000000001</v>
      </c>
      <c r="V711">
        <v>2488.6336000000001</v>
      </c>
      <c r="X711" s="4">
        <v>4</v>
      </c>
      <c r="Y711">
        <v>723.44</v>
      </c>
      <c r="Z711">
        <v>0.14000000000000001</v>
      </c>
      <c r="AA711">
        <v>2488.6336000000001</v>
      </c>
    </row>
    <row r="712" spans="1:27" x14ac:dyDescent="0.3">
      <c r="A712" t="s">
        <v>2519</v>
      </c>
      <c r="B712" s="2">
        <v>45939</v>
      </c>
      <c r="C712" t="s">
        <v>430</v>
      </c>
      <c r="D712" t="s">
        <v>1593</v>
      </c>
      <c r="E712" t="s">
        <v>1782</v>
      </c>
      <c r="F712" s="4">
        <v>4</v>
      </c>
      <c r="G712">
        <v>471.89</v>
      </c>
      <c r="H712">
        <v>0.12</v>
      </c>
      <c r="I712" t="s">
        <v>1812</v>
      </c>
      <c r="J712">
        <v>1661.0527999999999</v>
      </c>
      <c r="K712" t="s">
        <v>431</v>
      </c>
      <c r="L712">
        <v>39</v>
      </c>
      <c r="M712" t="str">
        <v>Male</v>
      </c>
      <c r="N712" t="str">
        <f>VLOOKUP(C:C,Customer_Dim!B:I,5,1)</f>
        <v>Benjaminton</v>
      </c>
      <c r="O712" t="str">
        <f>VLOOKUP(C:C,Customer_Dim!B:I,6,1)</f>
        <v>Arizona</v>
      </c>
      <c r="P712" t="str">
        <f>VLOOKUP(C:C,Customer_Dim!B:I,7,1)</f>
        <v>USA</v>
      </c>
      <c r="Q712" t="str">
        <f>VLOOKUP(C:C,Customer_Dim!B:I,8,1)</f>
        <v>Gold</v>
      </c>
      <c r="S712">
        <v>4</v>
      </c>
      <c r="T712">
        <v>471.89</v>
      </c>
      <c r="U712">
        <v>0.12</v>
      </c>
      <c r="V712">
        <v>1661.0527999999999</v>
      </c>
      <c r="X712" s="4">
        <v>4</v>
      </c>
      <c r="Y712">
        <v>471.89</v>
      </c>
      <c r="Z712">
        <v>0.12</v>
      </c>
      <c r="AA712">
        <v>1661.0527999999999</v>
      </c>
    </row>
    <row r="713" spans="1:27" x14ac:dyDescent="0.3">
      <c r="A713" t="s">
        <v>2520</v>
      </c>
      <c r="B713" s="2">
        <v>45559</v>
      </c>
      <c r="C713" t="s">
        <v>1132</v>
      </c>
      <c r="D713" t="s">
        <v>1673</v>
      </c>
      <c r="E713" t="s">
        <v>1790</v>
      </c>
      <c r="F713" s="4">
        <v>1</v>
      </c>
      <c r="G713">
        <v>613.17999999999995</v>
      </c>
      <c r="H713">
        <v>0.14000000000000001</v>
      </c>
      <c r="I713" t="s">
        <v>1812</v>
      </c>
      <c r="J713">
        <v>527.33479999999997</v>
      </c>
      <c r="K713" t="s">
        <v>1133</v>
      </c>
      <c r="L713">
        <v>51</v>
      </c>
      <c r="M713" t="str">
        <v>Male</v>
      </c>
      <c r="N713" t="str">
        <f>VLOOKUP(C:C,Customer_Dim!B:I,5,1)</f>
        <v>North Theresa</v>
      </c>
      <c r="O713" t="str">
        <f>VLOOKUP(C:C,Customer_Dim!B:I,6,1)</f>
        <v>Alabama</v>
      </c>
      <c r="P713" t="str">
        <f>VLOOKUP(C:C,Customer_Dim!B:I,7,1)</f>
        <v>USA</v>
      </c>
      <c r="Q713" t="str">
        <f>VLOOKUP(C:C,Customer_Dim!B:I,8,1)</f>
        <v>Platinum</v>
      </c>
      <c r="S713">
        <v>1</v>
      </c>
      <c r="T713">
        <v>613.17999999999995</v>
      </c>
      <c r="U713">
        <v>0.14000000000000001</v>
      </c>
      <c r="V713">
        <v>527.33479999999997</v>
      </c>
      <c r="X713" s="4">
        <v>1</v>
      </c>
      <c r="Y713">
        <v>613.17999999999995</v>
      </c>
      <c r="Z713">
        <v>0.14000000000000001</v>
      </c>
      <c r="AA713">
        <v>527.33479999999997</v>
      </c>
    </row>
    <row r="714" spans="1:27" x14ac:dyDescent="0.3">
      <c r="A714" t="s">
        <v>2521</v>
      </c>
      <c r="B714" s="2">
        <v>45229</v>
      </c>
      <c r="C714" t="s">
        <v>192</v>
      </c>
      <c r="D714" t="s">
        <v>1617</v>
      </c>
      <c r="E714" t="s">
        <v>1752</v>
      </c>
      <c r="F714" s="4">
        <v>1</v>
      </c>
      <c r="G714">
        <v>651.30999999999995</v>
      </c>
      <c r="H714">
        <v>0.24</v>
      </c>
      <c r="I714" t="s">
        <v>1809</v>
      </c>
      <c r="J714">
        <v>494.99560000000002</v>
      </c>
      <c r="K714" t="s">
        <v>193</v>
      </c>
      <c r="L714">
        <v>55</v>
      </c>
      <c r="M714" t="str">
        <v>Male</v>
      </c>
      <c r="N714" t="str">
        <f>VLOOKUP(C:C,Customer_Dim!B:I,5,1)</f>
        <v>New Julia</v>
      </c>
      <c r="O714" t="str">
        <f>VLOOKUP(C:C,Customer_Dim!B:I,6,1)</f>
        <v>West Virginia</v>
      </c>
      <c r="P714" t="str">
        <f>VLOOKUP(C:C,Customer_Dim!B:I,7,1)</f>
        <v>USA</v>
      </c>
      <c r="Q714" t="str">
        <f>VLOOKUP(C:C,Customer_Dim!B:I,8,1)</f>
        <v>Gold</v>
      </c>
      <c r="S714">
        <v>1</v>
      </c>
      <c r="T714">
        <v>651.30999999999995</v>
      </c>
      <c r="U714">
        <v>0.24</v>
      </c>
      <c r="V714">
        <v>494.99560000000002</v>
      </c>
      <c r="X714" s="4">
        <v>1</v>
      </c>
      <c r="Y714">
        <v>651.30999999999995</v>
      </c>
      <c r="Z714">
        <v>0.24</v>
      </c>
      <c r="AA714">
        <v>494.99560000000002</v>
      </c>
    </row>
    <row r="715" spans="1:27" x14ac:dyDescent="0.3">
      <c r="A715" t="s">
        <v>2522</v>
      </c>
      <c r="B715" s="2">
        <v>45333</v>
      </c>
      <c r="C715" t="s">
        <v>103</v>
      </c>
      <c r="D715" t="s">
        <v>1534</v>
      </c>
      <c r="E715" t="s">
        <v>1759</v>
      </c>
      <c r="F715" s="4">
        <v>2</v>
      </c>
      <c r="G715">
        <v>635.14</v>
      </c>
      <c r="H715">
        <v>0.1</v>
      </c>
      <c r="I715" t="s">
        <v>1812</v>
      </c>
      <c r="J715">
        <v>1143.252</v>
      </c>
      <c r="K715" t="s">
        <v>104</v>
      </c>
      <c r="L715">
        <v>59</v>
      </c>
      <c r="M715" t="str">
        <v>Female</v>
      </c>
      <c r="N715" t="str">
        <f>VLOOKUP(C:C,Customer_Dim!B:I,5,1)</f>
        <v>Rogerschester</v>
      </c>
      <c r="O715" t="str">
        <f>VLOOKUP(C:C,Customer_Dim!B:I,6,1)</f>
        <v>Idaho</v>
      </c>
      <c r="P715" t="str">
        <f>VLOOKUP(C:C,Customer_Dim!B:I,7,1)</f>
        <v>USA</v>
      </c>
      <c r="Q715" t="str">
        <f>VLOOKUP(C:C,Customer_Dim!B:I,8,1)</f>
        <v>Platinum</v>
      </c>
      <c r="S715">
        <v>2</v>
      </c>
      <c r="T715">
        <v>635.14</v>
      </c>
      <c r="U715">
        <v>0.1</v>
      </c>
      <c r="V715">
        <v>1143.252</v>
      </c>
      <c r="X715" s="4">
        <v>2</v>
      </c>
      <c r="Y715">
        <v>635.14</v>
      </c>
      <c r="Z715">
        <v>0.1</v>
      </c>
      <c r="AA715">
        <v>1143.252</v>
      </c>
    </row>
    <row r="716" spans="1:27" x14ac:dyDescent="0.3">
      <c r="A716" t="s">
        <v>2523</v>
      </c>
      <c r="B716" s="2">
        <v>45752</v>
      </c>
      <c r="C716" t="s">
        <v>1174</v>
      </c>
      <c r="D716" t="s">
        <v>1727</v>
      </c>
      <c r="E716" t="s">
        <v>1782</v>
      </c>
      <c r="F716" s="4">
        <v>4</v>
      </c>
      <c r="G716">
        <v>912.61</v>
      </c>
      <c r="H716">
        <v>0.14000000000000001</v>
      </c>
      <c r="I716" t="s">
        <v>1807</v>
      </c>
      <c r="J716">
        <v>3139.3784000000001</v>
      </c>
      <c r="K716" t="s">
        <v>1175</v>
      </c>
      <c r="L716">
        <v>50</v>
      </c>
      <c r="M716" t="str">
        <v>Male</v>
      </c>
      <c r="N716" t="str">
        <f>VLOOKUP(C:C,Customer_Dim!B:I,5,1)</f>
        <v>South Cassandrachester</v>
      </c>
      <c r="O716" t="str">
        <f>VLOOKUP(C:C,Customer_Dim!B:I,6,1)</f>
        <v>Rhode Island</v>
      </c>
      <c r="P716" t="str">
        <f>VLOOKUP(C:C,Customer_Dim!B:I,7,1)</f>
        <v>USA</v>
      </c>
      <c r="Q716" t="str">
        <f>VLOOKUP(C:C,Customer_Dim!B:I,8,1)</f>
        <v>Gold</v>
      </c>
      <c r="S716">
        <v>4</v>
      </c>
      <c r="T716">
        <v>912.61</v>
      </c>
      <c r="U716">
        <v>0.14000000000000001</v>
      </c>
      <c r="V716">
        <v>3139.3784000000001</v>
      </c>
      <c r="X716" s="4">
        <v>4</v>
      </c>
      <c r="Y716">
        <v>912.61</v>
      </c>
      <c r="Z716">
        <v>0.14000000000000001</v>
      </c>
      <c r="AA716">
        <v>3139.3784000000001</v>
      </c>
    </row>
    <row r="717" spans="1:27" x14ac:dyDescent="0.3">
      <c r="A717" t="s">
        <v>2524</v>
      </c>
      <c r="B717" s="2">
        <v>45795</v>
      </c>
      <c r="C717" t="s">
        <v>864</v>
      </c>
      <c r="D717" t="s">
        <v>1625</v>
      </c>
      <c r="E717" t="s">
        <v>1762</v>
      </c>
      <c r="F717" s="4">
        <v>3</v>
      </c>
      <c r="G717">
        <v>79.77</v>
      </c>
      <c r="H717">
        <v>0.09</v>
      </c>
      <c r="I717" t="s">
        <v>1807</v>
      </c>
      <c r="J717">
        <v>217.77209999999999</v>
      </c>
      <c r="K717" t="s">
        <v>865</v>
      </c>
      <c r="L717">
        <v>22</v>
      </c>
      <c r="M717" t="str">
        <v>Male</v>
      </c>
      <c r="N717" t="str">
        <f>VLOOKUP(C:C,Customer_Dim!B:I,5,1)</f>
        <v>Edwardborough</v>
      </c>
      <c r="O717" t="str">
        <f>VLOOKUP(C:C,Customer_Dim!B:I,6,1)</f>
        <v>Vermont</v>
      </c>
      <c r="P717" t="str">
        <f>VLOOKUP(C:C,Customer_Dim!B:I,7,1)</f>
        <v>USA</v>
      </c>
      <c r="Q717" t="str">
        <f>VLOOKUP(C:C,Customer_Dim!B:I,8,1)</f>
        <v>Silver</v>
      </c>
      <c r="S717">
        <v>3</v>
      </c>
      <c r="T717">
        <v>79.77</v>
      </c>
      <c r="U717">
        <v>0.09</v>
      </c>
      <c r="V717">
        <v>217.77209999999999</v>
      </c>
      <c r="X717" s="4">
        <v>3</v>
      </c>
      <c r="Y717">
        <v>79.77</v>
      </c>
      <c r="Z717">
        <v>0.09</v>
      </c>
      <c r="AA717">
        <v>217.77209999999999</v>
      </c>
    </row>
    <row r="718" spans="1:27" x14ac:dyDescent="0.3">
      <c r="A718" t="s">
        <v>2525</v>
      </c>
      <c r="B718" s="2">
        <v>45755</v>
      </c>
      <c r="C718" t="s">
        <v>873</v>
      </c>
      <c r="D718" t="s">
        <v>1719</v>
      </c>
      <c r="E718" t="s">
        <v>1784</v>
      </c>
      <c r="F718" s="4">
        <v>4</v>
      </c>
      <c r="G718">
        <v>603.52</v>
      </c>
      <c r="H718">
        <v>0.25</v>
      </c>
      <c r="I718" t="s">
        <v>1807</v>
      </c>
      <c r="J718">
        <v>1810.56</v>
      </c>
      <c r="K718" t="s">
        <v>874</v>
      </c>
      <c r="L718">
        <v>42</v>
      </c>
      <c r="M718" t="str">
        <v>Female</v>
      </c>
      <c r="N718" t="str">
        <f>VLOOKUP(C:C,Customer_Dim!B:I,5,1)</f>
        <v>Lake Nicole</v>
      </c>
      <c r="O718" t="str">
        <f>VLOOKUP(C:C,Customer_Dim!B:I,6,1)</f>
        <v>Colorado</v>
      </c>
      <c r="P718" t="str">
        <f>VLOOKUP(C:C,Customer_Dim!B:I,7,1)</f>
        <v>USA</v>
      </c>
      <c r="Q718" t="str">
        <f>VLOOKUP(C:C,Customer_Dim!B:I,8,1)</f>
        <v>Platinum</v>
      </c>
      <c r="S718">
        <v>4</v>
      </c>
      <c r="T718">
        <v>603.52</v>
      </c>
      <c r="U718">
        <v>0.25</v>
      </c>
      <c r="V718">
        <v>1810.56</v>
      </c>
      <c r="X718" s="4">
        <v>4</v>
      </c>
      <c r="Y718">
        <v>603.52</v>
      </c>
      <c r="Z718">
        <v>0.25</v>
      </c>
      <c r="AA718">
        <v>1810.56</v>
      </c>
    </row>
    <row r="719" spans="1:27" x14ac:dyDescent="0.3">
      <c r="A719" t="s">
        <v>2526</v>
      </c>
      <c r="B719" s="2">
        <v>45625</v>
      </c>
      <c r="C719" t="s">
        <v>278</v>
      </c>
      <c r="D719" t="s">
        <v>1685</v>
      </c>
      <c r="E719" t="s">
        <v>1777</v>
      </c>
      <c r="F719" s="4">
        <v>4</v>
      </c>
      <c r="G719">
        <v>453.12</v>
      </c>
      <c r="H719">
        <v>0.23</v>
      </c>
      <c r="I719" t="s">
        <v>1812</v>
      </c>
      <c r="J719">
        <v>1395.6096</v>
      </c>
      <c r="K719" t="s">
        <v>279</v>
      </c>
      <c r="L719">
        <v>21</v>
      </c>
      <c r="M719" t="str">
        <v>Male</v>
      </c>
      <c r="N719" t="str">
        <f>VLOOKUP(C:C,Customer_Dim!B:I,5,1)</f>
        <v>North Valeriemouth</v>
      </c>
      <c r="O719" t="str">
        <f>VLOOKUP(C:C,Customer_Dim!B:I,6,1)</f>
        <v>Vermont</v>
      </c>
      <c r="P719" t="str">
        <f>VLOOKUP(C:C,Customer_Dim!B:I,7,1)</f>
        <v>USA</v>
      </c>
      <c r="Q719" t="str">
        <f>VLOOKUP(C:C,Customer_Dim!B:I,8,1)</f>
        <v>Gold</v>
      </c>
      <c r="S719">
        <v>4</v>
      </c>
      <c r="T719">
        <v>453.12</v>
      </c>
      <c r="U719">
        <v>0.23</v>
      </c>
      <c r="V719">
        <v>1395.6096</v>
      </c>
      <c r="X719" s="4">
        <v>4</v>
      </c>
      <c r="Y719">
        <v>453.12</v>
      </c>
      <c r="Z719">
        <v>0.23</v>
      </c>
      <c r="AA719">
        <v>1395.6096</v>
      </c>
    </row>
    <row r="720" spans="1:27" x14ac:dyDescent="0.3">
      <c r="A720" t="s">
        <v>2527</v>
      </c>
      <c r="B720" s="2">
        <v>45656</v>
      </c>
      <c r="C720" t="s">
        <v>1510</v>
      </c>
      <c r="D720" t="s">
        <v>1597</v>
      </c>
      <c r="E720" t="s">
        <v>1769</v>
      </c>
      <c r="F720" s="4">
        <v>2</v>
      </c>
      <c r="G720">
        <v>974.35</v>
      </c>
      <c r="H720">
        <v>0.15</v>
      </c>
      <c r="I720" t="s">
        <v>1807</v>
      </c>
      <c r="J720">
        <v>1656.395</v>
      </c>
      <c r="K720" t="s">
        <v>1511</v>
      </c>
      <c r="L720">
        <v>35</v>
      </c>
      <c r="M720" t="str">
        <v>Male</v>
      </c>
      <c r="N720" t="str">
        <f>VLOOKUP(C:C,Customer_Dim!B:I,5,1)</f>
        <v>Port William</v>
      </c>
      <c r="O720" t="str">
        <f>VLOOKUP(C:C,Customer_Dim!B:I,6,1)</f>
        <v>New York</v>
      </c>
      <c r="P720" t="str">
        <f>VLOOKUP(C:C,Customer_Dim!B:I,7,1)</f>
        <v>USA</v>
      </c>
      <c r="Q720" t="str">
        <f>VLOOKUP(C:C,Customer_Dim!B:I,8,1)</f>
        <v>Gold</v>
      </c>
      <c r="S720">
        <v>2</v>
      </c>
      <c r="T720">
        <v>974.35</v>
      </c>
      <c r="U720">
        <v>0.15</v>
      </c>
      <c r="V720">
        <v>1656.395</v>
      </c>
      <c r="X720" s="4">
        <v>2</v>
      </c>
      <c r="Y720">
        <v>974.35</v>
      </c>
      <c r="Z720">
        <v>0.15</v>
      </c>
      <c r="AA720">
        <v>1656.395</v>
      </c>
    </row>
    <row r="721" spans="1:27" x14ac:dyDescent="0.3">
      <c r="A721" t="s">
        <v>2528</v>
      </c>
      <c r="B721" s="2">
        <v>45824</v>
      </c>
      <c r="C721" t="s">
        <v>1450</v>
      </c>
      <c r="D721" t="s">
        <v>1721</v>
      </c>
      <c r="E721" t="s">
        <v>1790</v>
      </c>
      <c r="F721" s="4">
        <v>4</v>
      </c>
      <c r="G721">
        <v>52.35</v>
      </c>
      <c r="H721">
        <v>0.23</v>
      </c>
      <c r="I721" t="s">
        <v>1812</v>
      </c>
      <c r="J721">
        <v>161.238</v>
      </c>
      <c r="K721" t="s">
        <v>1451</v>
      </c>
      <c r="L721">
        <v>41</v>
      </c>
      <c r="M721" t="str">
        <v>Female</v>
      </c>
      <c r="N721" t="str">
        <f>VLOOKUP(C:C,Customer_Dim!B:I,5,1)</f>
        <v>Anthonymouth</v>
      </c>
      <c r="O721" t="str">
        <f>VLOOKUP(C:C,Customer_Dim!B:I,6,1)</f>
        <v>Oklahoma</v>
      </c>
      <c r="P721" t="str">
        <f>VLOOKUP(C:C,Customer_Dim!B:I,7,1)</f>
        <v>USA</v>
      </c>
      <c r="Q721" t="str">
        <f>VLOOKUP(C:C,Customer_Dim!B:I,8,1)</f>
        <v>Gold</v>
      </c>
      <c r="S721">
        <v>4</v>
      </c>
      <c r="T721">
        <v>52.35</v>
      </c>
      <c r="U721">
        <v>0.23</v>
      </c>
      <c r="V721">
        <v>161.238</v>
      </c>
      <c r="X721" s="4">
        <v>4</v>
      </c>
      <c r="Y721">
        <v>52.35</v>
      </c>
      <c r="Z721">
        <v>0.23</v>
      </c>
      <c r="AA721">
        <v>161.238</v>
      </c>
    </row>
    <row r="722" spans="1:27" x14ac:dyDescent="0.3">
      <c r="A722" t="s">
        <v>2529</v>
      </c>
      <c r="B722" s="2">
        <v>45824</v>
      </c>
      <c r="C722" t="s">
        <v>1144</v>
      </c>
      <c r="D722" t="s">
        <v>1661</v>
      </c>
      <c r="E722" t="s">
        <v>1790</v>
      </c>
      <c r="F722" s="4">
        <v>3</v>
      </c>
      <c r="G722">
        <v>681.58</v>
      </c>
      <c r="H722">
        <v>0.23</v>
      </c>
      <c r="I722" t="s">
        <v>1807</v>
      </c>
      <c r="J722">
        <v>1574.4498000000001</v>
      </c>
      <c r="K722" t="s">
        <v>1145</v>
      </c>
      <c r="L722">
        <v>21</v>
      </c>
      <c r="M722" t="str">
        <v>Female</v>
      </c>
      <c r="N722" t="str">
        <f>VLOOKUP(C:C,Customer_Dim!B:I,5,1)</f>
        <v>Millston</v>
      </c>
      <c r="O722" t="str">
        <f>VLOOKUP(C:C,Customer_Dim!B:I,6,1)</f>
        <v>Indiana</v>
      </c>
      <c r="P722" t="str">
        <f>VLOOKUP(C:C,Customer_Dim!B:I,7,1)</f>
        <v>USA</v>
      </c>
      <c r="Q722" t="str">
        <f>VLOOKUP(C:C,Customer_Dim!B:I,8,1)</f>
        <v>Silver</v>
      </c>
      <c r="S722">
        <v>3</v>
      </c>
      <c r="T722">
        <v>681.58</v>
      </c>
      <c r="U722">
        <v>0.23</v>
      </c>
      <c r="V722">
        <v>1574.4498000000001</v>
      </c>
      <c r="X722" s="4">
        <v>3</v>
      </c>
      <c r="Y722">
        <v>681.58</v>
      </c>
      <c r="Z722">
        <v>0.23</v>
      </c>
      <c r="AA722">
        <v>1574.4498000000001</v>
      </c>
    </row>
    <row r="723" spans="1:27" x14ac:dyDescent="0.3">
      <c r="A723" t="s">
        <v>2530</v>
      </c>
      <c r="B723" s="2">
        <v>45384</v>
      </c>
      <c r="C723" t="s">
        <v>579</v>
      </c>
      <c r="D723" t="s">
        <v>1697</v>
      </c>
      <c r="E723" t="s">
        <v>1784</v>
      </c>
      <c r="F723" s="4">
        <v>3</v>
      </c>
      <c r="G723">
        <v>71.23</v>
      </c>
      <c r="H723">
        <v>0.03</v>
      </c>
      <c r="I723" t="s">
        <v>1807</v>
      </c>
      <c r="J723">
        <v>207.27930000000001</v>
      </c>
      <c r="K723" t="s">
        <v>580</v>
      </c>
      <c r="L723">
        <v>33</v>
      </c>
      <c r="M723" t="str">
        <v>Female</v>
      </c>
      <c r="N723" t="str">
        <f>VLOOKUP(C:C,Customer_Dim!B:I,5,1)</f>
        <v>Butlerberg</v>
      </c>
      <c r="O723" t="str">
        <f>VLOOKUP(C:C,Customer_Dim!B:I,6,1)</f>
        <v>Kentucky</v>
      </c>
      <c r="P723" t="str">
        <f>VLOOKUP(C:C,Customer_Dim!B:I,7,1)</f>
        <v>USA</v>
      </c>
      <c r="Q723" t="str">
        <f>VLOOKUP(C:C,Customer_Dim!B:I,8,1)</f>
        <v>Platinum</v>
      </c>
      <c r="S723">
        <v>3</v>
      </c>
      <c r="T723">
        <v>71.23</v>
      </c>
      <c r="U723">
        <v>0.03</v>
      </c>
      <c r="V723">
        <v>207.27930000000001</v>
      </c>
      <c r="X723" s="4">
        <v>3</v>
      </c>
      <c r="Y723">
        <v>71.23</v>
      </c>
      <c r="Z723">
        <v>0.03</v>
      </c>
      <c r="AA723">
        <v>207.27930000000001</v>
      </c>
    </row>
    <row r="724" spans="1:27" x14ac:dyDescent="0.3">
      <c r="A724" t="s">
        <v>2531</v>
      </c>
      <c r="B724" s="2">
        <v>45379</v>
      </c>
      <c r="C724" t="s">
        <v>767</v>
      </c>
      <c r="D724" t="s">
        <v>1561</v>
      </c>
      <c r="E724" t="s">
        <v>1782</v>
      </c>
      <c r="F724" s="4">
        <v>1</v>
      </c>
      <c r="G724">
        <v>31.36</v>
      </c>
      <c r="H724">
        <v>0.21</v>
      </c>
      <c r="I724" t="s">
        <v>1812</v>
      </c>
      <c r="J724">
        <v>24.7744</v>
      </c>
      <c r="K724" t="s">
        <v>768</v>
      </c>
      <c r="L724">
        <v>58</v>
      </c>
      <c r="M724" t="str">
        <v>Female</v>
      </c>
      <c r="N724" t="str">
        <f>VLOOKUP(C:C,Customer_Dim!B:I,5,1)</f>
        <v>Dawsonchester</v>
      </c>
      <c r="O724" t="str">
        <f>VLOOKUP(C:C,Customer_Dim!B:I,6,1)</f>
        <v>Virginia</v>
      </c>
      <c r="P724" t="str">
        <f>VLOOKUP(C:C,Customer_Dim!B:I,7,1)</f>
        <v>USA</v>
      </c>
      <c r="Q724" t="str">
        <f>VLOOKUP(C:C,Customer_Dim!B:I,8,1)</f>
        <v>Platinum</v>
      </c>
      <c r="S724">
        <v>1</v>
      </c>
      <c r="T724">
        <v>31.36</v>
      </c>
      <c r="U724">
        <v>0.21</v>
      </c>
      <c r="V724">
        <v>24.7744</v>
      </c>
      <c r="X724" s="4">
        <v>1</v>
      </c>
      <c r="Y724">
        <v>31.36</v>
      </c>
      <c r="Z724">
        <v>0.21</v>
      </c>
      <c r="AA724">
        <v>24.7744</v>
      </c>
    </row>
    <row r="725" spans="1:27" x14ac:dyDescent="0.3">
      <c r="A725" t="s">
        <v>2532</v>
      </c>
      <c r="B725" s="2">
        <v>45674</v>
      </c>
      <c r="C725" t="s">
        <v>1060</v>
      </c>
      <c r="D725" t="s">
        <v>1613</v>
      </c>
      <c r="E725" t="s">
        <v>1780</v>
      </c>
      <c r="F725" s="4">
        <v>2</v>
      </c>
      <c r="G725">
        <v>555.54999999999995</v>
      </c>
      <c r="H725">
        <v>0.14000000000000001</v>
      </c>
      <c r="I725" t="s">
        <v>1807</v>
      </c>
      <c r="J725">
        <v>955.54599999999994</v>
      </c>
      <c r="K725" t="s">
        <v>1061</v>
      </c>
      <c r="L725">
        <v>30</v>
      </c>
      <c r="M725" t="str">
        <v>Female</v>
      </c>
      <c r="N725" t="str">
        <f>VLOOKUP(C:C,Customer_Dim!B:I,5,1)</f>
        <v>Lake Alyssaburgh</v>
      </c>
      <c r="O725" t="str">
        <f>VLOOKUP(C:C,Customer_Dim!B:I,6,1)</f>
        <v>Illinois</v>
      </c>
      <c r="P725" t="str">
        <f>VLOOKUP(C:C,Customer_Dim!B:I,7,1)</f>
        <v>USA</v>
      </c>
      <c r="Q725" t="str">
        <f>VLOOKUP(C:C,Customer_Dim!B:I,8,1)</f>
        <v>Bronze</v>
      </c>
      <c r="S725">
        <v>2</v>
      </c>
      <c r="T725">
        <v>555.54999999999995</v>
      </c>
      <c r="U725">
        <v>0.14000000000000001</v>
      </c>
      <c r="V725">
        <v>955.54599999999994</v>
      </c>
      <c r="X725" s="4">
        <v>2</v>
      </c>
      <c r="Y725">
        <v>555.54999999999995</v>
      </c>
      <c r="Z725">
        <v>0.14000000000000001</v>
      </c>
      <c r="AA725">
        <v>955.54599999999994</v>
      </c>
    </row>
    <row r="726" spans="1:27" x14ac:dyDescent="0.3">
      <c r="A726" t="s">
        <v>2533</v>
      </c>
      <c r="B726" s="2">
        <v>45760</v>
      </c>
      <c r="C726" t="s">
        <v>797</v>
      </c>
      <c r="D726" t="s">
        <v>1663</v>
      </c>
      <c r="E726" t="s">
        <v>1787</v>
      </c>
      <c r="F726" s="4">
        <v>4</v>
      </c>
      <c r="G726">
        <v>805.99</v>
      </c>
      <c r="H726">
        <v>0.06</v>
      </c>
      <c r="I726" t="s">
        <v>1807</v>
      </c>
      <c r="J726">
        <v>3030.5223999999998</v>
      </c>
      <c r="K726" t="s">
        <v>798</v>
      </c>
      <c r="L726">
        <v>26</v>
      </c>
      <c r="M726" t="str">
        <v>Male</v>
      </c>
      <c r="N726" t="str">
        <f>VLOOKUP(C:C,Customer_Dim!B:I,5,1)</f>
        <v>Port Coreyfort</v>
      </c>
      <c r="O726" t="str">
        <f>VLOOKUP(C:C,Customer_Dim!B:I,6,1)</f>
        <v>Alabama</v>
      </c>
      <c r="P726" t="str">
        <f>VLOOKUP(C:C,Customer_Dim!B:I,7,1)</f>
        <v>USA</v>
      </c>
      <c r="Q726" t="str">
        <f>VLOOKUP(C:C,Customer_Dim!B:I,8,1)</f>
        <v>Silver</v>
      </c>
      <c r="S726">
        <v>4</v>
      </c>
      <c r="T726">
        <v>805.99</v>
      </c>
      <c r="U726">
        <v>0.06</v>
      </c>
      <c r="V726">
        <v>3030.5223999999998</v>
      </c>
      <c r="X726" s="4">
        <v>4</v>
      </c>
      <c r="Y726">
        <v>805.99</v>
      </c>
      <c r="Z726">
        <v>0.06</v>
      </c>
      <c r="AA726">
        <v>3030.5223999999998</v>
      </c>
    </row>
    <row r="727" spans="1:27" x14ac:dyDescent="0.3">
      <c r="A727" t="s">
        <v>2534</v>
      </c>
      <c r="B727" s="2">
        <v>45474</v>
      </c>
      <c r="C727" t="s">
        <v>1198</v>
      </c>
      <c r="D727" t="s">
        <v>1673</v>
      </c>
      <c r="E727" t="s">
        <v>1740</v>
      </c>
      <c r="F727" s="4">
        <v>1</v>
      </c>
      <c r="G727">
        <v>506.55</v>
      </c>
      <c r="H727">
        <v>0.28000000000000003</v>
      </c>
      <c r="I727" t="s">
        <v>1807</v>
      </c>
      <c r="J727">
        <v>364.71600000000001</v>
      </c>
      <c r="K727" t="s">
        <v>1199</v>
      </c>
      <c r="L727">
        <v>50</v>
      </c>
      <c r="M727" t="str">
        <v>Male</v>
      </c>
      <c r="N727" t="str">
        <f>VLOOKUP(C:C,Customer_Dim!B:I,5,1)</f>
        <v>Stevensshire</v>
      </c>
      <c r="O727" t="str">
        <f>VLOOKUP(C:C,Customer_Dim!B:I,6,1)</f>
        <v>Missouri</v>
      </c>
      <c r="P727" t="str">
        <f>VLOOKUP(C:C,Customer_Dim!B:I,7,1)</f>
        <v>USA</v>
      </c>
      <c r="Q727" t="str">
        <f>VLOOKUP(C:C,Customer_Dim!B:I,8,1)</f>
        <v>Platinum</v>
      </c>
      <c r="S727">
        <v>1</v>
      </c>
      <c r="T727">
        <v>506.55</v>
      </c>
      <c r="U727">
        <v>0.28000000000000003</v>
      </c>
      <c r="V727">
        <v>364.71600000000001</v>
      </c>
      <c r="X727" s="4">
        <v>1</v>
      </c>
      <c r="Y727">
        <v>506.55</v>
      </c>
      <c r="Z727">
        <v>0.28000000000000003</v>
      </c>
      <c r="AA727">
        <v>364.71600000000001</v>
      </c>
    </row>
    <row r="728" spans="1:27" x14ac:dyDescent="0.3">
      <c r="A728" t="s">
        <v>2535</v>
      </c>
      <c r="B728" s="2">
        <v>45640</v>
      </c>
      <c r="C728" t="s">
        <v>442</v>
      </c>
      <c r="D728" t="s">
        <v>1613</v>
      </c>
      <c r="E728" t="s">
        <v>1775</v>
      </c>
      <c r="F728" s="4">
        <v>3</v>
      </c>
      <c r="G728">
        <v>28.69</v>
      </c>
      <c r="H728">
        <v>0.02</v>
      </c>
      <c r="I728" t="s">
        <v>1807</v>
      </c>
      <c r="J728">
        <v>84.348600000000005</v>
      </c>
      <c r="K728" t="s">
        <v>443</v>
      </c>
      <c r="L728">
        <v>34</v>
      </c>
      <c r="M728" t="str">
        <v>Female</v>
      </c>
      <c r="N728" t="str">
        <f>VLOOKUP(C:C,Customer_Dim!B:I,5,1)</f>
        <v xml:space="preserve">   Jonesbury </v>
      </c>
      <c r="O728" t="str">
        <f>VLOOKUP(C:C,Customer_Dim!B:I,6,1)</f>
        <v>Connecticut</v>
      </c>
      <c r="P728" t="str">
        <f>VLOOKUP(C:C,Customer_Dim!B:I,7,1)</f>
        <v>USA</v>
      </c>
      <c r="Q728" t="str">
        <f>VLOOKUP(C:C,Customer_Dim!B:I,8,1)</f>
        <v>Platinum</v>
      </c>
      <c r="S728">
        <v>3</v>
      </c>
      <c r="T728">
        <v>28.69</v>
      </c>
      <c r="U728">
        <v>0.02</v>
      </c>
      <c r="V728">
        <v>84.348600000000005</v>
      </c>
      <c r="X728" s="4">
        <v>3</v>
      </c>
      <c r="Y728">
        <v>28.69</v>
      </c>
      <c r="Z728">
        <v>0.02</v>
      </c>
      <c r="AA728">
        <v>84.348600000000005</v>
      </c>
    </row>
    <row r="729" spans="1:27" x14ac:dyDescent="0.3">
      <c r="A729" t="s">
        <v>2536</v>
      </c>
      <c r="B729" s="2">
        <v>45253</v>
      </c>
      <c r="C729" t="s">
        <v>1195</v>
      </c>
      <c r="D729" t="s">
        <v>1683</v>
      </c>
      <c r="E729" t="s">
        <v>1752</v>
      </c>
      <c r="F729" s="4">
        <v>1</v>
      </c>
      <c r="G729">
        <v>106.07</v>
      </c>
      <c r="H729">
        <v>0.23</v>
      </c>
      <c r="I729" t="s">
        <v>1812</v>
      </c>
      <c r="J729">
        <v>81.673900000000003</v>
      </c>
      <c r="K729" t="s">
        <v>1196</v>
      </c>
      <c r="L729">
        <v>53</v>
      </c>
      <c r="M729" t="str">
        <v>Male</v>
      </c>
      <c r="N729" t="str">
        <f>VLOOKUP(C:C,Customer_Dim!B:I,5,1)</f>
        <v>New Dawn</v>
      </c>
      <c r="O729" t="str">
        <f>VLOOKUP(C:C,Customer_Dim!B:I,6,1)</f>
        <v>New Jersey</v>
      </c>
      <c r="P729" t="str">
        <f>VLOOKUP(C:C,Customer_Dim!B:I,7,1)</f>
        <v>USA</v>
      </c>
      <c r="Q729" t="str">
        <f>VLOOKUP(C:C,Customer_Dim!B:I,8,1)</f>
        <v>Silver</v>
      </c>
      <c r="S729">
        <v>1</v>
      </c>
      <c r="T729">
        <v>106.07</v>
      </c>
      <c r="U729">
        <v>0.23</v>
      </c>
      <c r="V729">
        <v>81.673900000000003</v>
      </c>
      <c r="X729" s="4">
        <v>1</v>
      </c>
      <c r="Y729">
        <v>106.07</v>
      </c>
      <c r="Z729">
        <v>0.23</v>
      </c>
      <c r="AA729">
        <v>81.673900000000003</v>
      </c>
    </row>
    <row r="730" spans="1:27" x14ac:dyDescent="0.3">
      <c r="A730" t="s">
        <v>2537</v>
      </c>
      <c r="B730" s="2">
        <v>45225</v>
      </c>
      <c r="C730" t="s">
        <v>823</v>
      </c>
      <c r="D730" t="s">
        <v>1713</v>
      </c>
      <c r="E730" t="s">
        <v>1735</v>
      </c>
      <c r="F730" s="4">
        <v>4</v>
      </c>
      <c r="G730">
        <v>289.77</v>
      </c>
      <c r="H730">
        <v>0.06</v>
      </c>
      <c r="I730" t="s">
        <v>1809</v>
      </c>
      <c r="J730">
        <v>1089.5352</v>
      </c>
      <c r="K730" t="s">
        <v>824</v>
      </c>
      <c r="L730">
        <v>27</v>
      </c>
      <c r="M730" t="str">
        <v>Female</v>
      </c>
      <c r="N730" t="str">
        <f>VLOOKUP(C:C,Customer_Dim!B:I,5,1)</f>
        <v>North Jonathon</v>
      </c>
      <c r="O730" t="str">
        <f>VLOOKUP(C:C,Customer_Dim!B:I,6,1)</f>
        <v>Arizona</v>
      </c>
      <c r="P730" t="str">
        <f>VLOOKUP(C:C,Customer_Dim!B:I,7,1)</f>
        <v>USA</v>
      </c>
      <c r="Q730" t="str">
        <f>VLOOKUP(C:C,Customer_Dim!B:I,8,1)</f>
        <v>Platinum</v>
      </c>
      <c r="S730">
        <v>4</v>
      </c>
      <c r="T730">
        <v>289.77</v>
      </c>
      <c r="U730">
        <v>0.06</v>
      </c>
      <c r="V730">
        <v>1089.5352</v>
      </c>
      <c r="X730" s="4">
        <v>4</v>
      </c>
      <c r="Y730">
        <v>289.77</v>
      </c>
      <c r="Z730">
        <v>0.06</v>
      </c>
      <c r="AA730">
        <v>1089.5352</v>
      </c>
    </row>
    <row r="731" spans="1:27" x14ac:dyDescent="0.3">
      <c r="A731" t="s">
        <v>2538</v>
      </c>
      <c r="B731" s="2">
        <v>45263</v>
      </c>
      <c r="C731" t="s">
        <v>518</v>
      </c>
      <c r="D731" t="s">
        <v>1697</v>
      </c>
      <c r="E731" t="s">
        <v>1793</v>
      </c>
      <c r="F731" s="4">
        <v>2</v>
      </c>
      <c r="G731">
        <v>354.26</v>
      </c>
      <c r="H731">
        <v>0.01</v>
      </c>
      <c r="I731" t="s">
        <v>1812</v>
      </c>
      <c r="J731">
        <v>701.4348</v>
      </c>
      <c r="K731" t="s">
        <v>519</v>
      </c>
      <c r="L731">
        <v>59</v>
      </c>
      <c r="M731" t="str">
        <v>Male</v>
      </c>
      <c r="N731" t="str">
        <f>VLOOKUP(C:C,Customer_Dim!B:I,5,1)</f>
        <v>East Peterbury</v>
      </c>
      <c r="O731" t="str">
        <f>VLOOKUP(C:C,Customer_Dim!B:I,6,1)</f>
        <v>North Dakota</v>
      </c>
      <c r="P731" t="str">
        <f>VLOOKUP(C:C,Customer_Dim!B:I,7,1)</f>
        <v>USA</v>
      </c>
      <c r="Q731" t="str">
        <f>VLOOKUP(C:C,Customer_Dim!B:I,8,1)</f>
        <v>Bronze</v>
      </c>
      <c r="S731">
        <v>2</v>
      </c>
      <c r="T731">
        <v>354.26</v>
      </c>
      <c r="U731">
        <v>0.01</v>
      </c>
      <c r="V731">
        <v>701.4348</v>
      </c>
      <c r="X731" s="4">
        <v>2</v>
      </c>
      <c r="Y731">
        <v>354.26</v>
      </c>
      <c r="Z731">
        <v>0.01</v>
      </c>
      <c r="AA731">
        <v>701.4348</v>
      </c>
    </row>
    <row r="732" spans="1:27" x14ac:dyDescent="0.3">
      <c r="A732" t="s">
        <v>2539</v>
      </c>
      <c r="B732" s="2">
        <v>45554</v>
      </c>
      <c r="C732" t="s">
        <v>1189</v>
      </c>
      <c r="D732" t="s">
        <v>1667</v>
      </c>
      <c r="E732" t="s">
        <v>1782</v>
      </c>
      <c r="F732" s="4">
        <v>1</v>
      </c>
      <c r="G732">
        <v>522.72</v>
      </c>
      <c r="H732">
        <v>0.25</v>
      </c>
      <c r="I732" t="s">
        <v>1809</v>
      </c>
      <c r="J732">
        <v>392.04</v>
      </c>
      <c r="K732" t="s">
        <v>1190</v>
      </c>
      <c r="L732">
        <v>18</v>
      </c>
      <c r="M732" t="str">
        <v>Female</v>
      </c>
      <c r="N732" t="str">
        <f>VLOOKUP(C:C,Customer_Dim!B:I,5,1)</f>
        <v>Lake Brandontown</v>
      </c>
      <c r="O732" t="str">
        <f>VLOOKUP(C:C,Customer_Dim!B:I,6,1)</f>
        <v>South Carolina</v>
      </c>
      <c r="P732" t="str">
        <f>VLOOKUP(C:C,Customer_Dim!B:I,7,1)</f>
        <v>USA</v>
      </c>
      <c r="Q732" t="str">
        <f>VLOOKUP(C:C,Customer_Dim!B:I,8,1)</f>
        <v>Gold</v>
      </c>
      <c r="S732">
        <v>1</v>
      </c>
      <c r="T732">
        <v>522.72</v>
      </c>
      <c r="U732">
        <v>0.25</v>
      </c>
      <c r="V732">
        <v>392.04</v>
      </c>
      <c r="X732" s="4">
        <v>1</v>
      </c>
      <c r="Y732">
        <v>522.72</v>
      </c>
      <c r="Z732">
        <v>0.25</v>
      </c>
      <c r="AA732">
        <v>392.04</v>
      </c>
    </row>
    <row r="733" spans="1:27" x14ac:dyDescent="0.3">
      <c r="A733" t="s">
        <v>2540</v>
      </c>
      <c r="B733" s="2">
        <v>45569</v>
      </c>
      <c r="C733" t="s">
        <v>211</v>
      </c>
      <c r="D733" t="s">
        <v>1538</v>
      </c>
      <c r="E733" t="s">
        <v>1769</v>
      </c>
      <c r="F733" s="4">
        <v>3</v>
      </c>
      <c r="G733">
        <v>966.02</v>
      </c>
      <c r="H733">
        <v>0.03</v>
      </c>
      <c r="I733" t="s">
        <v>1812</v>
      </c>
      <c r="J733">
        <v>2811.1181999999999</v>
      </c>
      <c r="K733" t="s">
        <v>212</v>
      </c>
      <c r="L733">
        <v>51</v>
      </c>
      <c r="M733" t="str">
        <v>Male</v>
      </c>
      <c r="N733" t="str">
        <f>VLOOKUP(C:C,Customer_Dim!B:I,5,1)</f>
        <v>Morrisbury</v>
      </c>
      <c r="O733" t="str">
        <f>VLOOKUP(C:C,Customer_Dim!B:I,6,1)</f>
        <v>Rhode Island</v>
      </c>
      <c r="P733" t="str">
        <f>VLOOKUP(C:C,Customer_Dim!B:I,7,1)</f>
        <v>USA</v>
      </c>
      <c r="Q733" t="str">
        <f>VLOOKUP(C:C,Customer_Dim!B:I,8,1)</f>
        <v>Platinum</v>
      </c>
      <c r="S733">
        <v>3</v>
      </c>
      <c r="T733">
        <v>966.02</v>
      </c>
      <c r="U733">
        <v>0.03</v>
      </c>
      <c r="V733">
        <v>2811.1181999999999</v>
      </c>
      <c r="X733" s="4">
        <v>3</v>
      </c>
      <c r="Y733">
        <v>966.02</v>
      </c>
      <c r="Z733">
        <v>0.03</v>
      </c>
      <c r="AA733">
        <v>2811.1181999999999</v>
      </c>
    </row>
    <row r="734" spans="1:27" x14ac:dyDescent="0.3">
      <c r="A734" t="s">
        <v>2541</v>
      </c>
      <c r="B734" s="2">
        <v>45217</v>
      </c>
      <c r="C734" t="s">
        <v>718</v>
      </c>
      <c r="D734" t="s">
        <v>1631</v>
      </c>
      <c r="E734" t="s">
        <v>1790</v>
      </c>
      <c r="F734" s="4">
        <v>1</v>
      </c>
      <c r="G734">
        <v>498.61</v>
      </c>
      <c r="H734">
        <v>0.04</v>
      </c>
      <c r="I734" t="s">
        <v>1809</v>
      </c>
      <c r="J734">
        <v>478.66559999999998</v>
      </c>
      <c r="K734" t="s">
        <v>719</v>
      </c>
      <c r="L734">
        <v>46</v>
      </c>
      <c r="M734" t="str">
        <v>Female</v>
      </c>
      <c r="N734" t="str">
        <f>VLOOKUP(C:C,Customer_Dim!B:I,5,1)</f>
        <v>New Anthonyfurt</v>
      </c>
      <c r="O734" t="str">
        <f>VLOOKUP(C:C,Customer_Dim!B:I,6,1)</f>
        <v>Missouri</v>
      </c>
      <c r="P734" t="str">
        <f>VLOOKUP(C:C,Customer_Dim!B:I,7,1)</f>
        <v>USA</v>
      </c>
      <c r="Q734" t="str">
        <f>VLOOKUP(C:C,Customer_Dim!B:I,8,1)</f>
        <v>Silver</v>
      </c>
      <c r="S734">
        <v>1</v>
      </c>
      <c r="T734">
        <v>498.61</v>
      </c>
      <c r="U734">
        <v>0.04</v>
      </c>
      <c r="V734">
        <v>478.66559999999998</v>
      </c>
      <c r="X734" s="4">
        <v>1</v>
      </c>
      <c r="Y734">
        <v>498.61</v>
      </c>
      <c r="Z734">
        <v>0.04</v>
      </c>
      <c r="AA734">
        <v>478.66559999999998</v>
      </c>
    </row>
    <row r="735" spans="1:27" x14ac:dyDescent="0.3">
      <c r="A735" t="s">
        <v>2542</v>
      </c>
      <c r="B735" s="2">
        <v>45783</v>
      </c>
      <c r="C735" t="s">
        <v>1027</v>
      </c>
      <c r="D735" t="s">
        <v>1615</v>
      </c>
      <c r="E735" t="s">
        <v>1759</v>
      </c>
      <c r="F735" s="4">
        <v>4</v>
      </c>
      <c r="G735">
        <v>758.27</v>
      </c>
      <c r="H735">
        <v>0.05</v>
      </c>
      <c r="I735" t="s">
        <v>1809</v>
      </c>
      <c r="J735">
        <v>2881.4259999999999</v>
      </c>
      <c r="K735" t="s">
        <v>1028</v>
      </c>
      <c r="L735">
        <v>38</v>
      </c>
      <c r="M735" t="str">
        <v>Female</v>
      </c>
      <c r="N735" t="str">
        <f>VLOOKUP(C:C,Customer_Dim!B:I,5,1)</f>
        <v>South Jasontown</v>
      </c>
      <c r="O735" t="str">
        <f>VLOOKUP(C:C,Customer_Dim!B:I,6,1)</f>
        <v>Illinois</v>
      </c>
      <c r="P735" t="str">
        <f>VLOOKUP(C:C,Customer_Dim!B:I,7,1)</f>
        <v>USA</v>
      </c>
      <c r="Q735" t="str">
        <f>VLOOKUP(C:C,Customer_Dim!B:I,8,1)</f>
        <v>Platinum</v>
      </c>
      <c r="S735">
        <v>4</v>
      </c>
      <c r="T735">
        <v>758.27</v>
      </c>
      <c r="U735">
        <v>0.05</v>
      </c>
      <c r="V735">
        <v>2881.4259999999999</v>
      </c>
      <c r="X735" s="4">
        <v>4</v>
      </c>
      <c r="Y735">
        <v>758.27</v>
      </c>
      <c r="Z735">
        <v>0.05</v>
      </c>
      <c r="AA735">
        <v>2881.4259999999999</v>
      </c>
    </row>
    <row r="736" spans="1:27" x14ac:dyDescent="0.3">
      <c r="A736" t="s">
        <v>2543</v>
      </c>
      <c r="B736" s="2">
        <v>45371</v>
      </c>
      <c r="C736" t="s">
        <v>642</v>
      </c>
      <c r="D736" t="s">
        <v>1534</v>
      </c>
      <c r="E736" t="s">
        <v>1744</v>
      </c>
      <c r="F736" s="4">
        <v>2</v>
      </c>
      <c r="G736">
        <v>371.03</v>
      </c>
      <c r="H736">
        <v>0.23</v>
      </c>
      <c r="I736" t="s">
        <v>1809</v>
      </c>
      <c r="J736">
        <v>571.38619999999992</v>
      </c>
      <c r="K736" t="s">
        <v>643</v>
      </c>
      <c r="L736">
        <v>46</v>
      </c>
      <c r="M736" t="str">
        <v>Male</v>
      </c>
      <c r="N736" t="str">
        <f>VLOOKUP(C:C,Customer_Dim!B:I,5,1)</f>
        <v>Frostmouth</v>
      </c>
      <c r="O736" t="str">
        <f>VLOOKUP(C:C,Customer_Dim!B:I,6,1)</f>
        <v>Vermont</v>
      </c>
      <c r="P736" t="str">
        <f>VLOOKUP(C:C,Customer_Dim!B:I,7,1)</f>
        <v>USA</v>
      </c>
      <c r="Q736" t="str">
        <f>VLOOKUP(C:C,Customer_Dim!B:I,8,1)</f>
        <v>Bronze</v>
      </c>
      <c r="S736">
        <v>2</v>
      </c>
      <c r="T736">
        <v>371.03</v>
      </c>
      <c r="U736">
        <v>0.23</v>
      </c>
      <c r="V736">
        <v>571.38619999999992</v>
      </c>
      <c r="X736" s="4">
        <v>2</v>
      </c>
      <c r="Y736">
        <v>371.03</v>
      </c>
      <c r="Z736">
        <v>0.23</v>
      </c>
      <c r="AA736">
        <v>571.38619999999992</v>
      </c>
    </row>
    <row r="737" spans="1:27" x14ac:dyDescent="0.3">
      <c r="A737" t="s">
        <v>2544</v>
      </c>
      <c r="B737" s="2">
        <v>45453</v>
      </c>
      <c r="C737" t="s">
        <v>1100</v>
      </c>
      <c r="D737" t="s">
        <v>1713</v>
      </c>
      <c r="E737" t="s">
        <v>1790</v>
      </c>
      <c r="F737" s="4">
        <v>1</v>
      </c>
      <c r="G737">
        <v>230.32</v>
      </c>
      <c r="H737">
        <v>0.05</v>
      </c>
      <c r="I737" t="s">
        <v>1812</v>
      </c>
      <c r="J737">
        <v>218.804</v>
      </c>
      <c r="K737" t="s">
        <v>1101</v>
      </c>
      <c r="L737">
        <v>54</v>
      </c>
      <c r="M737" t="str">
        <v>Male</v>
      </c>
      <c r="N737" t="str">
        <f>VLOOKUP(C:C,Customer_Dim!B:I,5,1)</f>
        <v>North Johnfurt</v>
      </c>
      <c r="O737" t="str">
        <f>VLOOKUP(C:C,Customer_Dim!B:I,6,1)</f>
        <v>Washington</v>
      </c>
      <c r="P737" t="str">
        <f>VLOOKUP(C:C,Customer_Dim!B:I,7,1)</f>
        <v>USA</v>
      </c>
      <c r="Q737" t="str">
        <f>VLOOKUP(C:C,Customer_Dim!B:I,8,1)</f>
        <v>Gold</v>
      </c>
      <c r="S737">
        <v>1</v>
      </c>
      <c r="T737">
        <v>230.32</v>
      </c>
      <c r="U737">
        <v>0.05</v>
      </c>
      <c r="V737">
        <v>218.804</v>
      </c>
      <c r="X737" s="4">
        <v>1</v>
      </c>
      <c r="Y737">
        <v>230.32</v>
      </c>
      <c r="Z737">
        <v>0.05</v>
      </c>
      <c r="AA737">
        <v>218.804</v>
      </c>
    </row>
    <row r="738" spans="1:27" x14ac:dyDescent="0.3">
      <c r="A738" t="s">
        <v>2545</v>
      </c>
      <c r="B738" s="2">
        <v>45526</v>
      </c>
      <c r="C738" t="s">
        <v>1063</v>
      </c>
      <c r="D738" t="s">
        <v>1653</v>
      </c>
      <c r="E738" t="s">
        <v>1759</v>
      </c>
      <c r="F738" s="4">
        <v>2</v>
      </c>
      <c r="G738">
        <v>985.43</v>
      </c>
      <c r="H738">
        <v>0.28000000000000003</v>
      </c>
      <c r="I738" t="s">
        <v>1812</v>
      </c>
      <c r="J738">
        <v>1419.0192</v>
      </c>
      <c r="K738" t="s">
        <v>1064</v>
      </c>
      <c r="L738">
        <v>38</v>
      </c>
      <c r="M738" t="str">
        <v>Male</v>
      </c>
      <c r="N738" t="str">
        <f>VLOOKUP(C:C,Customer_Dim!B:I,5,1)</f>
        <v>Amandaborough</v>
      </c>
      <c r="O738" t="str">
        <f>VLOOKUP(C:C,Customer_Dim!B:I,6,1)</f>
        <v>Connecticut</v>
      </c>
      <c r="P738" t="str">
        <f>VLOOKUP(C:C,Customer_Dim!B:I,7,1)</f>
        <v>USA</v>
      </c>
      <c r="Q738" t="str">
        <f>VLOOKUP(C:C,Customer_Dim!B:I,8,1)</f>
        <v>Bronze</v>
      </c>
      <c r="S738">
        <v>2</v>
      </c>
      <c r="T738">
        <v>985.43</v>
      </c>
      <c r="U738">
        <v>0.28000000000000003</v>
      </c>
      <c r="V738">
        <v>1419.0192</v>
      </c>
      <c r="X738" s="4">
        <v>2</v>
      </c>
      <c r="Y738">
        <v>985.43</v>
      </c>
      <c r="Z738">
        <v>0.28000000000000003</v>
      </c>
      <c r="AA738">
        <v>1419.0192</v>
      </c>
    </row>
    <row r="739" spans="1:27" x14ac:dyDescent="0.3">
      <c r="A739" t="s">
        <v>2546</v>
      </c>
      <c r="B739" s="2">
        <v>45756</v>
      </c>
      <c r="C739" t="s">
        <v>1295</v>
      </c>
      <c r="D739" t="s">
        <v>1548</v>
      </c>
      <c r="E739" t="s">
        <v>1752</v>
      </c>
      <c r="F739" s="4">
        <v>2</v>
      </c>
      <c r="G739">
        <v>492.5</v>
      </c>
      <c r="H739">
        <v>0.3</v>
      </c>
      <c r="I739" t="s">
        <v>1809</v>
      </c>
      <c r="J739">
        <v>689.5</v>
      </c>
      <c r="K739" t="s">
        <v>3950</v>
      </c>
      <c r="L739">
        <v>35</v>
      </c>
      <c r="M739" t="str">
        <v>Male</v>
      </c>
      <c r="N739" t="str">
        <f>VLOOKUP(C:C,Customer_Dim!B:I,5,1)</f>
        <v>Aliciahaven</v>
      </c>
      <c r="O739" t="str">
        <f>VLOOKUP(C:C,Customer_Dim!B:I,6,1)</f>
        <v>Kansas</v>
      </c>
      <c r="P739" t="str">
        <f>VLOOKUP(C:C,Customer_Dim!B:I,7,1)</f>
        <v>USA</v>
      </c>
      <c r="Q739" t="str">
        <f>VLOOKUP(C:C,Customer_Dim!B:I,8,1)</f>
        <v>Platinum</v>
      </c>
      <c r="S739">
        <v>2</v>
      </c>
      <c r="T739">
        <v>492.5</v>
      </c>
      <c r="U739">
        <v>0.3</v>
      </c>
      <c r="V739">
        <v>689.5</v>
      </c>
      <c r="X739" s="4">
        <v>2</v>
      </c>
      <c r="Y739">
        <v>492.5</v>
      </c>
      <c r="Z739">
        <v>0.3</v>
      </c>
      <c r="AA739">
        <v>689.5</v>
      </c>
    </row>
    <row r="740" spans="1:27" x14ac:dyDescent="0.3">
      <c r="A740" t="s">
        <v>2547</v>
      </c>
      <c r="B740" s="2">
        <v>45657</v>
      </c>
      <c r="C740" t="s">
        <v>1126</v>
      </c>
      <c r="D740" t="s">
        <v>1623</v>
      </c>
      <c r="E740" t="s">
        <v>1775</v>
      </c>
      <c r="F740" s="4">
        <v>2</v>
      </c>
      <c r="G740">
        <v>213.69</v>
      </c>
      <c r="H740">
        <v>0.28000000000000003</v>
      </c>
      <c r="I740" t="s">
        <v>1809</v>
      </c>
      <c r="J740">
        <v>307.71359999999999</v>
      </c>
      <c r="K740" t="s">
        <v>1127</v>
      </c>
      <c r="L740">
        <v>63</v>
      </c>
      <c r="M740" t="str">
        <v>Female</v>
      </c>
      <c r="N740" t="str">
        <f>VLOOKUP(C:C,Customer_Dim!B:I,5,1)</f>
        <v>Lake Johnside</v>
      </c>
      <c r="O740" t="str">
        <f>VLOOKUP(C:C,Customer_Dim!B:I,6,1)</f>
        <v>Arizona</v>
      </c>
      <c r="P740" t="str">
        <f>VLOOKUP(C:C,Customer_Dim!B:I,7,1)</f>
        <v>USA</v>
      </c>
      <c r="Q740" t="str">
        <f>VLOOKUP(C:C,Customer_Dim!B:I,8,1)</f>
        <v>Bronze</v>
      </c>
      <c r="S740">
        <v>2</v>
      </c>
      <c r="T740">
        <v>213.69</v>
      </c>
      <c r="U740">
        <v>0.28000000000000003</v>
      </c>
      <c r="V740">
        <v>307.71359999999999</v>
      </c>
      <c r="X740" s="4">
        <v>2</v>
      </c>
      <c r="Y740">
        <v>213.69</v>
      </c>
      <c r="Z740">
        <v>0.28000000000000003</v>
      </c>
      <c r="AA740">
        <v>307.71359999999999</v>
      </c>
    </row>
    <row r="741" spans="1:27" x14ac:dyDescent="0.3">
      <c r="A741" t="s">
        <v>2548</v>
      </c>
      <c r="B741" s="2">
        <v>45716</v>
      </c>
      <c r="C741" t="s">
        <v>238</v>
      </c>
      <c r="D741" t="s">
        <v>1571</v>
      </c>
      <c r="E741" t="s">
        <v>1765</v>
      </c>
      <c r="F741" s="4">
        <v>4</v>
      </c>
      <c r="G741">
        <v>618.83000000000004</v>
      </c>
      <c r="H741">
        <v>0.08</v>
      </c>
      <c r="I741" t="s">
        <v>1809</v>
      </c>
      <c r="J741">
        <v>2277.2944000000002</v>
      </c>
      <c r="K741" t="s">
        <v>239</v>
      </c>
      <c r="L741">
        <v>27</v>
      </c>
      <c r="M741" t="str">
        <v>Female</v>
      </c>
      <c r="N741" t="str">
        <f>VLOOKUP(C:C,Customer_Dim!B:I,5,1)</f>
        <v>Woodmouth</v>
      </c>
      <c r="O741" t="str">
        <f>VLOOKUP(C:C,Customer_Dim!B:I,6,1)</f>
        <v>Nevada</v>
      </c>
      <c r="P741" t="str">
        <f>VLOOKUP(C:C,Customer_Dim!B:I,7,1)</f>
        <v>USA</v>
      </c>
      <c r="Q741" t="str">
        <f>VLOOKUP(C:C,Customer_Dim!B:I,8,1)</f>
        <v>Silver</v>
      </c>
      <c r="S741">
        <v>4</v>
      </c>
      <c r="T741">
        <v>618.83000000000004</v>
      </c>
      <c r="U741">
        <v>0.08</v>
      </c>
      <c r="V741">
        <v>2277.2944000000002</v>
      </c>
      <c r="X741" s="4">
        <v>4</v>
      </c>
      <c r="Y741">
        <v>618.83000000000004</v>
      </c>
      <c r="Z741">
        <v>0.08</v>
      </c>
      <c r="AA741">
        <v>2277.2944000000002</v>
      </c>
    </row>
    <row r="742" spans="1:27" x14ac:dyDescent="0.3">
      <c r="A742" t="s">
        <v>2549</v>
      </c>
      <c r="B742" s="2">
        <v>45313</v>
      </c>
      <c r="C742" t="s">
        <v>330</v>
      </c>
      <c r="D742" t="s">
        <v>1649</v>
      </c>
      <c r="E742" t="s">
        <v>1775</v>
      </c>
      <c r="F742" s="4">
        <v>2</v>
      </c>
      <c r="G742">
        <v>81.16</v>
      </c>
      <c r="H742">
        <v>0.16</v>
      </c>
      <c r="I742" t="s">
        <v>1809</v>
      </c>
      <c r="J742">
        <v>136.34880000000001</v>
      </c>
      <c r="K742" t="s">
        <v>331</v>
      </c>
      <c r="L742">
        <v>43</v>
      </c>
      <c r="M742" t="str">
        <v>Female</v>
      </c>
      <c r="N742" t="str">
        <f>VLOOKUP(C:C,Customer_Dim!B:I,5,1)</f>
        <v>Port Travisstad</v>
      </c>
      <c r="O742" t="str">
        <f>VLOOKUP(C:C,Customer_Dim!B:I,6,1)</f>
        <v>South Carolina</v>
      </c>
      <c r="P742" t="str">
        <f>VLOOKUP(C:C,Customer_Dim!B:I,7,1)</f>
        <v>USA</v>
      </c>
      <c r="Q742" t="str">
        <f>VLOOKUP(C:C,Customer_Dim!B:I,8,1)</f>
        <v>Gold</v>
      </c>
      <c r="S742">
        <v>2</v>
      </c>
      <c r="T742">
        <v>81.16</v>
      </c>
      <c r="U742">
        <v>0.16</v>
      </c>
      <c r="V742">
        <v>136.34880000000001</v>
      </c>
      <c r="X742" s="4">
        <v>2</v>
      </c>
      <c r="Y742">
        <v>81.16</v>
      </c>
      <c r="Z742">
        <v>0.16</v>
      </c>
      <c r="AA742">
        <v>136.34880000000001</v>
      </c>
    </row>
    <row r="743" spans="1:27" x14ac:dyDescent="0.3">
      <c r="A743" t="s">
        <v>2550</v>
      </c>
      <c r="B743" s="2">
        <v>45372</v>
      </c>
      <c r="C743" t="s">
        <v>20</v>
      </c>
      <c r="D743" t="s">
        <v>1703</v>
      </c>
      <c r="E743" t="s">
        <v>1769</v>
      </c>
      <c r="F743" s="4">
        <v>1</v>
      </c>
      <c r="G743">
        <v>431.69</v>
      </c>
      <c r="H743">
        <v>0.09</v>
      </c>
      <c r="I743" t="s">
        <v>1807</v>
      </c>
      <c r="J743">
        <v>392.83789999999999</v>
      </c>
      <c r="K743" t="s">
        <v>3933</v>
      </c>
      <c r="L743">
        <v>59</v>
      </c>
      <c r="M743" t="str">
        <v>Female</v>
      </c>
      <c r="N743" t="str">
        <f>VLOOKUP(C:C,Customer_Dim!B:I,5,1)</f>
        <v>Kylebury</v>
      </c>
      <c r="O743" t="str">
        <f>VLOOKUP(C:C,Customer_Dim!B:I,6,1)</f>
        <v>Alabama</v>
      </c>
      <c r="P743" t="str">
        <f>VLOOKUP(C:C,Customer_Dim!B:I,7,1)</f>
        <v>USA</v>
      </c>
      <c r="Q743" t="str">
        <f>VLOOKUP(C:C,Customer_Dim!B:I,8,1)</f>
        <v>Platinum</v>
      </c>
      <c r="S743">
        <v>1</v>
      </c>
      <c r="T743">
        <v>431.69</v>
      </c>
      <c r="U743">
        <v>0.09</v>
      </c>
      <c r="V743">
        <v>392.83789999999999</v>
      </c>
      <c r="X743" s="4">
        <v>1</v>
      </c>
      <c r="Y743">
        <v>431.69</v>
      </c>
      <c r="Z743">
        <v>0.09</v>
      </c>
      <c r="AA743">
        <v>392.83789999999999</v>
      </c>
    </row>
    <row r="744" spans="1:27" x14ac:dyDescent="0.3">
      <c r="A744" t="s">
        <v>2551</v>
      </c>
      <c r="B744" s="2">
        <v>45648</v>
      </c>
      <c r="C744" t="s">
        <v>1246</v>
      </c>
      <c r="D744" t="s">
        <v>1567</v>
      </c>
      <c r="E744" t="s">
        <v>1756</v>
      </c>
      <c r="F744" s="4">
        <v>3</v>
      </c>
      <c r="G744">
        <v>438.65</v>
      </c>
      <c r="H744">
        <v>0.28999999999999998</v>
      </c>
      <c r="I744" t="s">
        <v>1809</v>
      </c>
      <c r="J744">
        <v>934.32449999999983</v>
      </c>
      <c r="K744" t="s">
        <v>1247</v>
      </c>
      <c r="L744">
        <v>23</v>
      </c>
      <c r="M744" t="str">
        <v>Female</v>
      </c>
      <c r="N744" t="str">
        <f>VLOOKUP(C:C,Customer_Dim!B:I,5,1)</f>
        <v>Garciaview</v>
      </c>
      <c r="O744" t="str">
        <f>VLOOKUP(C:C,Customer_Dim!B:I,6,1)</f>
        <v>Louisiana</v>
      </c>
      <c r="P744" t="str">
        <f>VLOOKUP(C:C,Customer_Dim!B:I,7,1)</f>
        <v>USA</v>
      </c>
      <c r="Q744" t="str">
        <f>VLOOKUP(C:C,Customer_Dim!B:I,8,1)</f>
        <v>Gold</v>
      </c>
      <c r="S744">
        <v>3</v>
      </c>
      <c r="T744">
        <v>438.65</v>
      </c>
      <c r="U744">
        <v>0.28999999999999998</v>
      </c>
      <c r="V744">
        <v>934.32449999999983</v>
      </c>
      <c r="X744" s="4">
        <v>3</v>
      </c>
      <c r="Y744">
        <v>438.65</v>
      </c>
      <c r="Z744">
        <v>0.28999999999999998</v>
      </c>
      <c r="AA744">
        <v>934.32449999999983</v>
      </c>
    </row>
    <row r="745" spans="1:27" x14ac:dyDescent="0.3">
      <c r="A745" t="s">
        <v>2552</v>
      </c>
      <c r="B745" s="2">
        <v>45384</v>
      </c>
      <c r="C745" t="s">
        <v>565</v>
      </c>
      <c r="D745" t="s">
        <v>1689</v>
      </c>
      <c r="E745" t="s">
        <v>1749</v>
      </c>
      <c r="F745" s="4">
        <v>3</v>
      </c>
      <c r="G745">
        <v>339.41</v>
      </c>
      <c r="H745">
        <v>0.26</v>
      </c>
      <c r="I745" t="s">
        <v>1807</v>
      </c>
      <c r="J745">
        <v>753.49019999999996</v>
      </c>
      <c r="K745" t="s">
        <v>566</v>
      </c>
      <c r="L745">
        <v>41</v>
      </c>
      <c r="M745" t="str">
        <v>Female</v>
      </c>
      <c r="N745" t="str">
        <f>VLOOKUP(C:C,Customer_Dim!B:I,5,1)</f>
        <v>Port Richard</v>
      </c>
      <c r="O745" t="str">
        <f>VLOOKUP(C:C,Customer_Dim!B:I,6,1)</f>
        <v>West Virginia</v>
      </c>
      <c r="P745" t="str">
        <f>VLOOKUP(C:C,Customer_Dim!B:I,7,1)</f>
        <v>USA</v>
      </c>
      <c r="Q745" t="str">
        <f>VLOOKUP(C:C,Customer_Dim!B:I,8,1)</f>
        <v>Bronze</v>
      </c>
      <c r="S745">
        <v>3</v>
      </c>
      <c r="T745">
        <v>339.41</v>
      </c>
      <c r="U745">
        <v>0.26</v>
      </c>
      <c r="V745">
        <v>753.49019999999996</v>
      </c>
      <c r="X745" s="4">
        <v>3</v>
      </c>
      <c r="Y745">
        <v>339.41</v>
      </c>
      <c r="Z745">
        <v>0.26</v>
      </c>
      <c r="AA745">
        <v>753.49019999999996</v>
      </c>
    </row>
    <row r="746" spans="1:27" x14ac:dyDescent="0.3">
      <c r="A746" t="s">
        <v>2553</v>
      </c>
      <c r="B746" s="2">
        <v>45687</v>
      </c>
      <c r="C746" t="s">
        <v>1433</v>
      </c>
      <c r="D746" t="s">
        <v>1689</v>
      </c>
      <c r="E746" t="s">
        <v>1769</v>
      </c>
      <c r="F746" s="4">
        <v>4</v>
      </c>
      <c r="G746">
        <v>848.47</v>
      </c>
      <c r="H746">
        <v>0.21</v>
      </c>
      <c r="I746" t="s">
        <v>1812</v>
      </c>
      <c r="J746">
        <v>2681.1651999999999</v>
      </c>
      <c r="K746" t="s">
        <v>1434</v>
      </c>
      <c r="L746">
        <v>42</v>
      </c>
      <c r="M746" t="str">
        <v>Male</v>
      </c>
      <c r="N746" t="str">
        <f>VLOOKUP(C:C,Customer_Dim!B:I,5,1)</f>
        <v>Kanebury</v>
      </c>
      <c r="O746" t="str">
        <f>VLOOKUP(C:C,Customer_Dim!B:I,6,1)</f>
        <v>New Hampshire</v>
      </c>
      <c r="P746" t="str">
        <f>VLOOKUP(C:C,Customer_Dim!B:I,7,1)</f>
        <v>USA</v>
      </c>
      <c r="Q746" t="str">
        <f>VLOOKUP(C:C,Customer_Dim!B:I,8,1)</f>
        <v>Gold</v>
      </c>
      <c r="S746">
        <v>4</v>
      </c>
      <c r="T746">
        <v>848.47</v>
      </c>
      <c r="U746">
        <v>0.21</v>
      </c>
      <c r="V746">
        <v>2681.1651999999999</v>
      </c>
      <c r="X746" s="4">
        <v>4</v>
      </c>
      <c r="Y746">
        <v>848.47</v>
      </c>
      <c r="Z746">
        <v>0.21</v>
      </c>
      <c r="AA746">
        <v>2681.1651999999999</v>
      </c>
    </row>
    <row r="747" spans="1:27" x14ac:dyDescent="0.3">
      <c r="A747" t="s">
        <v>2554</v>
      </c>
      <c r="B747" s="2">
        <v>45747</v>
      </c>
      <c r="C747" t="s">
        <v>625</v>
      </c>
      <c r="D747" t="s">
        <v>1665</v>
      </c>
      <c r="E747" t="s">
        <v>1765</v>
      </c>
      <c r="F747" s="4">
        <v>1</v>
      </c>
      <c r="G747">
        <v>664.87</v>
      </c>
      <c r="H747">
        <v>0.08</v>
      </c>
      <c r="I747" t="s">
        <v>1809</v>
      </c>
      <c r="J747">
        <v>611.68040000000008</v>
      </c>
      <c r="K747" t="s">
        <v>626</v>
      </c>
      <c r="L747">
        <v>38</v>
      </c>
      <c r="M747" t="str">
        <v>Male</v>
      </c>
      <c r="N747" t="str">
        <f>VLOOKUP(C:C,Customer_Dim!B:I,5,1)</f>
        <v>Lake Samanthafort</v>
      </c>
      <c r="O747" t="str">
        <f>VLOOKUP(C:C,Customer_Dim!B:I,6,1)</f>
        <v>Idaho</v>
      </c>
      <c r="P747" t="str">
        <f>VLOOKUP(C:C,Customer_Dim!B:I,7,1)</f>
        <v>USA</v>
      </c>
      <c r="Q747" t="str">
        <f>VLOOKUP(C:C,Customer_Dim!B:I,8,1)</f>
        <v>Gold</v>
      </c>
      <c r="S747">
        <v>1</v>
      </c>
      <c r="T747">
        <v>664.87</v>
      </c>
      <c r="U747">
        <v>0.08</v>
      </c>
      <c r="V747">
        <v>611.68040000000008</v>
      </c>
      <c r="X747" s="4">
        <v>1</v>
      </c>
      <c r="Y747">
        <v>664.87</v>
      </c>
      <c r="Z747">
        <v>0.08</v>
      </c>
      <c r="AA747">
        <v>611.68040000000008</v>
      </c>
    </row>
    <row r="748" spans="1:27" x14ac:dyDescent="0.3">
      <c r="A748" t="s">
        <v>2555</v>
      </c>
      <c r="B748" s="2">
        <v>45687</v>
      </c>
      <c r="C748" t="s">
        <v>348</v>
      </c>
      <c r="D748" t="s">
        <v>1579</v>
      </c>
      <c r="E748" t="s">
        <v>1762</v>
      </c>
      <c r="F748" s="4">
        <v>1</v>
      </c>
      <c r="G748">
        <v>412.11</v>
      </c>
      <c r="H748">
        <v>0.23</v>
      </c>
      <c r="I748" t="s">
        <v>1809</v>
      </c>
      <c r="J748">
        <v>317.32470000000001</v>
      </c>
      <c r="K748" t="s">
        <v>349</v>
      </c>
      <c r="L748">
        <v>53</v>
      </c>
      <c r="M748" t="str">
        <v>Female</v>
      </c>
      <c r="N748" t="str">
        <f>VLOOKUP(C:C,Customer_Dim!B:I,5,1)</f>
        <v>South Dustin</v>
      </c>
      <c r="O748" t="str">
        <f>VLOOKUP(C:C,Customer_Dim!B:I,6,1)</f>
        <v>Tennessee</v>
      </c>
      <c r="P748" t="str">
        <f>VLOOKUP(C:C,Customer_Dim!B:I,7,1)</f>
        <v>USA</v>
      </c>
      <c r="Q748" t="str">
        <f>VLOOKUP(C:C,Customer_Dim!B:I,8,1)</f>
        <v>Silver</v>
      </c>
      <c r="S748">
        <v>1</v>
      </c>
      <c r="T748">
        <v>412.11</v>
      </c>
      <c r="U748">
        <v>0.23</v>
      </c>
      <c r="V748">
        <v>317.32470000000001</v>
      </c>
      <c r="X748" s="4">
        <v>1</v>
      </c>
      <c r="Y748">
        <v>412.11</v>
      </c>
      <c r="Z748">
        <v>0.23</v>
      </c>
      <c r="AA748">
        <v>317.32470000000001</v>
      </c>
    </row>
    <row r="749" spans="1:27" x14ac:dyDescent="0.3">
      <c r="A749" t="s">
        <v>2556</v>
      </c>
      <c r="B749" s="2">
        <v>45916</v>
      </c>
      <c r="C749" t="s">
        <v>417</v>
      </c>
      <c r="D749" t="s">
        <v>1719</v>
      </c>
      <c r="E749" t="s">
        <v>1740</v>
      </c>
      <c r="F749" s="4">
        <v>1</v>
      </c>
      <c r="G749">
        <v>126.09</v>
      </c>
      <c r="H749">
        <v>0.05</v>
      </c>
      <c r="I749" t="s">
        <v>1812</v>
      </c>
      <c r="J749">
        <v>119.7855</v>
      </c>
      <c r="K749" t="s">
        <v>418</v>
      </c>
      <c r="L749">
        <v>40</v>
      </c>
      <c r="M749" t="str">
        <v>Male</v>
      </c>
      <c r="N749" t="str">
        <f>VLOOKUP(C:C,Customer_Dim!B:I,5,1)</f>
        <v>Kathrynport</v>
      </c>
      <c r="O749" t="str">
        <f>VLOOKUP(C:C,Customer_Dim!B:I,6,1)</f>
        <v>North Carolina</v>
      </c>
      <c r="P749" t="str">
        <f>VLOOKUP(C:C,Customer_Dim!B:I,7,1)</f>
        <v>USA</v>
      </c>
      <c r="Q749" t="str">
        <f>VLOOKUP(C:C,Customer_Dim!B:I,8,1)</f>
        <v>Platinum</v>
      </c>
      <c r="S749">
        <v>1</v>
      </c>
      <c r="T749">
        <v>126.09</v>
      </c>
      <c r="U749">
        <v>0.05</v>
      </c>
      <c r="V749">
        <v>119.7855</v>
      </c>
      <c r="X749" s="4">
        <v>1</v>
      </c>
      <c r="Y749">
        <v>126.09</v>
      </c>
      <c r="Z749">
        <v>0.05</v>
      </c>
      <c r="AA749">
        <v>119.7855</v>
      </c>
    </row>
    <row r="750" spans="1:27" x14ac:dyDescent="0.3">
      <c r="A750" t="s">
        <v>2557</v>
      </c>
      <c r="B750" s="2">
        <v>45917</v>
      </c>
      <c r="C750" t="s">
        <v>642</v>
      </c>
      <c r="D750" t="s">
        <v>1665</v>
      </c>
      <c r="E750" t="s">
        <v>1772</v>
      </c>
      <c r="F750" s="4">
        <v>4</v>
      </c>
      <c r="G750">
        <v>602.39</v>
      </c>
      <c r="H750">
        <v>0.19</v>
      </c>
      <c r="I750" t="s">
        <v>1812</v>
      </c>
      <c r="J750">
        <v>1951.7436</v>
      </c>
      <c r="K750" t="s">
        <v>643</v>
      </c>
      <c r="L750">
        <v>46</v>
      </c>
      <c r="M750" t="str">
        <v>Male</v>
      </c>
      <c r="N750" t="str">
        <f>VLOOKUP(C:C,Customer_Dim!B:I,5,1)</f>
        <v>Frostmouth</v>
      </c>
      <c r="O750" t="str">
        <f>VLOOKUP(C:C,Customer_Dim!B:I,6,1)</f>
        <v>Vermont</v>
      </c>
      <c r="P750" t="str">
        <f>VLOOKUP(C:C,Customer_Dim!B:I,7,1)</f>
        <v>USA</v>
      </c>
      <c r="Q750" t="str">
        <f>VLOOKUP(C:C,Customer_Dim!B:I,8,1)</f>
        <v>Bronze</v>
      </c>
      <c r="S750">
        <v>4</v>
      </c>
      <c r="T750">
        <v>602.39</v>
      </c>
      <c r="U750">
        <v>0.19</v>
      </c>
      <c r="V750">
        <v>1951.7436</v>
      </c>
      <c r="X750" s="4">
        <v>4</v>
      </c>
      <c r="Y750">
        <v>602.39</v>
      </c>
      <c r="Z750">
        <v>0.19</v>
      </c>
      <c r="AA750">
        <v>1951.7436</v>
      </c>
    </row>
    <row r="751" spans="1:27" x14ac:dyDescent="0.3">
      <c r="A751" t="s">
        <v>2558</v>
      </c>
      <c r="B751" s="2">
        <v>45941</v>
      </c>
      <c r="C751" t="s">
        <v>1012</v>
      </c>
      <c r="D751" t="s">
        <v>1695</v>
      </c>
      <c r="E751" t="s">
        <v>1749</v>
      </c>
      <c r="F751" s="4">
        <v>3</v>
      </c>
      <c r="G751">
        <v>447.69</v>
      </c>
      <c r="H751">
        <v>0.02</v>
      </c>
      <c r="I751" t="s">
        <v>1812</v>
      </c>
      <c r="J751">
        <v>1316.2085999999999</v>
      </c>
      <c r="K751" t="s">
        <v>1013</v>
      </c>
      <c r="L751">
        <v>58</v>
      </c>
      <c r="M751" t="str">
        <v>Female</v>
      </c>
      <c r="N751" t="str">
        <f>VLOOKUP(C:C,Customer_Dim!B:I,5,1)</f>
        <v>East Matthew</v>
      </c>
      <c r="O751" t="str">
        <f>VLOOKUP(C:C,Customer_Dim!B:I,6,1)</f>
        <v>Wisconsin</v>
      </c>
      <c r="P751" t="str">
        <f>VLOOKUP(C:C,Customer_Dim!B:I,7,1)</f>
        <v>USA</v>
      </c>
      <c r="Q751" t="str">
        <f>VLOOKUP(C:C,Customer_Dim!B:I,8,1)</f>
        <v>Bronze</v>
      </c>
      <c r="S751">
        <v>3</v>
      </c>
      <c r="T751">
        <v>447.69</v>
      </c>
      <c r="U751">
        <v>0.02</v>
      </c>
      <c r="V751">
        <v>1316.2085999999999</v>
      </c>
      <c r="X751" s="4">
        <v>3</v>
      </c>
      <c r="Y751">
        <v>447.69</v>
      </c>
      <c r="Z751">
        <v>0.02</v>
      </c>
      <c r="AA751">
        <v>1316.2085999999999</v>
      </c>
    </row>
    <row r="752" spans="1:27" x14ac:dyDescent="0.3">
      <c r="A752" t="s">
        <v>2559</v>
      </c>
      <c r="B752" s="2">
        <v>45778</v>
      </c>
      <c r="C752" t="s">
        <v>788</v>
      </c>
      <c r="D752" t="s">
        <v>1599</v>
      </c>
      <c r="E752" t="s">
        <v>1749</v>
      </c>
      <c r="F752" s="4">
        <v>3</v>
      </c>
      <c r="G752">
        <v>35.159999999999997</v>
      </c>
      <c r="H752">
        <v>0.04</v>
      </c>
      <c r="I752" t="s">
        <v>1812</v>
      </c>
      <c r="J752">
        <v>101.2608</v>
      </c>
      <c r="K752" t="s">
        <v>789</v>
      </c>
      <c r="L752">
        <v>41</v>
      </c>
      <c r="M752" t="str">
        <v>Female</v>
      </c>
      <c r="N752" t="str">
        <f>VLOOKUP(C:C,Customer_Dim!B:I,5,1)</f>
        <v>Lake Timothy</v>
      </c>
      <c r="O752" t="str">
        <f>VLOOKUP(C:C,Customer_Dim!B:I,6,1)</f>
        <v>Nevada</v>
      </c>
      <c r="P752" t="str">
        <f>VLOOKUP(C:C,Customer_Dim!B:I,7,1)</f>
        <v>USA</v>
      </c>
      <c r="Q752" t="str">
        <f>VLOOKUP(C:C,Customer_Dim!B:I,8,1)</f>
        <v>Gold</v>
      </c>
      <c r="S752">
        <v>3</v>
      </c>
      <c r="T752">
        <v>35.159999999999997</v>
      </c>
      <c r="U752">
        <v>0.04</v>
      </c>
      <c r="V752">
        <v>101.2608</v>
      </c>
      <c r="X752" s="4">
        <v>3</v>
      </c>
      <c r="Y752">
        <v>35.159999999999997</v>
      </c>
      <c r="Z752">
        <v>0.04</v>
      </c>
      <c r="AA752">
        <v>101.2608</v>
      </c>
    </row>
    <row r="753" spans="1:27" x14ac:dyDescent="0.3">
      <c r="A753" t="s">
        <v>2560</v>
      </c>
      <c r="B753" s="2">
        <v>45740</v>
      </c>
      <c r="C753" t="s">
        <v>1027</v>
      </c>
      <c r="D753" t="s">
        <v>1675</v>
      </c>
      <c r="E753" t="s">
        <v>1775</v>
      </c>
      <c r="F753" s="4">
        <v>2</v>
      </c>
      <c r="G753">
        <v>838.59</v>
      </c>
      <c r="H753">
        <v>0.18</v>
      </c>
      <c r="I753" t="s">
        <v>1812</v>
      </c>
      <c r="J753">
        <v>1375.2876000000001</v>
      </c>
      <c r="K753" t="s">
        <v>1028</v>
      </c>
      <c r="L753">
        <v>38</v>
      </c>
      <c r="M753" t="str">
        <v>Female</v>
      </c>
      <c r="N753" t="str">
        <f>VLOOKUP(C:C,Customer_Dim!B:I,5,1)</f>
        <v>South Jasontown</v>
      </c>
      <c r="O753" t="str">
        <f>VLOOKUP(C:C,Customer_Dim!B:I,6,1)</f>
        <v>Illinois</v>
      </c>
      <c r="P753" t="str">
        <f>VLOOKUP(C:C,Customer_Dim!B:I,7,1)</f>
        <v>USA</v>
      </c>
      <c r="Q753" t="str">
        <f>VLOOKUP(C:C,Customer_Dim!B:I,8,1)</f>
        <v>Platinum</v>
      </c>
      <c r="S753">
        <v>2</v>
      </c>
      <c r="T753">
        <v>838.59</v>
      </c>
      <c r="U753">
        <v>0.18</v>
      </c>
      <c r="V753">
        <v>1375.2876000000001</v>
      </c>
      <c r="X753" s="4">
        <v>2</v>
      </c>
      <c r="Y753">
        <v>838.59</v>
      </c>
      <c r="Z753">
        <v>0.18</v>
      </c>
      <c r="AA753">
        <v>1375.2876000000001</v>
      </c>
    </row>
    <row r="754" spans="1:27" x14ac:dyDescent="0.3">
      <c r="A754" t="s">
        <v>2561</v>
      </c>
      <c r="B754" s="2">
        <v>45598</v>
      </c>
      <c r="C754" t="s">
        <v>316</v>
      </c>
      <c r="D754" t="s">
        <v>1649</v>
      </c>
      <c r="E754" t="s">
        <v>1759</v>
      </c>
      <c r="F754" s="4">
        <v>4</v>
      </c>
      <c r="G754">
        <v>867.94</v>
      </c>
      <c r="H754">
        <v>0.26</v>
      </c>
      <c r="I754" t="s">
        <v>1809</v>
      </c>
      <c r="J754">
        <v>2569.1024000000002</v>
      </c>
      <c r="K754" t="s">
        <v>317</v>
      </c>
      <c r="L754">
        <v>58</v>
      </c>
      <c r="M754" t="str">
        <v>Female</v>
      </c>
      <c r="N754" t="str">
        <f>VLOOKUP(C:C,Customer_Dim!B:I,5,1)</f>
        <v>New Gabrielleville</v>
      </c>
      <c r="O754" t="str">
        <f>VLOOKUP(C:C,Customer_Dim!B:I,6,1)</f>
        <v>Wisconsin</v>
      </c>
      <c r="P754" t="str">
        <f>VLOOKUP(C:C,Customer_Dim!B:I,7,1)</f>
        <v>USA</v>
      </c>
      <c r="Q754" t="str">
        <f>VLOOKUP(C:C,Customer_Dim!B:I,8,1)</f>
        <v>Platinum</v>
      </c>
      <c r="S754">
        <v>4</v>
      </c>
      <c r="T754">
        <v>867.94</v>
      </c>
      <c r="U754">
        <v>0.26</v>
      </c>
      <c r="V754">
        <v>2569.1024000000002</v>
      </c>
      <c r="X754" s="4">
        <v>4</v>
      </c>
      <c r="Y754">
        <v>867.94</v>
      </c>
      <c r="Z754">
        <v>0.26</v>
      </c>
      <c r="AA754">
        <v>2569.1024000000002</v>
      </c>
    </row>
    <row r="755" spans="1:27" x14ac:dyDescent="0.3">
      <c r="A755" t="s">
        <v>2562</v>
      </c>
      <c r="B755" s="2">
        <v>45591</v>
      </c>
      <c r="C755" t="s">
        <v>637</v>
      </c>
      <c r="D755" t="s">
        <v>1609</v>
      </c>
      <c r="E755" t="s">
        <v>1790</v>
      </c>
      <c r="F755" s="4">
        <v>1</v>
      </c>
      <c r="G755">
        <v>623.88</v>
      </c>
      <c r="H755">
        <v>0.25</v>
      </c>
      <c r="I755" t="s">
        <v>1807</v>
      </c>
      <c r="J755">
        <v>467.91</v>
      </c>
      <c r="K755" t="s">
        <v>638</v>
      </c>
      <c r="L755">
        <v>45</v>
      </c>
      <c r="M755" t="str">
        <v>Female</v>
      </c>
      <c r="N755" t="str">
        <f>VLOOKUP(C:C,Customer_Dim!B:I,5,1)</f>
        <v>West John</v>
      </c>
      <c r="O755" t="str">
        <f>VLOOKUP(C:C,Customer_Dim!B:I,6,1)</f>
        <v>Alaska</v>
      </c>
      <c r="P755" t="str">
        <f>VLOOKUP(C:C,Customer_Dim!B:I,7,1)</f>
        <v>USA</v>
      </c>
      <c r="Q755" t="str">
        <f>VLOOKUP(C:C,Customer_Dim!B:I,8,1)</f>
        <v>Platinum</v>
      </c>
      <c r="S755">
        <v>1</v>
      </c>
      <c r="T755">
        <v>623.88</v>
      </c>
      <c r="U755">
        <v>0.25</v>
      </c>
      <c r="V755">
        <v>467.91</v>
      </c>
      <c r="X755" s="4">
        <v>1</v>
      </c>
      <c r="Y755">
        <v>623.88</v>
      </c>
      <c r="Z755">
        <v>0.25</v>
      </c>
      <c r="AA755">
        <v>467.91</v>
      </c>
    </row>
    <row r="756" spans="1:27" x14ac:dyDescent="0.3">
      <c r="A756" t="s">
        <v>2563</v>
      </c>
      <c r="B756" s="2">
        <v>45546</v>
      </c>
      <c r="C756" t="s">
        <v>579</v>
      </c>
      <c r="D756" t="s">
        <v>1615</v>
      </c>
      <c r="E756" t="s">
        <v>1782</v>
      </c>
      <c r="F756" s="4">
        <v>2</v>
      </c>
      <c r="G756">
        <v>567.95000000000005</v>
      </c>
      <c r="H756">
        <v>0.12</v>
      </c>
      <c r="I756" t="s">
        <v>1809</v>
      </c>
      <c r="J756">
        <v>999.5920000000001</v>
      </c>
      <c r="K756" t="s">
        <v>580</v>
      </c>
      <c r="L756">
        <v>33</v>
      </c>
      <c r="M756" t="str">
        <v>Female</v>
      </c>
      <c r="N756" t="str">
        <f>VLOOKUP(C:C,Customer_Dim!B:I,5,1)</f>
        <v>Butlerberg</v>
      </c>
      <c r="O756" t="str">
        <f>VLOOKUP(C:C,Customer_Dim!B:I,6,1)</f>
        <v>Kentucky</v>
      </c>
      <c r="P756" t="str">
        <f>VLOOKUP(C:C,Customer_Dim!B:I,7,1)</f>
        <v>USA</v>
      </c>
      <c r="Q756" t="str">
        <f>VLOOKUP(C:C,Customer_Dim!B:I,8,1)</f>
        <v>Platinum</v>
      </c>
      <c r="S756">
        <v>2</v>
      </c>
      <c r="T756">
        <v>567.95000000000005</v>
      </c>
      <c r="U756">
        <v>0.12</v>
      </c>
      <c r="V756">
        <v>999.5920000000001</v>
      </c>
      <c r="X756" s="4">
        <v>2</v>
      </c>
      <c r="Y756">
        <v>567.95000000000005</v>
      </c>
      <c r="Z756">
        <v>0.12</v>
      </c>
      <c r="AA756">
        <v>999.5920000000001</v>
      </c>
    </row>
    <row r="757" spans="1:27" x14ac:dyDescent="0.3">
      <c r="A757" t="s">
        <v>2564</v>
      </c>
      <c r="B757" s="2">
        <v>45483</v>
      </c>
      <c r="C757" t="s">
        <v>1007</v>
      </c>
      <c r="D757" t="s">
        <v>1593</v>
      </c>
      <c r="E757" t="s">
        <v>1793</v>
      </c>
      <c r="F757" s="4">
        <v>2</v>
      </c>
      <c r="G757">
        <v>671.69</v>
      </c>
      <c r="H757">
        <v>0.19</v>
      </c>
      <c r="I757" t="s">
        <v>1807</v>
      </c>
      <c r="J757">
        <v>1088.1378</v>
      </c>
      <c r="K757" t="s">
        <v>1008</v>
      </c>
      <c r="L757">
        <v>58</v>
      </c>
      <c r="M757" t="str">
        <v>Male</v>
      </c>
      <c r="N757" t="str">
        <f>VLOOKUP(C:C,Customer_Dim!B:I,5,1)</f>
        <v>Whiteport</v>
      </c>
      <c r="O757" t="str">
        <f>VLOOKUP(C:C,Customer_Dim!B:I,6,1)</f>
        <v>North Carolina</v>
      </c>
      <c r="P757" t="str">
        <f>VLOOKUP(C:C,Customer_Dim!B:I,7,1)</f>
        <v>USA</v>
      </c>
      <c r="Q757" t="str">
        <f>VLOOKUP(C:C,Customer_Dim!B:I,8,1)</f>
        <v>Platinum</v>
      </c>
      <c r="S757">
        <v>2</v>
      </c>
      <c r="T757">
        <v>671.69</v>
      </c>
      <c r="U757">
        <v>0.19</v>
      </c>
      <c r="V757">
        <v>1088.1378</v>
      </c>
      <c r="X757" s="4">
        <v>2</v>
      </c>
      <c r="Y757">
        <v>671.69</v>
      </c>
      <c r="Z757">
        <v>0.19</v>
      </c>
      <c r="AA757">
        <v>1088.1378</v>
      </c>
    </row>
    <row r="758" spans="1:27" x14ac:dyDescent="0.3">
      <c r="A758" t="s">
        <v>2565</v>
      </c>
      <c r="B758" s="2">
        <v>45786</v>
      </c>
      <c r="C758" t="s">
        <v>666</v>
      </c>
      <c r="D758" t="s">
        <v>1540</v>
      </c>
      <c r="E758" t="s">
        <v>1762</v>
      </c>
      <c r="F758" s="4">
        <v>2</v>
      </c>
      <c r="G758">
        <v>257.95999999999998</v>
      </c>
      <c r="H758">
        <v>0.21</v>
      </c>
      <c r="I758" t="s">
        <v>1809</v>
      </c>
      <c r="J758">
        <v>407.57679999999999</v>
      </c>
      <c r="K758" t="s">
        <v>667</v>
      </c>
      <c r="L758">
        <v>28</v>
      </c>
      <c r="M758" t="str">
        <v>Female</v>
      </c>
      <c r="N758" t="str">
        <f>VLOOKUP(C:C,Customer_Dim!B:I,5,1)</f>
        <v>Brownshire</v>
      </c>
      <c r="O758" t="str">
        <f>VLOOKUP(C:C,Customer_Dim!B:I,6,1)</f>
        <v>Tennessee</v>
      </c>
      <c r="P758" t="str">
        <f>VLOOKUP(C:C,Customer_Dim!B:I,7,1)</f>
        <v>USA</v>
      </c>
      <c r="Q758" t="str">
        <f>VLOOKUP(C:C,Customer_Dim!B:I,8,1)</f>
        <v>Silver</v>
      </c>
      <c r="S758">
        <v>2</v>
      </c>
      <c r="T758">
        <v>257.95999999999998</v>
      </c>
      <c r="U758">
        <v>0.21</v>
      </c>
      <c r="V758">
        <v>407.57679999999999</v>
      </c>
      <c r="X758" s="4">
        <v>2</v>
      </c>
      <c r="Y758">
        <v>257.95999999999998</v>
      </c>
      <c r="Z758">
        <v>0.21</v>
      </c>
      <c r="AA758">
        <v>407.57679999999999</v>
      </c>
    </row>
    <row r="759" spans="1:27" x14ac:dyDescent="0.3">
      <c r="A759" t="s">
        <v>2566</v>
      </c>
      <c r="B759" s="2">
        <v>45475</v>
      </c>
      <c r="C759" t="s">
        <v>660</v>
      </c>
      <c r="D759" t="s">
        <v>1727</v>
      </c>
      <c r="E759" t="s">
        <v>1796</v>
      </c>
      <c r="F759" s="4">
        <v>4</v>
      </c>
      <c r="G759">
        <v>281.48</v>
      </c>
      <c r="H759">
        <v>0.27</v>
      </c>
      <c r="I759" t="s">
        <v>1809</v>
      </c>
      <c r="J759">
        <v>821.92160000000001</v>
      </c>
      <c r="K759" t="s">
        <v>661</v>
      </c>
      <c r="L759">
        <v>44</v>
      </c>
      <c r="M759" t="str">
        <v>Female</v>
      </c>
      <c r="N759" t="str">
        <f>VLOOKUP(C:C,Customer_Dim!B:I,5,1)</f>
        <v>New Dianebury</v>
      </c>
      <c r="O759" t="str">
        <f>VLOOKUP(C:C,Customer_Dim!B:I,6,1)</f>
        <v>Virginia</v>
      </c>
      <c r="P759" t="str">
        <f>VLOOKUP(C:C,Customer_Dim!B:I,7,1)</f>
        <v>USA</v>
      </c>
      <c r="Q759" t="str">
        <f>VLOOKUP(C:C,Customer_Dim!B:I,8,1)</f>
        <v>Platinum</v>
      </c>
      <c r="S759">
        <v>4</v>
      </c>
      <c r="T759">
        <v>281.48</v>
      </c>
      <c r="U759">
        <v>0.27</v>
      </c>
      <c r="V759">
        <v>821.92160000000001</v>
      </c>
      <c r="X759" s="4">
        <v>4</v>
      </c>
      <c r="Y759">
        <v>281.48</v>
      </c>
      <c r="Z759">
        <v>0.27</v>
      </c>
      <c r="AA759">
        <v>821.92160000000001</v>
      </c>
    </row>
    <row r="760" spans="1:27" x14ac:dyDescent="0.3">
      <c r="A760" t="s">
        <v>2567</v>
      </c>
      <c r="B760" s="2">
        <v>45470</v>
      </c>
      <c r="C760" t="s">
        <v>986</v>
      </c>
      <c r="D760" t="s">
        <v>1571</v>
      </c>
      <c r="E760" t="s">
        <v>1775</v>
      </c>
      <c r="F760" s="4">
        <v>1</v>
      </c>
      <c r="G760">
        <v>202.13</v>
      </c>
      <c r="H760">
        <v>0.13</v>
      </c>
      <c r="I760" t="s">
        <v>1812</v>
      </c>
      <c r="J760">
        <v>175.85310000000001</v>
      </c>
      <c r="K760" t="s">
        <v>987</v>
      </c>
      <c r="L760">
        <v>64</v>
      </c>
      <c r="M760" t="str">
        <v>Female</v>
      </c>
      <c r="N760" t="str">
        <f>VLOOKUP(C:C,Customer_Dim!B:I,5,1)</f>
        <v>Lake James</v>
      </c>
      <c r="O760" t="str">
        <f>VLOOKUP(C:C,Customer_Dim!B:I,6,1)</f>
        <v>Maryland</v>
      </c>
      <c r="P760" t="str">
        <f>VLOOKUP(C:C,Customer_Dim!B:I,7,1)</f>
        <v>USA</v>
      </c>
      <c r="Q760" t="str">
        <f>VLOOKUP(C:C,Customer_Dim!B:I,8,1)</f>
        <v>Gold</v>
      </c>
      <c r="S760">
        <v>1</v>
      </c>
      <c r="T760">
        <v>202.13</v>
      </c>
      <c r="U760">
        <v>0.13</v>
      </c>
      <c r="V760">
        <v>175.85310000000001</v>
      </c>
      <c r="X760" s="4">
        <v>1</v>
      </c>
      <c r="Y760">
        <v>202.13</v>
      </c>
      <c r="Z760">
        <v>0.13</v>
      </c>
      <c r="AA760">
        <v>175.85310000000001</v>
      </c>
    </row>
    <row r="761" spans="1:27" x14ac:dyDescent="0.3">
      <c r="A761" t="s">
        <v>2568</v>
      </c>
      <c r="B761" s="2">
        <v>45243</v>
      </c>
      <c r="C761" t="s">
        <v>856</v>
      </c>
      <c r="D761" t="s">
        <v>1679</v>
      </c>
      <c r="E761" t="s">
        <v>1756</v>
      </c>
      <c r="F761" s="4">
        <v>1</v>
      </c>
      <c r="G761">
        <v>370.66</v>
      </c>
      <c r="H761">
        <v>0.01</v>
      </c>
      <c r="I761" t="s">
        <v>1809</v>
      </c>
      <c r="J761">
        <v>366.95339999999999</v>
      </c>
      <c r="K761" t="s">
        <v>3942</v>
      </c>
      <c r="L761">
        <v>48</v>
      </c>
      <c r="M761" t="str">
        <v>Female</v>
      </c>
      <c r="N761" t="str">
        <f>VLOOKUP(C:C,Customer_Dim!B:I,5,1)</f>
        <v>North Stephanie</v>
      </c>
      <c r="O761" t="str">
        <f>VLOOKUP(C:C,Customer_Dim!B:I,6,1)</f>
        <v>Nebraska</v>
      </c>
      <c r="P761" t="str">
        <f>VLOOKUP(C:C,Customer_Dim!B:I,7,1)</f>
        <v>USA</v>
      </c>
      <c r="Q761" t="str">
        <f>VLOOKUP(C:C,Customer_Dim!B:I,8,1)</f>
        <v>Platinum</v>
      </c>
      <c r="S761">
        <v>1</v>
      </c>
      <c r="T761">
        <v>370.66</v>
      </c>
      <c r="U761">
        <v>0.01</v>
      </c>
      <c r="V761">
        <v>366.95339999999999</v>
      </c>
      <c r="X761" s="4">
        <v>1</v>
      </c>
      <c r="Y761">
        <v>370.66</v>
      </c>
      <c r="Z761">
        <v>0.01</v>
      </c>
      <c r="AA761">
        <v>366.95339999999999</v>
      </c>
    </row>
    <row r="762" spans="1:27" x14ac:dyDescent="0.3">
      <c r="A762" t="s">
        <v>2569</v>
      </c>
      <c r="B762" s="2">
        <v>45341</v>
      </c>
      <c r="C762" t="s">
        <v>32</v>
      </c>
      <c r="D762" t="s">
        <v>1653</v>
      </c>
      <c r="E762" t="s">
        <v>1777</v>
      </c>
      <c r="F762" s="4">
        <v>4</v>
      </c>
      <c r="G762">
        <v>731.53</v>
      </c>
      <c r="H762">
        <v>0.12</v>
      </c>
      <c r="I762" t="s">
        <v>1807</v>
      </c>
      <c r="J762">
        <v>2574.9856</v>
      </c>
      <c r="K762" t="s">
        <v>33</v>
      </c>
      <c r="L762">
        <v>29</v>
      </c>
      <c r="M762" t="str">
        <v>Female</v>
      </c>
      <c r="N762" t="str">
        <f>VLOOKUP(C:C,Customer_Dim!B:I,5,1)</f>
        <v>East Amandamouth</v>
      </c>
      <c r="O762" t="str">
        <f>VLOOKUP(C:C,Customer_Dim!B:I,6,1)</f>
        <v>Oregon</v>
      </c>
      <c r="P762" t="str">
        <f>VLOOKUP(C:C,Customer_Dim!B:I,7,1)</f>
        <v>USA</v>
      </c>
      <c r="Q762" t="str">
        <f>VLOOKUP(C:C,Customer_Dim!B:I,8,1)</f>
        <v>Bronze</v>
      </c>
      <c r="S762">
        <v>4</v>
      </c>
      <c r="T762">
        <v>731.53</v>
      </c>
      <c r="U762">
        <v>0.12</v>
      </c>
      <c r="V762">
        <v>2574.9856</v>
      </c>
      <c r="X762" s="4">
        <v>4</v>
      </c>
      <c r="Y762">
        <v>731.53</v>
      </c>
      <c r="Z762">
        <v>0.12</v>
      </c>
      <c r="AA762">
        <v>2574.9856</v>
      </c>
    </row>
    <row r="763" spans="1:27" x14ac:dyDescent="0.3">
      <c r="A763" t="s">
        <v>2570</v>
      </c>
      <c r="B763" s="2">
        <v>45371</v>
      </c>
      <c r="C763" t="s">
        <v>545</v>
      </c>
      <c r="D763" t="s">
        <v>1687</v>
      </c>
      <c r="E763" t="s">
        <v>1740</v>
      </c>
      <c r="F763" s="4">
        <v>3</v>
      </c>
      <c r="G763">
        <v>468.25</v>
      </c>
      <c r="H763">
        <v>7.0000000000000007E-2</v>
      </c>
      <c r="I763" t="s">
        <v>1809</v>
      </c>
      <c r="J763">
        <v>1306.4175</v>
      </c>
      <c r="K763" t="s">
        <v>546</v>
      </c>
      <c r="L763">
        <v>25</v>
      </c>
      <c r="M763" t="str">
        <v>Female</v>
      </c>
      <c r="N763" t="str">
        <f>VLOOKUP(C:C,Customer_Dim!B:I,5,1)</f>
        <v>Carolview</v>
      </c>
      <c r="O763" t="str">
        <f>VLOOKUP(C:C,Customer_Dim!B:I,6,1)</f>
        <v>Illinois</v>
      </c>
      <c r="P763" t="str">
        <f>VLOOKUP(C:C,Customer_Dim!B:I,7,1)</f>
        <v>USA</v>
      </c>
      <c r="Q763" t="str">
        <f>VLOOKUP(C:C,Customer_Dim!B:I,8,1)</f>
        <v>Platinum</v>
      </c>
      <c r="S763">
        <v>3</v>
      </c>
      <c r="T763">
        <v>468.25</v>
      </c>
      <c r="U763">
        <v>7.0000000000000007E-2</v>
      </c>
      <c r="V763">
        <v>1306.4175</v>
      </c>
      <c r="X763" s="4">
        <v>3</v>
      </c>
      <c r="Y763">
        <v>468.25</v>
      </c>
      <c r="Z763">
        <v>7.0000000000000007E-2</v>
      </c>
      <c r="AA763">
        <v>1306.4175</v>
      </c>
    </row>
    <row r="764" spans="1:27" x14ac:dyDescent="0.3">
      <c r="A764" t="s">
        <v>2571</v>
      </c>
      <c r="B764" s="2">
        <v>45360</v>
      </c>
      <c r="C764" t="s">
        <v>14</v>
      </c>
      <c r="D764" t="s">
        <v>1665</v>
      </c>
      <c r="E764" t="s">
        <v>1735</v>
      </c>
      <c r="F764" s="4">
        <v>1</v>
      </c>
      <c r="G764">
        <v>928.72</v>
      </c>
      <c r="H764">
        <v>0.1</v>
      </c>
      <c r="I764" t="s">
        <v>1812</v>
      </c>
      <c r="J764">
        <v>835.84800000000007</v>
      </c>
      <c r="K764" t="s">
        <v>15</v>
      </c>
      <c r="L764">
        <v>29</v>
      </c>
      <c r="M764" t="str">
        <v>Female</v>
      </c>
      <c r="N764" t="str">
        <f>VLOOKUP(C:C,Customer_Dim!B:I,5,1)</f>
        <v>Phillipsmouth</v>
      </c>
      <c r="O764" t="str">
        <f>VLOOKUP(C:C,Customer_Dim!B:I,6,1)</f>
        <v>North Dakota</v>
      </c>
      <c r="P764" t="str">
        <f>VLOOKUP(C:C,Customer_Dim!B:I,7,1)</f>
        <v>USA</v>
      </c>
      <c r="Q764" t="str">
        <f>VLOOKUP(C:C,Customer_Dim!B:I,8,1)</f>
        <v>Platinum</v>
      </c>
      <c r="S764">
        <v>1</v>
      </c>
      <c r="T764">
        <v>928.72</v>
      </c>
      <c r="U764">
        <v>0.1</v>
      </c>
      <c r="V764">
        <v>835.84800000000007</v>
      </c>
      <c r="X764" s="4">
        <v>1</v>
      </c>
      <c r="Y764">
        <v>928.72</v>
      </c>
      <c r="Z764">
        <v>0.1</v>
      </c>
      <c r="AA764">
        <v>835.84800000000007</v>
      </c>
    </row>
    <row r="765" spans="1:27" x14ac:dyDescent="0.3">
      <c r="A765" t="s">
        <v>2572</v>
      </c>
      <c r="B765" s="2">
        <v>45499</v>
      </c>
      <c r="C765" t="s">
        <v>355</v>
      </c>
      <c r="D765" t="s">
        <v>1536</v>
      </c>
      <c r="E765" t="s">
        <v>1793</v>
      </c>
      <c r="F765" s="4">
        <v>3</v>
      </c>
      <c r="G765">
        <v>217.22</v>
      </c>
      <c r="H765">
        <v>0.06</v>
      </c>
      <c r="I765" t="s">
        <v>1809</v>
      </c>
      <c r="J765">
        <v>612.56039999999996</v>
      </c>
      <c r="K765" t="s">
        <v>356</v>
      </c>
      <c r="L765">
        <v>34</v>
      </c>
      <c r="M765" t="str">
        <v>Female</v>
      </c>
      <c r="N765" t="str">
        <f>VLOOKUP(C:C,Customer_Dim!B:I,5,1)</f>
        <v>Singletonmouth</v>
      </c>
      <c r="O765" t="str">
        <f>VLOOKUP(C:C,Customer_Dim!B:I,6,1)</f>
        <v>Utah</v>
      </c>
      <c r="P765" t="str">
        <f>VLOOKUP(C:C,Customer_Dim!B:I,7,1)</f>
        <v>USA</v>
      </c>
      <c r="Q765" t="str">
        <f>VLOOKUP(C:C,Customer_Dim!B:I,8,1)</f>
        <v>Gold</v>
      </c>
      <c r="S765">
        <v>3</v>
      </c>
      <c r="T765">
        <v>217.22</v>
      </c>
      <c r="U765">
        <v>0.06</v>
      </c>
      <c r="V765">
        <v>612.56039999999996</v>
      </c>
      <c r="X765" s="4">
        <v>3</v>
      </c>
      <c r="Y765">
        <v>217.22</v>
      </c>
      <c r="Z765">
        <v>0.06</v>
      </c>
      <c r="AA765">
        <v>612.56039999999996</v>
      </c>
    </row>
    <row r="766" spans="1:27" x14ac:dyDescent="0.3">
      <c r="A766" t="s">
        <v>2573</v>
      </c>
      <c r="B766" s="2">
        <v>45745</v>
      </c>
      <c r="C766" t="s">
        <v>1246</v>
      </c>
      <c r="D766" t="s">
        <v>1579</v>
      </c>
      <c r="E766" t="s">
        <v>1749</v>
      </c>
      <c r="F766" s="4">
        <v>1</v>
      </c>
      <c r="G766">
        <v>387.99</v>
      </c>
      <c r="H766">
        <v>0.3</v>
      </c>
      <c r="I766" t="s">
        <v>1807</v>
      </c>
      <c r="J766">
        <v>271.59300000000002</v>
      </c>
      <c r="K766" t="s">
        <v>1247</v>
      </c>
      <c r="L766">
        <v>23</v>
      </c>
      <c r="M766" t="str">
        <v>Female</v>
      </c>
      <c r="N766" t="str">
        <f>VLOOKUP(C:C,Customer_Dim!B:I,5,1)</f>
        <v>Garciaview</v>
      </c>
      <c r="O766" t="str">
        <f>VLOOKUP(C:C,Customer_Dim!B:I,6,1)</f>
        <v>Louisiana</v>
      </c>
      <c r="P766" t="str">
        <f>VLOOKUP(C:C,Customer_Dim!B:I,7,1)</f>
        <v>USA</v>
      </c>
      <c r="Q766" t="str">
        <f>VLOOKUP(C:C,Customer_Dim!B:I,8,1)</f>
        <v>Gold</v>
      </c>
      <c r="S766">
        <v>1</v>
      </c>
      <c r="T766">
        <v>387.99</v>
      </c>
      <c r="U766">
        <v>0.3</v>
      </c>
      <c r="V766">
        <v>271.59300000000002</v>
      </c>
      <c r="X766" s="4">
        <v>1</v>
      </c>
      <c r="Y766">
        <v>387.99</v>
      </c>
      <c r="Z766">
        <v>0.3</v>
      </c>
      <c r="AA766">
        <v>271.59300000000002</v>
      </c>
    </row>
    <row r="767" spans="1:27" x14ac:dyDescent="0.3">
      <c r="A767" t="s">
        <v>2574</v>
      </c>
      <c r="B767" s="2">
        <v>45718</v>
      </c>
      <c r="C767" t="s">
        <v>1450</v>
      </c>
      <c r="D767" t="s">
        <v>1567</v>
      </c>
      <c r="E767" t="s">
        <v>1759</v>
      </c>
      <c r="F767" s="4">
        <v>4</v>
      </c>
      <c r="G767">
        <v>186.24</v>
      </c>
      <c r="H767">
        <v>0.23</v>
      </c>
      <c r="I767" t="s">
        <v>1807</v>
      </c>
      <c r="J767">
        <v>573.61920000000009</v>
      </c>
      <c r="K767" t="s">
        <v>1451</v>
      </c>
      <c r="L767">
        <v>41</v>
      </c>
      <c r="M767" t="str">
        <v>Female</v>
      </c>
      <c r="N767" t="str">
        <f>VLOOKUP(C:C,Customer_Dim!B:I,5,1)</f>
        <v>Anthonymouth</v>
      </c>
      <c r="O767" t="str">
        <f>VLOOKUP(C:C,Customer_Dim!B:I,6,1)</f>
        <v>Oklahoma</v>
      </c>
      <c r="P767" t="str">
        <f>VLOOKUP(C:C,Customer_Dim!B:I,7,1)</f>
        <v>USA</v>
      </c>
      <c r="Q767" t="str">
        <f>VLOOKUP(C:C,Customer_Dim!B:I,8,1)</f>
        <v>Gold</v>
      </c>
      <c r="S767">
        <v>4</v>
      </c>
      <c r="T767">
        <v>186.24</v>
      </c>
      <c r="U767">
        <v>0.23</v>
      </c>
      <c r="V767">
        <v>573.61920000000009</v>
      </c>
      <c r="X767" s="4">
        <v>4</v>
      </c>
      <c r="Y767">
        <v>186.24</v>
      </c>
      <c r="Z767">
        <v>0.23</v>
      </c>
      <c r="AA767">
        <v>573.61920000000009</v>
      </c>
    </row>
    <row r="768" spans="1:27" x14ac:dyDescent="0.3">
      <c r="A768" t="s">
        <v>2575</v>
      </c>
      <c r="B768" s="2">
        <v>45454</v>
      </c>
      <c r="C768" t="s">
        <v>928</v>
      </c>
      <c r="D768" t="s">
        <v>1611</v>
      </c>
      <c r="E768" t="s">
        <v>1765</v>
      </c>
      <c r="F768" s="4">
        <v>4</v>
      </c>
      <c r="G768">
        <v>609.05999999999995</v>
      </c>
      <c r="H768">
        <v>0.22</v>
      </c>
      <c r="I768" t="s">
        <v>1812</v>
      </c>
      <c r="J768">
        <v>1900.2672</v>
      </c>
      <c r="K768" t="s">
        <v>929</v>
      </c>
      <c r="L768">
        <v>47</v>
      </c>
      <c r="M768" t="str">
        <v>Female</v>
      </c>
      <c r="N768" t="str">
        <f>VLOOKUP(C:C,Customer_Dim!B:I,5,1)</f>
        <v>South David</v>
      </c>
      <c r="O768" t="str">
        <f>VLOOKUP(C:C,Customer_Dim!B:I,6,1)</f>
        <v>West Virginia</v>
      </c>
      <c r="P768" t="str">
        <f>VLOOKUP(C:C,Customer_Dim!B:I,7,1)</f>
        <v>USA</v>
      </c>
      <c r="Q768" t="str">
        <f>VLOOKUP(C:C,Customer_Dim!B:I,8,1)</f>
        <v>Bronze</v>
      </c>
      <c r="S768">
        <v>4</v>
      </c>
      <c r="T768">
        <v>609.05999999999995</v>
      </c>
      <c r="U768">
        <v>0.22</v>
      </c>
      <c r="V768">
        <v>1900.2672</v>
      </c>
      <c r="X768" s="4">
        <v>4</v>
      </c>
      <c r="Y768">
        <v>609.05999999999995</v>
      </c>
      <c r="Z768">
        <v>0.22</v>
      </c>
      <c r="AA768">
        <v>1900.2672</v>
      </c>
    </row>
    <row r="769" spans="1:27" x14ac:dyDescent="0.3">
      <c r="A769" t="s">
        <v>2576</v>
      </c>
      <c r="B769" s="2">
        <v>45434</v>
      </c>
      <c r="C769" t="s">
        <v>1339</v>
      </c>
      <c r="D769" t="s">
        <v>1597</v>
      </c>
      <c r="E769" t="s">
        <v>1775</v>
      </c>
      <c r="F769" s="4">
        <v>1</v>
      </c>
      <c r="G769">
        <v>827.91</v>
      </c>
      <c r="H769">
        <v>0.21</v>
      </c>
      <c r="I769" t="s">
        <v>1809</v>
      </c>
      <c r="J769">
        <v>654.0489</v>
      </c>
      <c r="K769" t="s">
        <v>1340</v>
      </c>
      <c r="L769">
        <v>59</v>
      </c>
      <c r="M769" t="str">
        <v>Female</v>
      </c>
      <c r="N769" t="str">
        <f>VLOOKUP(C:C,Customer_Dim!B:I,5,1)</f>
        <v>East Davidmouth</v>
      </c>
      <c r="O769" t="str">
        <f>VLOOKUP(C:C,Customer_Dim!B:I,6,1)</f>
        <v>New Hampshire</v>
      </c>
      <c r="P769" t="str">
        <f>VLOOKUP(C:C,Customer_Dim!B:I,7,1)</f>
        <v>USA</v>
      </c>
      <c r="Q769" t="str">
        <f>VLOOKUP(C:C,Customer_Dim!B:I,8,1)</f>
        <v>Platinum</v>
      </c>
      <c r="S769">
        <v>1</v>
      </c>
      <c r="T769">
        <v>827.91</v>
      </c>
      <c r="U769">
        <v>0.21</v>
      </c>
      <c r="V769">
        <v>654.0489</v>
      </c>
      <c r="X769" s="4">
        <v>1</v>
      </c>
      <c r="Y769">
        <v>827.91</v>
      </c>
      <c r="Z769">
        <v>0.21</v>
      </c>
      <c r="AA769">
        <v>654.0489</v>
      </c>
    </row>
    <row r="770" spans="1:27" x14ac:dyDescent="0.3">
      <c r="A770" t="s">
        <v>2577</v>
      </c>
      <c r="B770" s="2">
        <v>45486</v>
      </c>
      <c r="C770" t="s">
        <v>576</v>
      </c>
      <c r="D770" t="s">
        <v>1697</v>
      </c>
      <c r="E770" t="s">
        <v>1735</v>
      </c>
      <c r="F770" s="4">
        <v>1</v>
      </c>
      <c r="G770">
        <v>303.79000000000002</v>
      </c>
      <c r="H770">
        <v>0.24</v>
      </c>
      <c r="I770" t="s">
        <v>1809</v>
      </c>
      <c r="J770">
        <v>230.88040000000001</v>
      </c>
      <c r="K770" t="s">
        <v>577</v>
      </c>
      <c r="L770">
        <v>55</v>
      </c>
      <c r="M770" t="str">
        <v>Male</v>
      </c>
      <c r="N770" t="str">
        <f>VLOOKUP(C:C,Customer_Dim!B:I,5,1)</f>
        <v>Anabury</v>
      </c>
      <c r="O770" t="str">
        <f>VLOOKUP(C:C,Customer_Dim!B:I,6,1)</f>
        <v>Vermont</v>
      </c>
      <c r="P770" t="str">
        <f>VLOOKUP(C:C,Customer_Dim!B:I,7,1)</f>
        <v>USA</v>
      </c>
      <c r="Q770" t="str">
        <f>VLOOKUP(C:C,Customer_Dim!B:I,8,1)</f>
        <v>Silver</v>
      </c>
      <c r="S770">
        <v>1</v>
      </c>
      <c r="T770">
        <v>303.79000000000002</v>
      </c>
      <c r="U770">
        <v>0.24</v>
      </c>
      <c r="V770">
        <v>230.88040000000001</v>
      </c>
      <c r="X770" s="4">
        <v>1</v>
      </c>
      <c r="Y770">
        <v>303.79000000000002</v>
      </c>
      <c r="Z770">
        <v>0.24</v>
      </c>
      <c r="AA770">
        <v>230.88040000000001</v>
      </c>
    </row>
    <row r="771" spans="1:27" x14ac:dyDescent="0.3">
      <c r="A771" t="s">
        <v>2578</v>
      </c>
      <c r="B771" s="2">
        <v>45902</v>
      </c>
      <c r="C771" t="s">
        <v>364</v>
      </c>
      <c r="D771" t="s">
        <v>1605</v>
      </c>
      <c r="E771" t="s">
        <v>1759</v>
      </c>
      <c r="F771" s="4">
        <v>2</v>
      </c>
      <c r="G771">
        <v>365.91</v>
      </c>
      <c r="H771">
        <v>0.14000000000000001</v>
      </c>
      <c r="I771" t="s">
        <v>1812</v>
      </c>
      <c r="J771">
        <v>629.36520000000007</v>
      </c>
      <c r="K771" t="s">
        <v>365</v>
      </c>
      <c r="L771">
        <v>50</v>
      </c>
      <c r="M771" t="str">
        <v>Female</v>
      </c>
      <c r="N771" t="str">
        <f>VLOOKUP(C:C,Customer_Dim!B:I,5,1)</f>
        <v>South Jenniferville</v>
      </c>
      <c r="O771" t="str">
        <f>VLOOKUP(C:C,Customer_Dim!B:I,6,1)</f>
        <v>Georgia</v>
      </c>
      <c r="P771" t="str">
        <f>VLOOKUP(C:C,Customer_Dim!B:I,7,1)</f>
        <v>USA</v>
      </c>
      <c r="Q771" t="str">
        <f>VLOOKUP(C:C,Customer_Dim!B:I,8,1)</f>
        <v>Silver</v>
      </c>
      <c r="S771">
        <v>2</v>
      </c>
      <c r="T771">
        <v>365.91</v>
      </c>
      <c r="U771">
        <v>0.14000000000000001</v>
      </c>
      <c r="V771">
        <v>629.36520000000007</v>
      </c>
      <c r="X771" s="4">
        <v>2</v>
      </c>
      <c r="Y771">
        <v>365.91</v>
      </c>
      <c r="Z771">
        <v>0.14000000000000001</v>
      </c>
      <c r="AA771">
        <v>629.36520000000007</v>
      </c>
    </row>
    <row r="772" spans="1:27" x14ac:dyDescent="0.3">
      <c r="A772" t="s">
        <v>2579</v>
      </c>
      <c r="B772" s="2">
        <v>45762</v>
      </c>
      <c r="C772" t="s">
        <v>252</v>
      </c>
      <c r="D772" t="s">
        <v>1581</v>
      </c>
      <c r="E772" t="s">
        <v>1790</v>
      </c>
      <c r="F772" s="4">
        <v>3</v>
      </c>
      <c r="G772">
        <v>852.72</v>
      </c>
      <c r="H772">
        <v>0.16</v>
      </c>
      <c r="I772" t="s">
        <v>1807</v>
      </c>
      <c r="J772">
        <v>2148.8544000000002</v>
      </c>
      <c r="K772" t="s">
        <v>253</v>
      </c>
      <c r="L772">
        <v>29</v>
      </c>
      <c r="M772" t="str">
        <v>Female</v>
      </c>
      <c r="N772" t="str">
        <f>VLOOKUP(C:C,Customer_Dim!B:I,5,1)</f>
        <v>North Cynthiatown</v>
      </c>
      <c r="O772" t="str">
        <f>VLOOKUP(C:C,Customer_Dim!B:I,6,1)</f>
        <v>New Jersey</v>
      </c>
      <c r="P772" t="str">
        <f>VLOOKUP(C:C,Customer_Dim!B:I,7,1)</f>
        <v>USA</v>
      </c>
      <c r="Q772" t="str">
        <f>VLOOKUP(C:C,Customer_Dim!B:I,8,1)</f>
        <v>Platinum</v>
      </c>
      <c r="S772">
        <v>3</v>
      </c>
      <c r="T772">
        <v>852.72</v>
      </c>
      <c r="U772">
        <v>0.16</v>
      </c>
      <c r="V772">
        <v>2148.8544000000002</v>
      </c>
      <c r="X772" s="4">
        <v>3</v>
      </c>
      <c r="Y772">
        <v>852.72</v>
      </c>
      <c r="Z772">
        <v>0.16</v>
      </c>
      <c r="AA772">
        <v>2148.8544000000002</v>
      </c>
    </row>
    <row r="773" spans="1:27" x14ac:dyDescent="0.3">
      <c r="A773" t="s">
        <v>2580</v>
      </c>
      <c r="B773" s="2">
        <v>45752</v>
      </c>
      <c r="C773" t="s">
        <v>785</v>
      </c>
      <c r="D773" t="s">
        <v>1551</v>
      </c>
      <c r="E773" t="s">
        <v>1752</v>
      </c>
      <c r="F773" s="4">
        <v>1</v>
      </c>
      <c r="G773">
        <v>768.25</v>
      </c>
      <c r="H773">
        <v>0.18</v>
      </c>
      <c r="I773" t="s">
        <v>1807</v>
      </c>
      <c r="J773">
        <v>629.96500000000003</v>
      </c>
      <c r="K773" t="s">
        <v>786</v>
      </c>
      <c r="L773">
        <v>19</v>
      </c>
      <c r="M773" t="str">
        <v>Male</v>
      </c>
      <c r="N773" t="str">
        <f>VLOOKUP(C:C,Customer_Dim!B:I,5,1)</f>
        <v>Mikehaven</v>
      </c>
      <c r="O773" t="str">
        <f>VLOOKUP(C:C,Customer_Dim!B:I,6,1)</f>
        <v>New Hampshire</v>
      </c>
      <c r="P773" t="str">
        <f>VLOOKUP(C:C,Customer_Dim!B:I,7,1)</f>
        <v>USA</v>
      </c>
      <c r="Q773" t="str">
        <f>VLOOKUP(C:C,Customer_Dim!B:I,8,1)</f>
        <v>Platinum</v>
      </c>
      <c r="S773">
        <v>1</v>
      </c>
      <c r="T773">
        <v>768.25</v>
      </c>
      <c r="U773">
        <v>0.18</v>
      </c>
      <c r="V773">
        <v>629.96500000000003</v>
      </c>
      <c r="X773" s="4">
        <v>1</v>
      </c>
      <c r="Y773">
        <v>768.25</v>
      </c>
      <c r="Z773">
        <v>0.18</v>
      </c>
      <c r="AA773">
        <v>629.96500000000003</v>
      </c>
    </row>
    <row r="774" spans="1:27" x14ac:dyDescent="0.3">
      <c r="A774" t="s">
        <v>2581</v>
      </c>
      <c r="B774" s="2">
        <v>45254</v>
      </c>
      <c r="C774" t="s">
        <v>1086</v>
      </c>
      <c r="D774" t="s">
        <v>1715</v>
      </c>
      <c r="E774" t="s">
        <v>1796</v>
      </c>
      <c r="F774" s="4">
        <v>2</v>
      </c>
      <c r="G774">
        <v>318.62</v>
      </c>
      <c r="H774">
        <v>0.02</v>
      </c>
      <c r="I774" t="s">
        <v>1812</v>
      </c>
      <c r="J774">
        <v>624.49519999999995</v>
      </c>
      <c r="K774" t="s">
        <v>1087</v>
      </c>
      <c r="L774">
        <v>25</v>
      </c>
      <c r="M774" t="str">
        <v>Female</v>
      </c>
      <c r="N774" t="str">
        <f>VLOOKUP(C:C,Customer_Dim!B:I,5,1)</f>
        <v>Lake Allisonborough</v>
      </c>
      <c r="O774" t="str">
        <f>VLOOKUP(C:C,Customer_Dim!B:I,6,1)</f>
        <v>Iowa</v>
      </c>
      <c r="P774" t="str">
        <f>VLOOKUP(C:C,Customer_Dim!B:I,7,1)</f>
        <v>USA</v>
      </c>
      <c r="Q774" t="str">
        <f>VLOOKUP(C:C,Customer_Dim!B:I,8,1)</f>
        <v>Silver</v>
      </c>
      <c r="S774">
        <v>2</v>
      </c>
      <c r="T774">
        <v>318.62</v>
      </c>
      <c r="U774">
        <v>0.02</v>
      </c>
      <c r="V774">
        <v>624.49519999999995</v>
      </c>
      <c r="X774" s="4">
        <v>2</v>
      </c>
      <c r="Y774">
        <v>318.62</v>
      </c>
      <c r="Z774">
        <v>0.02</v>
      </c>
      <c r="AA774">
        <v>624.49519999999995</v>
      </c>
    </row>
    <row r="775" spans="1:27" x14ac:dyDescent="0.3">
      <c r="A775" t="s">
        <v>2582</v>
      </c>
      <c r="B775" s="2">
        <v>45683</v>
      </c>
      <c r="C775" t="s">
        <v>185</v>
      </c>
      <c r="D775" t="s">
        <v>1683</v>
      </c>
      <c r="E775" t="s">
        <v>1744</v>
      </c>
      <c r="F775" s="4">
        <v>4</v>
      </c>
      <c r="G775">
        <v>402.11</v>
      </c>
      <c r="H775">
        <v>0.14000000000000001</v>
      </c>
      <c r="I775" t="s">
        <v>1809</v>
      </c>
      <c r="J775">
        <v>1383.2583999999999</v>
      </c>
      <c r="K775" t="s">
        <v>186</v>
      </c>
      <c r="L775">
        <v>61</v>
      </c>
      <c r="M775" t="str">
        <v>Female</v>
      </c>
      <c r="N775" t="str">
        <f>VLOOKUP(C:C,Customer_Dim!B:I,5,1)</f>
        <v>New Amy</v>
      </c>
      <c r="O775" t="str">
        <f>VLOOKUP(C:C,Customer_Dim!B:I,6,1)</f>
        <v>Ohio</v>
      </c>
      <c r="P775" t="str">
        <f>VLOOKUP(C:C,Customer_Dim!B:I,7,1)</f>
        <v>USA</v>
      </c>
      <c r="Q775" t="str">
        <f>VLOOKUP(C:C,Customer_Dim!B:I,8,1)</f>
        <v>Gold</v>
      </c>
      <c r="S775">
        <v>4</v>
      </c>
      <c r="T775">
        <v>402.11</v>
      </c>
      <c r="U775">
        <v>0.14000000000000001</v>
      </c>
      <c r="V775">
        <v>1383.2583999999999</v>
      </c>
      <c r="X775" s="4">
        <v>4</v>
      </c>
      <c r="Y775">
        <v>402.11</v>
      </c>
      <c r="Z775">
        <v>0.14000000000000001</v>
      </c>
      <c r="AA775">
        <v>1383.2583999999999</v>
      </c>
    </row>
    <row r="776" spans="1:27" x14ac:dyDescent="0.3">
      <c r="A776" t="s">
        <v>2583</v>
      </c>
      <c r="B776" s="2">
        <v>45804</v>
      </c>
      <c r="C776" t="s">
        <v>1255</v>
      </c>
      <c r="D776" t="s">
        <v>1699</v>
      </c>
      <c r="E776" t="s">
        <v>1790</v>
      </c>
      <c r="F776" s="4">
        <v>3</v>
      </c>
      <c r="G776">
        <v>846.31</v>
      </c>
      <c r="H776">
        <v>0.18</v>
      </c>
      <c r="I776" t="s">
        <v>1812</v>
      </c>
      <c r="J776">
        <v>2081.9225999999999</v>
      </c>
      <c r="K776" t="s">
        <v>1256</v>
      </c>
      <c r="L776">
        <v>55</v>
      </c>
      <c r="M776" t="str">
        <v>Male</v>
      </c>
      <c r="N776" t="str">
        <f>VLOOKUP(C:C,Customer_Dim!B:I,5,1)</f>
        <v>Port Joshuaville</v>
      </c>
      <c r="O776" t="str">
        <f>VLOOKUP(C:C,Customer_Dim!B:I,6,1)</f>
        <v>New Jersey</v>
      </c>
      <c r="P776" t="str">
        <f>VLOOKUP(C:C,Customer_Dim!B:I,7,1)</f>
        <v>USA</v>
      </c>
      <c r="Q776" t="str">
        <f>VLOOKUP(C:C,Customer_Dim!B:I,8,1)</f>
        <v>Gold</v>
      </c>
      <c r="S776">
        <v>3</v>
      </c>
      <c r="T776">
        <v>846.31</v>
      </c>
      <c r="U776">
        <v>0.18</v>
      </c>
      <c r="V776">
        <v>2081.9225999999999</v>
      </c>
      <c r="X776" s="4">
        <v>3</v>
      </c>
      <c r="Y776">
        <v>846.31</v>
      </c>
      <c r="Z776">
        <v>0.18</v>
      </c>
      <c r="AA776">
        <v>2081.9225999999999</v>
      </c>
    </row>
    <row r="777" spans="1:27" x14ac:dyDescent="0.3">
      <c r="A777" t="s">
        <v>2584</v>
      </c>
      <c r="B777" s="2">
        <v>45821</v>
      </c>
      <c r="C777" t="s">
        <v>554</v>
      </c>
      <c r="D777" t="s">
        <v>1719</v>
      </c>
      <c r="E777" t="s">
        <v>1782</v>
      </c>
      <c r="F777" s="4">
        <v>1</v>
      </c>
      <c r="G777">
        <v>269.94</v>
      </c>
      <c r="H777">
        <v>7.0000000000000007E-2</v>
      </c>
      <c r="I777" t="s">
        <v>1812</v>
      </c>
      <c r="J777">
        <v>251.04419999999999</v>
      </c>
      <c r="K777" t="s">
        <v>555</v>
      </c>
      <c r="L777">
        <v>64</v>
      </c>
      <c r="M777" t="str">
        <v>Male</v>
      </c>
      <c r="N777" t="str">
        <f>VLOOKUP(C:C,Customer_Dim!B:I,5,1)</f>
        <v>Robertview</v>
      </c>
      <c r="O777" t="str">
        <f>VLOOKUP(C:C,Customer_Dim!B:I,6,1)</f>
        <v>Florida</v>
      </c>
      <c r="P777" t="str">
        <f>VLOOKUP(C:C,Customer_Dim!B:I,7,1)</f>
        <v>USA</v>
      </c>
      <c r="Q777" t="str">
        <f>VLOOKUP(C:C,Customer_Dim!B:I,8,1)</f>
        <v>Platinum</v>
      </c>
      <c r="S777">
        <v>1</v>
      </c>
      <c r="T777">
        <v>269.94</v>
      </c>
      <c r="U777">
        <v>7.0000000000000007E-2</v>
      </c>
      <c r="V777">
        <v>251.04419999999999</v>
      </c>
      <c r="X777" s="4">
        <v>1</v>
      </c>
      <c r="Y777">
        <v>269.94</v>
      </c>
      <c r="Z777">
        <v>7.0000000000000007E-2</v>
      </c>
      <c r="AA777">
        <v>251.04419999999999</v>
      </c>
    </row>
    <row r="778" spans="1:27" x14ac:dyDescent="0.3">
      <c r="A778" t="s">
        <v>2585</v>
      </c>
      <c r="B778" s="2">
        <v>45472</v>
      </c>
      <c r="C778" t="s">
        <v>767</v>
      </c>
      <c r="D778" t="s">
        <v>1571</v>
      </c>
      <c r="E778" t="s">
        <v>1752</v>
      </c>
      <c r="F778" s="4">
        <v>3</v>
      </c>
      <c r="G778">
        <v>909.25</v>
      </c>
      <c r="H778">
        <v>0.28999999999999998</v>
      </c>
      <c r="I778" t="s">
        <v>1812</v>
      </c>
      <c r="J778">
        <v>1936.7025000000001</v>
      </c>
      <c r="K778" t="s">
        <v>768</v>
      </c>
      <c r="L778">
        <v>58</v>
      </c>
      <c r="M778" t="str">
        <v>Female</v>
      </c>
      <c r="N778" t="str">
        <f>VLOOKUP(C:C,Customer_Dim!B:I,5,1)</f>
        <v>Dawsonchester</v>
      </c>
      <c r="O778" t="str">
        <f>VLOOKUP(C:C,Customer_Dim!B:I,6,1)</f>
        <v>Virginia</v>
      </c>
      <c r="P778" t="str">
        <f>VLOOKUP(C:C,Customer_Dim!B:I,7,1)</f>
        <v>USA</v>
      </c>
      <c r="Q778" t="str">
        <f>VLOOKUP(C:C,Customer_Dim!B:I,8,1)</f>
        <v>Platinum</v>
      </c>
      <c r="S778">
        <v>3</v>
      </c>
      <c r="T778">
        <v>909.25</v>
      </c>
      <c r="U778">
        <v>0.28999999999999998</v>
      </c>
      <c r="V778">
        <v>1936.7025000000001</v>
      </c>
      <c r="X778" s="4">
        <v>3</v>
      </c>
      <c r="Y778">
        <v>909.25</v>
      </c>
      <c r="Z778">
        <v>0.28999999999999998</v>
      </c>
      <c r="AA778">
        <v>1936.7025000000001</v>
      </c>
    </row>
    <row r="779" spans="1:27" x14ac:dyDescent="0.3">
      <c r="A779" t="s">
        <v>2586</v>
      </c>
      <c r="B779" s="2">
        <v>45331</v>
      </c>
      <c r="C779" t="s">
        <v>1123</v>
      </c>
      <c r="D779" t="s">
        <v>1713</v>
      </c>
      <c r="E779" t="s">
        <v>1777</v>
      </c>
      <c r="F779" s="4">
        <v>2</v>
      </c>
      <c r="G779">
        <v>229.81</v>
      </c>
      <c r="H779">
        <v>0.21</v>
      </c>
      <c r="I779" t="s">
        <v>1812</v>
      </c>
      <c r="J779">
        <v>363.09980000000002</v>
      </c>
      <c r="K779" t="s">
        <v>1124</v>
      </c>
      <c r="L779">
        <v>58</v>
      </c>
      <c r="M779" t="str">
        <v>Male</v>
      </c>
      <c r="N779" t="str">
        <f>VLOOKUP(C:C,Customer_Dim!B:I,5,1)</f>
        <v>Murphytown</v>
      </c>
      <c r="O779" t="str">
        <f>VLOOKUP(C:C,Customer_Dim!B:I,6,1)</f>
        <v>Ohio</v>
      </c>
      <c r="P779" t="str">
        <f>VLOOKUP(C:C,Customer_Dim!B:I,7,1)</f>
        <v>USA</v>
      </c>
      <c r="Q779" t="str">
        <f>VLOOKUP(C:C,Customer_Dim!B:I,8,1)</f>
        <v>Bronze</v>
      </c>
      <c r="S779">
        <v>2</v>
      </c>
      <c r="T779">
        <v>229.81</v>
      </c>
      <c r="U779">
        <v>0.21</v>
      </c>
      <c r="V779">
        <v>363.09980000000002</v>
      </c>
      <c r="X779" s="4">
        <v>2</v>
      </c>
      <c r="Y779">
        <v>229.81</v>
      </c>
      <c r="Z779">
        <v>0.21</v>
      </c>
      <c r="AA779">
        <v>363.09980000000002</v>
      </c>
    </row>
    <row r="780" spans="1:27" x14ac:dyDescent="0.3">
      <c r="A780" t="s">
        <v>2587</v>
      </c>
      <c r="B780" s="2">
        <v>45451</v>
      </c>
      <c r="C780" t="s">
        <v>146</v>
      </c>
      <c r="D780" t="s">
        <v>1687</v>
      </c>
      <c r="E780" t="s">
        <v>1784</v>
      </c>
      <c r="F780" s="4">
        <v>3</v>
      </c>
      <c r="G780">
        <v>442.36</v>
      </c>
      <c r="H780">
        <v>0.06</v>
      </c>
      <c r="I780" t="s">
        <v>1809</v>
      </c>
      <c r="J780">
        <v>1247.4552000000001</v>
      </c>
      <c r="K780" t="s">
        <v>147</v>
      </c>
      <c r="L780">
        <v>35</v>
      </c>
      <c r="M780" t="str">
        <v>Female</v>
      </c>
      <c r="N780" t="str">
        <f>VLOOKUP(C:C,Customer_Dim!B:I,5,1)</f>
        <v>Brendastad</v>
      </c>
      <c r="O780" t="str">
        <f>VLOOKUP(C:C,Customer_Dim!B:I,6,1)</f>
        <v>South Dakota</v>
      </c>
      <c r="P780" t="str">
        <f>VLOOKUP(C:C,Customer_Dim!B:I,7,1)</f>
        <v>USA</v>
      </c>
      <c r="Q780" t="str">
        <f>VLOOKUP(C:C,Customer_Dim!B:I,8,1)</f>
        <v>Platinum</v>
      </c>
      <c r="S780">
        <v>3</v>
      </c>
      <c r="T780">
        <v>442.36</v>
      </c>
      <c r="U780">
        <v>0.06</v>
      </c>
      <c r="V780">
        <v>1247.4552000000001</v>
      </c>
      <c r="X780" s="4">
        <v>3</v>
      </c>
      <c r="Y780">
        <v>442.36</v>
      </c>
      <c r="Z780">
        <v>0.06</v>
      </c>
      <c r="AA780">
        <v>1247.4552000000001</v>
      </c>
    </row>
    <row r="781" spans="1:27" x14ac:dyDescent="0.3">
      <c r="A781" t="s">
        <v>2588</v>
      </c>
      <c r="B781" s="2">
        <v>45386</v>
      </c>
      <c r="C781" t="s">
        <v>761</v>
      </c>
      <c r="D781" t="s">
        <v>1703</v>
      </c>
      <c r="E781" t="s">
        <v>1749</v>
      </c>
      <c r="F781" s="4">
        <v>3</v>
      </c>
      <c r="G781">
        <v>413.74</v>
      </c>
      <c r="H781">
        <v>0.01</v>
      </c>
      <c r="I781" t="s">
        <v>1807</v>
      </c>
      <c r="J781">
        <v>1228.8078</v>
      </c>
      <c r="K781" t="s">
        <v>762</v>
      </c>
      <c r="L781">
        <v>59</v>
      </c>
      <c r="M781" t="str">
        <v>Female</v>
      </c>
      <c r="N781" t="str">
        <f>VLOOKUP(C:C,Customer_Dim!B:I,5,1)</f>
        <v>Zamoraborough</v>
      </c>
      <c r="O781" t="str">
        <f>VLOOKUP(C:C,Customer_Dim!B:I,6,1)</f>
        <v>Nevada</v>
      </c>
      <c r="P781" t="str">
        <f>VLOOKUP(C:C,Customer_Dim!B:I,7,1)</f>
        <v>USA</v>
      </c>
      <c r="Q781" t="str">
        <f>VLOOKUP(C:C,Customer_Dim!B:I,8,1)</f>
        <v>Platinum</v>
      </c>
      <c r="S781">
        <v>3</v>
      </c>
      <c r="T781">
        <v>413.74</v>
      </c>
      <c r="U781">
        <v>0.01</v>
      </c>
      <c r="V781">
        <v>1228.8078</v>
      </c>
      <c r="X781" s="4">
        <v>3</v>
      </c>
      <c r="Y781">
        <v>413.74</v>
      </c>
      <c r="Z781">
        <v>0.01</v>
      </c>
      <c r="AA781">
        <v>1228.8078</v>
      </c>
    </row>
    <row r="782" spans="1:27" x14ac:dyDescent="0.3">
      <c r="A782" t="s">
        <v>2589</v>
      </c>
      <c r="B782" s="2">
        <v>45477</v>
      </c>
      <c r="C782" t="s">
        <v>1507</v>
      </c>
      <c r="D782" t="s">
        <v>1709</v>
      </c>
      <c r="E782" t="s">
        <v>1782</v>
      </c>
      <c r="F782" s="4">
        <v>4</v>
      </c>
      <c r="G782">
        <v>79.75</v>
      </c>
      <c r="H782">
        <v>0.18</v>
      </c>
      <c r="I782" t="s">
        <v>1809</v>
      </c>
      <c r="J782">
        <v>261.58</v>
      </c>
      <c r="K782" t="s">
        <v>1508</v>
      </c>
      <c r="L782">
        <v>47</v>
      </c>
      <c r="M782" t="str">
        <v>Female</v>
      </c>
      <c r="N782" t="str">
        <f>VLOOKUP(C:C,Customer_Dim!B:I,5,1)</f>
        <v>North Seanfurt</v>
      </c>
      <c r="O782" t="str">
        <f>VLOOKUP(C:C,Customer_Dim!B:I,6,1)</f>
        <v>Ohio</v>
      </c>
      <c r="P782" t="str">
        <f>VLOOKUP(C:C,Customer_Dim!B:I,7,1)</f>
        <v>USA</v>
      </c>
      <c r="Q782" t="str">
        <f>VLOOKUP(C:C,Customer_Dim!B:I,8,1)</f>
        <v>Bronze</v>
      </c>
      <c r="S782">
        <v>4</v>
      </c>
      <c r="T782">
        <v>79.75</v>
      </c>
      <c r="U782">
        <v>0.18</v>
      </c>
      <c r="V782">
        <v>261.58</v>
      </c>
      <c r="X782" s="4">
        <v>4</v>
      </c>
      <c r="Y782">
        <v>79.75</v>
      </c>
      <c r="Z782">
        <v>0.18</v>
      </c>
      <c r="AA782">
        <v>261.58</v>
      </c>
    </row>
    <row r="783" spans="1:27" x14ac:dyDescent="0.3">
      <c r="A783" t="s">
        <v>2590</v>
      </c>
      <c r="B783" s="2">
        <v>45433</v>
      </c>
      <c r="C783" t="s">
        <v>1504</v>
      </c>
      <c r="D783" t="s">
        <v>1611</v>
      </c>
      <c r="E783" t="s">
        <v>1777</v>
      </c>
      <c r="F783" s="4">
        <v>4</v>
      </c>
      <c r="G783">
        <v>95.06</v>
      </c>
      <c r="H783">
        <v>0.03</v>
      </c>
      <c r="I783" t="s">
        <v>1807</v>
      </c>
      <c r="J783">
        <v>368.83280000000002</v>
      </c>
      <c r="K783" t="s">
        <v>1505</v>
      </c>
      <c r="L783">
        <v>56</v>
      </c>
      <c r="M783" t="str">
        <v>Male</v>
      </c>
      <c r="N783" t="str">
        <f>VLOOKUP(C:C,Customer_Dim!B:I,5,1)</f>
        <v>Bryanmouth</v>
      </c>
      <c r="O783" t="str">
        <f>VLOOKUP(C:C,Customer_Dim!B:I,6,1)</f>
        <v>Delaware</v>
      </c>
      <c r="P783" t="str">
        <f>VLOOKUP(C:C,Customer_Dim!B:I,7,1)</f>
        <v>USA</v>
      </c>
      <c r="Q783" t="str">
        <f>VLOOKUP(C:C,Customer_Dim!B:I,8,1)</f>
        <v>Bronze</v>
      </c>
      <c r="S783">
        <v>4</v>
      </c>
      <c r="T783">
        <v>95.06</v>
      </c>
      <c r="U783">
        <v>0.03</v>
      </c>
      <c r="V783">
        <v>368.83280000000002</v>
      </c>
      <c r="X783" s="4">
        <v>4</v>
      </c>
      <c r="Y783">
        <v>95.06</v>
      </c>
      <c r="Z783">
        <v>0.03</v>
      </c>
      <c r="AA783">
        <v>368.83280000000002</v>
      </c>
    </row>
    <row r="784" spans="1:27" x14ac:dyDescent="0.3">
      <c r="A784" t="s">
        <v>2591</v>
      </c>
      <c r="B784" s="2">
        <v>45759</v>
      </c>
      <c r="C784" t="s">
        <v>1278</v>
      </c>
      <c r="D784" t="s">
        <v>1727</v>
      </c>
      <c r="E784" t="s">
        <v>1762</v>
      </c>
      <c r="F784" s="4">
        <v>4</v>
      </c>
      <c r="G784">
        <v>107.08</v>
      </c>
      <c r="H784">
        <v>0.27</v>
      </c>
      <c r="I784" t="s">
        <v>1812</v>
      </c>
      <c r="J784">
        <v>312.67360000000002</v>
      </c>
      <c r="K784" t="s">
        <v>1279</v>
      </c>
      <c r="L784">
        <v>64</v>
      </c>
      <c r="M784" t="str">
        <v>Female</v>
      </c>
      <c r="N784" t="str">
        <f>VLOOKUP(C:C,Customer_Dim!B:I,5,1)</f>
        <v>Marthaborough</v>
      </c>
      <c r="O784" t="str">
        <f>VLOOKUP(C:C,Customer_Dim!B:I,6,1)</f>
        <v>Wisconsin</v>
      </c>
      <c r="P784" t="str">
        <f>VLOOKUP(C:C,Customer_Dim!B:I,7,1)</f>
        <v>USA</v>
      </c>
      <c r="Q784" t="str">
        <f>VLOOKUP(C:C,Customer_Dim!B:I,8,1)</f>
        <v>Platinum</v>
      </c>
      <c r="S784">
        <v>4</v>
      </c>
      <c r="T784">
        <v>107.08</v>
      </c>
      <c r="U784">
        <v>0.27</v>
      </c>
      <c r="V784">
        <v>312.67360000000002</v>
      </c>
      <c r="X784" s="4">
        <v>4</v>
      </c>
      <c r="Y784">
        <v>107.08</v>
      </c>
      <c r="Z784">
        <v>0.27</v>
      </c>
      <c r="AA784">
        <v>312.67360000000002</v>
      </c>
    </row>
    <row r="785" spans="1:27" x14ac:dyDescent="0.3">
      <c r="A785" t="s">
        <v>2592</v>
      </c>
      <c r="B785" s="2">
        <v>45794</v>
      </c>
      <c r="C785" t="s">
        <v>1445</v>
      </c>
      <c r="D785" t="s">
        <v>1729</v>
      </c>
      <c r="E785" t="s">
        <v>1793</v>
      </c>
      <c r="F785" s="4">
        <v>1</v>
      </c>
      <c r="G785">
        <v>873.18</v>
      </c>
      <c r="H785">
        <v>0.03</v>
      </c>
      <c r="I785" t="s">
        <v>1812</v>
      </c>
      <c r="J785">
        <v>846.98459999999989</v>
      </c>
      <c r="K785" t="s">
        <v>1446</v>
      </c>
      <c r="L785">
        <v>18</v>
      </c>
      <c r="M785" t="str">
        <v>Female</v>
      </c>
      <c r="N785" t="str">
        <f>VLOOKUP(C:C,Customer_Dim!B:I,5,1)</f>
        <v>East Christopherhaven</v>
      </c>
      <c r="O785" t="str">
        <f>VLOOKUP(C:C,Customer_Dim!B:I,6,1)</f>
        <v>South Dakota</v>
      </c>
      <c r="P785" t="str">
        <f>VLOOKUP(C:C,Customer_Dim!B:I,7,1)</f>
        <v>USA</v>
      </c>
      <c r="Q785" t="str">
        <f>VLOOKUP(C:C,Customer_Dim!B:I,8,1)</f>
        <v>Platinum</v>
      </c>
      <c r="S785">
        <v>1</v>
      </c>
      <c r="T785">
        <v>873.18</v>
      </c>
      <c r="U785">
        <v>0.03</v>
      </c>
      <c r="V785">
        <v>846.98459999999989</v>
      </c>
      <c r="X785" s="4">
        <v>1</v>
      </c>
      <c r="Y785">
        <v>873.18</v>
      </c>
      <c r="Z785">
        <v>0.03</v>
      </c>
      <c r="AA785">
        <v>846.98459999999989</v>
      </c>
    </row>
    <row r="786" spans="1:27" x14ac:dyDescent="0.3">
      <c r="A786" t="s">
        <v>2593</v>
      </c>
      <c r="B786" s="2">
        <v>45764</v>
      </c>
      <c r="C786" t="s">
        <v>1165</v>
      </c>
      <c r="D786" t="s">
        <v>1671</v>
      </c>
      <c r="E786" t="s">
        <v>1793</v>
      </c>
      <c r="F786" s="4">
        <v>1</v>
      </c>
      <c r="G786">
        <v>914.75</v>
      </c>
      <c r="H786">
        <v>0.1</v>
      </c>
      <c r="I786" t="s">
        <v>1812</v>
      </c>
      <c r="J786">
        <v>823.27499999999998</v>
      </c>
      <c r="K786" t="s">
        <v>1166</v>
      </c>
      <c r="L786">
        <v>44</v>
      </c>
      <c r="M786" t="str">
        <v>Female</v>
      </c>
      <c r="N786" t="str">
        <f>VLOOKUP(C:C,Customer_Dim!B:I,5,1)</f>
        <v>Nathanshire</v>
      </c>
      <c r="O786" t="str">
        <f>VLOOKUP(C:C,Customer_Dim!B:I,6,1)</f>
        <v>Maine</v>
      </c>
      <c r="P786" t="str">
        <f>VLOOKUP(C:C,Customer_Dim!B:I,7,1)</f>
        <v>USA</v>
      </c>
      <c r="Q786" t="str">
        <f>VLOOKUP(C:C,Customer_Dim!B:I,8,1)</f>
        <v>Gold</v>
      </c>
      <c r="S786">
        <v>1</v>
      </c>
      <c r="T786">
        <v>914.75</v>
      </c>
      <c r="U786">
        <v>0.1</v>
      </c>
      <c r="V786">
        <v>823.27499999999998</v>
      </c>
      <c r="X786" s="4">
        <v>1</v>
      </c>
      <c r="Y786">
        <v>914.75</v>
      </c>
      <c r="Z786">
        <v>0.1</v>
      </c>
      <c r="AA786">
        <v>823.27499999999998</v>
      </c>
    </row>
    <row r="787" spans="1:27" x14ac:dyDescent="0.3">
      <c r="A787" t="s">
        <v>2594</v>
      </c>
      <c r="B787" s="2">
        <v>45279</v>
      </c>
      <c r="C787" t="s">
        <v>185</v>
      </c>
      <c r="D787" t="s">
        <v>1677</v>
      </c>
      <c r="E787" t="s">
        <v>1780</v>
      </c>
      <c r="F787" s="4">
        <v>4</v>
      </c>
      <c r="G787">
        <v>457.33</v>
      </c>
      <c r="H787">
        <v>0.1</v>
      </c>
      <c r="I787" t="s">
        <v>1807</v>
      </c>
      <c r="J787">
        <v>1646.3879999999999</v>
      </c>
      <c r="K787" t="s">
        <v>186</v>
      </c>
      <c r="L787">
        <v>61</v>
      </c>
      <c r="M787" t="str">
        <v>Female</v>
      </c>
      <c r="N787" t="str">
        <f>VLOOKUP(C:C,Customer_Dim!B:I,5,1)</f>
        <v>New Amy</v>
      </c>
      <c r="O787" t="str">
        <f>VLOOKUP(C:C,Customer_Dim!B:I,6,1)</f>
        <v>Ohio</v>
      </c>
      <c r="P787" t="str">
        <f>VLOOKUP(C:C,Customer_Dim!B:I,7,1)</f>
        <v>USA</v>
      </c>
      <c r="Q787" t="str">
        <f>VLOOKUP(C:C,Customer_Dim!B:I,8,1)</f>
        <v>Gold</v>
      </c>
      <c r="S787">
        <v>4</v>
      </c>
      <c r="T787">
        <v>457.33</v>
      </c>
      <c r="U787">
        <v>0.1</v>
      </c>
      <c r="V787">
        <v>1646.3879999999999</v>
      </c>
      <c r="X787" s="4">
        <v>4</v>
      </c>
      <c r="Y787">
        <v>457.33</v>
      </c>
      <c r="Z787">
        <v>0.1</v>
      </c>
      <c r="AA787">
        <v>1646.3879999999999</v>
      </c>
    </row>
    <row r="788" spans="1:27" x14ac:dyDescent="0.3">
      <c r="A788" t="s">
        <v>2595</v>
      </c>
      <c r="B788" s="2">
        <v>45602</v>
      </c>
      <c r="C788" t="s">
        <v>917</v>
      </c>
      <c r="D788" t="s">
        <v>1729</v>
      </c>
      <c r="E788" t="s">
        <v>1749</v>
      </c>
      <c r="F788" s="4">
        <v>3</v>
      </c>
      <c r="G788">
        <v>761.88</v>
      </c>
      <c r="H788">
        <v>0.23</v>
      </c>
      <c r="I788" t="s">
        <v>1809</v>
      </c>
      <c r="J788">
        <v>1759.9428</v>
      </c>
      <c r="K788" t="s">
        <v>918</v>
      </c>
      <c r="L788">
        <v>56</v>
      </c>
      <c r="M788" t="str">
        <v>Female</v>
      </c>
      <c r="N788" t="str">
        <f>VLOOKUP(C:C,Customer_Dim!B:I,5,1)</f>
        <v>Danielland</v>
      </c>
      <c r="O788" t="str">
        <f>VLOOKUP(C:C,Customer_Dim!B:I,6,1)</f>
        <v>Minnesota</v>
      </c>
      <c r="P788" t="str">
        <f>VLOOKUP(C:C,Customer_Dim!B:I,7,1)</f>
        <v>USA</v>
      </c>
      <c r="Q788" t="str">
        <f>VLOOKUP(C:C,Customer_Dim!B:I,8,1)</f>
        <v>Silver</v>
      </c>
      <c r="S788">
        <v>3</v>
      </c>
      <c r="T788">
        <v>761.88</v>
      </c>
      <c r="U788">
        <v>0.23</v>
      </c>
      <c r="V788">
        <v>1759.9428</v>
      </c>
      <c r="X788" s="4">
        <v>3</v>
      </c>
      <c r="Y788">
        <v>761.88</v>
      </c>
      <c r="Z788">
        <v>0.23</v>
      </c>
      <c r="AA788">
        <v>1759.9428</v>
      </c>
    </row>
    <row r="789" spans="1:27" x14ac:dyDescent="0.3">
      <c r="A789" t="s">
        <v>2596</v>
      </c>
      <c r="B789" s="2">
        <v>45793</v>
      </c>
      <c r="C789" t="s">
        <v>579</v>
      </c>
      <c r="D789" t="s">
        <v>1605</v>
      </c>
      <c r="E789" t="s">
        <v>1796</v>
      </c>
      <c r="F789" s="4">
        <v>4</v>
      </c>
      <c r="G789">
        <v>122.87</v>
      </c>
      <c r="H789">
        <v>0.13</v>
      </c>
      <c r="I789" t="s">
        <v>1807</v>
      </c>
      <c r="J789">
        <v>427.58760000000001</v>
      </c>
      <c r="K789" t="s">
        <v>580</v>
      </c>
      <c r="L789">
        <v>33</v>
      </c>
      <c r="M789" t="str">
        <v>Female</v>
      </c>
      <c r="N789" t="str">
        <f>VLOOKUP(C:C,Customer_Dim!B:I,5,1)</f>
        <v>Butlerberg</v>
      </c>
      <c r="O789" t="str">
        <f>VLOOKUP(C:C,Customer_Dim!B:I,6,1)</f>
        <v>Kentucky</v>
      </c>
      <c r="P789" t="str">
        <f>VLOOKUP(C:C,Customer_Dim!B:I,7,1)</f>
        <v>USA</v>
      </c>
      <c r="Q789" t="str">
        <f>VLOOKUP(C:C,Customer_Dim!B:I,8,1)</f>
        <v>Platinum</v>
      </c>
      <c r="S789">
        <v>4</v>
      </c>
      <c r="T789">
        <v>122.87</v>
      </c>
      <c r="U789">
        <v>0.13</v>
      </c>
      <c r="V789">
        <v>427.58760000000001</v>
      </c>
      <c r="X789" s="4">
        <v>4</v>
      </c>
      <c r="Y789">
        <v>122.87</v>
      </c>
      <c r="Z789">
        <v>0.13</v>
      </c>
      <c r="AA789">
        <v>427.58760000000001</v>
      </c>
    </row>
    <row r="790" spans="1:27" x14ac:dyDescent="0.3">
      <c r="A790" t="s">
        <v>2597</v>
      </c>
      <c r="B790" s="2">
        <v>45778</v>
      </c>
      <c r="C790" t="s">
        <v>1448</v>
      </c>
      <c r="D790" t="s">
        <v>1677</v>
      </c>
      <c r="E790" t="s">
        <v>1752</v>
      </c>
      <c r="F790" s="4">
        <v>4</v>
      </c>
      <c r="G790">
        <v>753</v>
      </c>
      <c r="H790">
        <v>0.28000000000000003</v>
      </c>
      <c r="I790" t="s">
        <v>1812</v>
      </c>
      <c r="J790">
        <v>2168.64</v>
      </c>
      <c r="K790" t="s">
        <v>1449</v>
      </c>
      <c r="L790">
        <v>33</v>
      </c>
      <c r="M790" t="str">
        <v>Female</v>
      </c>
      <c r="N790" t="str">
        <f>VLOOKUP(C:C,Customer_Dim!B:I,5,1)</f>
        <v>Lake Michael</v>
      </c>
      <c r="O790" t="str">
        <f>VLOOKUP(C:C,Customer_Dim!B:I,6,1)</f>
        <v>Vermont</v>
      </c>
      <c r="P790" t="str">
        <f>VLOOKUP(C:C,Customer_Dim!B:I,7,1)</f>
        <v>USA</v>
      </c>
      <c r="Q790" t="str">
        <f>VLOOKUP(C:C,Customer_Dim!B:I,8,1)</f>
        <v>Platinum</v>
      </c>
      <c r="S790">
        <v>4</v>
      </c>
      <c r="T790">
        <v>753</v>
      </c>
      <c r="U790">
        <v>0.28000000000000003</v>
      </c>
      <c r="V790">
        <v>2168.64</v>
      </c>
      <c r="X790" s="4">
        <v>4</v>
      </c>
      <c r="Y790">
        <v>753</v>
      </c>
      <c r="Z790">
        <v>0.28000000000000003</v>
      </c>
      <c r="AA790">
        <v>2168.64</v>
      </c>
    </row>
    <row r="791" spans="1:27" x14ac:dyDescent="0.3">
      <c r="A791" t="s">
        <v>2598</v>
      </c>
      <c r="B791" s="2">
        <v>45325</v>
      </c>
      <c r="C791" t="s">
        <v>1144</v>
      </c>
      <c r="D791" t="s">
        <v>1538</v>
      </c>
      <c r="E791" t="s">
        <v>1756</v>
      </c>
      <c r="F791" s="4">
        <v>2</v>
      </c>
      <c r="G791">
        <v>788.05</v>
      </c>
      <c r="H791">
        <v>0.21</v>
      </c>
      <c r="I791" t="s">
        <v>1807</v>
      </c>
      <c r="J791">
        <v>1245.1189999999999</v>
      </c>
      <c r="K791" t="s">
        <v>1145</v>
      </c>
      <c r="L791">
        <v>21</v>
      </c>
      <c r="M791" t="str">
        <v>Female</v>
      </c>
      <c r="N791" t="str">
        <f>VLOOKUP(C:C,Customer_Dim!B:I,5,1)</f>
        <v>Millston</v>
      </c>
      <c r="O791" t="str">
        <f>VLOOKUP(C:C,Customer_Dim!B:I,6,1)</f>
        <v>Indiana</v>
      </c>
      <c r="P791" t="str">
        <f>VLOOKUP(C:C,Customer_Dim!B:I,7,1)</f>
        <v>USA</v>
      </c>
      <c r="Q791" t="str">
        <f>VLOOKUP(C:C,Customer_Dim!B:I,8,1)</f>
        <v>Silver</v>
      </c>
      <c r="S791">
        <v>2</v>
      </c>
      <c r="T791">
        <v>788.05</v>
      </c>
      <c r="U791">
        <v>0.21</v>
      </c>
      <c r="V791">
        <v>1245.1189999999999</v>
      </c>
      <c r="X791" s="4">
        <v>2</v>
      </c>
      <c r="Y791">
        <v>788.05</v>
      </c>
      <c r="Z791">
        <v>0.21</v>
      </c>
      <c r="AA791">
        <v>1245.1189999999999</v>
      </c>
    </row>
    <row r="792" spans="1:27" x14ac:dyDescent="0.3">
      <c r="A792" t="s">
        <v>2599</v>
      </c>
      <c r="B792" s="2">
        <v>45875</v>
      </c>
      <c r="C792" t="s">
        <v>1409</v>
      </c>
      <c r="D792" t="s">
        <v>1695</v>
      </c>
      <c r="E792" t="s">
        <v>1772</v>
      </c>
      <c r="F792" s="4">
        <v>2</v>
      </c>
      <c r="G792">
        <v>807.1</v>
      </c>
      <c r="H792">
        <v>0.28999999999999998</v>
      </c>
      <c r="I792" t="s">
        <v>1807</v>
      </c>
      <c r="J792">
        <v>1146.0820000000001</v>
      </c>
      <c r="K792" t="s">
        <v>1410</v>
      </c>
      <c r="L792">
        <v>36</v>
      </c>
      <c r="M792" t="str">
        <v>Female</v>
      </c>
      <c r="N792" t="str">
        <f>VLOOKUP(C:C,Customer_Dim!B:I,5,1)</f>
        <v>Burkefurt</v>
      </c>
      <c r="O792" t="str">
        <f>VLOOKUP(C:C,Customer_Dim!B:I,6,1)</f>
        <v>West Virginia</v>
      </c>
      <c r="P792" t="str">
        <f>VLOOKUP(C:C,Customer_Dim!B:I,7,1)</f>
        <v>USA</v>
      </c>
      <c r="Q792" t="str">
        <f>VLOOKUP(C:C,Customer_Dim!B:I,8,1)</f>
        <v>Silver</v>
      </c>
      <c r="S792">
        <v>2</v>
      </c>
      <c r="T792">
        <v>807.1</v>
      </c>
      <c r="U792">
        <v>0.28999999999999998</v>
      </c>
      <c r="V792">
        <v>1146.0820000000001</v>
      </c>
      <c r="X792" s="4">
        <v>2</v>
      </c>
      <c r="Y792">
        <v>807.1</v>
      </c>
      <c r="Z792">
        <v>0.28999999999999998</v>
      </c>
      <c r="AA792">
        <v>1146.0820000000001</v>
      </c>
    </row>
    <row r="793" spans="1:27" x14ac:dyDescent="0.3">
      <c r="A793" t="s">
        <v>2600</v>
      </c>
      <c r="B793" s="2">
        <v>45320</v>
      </c>
      <c r="C793" t="s">
        <v>453</v>
      </c>
      <c r="D793" t="s">
        <v>1545</v>
      </c>
      <c r="E793" t="s">
        <v>1740</v>
      </c>
      <c r="F793" s="4">
        <v>2</v>
      </c>
      <c r="G793">
        <v>443.09</v>
      </c>
      <c r="H793">
        <v>0.02</v>
      </c>
      <c r="I793" t="s">
        <v>1809</v>
      </c>
      <c r="J793">
        <v>868.45639999999992</v>
      </c>
      <c r="K793" t="s">
        <v>454</v>
      </c>
      <c r="L793">
        <v>33</v>
      </c>
      <c r="M793" t="str">
        <v>Female</v>
      </c>
      <c r="N793" t="str">
        <f>VLOOKUP(C:C,Customer_Dim!B:I,5,1)</f>
        <v>Parksfort</v>
      </c>
      <c r="O793" t="str">
        <f>VLOOKUP(C:C,Customer_Dim!B:I,6,1)</f>
        <v>Washington</v>
      </c>
      <c r="P793" t="str">
        <f>VLOOKUP(C:C,Customer_Dim!B:I,7,1)</f>
        <v>USA</v>
      </c>
      <c r="Q793" t="str">
        <f>VLOOKUP(C:C,Customer_Dim!B:I,8,1)</f>
        <v>Gold</v>
      </c>
      <c r="S793">
        <v>2</v>
      </c>
      <c r="T793">
        <v>443.09</v>
      </c>
      <c r="U793">
        <v>0.02</v>
      </c>
      <c r="V793">
        <v>868.45639999999992</v>
      </c>
      <c r="X793" s="4">
        <v>2</v>
      </c>
      <c r="Y793">
        <v>443.09</v>
      </c>
      <c r="Z793">
        <v>0.02</v>
      </c>
      <c r="AA793">
        <v>868.45639999999992</v>
      </c>
    </row>
    <row r="794" spans="1:27" x14ac:dyDescent="0.3">
      <c r="A794" t="s">
        <v>2601</v>
      </c>
      <c r="B794" s="2">
        <v>45870</v>
      </c>
      <c r="C794" t="s">
        <v>1427</v>
      </c>
      <c r="D794" t="s">
        <v>1569</v>
      </c>
      <c r="E794" t="s">
        <v>1784</v>
      </c>
      <c r="F794" s="4">
        <v>1</v>
      </c>
      <c r="G794">
        <v>512.16</v>
      </c>
      <c r="H794">
        <v>0.02</v>
      </c>
      <c r="I794" t="s">
        <v>1812</v>
      </c>
      <c r="J794">
        <v>501.91680000000002</v>
      </c>
      <c r="K794" t="s">
        <v>1428</v>
      </c>
      <c r="L794">
        <v>19</v>
      </c>
      <c r="M794" t="str">
        <v>Male</v>
      </c>
      <c r="N794" t="str">
        <f>VLOOKUP(C:C,Customer_Dim!B:I,5,1)</f>
        <v>Bergermouth</v>
      </c>
      <c r="O794" t="str">
        <f>VLOOKUP(C:C,Customer_Dim!B:I,6,1)</f>
        <v>Vermont</v>
      </c>
      <c r="P794" t="str">
        <f>VLOOKUP(C:C,Customer_Dim!B:I,7,1)</f>
        <v>USA</v>
      </c>
      <c r="Q794" t="str">
        <f>VLOOKUP(C:C,Customer_Dim!B:I,8,1)</f>
        <v>Bronze</v>
      </c>
      <c r="S794">
        <v>1</v>
      </c>
      <c r="T794">
        <v>512.16</v>
      </c>
      <c r="U794">
        <v>0.02</v>
      </c>
      <c r="V794">
        <v>501.91680000000002</v>
      </c>
      <c r="X794" s="4">
        <v>1</v>
      </c>
      <c r="Y794">
        <v>512.16</v>
      </c>
      <c r="Z794">
        <v>0.02</v>
      </c>
      <c r="AA794">
        <v>501.91680000000002</v>
      </c>
    </row>
    <row r="795" spans="1:27" x14ac:dyDescent="0.3">
      <c r="A795" t="s">
        <v>2602</v>
      </c>
      <c r="B795" s="2">
        <v>45577</v>
      </c>
      <c r="C795" t="s">
        <v>672</v>
      </c>
      <c r="D795" t="s">
        <v>1613</v>
      </c>
      <c r="E795" t="s">
        <v>1793</v>
      </c>
      <c r="F795" s="4">
        <v>2</v>
      </c>
      <c r="G795">
        <v>602.54999999999995</v>
      </c>
      <c r="H795">
        <v>0.23</v>
      </c>
      <c r="I795" t="s">
        <v>1812</v>
      </c>
      <c r="J795">
        <v>927.92699999999991</v>
      </c>
      <c r="K795" t="s">
        <v>673</v>
      </c>
      <c r="L795">
        <v>50</v>
      </c>
      <c r="M795" t="str">
        <v>Female</v>
      </c>
      <c r="N795" t="str">
        <f>VLOOKUP(C:C,Customer_Dim!B:I,5,1)</f>
        <v>Kathrynview</v>
      </c>
      <c r="O795" t="str">
        <f>VLOOKUP(C:C,Customer_Dim!B:I,6,1)</f>
        <v>Louisiana</v>
      </c>
      <c r="P795" t="str">
        <f>VLOOKUP(C:C,Customer_Dim!B:I,7,1)</f>
        <v>USA</v>
      </c>
      <c r="Q795" t="str">
        <f>VLOOKUP(C:C,Customer_Dim!B:I,8,1)</f>
        <v>Platinum</v>
      </c>
      <c r="S795">
        <v>2</v>
      </c>
      <c r="T795">
        <v>602.54999999999995</v>
      </c>
      <c r="U795">
        <v>0.23</v>
      </c>
      <c r="V795">
        <v>927.92699999999991</v>
      </c>
      <c r="X795" s="4">
        <v>2</v>
      </c>
      <c r="Y795">
        <v>602.54999999999995</v>
      </c>
      <c r="Z795">
        <v>0.23</v>
      </c>
      <c r="AA795">
        <v>927.92699999999991</v>
      </c>
    </row>
    <row r="796" spans="1:27" x14ac:dyDescent="0.3">
      <c r="A796" t="s">
        <v>2603</v>
      </c>
      <c r="B796" s="2">
        <v>45745</v>
      </c>
      <c r="C796" t="s">
        <v>542</v>
      </c>
      <c r="D796" t="s">
        <v>1615</v>
      </c>
      <c r="E796" t="s">
        <v>1735</v>
      </c>
      <c r="F796" s="4">
        <v>3</v>
      </c>
      <c r="G796">
        <v>846.19</v>
      </c>
      <c r="H796">
        <v>0.09</v>
      </c>
      <c r="I796" t="s">
        <v>1812</v>
      </c>
      <c r="J796">
        <v>2310.0987</v>
      </c>
      <c r="K796" t="s">
        <v>543</v>
      </c>
      <c r="L796">
        <v>47</v>
      </c>
      <c r="M796" t="str">
        <v>Female</v>
      </c>
      <c r="N796" t="str">
        <f>VLOOKUP(C:C,Customer_Dim!B:I,5,1)</f>
        <v>Dominiquefort</v>
      </c>
      <c r="O796" t="str">
        <f>VLOOKUP(C:C,Customer_Dim!B:I,6,1)</f>
        <v>Georgia</v>
      </c>
      <c r="P796" t="str">
        <f>VLOOKUP(C:C,Customer_Dim!B:I,7,1)</f>
        <v>USA</v>
      </c>
      <c r="Q796" t="str">
        <f>VLOOKUP(C:C,Customer_Dim!B:I,8,1)</f>
        <v>Silver</v>
      </c>
      <c r="S796">
        <v>3</v>
      </c>
      <c r="T796">
        <v>846.19</v>
      </c>
      <c r="U796">
        <v>0.09</v>
      </c>
      <c r="V796">
        <v>2310.0987</v>
      </c>
      <c r="X796" s="4">
        <v>3</v>
      </c>
      <c r="Y796">
        <v>846.19</v>
      </c>
      <c r="Z796">
        <v>0.09</v>
      </c>
      <c r="AA796">
        <v>2310.0987</v>
      </c>
    </row>
    <row r="797" spans="1:27" x14ac:dyDescent="0.3">
      <c r="A797" t="s">
        <v>2604</v>
      </c>
      <c r="B797" s="2">
        <v>45772</v>
      </c>
      <c r="C797" t="s">
        <v>1015</v>
      </c>
      <c r="D797" t="s">
        <v>1669</v>
      </c>
      <c r="E797" t="s">
        <v>1765</v>
      </c>
      <c r="F797" s="4">
        <v>1</v>
      </c>
      <c r="G797">
        <v>506.73</v>
      </c>
      <c r="H797">
        <v>0.28999999999999998</v>
      </c>
      <c r="I797" t="s">
        <v>1807</v>
      </c>
      <c r="J797">
        <v>359.7783</v>
      </c>
      <c r="K797" t="s">
        <v>1016</v>
      </c>
      <c r="L797">
        <v>62</v>
      </c>
      <c r="M797" t="str">
        <v>Female</v>
      </c>
      <c r="N797" t="str">
        <f>VLOOKUP(C:C,Customer_Dim!B:I,5,1)</f>
        <v>Cindyton</v>
      </c>
      <c r="O797" t="str">
        <f>VLOOKUP(C:C,Customer_Dim!B:I,6,1)</f>
        <v>Rhode Island</v>
      </c>
      <c r="P797" t="str">
        <f>VLOOKUP(C:C,Customer_Dim!B:I,7,1)</f>
        <v>USA</v>
      </c>
      <c r="Q797" t="str">
        <f>VLOOKUP(C:C,Customer_Dim!B:I,8,1)</f>
        <v>Gold</v>
      </c>
      <c r="S797">
        <v>1</v>
      </c>
      <c r="T797">
        <v>506.73</v>
      </c>
      <c r="U797">
        <v>0.28999999999999998</v>
      </c>
      <c r="V797">
        <v>359.7783</v>
      </c>
      <c r="X797" s="4">
        <v>1</v>
      </c>
      <c r="Y797">
        <v>506.73</v>
      </c>
      <c r="Z797">
        <v>0.28999999999999998</v>
      </c>
      <c r="AA797">
        <v>359.7783</v>
      </c>
    </row>
    <row r="798" spans="1:27" x14ac:dyDescent="0.3">
      <c r="A798" t="s">
        <v>2605</v>
      </c>
      <c r="B798" s="2">
        <v>45299</v>
      </c>
      <c r="C798" t="s">
        <v>195</v>
      </c>
      <c r="D798" t="s">
        <v>1633</v>
      </c>
      <c r="E798" t="s">
        <v>1787</v>
      </c>
      <c r="F798" s="4">
        <v>1</v>
      </c>
      <c r="G798">
        <v>408.66</v>
      </c>
      <c r="H798">
        <v>0.13</v>
      </c>
      <c r="I798" t="s">
        <v>1812</v>
      </c>
      <c r="J798">
        <v>355.5342</v>
      </c>
      <c r="K798" t="s">
        <v>196</v>
      </c>
      <c r="L798">
        <v>37</v>
      </c>
      <c r="M798" t="str">
        <v>Female</v>
      </c>
      <c r="N798" t="str">
        <f>VLOOKUP(C:C,Customer_Dim!B:I,5,1)</f>
        <v>South Timtown</v>
      </c>
      <c r="O798" t="str">
        <f>VLOOKUP(C:C,Customer_Dim!B:I,6,1)</f>
        <v>Minnesota</v>
      </c>
      <c r="P798" t="str">
        <f>VLOOKUP(C:C,Customer_Dim!B:I,7,1)</f>
        <v>USA</v>
      </c>
      <c r="Q798" t="str">
        <f>VLOOKUP(C:C,Customer_Dim!B:I,8,1)</f>
        <v>Bronze</v>
      </c>
      <c r="S798">
        <v>1</v>
      </c>
      <c r="T798">
        <v>408.66</v>
      </c>
      <c r="U798">
        <v>0.13</v>
      </c>
      <c r="V798">
        <v>355.5342</v>
      </c>
      <c r="X798" s="4">
        <v>1</v>
      </c>
      <c r="Y798">
        <v>408.66</v>
      </c>
      <c r="Z798">
        <v>0.13</v>
      </c>
      <c r="AA798">
        <v>355.5342</v>
      </c>
    </row>
    <row r="799" spans="1:27" x14ac:dyDescent="0.3">
      <c r="A799" t="s">
        <v>2606</v>
      </c>
      <c r="B799" s="2">
        <v>45447</v>
      </c>
      <c r="C799" t="s">
        <v>382</v>
      </c>
      <c r="D799" t="s">
        <v>1545</v>
      </c>
      <c r="E799" t="s">
        <v>1790</v>
      </c>
      <c r="F799" s="4">
        <v>3</v>
      </c>
      <c r="G799">
        <v>170.48</v>
      </c>
      <c r="H799">
        <v>0.06</v>
      </c>
      <c r="I799" t="s">
        <v>1812</v>
      </c>
      <c r="J799">
        <v>480.75359999999989</v>
      </c>
      <c r="K799" t="s">
        <v>383</v>
      </c>
      <c r="L799">
        <v>18</v>
      </c>
      <c r="M799" t="str">
        <v>Female</v>
      </c>
      <c r="N799" t="str">
        <f>VLOOKUP(C:C,Customer_Dim!B:I,5,1)</f>
        <v>New Dawnton</v>
      </c>
      <c r="O799" t="str">
        <f>VLOOKUP(C:C,Customer_Dim!B:I,6,1)</f>
        <v>Maryland</v>
      </c>
      <c r="P799" t="str">
        <f>VLOOKUP(C:C,Customer_Dim!B:I,7,1)</f>
        <v>USA</v>
      </c>
      <c r="Q799" t="str">
        <f>VLOOKUP(C:C,Customer_Dim!B:I,8,1)</f>
        <v>Gold</v>
      </c>
      <c r="S799">
        <v>3</v>
      </c>
      <c r="T799">
        <v>170.48</v>
      </c>
      <c r="U799">
        <v>0.06</v>
      </c>
      <c r="V799">
        <v>480.75359999999989</v>
      </c>
      <c r="X799" s="4">
        <v>3</v>
      </c>
      <c r="Y799">
        <v>170.48</v>
      </c>
      <c r="Z799">
        <v>0.06</v>
      </c>
      <c r="AA799">
        <v>480.75359999999989</v>
      </c>
    </row>
    <row r="800" spans="1:27" x14ac:dyDescent="0.3">
      <c r="A800" t="s">
        <v>2607</v>
      </c>
      <c r="B800" s="2">
        <v>45717</v>
      </c>
      <c r="C800" t="s">
        <v>342</v>
      </c>
      <c r="D800" t="s">
        <v>1567</v>
      </c>
      <c r="E800" t="s">
        <v>1769</v>
      </c>
      <c r="F800" s="4">
        <v>1</v>
      </c>
      <c r="G800">
        <v>423.48</v>
      </c>
      <c r="H800">
        <v>0.18</v>
      </c>
      <c r="I800" t="s">
        <v>1809</v>
      </c>
      <c r="J800">
        <v>347.25360000000012</v>
      </c>
      <c r="K800" t="s">
        <v>343</v>
      </c>
      <c r="L800">
        <v>24</v>
      </c>
      <c r="M800" t="str">
        <v>Male</v>
      </c>
      <c r="N800" t="str">
        <f>VLOOKUP(C:C,Customer_Dim!B:I,5,1)</f>
        <v>Lake Thomas</v>
      </c>
      <c r="O800" t="str">
        <f>VLOOKUP(C:C,Customer_Dim!B:I,6,1)</f>
        <v>South Dakota</v>
      </c>
      <c r="P800" t="str">
        <f>VLOOKUP(C:C,Customer_Dim!B:I,7,1)</f>
        <v>USA</v>
      </c>
      <c r="Q800" t="str">
        <f>VLOOKUP(C:C,Customer_Dim!B:I,8,1)</f>
        <v>Silver</v>
      </c>
      <c r="S800">
        <v>1</v>
      </c>
      <c r="T800">
        <v>423.48</v>
      </c>
      <c r="U800">
        <v>0.18</v>
      </c>
      <c r="V800">
        <v>347.25360000000012</v>
      </c>
      <c r="X800" s="4">
        <v>1</v>
      </c>
      <c r="Y800">
        <v>423.48</v>
      </c>
      <c r="Z800">
        <v>0.18</v>
      </c>
      <c r="AA800">
        <v>347.25360000000012</v>
      </c>
    </row>
    <row r="801" spans="1:27" x14ac:dyDescent="0.3">
      <c r="A801" t="s">
        <v>2608</v>
      </c>
      <c r="B801" s="2">
        <v>45213</v>
      </c>
      <c r="C801" t="s">
        <v>749</v>
      </c>
      <c r="D801" t="s">
        <v>1715</v>
      </c>
      <c r="E801" t="s">
        <v>1775</v>
      </c>
      <c r="F801" s="4">
        <v>4</v>
      </c>
      <c r="G801">
        <v>23.57</v>
      </c>
      <c r="H801">
        <v>0.1</v>
      </c>
      <c r="I801" t="s">
        <v>1807</v>
      </c>
      <c r="J801">
        <v>84.852000000000004</v>
      </c>
      <c r="K801" t="s">
        <v>750</v>
      </c>
      <c r="L801">
        <v>42</v>
      </c>
      <c r="M801" t="str">
        <v>Female</v>
      </c>
      <c r="N801" t="str">
        <f>VLOOKUP(C:C,Customer_Dim!B:I,5,1)</f>
        <v>South Angelaport</v>
      </c>
      <c r="O801" t="str">
        <f>VLOOKUP(C:C,Customer_Dim!B:I,6,1)</f>
        <v>Delaware</v>
      </c>
      <c r="P801" t="str">
        <f>VLOOKUP(C:C,Customer_Dim!B:I,7,1)</f>
        <v>USA</v>
      </c>
      <c r="Q801" t="str">
        <f>VLOOKUP(C:C,Customer_Dim!B:I,8,1)</f>
        <v>Bronze</v>
      </c>
      <c r="S801">
        <v>4</v>
      </c>
      <c r="T801">
        <v>23.57</v>
      </c>
      <c r="U801">
        <v>0.1</v>
      </c>
      <c r="V801">
        <v>84.852000000000004</v>
      </c>
      <c r="X801" s="4">
        <v>4</v>
      </c>
      <c r="Y801">
        <v>23.57</v>
      </c>
      <c r="Z801">
        <v>0.1</v>
      </c>
      <c r="AA801">
        <v>84.852000000000004</v>
      </c>
    </row>
    <row r="802" spans="1:27" x14ac:dyDescent="0.3">
      <c r="A802" t="s">
        <v>2609</v>
      </c>
      <c r="B802" s="2">
        <v>45837</v>
      </c>
      <c r="C802" t="s">
        <v>1177</v>
      </c>
      <c r="D802" t="s">
        <v>1615</v>
      </c>
      <c r="E802" t="s">
        <v>1793</v>
      </c>
      <c r="F802" s="4">
        <v>2</v>
      </c>
      <c r="G802">
        <v>953.26</v>
      </c>
      <c r="H802">
        <v>0.1</v>
      </c>
      <c r="I802" t="s">
        <v>1812</v>
      </c>
      <c r="J802">
        <v>1715.8679999999999</v>
      </c>
      <c r="K802" t="s">
        <v>1178</v>
      </c>
      <c r="L802">
        <v>20</v>
      </c>
      <c r="M802" t="str">
        <v>Female</v>
      </c>
      <c r="N802" t="str">
        <f>VLOOKUP(C:C,Customer_Dim!B:I,5,1)</f>
        <v>Andrewsland</v>
      </c>
      <c r="O802" t="str">
        <f>VLOOKUP(C:C,Customer_Dim!B:I,6,1)</f>
        <v>Alabama</v>
      </c>
      <c r="P802" t="str">
        <f>VLOOKUP(C:C,Customer_Dim!B:I,7,1)</f>
        <v>USA</v>
      </c>
      <c r="Q802" t="str">
        <f>VLOOKUP(C:C,Customer_Dim!B:I,8,1)</f>
        <v>Silver</v>
      </c>
      <c r="S802">
        <v>2</v>
      </c>
      <c r="T802">
        <v>953.26</v>
      </c>
      <c r="U802">
        <v>0.1</v>
      </c>
      <c r="V802">
        <v>1715.8679999999999</v>
      </c>
      <c r="X802" s="4">
        <v>2</v>
      </c>
      <c r="Y802">
        <v>953.26</v>
      </c>
      <c r="Z802">
        <v>0.1</v>
      </c>
      <c r="AA802">
        <v>1715.8679999999999</v>
      </c>
    </row>
    <row r="803" spans="1:27" x14ac:dyDescent="0.3">
      <c r="A803" t="s">
        <v>2610</v>
      </c>
      <c r="B803" s="2">
        <v>45277</v>
      </c>
      <c r="C803" t="s">
        <v>1078</v>
      </c>
      <c r="D803" t="s">
        <v>1677</v>
      </c>
      <c r="E803" t="s">
        <v>1762</v>
      </c>
      <c r="F803" s="4">
        <v>3</v>
      </c>
      <c r="G803">
        <v>405.13</v>
      </c>
      <c r="H803">
        <v>0.14000000000000001</v>
      </c>
      <c r="I803" t="s">
        <v>1812</v>
      </c>
      <c r="J803">
        <v>1045.2354</v>
      </c>
      <c r="K803" t="s">
        <v>3946</v>
      </c>
      <c r="L803">
        <v>55</v>
      </c>
      <c r="M803" t="str">
        <v>Male</v>
      </c>
      <c r="N803" t="str">
        <f>VLOOKUP(C:C,Customer_Dim!B:I,5,1)</f>
        <v>Peggystad</v>
      </c>
      <c r="O803" t="str">
        <f>VLOOKUP(C:C,Customer_Dim!B:I,6,1)</f>
        <v>Connecticut</v>
      </c>
      <c r="P803" t="str">
        <f>VLOOKUP(C:C,Customer_Dim!B:I,7,1)</f>
        <v>USA</v>
      </c>
      <c r="Q803" t="str">
        <f>VLOOKUP(C:C,Customer_Dim!B:I,8,1)</f>
        <v>Gold</v>
      </c>
      <c r="S803">
        <v>3</v>
      </c>
      <c r="T803">
        <v>405.13</v>
      </c>
      <c r="U803">
        <v>0.14000000000000001</v>
      </c>
      <c r="V803">
        <v>1045.2354</v>
      </c>
      <c r="X803" s="4">
        <v>3</v>
      </c>
      <c r="Y803">
        <v>405.13</v>
      </c>
      <c r="Z803">
        <v>0.14000000000000001</v>
      </c>
      <c r="AA803">
        <v>1045.2354</v>
      </c>
    </row>
    <row r="804" spans="1:27" x14ac:dyDescent="0.3">
      <c r="A804" t="s">
        <v>2611</v>
      </c>
      <c r="B804" s="2">
        <v>45248</v>
      </c>
      <c r="C804" t="s">
        <v>1054</v>
      </c>
      <c r="D804" t="s">
        <v>1532</v>
      </c>
      <c r="E804" t="s">
        <v>1752</v>
      </c>
      <c r="F804" s="4">
        <v>2</v>
      </c>
      <c r="G804">
        <v>333.83</v>
      </c>
      <c r="H804">
        <v>0.26</v>
      </c>
      <c r="I804" t="s">
        <v>1809</v>
      </c>
      <c r="J804">
        <v>494.0684</v>
      </c>
      <c r="K804" t="s">
        <v>1055</v>
      </c>
      <c r="L804">
        <v>27</v>
      </c>
      <c r="M804" t="str">
        <v>Male</v>
      </c>
      <c r="N804" t="str">
        <f>VLOOKUP(C:C,Customer_Dim!B:I,5,1)</f>
        <v>Stevensbury</v>
      </c>
      <c r="O804" t="str">
        <f>VLOOKUP(C:C,Customer_Dim!B:I,6,1)</f>
        <v>Arizona</v>
      </c>
      <c r="P804" t="str">
        <f>VLOOKUP(C:C,Customer_Dim!B:I,7,1)</f>
        <v>USA</v>
      </c>
      <c r="Q804" t="str">
        <f>VLOOKUP(C:C,Customer_Dim!B:I,8,1)</f>
        <v>Platinum</v>
      </c>
      <c r="S804">
        <v>2</v>
      </c>
      <c r="T804">
        <v>333.83</v>
      </c>
      <c r="U804">
        <v>0.26</v>
      </c>
      <c r="V804">
        <v>494.0684</v>
      </c>
      <c r="X804" s="4">
        <v>2</v>
      </c>
      <c r="Y804">
        <v>333.83</v>
      </c>
      <c r="Z804">
        <v>0.26</v>
      </c>
      <c r="AA804">
        <v>494.0684</v>
      </c>
    </row>
    <row r="805" spans="1:27" x14ac:dyDescent="0.3">
      <c r="A805" t="s">
        <v>2612</v>
      </c>
      <c r="B805" s="2">
        <v>45741</v>
      </c>
      <c r="C805" t="s">
        <v>1036</v>
      </c>
      <c r="D805" t="s">
        <v>1713</v>
      </c>
      <c r="E805" t="s">
        <v>1749</v>
      </c>
      <c r="F805" s="4">
        <v>2</v>
      </c>
      <c r="G805">
        <v>727.18</v>
      </c>
      <c r="H805">
        <v>0.22</v>
      </c>
      <c r="I805" t="s">
        <v>1809</v>
      </c>
      <c r="J805">
        <v>1134.4007999999999</v>
      </c>
      <c r="K805" t="s">
        <v>1037</v>
      </c>
      <c r="L805">
        <v>50</v>
      </c>
      <c r="M805" t="str">
        <v>Female</v>
      </c>
      <c r="N805" t="str">
        <f>VLOOKUP(C:C,Customer_Dim!B:I,5,1)</f>
        <v>Johnsonbury</v>
      </c>
      <c r="O805" t="str">
        <f>VLOOKUP(C:C,Customer_Dim!B:I,6,1)</f>
        <v>Georgia</v>
      </c>
      <c r="P805" t="str">
        <f>VLOOKUP(C:C,Customer_Dim!B:I,7,1)</f>
        <v>USA</v>
      </c>
      <c r="Q805" t="str">
        <f>VLOOKUP(C:C,Customer_Dim!B:I,8,1)</f>
        <v>Gold</v>
      </c>
      <c r="S805">
        <v>2</v>
      </c>
      <c r="T805">
        <v>727.18</v>
      </c>
      <c r="U805">
        <v>0.22</v>
      </c>
      <c r="V805">
        <v>1134.4007999999999</v>
      </c>
      <c r="X805" s="4">
        <v>2</v>
      </c>
      <c r="Y805">
        <v>727.18</v>
      </c>
      <c r="Z805">
        <v>0.22</v>
      </c>
      <c r="AA805">
        <v>1134.4007999999999</v>
      </c>
    </row>
    <row r="806" spans="1:27" x14ac:dyDescent="0.3">
      <c r="A806" t="s">
        <v>2613</v>
      </c>
      <c r="B806" s="2">
        <v>45778</v>
      </c>
      <c r="C806" t="s">
        <v>956</v>
      </c>
      <c r="D806" t="s">
        <v>1538</v>
      </c>
      <c r="E806" t="s">
        <v>1772</v>
      </c>
      <c r="F806" s="4">
        <v>2</v>
      </c>
      <c r="G806">
        <v>516.02</v>
      </c>
      <c r="H806">
        <v>0.19</v>
      </c>
      <c r="I806" t="s">
        <v>1812</v>
      </c>
      <c r="J806">
        <v>835.95240000000001</v>
      </c>
      <c r="K806" t="s">
        <v>957</v>
      </c>
      <c r="L806">
        <v>56</v>
      </c>
      <c r="M806" t="str">
        <v>Female</v>
      </c>
      <c r="N806" t="str">
        <f>VLOOKUP(C:C,Customer_Dim!B:I,5,1)</f>
        <v>New Nicholasstad</v>
      </c>
      <c r="O806" t="str">
        <f>VLOOKUP(C:C,Customer_Dim!B:I,6,1)</f>
        <v>Tennessee</v>
      </c>
      <c r="P806" t="str">
        <f>VLOOKUP(C:C,Customer_Dim!B:I,7,1)</f>
        <v>USA</v>
      </c>
      <c r="Q806" t="str">
        <f>VLOOKUP(C:C,Customer_Dim!B:I,8,1)</f>
        <v>Platinum</v>
      </c>
      <c r="S806">
        <v>2</v>
      </c>
      <c r="T806">
        <v>516.02</v>
      </c>
      <c r="U806">
        <v>0.19</v>
      </c>
      <c r="V806">
        <v>835.95240000000001</v>
      </c>
      <c r="X806" s="4">
        <v>2</v>
      </c>
      <c r="Y806">
        <v>516.02</v>
      </c>
      <c r="Z806">
        <v>0.19</v>
      </c>
      <c r="AA806">
        <v>835.95240000000001</v>
      </c>
    </row>
    <row r="807" spans="1:27" x14ac:dyDescent="0.3">
      <c r="A807" t="s">
        <v>2614</v>
      </c>
      <c r="B807" s="2">
        <v>45361</v>
      </c>
      <c r="C807" t="s">
        <v>923</v>
      </c>
      <c r="D807" t="s">
        <v>1615</v>
      </c>
      <c r="E807" t="s">
        <v>1775</v>
      </c>
      <c r="F807" s="4">
        <v>2</v>
      </c>
      <c r="G807">
        <v>705.61</v>
      </c>
      <c r="H807">
        <v>0.28000000000000003</v>
      </c>
      <c r="I807" t="s">
        <v>1807</v>
      </c>
      <c r="J807">
        <v>1016.0784</v>
      </c>
      <c r="K807" t="s">
        <v>924</v>
      </c>
      <c r="L807">
        <v>19</v>
      </c>
      <c r="M807" t="str">
        <v>Female</v>
      </c>
      <c r="N807" t="str">
        <f>VLOOKUP(C:C,Customer_Dim!B:I,5,1)</f>
        <v>Port Richard</v>
      </c>
      <c r="O807" t="str">
        <f>VLOOKUP(C:C,Customer_Dim!B:I,6,1)</f>
        <v>Montana</v>
      </c>
      <c r="P807" t="str">
        <f>VLOOKUP(C:C,Customer_Dim!B:I,7,1)</f>
        <v>USA</v>
      </c>
      <c r="Q807" t="str">
        <f>VLOOKUP(C:C,Customer_Dim!B:I,8,1)</f>
        <v>Platinum</v>
      </c>
      <c r="S807">
        <v>2</v>
      </c>
      <c r="T807">
        <v>705.61</v>
      </c>
      <c r="U807">
        <v>0.28000000000000003</v>
      </c>
      <c r="V807">
        <v>1016.0784</v>
      </c>
      <c r="X807" s="4">
        <v>2</v>
      </c>
      <c r="Y807">
        <v>705.61</v>
      </c>
      <c r="Z807">
        <v>0.28000000000000003</v>
      </c>
      <c r="AA807">
        <v>1016.0784</v>
      </c>
    </row>
    <row r="808" spans="1:27" x14ac:dyDescent="0.3">
      <c r="A808" t="s">
        <v>2615</v>
      </c>
      <c r="B808" s="2">
        <v>45414</v>
      </c>
      <c r="C808" t="s">
        <v>867</v>
      </c>
      <c r="D808" t="s">
        <v>1699</v>
      </c>
      <c r="E808" t="s">
        <v>1765</v>
      </c>
      <c r="F808" s="4">
        <v>3</v>
      </c>
      <c r="G808">
        <v>654.47</v>
      </c>
      <c r="H808">
        <v>0.18</v>
      </c>
      <c r="I808" t="s">
        <v>1812</v>
      </c>
      <c r="J808">
        <v>1609.9962</v>
      </c>
      <c r="K808" t="s">
        <v>868</v>
      </c>
      <c r="L808">
        <v>38</v>
      </c>
      <c r="M808" t="str">
        <v>Male</v>
      </c>
      <c r="N808" t="str">
        <f>VLOOKUP(C:C,Customer_Dim!B:I,5,1)</f>
        <v>North Austinport</v>
      </c>
      <c r="O808" t="str">
        <f>VLOOKUP(C:C,Customer_Dim!B:I,6,1)</f>
        <v>Kentucky</v>
      </c>
      <c r="P808" t="str">
        <f>VLOOKUP(C:C,Customer_Dim!B:I,7,1)</f>
        <v>USA</v>
      </c>
      <c r="Q808" t="str">
        <f>VLOOKUP(C:C,Customer_Dim!B:I,8,1)</f>
        <v>Gold</v>
      </c>
      <c r="S808">
        <v>3</v>
      </c>
      <c r="T808">
        <v>654.47</v>
      </c>
      <c r="U808">
        <v>0.18</v>
      </c>
      <c r="V808">
        <v>1609.9962</v>
      </c>
      <c r="X808" s="4">
        <v>3</v>
      </c>
      <c r="Y808">
        <v>654.47</v>
      </c>
      <c r="Z808">
        <v>0.18</v>
      </c>
      <c r="AA808">
        <v>1609.9962</v>
      </c>
    </row>
    <row r="809" spans="1:27" x14ac:dyDescent="0.3">
      <c r="A809" t="s">
        <v>2616</v>
      </c>
      <c r="B809" s="2">
        <v>45734</v>
      </c>
      <c r="C809" t="s">
        <v>562</v>
      </c>
      <c r="D809" t="s">
        <v>1707</v>
      </c>
      <c r="E809" t="s">
        <v>1784</v>
      </c>
      <c r="F809" s="4">
        <v>2</v>
      </c>
      <c r="G809">
        <v>315.27</v>
      </c>
      <c r="H809">
        <v>0.23</v>
      </c>
      <c r="I809" t="s">
        <v>1807</v>
      </c>
      <c r="J809">
        <v>485.51580000000001</v>
      </c>
      <c r="K809" t="s">
        <v>563</v>
      </c>
      <c r="L809">
        <v>41</v>
      </c>
      <c r="M809" t="str">
        <v>Female</v>
      </c>
      <c r="N809" t="str">
        <f>VLOOKUP(C:C,Customer_Dim!B:I,5,1)</f>
        <v>Morrisburgh</v>
      </c>
      <c r="O809" t="str">
        <f>VLOOKUP(C:C,Customer_Dim!B:I,6,1)</f>
        <v>Indiana</v>
      </c>
      <c r="P809" t="str">
        <f>VLOOKUP(C:C,Customer_Dim!B:I,7,1)</f>
        <v>USA</v>
      </c>
      <c r="Q809" t="str">
        <f>VLOOKUP(C:C,Customer_Dim!B:I,8,1)</f>
        <v>Platinum</v>
      </c>
      <c r="S809">
        <v>2</v>
      </c>
      <c r="T809">
        <v>315.27</v>
      </c>
      <c r="U809">
        <v>0.23</v>
      </c>
      <c r="V809">
        <v>485.51580000000001</v>
      </c>
      <c r="X809" s="4">
        <v>2</v>
      </c>
      <c r="Y809">
        <v>315.27</v>
      </c>
      <c r="Z809">
        <v>0.23</v>
      </c>
      <c r="AA809">
        <v>485.51580000000001</v>
      </c>
    </row>
    <row r="810" spans="1:27" x14ac:dyDescent="0.3">
      <c r="A810" t="s">
        <v>2617</v>
      </c>
      <c r="B810" s="2">
        <v>45623</v>
      </c>
      <c r="C810" t="s">
        <v>713</v>
      </c>
      <c r="D810" t="s">
        <v>1587</v>
      </c>
      <c r="E810" t="s">
        <v>1744</v>
      </c>
      <c r="F810" s="4">
        <v>1</v>
      </c>
      <c r="G810">
        <v>974.47</v>
      </c>
      <c r="H810">
        <v>0.05</v>
      </c>
      <c r="I810" t="s">
        <v>1807</v>
      </c>
      <c r="J810">
        <v>925.74649999999997</v>
      </c>
      <c r="K810" t="s">
        <v>714</v>
      </c>
      <c r="L810">
        <v>50</v>
      </c>
      <c r="M810" t="str">
        <v>Male</v>
      </c>
      <c r="N810" t="str">
        <f>VLOOKUP(C:C,Customer_Dim!B:I,5,1)</f>
        <v>East Crystalton</v>
      </c>
      <c r="O810" t="str">
        <f>VLOOKUP(C:C,Customer_Dim!B:I,6,1)</f>
        <v>New Mexico</v>
      </c>
      <c r="P810" t="str">
        <f>VLOOKUP(C:C,Customer_Dim!B:I,7,1)</f>
        <v>USA</v>
      </c>
      <c r="Q810" t="str">
        <f>VLOOKUP(C:C,Customer_Dim!B:I,8,1)</f>
        <v>Platinum</v>
      </c>
      <c r="S810">
        <v>1</v>
      </c>
      <c r="T810">
        <v>974.47</v>
      </c>
      <c r="U810">
        <v>0.05</v>
      </c>
      <c r="V810">
        <v>925.74649999999997</v>
      </c>
      <c r="X810" s="4">
        <v>1</v>
      </c>
      <c r="Y810">
        <v>974.47</v>
      </c>
      <c r="Z810">
        <v>0.05</v>
      </c>
      <c r="AA810">
        <v>925.74649999999997</v>
      </c>
    </row>
    <row r="811" spans="1:27" x14ac:dyDescent="0.3">
      <c r="A811" t="s">
        <v>2618</v>
      </c>
      <c r="B811" s="2">
        <v>45340</v>
      </c>
      <c r="C811" t="s">
        <v>244</v>
      </c>
      <c r="D811" t="s">
        <v>1532</v>
      </c>
      <c r="E811" t="s">
        <v>1752</v>
      </c>
      <c r="F811" s="4">
        <v>2</v>
      </c>
      <c r="G811">
        <v>803.3</v>
      </c>
      <c r="H811">
        <v>0.17</v>
      </c>
      <c r="I811" t="s">
        <v>1807</v>
      </c>
      <c r="J811">
        <v>1333.4780000000001</v>
      </c>
      <c r="K811" t="s">
        <v>245</v>
      </c>
      <c r="L811">
        <v>24</v>
      </c>
      <c r="M811" t="str">
        <v>Female</v>
      </c>
      <c r="N811" t="str">
        <f>VLOOKUP(C:C,Customer_Dim!B:I,5,1)</f>
        <v>Brendaburgh</v>
      </c>
      <c r="O811" t="str">
        <f>VLOOKUP(C:C,Customer_Dim!B:I,6,1)</f>
        <v>Florida</v>
      </c>
      <c r="P811" t="str">
        <f>VLOOKUP(C:C,Customer_Dim!B:I,7,1)</f>
        <v>USA</v>
      </c>
      <c r="Q811" t="str">
        <f>VLOOKUP(C:C,Customer_Dim!B:I,8,1)</f>
        <v>Silver</v>
      </c>
      <c r="S811">
        <v>2</v>
      </c>
      <c r="T811">
        <v>803.3</v>
      </c>
      <c r="U811">
        <v>0.17</v>
      </c>
      <c r="V811">
        <v>1333.4780000000001</v>
      </c>
      <c r="X811" s="4">
        <v>2</v>
      </c>
      <c r="Y811">
        <v>803.3</v>
      </c>
      <c r="Z811">
        <v>0.17</v>
      </c>
      <c r="AA811">
        <v>1333.4780000000001</v>
      </c>
    </row>
    <row r="812" spans="1:27" x14ac:dyDescent="0.3">
      <c r="A812" t="s">
        <v>2619</v>
      </c>
      <c r="B812" s="2">
        <v>45447</v>
      </c>
      <c r="C812" t="s">
        <v>63</v>
      </c>
      <c r="D812" t="s">
        <v>1532</v>
      </c>
      <c r="E812" t="s">
        <v>1772</v>
      </c>
      <c r="F812" s="4">
        <v>4</v>
      </c>
      <c r="G812">
        <v>863.87</v>
      </c>
      <c r="H812">
        <v>0.21</v>
      </c>
      <c r="I812" t="s">
        <v>1812</v>
      </c>
      <c r="J812">
        <v>2729.8292000000001</v>
      </c>
      <c r="K812" t="s">
        <v>64</v>
      </c>
      <c r="L812">
        <v>53</v>
      </c>
      <c r="M812" t="str">
        <v>Female</v>
      </c>
      <c r="N812" t="str">
        <f>VLOOKUP(C:C,Customer_Dim!B:I,5,1)</f>
        <v>New Becky</v>
      </c>
      <c r="O812" t="str">
        <f>VLOOKUP(C:C,Customer_Dim!B:I,6,1)</f>
        <v>Montana</v>
      </c>
      <c r="P812" t="str">
        <f>VLOOKUP(C:C,Customer_Dim!B:I,7,1)</f>
        <v>USA</v>
      </c>
      <c r="Q812" t="str">
        <f>VLOOKUP(C:C,Customer_Dim!B:I,8,1)</f>
        <v>Silver</v>
      </c>
      <c r="S812">
        <v>4</v>
      </c>
      <c r="T812">
        <v>863.87</v>
      </c>
      <c r="U812">
        <v>0.21</v>
      </c>
      <c r="V812">
        <v>2729.8292000000001</v>
      </c>
      <c r="X812" s="4">
        <v>4</v>
      </c>
      <c r="Y812">
        <v>863.87</v>
      </c>
      <c r="Z812">
        <v>0.21</v>
      </c>
      <c r="AA812">
        <v>2729.8292000000001</v>
      </c>
    </row>
    <row r="813" spans="1:27" x14ac:dyDescent="0.3">
      <c r="A813" t="s">
        <v>2620</v>
      </c>
      <c r="B813" s="2">
        <v>45513</v>
      </c>
      <c r="C813" t="s">
        <v>1430</v>
      </c>
      <c r="D813" t="s">
        <v>1691</v>
      </c>
      <c r="E813" t="s">
        <v>1793</v>
      </c>
      <c r="F813" s="4">
        <v>1</v>
      </c>
      <c r="G813">
        <v>450.11</v>
      </c>
      <c r="H813">
        <v>0.17</v>
      </c>
      <c r="I813" t="s">
        <v>1807</v>
      </c>
      <c r="J813">
        <v>373.59129999999999</v>
      </c>
      <c r="K813" t="s">
        <v>1431</v>
      </c>
      <c r="L813">
        <v>21</v>
      </c>
      <c r="M813" t="str">
        <v>Female</v>
      </c>
      <c r="N813" t="str">
        <f>VLOOKUP(C:C,Customer_Dim!B:I,5,1)</f>
        <v>East Audrey</v>
      </c>
      <c r="O813" t="str">
        <f>VLOOKUP(C:C,Customer_Dim!B:I,6,1)</f>
        <v>Utah</v>
      </c>
      <c r="P813" t="str">
        <f>VLOOKUP(C:C,Customer_Dim!B:I,7,1)</f>
        <v>USA</v>
      </c>
      <c r="Q813" t="str">
        <f>VLOOKUP(C:C,Customer_Dim!B:I,8,1)</f>
        <v>Gold</v>
      </c>
      <c r="S813">
        <v>1</v>
      </c>
      <c r="T813">
        <v>450.11</v>
      </c>
      <c r="U813">
        <v>0.17</v>
      </c>
      <c r="V813">
        <v>373.59129999999999</v>
      </c>
      <c r="X813" s="4">
        <v>1</v>
      </c>
      <c r="Y813">
        <v>450.11</v>
      </c>
      <c r="Z813">
        <v>0.17</v>
      </c>
      <c r="AA813">
        <v>373.59129999999999</v>
      </c>
    </row>
    <row r="814" spans="1:27" x14ac:dyDescent="0.3">
      <c r="A814" t="s">
        <v>2621</v>
      </c>
      <c r="B814" s="2">
        <v>45486</v>
      </c>
      <c r="C814" t="s">
        <v>734</v>
      </c>
      <c r="D814" t="s">
        <v>1667</v>
      </c>
      <c r="E814" t="s">
        <v>1780</v>
      </c>
      <c r="F814" s="4">
        <v>1</v>
      </c>
      <c r="G814">
        <v>289.82</v>
      </c>
      <c r="H814">
        <v>0.18</v>
      </c>
      <c r="I814" t="s">
        <v>1812</v>
      </c>
      <c r="J814">
        <v>237.6524</v>
      </c>
      <c r="K814" t="s">
        <v>735</v>
      </c>
      <c r="L814">
        <v>22</v>
      </c>
      <c r="M814" t="str">
        <v>Female</v>
      </c>
      <c r="N814" t="str">
        <f>VLOOKUP(C:C,Customer_Dim!B:I,5,1)</f>
        <v>Aaronmouth</v>
      </c>
      <c r="O814" t="str">
        <f>VLOOKUP(C:C,Customer_Dim!B:I,6,1)</f>
        <v>Florida</v>
      </c>
      <c r="P814" t="str">
        <f>VLOOKUP(C:C,Customer_Dim!B:I,7,1)</f>
        <v>USA</v>
      </c>
      <c r="Q814" t="str">
        <f>VLOOKUP(C:C,Customer_Dim!B:I,8,1)</f>
        <v>Bronze</v>
      </c>
      <c r="S814">
        <v>1</v>
      </c>
      <c r="T814">
        <v>289.82</v>
      </c>
      <c r="U814">
        <v>0.18</v>
      </c>
      <c r="V814">
        <v>237.6524</v>
      </c>
      <c r="X814" s="4">
        <v>1</v>
      </c>
      <c r="Y814">
        <v>289.82</v>
      </c>
      <c r="Z814">
        <v>0.18</v>
      </c>
      <c r="AA814">
        <v>237.6524</v>
      </c>
    </row>
    <row r="815" spans="1:27" x14ac:dyDescent="0.3">
      <c r="A815" t="s">
        <v>2622</v>
      </c>
      <c r="B815" s="2">
        <v>45890</v>
      </c>
      <c r="C815" t="s">
        <v>1039</v>
      </c>
      <c r="D815" t="s">
        <v>1639</v>
      </c>
      <c r="E815" t="s">
        <v>1772</v>
      </c>
      <c r="F815" s="4">
        <v>4</v>
      </c>
      <c r="G815">
        <v>250.64</v>
      </c>
      <c r="H815">
        <v>0.1</v>
      </c>
      <c r="I815" t="s">
        <v>1809</v>
      </c>
      <c r="J815">
        <v>902.30399999999997</v>
      </c>
      <c r="K815" t="s">
        <v>1040</v>
      </c>
      <c r="L815">
        <v>37</v>
      </c>
      <c r="M815" t="str">
        <v>Male</v>
      </c>
      <c r="N815" t="str">
        <f>VLOOKUP(C:C,Customer_Dim!B:I,5,1)</f>
        <v>Donaldsontown</v>
      </c>
      <c r="O815" t="str">
        <f>VLOOKUP(C:C,Customer_Dim!B:I,6,1)</f>
        <v>Connecticut</v>
      </c>
      <c r="P815" t="str">
        <f>VLOOKUP(C:C,Customer_Dim!B:I,7,1)</f>
        <v>USA</v>
      </c>
      <c r="Q815" t="str">
        <f>VLOOKUP(C:C,Customer_Dim!B:I,8,1)</f>
        <v>Silver</v>
      </c>
      <c r="S815">
        <v>4</v>
      </c>
      <c r="T815">
        <v>250.64</v>
      </c>
      <c r="U815">
        <v>0.1</v>
      </c>
      <c r="V815">
        <v>902.30399999999997</v>
      </c>
      <c r="X815" s="4">
        <v>4</v>
      </c>
      <c r="Y815">
        <v>250.64</v>
      </c>
      <c r="Z815">
        <v>0.1</v>
      </c>
      <c r="AA815">
        <v>902.30399999999997</v>
      </c>
    </row>
    <row r="816" spans="1:27" x14ac:dyDescent="0.3">
      <c r="A816" t="s">
        <v>2623</v>
      </c>
      <c r="B816" s="2">
        <v>45876</v>
      </c>
      <c r="C816" t="s">
        <v>903</v>
      </c>
      <c r="D816" t="s">
        <v>1669</v>
      </c>
      <c r="E816" t="s">
        <v>1796</v>
      </c>
      <c r="F816" s="4">
        <v>4</v>
      </c>
      <c r="G816">
        <v>373.49</v>
      </c>
      <c r="H816">
        <v>0.16</v>
      </c>
      <c r="I816" t="s">
        <v>1812</v>
      </c>
      <c r="J816">
        <v>1254.9264000000001</v>
      </c>
      <c r="K816" t="s">
        <v>904</v>
      </c>
      <c r="L816">
        <v>58</v>
      </c>
      <c r="M816" t="str">
        <v>Male</v>
      </c>
      <c r="N816" t="str">
        <f>VLOOKUP(C:C,Customer_Dim!B:I,5,1)</f>
        <v>Millerfort</v>
      </c>
      <c r="O816" t="str">
        <f>VLOOKUP(C:C,Customer_Dim!B:I,6,1)</f>
        <v>Vermont</v>
      </c>
      <c r="P816" t="str">
        <f>VLOOKUP(C:C,Customer_Dim!B:I,7,1)</f>
        <v>USA</v>
      </c>
      <c r="Q816" t="str">
        <f>VLOOKUP(C:C,Customer_Dim!B:I,8,1)</f>
        <v>Gold</v>
      </c>
      <c r="S816">
        <v>4</v>
      </c>
      <c r="T816">
        <v>373.49</v>
      </c>
      <c r="U816">
        <v>0.16</v>
      </c>
      <c r="V816">
        <v>1254.9264000000001</v>
      </c>
      <c r="X816" s="4">
        <v>4</v>
      </c>
      <c r="Y816">
        <v>373.49</v>
      </c>
      <c r="Z816">
        <v>0.16</v>
      </c>
      <c r="AA816">
        <v>1254.9264000000001</v>
      </c>
    </row>
    <row r="817" spans="1:27" x14ac:dyDescent="0.3">
      <c r="A817" t="s">
        <v>2624</v>
      </c>
      <c r="B817" s="2">
        <v>45398</v>
      </c>
      <c r="C817" t="s">
        <v>241</v>
      </c>
      <c r="D817" t="s">
        <v>1534</v>
      </c>
      <c r="E817" t="s">
        <v>1769</v>
      </c>
      <c r="F817" s="4">
        <v>4</v>
      </c>
      <c r="G817">
        <v>348.91</v>
      </c>
      <c r="H817">
        <v>0.18</v>
      </c>
      <c r="I817" t="s">
        <v>1809</v>
      </c>
      <c r="J817">
        <v>1144.4248</v>
      </c>
      <c r="K817" t="s">
        <v>242</v>
      </c>
      <c r="L817">
        <v>58</v>
      </c>
      <c r="M817" t="str">
        <v>Male</v>
      </c>
      <c r="N817" t="str">
        <f>VLOOKUP(C:C,Customer_Dim!B:I,5,1)</f>
        <v>South Aaronside</v>
      </c>
      <c r="O817" t="str">
        <f>VLOOKUP(C:C,Customer_Dim!B:I,6,1)</f>
        <v>New Hampshire</v>
      </c>
      <c r="P817" t="str">
        <f>VLOOKUP(C:C,Customer_Dim!B:I,7,1)</f>
        <v>USA</v>
      </c>
      <c r="Q817" t="str">
        <f>VLOOKUP(C:C,Customer_Dim!B:I,8,1)</f>
        <v>Silver</v>
      </c>
      <c r="S817">
        <v>4</v>
      </c>
      <c r="T817">
        <v>348.91</v>
      </c>
      <c r="U817">
        <v>0.18</v>
      </c>
      <c r="V817">
        <v>1144.4248</v>
      </c>
      <c r="X817" s="4">
        <v>4</v>
      </c>
      <c r="Y817">
        <v>348.91</v>
      </c>
      <c r="Z817">
        <v>0.18</v>
      </c>
      <c r="AA817">
        <v>1144.4248</v>
      </c>
    </row>
    <row r="818" spans="1:27" x14ac:dyDescent="0.3">
      <c r="A818" t="s">
        <v>2625</v>
      </c>
      <c r="B818" s="2">
        <v>45390</v>
      </c>
      <c r="C818" t="s">
        <v>382</v>
      </c>
      <c r="D818" t="s">
        <v>1719</v>
      </c>
      <c r="E818" t="s">
        <v>1790</v>
      </c>
      <c r="F818" s="4">
        <v>4</v>
      </c>
      <c r="G818">
        <v>212.96</v>
      </c>
      <c r="H818">
        <v>0.17</v>
      </c>
      <c r="I818" t="s">
        <v>1807</v>
      </c>
      <c r="J818">
        <v>707.02719999999999</v>
      </c>
      <c r="K818" t="s">
        <v>383</v>
      </c>
      <c r="L818">
        <v>18</v>
      </c>
      <c r="M818" t="str">
        <v>Female</v>
      </c>
      <c r="N818" t="str">
        <f>VLOOKUP(C:C,Customer_Dim!B:I,5,1)</f>
        <v>New Dawnton</v>
      </c>
      <c r="O818" t="str">
        <f>VLOOKUP(C:C,Customer_Dim!B:I,6,1)</f>
        <v>Maryland</v>
      </c>
      <c r="P818" t="str">
        <f>VLOOKUP(C:C,Customer_Dim!B:I,7,1)</f>
        <v>USA</v>
      </c>
      <c r="Q818" t="str">
        <f>VLOOKUP(C:C,Customer_Dim!B:I,8,1)</f>
        <v>Gold</v>
      </c>
      <c r="S818">
        <v>4</v>
      </c>
      <c r="T818">
        <v>212.96</v>
      </c>
      <c r="U818">
        <v>0.17</v>
      </c>
      <c r="V818">
        <v>707.02719999999999</v>
      </c>
      <c r="X818" s="4">
        <v>4</v>
      </c>
      <c r="Y818">
        <v>212.96</v>
      </c>
      <c r="Z818">
        <v>0.17</v>
      </c>
      <c r="AA818">
        <v>707.02719999999999</v>
      </c>
    </row>
    <row r="819" spans="1:27" x14ac:dyDescent="0.3">
      <c r="A819" t="s">
        <v>2626</v>
      </c>
      <c r="B819" s="2">
        <v>45406</v>
      </c>
      <c r="C819" t="s">
        <v>619</v>
      </c>
      <c r="D819" t="s">
        <v>1585</v>
      </c>
      <c r="E819" t="s">
        <v>1796</v>
      </c>
      <c r="F819" s="4">
        <v>3</v>
      </c>
      <c r="G819">
        <v>871.34</v>
      </c>
      <c r="H819">
        <v>0.11</v>
      </c>
      <c r="I819" t="s">
        <v>1812</v>
      </c>
      <c r="J819">
        <v>2326.4778000000001</v>
      </c>
      <c r="K819" t="s">
        <v>620</v>
      </c>
      <c r="L819">
        <v>29</v>
      </c>
      <c r="M819" t="str">
        <v>Female</v>
      </c>
      <c r="N819" t="str">
        <f>VLOOKUP(C:C,Customer_Dim!B:I,5,1)</f>
        <v>Amandaside</v>
      </c>
      <c r="O819" t="str">
        <f>VLOOKUP(C:C,Customer_Dim!B:I,6,1)</f>
        <v>New York</v>
      </c>
      <c r="P819" t="str">
        <f>VLOOKUP(C:C,Customer_Dim!B:I,7,1)</f>
        <v>USA</v>
      </c>
      <c r="Q819" t="str">
        <f>VLOOKUP(C:C,Customer_Dim!B:I,8,1)</f>
        <v>Bronze</v>
      </c>
      <c r="S819">
        <v>3</v>
      </c>
      <c r="T819">
        <v>871.34</v>
      </c>
      <c r="U819">
        <v>0.11</v>
      </c>
      <c r="V819">
        <v>2326.4778000000001</v>
      </c>
      <c r="X819" s="4">
        <v>3</v>
      </c>
      <c r="Y819">
        <v>871.34</v>
      </c>
      <c r="Z819">
        <v>0.11</v>
      </c>
      <c r="AA819">
        <v>2326.4778000000001</v>
      </c>
    </row>
    <row r="820" spans="1:27" x14ac:dyDescent="0.3">
      <c r="A820" t="s">
        <v>2627</v>
      </c>
      <c r="B820" s="2">
        <v>45844</v>
      </c>
      <c r="C820" t="s">
        <v>351</v>
      </c>
      <c r="D820" t="s">
        <v>1719</v>
      </c>
      <c r="E820" t="s">
        <v>1735</v>
      </c>
      <c r="F820" s="4">
        <v>2</v>
      </c>
      <c r="G820">
        <v>698.94</v>
      </c>
      <c r="H820">
        <v>0.06</v>
      </c>
      <c r="I820" t="s">
        <v>1807</v>
      </c>
      <c r="J820">
        <v>1314.0072</v>
      </c>
      <c r="K820" t="s">
        <v>352</v>
      </c>
      <c r="L820">
        <v>29</v>
      </c>
      <c r="M820" t="str">
        <v>Male</v>
      </c>
      <c r="N820" t="str">
        <f>VLOOKUP(C:C,Customer_Dim!B:I,5,1)</f>
        <v>North Codyport</v>
      </c>
      <c r="O820" t="str">
        <f>VLOOKUP(C:C,Customer_Dim!B:I,6,1)</f>
        <v>Texas</v>
      </c>
      <c r="P820" t="str">
        <f>VLOOKUP(C:C,Customer_Dim!B:I,7,1)</f>
        <v>USA</v>
      </c>
      <c r="Q820" t="str">
        <f>VLOOKUP(C:C,Customer_Dim!B:I,8,1)</f>
        <v>Platinum</v>
      </c>
      <c r="S820">
        <v>2</v>
      </c>
      <c r="T820">
        <v>698.94</v>
      </c>
      <c r="U820">
        <v>0.06</v>
      </c>
      <c r="V820">
        <v>1314.0072</v>
      </c>
      <c r="X820" s="4">
        <v>2</v>
      </c>
      <c r="Y820">
        <v>698.94</v>
      </c>
      <c r="Z820">
        <v>0.06</v>
      </c>
      <c r="AA820">
        <v>1314.0072</v>
      </c>
    </row>
    <row r="821" spans="1:27" x14ac:dyDescent="0.3">
      <c r="A821" t="s">
        <v>2628</v>
      </c>
      <c r="B821" s="2">
        <v>45697</v>
      </c>
      <c r="C821" t="s">
        <v>986</v>
      </c>
      <c r="D821" t="s">
        <v>1679</v>
      </c>
      <c r="E821" t="s">
        <v>1735</v>
      </c>
      <c r="F821" s="4">
        <v>1</v>
      </c>
      <c r="G821">
        <v>719.94</v>
      </c>
      <c r="H821">
        <v>0.23</v>
      </c>
      <c r="I821" t="s">
        <v>1812</v>
      </c>
      <c r="J821">
        <v>554.35380000000009</v>
      </c>
      <c r="K821" t="s">
        <v>987</v>
      </c>
      <c r="L821">
        <v>64</v>
      </c>
      <c r="M821" t="str">
        <v>Female</v>
      </c>
      <c r="N821" t="str">
        <f>VLOOKUP(C:C,Customer_Dim!B:I,5,1)</f>
        <v>Lake James</v>
      </c>
      <c r="O821" t="str">
        <f>VLOOKUP(C:C,Customer_Dim!B:I,6,1)</f>
        <v>Maryland</v>
      </c>
      <c r="P821" t="str">
        <f>VLOOKUP(C:C,Customer_Dim!B:I,7,1)</f>
        <v>USA</v>
      </c>
      <c r="Q821" t="str">
        <f>VLOOKUP(C:C,Customer_Dim!B:I,8,1)</f>
        <v>Gold</v>
      </c>
      <c r="S821">
        <v>1</v>
      </c>
      <c r="T821">
        <v>719.94</v>
      </c>
      <c r="U821">
        <v>0.23</v>
      </c>
      <c r="V821">
        <v>554.35380000000009</v>
      </c>
      <c r="X821" s="4">
        <v>1</v>
      </c>
      <c r="Y821">
        <v>719.94</v>
      </c>
      <c r="Z821">
        <v>0.23</v>
      </c>
      <c r="AA821">
        <v>554.35380000000009</v>
      </c>
    </row>
    <row r="822" spans="1:27" x14ac:dyDescent="0.3">
      <c r="A822" t="s">
        <v>2629</v>
      </c>
      <c r="B822" s="2">
        <v>45607</v>
      </c>
      <c r="C822" t="s">
        <v>36</v>
      </c>
      <c r="D822" t="s">
        <v>1587</v>
      </c>
      <c r="E822" t="s">
        <v>1752</v>
      </c>
      <c r="F822" s="4">
        <v>2</v>
      </c>
      <c r="G822">
        <v>278.16000000000003</v>
      </c>
      <c r="H822">
        <v>0.22</v>
      </c>
      <c r="I822" t="s">
        <v>1809</v>
      </c>
      <c r="J822">
        <v>433.92960000000011</v>
      </c>
      <c r="K822" t="s">
        <v>37</v>
      </c>
      <c r="L822">
        <v>29</v>
      </c>
      <c r="M822" t="str">
        <v>Female</v>
      </c>
      <c r="N822" t="str">
        <f>VLOOKUP(C:C,Customer_Dim!B:I,5,1)</f>
        <v>Deborahborough</v>
      </c>
      <c r="O822" t="str">
        <f>VLOOKUP(C:C,Customer_Dim!B:I,6,1)</f>
        <v>South Dakota</v>
      </c>
      <c r="P822" t="str">
        <f>VLOOKUP(C:C,Customer_Dim!B:I,7,1)</f>
        <v>USA</v>
      </c>
      <c r="Q822" t="str">
        <f>VLOOKUP(C:C,Customer_Dim!B:I,8,1)</f>
        <v>Platinum</v>
      </c>
      <c r="S822">
        <v>2</v>
      </c>
      <c r="T822">
        <v>278.16000000000003</v>
      </c>
      <c r="U822">
        <v>0.22</v>
      </c>
      <c r="V822">
        <v>433.92960000000011</v>
      </c>
      <c r="X822" s="4">
        <v>2</v>
      </c>
      <c r="Y822">
        <v>278.16000000000003</v>
      </c>
      <c r="Z822">
        <v>0.22</v>
      </c>
      <c r="AA822">
        <v>433.92960000000011</v>
      </c>
    </row>
    <row r="823" spans="1:27" x14ac:dyDescent="0.3">
      <c r="A823" t="s">
        <v>2630</v>
      </c>
      <c r="B823" s="2">
        <v>45307</v>
      </c>
      <c r="C823" t="s">
        <v>199</v>
      </c>
      <c r="D823" t="s">
        <v>1629</v>
      </c>
      <c r="E823" t="s">
        <v>1756</v>
      </c>
      <c r="F823" s="4">
        <v>1</v>
      </c>
      <c r="G823">
        <v>678.9</v>
      </c>
      <c r="H823">
        <v>0.17</v>
      </c>
      <c r="I823" t="s">
        <v>1807</v>
      </c>
      <c r="J823">
        <v>563.48699999999997</v>
      </c>
      <c r="K823" t="s">
        <v>200</v>
      </c>
      <c r="L823">
        <v>24</v>
      </c>
      <c r="M823" t="str">
        <v>Male</v>
      </c>
      <c r="N823" t="str">
        <f>VLOOKUP(C:C,Customer_Dim!B:I,5,1)</f>
        <v>East Andrea</v>
      </c>
      <c r="O823" t="str">
        <f>VLOOKUP(C:C,Customer_Dim!B:I,6,1)</f>
        <v>Michigan</v>
      </c>
      <c r="P823" t="str">
        <f>VLOOKUP(C:C,Customer_Dim!B:I,7,1)</f>
        <v>USA</v>
      </c>
      <c r="Q823" t="str">
        <f>VLOOKUP(C:C,Customer_Dim!B:I,8,1)</f>
        <v>Gold</v>
      </c>
      <c r="S823">
        <v>1</v>
      </c>
      <c r="T823">
        <v>678.9</v>
      </c>
      <c r="U823">
        <v>0.17</v>
      </c>
      <c r="V823">
        <v>563.48699999999997</v>
      </c>
      <c r="X823" s="4">
        <v>1</v>
      </c>
      <c r="Y823">
        <v>678.9</v>
      </c>
      <c r="Z823">
        <v>0.17</v>
      </c>
      <c r="AA823">
        <v>563.48699999999997</v>
      </c>
    </row>
    <row r="824" spans="1:27" x14ac:dyDescent="0.3">
      <c r="A824" t="s">
        <v>2631</v>
      </c>
      <c r="B824" s="2">
        <v>45520</v>
      </c>
      <c r="C824" t="s">
        <v>71</v>
      </c>
      <c r="D824" t="s">
        <v>1581</v>
      </c>
      <c r="E824" t="s">
        <v>1784</v>
      </c>
      <c r="F824" s="4">
        <v>4</v>
      </c>
      <c r="G824">
        <v>94.13</v>
      </c>
      <c r="H824">
        <v>0.15</v>
      </c>
      <c r="I824" t="s">
        <v>1807</v>
      </c>
      <c r="J824">
        <v>320.04199999999997</v>
      </c>
      <c r="K824" t="s">
        <v>72</v>
      </c>
      <c r="L824">
        <v>24</v>
      </c>
      <c r="M824" t="str">
        <v>Female</v>
      </c>
      <c r="N824" t="str">
        <f>VLOOKUP(C:C,Customer_Dim!B:I,5,1)</f>
        <v>Lawsonhaven</v>
      </c>
      <c r="O824" t="str">
        <f>VLOOKUP(C:C,Customer_Dim!B:I,6,1)</f>
        <v>Washington</v>
      </c>
      <c r="P824" t="str">
        <f>VLOOKUP(C:C,Customer_Dim!B:I,7,1)</f>
        <v>USA</v>
      </c>
      <c r="Q824" t="str">
        <f>VLOOKUP(C:C,Customer_Dim!B:I,8,1)</f>
        <v>Platinum</v>
      </c>
      <c r="S824">
        <v>4</v>
      </c>
      <c r="T824">
        <v>94.13</v>
      </c>
      <c r="U824">
        <v>0.15</v>
      </c>
      <c r="V824">
        <v>320.04199999999997</v>
      </c>
      <c r="X824" s="4">
        <v>4</v>
      </c>
      <c r="Y824">
        <v>94.13</v>
      </c>
      <c r="Z824">
        <v>0.15</v>
      </c>
      <c r="AA824">
        <v>320.04199999999997</v>
      </c>
    </row>
    <row r="825" spans="1:27" x14ac:dyDescent="0.3">
      <c r="A825" t="s">
        <v>2632</v>
      </c>
      <c r="B825" s="2">
        <v>45933</v>
      </c>
      <c r="C825" t="s">
        <v>1349</v>
      </c>
      <c r="D825" t="s">
        <v>1619</v>
      </c>
      <c r="E825" t="s">
        <v>1740</v>
      </c>
      <c r="F825" s="4">
        <v>4</v>
      </c>
      <c r="G825">
        <v>415.02</v>
      </c>
      <c r="H825">
        <v>0.01</v>
      </c>
      <c r="I825" t="s">
        <v>1809</v>
      </c>
      <c r="J825">
        <v>1643.4792</v>
      </c>
      <c r="K825" t="s">
        <v>1350</v>
      </c>
      <c r="L825">
        <v>42</v>
      </c>
      <c r="M825" t="str">
        <v>Female</v>
      </c>
      <c r="N825" t="str">
        <f>VLOOKUP(C:C,Customer_Dim!B:I,5,1)</f>
        <v>Jonesstad</v>
      </c>
      <c r="O825" t="str">
        <f>VLOOKUP(C:C,Customer_Dim!B:I,6,1)</f>
        <v>Wisconsin</v>
      </c>
      <c r="P825" t="str">
        <f>VLOOKUP(C:C,Customer_Dim!B:I,7,1)</f>
        <v>USA</v>
      </c>
      <c r="Q825" t="str">
        <f>VLOOKUP(C:C,Customer_Dim!B:I,8,1)</f>
        <v>Silver</v>
      </c>
      <c r="S825">
        <v>4</v>
      </c>
      <c r="T825">
        <v>415.02</v>
      </c>
      <c r="U825">
        <v>0.01</v>
      </c>
      <c r="V825">
        <v>1643.4792</v>
      </c>
      <c r="X825" s="4">
        <v>4</v>
      </c>
      <c r="Y825">
        <v>415.02</v>
      </c>
      <c r="Z825">
        <v>0.01</v>
      </c>
      <c r="AA825">
        <v>1643.4792</v>
      </c>
    </row>
    <row r="826" spans="1:27" x14ac:dyDescent="0.3">
      <c r="A826" t="s">
        <v>2633</v>
      </c>
      <c r="B826" s="2">
        <v>45841</v>
      </c>
      <c r="C826" t="s">
        <v>192</v>
      </c>
      <c r="D826" t="s">
        <v>1553</v>
      </c>
      <c r="E826" t="s">
        <v>1752</v>
      </c>
      <c r="F826" s="4">
        <v>4</v>
      </c>
      <c r="G826">
        <v>780.07</v>
      </c>
      <c r="H826">
        <v>0.03</v>
      </c>
      <c r="I826" t="s">
        <v>1807</v>
      </c>
      <c r="J826">
        <v>3026.6716000000001</v>
      </c>
      <c r="K826" t="s">
        <v>193</v>
      </c>
      <c r="L826">
        <v>55</v>
      </c>
      <c r="M826" t="str">
        <v>Male</v>
      </c>
      <c r="N826" t="str">
        <f>VLOOKUP(C:C,Customer_Dim!B:I,5,1)</f>
        <v>New Julia</v>
      </c>
      <c r="O826" t="str">
        <f>VLOOKUP(C:C,Customer_Dim!B:I,6,1)</f>
        <v>West Virginia</v>
      </c>
      <c r="P826" t="str">
        <f>VLOOKUP(C:C,Customer_Dim!B:I,7,1)</f>
        <v>USA</v>
      </c>
      <c r="Q826" t="str">
        <f>VLOOKUP(C:C,Customer_Dim!B:I,8,1)</f>
        <v>Gold</v>
      </c>
      <c r="S826">
        <v>4</v>
      </c>
      <c r="T826">
        <v>780.07</v>
      </c>
      <c r="U826">
        <v>0.03</v>
      </c>
      <c r="V826">
        <v>3026.6716000000001</v>
      </c>
      <c r="X826" s="4">
        <v>4</v>
      </c>
      <c r="Y826">
        <v>780.07</v>
      </c>
      <c r="Z826">
        <v>0.03</v>
      </c>
      <c r="AA826">
        <v>3026.6716000000001</v>
      </c>
    </row>
    <row r="827" spans="1:27" x14ac:dyDescent="0.3">
      <c r="A827" t="s">
        <v>2634</v>
      </c>
      <c r="B827" s="2">
        <v>45877</v>
      </c>
      <c r="C827" t="s">
        <v>1312</v>
      </c>
      <c r="D827" t="s">
        <v>1605</v>
      </c>
      <c r="E827" t="s">
        <v>1784</v>
      </c>
      <c r="F827" s="4">
        <v>4</v>
      </c>
      <c r="G827">
        <v>184.57</v>
      </c>
      <c r="H827">
        <v>0.28000000000000003</v>
      </c>
      <c r="I827" t="s">
        <v>1807</v>
      </c>
      <c r="J827">
        <v>531.5616</v>
      </c>
      <c r="K827" t="s">
        <v>1313</v>
      </c>
      <c r="L827">
        <v>43</v>
      </c>
      <c r="M827" t="str">
        <v>Male</v>
      </c>
      <c r="N827" t="str">
        <f>VLOOKUP(C:C,Customer_Dim!B:I,5,1)</f>
        <v>Hartmouth</v>
      </c>
      <c r="O827" t="str">
        <f>VLOOKUP(C:C,Customer_Dim!B:I,6,1)</f>
        <v>Louisiana</v>
      </c>
      <c r="P827" t="str">
        <f>VLOOKUP(C:C,Customer_Dim!B:I,7,1)</f>
        <v>USA</v>
      </c>
      <c r="Q827" t="str">
        <f>VLOOKUP(C:C,Customer_Dim!B:I,8,1)</f>
        <v>Bronze</v>
      </c>
      <c r="S827">
        <v>4</v>
      </c>
      <c r="T827">
        <v>184.57</v>
      </c>
      <c r="U827">
        <v>0.28000000000000003</v>
      </c>
      <c r="V827">
        <v>531.5616</v>
      </c>
      <c r="X827" s="4">
        <v>4</v>
      </c>
      <c r="Y827">
        <v>184.57</v>
      </c>
      <c r="Z827">
        <v>0.28000000000000003</v>
      </c>
      <c r="AA827">
        <v>531.5616</v>
      </c>
    </row>
    <row r="828" spans="1:27" x14ac:dyDescent="0.3">
      <c r="A828" t="s">
        <v>2635</v>
      </c>
      <c r="B828" s="2">
        <v>45532</v>
      </c>
      <c r="C828" t="s">
        <v>903</v>
      </c>
      <c r="D828" t="s">
        <v>1661</v>
      </c>
      <c r="E828" t="s">
        <v>1752</v>
      </c>
      <c r="F828" s="4">
        <v>4</v>
      </c>
      <c r="G828">
        <v>277.58</v>
      </c>
      <c r="H828">
        <v>0.22</v>
      </c>
      <c r="I828" t="s">
        <v>1809</v>
      </c>
      <c r="J828">
        <v>866.04959999999994</v>
      </c>
      <c r="K828" t="s">
        <v>904</v>
      </c>
      <c r="L828">
        <v>58</v>
      </c>
      <c r="M828" t="str">
        <v>Male</v>
      </c>
      <c r="N828" t="str">
        <f>VLOOKUP(C:C,Customer_Dim!B:I,5,1)</f>
        <v>Millerfort</v>
      </c>
      <c r="O828" t="str">
        <f>VLOOKUP(C:C,Customer_Dim!B:I,6,1)</f>
        <v>Vermont</v>
      </c>
      <c r="P828" t="str">
        <f>VLOOKUP(C:C,Customer_Dim!B:I,7,1)</f>
        <v>USA</v>
      </c>
      <c r="Q828" t="str">
        <f>VLOOKUP(C:C,Customer_Dim!B:I,8,1)</f>
        <v>Gold</v>
      </c>
      <c r="S828">
        <v>4</v>
      </c>
      <c r="T828">
        <v>277.58</v>
      </c>
      <c r="U828">
        <v>0.22</v>
      </c>
      <c r="V828">
        <v>866.04959999999994</v>
      </c>
      <c r="X828" s="4">
        <v>4</v>
      </c>
      <c r="Y828">
        <v>277.58</v>
      </c>
      <c r="Z828">
        <v>0.22</v>
      </c>
      <c r="AA828">
        <v>866.04959999999994</v>
      </c>
    </row>
    <row r="829" spans="1:27" x14ac:dyDescent="0.3">
      <c r="A829" t="s">
        <v>2636</v>
      </c>
      <c r="B829" s="2">
        <v>45734</v>
      </c>
      <c r="C829" t="s">
        <v>364</v>
      </c>
      <c r="D829" t="s">
        <v>1593</v>
      </c>
      <c r="E829" t="s">
        <v>1749</v>
      </c>
      <c r="F829" s="4">
        <v>1</v>
      </c>
      <c r="G829">
        <v>36.799999999999997</v>
      </c>
      <c r="H829">
        <v>0.18</v>
      </c>
      <c r="I829" t="s">
        <v>1807</v>
      </c>
      <c r="J829">
        <v>30.175999999999998</v>
      </c>
      <c r="K829" t="s">
        <v>365</v>
      </c>
      <c r="L829">
        <v>50</v>
      </c>
      <c r="M829" t="str">
        <v>Female</v>
      </c>
      <c r="N829" t="str">
        <f>VLOOKUP(C:C,Customer_Dim!B:I,5,1)</f>
        <v>South Jenniferville</v>
      </c>
      <c r="O829" t="str">
        <f>VLOOKUP(C:C,Customer_Dim!B:I,6,1)</f>
        <v>Georgia</v>
      </c>
      <c r="P829" t="str">
        <f>VLOOKUP(C:C,Customer_Dim!B:I,7,1)</f>
        <v>USA</v>
      </c>
      <c r="Q829" t="str">
        <f>VLOOKUP(C:C,Customer_Dim!B:I,8,1)</f>
        <v>Silver</v>
      </c>
      <c r="S829">
        <v>1</v>
      </c>
      <c r="T829">
        <v>36.799999999999997</v>
      </c>
      <c r="U829">
        <v>0.18</v>
      </c>
      <c r="V829">
        <v>30.175999999999998</v>
      </c>
      <c r="X829" s="4">
        <v>1</v>
      </c>
      <c r="Y829">
        <v>36.799999999999997</v>
      </c>
      <c r="Z829">
        <v>0.18</v>
      </c>
      <c r="AA829">
        <v>30.175999999999998</v>
      </c>
    </row>
    <row r="830" spans="1:27" x14ac:dyDescent="0.3">
      <c r="A830" t="s">
        <v>2637</v>
      </c>
      <c r="B830" s="2">
        <v>45809</v>
      </c>
      <c r="C830" t="s">
        <v>1103</v>
      </c>
      <c r="D830" t="s">
        <v>1707</v>
      </c>
      <c r="E830" t="s">
        <v>1759</v>
      </c>
      <c r="F830" s="4">
        <v>1</v>
      </c>
      <c r="G830">
        <v>539.37</v>
      </c>
      <c r="H830">
        <v>0.14000000000000001</v>
      </c>
      <c r="I830" t="s">
        <v>1807</v>
      </c>
      <c r="J830">
        <v>463.85820000000001</v>
      </c>
      <c r="K830" t="s">
        <v>1104</v>
      </c>
      <c r="L830">
        <v>41</v>
      </c>
      <c r="M830" t="str">
        <v>Male</v>
      </c>
      <c r="N830" t="str">
        <f>VLOOKUP(C:C,Customer_Dim!B:I,5,1)</f>
        <v>North Richard</v>
      </c>
      <c r="O830" t="str">
        <f>VLOOKUP(C:C,Customer_Dim!B:I,6,1)</f>
        <v>Virginia</v>
      </c>
      <c r="P830" t="str">
        <f>VLOOKUP(C:C,Customer_Dim!B:I,7,1)</f>
        <v>USA</v>
      </c>
      <c r="Q830" t="str">
        <f>VLOOKUP(C:C,Customer_Dim!B:I,8,1)</f>
        <v>Bronze</v>
      </c>
      <c r="S830">
        <v>1</v>
      </c>
      <c r="T830">
        <v>539.37</v>
      </c>
      <c r="U830">
        <v>0.14000000000000001</v>
      </c>
      <c r="V830">
        <v>463.85820000000001</v>
      </c>
      <c r="X830" s="4">
        <v>1</v>
      </c>
      <c r="Y830">
        <v>539.37</v>
      </c>
      <c r="Z830">
        <v>0.14000000000000001</v>
      </c>
      <c r="AA830">
        <v>463.85820000000001</v>
      </c>
    </row>
    <row r="831" spans="1:27" x14ac:dyDescent="0.3">
      <c r="A831" t="s">
        <v>2638</v>
      </c>
      <c r="B831" s="2">
        <v>45760</v>
      </c>
      <c r="C831" t="s">
        <v>316</v>
      </c>
      <c r="D831" t="s">
        <v>1571</v>
      </c>
      <c r="E831" t="s">
        <v>1793</v>
      </c>
      <c r="F831" s="4">
        <v>1</v>
      </c>
      <c r="G831">
        <v>27.83</v>
      </c>
      <c r="H831">
        <v>0.3</v>
      </c>
      <c r="I831" t="s">
        <v>1809</v>
      </c>
      <c r="J831">
        <v>19.481000000000002</v>
      </c>
      <c r="K831" t="s">
        <v>317</v>
      </c>
      <c r="L831">
        <v>58</v>
      </c>
      <c r="M831" t="str">
        <v>Female</v>
      </c>
      <c r="N831" t="str">
        <f>VLOOKUP(C:C,Customer_Dim!B:I,5,1)</f>
        <v>New Gabrielleville</v>
      </c>
      <c r="O831" t="str">
        <f>VLOOKUP(C:C,Customer_Dim!B:I,6,1)</f>
        <v>Wisconsin</v>
      </c>
      <c r="P831" t="str">
        <f>VLOOKUP(C:C,Customer_Dim!B:I,7,1)</f>
        <v>USA</v>
      </c>
      <c r="Q831" t="str">
        <f>VLOOKUP(C:C,Customer_Dim!B:I,8,1)</f>
        <v>Platinum</v>
      </c>
      <c r="S831">
        <v>1</v>
      </c>
      <c r="T831">
        <v>27.83</v>
      </c>
      <c r="U831">
        <v>0.3</v>
      </c>
      <c r="V831">
        <v>19.481000000000002</v>
      </c>
      <c r="X831" s="4">
        <v>1</v>
      </c>
      <c r="Y831">
        <v>27.83</v>
      </c>
      <c r="Z831">
        <v>0.3</v>
      </c>
      <c r="AA831">
        <v>19.481000000000002</v>
      </c>
    </row>
    <row r="832" spans="1:27" x14ac:dyDescent="0.3">
      <c r="A832" t="s">
        <v>2639</v>
      </c>
      <c r="B832" s="2">
        <v>45456</v>
      </c>
      <c r="C832" t="s">
        <v>891</v>
      </c>
      <c r="D832" t="s">
        <v>1671</v>
      </c>
      <c r="E832" t="s">
        <v>1752</v>
      </c>
      <c r="F832" s="4">
        <v>3</v>
      </c>
      <c r="G832">
        <v>698.72</v>
      </c>
      <c r="H832">
        <v>0.28000000000000003</v>
      </c>
      <c r="I832" t="s">
        <v>1812</v>
      </c>
      <c r="J832">
        <v>1509.2352000000001</v>
      </c>
      <c r="K832" t="s">
        <v>892</v>
      </c>
      <c r="L832">
        <v>54</v>
      </c>
      <c r="M832" t="str">
        <v>Male</v>
      </c>
      <c r="N832" t="str">
        <f>VLOOKUP(C:C,Customer_Dim!B:I,5,1)</f>
        <v>Garciaborough</v>
      </c>
      <c r="O832" t="str">
        <f>VLOOKUP(C:C,Customer_Dim!B:I,6,1)</f>
        <v>Wyoming</v>
      </c>
      <c r="P832" t="str">
        <f>VLOOKUP(C:C,Customer_Dim!B:I,7,1)</f>
        <v>USA</v>
      </c>
      <c r="Q832" t="str">
        <f>VLOOKUP(C:C,Customer_Dim!B:I,8,1)</f>
        <v>Silver</v>
      </c>
      <c r="S832">
        <v>3</v>
      </c>
      <c r="T832">
        <v>698.72</v>
      </c>
      <c r="U832">
        <v>0.28000000000000003</v>
      </c>
      <c r="V832">
        <v>1509.2352000000001</v>
      </c>
      <c r="X832" s="4">
        <v>3</v>
      </c>
      <c r="Y832">
        <v>698.72</v>
      </c>
      <c r="Z832">
        <v>0.28000000000000003</v>
      </c>
      <c r="AA832">
        <v>1509.2352000000001</v>
      </c>
    </row>
    <row r="833" spans="1:27" x14ac:dyDescent="0.3">
      <c r="A833" t="s">
        <v>2640</v>
      </c>
      <c r="B833" s="2">
        <v>45698</v>
      </c>
      <c r="C833" t="s">
        <v>59</v>
      </c>
      <c r="D833" t="s">
        <v>1683</v>
      </c>
      <c r="E833" t="s">
        <v>1780</v>
      </c>
      <c r="F833" s="4">
        <v>4</v>
      </c>
      <c r="G833">
        <v>528.23</v>
      </c>
      <c r="H833">
        <v>0.15</v>
      </c>
      <c r="I833" t="s">
        <v>1812</v>
      </c>
      <c r="J833">
        <v>1795.982</v>
      </c>
      <c r="K833" t="s">
        <v>60</v>
      </c>
      <c r="L833">
        <v>32</v>
      </c>
      <c r="M833" t="str">
        <v>Female</v>
      </c>
      <c r="N833" t="str">
        <f>VLOOKUP(C:C,Customer_Dim!B:I,5,1)</f>
        <v>North Kathryn</v>
      </c>
      <c r="O833" t="str">
        <f>VLOOKUP(C:C,Customer_Dim!B:I,6,1)</f>
        <v>Kansas</v>
      </c>
      <c r="P833" t="str">
        <f>VLOOKUP(C:C,Customer_Dim!B:I,7,1)</f>
        <v>USA</v>
      </c>
      <c r="Q833" t="str">
        <f>VLOOKUP(C:C,Customer_Dim!B:I,8,1)</f>
        <v>Platinum</v>
      </c>
      <c r="S833">
        <v>4</v>
      </c>
      <c r="T833">
        <v>528.23</v>
      </c>
      <c r="U833">
        <v>0.15</v>
      </c>
      <c r="V833">
        <v>1795.982</v>
      </c>
      <c r="X833" s="4">
        <v>4</v>
      </c>
      <c r="Y833">
        <v>528.23</v>
      </c>
      <c r="Z833">
        <v>0.15</v>
      </c>
      <c r="AA833">
        <v>1795.982</v>
      </c>
    </row>
    <row r="834" spans="1:27" x14ac:dyDescent="0.3">
      <c r="A834" t="s">
        <v>2641</v>
      </c>
      <c r="B834" s="2">
        <v>45548</v>
      </c>
      <c r="C834" t="s">
        <v>1496</v>
      </c>
      <c r="D834" t="s">
        <v>1623</v>
      </c>
      <c r="E834" t="s">
        <v>1787</v>
      </c>
      <c r="F834" s="4">
        <v>2</v>
      </c>
      <c r="G834">
        <v>780.9</v>
      </c>
      <c r="H834">
        <v>0.24</v>
      </c>
      <c r="I834" t="s">
        <v>1809</v>
      </c>
      <c r="J834">
        <v>1186.9680000000001</v>
      </c>
      <c r="K834" t="s">
        <v>1497</v>
      </c>
      <c r="L834">
        <v>28</v>
      </c>
      <c r="M834" t="str">
        <v>Male</v>
      </c>
      <c r="N834" t="str">
        <f>VLOOKUP(C:C,Customer_Dim!B:I,5,1)</f>
        <v>Port Carol</v>
      </c>
      <c r="O834" t="str">
        <f>VLOOKUP(C:C,Customer_Dim!B:I,6,1)</f>
        <v>Florida</v>
      </c>
      <c r="P834" t="str">
        <f>VLOOKUP(C:C,Customer_Dim!B:I,7,1)</f>
        <v>USA</v>
      </c>
      <c r="Q834" t="str">
        <f>VLOOKUP(C:C,Customer_Dim!B:I,8,1)</f>
        <v>Platinum</v>
      </c>
      <c r="S834">
        <v>2</v>
      </c>
      <c r="T834">
        <v>780.9</v>
      </c>
      <c r="U834">
        <v>0.24</v>
      </c>
      <c r="V834">
        <v>1186.9680000000001</v>
      </c>
      <c r="X834" s="4">
        <v>2</v>
      </c>
      <c r="Y834">
        <v>780.9</v>
      </c>
      <c r="Z834">
        <v>0.24</v>
      </c>
      <c r="AA834">
        <v>1186.9680000000001</v>
      </c>
    </row>
    <row r="835" spans="1:27" x14ac:dyDescent="0.3">
      <c r="A835" t="s">
        <v>2642</v>
      </c>
      <c r="B835" s="2">
        <v>45236</v>
      </c>
      <c r="C835" t="s">
        <v>589</v>
      </c>
      <c r="D835" t="s">
        <v>1573</v>
      </c>
      <c r="E835" t="s">
        <v>1782</v>
      </c>
      <c r="F835" s="4">
        <v>1</v>
      </c>
      <c r="G835">
        <v>977.97</v>
      </c>
      <c r="H835">
        <v>0.06</v>
      </c>
      <c r="I835" t="s">
        <v>1812</v>
      </c>
      <c r="J835">
        <v>919.29179999999997</v>
      </c>
      <c r="K835" t="s">
        <v>590</v>
      </c>
      <c r="L835">
        <v>60</v>
      </c>
      <c r="M835" t="str">
        <v>Male</v>
      </c>
      <c r="N835" t="str">
        <f>VLOOKUP(C:C,Customer_Dim!B:I,5,1)</f>
        <v>East Davidmouth</v>
      </c>
      <c r="O835" t="str">
        <f>VLOOKUP(C:C,Customer_Dim!B:I,6,1)</f>
        <v>Maine</v>
      </c>
      <c r="P835" t="str">
        <f>VLOOKUP(C:C,Customer_Dim!B:I,7,1)</f>
        <v>USA</v>
      </c>
      <c r="Q835" t="str">
        <f>VLOOKUP(C:C,Customer_Dim!B:I,8,1)</f>
        <v>Bronze</v>
      </c>
      <c r="S835">
        <v>1</v>
      </c>
      <c r="T835">
        <v>977.97</v>
      </c>
      <c r="U835">
        <v>0.06</v>
      </c>
      <c r="V835">
        <v>919.29179999999997</v>
      </c>
      <c r="X835" s="4">
        <v>1</v>
      </c>
      <c r="Y835">
        <v>977.97</v>
      </c>
      <c r="Z835">
        <v>0.06</v>
      </c>
      <c r="AA835">
        <v>919.29179999999997</v>
      </c>
    </row>
    <row r="836" spans="1:27" x14ac:dyDescent="0.3">
      <c r="A836" t="s">
        <v>2643</v>
      </c>
      <c r="B836" s="2">
        <v>45310</v>
      </c>
      <c r="C836" t="s">
        <v>1141</v>
      </c>
      <c r="D836" t="s">
        <v>1697</v>
      </c>
      <c r="E836" t="s">
        <v>1777</v>
      </c>
      <c r="F836" s="4">
        <v>4</v>
      </c>
      <c r="G836">
        <v>354.65</v>
      </c>
      <c r="H836">
        <v>0.19</v>
      </c>
      <c r="I836" t="s">
        <v>1807</v>
      </c>
      <c r="J836">
        <v>1149.066</v>
      </c>
      <c r="K836" t="s">
        <v>1142</v>
      </c>
      <c r="L836">
        <v>45</v>
      </c>
      <c r="M836" t="str">
        <v>Male</v>
      </c>
      <c r="N836" t="str">
        <f>VLOOKUP(C:C,Customer_Dim!B:I,5,1)</f>
        <v>West Bruce</v>
      </c>
      <c r="O836" t="str">
        <f>VLOOKUP(C:C,Customer_Dim!B:I,6,1)</f>
        <v>Vermont</v>
      </c>
      <c r="P836" t="str">
        <f>VLOOKUP(C:C,Customer_Dim!B:I,7,1)</f>
        <v>USA</v>
      </c>
      <c r="Q836" t="str">
        <f>VLOOKUP(C:C,Customer_Dim!B:I,8,1)</f>
        <v>Platinum</v>
      </c>
      <c r="S836">
        <v>4</v>
      </c>
      <c r="T836">
        <v>354.65</v>
      </c>
      <c r="U836">
        <v>0.19</v>
      </c>
      <c r="V836">
        <v>1149.066</v>
      </c>
      <c r="X836" s="4">
        <v>4</v>
      </c>
      <c r="Y836">
        <v>354.65</v>
      </c>
      <c r="Z836">
        <v>0.19</v>
      </c>
      <c r="AA836">
        <v>1149.066</v>
      </c>
    </row>
    <row r="837" spans="1:27" x14ac:dyDescent="0.3">
      <c r="A837" t="s">
        <v>2644</v>
      </c>
      <c r="B837" s="2">
        <v>45376</v>
      </c>
      <c r="C837" t="s">
        <v>891</v>
      </c>
      <c r="D837" t="s">
        <v>1667</v>
      </c>
      <c r="E837" t="s">
        <v>1796</v>
      </c>
      <c r="F837" s="4">
        <v>1</v>
      </c>
      <c r="G837">
        <v>671.62</v>
      </c>
      <c r="H837">
        <v>0.09</v>
      </c>
      <c r="I837" t="s">
        <v>1812</v>
      </c>
      <c r="J837">
        <v>611.17420000000004</v>
      </c>
      <c r="K837" t="s">
        <v>892</v>
      </c>
      <c r="L837">
        <v>54</v>
      </c>
      <c r="M837" t="str">
        <v>Male</v>
      </c>
      <c r="N837" t="str">
        <f>VLOOKUP(C:C,Customer_Dim!B:I,5,1)</f>
        <v>Garciaborough</v>
      </c>
      <c r="O837" t="str">
        <f>VLOOKUP(C:C,Customer_Dim!B:I,6,1)</f>
        <v>Wyoming</v>
      </c>
      <c r="P837" t="str">
        <f>VLOOKUP(C:C,Customer_Dim!B:I,7,1)</f>
        <v>USA</v>
      </c>
      <c r="Q837" t="str">
        <f>VLOOKUP(C:C,Customer_Dim!B:I,8,1)</f>
        <v>Silver</v>
      </c>
      <c r="S837">
        <v>1</v>
      </c>
      <c r="T837">
        <v>671.62</v>
      </c>
      <c r="U837">
        <v>0.09</v>
      </c>
      <c r="V837">
        <v>611.17420000000004</v>
      </c>
      <c r="X837" s="4">
        <v>1</v>
      </c>
      <c r="Y837">
        <v>671.62</v>
      </c>
      <c r="Z837">
        <v>0.09</v>
      </c>
      <c r="AA837">
        <v>611.17420000000004</v>
      </c>
    </row>
    <row r="838" spans="1:27" x14ac:dyDescent="0.3">
      <c r="A838" t="s">
        <v>2645</v>
      </c>
      <c r="B838" s="2">
        <v>45914</v>
      </c>
      <c r="C838" t="s">
        <v>989</v>
      </c>
      <c r="D838" t="s">
        <v>1695</v>
      </c>
      <c r="E838" t="s">
        <v>1749</v>
      </c>
      <c r="F838" s="4">
        <v>1</v>
      </c>
      <c r="G838">
        <v>867.32</v>
      </c>
      <c r="H838">
        <v>0.28999999999999998</v>
      </c>
      <c r="I838" t="s">
        <v>1809</v>
      </c>
      <c r="J838">
        <v>615.79719999999998</v>
      </c>
      <c r="K838" t="s">
        <v>990</v>
      </c>
      <c r="L838">
        <v>25</v>
      </c>
      <c r="M838" t="str">
        <v>Male</v>
      </c>
      <c r="N838" t="str">
        <f>VLOOKUP(C:C,Customer_Dim!B:I,5,1)</f>
        <v>Richardsport</v>
      </c>
      <c r="O838" t="str">
        <f>VLOOKUP(C:C,Customer_Dim!B:I,6,1)</f>
        <v>New Hampshire</v>
      </c>
      <c r="P838" t="str">
        <f>VLOOKUP(C:C,Customer_Dim!B:I,7,1)</f>
        <v>USA</v>
      </c>
      <c r="Q838" t="str">
        <f>VLOOKUP(C:C,Customer_Dim!B:I,8,1)</f>
        <v>Gold</v>
      </c>
      <c r="S838">
        <v>1</v>
      </c>
      <c r="T838">
        <v>867.32</v>
      </c>
      <c r="U838">
        <v>0.28999999999999998</v>
      </c>
      <c r="V838">
        <v>615.79719999999998</v>
      </c>
      <c r="X838" s="4">
        <v>1</v>
      </c>
      <c r="Y838">
        <v>867.32</v>
      </c>
      <c r="Z838">
        <v>0.28999999999999998</v>
      </c>
      <c r="AA838">
        <v>615.79719999999998</v>
      </c>
    </row>
    <row r="839" spans="1:27" x14ac:dyDescent="0.3">
      <c r="A839" t="s">
        <v>2646</v>
      </c>
      <c r="B839" s="2">
        <v>45336</v>
      </c>
      <c r="C839" t="s">
        <v>292</v>
      </c>
      <c r="D839" t="s">
        <v>1551</v>
      </c>
      <c r="E839" t="s">
        <v>1777</v>
      </c>
      <c r="F839" s="4">
        <v>3</v>
      </c>
      <c r="G839">
        <v>240.27</v>
      </c>
      <c r="H839">
        <v>0.15</v>
      </c>
      <c r="I839" t="s">
        <v>1809</v>
      </c>
      <c r="J839">
        <v>612.68850000000009</v>
      </c>
      <c r="K839" t="s">
        <v>293</v>
      </c>
      <c r="L839">
        <v>53</v>
      </c>
      <c r="M839" t="str">
        <v>Male</v>
      </c>
      <c r="N839" t="str">
        <f>VLOOKUP(C:C,Customer_Dim!B:I,5,1)</f>
        <v>South David</v>
      </c>
      <c r="O839" t="str">
        <f>VLOOKUP(C:C,Customer_Dim!B:I,6,1)</f>
        <v>Arizona</v>
      </c>
      <c r="P839" t="str">
        <f>VLOOKUP(C:C,Customer_Dim!B:I,7,1)</f>
        <v>USA</v>
      </c>
      <c r="Q839" t="str">
        <f>VLOOKUP(C:C,Customer_Dim!B:I,8,1)</f>
        <v>Platinum</v>
      </c>
      <c r="S839">
        <v>3</v>
      </c>
      <c r="T839">
        <v>240.27</v>
      </c>
      <c r="U839">
        <v>0.15</v>
      </c>
      <c r="V839">
        <v>612.68850000000009</v>
      </c>
      <c r="X839" s="4">
        <v>3</v>
      </c>
      <c r="Y839">
        <v>240.27</v>
      </c>
      <c r="Z839">
        <v>0.15</v>
      </c>
      <c r="AA839">
        <v>612.68850000000009</v>
      </c>
    </row>
    <row r="840" spans="1:27" x14ac:dyDescent="0.3">
      <c r="A840" t="s">
        <v>2647</v>
      </c>
      <c r="B840" s="2">
        <v>45728</v>
      </c>
      <c r="C840" t="s">
        <v>272</v>
      </c>
      <c r="D840" t="s">
        <v>1587</v>
      </c>
      <c r="E840" t="s">
        <v>1787</v>
      </c>
      <c r="F840" s="4">
        <v>2</v>
      </c>
      <c r="G840">
        <v>619.12</v>
      </c>
      <c r="H840">
        <v>0.28000000000000003</v>
      </c>
      <c r="I840" t="s">
        <v>1812</v>
      </c>
      <c r="J840">
        <v>891.53279999999995</v>
      </c>
      <c r="K840" t="s">
        <v>273</v>
      </c>
      <c r="L840">
        <v>37</v>
      </c>
      <c r="M840" t="str">
        <v>Male</v>
      </c>
      <c r="N840" t="str">
        <f>VLOOKUP(C:C,Customer_Dim!B:I,5,1)</f>
        <v>Lake Barryfurt</v>
      </c>
      <c r="O840" t="str">
        <f>VLOOKUP(C:C,Customer_Dim!B:I,6,1)</f>
        <v>California</v>
      </c>
      <c r="P840" t="str">
        <f>VLOOKUP(C:C,Customer_Dim!B:I,7,1)</f>
        <v>USA</v>
      </c>
      <c r="Q840" t="str">
        <f>VLOOKUP(C:C,Customer_Dim!B:I,8,1)</f>
        <v>Gold</v>
      </c>
      <c r="S840">
        <v>2</v>
      </c>
      <c r="T840">
        <v>619.12</v>
      </c>
      <c r="U840">
        <v>0.28000000000000003</v>
      </c>
      <c r="V840">
        <v>891.53279999999995</v>
      </c>
      <c r="X840" s="4">
        <v>2</v>
      </c>
      <c r="Y840">
        <v>619.12</v>
      </c>
      <c r="Z840">
        <v>0.28000000000000003</v>
      </c>
      <c r="AA840">
        <v>891.53279999999995</v>
      </c>
    </row>
    <row r="841" spans="1:27" x14ac:dyDescent="0.3">
      <c r="A841" t="s">
        <v>2648</v>
      </c>
      <c r="B841" s="2">
        <v>45755</v>
      </c>
      <c r="C841" t="s">
        <v>687</v>
      </c>
      <c r="D841" t="s">
        <v>1705</v>
      </c>
      <c r="E841" t="s">
        <v>1735</v>
      </c>
      <c r="F841" s="4">
        <v>3</v>
      </c>
      <c r="G841">
        <v>693.42</v>
      </c>
      <c r="H841">
        <v>0.08</v>
      </c>
      <c r="I841" t="s">
        <v>1809</v>
      </c>
      <c r="J841">
        <v>1913.8391999999999</v>
      </c>
      <c r="K841" t="s">
        <v>688</v>
      </c>
      <c r="L841">
        <v>61</v>
      </c>
      <c r="M841" t="str">
        <v>Male</v>
      </c>
      <c r="N841" t="str">
        <f>VLOOKUP(C:C,Customer_Dim!B:I,5,1)</f>
        <v>West Markport</v>
      </c>
      <c r="O841" t="str">
        <f>VLOOKUP(C:C,Customer_Dim!B:I,6,1)</f>
        <v>North Dakota</v>
      </c>
      <c r="P841" t="str">
        <f>VLOOKUP(C:C,Customer_Dim!B:I,7,1)</f>
        <v>USA</v>
      </c>
      <c r="Q841" t="str">
        <f>VLOOKUP(C:C,Customer_Dim!B:I,8,1)</f>
        <v>Platinum</v>
      </c>
      <c r="S841">
        <v>3</v>
      </c>
      <c r="T841">
        <v>693.42</v>
      </c>
      <c r="U841">
        <v>0.08</v>
      </c>
      <c r="V841">
        <v>1913.8391999999999</v>
      </c>
      <c r="X841" s="4">
        <v>3</v>
      </c>
      <c r="Y841">
        <v>693.42</v>
      </c>
      <c r="Z841">
        <v>0.08</v>
      </c>
      <c r="AA841">
        <v>1913.8391999999999</v>
      </c>
    </row>
    <row r="842" spans="1:27" x14ac:dyDescent="0.3">
      <c r="A842" t="s">
        <v>2649</v>
      </c>
      <c r="B842" s="2">
        <v>45695</v>
      </c>
      <c r="C842" t="s">
        <v>376</v>
      </c>
      <c r="D842" t="s">
        <v>1627</v>
      </c>
      <c r="E842" t="s">
        <v>1772</v>
      </c>
      <c r="F842" s="4">
        <v>4</v>
      </c>
      <c r="G842">
        <v>751.63</v>
      </c>
      <c r="H842">
        <v>0.28000000000000003</v>
      </c>
      <c r="I842" t="s">
        <v>1812</v>
      </c>
      <c r="J842">
        <v>2164.6943999999999</v>
      </c>
      <c r="K842" t="s">
        <v>377</v>
      </c>
      <c r="L842">
        <v>27</v>
      </c>
      <c r="M842" t="str">
        <v>Male</v>
      </c>
      <c r="N842" t="str">
        <f>VLOOKUP(C:C,Customer_Dim!B:I,5,1)</f>
        <v>Webstermouth</v>
      </c>
      <c r="O842" t="str">
        <f>VLOOKUP(C:C,Customer_Dim!B:I,6,1)</f>
        <v>New Hampshire</v>
      </c>
      <c r="P842" t="str">
        <f>VLOOKUP(C:C,Customer_Dim!B:I,7,1)</f>
        <v>USA</v>
      </c>
      <c r="Q842" t="str">
        <f>VLOOKUP(C:C,Customer_Dim!B:I,8,1)</f>
        <v>Bronze</v>
      </c>
      <c r="S842">
        <v>4</v>
      </c>
      <c r="T842">
        <v>751.63</v>
      </c>
      <c r="U842">
        <v>0.28000000000000003</v>
      </c>
      <c r="V842">
        <v>2164.6943999999999</v>
      </c>
      <c r="X842" s="4">
        <v>4</v>
      </c>
      <c r="Y842">
        <v>751.63</v>
      </c>
      <c r="Z842">
        <v>0.28000000000000003</v>
      </c>
      <c r="AA842">
        <v>2164.6943999999999</v>
      </c>
    </row>
    <row r="843" spans="1:27" x14ac:dyDescent="0.3">
      <c r="A843" t="s">
        <v>2650</v>
      </c>
      <c r="B843" s="2">
        <v>45380</v>
      </c>
      <c r="C843" t="s">
        <v>382</v>
      </c>
      <c r="D843" t="s">
        <v>1593</v>
      </c>
      <c r="E843" t="s">
        <v>1784</v>
      </c>
      <c r="F843" s="4">
        <v>3</v>
      </c>
      <c r="G843">
        <v>108.14</v>
      </c>
      <c r="H843">
        <v>0.19</v>
      </c>
      <c r="I843" t="s">
        <v>1812</v>
      </c>
      <c r="J843">
        <v>262.78019999999998</v>
      </c>
      <c r="K843" t="s">
        <v>383</v>
      </c>
      <c r="L843">
        <v>18</v>
      </c>
      <c r="M843" t="str">
        <v>Female</v>
      </c>
      <c r="N843" t="str">
        <f>VLOOKUP(C:C,Customer_Dim!B:I,5,1)</f>
        <v>New Dawnton</v>
      </c>
      <c r="O843" t="str">
        <f>VLOOKUP(C:C,Customer_Dim!B:I,6,1)</f>
        <v>Maryland</v>
      </c>
      <c r="P843" t="str">
        <f>VLOOKUP(C:C,Customer_Dim!B:I,7,1)</f>
        <v>USA</v>
      </c>
      <c r="Q843" t="str">
        <f>VLOOKUP(C:C,Customer_Dim!B:I,8,1)</f>
        <v>Gold</v>
      </c>
      <c r="S843">
        <v>3</v>
      </c>
      <c r="T843">
        <v>108.14</v>
      </c>
      <c r="U843">
        <v>0.19</v>
      </c>
      <c r="V843">
        <v>262.78019999999998</v>
      </c>
      <c r="X843" s="4">
        <v>3</v>
      </c>
      <c r="Y843">
        <v>108.14</v>
      </c>
      <c r="Z843">
        <v>0.19</v>
      </c>
      <c r="AA843">
        <v>262.78019999999998</v>
      </c>
    </row>
    <row r="844" spans="1:27" x14ac:dyDescent="0.3">
      <c r="A844" t="s">
        <v>2651</v>
      </c>
      <c r="B844" s="2">
        <v>45446</v>
      </c>
      <c r="C844" t="s">
        <v>811</v>
      </c>
      <c r="D844" t="s">
        <v>1585</v>
      </c>
      <c r="E844" t="s">
        <v>1752</v>
      </c>
      <c r="F844" s="4">
        <v>1</v>
      </c>
      <c r="G844">
        <v>964.11</v>
      </c>
      <c r="H844">
        <v>0.17</v>
      </c>
      <c r="I844" t="s">
        <v>1812</v>
      </c>
      <c r="J844">
        <v>800.21129999999994</v>
      </c>
      <c r="K844" t="s">
        <v>812</v>
      </c>
      <c r="L844">
        <v>42</v>
      </c>
      <c r="M844" t="str">
        <v>Male</v>
      </c>
      <c r="N844" t="str">
        <f>VLOOKUP(C:C,Customer_Dim!B:I,5,1)</f>
        <v>Lake Christopher</v>
      </c>
      <c r="O844" t="str">
        <f>VLOOKUP(C:C,Customer_Dim!B:I,6,1)</f>
        <v>Arkansas</v>
      </c>
      <c r="P844" t="str">
        <f>VLOOKUP(C:C,Customer_Dim!B:I,7,1)</f>
        <v>USA</v>
      </c>
      <c r="Q844" t="str">
        <f>VLOOKUP(C:C,Customer_Dim!B:I,8,1)</f>
        <v>Platinum</v>
      </c>
      <c r="S844">
        <v>1</v>
      </c>
      <c r="T844">
        <v>964.11</v>
      </c>
      <c r="U844">
        <v>0.17</v>
      </c>
      <c r="V844">
        <v>800.21129999999994</v>
      </c>
      <c r="X844" s="4">
        <v>1</v>
      </c>
      <c r="Y844">
        <v>964.11</v>
      </c>
      <c r="Z844">
        <v>0.17</v>
      </c>
      <c r="AA844">
        <v>800.21129999999994</v>
      </c>
    </row>
    <row r="845" spans="1:27" x14ac:dyDescent="0.3">
      <c r="A845" t="s">
        <v>2652</v>
      </c>
      <c r="B845" s="2">
        <v>45525</v>
      </c>
      <c r="C845" t="s">
        <v>444</v>
      </c>
      <c r="D845" t="s">
        <v>1569</v>
      </c>
      <c r="E845" t="s">
        <v>1735</v>
      </c>
      <c r="F845" s="4">
        <v>1</v>
      </c>
      <c r="G845">
        <v>346.2</v>
      </c>
      <c r="H845">
        <v>0.28999999999999998</v>
      </c>
      <c r="I845" t="s">
        <v>1807</v>
      </c>
      <c r="J845">
        <v>245.80199999999999</v>
      </c>
      <c r="K845" t="s">
        <v>445</v>
      </c>
      <c r="L845">
        <v>57</v>
      </c>
      <c r="M845" t="str">
        <v>Female</v>
      </c>
      <c r="N845" t="str">
        <f>VLOOKUP(C:C,Customer_Dim!B:I,5,1)</f>
        <v>Wigginsville</v>
      </c>
      <c r="O845" t="str">
        <f>VLOOKUP(C:C,Customer_Dim!B:I,6,1)</f>
        <v>Alabama</v>
      </c>
      <c r="P845" t="str">
        <f>VLOOKUP(C:C,Customer_Dim!B:I,7,1)</f>
        <v>USA</v>
      </c>
      <c r="Q845" t="str">
        <f>VLOOKUP(C:C,Customer_Dim!B:I,8,1)</f>
        <v>Bronze</v>
      </c>
      <c r="S845">
        <v>1</v>
      </c>
      <c r="T845">
        <v>346.2</v>
      </c>
      <c r="U845">
        <v>0.28999999999999998</v>
      </c>
      <c r="V845">
        <v>245.80199999999999</v>
      </c>
      <c r="X845" s="4">
        <v>1</v>
      </c>
      <c r="Y845">
        <v>346.2</v>
      </c>
      <c r="Z845">
        <v>0.28999999999999998</v>
      </c>
      <c r="AA845">
        <v>245.80199999999999</v>
      </c>
    </row>
    <row r="846" spans="1:27" x14ac:dyDescent="0.3">
      <c r="A846" t="s">
        <v>2653</v>
      </c>
      <c r="B846" s="2">
        <v>45527</v>
      </c>
      <c r="C846" t="s">
        <v>1395</v>
      </c>
      <c r="D846" t="s">
        <v>1617</v>
      </c>
      <c r="E846" t="s">
        <v>1784</v>
      </c>
      <c r="F846" s="4">
        <v>3</v>
      </c>
      <c r="G846">
        <v>791.75</v>
      </c>
      <c r="H846">
        <v>0.28999999999999998</v>
      </c>
      <c r="I846" t="s">
        <v>1807</v>
      </c>
      <c r="J846">
        <v>1686.4275</v>
      </c>
      <c r="K846" t="s">
        <v>1396</v>
      </c>
      <c r="L846">
        <v>62</v>
      </c>
      <c r="M846" t="str">
        <v>Female</v>
      </c>
      <c r="N846" t="str">
        <f>VLOOKUP(C:C,Customer_Dim!B:I,5,1)</f>
        <v>Hubbardborough</v>
      </c>
      <c r="O846" t="str">
        <f>VLOOKUP(C:C,Customer_Dim!B:I,6,1)</f>
        <v>Kentucky</v>
      </c>
      <c r="P846" t="str">
        <f>VLOOKUP(C:C,Customer_Dim!B:I,7,1)</f>
        <v>USA</v>
      </c>
      <c r="Q846" t="str">
        <f>VLOOKUP(C:C,Customer_Dim!B:I,8,1)</f>
        <v>Platinum</v>
      </c>
      <c r="S846">
        <v>3</v>
      </c>
      <c r="T846">
        <v>791.75</v>
      </c>
      <c r="U846">
        <v>0.28999999999999998</v>
      </c>
      <c r="V846">
        <v>1686.4275</v>
      </c>
      <c r="X846" s="4">
        <v>3</v>
      </c>
      <c r="Y846">
        <v>791.75</v>
      </c>
      <c r="Z846">
        <v>0.28999999999999998</v>
      </c>
      <c r="AA846">
        <v>1686.4275</v>
      </c>
    </row>
    <row r="847" spans="1:27" x14ac:dyDescent="0.3">
      <c r="A847" t="s">
        <v>2654</v>
      </c>
      <c r="B847" s="2">
        <v>45265</v>
      </c>
      <c r="C847" t="s">
        <v>995</v>
      </c>
      <c r="D847" t="s">
        <v>1609</v>
      </c>
      <c r="E847" t="s">
        <v>1780</v>
      </c>
      <c r="F847" s="4">
        <v>1</v>
      </c>
      <c r="G847">
        <v>529.84</v>
      </c>
      <c r="H847">
        <v>0.13</v>
      </c>
      <c r="I847" t="s">
        <v>1809</v>
      </c>
      <c r="J847">
        <v>460.96080000000001</v>
      </c>
      <c r="K847" t="s">
        <v>996</v>
      </c>
      <c r="L847">
        <v>34</v>
      </c>
      <c r="M847" t="str">
        <v>Female</v>
      </c>
      <c r="N847" t="str">
        <f>VLOOKUP(C:C,Customer_Dim!B:I,5,1)</f>
        <v>West Mathewside</v>
      </c>
      <c r="O847" t="str">
        <f>VLOOKUP(C:C,Customer_Dim!B:I,6,1)</f>
        <v>Mississippi</v>
      </c>
      <c r="P847" t="str">
        <f>VLOOKUP(C:C,Customer_Dim!B:I,7,1)</f>
        <v>USA</v>
      </c>
      <c r="Q847" t="str">
        <f>VLOOKUP(C:C,Customer_Dim!B:I,8,1)</f>
        <v>Platinum</v>
      </c>
      <c r="S847">
        <v>1</v>
      </c>
      <c r="T847">
        <v>529.84</v>
      </c>
      <c r="U847">
        <v>0.13</v>
      </c>
      <c r="V847">
        <v>460.96080000000001</v>
      </c>
      <c r="X847" s="4">
        <v>1</v>
      </c>
      <c r="Y847">
        <v>529.84</v>
      </c>
      <c r="Z847">
        <v>0.13</v>
      </c>
      <c r="AA847">
        <v>460.96080000000001</v>
      </c>
    </row>
    <row r="848" spans="1:27" x14ac:dyDescent="0.3">
      <c r="A848" t="s">
        <v>2655</v>
      </c>
      <c r="B848" s="2">
        <v>45936</v>
      </c>
      <c r="C848" t="s">
        <v>1436</v>
      </c>
      <c r="D848" t="s">
        <v>1639</v>
      </c>
      <c r="E848" t="s">
        <v>1749</v>
      </c>
      <c r="F848" s="4">
        <v>3</v>
      </c>
      <c r="G848">
        <v>582.57000000000005</v>
      </c>
      <c r="H848">
        <v>0.11</v>
      </c>
      <c r="I848" t="s">
        <v>1809</v>
      </c>
      <c r="J848">
        <v>1555.4619</v>
      </c>
      <c r="K848" t="s">
        <v>1437</v>
      </c>
      <c r="L848">
        <v>42</v>
      </c>
      <c r="M848" t="str">
        <v>Male</v>
      </c>
      <c r="N848" t="str">
        <f>VLOOKUP(C:C,Customer_Dim!B:I,5,1)</f>
        <v>Mcdanielfurt</v>
      </c>
      <c r="O848" t="str">
        <f>VLOOKUP(C:C,Customer_Dim!B:I,6,1)</f>
        <v>Montana</v>
      </c>
      <c r="P848" t="str">
        <f>VLOOKUP(C:C,Customer_Dim!B:I,7,1)</f>
        <v>USA</v>
      </c>
      <c r="Q848" t="str">
        <f>VLOOKUP(C:C,Customer_Dim!B:I,8,1)</f>
        <v>Platinum</v>
      </c>
      <c r="S848">
        <v>3</v>
      </c>
      <c r="T848">
        <v>582.57000000000005</v>
      </c>
      <c r="U848">
        <v>0.11</v>
      </c>
      <c r="V848">
        <v>1555.4619</v>
      </c>
      <c r="X848" s="4">
        <v>3</v>
      </c>
      <c r="Y848">
        <v>582.57000000000005</v>
      </c>
      <c r="Z848">
        <v>0.11</v>
      </c>
      <c r="AA848">
        <v>1555.4619</v>
      </c>
    </row>
    <row r="849" spans="1:27" x14ac:dyDescent="0.3">
      <c r="A849" t="s">
        <v>2656</v>
      </c>
      <c r="B849" s="2">
        <v>45242</v>
      </c>
      <c r="C849" t="s">
        <v>681</v>
      </c>
      <c r="D849" t="s">
        <v>1721</v>
      </c>
      <c r="E849" t="s">
        <v>1790</v>
      </c>
      <c r="F849" s="4">
        <v>1</v>
      </c>
      <c r="G849">
        <v>219.81</v>
      </c>
      <c r="H849">
        <v>0.22</v>
      </c>
      <c r="I849" t="s">
        <v>1812</v>
      </c>
      <c r="J849">
        <v>171.45179999999999</v>
      </c>
      <c r="K849" t="s">
        <v>682</v>
      </c>
      <c r="L849">
        <v>63</v>
      </c>
      <c r="M849" t="str">
        <v>Female</v>
      </c>
      <c r="N849" t="str">
        <f>VLOOKUP(C:C,Customer_Dim!B:I,5,1)</f>
        <v>Garzafort</v>
      </c>
      <c r="O849" t="str">
        <f>VLOOKUP(C:C,Customer_Dim!B:I,6,1)</f>
        <v>Delaware</v>
      </c>
      <c r="P849" t="str">
        <f>VLOOKUP(C:C,Customer_Dim!B:I,7,1)</f>
        <v>USA</v>
      </c>
      <c r="Q849" t="str">
        <f>VLOOKUP(C:C,Customer_Dim!B:I,8,1)</f>
        <v>Silver</v>
      </c>
      <c r="S849">
        <v>1</v>
      </c>
      <c r="T849">
        <v>219.81</v>
      </c>
      <c r="U849">
        <v>0.22</v>
      </c>
      <c r="V849">
        <v>171.45179999999999</v>
      </c>
      <c r="X849" s="4">
        <v>1</v>
      </c>
      <c r="Y849">
        <v>219.81</v>
      </c>
      <c r="Z849">
        <v>0.22</v>
      </c>
      <c r="AA849">
        <v>171.45179999999999</v>
      </c>
    </row>
    <row r="850" spans="1:27" x14ac:dyDescent="0.3">
      <c r="A850" t="s">
        <v>2657</v>
      </c>
      <c r="B850" s="2">
        <v>45437</v>
      </c>
      <c r="C850" t="s">
        <v>1510</v>
      </c>
      <c r="D850" t="s">
        <v>1671</v>
      </c>
      <c r="E850" t="s">
        <v>1793</v>
      </c>
      <c r="F850" s="4">
        <v>4</v>
      </c>
      <c r="G850">
        <v>883.31</v>
      </c>
      <c r="H850">
        <v>0.27</v>
      </c>
      <c r="I850" t="s">
        <v>1807</v>
      </c>
      <c r="J850">
        <v>2579.2651999999998</v>
      </c>
      <c r="K850" t="s">
        <v>1511</v>
      </c>
      <c r="L850">
        <v>35</v>
      </c>
      <c r="M850" t="str">
        <v>Male</v>
      </c>
      <c r="N850" t="str">
        <f>VLOOKUP(C:C,Customer_Dim!B:I,5,1)</f>
        <v>Port William</v>
      </c>
      <c r="O850" t="str">
        <f>VLOOKUP(C:C,Customer_Dim!B:I,6,1)</f>
        <v>New York</v>
      </c>
      <c r="P850" t="str">
        <f>VLOOKUP(C:C,Customer_Dim!B:I,7,1)</f>
        <v>USA</v>
      </c>
      <c r="Q850" t="str">
        <f>VLOOKUP(C:C,Customer_Dim!B:I,8,1)</f>
        <v>Gold</v>
      </c>
      <c r="S850">
        <v>4</v>
      </c>
      <c r="T850">
        <v>883.31</v>
      </c>
      <c r="U850">
        <v>0.27</v>
      </c>
      <c r="V850">
        <v>2579.2651999999998</v>
      </c>
      <c r="X850" s="4">
        <v>4</v>
      </c>
      <c r="Y850">
        <v>883.31</v>
      </c>
      <c r="Z850">
        <v>0.27</v>
      </c>
      <c r="AA850">
        <v>2579.2651999999998</v>
      </c>
    </row>
    <row r="851" spans="1:27" x14ac:dyDescent="0.3">
      <c r="A851" t="s">
        <v>2658</v>
      </c>
      <c r="B851" s="2">
        <v>45627</v>
      </c>
      <c r="C851" t="s">
        <v>746</v>
      </c>
      <c r="D851" t="s">
        <v>1565</v>
      </c>
      <c r="E851" t="s">
        <v>1782</v>
      </c>
      <c r="F851" s="4">
        <v>4</v>
      </c>
      <c r="G851">
        <v>329.06</v>
      </c>
      <c r="H851">
        <v>0.04</v>
      </c>
      <c r="I851" t="s">
        <v>1812</v>
      </c>
      <c r="J851">
        <v>1263.5904</v>
      </c>
      <c r="K851" t="s">
        <v>747</v>
      </c>
      <c r="L851">
        <v>28</v>
      </c>
      <c r="M851" t="str">
        <v>Female</v>
      </c>
      <c r="N851" t="str">
        <f>VLOOKUP(C:C,Customer_Dim!B:I,5,1)</f>
        <v>Lake Mark</v>
      </c>
      <c r="O851" t="str">
        <f>VLOOKUP(C:C,Customer_Dim!B:I,6,1)</f>
        <v>Kansas</v>
      </c>
      <c r="P851" t="str">
        <f>VLOOKUP(C:C,Customer_Dim!B:I,7,1)</f>
        <v>USA</v>
      </c>
      <c r="Q851" t="str">
        <f>VLOOKUP(C:C,Customer_Dim!B:I,8,1)</f>
        <v>Gold</v>
      </c>
      <c r="S851">
        <v>4</v>
      </c>
      <c r="T851">
        <v>329.06</v>
      </c>
      <c r="U851">
        <v>0.04</v>
      </c>
      <c r="V851">
        <v>1263.5904</v>
      </c>
      <c r="X851" s="4">
        <v>4</v>
      </c>
      <c r="Y851">
        <v>329.06</v>
      </c>
      <c r="Z851">
        <v>0.04</v>
      </c>
      <c r="AA851">
        <v>1263.5904</v>
      </c>
    </row>
    <row r="852" spans="1:27" x14ac:dyDescent="0.3">
      <c r="A852" t="s">
        <v>2659</v>
      </c>
      <c r="B852" s="2">
        <v>45678</v>
      </c>
      <c r="C852" t="s">
        <v>367</v>
      </c>
      <c r="D852" t="s">
        <v>1667</v>
      </c>
      <c r="E852" t="s">
        <v>1775</v>
      </c>
      <c r="F852" s="4">
        <v>1</v>
      </c>
      <c r="G852">
        <v>935.78</v>
      </c>
      <c r="H852">
        <v>0.03</v>
      </c>
      <c r="I852" t="s">
        <v>1809</v>
      </c>
      <c r="J852">
        <v>907.70659999999998</v>
      </c>
      <c r="K852" t="s">
        <v>368</v>
      </c>
      <c r="L852">
        <v>53</v>
      </c>
      <c r="M852" t="str">
        <v>Female</v>
      </c>
      <c r="N852" t="str">
        <f>VLOOKUP(C:C,Customer_Dim!B:I,5,1)</f>
        <v>Port Victoria</v>
      </c>
      <c r="O852" t="str">
        <f>VLOOKUP(C:C,Customer_Dim!B:I,6,1)</f>
        <v>Florida</v>
      </c>
      <c r="P852" t="str">
        <f>VLOOKUP(C:C,Customer_Dim!B:I,7,1)</f>
        <v>USA</v>
      </c>
      <c r="Q852" t="str">
        <f>VLOOKUP(C:C,Customer_Dim!B:I,8,1)</f>
        <v>Gold</v>
      </c>
      <c r="S852">
        <v>1</v>
      </c>
      <c r="T852">
        <v>935.78</v>
      </c>
      <c r="U852">
        <v>0.03</v>
      </c>
      <c r="V852">
        <v>907.70659999999998</v>
      </c>
      <c r="X852" s="4">
        <v>1</v>
      </c>
      <c r="Y852">
        <v>935.78</v>
      </c>
      <c r="Z852">
        <v>0.03</v>
      </c>
      <c r="AA852">
        <v>907.70659999999998</v>
      </c>
    </row>
    <row r="853" spans="1:27" x14ac:dyDescent="0.3">
      <c r="A853" t="s">
        <v>2660</v>
      </c>
      <c r="B853" s="2">
        <v>45484</v>
      </c>
      <c r="C853" t="s">
        <v>998</v>
      </c>
      <c r="D853" t="s">
        <v>1651</v>
      </c>
      <c r="E853" t="s">
        <v>1772</v>
      </c>
      <c r="F853" s="4">
        <v>4</v>
      </c>
      <c r="G853">
        <v>597.79999999999995</v>
      </c>
      <c r="H853">
        <v>0.2</v>
      </c>
      <c r="I853" t="s">
        <v>1807</v>
      </c>
      <c r="J853">
        <v>1912.96</v>
      </c>
      <c r="K853" t="s">
        <v>999</v>
      </c>
      <c r="L853">
        <v>21</v>
      </c>
      <c r="M853" t="str">
        <v>Female</v>
      </c>
      <c r="N853" t="str">
        <f>VLOOKUP(C:C,Customer_Dim!B:I,5,1)</f>
        <v>South Darrenland</v>
      </c>
      <c r="O853" t="str">
        <f>VLOOKUP(C:C,Customer_Dim!B:I,6,1)</f>
        <v>Iowa</v>
      </c>
      <c r="P853" t="str">
        <f>VLOOKUP(C:C,Customer_Dim!B:I,7,1)</f>
        <v>USA</v>
      </c>
      <c r="Q853" t="str">
        <f>VLOOKUP(C:C,Customer_Dim!B:I,8,1)</f>
        <v>Bronze</v>
      </c>
      <c r="S853">
        <v>4</v>
      </c>
      <c r="T853">
        <v>597.79999999999995</v>
      </c>
      <c r="U853">
        <v>0.2</v>
      </c>
      <c r="V853">
        <v>1912.96</v>
      </c>
      <c r="X853" s="4">
        <v>4</v>
      </c>
      <c r="Y853">
        <v>597.79999999999995</v>
      </c>
      <c r="Z853">
        <v>0.2</v>
      </c>
      <c r="AA853">
        <v>1912.96</v>
      </c>
    </row>
    <row r="854" spans="1:27" x14ac:dyDescent="0.3">
      <c r="A854" t="s">
        <v>2661</v>
      </c>
      <c r="B854" s="2">
        <v>45700</v>
      </c>
      <c r="C854" t="s">
        <v>820</v>
      </c>
      <c r="D854" t="s">
        <v>1557</v>
      </c>
      <c r="E854" t="s">
        <v>1793</v>
      </c>
      <c r="F854" s="4">
        <v>4</v>
      </c>
      <c r="G854">
        <v>266.98</v>
      </c>
      <c r="H854">
        <v>0.16</v>
      </c>
      <c r="I854" t="s">
        <v>1807</v>
      </c>
      <c r="J854">
        <v>897.05280000000005</v>
      </c>
      <c r="K854" t="s">
        <v>821</v>
      </c>
      <c r="L854">
        <v>63</v>
      </c>
      <c r="M854" t="str">
        <v>Female</v>
      </c>
      <c r="N854" t="str">
        <f>VLOOKUP(C:C,Customer_Dim!B:I,5,1)</f>
        <v>South Kathrynmouth</v>
      </c>
      <c r="O854" t="str">
        <f>VLOOKUP(C:C,Customer_Dim!B:I,6,1)</f>
        <v>Oklahoma</v>
      </c>
      <c r="P854" t="str">
        <f>VLOOKUP(C:C,Customer_Dim!B:I,7,1)</f>
        <v>USA</v>
      </c>
      <c r="Q854" t="str">
        <f>VLOOKUP(C:C,Customer_Dim!B:I,8,1)</f>
        <v>Silver</v>
      </c>
      <c r="S854">
        <v>4</v>
      </c>
      <c r="T854">
        <v>266.98</v>
      </c>
      <c r="U854">
        <v>0.16</v>
      </c>
      <c r="V854">
        <v>897.05280000000005</v>
      </c>
      <c r="X854" s="4">
        <v>4</v>
      </c>
      <c r="Y854">
        <v>266.98</v>
      </c>
      <c r="Z854">
        <v>0.16</v>
      </c>
      <c r="AA854">
        <v>897.05280000000005</v>
      </c>
    </row>
    <row r="855" spans="1:27" x14ac:dyDescent="0.3">
      <c r="A855" t="s">
        <v>2662</v>
      </c>
      <c r="B855" s="2">
        <v>45873</v>
      </c>
      <c r="C855" t="s">
        <v>1252</v>
      </c>
      <c r="D855" t="s">
        <v>1671</v>
      </c>
      <c r="E855" t="s">
        <v>1784</v>
      </c>
      <c r="F855" s="4">
        <v>3</v>
      </c>
      <c r="G855">
        <v>360.18</v>
      </c>
      <c r="H855">
        <v>0.03</v>
      </c>
      <c r="I855" t="s">
        <v>1807</v>
      </c>
      <c r="J855">
        <v>1048.1238000000001</v>
      </c>
      <c r="K855" t="s">
        <v>1253</v>
      </c>
      <c r="L855">
        <v>36</v>
      </c>
      <c r="M855" t="str">
        <v>Male</v>
      </c>
      <c r="N855" t="str">
        <f>VLOOKUP(C:C,Customer_Dim!B:I,5,1)</f>
        <v>Ashleymouth</v>
      </c>
      <c r="O855" t="str">
        <f>VLOOKUP(C:C,Customer_Dim!B:I,6,1)</f>
        <v>Maryland</v>
      </c>
      <c r="P855" t="str">
        <f>VLOOKUP(C:C,Customer_Dim!B:I,7,1)</f>
        <v>USA</v>
      </c>
      <c r="Q855" t="str">
        <f>VLOOKUP(C:C,Customer_Dim!B:I,8,1)</f>
        <v>Gold</v>
      </c>
      <c r="S855">
        <v>3</v>
      </c>
      <c r="T855">
        <v>360.18</v>
      </c>
      <c r="U855">
        <v>0.03</v>
      </c>
      <c r="V855">
        <v>1048.1238000000001</v>
      </c>
      <c r="X855" s="4">
        <v>3</v>
      </c>
      <c r="Y855">
        <v>360.18</v>
      </c>
      <c r="Z855">
        <v>0.03</v>
      </c>
      <c r="AA855">
        <v>1048.1238000000001</v>
      </c>
    </row>
    <row r="856" spans="1:27" x14ac:dyDescent="0.3">
      <c r="A856" t="s">
        <v>2663</v>
      </c>
      <c r="B856" s="2">
        <v>45860</v>
      </c>
      <c r="C856" t="s">
        <v>1123</v>
      </c>
      <c r="D856" t="s">
        <v>1643</v>
      </c>
      <c r="E856" t="s">
        <v>1735</v>
      </c>
      <c r="F856" s="4">
        <v>3</v>
      </c>
      <c r="G856">
        <v>247.41</v>
      </c>
      <c r="H856">
        <v>0.05</v>
      </c>
      <c r="I856" t="s">
        <v>1812</v>
      </c>
      <c r="J856">
        <v>705.11850000000004</v>
      </c>
      <c r="K856" t="s">
        <v>1124</v>
      </c>
      <c r="L856">
        <v>58</v>
      </c>
      <c r="M856" t="str">
        <v>Male</v>
      </c>
      <c r="N856" t="str">
        <f>VLOOKUP(C:C,Customer_Dim!B:I,5,1)</f>
        <v>Murphytown</v>
      </c>
      <c r="O856" t="str">
        <f>VLOOKUP(C:C,Customer_Dim!B:I,6,1)</f>
        <v>Ohio</v>
      </c>
      <c r="P856" t="str">
        <f>VLOOKUP(C:C,Customer_Dim!B:I,7,1)</f>
        <v>USA</v>
      </c>
      <c r="Q856" t="str">
        <f>VLOOKUP(C:C,Customer_Dim!B:I,8,1)</f>
        <v>Bronze</v>
      </c>
      <c r="S856">
        <v>3</v>
      </c>
      <c r="T856">
        <v>247.41</v>
      </c>
      <c r="U856">
        <v>0.05</v>
      </c>
      <c r="V856">
        <v>705.11850000000004</v>
      </c>
      <c r="X856" s="4">
        <v>3</v>
      </c>
      <c r="Y856">
        <v>247.41</v>
      </c>
      <c r="Z856">
        <v>0.05</v>
      </c>
      <c r="AA856">
        <v>705.11850000000004</v>
      </c>
    </row>
    <row r="857" spans="1:27" x14ac:dyDescent="0.3">
      <c r="A857" t="s">
        <v>2664</v>
      </c>
      <c r="B857" s="2">
        <v>45235</v>
      </c>
      <c r="C857" t="s">
        <v>281</v>
      </c>
      <c r="D857" t="s">
        <v>1621</v>
      </c>
      <c r="E857" t="s">
        <v>1784</v>
      </c>
      <c r="F857" s="4">
        <v>3</v>
      </c>
      <c r="G857">
        <v>674.66</v>
      </c>
      <c r="H857">
        <v>0.23</v>
      </c>
      <c r="I857" t="s">
        <v>1807</v>
      </c>
      <c r="J857">
        <v>1558.4646</v>
      </c>
      <c r="K857" t="s">
        <v>282</v>
      </c>
      <c r="L857">
        <v>22</v>
      </c>
      <c r="M857" t="str">
        <v>Female</v>
      </c>
      <c r="N857" t="str">
        <f>VLOOKUP(C:C,Customer_Dim!B:I,5,1)</f>
        <v>North Scottport</v>
      </c>
      <c r="O857" t="str">
        <f>VLOOKUP(C:C,Customer_Dim!B:I,6,1)</f>
        <v>Virginia</v>
      </c>
      <c r="P857" t="str">
        <f>VLOOKUP(C:C,Customer_Dim!B:I,7,1)</f>
        <v>USA</v>
      </c>
      <c r="Q857" t="str">
        <f>VLOOKUP(C:C,Customer_Dim!B:I,8,1)</f>
        <v>Gold</v>
      </c>
      <c r="S857">
        <v>3</v>
      </c>
      <c r="T857">
        <v>674.66</v>
      </c>
      <c r="U857">
        <v>0.23</v>
      </c>
      <c r="V857">
        <v>1558.4646</v>
      </c>
      <c r="X857" s="4">
        <v>3</v>
      </c>
      <c r="Y857">
        <v>674.66</v>
      </c>
      <c r="Z857">
        <v>0.23</v>
      </c>
      <c r="AA857">
        <v>1558.4646</v>
      </c>
    </row>
    <row r="858" spans="1:27" x14ac:dyDescent="0.3">
      <c r="A858" t="s">
        <v>2665</v>
      </c>
      <c r="B858" s="2">
        <v>45874</v>
      </c>
      <c r="C858" t="s">
        <v>1275</v>
      </c>
      <c r="D858" t="s">
        <v>1615</v>
      </c>
      <c r="E858" t="s">
        <v>1752</v>
      </c>
      <c r="F858" s="4">
        <v>1</v>
      </c>
      <c r="G858">
        <v>913.98</v>
      </c>
      <c r="H858">
        <v>0.27</v>
      </c>
      <c r="I858" t="s">
        <v>1809</v>
      </c>
      <c r="J858">
        <v>667.20539999999994</v>
      </c>
      <c r="K858" t="s">
        <v>1276</v>
      </c>
      <c r="L858">
        <v>46</v>
      </c>
      <c r="M858" t="str">
        <v>Male</v>
      </c>
      <c r="N858" t="str">
        <f>VLOOKUP(C:C,Customer_Dim!B:I,5,1)</f>
        <v>Kramerview</v>
      </c>
      <c r="O858" t="str">
        <f>VLOOKUP(C:C,Customer_Dim!B:I,6,1)</f>
        <v>Alaska</v>
      </c>
      <c r="P858" t="str">
        <f>VLOOKUP(C:C,Customer_Dim!B:I,7,1)</f>
        <v>USA</v>
      </c>
      <c r="Q858" t="str">
        <f>VLOOKUP(C:C,Customer_Dim!B:I,8,1)</f>
        <v>Silver</v>
      </c>
      <c r="S858">
        <v>1</v>
      </c>
      <c r="T858">
        <v>913.98</v>
      </c>
      <c r="U858">
        <v>0.27</v>
      </c>
      <c r="V858">
        <v>667.20539999999994</v>
      </c>
      <c r="X858" s="4">
        <v>1</v>
      </c>
      <c r="Y858">
        <v>913.98</v>
      </c>
      <c r="Z858">
        <v>0.27</v>
      </c>
      <c r="AA858">
        <v>667.20539999999994</v>
      </c>
    </row>
    <row r="859" spans="1:27" x14ac:dyDescent="0.3">
      <c r="A859" t="s">
        <v>2666</v>
      </c>
      <c r="B859" s="2">
        <v>45769</v>
      </c>
      <c r="C859" t="s">
        <v>980</v>
      </c>
      <c r="D859" t="s">
        <v>1717</v>
      </c>
      <c r="E859" t="s">
        <v>1772</v>
      </c>
      <c r="F859" s="4">
        <v>4</v>
      </c>
      <c r="G859">
        <v>370.5</v>
      </c>
      <c r="H859">
        <v>0.13</v>
      </c>
      <c r="I859" t="s">
        <v>1809</v>
      </c>
      <c r="J859">
        <v>1289.3399999999999</v>
      </c>
      <c r="K859" t="s">
        <v>981</v>
      </c>
      <c r="L859">
        <v>49</v>
      </c>
      <c r="M859" t="str">
        <v>Male</v>
      </c>
      <c r="N859" t="str">
        <f>VLOOKUP(C:C,Customer_Dim!B:I,5,1)</f>
        <v>Anitaland</v>
      </c>
      <c r="O859" t="str">
        <f>VLOOKUP(C:C,Customer_Dim!B:I,6,1)</f>
        <v>Washington</v>
      </c>
      <c r="P859" t="str">
        <f>VLOOKUP(C:C,Customer_Dim!B:I,7,1)</f>
        <v>USA</v>
      </c>
      <c r="Q859" t="str">
        <f>VLOOKUP(C:C,Customer_Dim!B:I,8,1)</f>
        <v>Silver</v>
      </c>
      <c r="S859">
        <v>4</v>
      </c>
      <c r="T859">
        <v>370.5</v>
      </c>
      <c r="U859">
        <v>0.13</v>
      </c>
      <c r="V859">
        <v>1289.3399999999999</v>
      </c>
      <c r="X859" s="4">
        <v>4</v>
      </c>
      <c r="Y859">
        <v>370.5</v>
      </c>
      <c r="Z859">
        <v>0.13</v>
      </c>
      <c r="AA859">
        <v>1289.3399999999999</v>
      </c>
    </row>
    <row r="860" spans="1:27" x14ac:dyDescent="0.3">
      <c r="A860" t="s">
        <v>2667</v>
      </c>
      <c r="B860" s="2">
        <v>45619</v>
      </c>
      <c r="C860" t="s">
        <v>1109</v>
      </c>
      <c r="D860" t="s">
        <v>1675</v>
      </c>
      <c r="E860" t="s">
        <v>1780</v>
      </c>
      <c r="F860" s="4">
        <v>1</v>
      </c>
      <c r="G860">
        <v>735.1</v>
      </c>
      <c r="H860">
        <v>0.1</v>
      </c>
      <c r="I860" t="s">
        <v>1809</v>
      </c>
      <c r="J860">
        <v>661.59</v>
      </c>
      <c r="K860" t="s">
        <v>1110</v>
      </c>
      <c r="L860">
        <v>32</v>
      </c>
      <c r="M860" t="str">
        <v>Male</v>
      </c>
      <c r="N860" t="str">
        <f>VLOOKUP(C:C,Customer_Dim!B:I,5,1)</f>
        <v>West Johnmouth</v>
      </c>
      <c r="O860" t="str">
        <f>VLOOKUP(C:C,Customer_Dim!B:I,6,1)</f>
        <v>Mississippi</v>
      </c>
      <c r="P860" t="str">
        <f>VLOOKUP(C:C,Customer_Dim!B:I,7,1)</f>
        <v>USA</v>
      </c>
      <c r="Q860" t="str">
        <f>VLOOKUP(C:C,Customer_Dim!B:I,8,1)</f>
        <v>Gold</v>
      </c>
      <c r="S860">
        <v>1</v>
      </c>
      <c r="T860">
        <v>735.1</v>
      </c>
      <c r="U860">
        <v>0.1</v>
      </c>
      <c r="V860">
        <v>661.59</v>
      </c>
      <c r="X860" s="4">
        <v>1</v>
      </c>
      <c r="Y860">
        <v>735.1</v>
      </c>
      <c r="Z860">
        <v>0.1</v>
      </c>
      <c r="AA860">
        <v>661.59</v>
      </c>
    </row>
    <row r="861" spans="1:27" x14ac:dyDescent="0.3">
      <c r="A861" t="s">
        <v>2668</v>
      </c>
      <c r="B861" s="2">
        <v>45614</v>
      </c>
      <c r="C861" t="s">
        <v>456</v>
      </c>
      <c r="D861" t="s">
        <v>1689</v>
      </c>
      <c r="E861" t="s">
        <v>1744</v>
      </c>
      <c r="F861" s="4">
        <v>3</v>
      </c>
      <c r="G861">
        <v>448.55</v>
      </c>
      <c r="H861">
        <v>0.05</v>
      </c>
      <c r="I861" t="s">
        <v>1807</v>
      </c>
      <c r="J861">
        <v>1278.3675000000001</v>
      </c>
      <c r="K861" t="s">
        <v>457</v>
      </c>
      <c r="L861">
        <v>29</v>
      </c>
      <c r="M861" t="str">
        <v>Male</v>
      </c>
      <c r="N861" t="str">
        <f>VLOOKUP(C:C,Customer_Dim!B:I,5,1)</f>
        <v>Gonzalezbury</v>
      </c>
      <c r="O861" t="str">
        <f>VLOOKUP(C:C,Customer_Dim!B:I,6,1)</f>
        <v>Michigan</v>
      </c>
      <c r="P861" t="str">
        <f>VLOOKUP(C:C,Customer_Dim!B:I,7,1)</f>
        <v>USA</v>
      </c>
      <c r="Q861" t="str">
        <f>VLOOKUP(C:C,Customer_Dim!B:I,8,1)</f>
        <v>Platinum</v>
      </c>
      <c r="S861">
        <v>3</v>
      </c>
      <c r="T861">
        <v>448.55</v>
      </c>
      <c r="U861">
        <v>0.05</v>
      </c>
      <c r="V861">
        <v>1278.3675000000001</v>
      </c>
      <c r="X861" s="4">
        <v>3</v>
      </c>
      <c r="Y861">
        <v>448.55</v>
      </c>
      <c r="Z861">
        <v>0.05</v>
      </c>
      <c r="AA861">
        <v>1278.3675000000001</v>
      </c>
    </row>
    <row r="862" spans="1:27" x14ac:dyDescent="0.3">
      <c r="A862" t="s">
        <v>2669</v>
      </c>
      <c r="B862" s="2">
        <v>45691</v>
      </c>
      <c r="C862" t="s">
        <v>218</v>
      </c>
      <c r="D862" t="s">
        <v>1699</v>
      </c>
      <c r="E862" t="s">
        <v>1780</v>
      </c>
      <c r="F862" s="4">
        <v>3</v>
      </c>
      <c r="G862">
        <v>904.96</v>
      </c>
      <c r="H862">
        <v>7.0000000000000007E-2</v>
      </c>
      <c r="I862" t="s">
        <v>1812</v>
      </c>
      <c r="J862">
        <v>2524.8384000000001</v>
      </c>
      <c r="K862" t="s">
        <v>219</v>
      </c>
      <c r="L862">
        <v>22</v>
      </c>
      <c r="M862" t="str">
        <v>Female</v>
      </c>
      <c r="N862" t="str">
        <f>VLOOKUP(C:C,Customer_Dim!B:I,5,1)</f>
        <v>New Kathrynland</v>
      </c>
      <c r="O862" t="str">
        <f>VLOOKUP(C:C,Customer_Dim!B:I,6,1)</f>
        <v>Montana</v>
      </c>
      <c r="P862" t="str">
        <f>VLOOKUP(C:C,Customer_Dim!B:I,7,1)</f>
        <v>USA</v>
      </c>
      <c r="Q862" t="str">
        <f>VLOOKUP(C:C,Customer_Dim!B:I,8,1)</f>
        <v>Platinum</v>
      </c>
      <c r="S862">
        <v>3</v>
      </c>
      <c r="T862">
        <v>904.96</v>
      </c>
      <c r="U862">
        <v>7.0000000000000007E-2</v>
      </c>
      <c r="V862">
        <v>2524.8384000000001</v>
      </c>
      <c r="X862" s="4">
        <v>3</v>
      </c>
      <c r="Y862">
        <v>904.96</v>
      </c>
      <c r="Z862">
        <v>7.0000000000000007E-2</v>
      </c>
      <c r="AA862">
        <v>2524.8384000000001</v>
      </c>
    </row>
    <row r="863" spans="1:27" x14ac:dyDescent="0.3">
      <c r="A863" t="s">
        <v>2670</v>
      </c>
      <c r="B863" s="2">
        <v>45608</v>
      </c>
      <c r="C863" t="s">
        <v>1174</v>
      </c>
      <c r="D863" t="s">
        <v>1667</v>
      </c>
      <c r="E863" t="s">
        <v>1780</v>
      </c>
      <c r="F863" s="4">
        <v>4</v>
      </c>
      <c r="G863">
        <v>408.72</v>
      </c>
      <c r="H863">
        <v>0.16</v>
      </c>
      <c r="I863" t="s">
        <v>1812</v>
      </c>
      <c r="J863">
        <v>1373.2991999999999</v>
      </c>
      <c r="K863" t="s">
        <v>1175</v>
      </c>
      <c r="L863">
        <v>50</v>
      </c>
      <c r="M863" t="str">
        <v>Male</v>
      </c>
      <c r="N863" t="str">
        <f>VLOOKUP(C:C,Customer_Dim!B:I,5,1)</f>
        <v>South Cassandrachester</v>
      </c>
      <c r="O863" t="str">
        <f>VLOOKUP(C:C,Customer_Dim!B:I,6,1)</f>
        <v>Rhode Island</v>
      </c>
      <c r="P863" t="str">
        <f>VLOOKUP(C:C,Customer_Dim!B:I,7,1)</f>
        <v>USA</v>
      </c>
      <c r="Q863" t="str">
        <f>VLOOKUP(C:C,Customer_Dim!B:I,8,1)</f>
        <v>Gold</v>
      </c>
      <c r="S863">
        <v>4</v>
      </c>
      <c r="T863">
        <v>408.72</v>
      </c>
      <c r="U863">
        <v>0.16</v>
      </c>
      <c r="V863">
        <v>1373.2991999999999</v>
      </c>
      <c r="X863" s="4">
        <v>4</v>
      </c>
      <c r="Y863">
        <v>408.72</v>
      </c>
      <c r="Z863">
        <v>0.16</v>
      </c>
      <c r="AA863">
        <v>1373.2991999999999</v>
      </c>
    </row>
    <row r="864" spans="1:27" x14ac:dyDescent="0.3">
      <c r="A864" t="s">
        <v>2671</v>
      </c>
      <c r="B864" s="2">
        <v>45412</v>
      </c>
      <c r="C864" t="s">
        <v>888</v>
      </c>
      <c r="D864" t="s">
        <v>1673</v>
      </c>
      <c r="E864" t="s">
        <v>1749</v>
      </c>
      <c r="F864" s="4">
        <v>4</v>
      </c>
      <c r="G864">
        <v>770.65</v>
      </c>
      <c r="H864">
        <v>0.27</v>
      </c>
      <c r="I864" t="s">
        <v>1807</v>
      </c>
      <c r="J864">
        <v>2250.2979999999998</v>
      </c>
      <c r="K864" t="s">
        <v>889</v>
      </c>
      <c r="L864">
        <v>54</v>
      </c>
      <c r="M864" t="str">
        <v>Female</v>
      </c>
      <c r="N864" t="str">
        <f>VLOOKUP(C:C,Customer_Dim!B:I,5,1)</f>
        <v>Spencermouth</v>
      </c>
      <c r="O864" t="str">
        <f>VLOOKUP(C:C,Customer_Dim!B:I,6,1)</f>
        <v>New Jersey</v>
      </c>
      <c r="P864" t="str">
        <f>VLOOKUP(C:C,Customer_Dim!B:I,7,1)</f>
        <v>USA</v>
      </c>
      <c r="Q864" t="str">
        <f>VLOOKUP(C:C,Customer_Dim!B:I,8,1)</f>
        <v>Gold</v>
      </c>
      <c r="S864">
        <v>4</v>
      </c>
      <c r="T864">
        <v>770.65</v>
      </c>
      <c r="U864">
        <v>0.27</v>
      </c>
      <c r="V864">
        <v>2250.2979999999998</v>
      </c>
      <c r="X864" s="4">
        <v>4</v>
      </c>
      <c r="Y864">
        <v>770.65</v>
      </c>
      <c r="Z864">
        <v>0.27</v>
      </c>
      <c r="AA864">
        <v>2250.2979999999998</v>
      </c>
    </row>
    <row r="865" spans="1:27" x14ac:dyDescent="0.3">
      <c r="A865" t="s">
        <v>2672</v>
      </c>
      <c r="B865" s="2">
        <v>45767</v>
      </c>
      <c r="C865" t="s">
        <v>657</v>
      </c>
      <c r="D865" t="s">
        <v>1591</v>
      </c>
      <c r="E865" t="s">
        <v>1759</v>
      </c>
      <c r="F865" s="4">
        <v>1</v>
      </c>
      <c r="G865">
        <v>649.22</v>
      </c>
      <c r="H865">
        <v>0.03</v>
      </c>
      <c r="I865" t="s">
        <v>1812</v>
      </c>
      <c r="J865">
        <v>629.74340000000007</v>
      </c>
      <c r="K865" t="s">
        <v>658</v>
      </c>
      <c r="L865">
        <v>52</v>
      </c>
      <c r="M865" t="str">
        <v>Male</v>
      </c>
      <c r="N865" t="str">
        <f>VLOOKUP(C:C,Customer_Dim!B:I,5,1)</f>
        <v>Johnsonland</v>
      </c>
      <c r="O865" t="str">
        <f>VLOOKUP(C:C,Customer_Dim!B:I,6,1)</f>
        <v>Iowa</v>
      </c>
      <c r="P865" t="str">
        <f>VLOOKUP(C:C,Customer_Dim!B:I,7,1)</f>
        <v>USA</v>
      </c>
      <c r="Q865" t="str">
        <f>VLOOKUP(C:C,Customer_Dim!B:I,8,1)</f>
        <v>Platinum</v>
      </c>
      <c r="S865">
        <v>1</v>
      </c>
      <c r="T865">
        <v>649.22</v>
      </c>
      <c r="U865">
        <v>0.03</v>
      </c>
      <c r="V865">
        <v>629.74340000000007</v>
      </c>
      <c r="X865" s="4">
        <v>1</v>
      </c>
      <c r="Y865">
        <v>649.22</v>
      </c>
      <c r="Z865">
        <v>0.03</v>
      </c>
      <c r="AA865">
        <v>629.74340000000007</v>
      </c>
    </row>
    <row r="866" spans="1:27" x14ac:dyDescent="0.3">
      <c r="A866" t="s">
        <v>2673</v>
      </c>
      <c r="B866" s="2">
        <v>45428</v>
      </c>
      <c r="C866" t="s">
        <v>1080</v>
      </c>
      <c r="D866" t="s">
        <v>1597</v>
      </c>
      <c r="E866" t="s">
        <v>1772</v>
      </c>
      <c r="F866" s="4">
        <v>2</v>
      </c>
      <c r="G866">
        <v>379.78</v>
      </c>
      <c r="H866">
        <v>0.2</v>
      </c>
      <c r="I866" t="s">
        <v>1807</v>
      </c>
      <c r="J866">
        <v>607.64800000000002</v>
      </c>
      <c r="K866" t="s">
        <v>1081</v>
      </c>
      <c r="L866">
        <v>31</v>
      </c>
      <c r="M866" t="str">
        <v>Male</v>
      </c>
      <c r="N866" t="str">
        <f>VLOOKUP(C:C,Customer_Dim!B:I,5,1)</f>
        <v>Shannonview</v>
      </c>
      <c r="O866" t="str">
        <f>VLOOKUP(C:C,Customer_Dim!B:I,6,1)</f>
        <v>Pennsylvania</v>
      </c>
      <c r="P866" t="str">
        <f>VLOOKUP(C:C,Customer_Dim!B:I,7,1)</f>
        <v>USA</v>
      </c>
      <c r="Q866" t="str">
        <f>VLOOKUP(C:C,Customer_Dim!B:I,8,1)</f>
        <v>Silver</v>
      </c>
      <c r="S866">
        <v>2</v>
      </c>
      <c r="T866">
        <v>379.78</v>
      </c>
      <c r="U866">
        <v>0.2</v>
      </c>
      <c r="V866">
        <v>607.64800000000002</v>
      </c>
      <c r="X866" s="4">
        <v>2</v>
      </c>
      <c r="Y866">
        <v>379.78</v>
      </c>
      <c r="Z866">
        <v>0.2</v>
      </c>
      <c r="AA866">
        <v>607.64800000000002</v>
      </c>
    </row>
    <row r="867" spans="1:27" x14ac:dyDescent="0.3">
      <c r="A867" t="s">
        <v>2674</v>
      </c>
      <c r="B867" s="2">
        <v>45770</v>
      </c>
      <c r="C867" t="s">
        <v>788</v>
      </c>
      <c r="D867" t="s">
        <v>1617</v>
      </c>
      <c r="E867" t="s">
        <v>1765</v>
      </c>
      <c r="F867" s="4">
        <v>3</v>
      </c>
      <c r="G867">
        <v>924.15</v>
      </c>
      <c r="H867">
        <v>0.1</v>
      </c>
      <c r="I867" t="s">
        <v>1809</v>
      </c>
      <c r="J867">
        <v>2495.2049999999999</v>
      </c>
      <c r="K867" t="s">
        <v>789</v>
      </c>
      <c r="L867">
        <v>41</v>
      </c>
      <c r="M867" t="str">
        <v>Female</v>
      </c>
      <c r="N867" t="str">
        <f>VLOOKUP(C:C,Customer_Dim!B:I,5,1)</f>
        <v>Lake Timothy</v>
      </c>
      <c r="O867" t="str">
        <f>VLOOKUP(C:C,Customer_Dim!B:I,6,1)</f>
        <v>Nevada</v>
      </c>
      <c r="P867" t="str">
        <f>VLOOKUP(C:C,Customer_Dim!B:I,7,1)</f>
        <v>USA</v>
      </c>
      <c r="Q867" t="str">
        <f>VLOOKUP(C:C,Customer_Dim!B:I,8,1)</f>
        <v>Gold</v>
      </c>
      <c r="S867">
        <v>3</v>
      </c>
      <c r="T867">
        <v>924.15</v>
      </c>
      <c r="U867">
        <v>0.1</v>
      </c>
      <c r="V867">
        <v>2495.2049999999999</v>
      </c>
      <c r="X867" s="4">
        <v>3</v>
      </c>
      <c r="Y867">
        <v>924.15</v>
      </c>
      <c r="Z867">
        <v>0.1</v>
      </c>
      <c r="AA867">
        <v>2495.2049999999999</v>
      </c>
    </row>
    <row r="868" spans="1:27" x14ac:dyDescent="0.3">
      <c r="A868" t="s">
        <v>2675</v>
      </c>
      <c r="B868" s="2">
        <v>45571</v>
      </c>
      <c r="C868" t="s">
        <v>1430</v>
      </c>
      <c r="D868" t="s">
        <v>1621</v>
      </c>
      <c r="E868" t="s">
        <v>1790</v>
      </c>
      <c r="F868" s="4">
        <v>3</v>
      </c>
      <c r="G868">
        <v>144.66999999999999</v>
      </c>
      <c r="H868">
        <v>0.28999999999999998</v>
      </c>
      <c r="I868" t="s">
        <v>1812</v>
      </c>
      <c r="J868">
        <v>308.14710000000002</v>
      </c>
      <c r="K868" t="s">
        <v>1431</v>
      </c>
      <c r="L868">
        <v>21</v>
      </c>
      <c r="M868" t="str">
        <v>Female</v>
      </c>
      <c r="N868" t="str">
        <f>VLOOKUP(C:C,Customer_Dim!B:I,5,1)</f>
        <v>East Audrey</v>
      </c>
      <c r="O868" t="str">
        <f>VLOOKUP(C:C,Customer_Dim!B:I,6,1)</f>
        <v>Utah</v>
      </c>
      <c r="P868" t="str">
        <f>VLOOKUP(C:C,Customer_Dim!B:I,7,1)</f>
        <v>USA</v>
      </c>
      <c r="Q868" t="str">
        <f>VLOOKUP(C:C,Customer_Dim!B:I,8,1)</f>
        <v>Gold</v>
      </c>
      <c r="S868">
        <v>3</v>
      </c>
      <c r="T868">
        <v>144.66999999999999</v>
      </c>
      <c r="U868">
        <v>0.28999999999999998</v>
      </c>
      <c r="V868">
        <v>308.14710000000002</v>
      </c>
      <c r="X868" s="4">
        <v>3</v>
      </c>
      <c r="Y868">
        <v>144.66999999999999</v>
      </c>
      <c r="Z868">
        <v>0.28999999999999998</v>
      </c>
      <c r="AA868">
        <v>308.14710000000002</v>
      </c>
    </row>
    <row r="869" spans="1:27" x14ac:dyDescent="0.3">
      <c r="A869" t="s">
        <v>2676</v>
      </c>
      <c r="B869" s="2">
        <v>45700</v>
      </c>
      <c r="C869" t="s">
        <v>414</v>
      </c>
      <c r="D869" t="s">
        <v>1597</v>
      </c>
      <c r="E869" t="s">
        <v>1784</v>
      </c>
      <c r="F869" s="4">
        <v>2</v>
      </c>
      <c r="G869">
        <v>667.17</v>
      </c>
      <c r="H869">
        <v>0.1</v>
      </c>
      <c r="I869" t="s">
        <v>1809</v>
      </c>
      <c r="J869">
        <v>1200.9059999999999</v>
      </c>
      <c r="K869" t="s">
        <v>415</v>
      </c>
      <c r="L869">
        <v>50</v>
      </c>
      <c r="M869" t="str">
        <v>Male</v>
      </c>
      <c r="N869" t="str">
        <f>VLOOKUP(C:C,Customer_Dim!B:I,5,1)</f>
        <v>Lake Danielport</v>
      </c>
      <c r="O869" t="str">
        <f>VLOOKUP(C:C,Customer_Dim!B:I,6,1)</f>
        <v>Hawaii</v>
      </c>
      <c r="P869" t="str">
        <f>VLOOKUP(C:C,Customer_Dim!B:I,7,1)</f>
        <v>USA</v>
      </c>
      <c r="Q869" t="str">
        <f>VLOOKUP(C:C,Customer_Dim!B:I,8,1)</f>
        <v>Platinum</v>
      </c>
      <c r="S869">
        <v>2</v>
      </c>
      <c r="T869">
        <v>667.17</v>
      </c>
      <c r="U869">
        <v>0.1</v>
      </c>
      <c r="V869">
        <v>1200.9059999999999</v>
      </c>
      <c r="X869" s="4">
        <v>2</v>
      </c>
      <c r="Y869">
        <v>667.17</v>
      </c>
      <c r="Z869">
        <v>0.1</v>
      </c>
      <c r="AA869">
        <v>1200.9059999999999</v>
      </c>
    </row>
    <row r="870" spans="1:27" x14ac:dyDescent="0.3">
      <c r="A870" t="s">
        <v>2677</v>
      </c>
      <c r="B870" s="2">
        <v>45382</v>
      </c>
      <c r="C870" t="s">
        <v>1238</v>
      </c>
      <c r="D870" t="s">
        <v>1663</v>
      </c>
      <c r="E870" t="s">
        <v>1749</v>
      </c>
      <c r="F870" s="4">
        <v>1</v>
      </c>
      <c r="G870">
        <v>984.6</v>
      </c>
      <c r="H870">
        <v>0.22</v>
      </c>
      <c r="I870" t="s">
        <v>1807</v>
      </c>
      <c r="J870">
        <v>767.98800000000006</v>
      </c>
      <c r="K870" t="s">
        <v>1239</v>
      </c>
      <c r="L870">
        <v>34</v>
      </c>
      <c r="M870" t="str">
        <v>Male</v>
      </c>
      <c r="N870" t="str">
        <f>VLOOKUP(C:C,Customer_Dim!B:I,5,1)</f>
        <v>Brandonville</v>
      </c>
      <c r="O870" t="str">
        <f>VLOOKUP(C:C,Customer_Dim!B:I,6,1)</f>
        <v>Mississippi</v>
      </c>
      <c r="P870" t="str">
        <f>VLOOKUP(C:C,Customer_Dim!B:I,7,1)</f>
        <v>USA</v>
      </c>
      <c r="Q870" t="str">
        <f>VLOOKUP(C:C,Customer_Dim!B:I,8,1)</f>
        <v>Bronze</v>
      </c>
      <c r="S870">
        <v>1</v>
      </c>
      <c r="T870">
        <v>984.6</v>
      </c>
      <c r="U870">
        <v>0.22</v>
      </c>
      <c r="V870">
        <v>767.98800000000006</v>
      </c>
      <c r="X870" s="4">
        <v>1</v>
      </c>
      <c r="Y870">
        <v>984.6</v>
      </c>
      <c r="Z870">
        <v>0.22</v>
      </c>
      <c r="AA870">
        <v>767.98800000000006</v>
      </c>
    </row>
    <row r="871" spans="1:27" x14ac:dyDescent="0.3">
      <c r="A871" t="s">
        <v>2678</v>
      </c>
      <c r="B871" s="2">
        <v>45260</v>
      </c>
      <c r="C871" t="s">
        <v>879</v>
      </c>
      <c r="D871" t="s">
        <v>1557</v>
      </c>
      <c r="E871" t="s">
        <v>1765</v>
      </c>
      <c r="F871" s="4">
        <v>1</v>
      </c>
      <c r="G871">
        <v>139.29</v>
      </c>
      <c r="H871">
        <v>0</v>
      </c>
      <c r="I871" t="s">
        <v>1807</v>
      </c>
      <c r="J871">
        <v>139.29</v>
      </c>
      <c r="K871" t="s">
        <v>880</v>
      </c>
      <c r="L871">
        <v>48</v>
      </c>
      <c r="M871" t="str">
        <v>Male</v>
      </c>
      <c r="N871" t="str">
        <f>VLOOKUP(C:C,Customer_Dim!B:I,5,1)</f>
        <v>Gilltown</v>
      </c>
      <c r="O871" t="str">
        <f>VLOOKUP(C:C,Customer_Dim!B:I,6,1)</f>
        <v>Ohio</v>
      </c>
      <c r="P871" t="str">
        <f>VLOOKUP(C:C,Customer_Dim!B:I,7,1)</f>
        <v>USA</v>
      </c>
      <c r="Q871" t="str">
        <f>VLOOKUP(C:C,Customer_Dim!B:I,8,1)</f>
        <v>Bronze</v>
      </c>
      <c r="S871">
        <v>1</v>
      </c>
      <c r="T871">
        <v>139.29</v>
      </c>
      <c r="U871">
        <v>0</v>
      </c>
      <c r="V871">
        <v>139.29</v>
      </c>
      <c r="X871" s="4">
        <v>1</v>
      </c>
      <c r="Y871">
        <v>139.29</v>
      </c>
      <c r="Z871">
        <v>0</v>
      </c>
      <c r="AA871">
        <v>139.29</v>
      </c>
    </row>
    <row r="872" spans="1:27" x14ac:dyDescent="0.3">
      <c r="A872" t="s">
        <v>2679</v>
      </c>
      <c r="B872" s="2">
        <v>45702</v>
      </c>
      <c r="C872" t="s">
        <v>134</v>
      </c>
      <c r="D872" t="s">
        <v>1563</v>
      </c>
      <c r="E872" t="s">
        <v>1765</v>
      </c>
      <c r="F872" s="4">
        <v>3</v>
      </c>
      <c r="G872">
        <v>459.57</v>
      </c>
      <c r="H872">
        <v>0.1</v>
      </c>
      <c r="I872" t="s">
        <v>1812</v>
      </c>
      <c r="J872">
        <v>1240.8389999999999</v>
      </c>
      <c r="K872" t="s">
        <v>3935</v>
      </c>
      <c r="L872">
        <v>27</v>
      </c>
      <c r="M872" t="str">
        <v>Female</v>
      </c>
      <c r="N872" t="str">
        <f>VLOOKUP(C:C,Customer_Dim!B:I,5,1)</f>
        <v>Tristanton</v>
      </c>
      <c r="O872" t="str">
        <f>VLOOKUP(C:C,Customer_Dim!B:I,6,1)</f>
        <v>Oklahoma</v>
      </c>
      <c r="P872" t="str">
        <f>VLOOKUP(C:C,Customer_Dim!B:I,7,1)</f>
        <v>USA</v>
      </c>
      <c r="Q872" t="str">
        <f>VLOOKUP(C:C,Customer_Dim!B:I,8,1)</f>
        <v>Platinum</v>
      </c>
      <c r="S872">
        <v>3</v>
      </c>
      <c r="T872">
        <v>459.57</v>
      </c>
      <c r="U872">
        <v>0.1</v>
      </c>
      <c r="V872">
        <v>1240.8389999999999</v>
      </c>
      <c r="X872" s="4">
        <v>3</v>
      </c>
      <c r="Y872">
        <v>459.57</v>
      </c>
      <c r="Z872">
        <v>0.1</v>
      </c>
      <c r="AA872">
        <v>1240.8389999999999</v>
      </c>
    </row>
    <row r="873" spans="1:27" x14ac:dyDescent="0.3">
      <c r="A873" t="s">
        <v>2680</v>
      </c>
      <c r="B873" s="2">
        <v>45302</v>
      </c>
      <c r="C873" t="s">
        <v>241</v>
      </c>
      <c r="D873" t="s">
        <v>1611</v>
      </c>
      <c r="E873" t="s">
        <v>1784</v>
      </c>
      <c r="F873" s="4">
        <v>1</v>
      </c>
      <c r="G873">
        <v>517.82000000000005</v>
      </c>
      <c r="H873">
        <v>0.28999999999999998</v>
      </c>
      <c r="I873" t="s">
        <v>1807</v>
      </c>
      <c r="J873">
        <v>367.65219999999999</v>
      </c>
      <c r="K873" t="s">
        <v>242</v>
      </c>
      <c r="L873">
        <v>58</v>
      </c>
      <c r="M873" t="str">
        <v>Male</v>
      </c>
      <c r="N873" t="str">
        <f>VLOOKUP(C:C,Customer_Dim!B:I,5,1)</f>
        <v>South Aaronside</v>
      </c>
      <c r="O873" t="str">
        <f>VLOOKUP(C:C,Customer_Dim!B:I,6,1)</f>
        <v>New Hampshire</v>
      </c>
      <c r="P873" t="str">
        <f>VLOOKUP(C:C,Customer_Dim!B:I,7,1)</f>
        <v>USA</v>
      </c>
      <c r="Q873" t="str">
        <f>VLOOKUP(C:C,Customer_Dim!B:I,8,1)</f>
        <v>Silver</v>
      </c>
      <c r="S873">
        <v>1</v>
      </c>
      <c r="T873">
        <v>517.82000000000005</v>
      </c>
      <c r="U873">
        <v>0.28999999999999998</v>
      </c>
      <c r="V873">
        <v>367.65219999999999</v>
      </c>
      <c r="X873" s="4">
        <v>1</v>
      </c>
      <c r="Y873">
        <v>517.82000000000005</v>
      </c>
      <c r="Z873">
        <v>0.28999999999999998</v>
      </c>
      <c r="AA873">
        <v>367.65219999999999</v>
      </c>
    </row>
    <row r="874" spans="1:27" x14ac:dyDescent="0.3">
      <c r="A874" t="s">
        <v>2681</v>
      </c>
      <c r="B874" s="2">
        <v>45653</v>
      </c>
      <c r="C874" t="s">
        <v>1171</v>
      </c>
      <c r="D874" t="s">
        <v>1683</v>
      </c>
      <c r="E874" t="s">
        <v>1759</v>
      </c>
      <c r="F874" s="4">
        <v>4</v>
      </c>
      <c r="G874">
        <v>282.45</v>
      </c>
      <c r="H874">
        <v>0.28999999999999998</v>
      </c>
      <c r="I874" t="s">
        <v>1812</v>
      </c>
      <c r="J874">
        <v>802.1579999999999</v>
      </c>
      <c r="K874" t="s">
        <v>1172</v>
      </c>
      <c r="L874">
        <v>23</v>
      </c>
      <c r="M874" t="str">
        <v>Male</v>
      </c>
      <c r="N874" t="str">
        <f>VLOOKUP(C:C,Customer_Dim!B:I,5,1)</f>
        <v>West Jeffreyburgh</v>
      </c>
      <c r="O874" t="str">
        <f>VLOOKUP(C:C,Customer_Dim!B:I,6,1)</f>
        <v>Iowa</v>
      </c>
      <c r="P874" t="str">
        <f>VLOOKUP(C:C,Customer_Dim!B:I,7,1)</f>
        <v>USA</v>
      </c>
      <c r="Q874" t="str">
        <f>VLOOKUP(C:C,Customer_Dim!B:I,8,1)</f>
        <v>Gold</v>
      </c>
      <c r="S874">
        <v>4</v>
      </c>
      <c r="T874">
        <v>282.45</v>
      </c>
      <c r="U874">
        <v>0.28999999999999998</v>
      </c>
      <c r="V874">
        <v>802.1579999999999</v>
      </c>
      <c r="X874" s="4">
        <v>4</v>
      </c>
      <c r="Y874">
        <v>282.45</v>
      </c>
      <c r="Z874">
        <v>0.28999999999999998</v>
      </c>
      <c r="AA874">
        <v>802.1579999999999</v>
      </c>
    </row>
    <row r="875" spans="1:27" x14ac:dyDescent="0.3">
      <c r="A875" t="s">
        <v>2682</v>
      </c>
      <c r="B875" s="2">
        <v>45250</v>
      </c>
      <c r="C875" t="s">
        <v>1389</v>
      </c>
      <c r="D875" t="s">
        <v>1705</v>
      </c>
      <c r="E875" t="s">
        <v>1762</v>
      </c>
      <c r="F875" s="4">
        <v>2</v>
      </c>
      <c r="G875">
        <v>386.46</v>
      </c>
      <c r="H875">
        <v>0.23</v>
      </c>
      <c r="I875" t="s">
        <v>1812</v>
      </c>
      <c r="J875">
        <v>595.14840000000004</v>
      </c>
      <c r="K875" t="s">
        <v>1390</v>
      </c>
      <c r="L875">
        <v>59</v>
      </c>
      <c r="M875" t="str">
        <v>Female</v>
      </c>
      <c r="N875" t="str">
        <f>VLOOKUP(C:C,Customer_Dim!B:I,5,1)</f>
        <v>East Yvette</v>
      </c>
      <c r="O875" t="str">
        <f>VLOOKUP(C:C,Customer_Dim!B:I,6,1)</f>
        <v>Illinois</v>
      </c>
      <c r="P875" t="str">
        <f>VLOOKUP(C:C,Customer_Dim!B:I,7,1)</f>
        <v>USA</v>
      </c>
      <c r="Q875" t="str">
        <f>VLOOKUP(C:C,Customer_Dim!B:I,8,1)</f>
        <v>Gold</v>
      </c>
      <c r="S875">
        <v>2</v>
      </c>
      <c r="T875">
        <v>386.46</v>
      </c>
      <c r="U875">
        <v>0.23</v>
      </c>
      <c r="V875">
        <v>595.14840000000004</v>
      </c>
      <c r="X875" s="4">
        <v>2</v>
      </c>
      <c r="Y875">
        <v>386.46</v>
      </c>
      <c r="Z875">
        <v>0.23</v>
      </c>
      <c r="AA875">
        <v>595.14840000000004</v>
      </c>
    </row>
    <row r="876" spans="1:27" x14ac:dyDescent="0.3">
      <c r="A876" t="s">
        <v>2683</v>
      </c>
      <c r="B876" s="2">
        <v>45661</v>
      </c>
      <c r="C876" t="s">
        <v>634</v>
      </c>
      <c r="D876" t="s">
        <v>1569</v>
      </c>
      <c r="E876" t="s">
        <v>1749</v>
      </c>
      <c r="F876" s="4">
        <v>1</v>
      </c>
      <c r="G876">
        <v>270.45</v>
      </c>
      <c r="H876">
        <v>0.15</v>
      </c>
      <c r="I876" t="s">
        <v>1812</v>
      </c>
      <c r="J876">
        <v>229.88249999999999</v>
      </c>
      <c r="K876" t="s">
        <v>635</v>
      </c>
      <c r="L876">
        <v>18</v>
      </c>
      <c r="M876" t="str">
        <v>Female</v>
      </c>
      <c r="N876" t="str">
        <f>VLOOKUP(C:C,Customer_Dim!B:I,5,1)</f>
        <v>Taraberg</v>
      </c>
      <c r="O876" t="str">
        <f>VLOOKUP(C:C,Customer_Dim!B:I,6,1)</f>
        <v>Arizona</v>
      </c>
      <c r="P876" t="str">
        <f>VLOOKUP(C:C,Customer_Dim!B:I,7,1)</f>
        <v>USA</v>
      </c>
      <c r="Q876" t="str">
        <f>VLOOKUP(C:C,Customer_Dim!B:I,8,1)</f>
        <v>Silver</v>
      </c>
      <c r="S876">
        <v>1</v>
      </c>
      <c r="T876">
        <v>270.45</v>
      </c>
      <c r="U876">
        <v>0.15</v>
      </c>
      <c r="V876">
        <v>229.88249999999999</v>
      </c>
      <c r="X876" s="4">
        <v>1</v>
      </c>
      <c r="Y876">
        <v>270.45</v>
      </c>
      <c r="Z876">
        <v>0.15</v>
      </c>
      <c r="AA876">
        <v>229.88249999999999</v>
      </c>
    </row>
    <row r="877" spans="1:27" x14ac:dyDescent="0.3">
      <c r="A877" t="s">
        <v>2684</v>
      </c>
      <c r="B877" s="2">
        <v>45493</v>
      </c>
      <c r="C877" t="s">
        <v>159</v>
      </c>
      <c r="D877" t="s">
        <v>1683</v>
      </c>
      <c r="E877" t="s">
        <v>1772</v>
      </c>
      <c r="F877" s="4">
        <v>4</v>
      </c>
      <c r="G877">
        <v>762.94</v>
      </c>
      <c r="H877">
        <v>0.09</v>
      </c>
      <c r="I877" t="s">
        <v>1812</v>
      </c>
      <c r="J877">
        <v>2777.1016</v>
      </c>
      <c r="K877" t="s">
        <v>160</v>
      </c>
      <c r="L877">
        <v>19</v>
      </c>
      <c r="M877" t="str">
        <v>Male</v>
      </c>
      <c r="N877" t="str">
        <f>VLOOKUP(C:C,Customer_Dim!B:I,5,1)</f>
        <v>Mooneyshire</v>
      </c>
      <c r="O877" t="str">
        <f>VLOOKUP(C:C,Customer_Dim!B:I,6,1)</f>
        <v>Alaska</v>
      </c>
      <c r="P877" t="str">
        <f>VLOOKUP(C:C,Customer_Dim!B:I,7,1)</f>
        <v>USA</v>
      </c>
      <c r="Q877" t="str">
        <f>VLOOKUP(C:C,Customer_Dim!B:I,8,1)</f>
        <v>Platinum</v>
      </c>
      <c r="S877">
        <v>4</v>
      </c>
      <c r="T877">
        <v>762.94</v>
      </c>
      <c r="U877">
        <v>0.09</v>
      </c>
      <c r="V877">
        <v>2777.1016</v>
      </c>
      <c r="X877" s="4">
        <v>4</v>
      </c>
      <c r="Y877">
        <v>762.94</v>
      </c>
      <c r="Z877">
        <v>0.09</v>
      </c>
      <c r="AA877">
        <v>2777.1016</v>
      </c>
    </row>
    <row r="878" spans="1:27" x14ac:dyDescent="0.3">
      <c r="A878" t="s">
        <v>2685</v>
      </c>
      <c r="B878" s="2">
        <v>45242</v>
      </c>
      <c r="C878" t="s">
        <v>1501</v>
      </c>
      <c r="D878" t="s">
        <v>1613</v>
      </c>
      <c r="E878" t="s">
        <v>1780</v>
      </c>
      <c r="F878" s="4">
        <v>1</v>
      </c>
      <c r="G878">
        <v>409.03</v>
      </c>
      <c r="H878">
        <v>0.25</v>
      </c>
      <c r="I878" t="s">
        <v>1812</v>
      </c>
      <c r="J878">
        <v>306.77249999999998</v>
      </c>
      <c r="K878" t="s">
        <v>1502</v>
      </c>
      <c r="L878">
        <v>23</v>
      </c>
      <c r="M878" t="str">
        <v>Female</v>
      </c>
      <c r="N878" t="str">
        <f>VLOOKUP(C:C,Customer_Dim!B:I,5,1)</f>
        <v>Port Cheryl</v>
      </c>
      <c r="O878" t="str">
        <f>VLOOKUP(C:C,Customer_Dim!B:I,6,1)</f>
        <v>Texas</v>
      </c>
      <c r="P878" t="str">
        <f>VLOOKUP(C:C,Customer_Dim!B:I,7,1)</f>
        <v>USA</v>
      </c>
      <c r="Q878" t="str">
        <f>VLOOKUP(C:C,Customer_Dim!B:I,8,1)</f>
        <v>Gold</v>
      </c>
      <c r="S878">
        <v>1</v>
      </c>
      <c r="T878">
        <v>409.03</v>
      </c>
      <c r="U878">
        <v>0.25</v>
      </c>
      <c r="V878">
        <v>306.77249999999998</v>
      </c>
      <c r="X878" s="4">
        <v>1</v>
      </c>
      <c r="Y878">
        <v>409.03</v>
      </c>
      <c r="Z878">
        <v>0.25</v>
      </c>
      <c r="AA878">
        <v>306.77249999999998</v>
      </c>
    </row>
    <row r="879" spans="1:27" x14ac:dyDescent="0.3">
      <c r="A879" t="s">
        <v>2686</v>
      </c>
      <c r="B879" s="2">
        <v>45411</v>
      </c>
      <c r="C879" t="s">
        <v>705</v>
      </c>
      <c r="D879" t="s">
        <v>1723</v>
      </c>
      <c r="E879" t="s">
        <v>1793</v>
      </c>
      <c r="F879" s="4">
        <v>2</v>
      </c>
      <c r="G879">
        <v>891.13</v>
      </c>
      <c r="H879">
        <v>0.13</v>
      </c>
      <c r="I879" t="s">
        <v>1807</v>
      </c>
      <c r="J879">
        <v>1550.5662</v>
      </c>
      <c r="K879" t="s">
        <v>706</v>
      </c>
      <c r="L879">
        <v>50</v>
      </c>
      <c r="M879" t="str">
        <v>Female</v>
      </c>
      <c r="N879" t="str">
        <f>VLOOKUP(C:C,Customer_Dim!B:I,5,1)</f>
        <v xml:space="preserve">Phillipschester   </v>
      </c>
      <c r="O879" t="str">
        <f>VLOOKUP(C:C,Customer_Dim!B:I,6,1)</f>
        <v>New Jersey</v>
      </c>
      <c r="P879" t="str">
        <f>VLOOKUP(C:C,Customer_Dim!B:I,7,1)</f>
        <v>USA</v>
      </c>
      <c r="Q879" t="str">
        <f>VLOOKUP(C:C,Customer_Dim!B:I,8,1)</f>
        <v>Gold</v>
      </c>
      <c r="S879">
        <v>2</v>
      </c>
      <c r="T879">
        <v>891.13</v>
      </c>
      <c r="U879">
        <v>0.13</v>
      </c>
      <c r="V879">
        <v>1550.5662</v>
      </c>
      <c r="X879" s="4">
        <v>2</v>
      </c>
      <c r="Y879">
        <v>891.13</v>
      </c>
      <c r="Z879">
        <v>0.13</v>
      </c>
      <c r="AA879">
        <v>1550.5662</v>
      </c>
    </row>
    <row r="880" spans="1:27" x14ac:dyDescent="0.3">
      <c r="A880" t="s">
        <v>2687</v>
      </c>
      <c r="B880" s="2">
        <v>45593</v>
      </c>
      <c r="C880" t="s">
        <v>130</v>
      </c>
      <c r="D880" t="s">
        <v>1715</v>
      </c>
      <c r="E880" t="s">
        <v>1787</v>
      </c>
      <c r="F880" s="4">
        <v>1</v>
      </c>
      <c r="G880">
        <v>553.38</v>
      </c>
      <c r="H880">
        <v>0.21</v>
      </c>
      <c r="I880" t="s">
        <v>1809</v>
      </c>
      <c r="J880">
        <v>437.17020000000002</v>
      </c>
      <c r="K880" t="s">
        <v>131</v>
      </c>
      <c r="L880">
        <v>25</v>
      </c>
      <c r="M880" t="str">
        <v>Male</v>
      </c>
      <c r="N880" t="str">
        <f>VLOOKUP(C:C,Customer_Dim!B:I,5,1)</f>
        <v>Fostermouth</v>
      </c>
      <c r="O880" t="str">
        <f>VLOOKUP(C:C,Customer_Dim!B:I,6,1)</f>
        <v>Arizona</v>
      </c>
      <c r="P880" t="str">
        <f>VLOOKUP(C:C,Customer_Dim!B:I,7,1)</f>
        <v>USA</v>
      </c>
      <c r="Q880" t="str">
        <f>VLOOKUP(C:C,Customer_Dim!B:I,8,1)</f>
        <v>Gold</v>
      </c>
      <c r="S880">
        <v>1</v>
      </c>
      <c r="T880">
        <v>553.38</v>
      </c>
      <c r="U880">
        <v>0.21</v>
      </c>
      <c r="V880">
        <v>437.17020000000002</v>
      </c>
      <c r="X880" s="4">
        <v>1</v>
      </c>
      <c r="Y880">
        <v>553.38</v>
      </c>
      <c r="Z880">
        <v>0.21</v>
      </c>
      <c r="AA880">
        <v>437.17020000000002</v>
      </c>
    </row>
    <row r="881" spans="1:27" x14ac:dyDescent="0.3">
      <c r="A881" t="s">
        <v>2688</v>
      </c>
      <c r="B881" s="2">
        <v>45281</v>
      </c>
      <c r="C881" t="s">
        <v>530</v>
      </c>
      <c r="D881" t="s">
        <v>1701</v>
      </c>
      <c r="E881" t="s">
        <v>1780</v>
      </c>
      <c r="F881" s="4">
        <v>2</v>
      </c>
      <c r="G881">
        <v>652.29999999999995</v>
      </c>
      <c r="H881">
        <v>0.16</v>
      </c>
      <c r="I881" t="s">
        <v>1812</v>
      </c>
      <c r="J881">
        <v>1095.864</v>
      </c>
      <c r="K881" t="s">
        <v>531</v>
      </c>
      <c r="L881">
        <v>18</v>
      </c>
      <c r="M881" t="str">
        <v>Female</v>
      </c>
      <c r="N881" t="str">
        <f>VLOOKUP(C:C,Customer_Dim!B:I,5,1)</f>
        <v>New Juliemouth</v>
      </c>
      <c r="O881" t="str">
        <f>VLOOKUP(C:C,Customer_Dim!B:I,6,1)</f>
        <v>North Carolina</v>
      </c>
      <c r="P881" t="str">
        <f>VLOOKUP(C:C,Customer_Dim!B:I,7,1)</f>
        <v>USA</v>
      </c>
      <c r="Q881" t="str">
        <f>VLOOKUP(C:C,Customer_Dim!B:I,8,1)</f>
        <v>Platinum</v>
      </c>
      <c r="S881">
        <v>2</v>
      </c>
      <c r="T881">
        <v>652.29999999999995</v>
      </c>
      <c r="U881">
        <v>0.16</v>
      </c>
      <c r="V881">
        <v>1095.864</v>
      </c>
      <c r="X881" s="4">
        <v>2</v>
      </c>
      <c r="Y881">
        <v>652.29999999999995</v>
      </c>
      <c r="Z881">
        <v>0.16</v>
      </c>
      <c r="AA881">
        <v>1095.864</v>
      </c>
    </row>
    <row r="882" spans="1:27" x14ac:dyDescent="0.3">
      <c r="A882" t="s">
        <v>2689</v>
      </c>
      <c r="B882" s="2">
        <v>45575</v>
      </c>
      <c r="C882" t="s">
        <v>417</v>
      </c>
      <c r="D882" t="s">
        <v>1615</v>
      </c>
      <c r="E882" t="s">
        <v>1769</v>
      </c>
      <c r="F882" s="4">
        <v>4</v>
      </c>
      <c r="G882">
        <v>194.36</v>
      </c>
      <c r="H882">
        <v>0.18</v>
      </c>
      <c r="I882" t="s">
        <v>1812</v>
      </c>
      <c r="J882">
        <v>637.50080000000014</v>
      </c>
      <c r="K882" t="s">
        <v>418</v>
      </c>
      <c r="L882">
        <v>40</v>
      </c>
      <c r="M882" t="str">
        <v>Male</v>
      </c>
      <c r="N882" t="str">
        <f>VLOOKUP(C:C,Customer_Dim!B:I,5,1)</f>
        <v>Kathrynport</v>
      </c>
      <c r="O882" t="str">
        <f>VLOOKUP(C:C,Customer_Dim!B:I,6,1)</f>
        <v>North Carolina</v>
      </c>
      <c r="P882" t="str">
        <f>VLOOKUP(C:C,Customer_Dim!B:I,7,1)</f>
        <v>USA</v>
      </c>
      <c r="Q882" t="str">
        <f>VLOOKUP(C:C,Customer_Dim!B:I,8,1)</f>
        <v>Platinum</v>
      </c>
      <c r="S882">
        <v>4</v>
      </c>
      <c r="T882">
        <v>194.36</v>
      </c>
      <c r="U882">
        <v>0.18</v>
      </c>
      <c r="V882">
        <v>637.50080000000014</v>
      </c>
      <c r="X882" s="4">
        <v>4</v>
      </c>
      <c r="Y882">
        <v>194.36</v>
      </c>
      <c r="Z882">
        <v>0.18</v>
      </c>
      <c r="AA882">
        <v>637.50080000000014</v>
      </c>
    </row>
    <row r="883" spans="1:27" x14ac:dyDescent="0.3">
      <c r="A883" t="s">
        <v>2690</v>
      </c>
      <c r="B883" s="2">
        <v>45660</v>
      </c>
      <c r="C883" t="s">
        <v>509</v>
      </c>
      <c r="D883" t="s">
        <v>1715</v>
      </c>
      <c r="E883" t="s">
        <v>1740</v>
      </c>
      <c r="F883" s="4">
        <v>3</v>
      </c>
      <c r="G883">
        <v>476.37</v>
      </c>
      <c r="H883">
        <v>0.21</v>
      </c>
      <c r="I883" t="s">
        <v>1812</v>
      </c>
      <c r="J883">
        <v>1128.9969000000001</v>
      </c>
      <c r="K883" t="s">
        <v>510</v>
      </c>
      <c r="L883">
        <v>35</v>
      </c>
      <c r="M883" t="str">
        <v>Female</v>
      </c>
      <c r="N883" t="str">
        <f>VLOOKUP(C:C,Customer_Dim!B:I,5,1)</f>
        <v>New Leahfurt</v>
      </c>
      <c r="O883" t="str">
        <f>VLOOKUP(C:C,Customer_Dim!B:I,6,1)</f>
        <v>North Dakota</v>
      </c>
      <c r="P883" t="str">
        <f>VLOOKUP(C:C,Customer_Dim!B:I,7,1)</f>
        <v>USA</v>
      </c>
      <c r="Q883" t="str">
        <f>VLOOKUP(C:C,Customer_Dim!B:I,8,1)</f>
        <v>Bronze</v>
      </c>
      <c r="S883">
        <v>3</v>
      </c>
      <c r="T883">
        <v>476.37</v>
      </c>
      <c r="U883">
        <v>0.21</v>
      </c>
      <c r="V883">
        <v>1128.9969000000001</v>
      </c>
      <c r="X883" s="4">
        <v>3</v>
      </c>
      <c r="Y883">
        <v>476.37</v>
      </c>
      <c r="Z883">
        <v>0.21</v>
      </c>
      <c r="AA883">
        <v>1128.9969000000001</v>
      </c>
    </row>
    <row r="884" spans="1:27" x14ac:dyDescent="0.3">
      <c r="A884" t="s">
        <v>2691</v>
      </c>
      <c r="B884" s="2">
        <v>45360</v>
      </c>
      <c r="C884" t="s">
        <v>1129</v>
      </c>
      <c r="D884" t="s">
        <v>1611</v>
      </c>
      <c r="E884" t="s">
        <v>1756</v>
      </c>
      <c r="F884" s="4">
        <v>3</v>
      </c>
      <c r="G884">
        <v>174.57</v>
      </c>
      <c r="H884">
        <v>0</v>
      </c>
      <c r="I884" t="s">
        <v>1809</v>
      </c>
      <c r="J884">
        <v>523.71</v>
      </c>
      <c r="K884" t="s">
        <v>1130</v>
      </c>
      <c r="L884">
        <v>40</v>
      </c>
      <c r="M884" t="str">
        <v>Female</v>
      </c>
      <c r="N884" t="str">
        <f>VLOOKUP(C:C,Customer_Dim!B:I,5,1)</f>
        <v>Kellyside</v>
      </c>
      <c r="O884" t="str">
        <f>VLOOKUP(C:C,Customer_Dim!B:I,6,1)</f>
        <v>Alaska</v>
      </c>
      <c r="P884" t="str">
        <f>VLOOKUP(C:C,Customer_Dim!B:I,7,1)</f>
        <v>USA</v>
      </c>
      <c r="Q884" t="str">
        <f>VLOOKUP(C:C,Customer_Dim!B:I,8,1)</f>
        <v>Platinum</v>
      </c>
      <c r="S884">
        <v>3</v>
      </c>
      <c r="T884">
        <v>174.57</v>
      </c>
      <c r="U884">
        <v>0</v>
      </c>
      <c r="V884">
        <v>523.71</v>
      </c>
      <c r="X884" s="4">
        <v>3</v>
      </c>
      <c r="Y884">
        <v>174.57</v>
      </c>
      <c r="Z884">
        <v>0</v>
      </c>
      <c r="AA884">
        <v>523.71</v>
      </c>
    </row>
    <row r="885" spans="1:27" x14ac:dyDescent="0.3">
      <c r="A885" t="s">
        <v>2692</v>
      </c>
      <c r="B885" s="2">
        <v>45526</v>
      </c>
      <c r="C885" t="s">
        <v>409</v>
      </c>
      <c r="D885" t="s">
        <v>1701</v>
      </c>
      <c r="E885" t="s">
        <v>1735</v>
      </c>
      <c r="F885" s="4">
        <v>3</v>
      </c>
      <c r="G885">
        <v>762</v>
      </c>
      <c r="H885">
        <v>0.02</v>
      </c>
      <c r="I885" t="s">
        <v>1809</v>
      </c>
      <c r="J885">
        <v>2240.2800000000002</v>
      </c>
      <c r="K885" t="s">
        <v>410</v>
      </c>
      <c r="L885">
        <v>44</v>
      </c>
      <c r="M885" t="str">
        <v>Female</v>
      </c>
      <c r="N885" t="str">
        <f>VLOOKUP(C:C,Customer_Dim!B:I,5,1)</f>
        <v>North Edwardton</v>
      </c>
      <c r="O885" t="str">
        <f>VLOOKUP(C:C,Customer_Dim!B:I,6,1)</f>
        <v>Tennessee</v>
      </c>
      <c r="P885" t="str">
        <f>VLOOKUP(C:C,Customer_Dim!B:I,7,1)</f>
        <v>USA</v>
      </c>
      <c r="Q885" t="str">
        <f>VLOOKUP(C:C,Customer_Dim!B:I,8,1)</f>
        <v>Bronze</v>
      </c>
      <c r="S885">
        <v>3</v>
      </c>
      <c r="T885">
        <v>762</v>
      </c>
      <c r="U885">
        <v>0.02</v>
      </c>
      <c r="V885">
        <v>2240.2800000000002</v>
      </c>
      <c r="X885" s="4">
        <v>3</v>
      </c>
      <c r="Y885">
        <v>762</v>
      </c>
      <c r="Z885">
        <v>0.02</v>
      </c>
      <c r="AA885">
        <v>2240.2800000000002</v>
      </c>
    </row>
    <row r="886" spans="1:27" x14ac:dyDescent="0.3">
      <c r="A886" t="s">
        <v>2693</v>
      </c>
      <c r="B886" s="2">
        <v>45395</v>
      </c>
      <c r="C886" t="s">
        <v>1303</v>
      </c>
      <c r="D886" t="s">
        <v>1675</v>
      </c>
      <c r="E886" t="s">
        <v>1796</v>
      </c>
      <c r="F886" s="4">
        <v>1</v>
      </c>
      <c r="G886">
        <v>44.08</v>
      </c>
      <c r="H886">
        <v>0.05</v>
      </c>
      <c r="I886" t="s">
        <v>1807</v>
      </c>
      <c r="J886">
        <v>41.875999999999998</v>
      </c>
      <c r="K886" t="s">
        <v>1304</v>
      </c>
      <c r="L886">
        <v>28</v>
      </c>
      <c r="M886" t="str">
        <v>Male</v>
      </c>
      <c r="N886" t="str">
        <f>VLOOKUP(C:C,Customer_Dim!B:I,5,1)</f>
        <v>Lake Monique</v>
      </c>
      <c r="O886" t="str">
        <f>VLOOKUP(C:C,Customer_Dim!B:I,6,1)</f>
        <v>Utah</v>
      </c>
      <c r="P886" t="str">
        <f>VLOOKUP(C:C,Customer_Dim!B:I,7,1)</f>
        <v>USA</v>
      </c>
      <c r="Q886" t="str">
        <f>VLOOKUP(C:C,Customer_Dim!B:I,8,1)</f>
        <v>Bronze</v>
      </c>
      <c r="S886">
        <v>1</v>
      </c>
      <c r="T886">
        <v>44.08</v>
      </c>
      <c r="U886">
        <v>0.05</v>
      </c>
      <c r="V886">
        <v>41.875999999999998</v>
      </c>
      <c r="X886" s="4">
        <v>1</v>
      </c>
      <c r="Y886">
        <v>44.08</v>
      </c>
      <c r="Z886">
        <v>0.05</v>
      </c>
      <c r="AA886">
        <v>41.875999999999998</v>
      </c>
    </row>
    <row r="887" spans="1:27" x14ac:dyDescent="0.3">
      <c r="A887" t="s">
        <v>2694</v>
      </c>
      <c r="B887" s="2">
        <v>45466</v>
      </c>
      <c r="C887" t="s">
        <v>1504</v>
      </c>
      <c r="D887" t="s">
        <v>1649</v>
      </c>
      <c r="E887" t="s">
        <v>1780</v>
      </c>
      <c r="F887" s="4">
        <v>1</v>
      </c>
      <c r="G887">
        <v>992.37</v>
      </c>
      <c r="H887">
        <v>0.24</v>
      </c>
      <c r="I887" t="s">
        <v>1812</v>
      </c>
      <c r="J887">
        <v>754.20119999999997</v>
      </c>
      <c r="K887" t="s">
        <v>1505</v>
      </c>
      <c r="L887">
        <v>56</v>
      </c>
      <c r="M887" t="str">
        <v>Male</v>
      </c>
      <c r="N887" t="str">
        <f>VLOOKUP(C:C,Customer_Dim!B:I,5,1)</f>
        <v>Bryanmouth</v>
      </c>
      <c r="O887" t="str">
        <f>VLOOKUP(C:C,Customer_Dim!B:I,6,1)</f>
        <v>Delaware</v>
      </c>
      <c r="P887" t="str">
        <f>VLOOKUP(C:C,Customer_Dim!B:I,7,1)</f>
        <v>USA</v>
      </c>
      <c r="Q887" t="str">
        <f>VLOOKUP(C:C,Customer_Dim!B:I,8,1)</f>
        <v>Bronze</v>
      </c>
      <c r="S887">
        <v>1</v>
      </c>
      <c r="T887">
        <v>992.37</v>
      </c>
      <c r="U887">
        <v>0.24</v>
      </c>
      <c r="V887">
        <v>754.20119999999997</v>
      </c>
      <c r="X887" s="4">
        <v>1</v>
      </c>
      <c r="Y887">
        <v>992.37</v>
      </c>
      <c r="Z887">
        <v>0.24</v>
      </c>
      <c r="AA887">
        <v>754.20119999999997</v>
      </c>
    </row>
    <row r="888" spans="1:27" x14ac:dyDescent="0.3">
      <c r="A888" t="s">
        <v>2695</v>
      </c>
      <c r="B888" s="2">
        <v>45876</v>
      </c>
      <c r="C888" t="s">
        <v>651</v>
      </c>
      <c r="D888" t="s">
        <v>1593</v>
      </c>
      <c r="E888" t="s">
        <v>1772</v>
      </c>
      <c r="F888" s="4">
        <v>3</v>
      </c>
      <c r="G888">
        <v>465.4</v>
      </c>
      <c r="H888">
        <v>0.28999999999999998</v>
      </c>
      <c r="I888" t="s">
        <v>1812</v>
      </c>
      <c r="J888">
        <v>991.30199999999979</v>
      </c>
      <c r="K888" t="s">
        <v>652</v>
      </c>
      <c r="L888">
        <v>37</v>
      </c>
      <c r="M888" t="str">
        <v>Female</v>
      </c>
      <c r="N888" t="str">
        <f>VLOOKUP(C:C,Customer_Dim!B:I,5,1)</f>
        <v>New Logan</v>
      </c>
      <c r="O888" t="str">
        <f>VLOOKUP(C:C,Customer_Dim!B:I,6,1)</f>
        <v>Michigan</v>
      </c>
      <c r="P888" t="str">
        <f>VLOOKUP(C:C,Customer_Dim!B:I,7,1)</f>
        <v>USA</v>
      </c>
      <c r="Q888" t="str">
        <f>VLOOKUP(C:C,Customer_Dim!B:I,8,1)</f>
        <v>Bronze</v>
      </c>
      <c r="S888">
        <v>3</v>
      </c>
      <c r="T888">
        <v>465.4</v>
      </c>
      <c r="U888">
        <v>0.28999999999999998</v>
      </c>
      <c r="V888">
        <v>991.30199999999979</v>
      </c>
      <c r="X888" s="4">
        <v>3</v>
      </c>
      <c r="Y888">
        <v>465.4</v>
      </c>
      <c r="Z888">
        <v>0.28999999999999998</v>
      </c>
      <c r="AA888">
        <v>991.30199999999979</v>
      </c>
    </row>
    <row r="889" spans="1:27" x14ac:dyDescent="0.3">
      <c r="A889" t="s">
        <v>2696</v>
      </c>
      <c r="B889" s="2">
        <v>45724</v>
      </c>
      <c r="C889" t="s">
        <v>1048</v>
      </c>
      <c r="D889" t="s">
        <v>1563</v>
      </c>
      <c r="E889" t="s">
        <v>1772</v>
      </c>
      <c r="F889" s="4">
        <v>2</v>
      </c>
      <c r="G889">
        <v>693.61</v>
      </c>
      <c r="H889">
        <v>0.15</v>
      </c>
      <c r="I889" t="s">
        <v>1809</v>
      </c>
      <c r="J889">
        <v>1179.1369999999999</v>
      </c>
      <c r="K889" t="s">
        <v>1049</v>
      </c>
      <c r="L889">
        <v>46</v>
      </c>
      <c r="M889" t="str">
        <v>Female</v>
      </c>
      <c r="N889" t="str">
        <f>VLOOKUP(C:C,Customer_Dim!B:I,5,1)</f>
        <v>Ryanport</v>
      </c>
      <c r="O889" t="str">
        <f>VLOOKUP(C:C,Customer_Dim!B:I,6,1)</f>
        <v>North Carolina</v>
      </c>
      <c r="P889" t="str">
        <f>VLOOKUP(C:C,Customer_Dim!B:I,7,1)</f>
        <v>USA</v>
      </c>
      <c r="Q889" t="str">
        <f>VLOOKUP(C:C,Customer_Dim!B:I,8,1)</f>
        <v>Bronze</v>
      </c>
      <c r="S889">
        <v>2</v>
      </c>
      <c r="T889">
        <v>693.61</v>
      </c>
      <c r="U889">
        <v>0.15</v>
      </c>
      <c r="V889">
        <v>1179.1369999999999</v>
      </c>
      <c r="X889" s="4">
        <v>2</v>
      </c>
      <c r="Y889">
        <v>693.61</v>
      </c>
      <c r="Z889">
        <v>0.15</v>
      </c>
      <c r="AA889">
        <v>1179.1369999999999</v>
      </c>
    </row>
    <row r="890" spans="1:27" x14ac:dyDescent="0.3">
      <c r="A890" t="s">
        <v>2697</v>
      </c>
      <c r="B890" s="2">
        <v>45801</v>
      </c>
      <c r="C890" t="s">
        <v>1418</v>
      </c>
      <c r="D890" t="s">
        <v>1665</v>
      </c>
      <c r="E890" t="s">
        <v>1765</v>
      </c>
      <c r="F890" s="4">
        <v>2</v>
      </c>
      <c r="G890">
        <v>995.11</v>
      </c>
      <c r="H890">
        <v>0.13</v>
      </c>
      <c r="I890" t="s">
        <v>1809</v>
      </c>
      <c r="J890">
        <v>1731.4914000000001</v>
      </c>
      <c r="K890" t="s">
        <v>1419</v>
      </c>
      <c r="L890">
        <v>18</v>
      </c>
      <c r="M890" t="str">
        <v>Male</v>
      </c>
      <c r="N890" t="str">
        <f>VLOOKUP(C:C,Customer_Dim!B:I,5,1)</f>
        <v>Hartmanside</v>
      </c>
      <c r="O890" t="str">
        <f>VLOOKUP(C:C,Customer_Dim!B:I,6,1)</f>
        <v>North Carolina</v>
      </c>
      <c r="P890" t="str">
        <f>VLOOKUP(C:C,Customer_Dim!B:I,7,1)</f>
        <v>USA</v>
      </c>
      <c r="Q890" t="str">
        <f>VLOOKUP(C:C,Customer_Dim!B:I,8,1)</f>
        <v>Silver</v>
      </c>
      <c r="S890">
        <v>2</v>
      </c>
      <c r="T890">
        <v>995.11</v>
      </c>
      <c r="U890">
        <v>0.13</v>
      </c>
      <c r="V890">
        <v>1731.4914000000001</v>
      </c>
      <c r="X890" s="4">
        <v>2</v>
      </c>
      <c r="Y890">
        <v>995.11</v>
      </c>
      <c r="Z890">
        <v>0.13</v>
      </c>
      <c r="AA890">
        <v>1731.4914000000001</v>
      </c>
    </row>
    <row r="891" spans="1:27" x14ac:dyDescent="0.3">
      <c r="A891" t="s">
        <v>2698</v>
      </c>
      <c r="B891" s="2">
        <v>45749</v>
      </c>
      <c r="C891" t="s">
        <v>1177</v>
      </c>
      <c r="D891" t="s">
        <v>1577</v>
      </c>
      <c r="E891" t="s">
        <v>1752</v>
      </c>
      <c r="F891" s="4">
        <v>3</v>
      </c>
      <c r="G891">
        <v>70.97</v>
      </c>
      <c r="H891">
        <v>0.06</v>
      </c>
      <c r="I891" t="s">
        <v>1812</v>
      </c>
      <c r="J891">
        <v>200.1354</v>
      </c>
      <c r="K891" t="s">
        <v>1178</v>
      </c>
      <c r="L891">
        <v>20</v>
      </c>
      <c r="M891" t="str">
        <v>Female</v>
      </c>
      <c r="N891" t="str">
        <f>VLOOKUP(C:C,Customer_Dim!B:I,5,1)</f>
        <v>Andrewsland</v>
      </c>
      <c r="O891" t="str">
        <f>VLOOKUP(C:C,Customer_Dim!B:I,6,1)</f>
        <v>Alabama</v>
      </c>
      <c r="P891" t="str">
        <f>VLOOKUP(C:C,Customer_Dim!B:I,7,1)</f>
        <v>USA</v>
      </c>
      <c r="Q891" t="str">
        <f>VLOOKUP(C:C,Customer_Dim!B:I,8,1)</f>
        <v>Silver</v>
      </c>
      <c r="S891">
        <v>3</v>
      </c>
      <c r="T891">
        <v>70.97</v>
      </c>
      <c r="U891">
        <v>0.06</v>
      </c>
      <c r="V891">
        <v>200.1354</v>
      </c>
      <c r="X891" s="4">
        <v>3</v>
      </c>
      <c r="Y891">
        <v>70.97</v>
      </c>
      <c r="Z891">
        <v>0.06</v>
      </c>
      <c r="AA891">
        <v>200.1354</v>
      </c>
    </row>
    <row r="892" spans="1:27" x14ac:dyDescent="0.3">
      <c r="A892" t="s">
        <v>2699</v>
      </c>
      <c r="B892" s="2">
        <v>45325</v>
      </c>
      <c r="C892" t="s">
        <v>391</v>
      </c>
      <c r="D892" t="s">
        <v>1697</v>
      </c>
      <c r="E892" t="s">
        <v>1769</v>
      </c>
      <c r="F892" s="4">
        <v>3</v>
      </c>
      <c r="G892">
        <v>470.42</v>
      </c>
      <c r="H892">
        <v>0.16</v>
      </c>
      <c r="I892" t="s">
        <v>1807</v>
      </c>
      <c r="J892">
        <v>1185.4584</v>
      </c>
      <c r="K892" t="s">
        <v>392</v>
      </c>
      <c r="L892">
        <v>30</v>
      </c>
      <c r="M892" t="str">
        <v>Male</v>
      </c>
      <c r="N892" t="str">
        <f>VLOOKUP(C:C,Customer_Dim!B:I,5,1)</f>
        <v>New William</v>
      </c>
      <c r="O892" t="str">
        <f>VLOOKUP(C:C,Customer_Dim!B:I,6,1)</f>
        <v>New Mexico</v>
      </c>
      <c r="P892" t="str">
        <f>VLOOKUP(C:C,Customer_Dim!B:I,7,1)</f>
        <v>USA</v>
      </c>
      <c r="Q892" t="str">
        <f>VLOOKUP(C:C,Customer_Dim!B:I,8,1)</f>
        <v>Gold</v>
      </c>
      <c r="S892">
        <v>3</v>
      </c>
      <c r="T892">
        <v>470.42</v>
      </c>
      <c r="U892">
        <v>0.16</v>
      </c>
      <c r="V892">
        <v>1185.4584</v>
      </c>
      <c r="X892" s="4">
        <v>3</v>
      </c>
      <c r="Y892">
        <v>470.42</v>
      </c>
      <c r="Z892">
        <v>0.16</v>
      </c>
      <c r="AA892">
        <v>1185.4584</v>
      </c>
    </row>
    <row r="893" spans="1:27" x14ac:dyDescent="0.3">
      <c r="A893" t="s">
        <v>2700</v>
      </c>
      <c r="B893" s="2">
        <v>45932</v>
      </c>
      <c r="C893" t="s">
        <v>980</v>
      </c>
      <c r="D893" t="s">
        <v>1703</v>
      </c>
      <c r="E893" t="s">
        <v>1787</v>
      </c>
      <c r="F893" s="4">
        <v>2</v>
      </c>
      <c r="G893">
        <v>215.59</v>
      </c>
      <c r="H893">
        <v>0.18</v>
      </c>
      <c r="I893" t="s">
        <v>1807</v>
      </c>
      <c r="J893">
        <v>353.56760000000003</v>
      </c>
      <c r="K893" t="s">
        <v>981</v>
      </c>
      <c r="L893">
        <v>49</v>
      </c>
      <c r="M893" t="str">
        <v>Male</v>
      </c>
      <c r="N893" t="str">
        <f>VLOOKUP(C:C,Customer_Dim!B:I,5,1)</f>
        <v>Anitaland</v>
      </c>
      <c r="O893" t="str">
        <f>VLOOKUP(C:C,Customer_Dim!B:I,6,1)</f>
        <v>Washington</v>
      </c>
      <c r="P893" t="str">
        <f>VLOOKUP(C:C,Customer_Dim!B:I,7,1)</f>
        <v>USA</v>
      </c>
      <c r="Q893" t="str">
        <f>VLOOKUP(C:C,Customer_Dim!B:I,8,1)</f>
        <v>Silver</v>
      </c>
      <c r="S893">
        <v>2</v>
      </c>
      <c r="T893">
        <v>215.59</v>
      </c>
      <c r="U893">
        <v>0.18</v>
      </c>
      <c r="V893">
        <v>353.56760000000003</v>
      </c>
      <c r="X893" s="4">
        <v>2</v>
      </c>
      <c r="Y893">
        <v>215.59</v>
      </c>
      <c r="Z893">
        <v>0.18</v>
      </c>
      <c r="AA893">
        <v>353.56760000000003</v>
      </c>
    </row>
    <row r="894" spans="1:27" x14ac:dyDescent="0.3">
      <c r="A894" t="s">
        <v>2701</v>
      </c>
      <c r="B894" s="2">
        <v>45895</v>
      </c>
      <c r="C894" t="s">
        <v>761</v>
      </c>
      <c r="D894" t="s">
        <v>1715</v>
      </c>
      <c r="E894" t="s">
        <v>1735</v>
      </c>
      <c r="F894" s="4">
        <v>1</v>
      </c>
      <c r="G894">
        <v>533.79999999999995</v>
      </c>
      <c r="H894">
        <v>0.27</v>
      </c>
      <c r="I894" t="s">
        <v>1812</v>
      </c>
      <c r="J894">
        <v>389.67399999999998</v>
      </c>
      <c r="K894" t="s">
        <v>762</v>
      </c>
      <c r="L894">
        <v>59</v>
      </c>
      <c r="M894" t="str">
        <v>Female</v>
      </c>
      <c r="N894" t="str">
        <f>VLOOKUP(C:C,Customer_Dim!B:I,5,1)</f>
        <v>Zamoraborough</v>
      </c>
      <c r="O894" t="str">
        <f>VLOOKUP(C:C,Customer_Dim!B:I,6,1)</f>
        <v>Nevada</v>
      </c>
      <c r="P894" t="str">
        <f>VLOOKUP(C:C,Customer_Dim!B:I,7,1)</f>
        <v>USA</v>
      </c>
      <c r="Q894" t="str">
        <f>VLOOKUP(C:C,Customer_Dim!B:I,8,1)</f>
        <v>Platinum</v>
      </c>
      <c r="S894">
        <v>1</v>
      </c>
      <c r="T894">
        <v>533.79999999999995</v>
      </c>
      <c r="U894">
        <v>0.27</v>
      </c>
      <c r="V894">
        <v>389.67399999999998</v>
      </c>
      <c r="X894" s="4">
        <v>1</v>
      </c>
      <c r="Y894">
        <v>533.79999999999995</v>
      </c>
      <c r="Z894">
        <v>0.27</v>
      </c>
      <c r="AA894">
        <v>389.67399999999998</v>
      </c>
    </row>
    <row r="895" spans="1:27" x14ac:dyDescent="0.3">
      <c r="A895" t="s">
        <v>2702</v>
      </c>
      <c r="B895" s="2">
        <v>45614</v>
      </c>
      <c r="C895" t="s">
        <v>330</v>
      </c>
      <c r="D895" t="s">
        <v>1595</v>
      </c>
      <c r="E895" t="s">
        <v>1749</v>
      </c>
      <c r="F895" s="4">
        <v>2</v>
      </c>
      <c r="G895">
        <v>732.67</v>
      </c>
      <c r="H895">
        <v>0.24</v>
      </c>
      <c r="I895" t="s">
        <v>1809</v>
      </c>
      <c r="J895">
        <v>1113.6584</v>
      </c>
      <c r="K895" t="s">
        <v>331</v>
      </c>
      <c r="L895">
        <v>43</v>
      </c>
      <c r="M895" t="str">
        <v>Female</v>
      </c>
      <c r="N895" t="str">
        <f>VLOOKUP(C:C,Customer_Dim!B:I,5,1)</f>
        <v>Port Travisstad</v>
      </c>
      <c r="O895" t="str">
        <f>VLOOKUP(C:C,Customer_Dim!B:I,6,1)</f>
        <v>South Carolina</v>
      </c>
      <c r="P895" t="str">
        <f>VLOOKUP(C:C,Customer_Dim!B:I,7,1)</f>
        <v>USA</v>
      </c>
      <c r="Q895" t="str">
        <f>VLOOKUP(C:C,Customer_Dim!B:I,8,1)</f>
        <v>Gold</v>
      </c>
      <c r="S895">
        <v>2</v>
      </c>
      <c r="T895">
        <v>732.67</v>
      </c>
      <c r="U895">
        <v>0.24</v>
      </c>
      <c r="V895">
        <v>1113.6584</v>
      </c>
      <c r="X895" s="4">
        <v>2</v>
      </c>
      <c r="Y895">
        <v>732.67</v>
      </c>
      <c r="Z895">
        <v>0.24</v>
      </c>
      <c r="AA895">
        <v>1113.6584</v>
      </c>
    </row>
    <row r="896" spans="1:27" x14ac:dyDescent="0.3">
      <c r="A896" t="s">
        <v>2703</v>
      </c>
      <c r="B896" s="2">
        <v>45247</v>
      </c>
      <c r="C896" t="s">
        <v>1487</v>
      </c>
      <c r="D896" t="s">
        <v>1651</v>
      </c>
      <c r="E896" t="s">
        <v>1780</v>
      </c>
      <c r="F896" s="4">
        <v>4</v>
      </c>
      <c r="G896">
        <v>106.48</v>
      </c>
      <c r="H896">
        <v>0.1</v>
      </c>
      <c r="I896" t="s">
        <v>1812</v>
      </c>
      <c r="J896">
        <v>383.32799999999997</v>
      </c>
      <c r="K896" t="s">
        <v>1488</v>
      </c>
      <c r="L896">
        <v>23</v>
      </c>
      <c r="M896" t="str">
        <v>Male</v>
      </c>
      <c r="N896" t="str">
        <f>VLOOKUP(C:C,Customer_Dim!B:I,5,1)</f>
        <v>Lake Elizabethside</v>
      </c>
      <c r="O896" t="str">
        <f>VLOOKUP(C:C,Customer_Dim!B:I,6,1)</f>
        <v>Indiana</v>
      </c>
      <c r="P896" t="str">
        <f>VLOOKUP(C:C,Customer_Dim!B:I,7,1)</f>
        <v>USA</v>
      </c>
      <c r="Q896" t="str">
        <f>VLOOKUP(C:C,Customer_Dim!B:I,8,1)</f>
        <v>Silver</v>
      </c>
      <c r="S896">
        <v>4</v>
      </c>
      <c r="T896">
        <v>106.48</v>
      </c>
      <c r="U896">
        <v>0.1</v>
      </c>
      <c r="V896">
        <v>383.32799999999997</v>
      </c>
      <c r="X896" s="4">
        <v>4</v>
      </c>
      <c r="Y896">
        <v>106.48</v>
      </c>
      <c r="Z896">
        <v>0.1</v>
      </c>
      <c r="AA896">
        <v>383.32799999999997</v>
      </c>
    </row>
    <row r="897" spans="1:27" x14ac:dyDescent="0.3">
      <c r="A897" t="s">
        <v>2704</v>
      </c>
      <c r="B897" s="2">
        <v>45696</v>
      </c>
      <c r="C897" t="s">
        <v>367</v>
      </c>
      <c r="D897" t="s">
        <v>1645</v>
      </c>
      <c r="E897" t="s">
        <v>1749</v>
      </c>
      <c r="F897" s="4">
        <v>1</v>
      </c>
      <c r="G897">
        <v>38.950000000000003</v>
      </c>
      <c r="H897">
        <v>0.28000000000000003</v>
      </c>
      <c r="I897" t="s">
        <v>1807</v>
      </c>
      <c r="J897">
        <v>28.044</v>
      </c>
      <c r="K897" t="s">
        <v>368</v>
      </c>
      <c r="L897">
        <v>53</v>
      </c>
      <c r="M897" t="str">
        <v>Female</v>
      </c>
      <c r="N897" t="str">
        <f>VLOOKUP(C:C,Customer_Dim!B:I,5,1)</f>
        <v>Port Victoria</v>
      </c>
      <c r="O897" t="str">
        <f>VLOOKUP(C:C,Customer_Dim!B:I,6,1)</f>
        <v>Florida</v>
      </c>
      <c r="P897" t="str">
        <f>VLOOKUP(C:C,Customer_Dim!B:I,7,1)</f>
        <v>USA</v>
      </c>
      <c r="Q897" t="str">
        <f>VLOOKUP(C:C,Customer_Dim!B:I,8,1)</f>
        <v>Gold</v>
      </c>
      <c r="S897">
        <v>1</v>
      </c>
      <c r="T897">
        <v>38.950000000000003</v>
      </c>
      <c r="U897">
        <v>0.28000000000000003</v>
      </c>
      <c r="V897">
        <v>28.044</v>
      </c>
      <c r="X897" s="4">
        <v>1</v>
      </c>
      <c r="Y897">
        <v>38.950000000000003</v>
      </c>
      <c r="Z897">
        <v>0.28000000000000003</v>
      </c>
      <c r="AA897">
        <v>28.044</v>
      </c>
    </row>
    <row r="898" spans="1:27" x14ac:dyDescent="0.3">
      <c r="A898" t="s">
        <v>2705</v>
      </c>
      <c r="B898" s="2">
        <v>45294</v>
      </c>
      <c r="C898" t="s">
        <v>1321</v>
      </c>
      <c r="D898" t="s">
        <v>1723</v>
      </c>
      <c r="E898" t="s">
        <v>1787</v>
      </c>
      <c r="F898" s="4">
        <v>1</v>
      </c>
      <c r="G898">
        <v>835.17</v>
      </c>
      <c r="H898">
        <v>0.02</v>
      </c>
      <c r="I898" t="s">
        <v>1812</v>
      </c>
      <c r="J898">
        <v>818.46659999999997</v>
      </c>
      <c r="K898" t="s">
        <v>1322</v>
      </c>
      <c r="L898">
        <v>37</v>
      </c>
      <c r="M898" t="str">
        <v>Male</v>
      </c>
      <c r="N898" t="str">
        <f>VLOOKUP(C:C,Customer_Dim!B:I,5,1)</f>
        <v>South Andrewport</v>
      </c>
      <c r="O898" t="str">
        <f>VLOOKUP(C:C,Customer_Dim!B:I,6,1)</f>
        <v>California</v>
      </c>
      <c r="P898" t="str">
        <f>VLOOKUP(C:C,Customer_Dim!B:I,7,1)</f>
        <v>USA</v>
      </c>
      <c r="Q898" t="str">
        <f>VLOOKUP(C:C,Customer_Dim!B:I,8,1)</f>
        <v>Platinum</v>
      </c>
      <c r="S898">
        <v>1</v>
      </c>
      <c r="T898">
        <v>835.17</v>
      </c>
      <c r="U898">
        <v>0.02</v>
      </c>
      <c r="V898">
        <v>818.46659999999997</v>
      </c>
      <c r="X898" s="4">
        <v>1</v>
      </c>
      <c r="Y898">
        <v>835.17</v>
      </c>
      <c r="Z898">
        <v>0.02</v>
      </c>
      <c r="AA898">
        <v>818.46659999999997</v>
      </c>
    </row>
    <row r="899" spans="1:27" x14ac:dyDescent="0.3">
      <c r="A899" t="s">
        <v>2706</v>
      </c>
      <c r="B899" s="2">
        <v>45389</v>
      </c>
      <c r="C899" t="s">
        <v>453</v>
      </c>
      <c r="D899" t="s">
        <v>1697</v>
      </c>
      <c r="E899" t="s">
        <v>1749</v>
      </c>
      <c r="F899" s="4">
        <v>1</v>
      </c>
      <c r="G899">
        <v>113.07</v>
      </c>
      <c r="H899">
        <v>0.24</v>
      </c>
      <c r="I899" t="s">
        <v>1807</v>
      </c>
      <c r="J899">
        <v>85.933199999999999</v>
      </c>
      <c r="K899" t="s">
        <v>454</v>
      </c>
      <c r="L899">
        <v>33</v>
      </c>
      <c r="M899" t="str">
        <v>Female</v>
      </c>
      <c r="N899" t="str">
        <f>VLOOKUP(C:C,Customer_Dim!B:I,5,1)</f>
        <v>Parksfort</v>
      </c>
      <c r="O899" t="str">
        <f>VLOOKUP(C:C,Customer_Dim!B:I,6,1)</f>
        <v>Washington</v>
      </c>
      <c r="P899" t="str">
        <f>VLOOKUP(C:C,Customer_Dim!B:I,7,1)</f>
        <v>USA</v>
      </c>
      <c r="Q899" t="str">
        <f>VLOOKUP(C:C,Customer_Dim!B:I,8,1)</f>
        <v>Gold</v>
      </c>
      <c r="S899">
        <v>1</v>
      </c>
      <c r="T899">
        <v>113.07</v>
      </c>
      <c r="U899">
        <v>0.24</v>
      </c>
      <c r="V899">
        <v>85.933199999999999</v>
      </c>
      <c r="X899" s="4">
        <v>1</v>
      </c>
      <c r="Y899">
        <v>113.07</v>
      </c>
      <c r="Z899">
        <v>0.24</v>
      </c>
      <c r="AA899">
        <v>85.933199999999999</v>
      </c>
    </row>
    <row r="900" spans="1:27" x14ac:dyDescent="0.3">
      <c r="A900" t="s">
        <v>2707</v>
      </c>
      <c r="B900" s="2">
        <v>45930</v>
      </c>
      <c r="C900" t="s">
        <v>1421</v>
      </c>
      <c r="D900" t="s">
        <v>1719</v>
      </c>
      <c r="E900" t="s">
        <v>1777</v>
      </c>
      <c r="F900" s="4">
        <v>2</v>
      </c>
      <c r="G900">
        <v>451.33</v>
      </c>
      <c r="H900">
        <v>0.23</v>
      </c>
      <c r="I900" t="s">
        <v>1812</v>
      </c>
      <c r="J900">
        <v>695.04819999999995</v>
      </c>
      <c r="K900" t="s">
        <v>1422</v>
      </c>
      <c r="L900">
        <v>63</v>
      </c>
      <c r="M900" t="str">
        <v>Female</v>
      </c>
      <c r="N900" t="str">
        <f>VLOOKUP(C:C,Customer_Dim!B:I,5,1)</f>
        <v>Espinozaberg</v>
      </c>
      <c r="O900" t="str">
        <f>VLOOKUP(C:C,Customer_Dim!B:I,6,1)</f>
        <v>Minnesota</v>
      </c>
      <c r="P900" t="str">
        <f>VLOOKUP(C:C,Customer_Dim!B:I,7,1)</f>
        <v>USA</v>
      </c>
      <c r="Q900" t="str">
        <f>VLOOKUP(C:C,Customer_Dim!B:I,8,1)</f>
        <v>Silver</v>
      </c>
      <c r="S900">
        <v>2</v>
      </c>
      <c r="T900">
        <v>451.33</v>
      </c>
      <c r="U900">
        <v>0.23</v>
      </c>
      <c r="V900">
        <v>695.04819999999995</v>
      </c>
      <c r="X900" s="4">
        <v>2</v>
      </c>
      <c r="Y900">
        <v>451.33</v>
      </c>
      <c r="Z900">
        <v>0.23</v>
      </c>
      <c r="AA900">
        <v>695.04819999999995</v>
      </c>
    </row>
    <row r="901" spans="1:27" x14ac:dyDescent="0.3">
      <c r="A901" t="s">
        <v>2708</v>
      </c>
      <c r="B901" s="2">
        <v>45456</v>
      </c>
      <c r="C901" t="s">
        <v>1150</v>
      </c>
      <c r="D901" t="s">
        <v>1703</v>
      </c>
      <c r="E901" t="s">
        <v>1759</v>
      </c>
      <c r="F901" s="4">
        <v>3</v>
      </c>
      <c r="G901">
        <v>619.80999999999995</v>
      </c>
      <c r="H901">
        <v>0.16</v>
      </c>
      <c r="I901" t="s">
        <v>1812</v>
      </c>
      <c r="J901">
        <v>1561.9212</v>
      </c>
      <c r="K901" t="s">
        <v>1151</v>
      </c>
      <c r="L901">
        <v>37</v>
      </c>
      <c r="M901" t="str">
        <v>Female</v>
      </c>
      <c r="N901" t="str">
        <f>VLOOKUP(C:C,Customer_Dim!B:I,5,1)</f>
        <v>Vincentside</v>
      </c>
      <c r="O901" t="str">
        <f>VLOOKUP(C:C,Customer_Dim!B:I,6,1)</f>
        <v>Ohio</v>
      </c>
      <c r="P901" t="str">
        <f>VLOOKUP(C:C,Customer_Dim!B:I,7,1)</f>
        <v>USA</v>
      </c>
      <c r="Q901" t="str">
        <f>VLOOKUP(C:C,Customer_Dim!B:I,8,1)</f>
        <v>Bronze</v>
      </c>
      <c r="S901">
        <v>3</v>
      </c>
      <c r="T901">
        <v>619.80999999999995</v>
      </c>
      <c r="U901">
        <v>0.16</v>
      </c>
      <c r="V901">
        <v>1561.9212</v>
      </c>
      <c r="X901" s="4">
        <v>3</v>
      </c>
      <c r="Y901">
        <v>619.80999999999995</v>
      </c>
      <c r="Z901">
        <v>0.16</v>
      </c>
      <c r="AA901">
        <v>1561.9212</v>
      </c>
    </row>
    <row r="902" spans="1:27" x14ac:dyDescent="0.3">
      <c r="A902" t="s">
        <v>2709</v>
      </c>
      <c r="B902" s="2">
        <v>45713</v>
      </c>
      <c r="C902" t="s">
        <v>376</v>
      </c>
      <c r="D902" t="s">
        <v>1655</v>
      </c>
      <c r="E902" t="s">
        <v>1762</v>
      </c>
      <c r="F902" s="4">
        <v>4</v>
      </c>
      <c r="G902">
        <v>46.97</v>
      </c>
      <c r="H902">
        <v>0.26</v>
      </c>
      <c r="I902" t="s">
        <v>1809</v>
      </c>
      <c r="J902">
        <v>139.03120000000001</v>
      </c>
      <c r="K902" t="s">
        <v>377</v>
      </c>
      <c r="L902">
        <v>27</v>
      </c>
      <c r="M902" t="str">
        <v>Male</v>
      </c>
      <c r="N902" t="str">
        <f>VLOOKUP(C:C,Customer_Dim!B:I,5,1)</f>
        <v>Webstermouth</v>
      </c>
      <c r="O902" t="str">
        <f>VLOOKUP(C:C,Customer_Dim!B:I,6,1)</f>
        <v>New Hampshire</v>
      </c>
      <c r="P902" t="str">
        <f>VLOOKUP(C:C,Customer_Dim!B:I,7,1)</f>
        <v>USA</v>
      </c>
      <c r="Q902" t="str">
        <f>VLOOKUP(C:C,Customer_Dim!B:I,8,1)</f>
        <v>Bronze</v>
      </c>
      <c r="S902">
        <v>4</v>
      </c>
      <c r="T902">
        <v>46.97</v>
      </c>
      <c r="U902">
        <v>0.26</v>
      </c>
      <c r="V902">
        <v>139.03120000000001</v>
      </c>
      <c r="X902" s="4">
        <v>4</v>
      </c>
      <c r="Y902">
        <v>46.97</v>
      </c>
      <c r="Z902">
        <v>0.26</v>
      </c>
      <c r="AA902">
        <v>139.03120000000001</v>
      </c>
    </row>
    <row r="903" spans="1:27" x14ac:dyDescent="0.3">
      <c r="A903" t="s">
        <v>2710</v>
      </c>
      <c r="B903" s="2">
        <v>45784</v>
      </c>
      <c r="C903" t="s">
        <v>601</v>
      </c>
      <c r="D903" t="s">
        <v>1623</v>
      </c>
      <c r="E903" t="s">
        <v>1744</v>
      </c>
      <c r="F903" s="4">
        <v>2</v>
      </c>
      <c r="G903">
        <v>71.48</v>
      </c>
      <c r="H903">
        <v>0.14000000000000001</v>
      </c>
      <c r="I903" t="s">
        <v>1812</v>
      </c>
      <c r="J903">
        <v>122.9456</v>
      </c>
      <c r="K903" t="s">
        <v>602</v>
      </c>
      <c r="L903">
        <v>54</v>
      </c>
      <c r="M903" t="str">
        <v>Female</v>
      </c>
      <c r="N903" t="str">
        <f>VLOOKUP(C:C,Customer_Dim!B:I,5,1)</f>
        <v>Port Sherryview</v>
      </c>
      <c r="O903" t="str">
        <f>VLOOKUP(C:C,Customer_Dim!B:I,6,1)</f>
        <v>North Dakota</v>
      </c>
      <c r="P903" t="str">
        <f>VLOOKUP(C:C,Customer_Dim!B:I,7,1)</f>
        <v>USA</v>
      </c>
      <c r="Q903" t="str">
        <f>VLOOKUP(C:C,Customer_Dim!B:I,8,1)</f>
        <v>Silver</v>
      </c>
      <c r="S903">
        <v>2</v>
      </c>
      <c r="T903">
        <v>71.48</v>
      </c>
      <c r="U903">
        <v>0.14000000000000001</v>
      </c>
      <c r="V903">
        <v>122.9456</v>
      </c>
      <c r="X903" s="4">
        <v>2</v>
      </c>
      <c r="Y903">
        <v>71.48</v>
      </c>
      <c r="Z903">
        <v>0.14000000000000001</v>
      </c>
      <c r="AA903">
        <v>122.9456</v>
      </c>
    </row>
    <row r="904" spans="1:27" x14ac:dyDescent="0.3">
      <c r="A904" t="s">
        <v>2711</v>
      </c>
      <c r="B904" s="2">
        <v>45812</v>
      </c>
      <c r="C904" t="s">
        <v>8</v>
      </c>
      <c r="D904" t="s">
        <v>1643</v>
      </c>
      <c r="E904" t="s">
        <v>1796</v>
      </c>
      <c r="F904" s="4">
        <v>2</v>
      </c>
      <c r="G904">
        <v>404.08</v>
      </c>
      <c r="H904">
        <v>7.0000000000000007E-2</v>
      </c>
      <c r="I904" t="s">
        <v>1807</v>
      </c>
      <c r="J904">
        <v>751.58879999999988</v>
      </c>
      <c r="K904" t="s">
        <v>3952</v>
      </c>
      <c r="L904" t="e">
        <v>#N/A</v>
      </c>
      <c r="M904" t="e">
        <v>#N/A</v>
      </c>
      <c r="N904" t="str">
        <f>VLOOKUP(C:C,Customer_Dim!B:I,5,1)</f>
        <v>Donaldton</v>
      </c>
      <c r="O904" t="str">
        <f>VLOOKUP(C:C,Customer_Dim!B:I,6,1)</f>
        <v>North Carolina</v>
      </c>
      <c r="P904" t="str">
        <f>VLOOKUP(C:C,Customer_Dim!B:I,7,1)</f>
        <v>USA</v>
      </c>
      <c r="Q904" t="str">
        <f>VLOOKUP(C:C,Customer_Dim!B:I,8,1)</f>
        <v>Platinum</v>
      </c>
      <c r="S904">
        <v>2</v>
      </c>
      <c r="T904">
        <v>404.08</v>
      </c>
      <c r="U904">
        <v>7.0000000000000007E-2</v>
      </c>
      <c r="V904">
        <v>751.58879999999988</v>
      </c>
      <c r="X904" s="4">
        <v>2</v>
      </c>
      <c r="Y904">
        <v>404.08</v>
      </c>
      <c r="Z904">
        <v>7.0000000000000007E-2</v>
      </c>
      <c r="AA904">
        <v>751.58879999999988</v>
      </c>
    </row>
    <row r="905" spans="1:27" x14ac:dyDescent="0.3">
      <c r="A905" t="s">
        <v>2712</v>
      </c>
      <c r="B905" s="2">
        <v>45653</v>
      </c>
      <c r="C905" t="s">
        <v>835</v>
      </c>
      <c r="D905" t="s">
        <v>1565</v>
      </c>
      <c r="E905" t="s">
        <v>1787</v>
      </c>
      <c r="F905" s="4">
        <v>1</v>
      </c>
      <c r="G905">
        <v>519.91</v>
      </c>
      <c r="H905">
        <v>0.05</v>
      </c>
      <c r="I905" t="s">
        <v>1812</v>
      </c>
      <c r="J905">
        <v>493.91449999999992</v>
      </c>
      <c r="K905" t="s">
        <v>836</v>
      </c>
      <c r="L905">
        <v>38</v>
      </c>
      <c r="M905" t="str">
        <v>Male</v>
      </c>
      <c r="N905" t="str">
        <f>VLOOKUP(C:C,Customer_Dim!B:I,5,1)</f>
        <v>Grahamfurt</v>
      </c>
      <c r="O905" t="str">
        <f>VLOOKUP(C:C,Customer_Dim!B:I,6,1)</f>
        <v>Wyoming</v>
      </c>
      <c r="P905" t="str">
        <f>VLOOKUP(C:C,Customer_Dim!B:I,7,1)</f>
        <v>USA</v>
      </c>
      <c r="Q905" t="str">
        <f>VLOOKUP(C:C,Customer_Dim!B:I,8,1)</f>
        <v>Gold</v>
      </c>
      <c r="S905">
        <v>1</v>
      </c>
      <c r="T905">
        <v>519.91</v>
      </c>
      <c r="U905">
        <v>0.05</v>
      </c>
      <c r="V905">
        <v>493.91449999999992</v>
      </c>
      <c r="X905" s="4">
        <v>1</v>
      </c>
      <c r="Y905">
        <v>519.91</v>
      </c>
      <c r="Z905">
        <v>0.05</v>
      </c>
      <c r="AA905">
        <v>493.91449999999992</v>
      </c>
    </row>
    <row r="906" spans="1:27" x14ac:dyDescent="0.3">
      <c r="A906" t="s">
        <v>2713</v>
      </c>
      <c r="B906" s="2">
        <v>45672</v>
      </c>
      <c r="C906" t="s">
        <v>485</v>
      </c>
      <c r="D906" t="s">
        <v>1627</v>
      </c>
      <c r="E906" t="s">
        <v>1780</v>
      </c>
      <c r="F906" s="4">
        <v>3</v>
      </c>
      <c r="G906">
        <v>566.16</v>
      </c>
      <c r="H906">
        <v>0.05</v>
      </c>
      <c r="I906" t="s">
        <v>1809</v>
      </c>
      <c r="J906">
        <v>1613.556</v>
      </c>
      <c r="K906" t="s">
        <v>486</v>
      </c>
      <c r="L906">
        <v>32</v>
      </c>
      <c r="M906" t="str">
        <v>Female</v>
      </c>
      <c r="N906" t="str">
        <f>VLOOKUP(C:C,Customer_Dim!B:I,5,1)</f>
        <v>Michaelfort</v>
      </c>
      <c r="O906" t="str">
        <f>VLOOKUP(C:C,Customer_Dim!B:I,6,1)</f>
        <v>Indiana</v>
      </c>
      <c r="P906" t="str">
        <f>VLOOKUP(C:C,Customer_Dim!B:I,7,1)</f>
        <v>USA</v>
      </c>
      <c r="Q906" t="str">
        <f>VLOOKUP(C:C,Customer_Dim!B:I,8,1)</f>
        <v>Platinum</v>
      </c>
      <c r="S906">
        <v>3</v>
      </c>
      <c r="T906">
        <v>566.16</v>
      </c>
      <c r="U906">
        <v>0.05</v>
      </c>
      <c r="V906">
        <v>1613.556</v>
      </c>
      <c r="X906" s="4">
        <v>3</v>
      </c>
      <c r="Y906">
        <v>566.16</v>
      </c>
      <c r="Z906">
        <v>0.05</v>
      </c>
      <c r="AA906">
        <v>1613.556</v>
      </c>
    </row>
    <row r="907" spans="1:27" x14ac:dyDescent="0.3">
      <c r="A907" t="s">
        <v>2714</v>
      </c>
      <c r="B907" s="2">
        <v>45799</v>
      </c>
      <c r="C907" t="s">
        <v>1210</v>
      </c>
      <c r="D907" t="s">
        <v>1635</v>
      </c>
      <c r="E907" t="s">
        <v>1772</v>
      </c>
      <c r="F907" s="4">
        <v>2</v>
      </c>
      <c r="G907">
        <v>295.12</v>
      </c>
      <c r="H907">
        <v>0.09</v>
      </c>
      <c r="I907" t="s">
        <v>1812</v>
      </c>
      <c r="J907">
        <v>537.11840000000007</v>
      </c>
      <c r="K907" t="s">
        <v>1211</v>
      </c>
      <c r="L907">
        <v>46</v>
      </c>
      <c r="M907" t="str">
        <v>Male</v>
      </c>
      <c r="N907" t="str">
        <f>VLOOKUP(C:C,Customer_Dim!B:I,5,1)</f>
        <v>Gutierrezstad</v>
      </c>
      <c r="O907" t="str">
        <f>VLOOKUP(C:C,Customer_Dim!B:I,6,1)</f>
        <v>Missouri</v>
      </c>
      <c r="P907" t="str">
        <f>VLOOKUP(C:C,Customer_Dim!B:I,7,1)</f>
        <v>USA</v>
      </c>
      <c r="Q907" t="str">
        <f>VLOOKUP(C:C,Customer_Dim!B:I,8,1)</f>
        <v>Gold</v>
      </c>
      <c r="S907">
        <v>2</v>
      </c>
      <c r="T907">
        <v>295.12</v>
      </c>
      <c r="U907">
        <v>0.09</v>
      </c>
      <c r="V907">
        <v>537.11840000000007</v>
      </c>
      <c r="X907" s="4">
        <v>2</v>
      </c>
      <c r="Y907">
        <v>295.12</v>
      </c>
      <c r="Z907">
        <v>0.09</v>
      </c>
      <c r="AA907">
        <v>537.11840000000007</v>
      </c>
    </row>
    <row r="908" spans="1:27" x14ac:dyDescent="0.3">
      <c r="A908" t="s">
        <v>2715</v>
      </c>
      <c r="B908" s="2">
        <v>45848</v>
      </c>
      <c r="C908" t="s">
        <v>379</v>
      </c>
      <c r="D908" t="s">
        <v>1599</v>
      </c>
      <c r="E908" t="s">
        <v>1775</v>
      </c>
      <c r="F908" s="4">
        <v>2</v>
      </c>
      <c r="G908">
        <v>414.18</v>
      </c>
      <c r="H908">
        <v>0.25</v>
      </c>
      <c r="I908" t="s">
        <v>1809</v>
      </c>
      <c r="J908">
        <v>621.27</v>
      </c>
      <c r="K908" t="s">
        <v>380</v>
      </c>
      <c r="L908">
        <v>40</v>
      </c>
      <c r="M908" t="str">
        <v>Female</v>
      </c>
      <c r="N908" t="str">
        <f>VLOOKUP(C:C,Customer_Dim!B:I,5,1)</f>
        <v>Smithland</v>
      </c>
      <c r="O908" t="str">
        <f>VLOOKUP(C:C,Customer_Dim!B:I,6,1)</f>
        <v>West Virginia</v>
      </c>
      <c r="P908" t="str">
        <f>VLOOKUP(C:C,Customer_Dim!B:I,7,1)</f>
        <v>USA</v>
      </c>
      <c r="Q908" t="str">
        <f>VLOOKUP(C:C,Customer_Dim!B:I,8,1)</f>
        <v>Silver</v>
      </c>
      <c r="S908">
        <v>2</v>
      </c>
      <c r="T908">
        <v>414.18</v>
      </c>
      <c r="U908">
        <v>0.25</v>
      </c>
      <c r="V908">
        <v>621.27</v>
      </c>
      <c r="X908" s="4">
        <v>2</v>
      </c>
      <c r="Y908">
        <v>414.18</v>
      </c>
      <c r="Z908">
        <v>0.25</v>
      </c>
      <c r="AA908">
        <v>621.27</v>
      </c>
    </row>
    <row r="909" spans="1:27" x14ac:dyDescent="0.3">
      <c r="A909" t="s">
        <v>2716</v>
      </c>
      <c r="B909" s="2">
        <v>45918</v>
      </c>
      <c r="C909" t="s">
        <v>847</v>
      </c>
      <c r="D909" t="s">
        <v>1647</v>
      </c>
      <c r="E909" t="s">
        <v>1765</v>
      </c>
      <c r="F909" s="4">
        <v>2</v>
      </c>
      <c r="G909">
        <v>433.75</v>
      </c>
      <c r="H909">
        <v>0</v>
      </c>
      <c r="I909" t="s">
        <v>1807</v>
      </c>
      <c r="J909">
        <v>867.5</v>
      </c>
      <c r="K909" t="s">
        <v>848</v>
      </c>
      <c r="L909">
        <v>45</v>
      </c>
      <c r="M909" t="str">
        <v>Female</v>
      </c>
      <c r="N909" t="str">
        <f>VLOOKUP(C:C,Customer_Dim!B:I,5,1)</f>
        <v>Ryanberg</v>
      </c>
      <c r="O909" t="str">
        <f>VLOOKUP(C:C,Customer_Dim!B:I,6,1)</f>
        <v>Minnesota</v>
      </c>
      <c r="P909" t="str">
        <f>VLOOKUP(C:C,Customer_Dim!B:I,7,1)</f>
        <v>USA</v>
      </c>
      <c r="Q909" t="str">
        <f>VLOOKUP(C:C,Customer_Dim!B:I,8,1)</f>
        <v>Bronze</v>
      </c>
      <c r="S909">
        <v>2</v>
      </c>
      <c r="T909">
        <v>433.75</v>
      </c>
      <c r="U909">
        <v>0</v>
      </c>
      <c r="V909">
        <v>867.5</v>
      </c>
      <c r="X909" s="4">
        <v>2</v>
      </c>
      <c r="Y909">
        <v>433.75</v>
      </c>
      <c r="Z909">
        <v>0</v>
      </c>
      <c r="AA909">
        <v>867.5</v>
      </c>
    </row>
    <row r="910" spans="1:27" x14ac:dyDescent="0.3">
      <c r="A910" t="s">
        <v>2717</v>
      </c>
      <c r="B910" s="2">
        <v>45288</v>
      </c>
      <c r="C910" t="s">
        <v>885</v>
      </c>
      <c r="D910" t="s">
        <v>1701</v>
      </c>
      <c r="E910" t="s">
        <v>1796</v>
      </c>
      <c r="F910" s="4">
        <v>3</v>
      </c>
      <c r="G910">
        <v>104.33</v>
      </c>
      <c r="H910">
        <v>0.13</v>
      </c>
      <c r="I910" t="s">
        <v>1812</v>
      </c>
      <c r="J910">
        <v>272.30130000000003</v>
      </c>
      <c r="K910" t="s">
        <v>886</v>
      </c>
      <c r="L910">
        <v>46</v>
      </c>
      <c r="M910" t="str">
        <v>Female</v>
      </c>
      <c r="N910" t="str">
        <f>VLOOKUP(C:C,Customer_Dim!B:I,5,1)</f>
        <v>North Joshualand</v>
      </c>
      <c r="O910" t="str">
        <f>VLOOKUP(C:C,Customer_Dim!B:I,6,1)</f>
        <v>Connecticut</v>
      </c>
      <c r="P910" t="str">
        <f>VLOOKUP(C:C,Customer_Dim!B:I,7,1)</f>
        <v>USA</v>
      </c>
      <c r="Q910" t="str">
        <f>VLOOKUP(C:C,Customer_Dim!B:I,8,1)</f>
        <v>Platinum</v>
      </c>
      <c r="S910">
        <v>3</v>
      </c>
      <c r="T910">
        <v>104.33</v>
      </c>
      <c r="U910">
        <v>0.13</v>
      </c>
      <c r="V910">
        <v>272.30130000000003</v>
      </c>
      <c r="X910" s="4">
        <v>3</v>
      </c>
      <c r="Y910">
        <v>104.33</v>
      </c>
      <c r="Z910">
        <v>0.13</v>
      </c>
      <c r="AA910">
        <v>272.30130000000003</v>
      </c>
    </row>
    <row r="911" spans="1:27" x14ac:dyDescent="0.3">
      <c r="A911" t="s">
        <v>2718</v>
      </c>
      <c r="B911" s="2">
        <v>45477</v>
      </c>
      <c r="C911" t="s">
        <v>1415</v>
      </c>
      <c r="D911" t="s">
        <v>1536</v>
      </c>
      <c r="E911" t="s">
        <v>1777</v>
      </c>
      <c r="F911" s="4">
        <v>1</v>
      </c>
      <c r="G911">
        <v>221.7</v>
      </c>
      <c r="H911">
        <v>0.04</v>
      </c>
      <c r="I911" t="s">
        <v>1807</v>
      </c>
      <c r="J911">
        <v>212.83199999999999</v>
      </c>
      <c r="K911" t="s">
        <v>1416</v>
      </c>
      <c r="L911">
        <v>28</v>
      </c>
      <c r="M911" t="str">
        <v>Female</v>
      </c>
      <c r="N911" t="str">
        <f>VLOOKUP(C:C,Customer_Dim!B:I,5,1)</f>
        <v>Grayland</v>
      </c>
      <c r="O911" t="str">
        <f>VLOOKUP(C:C,Customer_Dim!B:I,6,1)</f>
        <v>Washington</v>
      </c>
      <c r="P911" t="str">
        <f>VLOOKUP(C:C,Customer_Dim!B:I,7,1)</f>
        <v>USA</v>
      </c>
      <c r="Q911" t="str">
        <f>VLOOKUP(C:C,Customer_Dim!B:I,8,1)</f>
        <v>Platinum</v>
      </c>
      <c r="S911">
        <v>1</v>
      </c>
      <c r="T911">
        <v>221.7</v>
      </c>
      <c r="U911">
        <v>0.04</v>
      </c>
      <c r="V911">
        <v>212.83199999999999</v>
      </c>
      <c r="X911" s="4">
        <v>1</v>
      </c>
      <c r="Y911">
        <v>221.7</v>
      </c>
      <c r="Z911">
        <v>0.04</v>
      </c>
      <c r="AA911">
        <v>212.83199999999999</v>
      </c>
    </row>
    <row r="912" spans="1:27" x14ac:dyDescent="0.3">
      <c r="A912" t="s">
        <v>2719</v>
      </c>
      <c r="B912" s="2">
        <v>45796</v>
      </c>
      <c r="C912" t="s">
        <v>681</v>
      </c>
      <c r="D912" t="s">
        <v>1665</v>
      </c>
      <c r="E912" t="s">
        <v>1756</v>
      </c>
      <c r="F912" s="4">
        <v>2</v>
      </c>
      <c r="G912">
        <v>491.26</v>
      </c>
      <c r="H912">
        <v>0.14000000000000001</v>
      </c>
      <c r="I912" t="s">
        <v>1812</v>
      </c>
      <c r="J912">
        <v>844.96719999999993</v>
      </c>
      <c r="K912" t="s">
        <v>682</v>
      </c>
      <c r="L912">
        <v>63</v>
      </c>
      <c r="M912" t="str">
        <v>Female</v>
      </c>
      <c r="N912" t="str">
        <f>VLOOKUP(C:C,Customer_Dim!B:I,5,1)</f>
        <v>Garzafort</v>
      </c>
      <c r="O912" t="str">
        <f>VLOOKUP(C:C,Customer_Dim!B:I,6,1)</f>
        <v>Delaware</v>
      </c>
      <c r="P912" t="str">
        <f>VLOOKUP(C:C,Customer_Dim!B:I,7,1)</f>
        <v>USA</v>
      </c>
      <c r="Q912" t="str">
        <f>VLOOKUP(C:C,Customer_Dim!B:I,8,1)</f>
        <v>Silver</v>
      </c>
      <c r="S912">
        <v>2</v>
      </c>
      <c r="T912">
        <v>491.26</v>
      </c>
      <c r="U912">
        <v>0.14000000000000001</v>
      </c>
      <c r="V912">
        <v>844.96719999999993</v>
      </c>
      <c r="X912" s="4">
        <v>2</v>
      </c>
      <c r="Y912">
        <v>491.26</v>
      </c>
      <c r="Z912">
        <v>0.14000000000000001</v>
      </c>
      <c r="AA912">
        <v>844.96719999999993</v>
      </c>
    </row>
    <row r="913" spans="1:27" x14ac:dyDescent="0.3">
      <c r="A913" t="s">
        <v>2720</v>
      </c>
      <c r="B913" s="2">
        <v>45630</v>
      </c>
      <c r="C913" t="s">
        <v>592</v>
      </c>
      <c r="D913" t="s">
        <v>1605</v>
      </c>
      <c r="E913" t="s">
        <v>1765</v>
      </c>
      <c r="F913" s="4">
        <v>4</v>
      </c>
      <c r="G913">
        <v>923.14</v>
      </c>
      <c r="H913">
        <v>0.15</v>
      </c>
      <c r="I913" t="s">
        <v>1807</v>
      </c>
      <c r="J913">
        <v>3138.6759999999999</v>
      </c>
      <c r="K913" t="s">
        <v>593</v>
      </c>
      <c r="L913">
        <v>23</v>
      </c>
      <c r="M913" t="str">
        <v>Female</v>
      </c>
      <c r="N913" t="str">
        <f>VLOOKUP(C:C,Customer_Dim!B:I,5,1)</f>
        <v>New Brianchester</v>
      </c>
      <c r="O913" t="str">
        <f>VLOOKUP(C:C,Customer_Dim!B:I,6,1)</f>
        <v>New York</v>
      </c>
      <c r="P913" t="str">
        <f>VLOOKUP(C:C,Customer_Dim!B:I,7,1)</f>
        <v>USA</v>
      </c>
      <c r="Q913" t="str">
        <f>VLOOKUP(C:C,Customer_Dim!B:I,8,1)</f>
        <v>Bronze</v>
      </c>
      <c r="S913">
        <v>4</v>
      </c>
      <c r="T913">
        <v>923.14</v>
      </c>
      <c r="U913">
        <v>0.15</v>
      </c>
      <c r="V913">
        <v>3138.6759999999999</v>
      </c>
      <c r="X913" s="4">
        <v>4</v>
      </c>
      <c r="Y913">
        <v>923.14</v>
      </c>
      <c r="Z913">
        <v>0.15</v>
      </c>
      <c r="AA913">
        <v>3138.6759999999999</v>
      </c>
    </row>
    <row r="914" spans="1:27" x14ac:dyDescent="0.3">
      <c r="A914" t="s">
        <v>2721</v>
      </c>
      <c r="B914" s="2">
        <v>45625</v>
      </c>
      <c r="C914" t="s">
        <v>628</v>
      </c>
      <c r="D914" t="s">
        <v>1659</v>
      </c>
      <c r="E914" t="s">
        <v>1762</v>
      </c>
      <c r="F914" s="4">
        <v>2</v>
      </c>
      <c r="G914">
        <v>747.65</v>
      </c>
      <c r="H914">
        <v>0.08</v>
      </c>
      <c r="I914" t="s">
        <v>1807</v>
      </c>
      <c r="J914">
        <v>1375.6759999999999</v>
      </c>
      <c r="K914" t="s">
        <v>629</v>
      </c>
      <c r="L914">
        <v>46</v>
      </c>
      <c r="M914" t="str">
        <v>Male</v>
      </c>
      <c r="N914" t="str">
        <f>VLOOKUP(C:C,Customer_Dim!B:I,5,1)</f>
        <v>Port Amanda</v>
      </c>
      <c r="O914" t="str">
        <f>VLOOKUP(C:C,Customer_Dim!B:I,6,1)</f>
        <v>Georgia</v>
      </c>
      <c r="P914" t="str">
        <f>VLOOKUP(C:C,Customer_Dim!B:I,7,1)</f>
        <v>USA</v>
      </c>
      <c r="Q914" t="str">
        <f>VLOOKUP(C:C,Customer_Dim!B:I,8,1)</f>
        <v>Gold</v>
      </c>
      <c r="S914">
        <v>2</v>
      </c>
      <c r="T914">
        <v>747.65</v>
      </c>
      <c r="U914">
        <v>0.08</v>
      </c>
      <c r="V914">
        <v>1375.6759999999999</v>
      </c>
      <c r="X914" s="4">
        <v>2</v>
      </c>
      <c r="Y914">
        <v>747.65</v>
      </c>
      <c r="Z914">
        <v>0.08</v>
      </c>
      <c r="AA914">
        <v>1375.6759999999999</v>
      </c>
    </row>
    <row r="915" spans="1:27" x14ac:dyDescent="0.3">
      <c r="A915" t="s">
        <v>2722</v>
      </c>
      <c r="B915" s="2">
        <v>45773</v>
      </c>
      <c r="C915" t="s">
        <v>379</v>
      </c>
      <c r="D915" t="s">
        <v>1615</v>
      </c>
      <c r="E915" t="s">
        <v>1762</v>
      </c>
      <c r="F915" s="4">
        <v>3</v>
      </c>
      <c r="G915">
        <v>94.55</v>
      </c>
      <c r="H915">
        <v>0.13</v>
      </c>
      <c r="I915" t="s">
        <v>1812</v>
      </c>
      <c r="J915">
        <v>246.77549999999999</v>
      </c>
      <c r="K915" t="s">
        <v>380</v>
      </c>
      <c r="L915">
        <v>40</v>
      </c>
      <c r="M915" t="str">
        <v>Female</v>
      </c>
      <c r="N915" t="str">
        <f>VLOOKUP(C:C,Customer_Dim!B:I,5,1)</f>
        <v>Smithland</v>
      </c>
      <c r="O915" t="str">
        <f>VLOOKUP(C:C,Customer_Dim!B:I,6,1)</f>
        <v>West Virginia</v>
      </c>
      <c r="P915" t="str">
        <f>VLOOKUP(C:C,Customer_Dim!B:I,7,1)</f>
        <v>USA</v>
      </c>
      <c r="Q915" t="str">
        <f>VLOOKUP(C:C,Customer_Dim!B:I,8,1)</f>
        <v>Silver</v>
      </c>
      <c r="S915">
        <v>3</v>
      </c>
      <c r="T915">
        <v>94.55</v>
      </c>
      <c r="U915">
        <v>0.13</v>
      </c>
      <c r="V915">
        <v>246.77549999999999</v>
      </c>
      <c r="X915" s="4">
        <v>3</v>
      </c>
      <c r="Y915">
        <v>94.55</v>
      </c>
      <c r="Z915">
        <v>0.13</v>
      </c>
      <c r="AA915">
        <v>246.77549999999999</v>
      </c>
    </row>
    <row r="916" spans="1:27" x14ac:dyDescent="0.3">
      <c r="A916" t="s">
        <v>2723</v>
      </c>
      <c r="B916" s="2">
        <v>45308</v>
      </c>
      <c r="C916" t="s">
        <v>152</v>
      </c>
      <c r="D916" t="s">
        <v>1561</v>
      </c>
      <c r="E916" t="s">
        <v>1796</v>
      </c>
      <c r="F916" s="4">
        <v>3</v>
      </c>
      <c r="G916">
        <v>620.12</v>
      </c>
      <c r="H916">
        <v>0.06</v>
      </c>
      <c r="I916" t="s">
        <v>1807</v>
      </c>
      <c r="J916">
        <v>1748.7384</v>
      </c>
      <c r="K916" t="s">
        <v>153</v>
      </c>
      <c r="L916">
        <v>50</v>
      </c>
      <c r="M916" t="str">
        <v>Male</v>
      </c>
      <c r="N916" t="str">
        <f>VLOOKUP(C:C,Customer_Dim!B:I,5,1)</f>
        <v>Darleneton</v>
      </c>
      <c r="O916" t="str">
        <f>VLOOKUP(C:C,Customer_Dim!B:I,6,1)</f>
        <v>Michigan</v>
      </c>
      <c r="P916" t="str">
        <f>VLOOKUP(C:C,Customer_Dim!B:I,7,1)</f>
        <v>USA</v>
      </c>
      <c r="Q916" t="str">
        <f>VLOOKUP(C:C,Customer_Dim!B:I,8,1)</f>
        <v>Gold</v>
      </c>
      <c r="S916">
        <v>3</v>
      </c>
      <c r="T916">
        <v>620.12</v>
      </c>
      <c r="U916">
        <v>0.06</v>
      </c>
      <c r="V916">
        <v>1748.7384</v>
      </c>
      <c r="X916" s="4">
        <v>3</v>
      </c>
      <c r="Y916">
        <v>620.12</v>
      </c>
      <c r="Z916">
        <v>0.06</v>
      </c>
      <c r="AA916">
        <v>1748.7384</v>
      </c>
    </row>
    <row r="917" spans="1:27" x14ac:dyDescent="0.3">
      <c r="A917" t="s">
        <v>2724</v>
      </c>
      <c r="B917" s="2">
        <v>45869</v>
      </c>
      <c r="C917" t="s">
        <v>1478</v>
      </c>
      <c r="D917" t="s">
        <v>1669</v>
      </c>
      <c r="E917" t="s">
        <v>1759</v>
      </c>
      <c r="F917" s="4">
        <v>2</v>
      </c>
      <c r="G917">
        <v>354.09</v>
      </c>
      <c r="H917">
        <v>0.12</v>
      </c>
      <c r="I917" t="s">
        <v>1812</v>
      </c>
      <c r="J917">
        <v>623.19839999999999</v>
      </c>
      <c r="K917" t="s">
        <v>1479</v>
      </c>
      <c r="L917">
        <v>36</v>
      </c>
      <c r="M917" t="str">
        <v>Female</v>
      </c>
      <c r="N917" t="str">
        <f>VLOOKUP(C:C,Customer_Dim!B:I,5,1)</f>
        <v>Lake April</v>
      </c>
      <c r="O917" t="str">
        <f>VLOOKUP(C:C,Customer_Dim!B:I,6,1)</f>
        <v>Vermont</v>
      </c>
      <c r="P917" t="str">
        <f>VLOOKUP(C:C,Customer_Dim!B:I,7,1)</f>
        <v>USA</v>
      </c>
      <c r="Q917" t="str">
        <f>VLOOKUP(C:C,Customer_Dim!B:I,8,1)</f>
        <v>Bronze</v>
      </c>
      <c r="S917">
        <v>2</v>
      </c>
      <c r="T917">
        <v>354.09</v>
      </c>
      <c r="U917">
        <v>0.12</v>
      </c>
      <c r="V917">
        <v>623.19839999999999</v>
      </c>
      <c r="X917" s="4">
        <v>2</v>
      </c>
      <c r="Y917">
        <v>354.09</v>
      </c>
      <c r="Z917">
        <v>0.12</v>
      </c>
      <c r="AA917">
        <v>623.19839999999999</v>
      </c>
    </row>
    <row r="918" spans="1:27" x14ac:dyDescent="0.3">
      <c r="A918" t="s">
        <v>2725</v>
      </c>
      <c r="B918" s="2">
        <v>45621</v>
      </c>
      <c r="C918" t="s">
        <v>442</v>
      </c>
      <c r="D918" t="s">
        <v>1637</v>
      </c>
      <c r="E918" t="s">
        <v>1756</v>
      </c>
      <c r="F918" s="4">
        <v>3</v>
      </c>
      <c r="G918">
        <v>214.94</v>
      </c>
      <c r="H918">
        <v>0.22</v>
      </c>
      <c r="I918" t="s">
        <v>1812</v>
      </c>
      <c r="J918">
        <v>502.95960000000002</v>
      </c>
      <c r="K918" t="s">
        <v>443</v>
      </c>
      <c r="L918">
        <v>34</v>
      </c>
      <c r="M918" t="str">
        <v>Female</v>
      </c>
      <c r="N918" t="str">
        <f>VLOOKUP(C:C,Customer_Dim!B:I,5,1)</f>
        <v xml:space="preserve">   Jonesbury </v>
      </c>
      <c r="O918" t="str">
        <f>VLOOKUP(C:C,Customer_Dim!B:I,6,1)</f>
        <v>Connecticut</v>
      </c>
      <c r="P918" t="str">
        <f>VLOOKUP(C:C,Customer_Dim!B:I,7,1)</f>
        <v>USA</v>
      </c>
      <c r="Q918" t="str">
        <f>VLOOKUP(C:C,Customer_Dim!B:I,8,1)</f>
        <v>Platinum</v>
      </c>
      <c r="S918">
        <v>3</v>
      </c>
      <c r="T918">
        <v>214.94</v>
      </c>
      <c r="U918">
        <v>0.22</v>
      </c>
      <c r="V918">
        <v>502.95960000000002</v>
      </c>
      <c r="X918" s="4">
        <v>3</v>
      </c>
      <c r="Y918">
        <v>214.94</v>
      </c>
      <c r="Z918">
        <v>0.22</v>
      </c>
      <c r="AA918">
        <v>502.95960000000002</v>
      </c>
    </row>
    <row r="919" spans="1:27" x14ac:dyDescent="0.3">
      <c r="A919" t="s">
        <v>2726</v>
      </c>
      <c r="B919" s="2">
        <v>45428</v>
      </c>
      <c r="C919" t="s">
        <v>645</v>
      </c>
      <c r="D919" t="s">
        <v>1548</v>
      </c>
      <c r="E919" t="s">
        <v>1777</v>
      </c>
      <c r="F919" s="4">
        <v>2</v>
      </c>
      <c r="G919">
        <v>309.77999999999997</v>
      </c>
      <c r="H919">
        <v>0.16</v>
      </c>
      <c r="I919" t="s">
        <v>1807</v>
      </c>
      <c r="J919">
        <v>520.43039999999996</v>
      </c>
      <c r="K919" t="s">
        <v>646</v>
      </c>
      <c r="L919">
        <v>30</v>
      </c>
      <c r="M919" t="str">
        <v>Male</v>
      </c>
      <c r="N919" t="str">
        <f>VLOOKUP(C:C,Customer_Dim!B:I,5,1)</f>
        <v>North Briannamouth</v>
      </c>
      <c r="O919" t="str">
        <f>VLOOKUP(C:C,Customer_Dim!B:I,6,1)</f>
        <v>Tennessee</v>
      </c>
      <c r="P919" t="str">
        <f>VLOOKUP(C:C,Customer_Dim!B:I,7,1)</f>
        <v>USA</v>
      </c>
      <c r="Q919" t="str">
        <f>VLOOKUP(C:C,Customer_Dim!B:I,8,1)</f>
        <v>Bronze</v>
      </c>
      <c r="S919">
        <v>2</v>
      </c>
      <c r="T919">
        <v>309.77999999999997</v>
      </c>
      <c r="U919">
        <v>0.16</v>
      </c>
      <c r="V919">
        <v>520.43039999999996</v>
      </c>
      <c r="X919" s="4">
        <v>2</v>
      </c>
      <c r="Y919">
        <v>309.77999999999997</v>
      </c>
      <c r="Z919">
        <v>0.16</v>
      </c>
      <c r="AA919">
        <v>520.43039999999996</v>
      </c>
    </row>
    <row r="920" spans="1:27" x14ac:dyDescent="0.3">
      <c r="A920" t="s">
        <v>2727</v>
      </c>
      <c r="B920" s="2">
        <v>45807</v>
      </c>
      <c r="C920" t="s">
        <v>252</v>
      </c>
      <c r="D920" t="s">
        <v>1557</v>
      </c>
      <c r="E920" t="s">
        <v>1749</v>
      </c>
      <c r="F920" s="4">
        <v>2</v>
      </c>
      <c r="G920">
        <v>183.85</v>
      </c>
      <c r="H920">
        <v>0.14000000000000001</v>
      </c>
      <c r="I920" t="s">
        <v>1809</v>
      </c>
      <c r="J920">
        <v>316.22199999999998</v>
      </c>
      <c r="K920" t="s">
        <v>253</v>
      </c>
      <c r="L920">
        <v>29</v>
      </c>
      <c r="M920" t="str">
        <v>Female</v>
      </c>
      <c r="N920" t="str">
        <f>VLOOKUP(C:C,Customer_Dim!B:I,5,1)</f>
        <v>North Cynthiatown</v>
      </c>
      <c r="O920" t="str">
        <f>VLOOKUP(C:C,Customer_Dim!B:I,6,1)</f>
        <v>New Jersey</v>
      </c>
      <c r="P920" t="str">
        <f>VLOOKUP(C:C,Customer_Dim!B:I,7,1)</f>
        <v>USA</v>
      </c>
      <c r="Q920" t="str">
        <f>VLOOKUP(C:C,Customer_Dim!B:I,8,1)</f>
        <v>Platinum</v>
      </c>
      <c r="S920">
        <v>2</v>
      </c>
      <c r="T920">
        <v>183.85</v>
      </c>
      <c r="U920">
        <v>0.14000000000000001</v>
      </c>
      <c r="V920">
        <v>316.22199999999998</v>
      </c>
      <c r="X920" s="4">
        <v>2</v>
      </c>
      <c r="Y920">
        <v>183.85</v>
      </c>
      <c r="Z920">
        <v>0.14000000000000001</v>
      </c>
      <c r="AA920">
        <v>316.22199999999998</v>
      </c>
    </row>
    <row r="921" spans="1:27" x14ac:dyDescent="0.3">
      <c r="A921" t="s">
        <v>2728</v>
      </c>
      <c r="B921" s="2">
        <v>45238</v>
      </c>
      <c r="C921" t="s">
        <v>1258</v>
      </c>
      <c r="D921" t="s">
        <v>1671</v>
      </c>
      <c r="E921" t="s">
        <v>1735</v>
      </c>
      <c r="F921" s="4">
        <v>1</v>
      </c>
      <c r="G921">
        <v>550.05999999999995</v>
      </c>
      <c r="H921">
        <v>0.01</v>
      </c>
      <c r="I921" t="s">
        <v>1807</v>
      </c>
      <c r="J921">
        <v>544.55939999999998</v>
      </c>
      <c r="K921" t="s">
        <v>1259</v>
      </c>
      <c r="L921">
        <v>48</v>
      </c>
      <c r="M921" t="str">
        <v>Female</v>
      </c>
      <c r="N921" t="str">
        <f>VLOOKUP(C:C,Customer_Dim!B:I,5,1)</f>
        <v>Kathleenport</v>
      </c>
      <c r="O921" t="str">
        <f>VLOOKUP(C:C,Customer_Dim!B:I,6,1)</f>
        <v>Wyoming</v>
      </c>
      <c r="P921" t="str">
        <f>VLOOKUP(C:C,Customer_Dim!B:I,7,1)</f>
        <v>USA</v>
      </c>
      <c r="Q921" t="str">
        <f>VLOOKUP(C:C,Customer_Dim!B:I,8,1)</f>
        <v>Gold</v>
      </c>
      <c r="S921">
        <v>1</v>
      </c>
      <c r="T921">
        <v>550.05999999999995</v>
      </c>
      <c r="U921">
        <v>0.01</v>
      </c>
      <c r="V921">
        <v>544.55939999999998</v>
      </c>
      <c r="X921" s="4">
        <v>1</v>
      </c>
      <c r="Y921">
        <v>550.05999999999995</v>
      </c>
      <c r="Z921">
        <v>0.01</v>
      </c>
      <c r="AA921">
        <v>544.55939999999998</v>
      </c>
    </row>
    <row r="922" spans="1:27" x14ac:dyDescent="0.3">
      <c r="A922" t="s">
        <v>2729</v>
      </c>
      <c r="B922" s="2">
        <v>45253</v>
      </c>
      <c r="C922" t="s">
        <v>121</v>
      </c>
      <c r="D922" t="s">
        <v>1689</v>
      </c>
      <c r="E922" t="s">
        <v>1752</v>
      </c>
      <c r="F922" s="4">
        <v>2</v>
      </c>
      <c r="G922">
        <v>32.19</v>
      </c>
      <c r="H922">
        <v>0.13</v>
      </c>
      <c r="I922" t="s">
        <v>1812</v>
      </c>
      <c r="J922">
        <v>56.010599999999997</v>
      </c>
      <c r="K922" t="s">
        <v>122</v>
      </c>
      <c r="L922">
        <v>64</v>
      </c>
      <c r="M922" t="str">
        <v>Female</v>
      </c>
      <c r="N922" t="str">
        <f>VLOOKUP(C:C,Customer_Dim!B:I,5,1)</f>
        <v>East Jennifer</v>
      </c>
      <c r="O922" t="str">
        <f>VLOOKUP(C:C,Customer_Dim!B:I,6,1)</f>
        <v>California</v>
      </c>
      <c r="P922" t="str">
        <f>VLOOKUP(C:C,Customer_Dim!B:I,7,1)</f>
        <v>USA</v>
      </c>
      <c r="Q922" t="str">
        <f>VLOOKUP(C:C,Customer_Dim!B:I,8,1)</f>
        <v>Silver</v>
      </c>
      <c r="S922">
        <v>2</v>
      </c>
      <c r="T922">
        <v>32.19</v>
      </c>
      <c r="U922">
        <v>0.13</v>
      </c>
      <c r="V922">
        <v>56.010599999999997</v>
      </c>
      <c r="X922" s="4">
        <v>2</v>
      </c>
      <c r="Y922">
        <v>32.19</v>
      </c>
      <c r="Z922">
        <v>0.13</v>
      </c>
      <c r="AA922">
        <v>56.010599999999997</v>
      </c>
    </row>
    <row r="923" spans="1:27" x14ac:dyDescent="0.3">
      <c r="A923" t="s">
        <v>2730</v>
      </c>
      <c r="B923" s="2">
        <v>45460</v>
      </c>
      <c r="C923" t="s">
        <v>465</v>
      </c>
      <c r="D923" t="s">
        <v>1597</v>
      </c>
      <c r="E923" t="s">
        <v>1796</v>
      </c>
      <c r="F923" s="4">
        <v>2</v>
      </c>
      <c r="G923">
        <v>892.06</v>
      </c>
      <c r="H923">
        <v>0.08</v>
      </c>
      <c r="I923" t="s">
        <v>1807</v>
      </c>
      <c r="J923">
        <v>1641.3904</v>
      </c>
      <c r="K923" t="s">
        <v>466</v>
      </c>
      <c r="L923">
        <v>32</v>
      </c>
      <c r="M923" t="str">
        <v>Male</v>
      </c>
      <c r="N923" t="str">
        <f>VLOOKUP(C:C,Customer_Dim!B:I,5,1)</f>
        <v>Lake Michael</v>
      </c>
      <c r="O923" t="str">
        <f>VLOOKUP(C:C,Customer_Dim!B:I,6,1)</f>
        <v>Virginia</v>
      </c>
      <c r="P923" t="str">
        <f>VLOOKUP(C:C,Customer_Dim!B:I,7,1)</f>
        <v>USA</v>
      </c>
      <c r="Q923" t="str">
        <f>VLOOKUP(C:C,Customer_Dim!B:I,8,1)</f>
        <v>Gold</v>
      </c>
      <c r="S923">
        <v>2</v>
      </c>
      <c r="T923">
        <v>892.06</v>
      </c>
      <c r="U923">
        <v>0.08</v>
      </c>
      <c r="V923">
        <v>1641.3904</v>
      </c>
      <c r="X923" s="4">
        <v>2</v>
      </c>
      <c r="Y923">
        <v>892.06</v>
      </c>
      <c r="Z923">
        <v>0.08</v>
      </c>
      <c r="AA923">
        <v>1641.3904</v>
      </c>
    </row>
    <row r="924" spans="1:27" x14ac:dyDescent="0.3">
      <c r="A924" t="s">
        <v>2731</v>
      </c>
      <c r="B924" s="2">
        <v>45628</v>
      </c>
      <c r="C924" t="s">
        <v>1439</v>
      </c>
      <c r="D924" t="s">
        <v>1647</v>
      </c>
      <c r="E924" t="s">
        <v>1759</v>
      </c>
      <c r="F924" s="4">
        <v>1</v>
      </c>
      <c r="G924">
        <v>127.47</v>
      </c>
      <c r="H924">
        <v>0.16</v>
      </c>
      <c r="I924" t="s">
        <v>1812</v>
      </c>
      <c r="J924">
        <v>107.0748</v>
      </c>
      <c r="K924" t="s">
        <v>1440</v>
      </c>
      <c r="L924">
        <v>53</v>
      </c>
      <c r="M924" t="str">
        <v>Male</v>
      </c>
      <c r="N924" t="str">
        <f>VLOOKUP(C:C,Customer_Dim!B:I,5,1)</f>
        <v>Tylermouth</v>
      </c>
      <c r="O924" t="str">
        <f>VLOOKUP(C:C,Customer_Dim!B:I,6,1)</f>
        <v>Massachusetts</v>
      </c>
      <c r="P924" t="str">
        <f>VLOOKUP(C:C,Customer_Dim!B:I,7,1)</f>
        <v>USA</v>
      </c>
      <c r="Q924" t="str">
        <f>VLOOKUP(C:C,Customer_Dim!B:I,8,1)</f>
        <v>Silver</v>
      </c>
      <c r="S924">
        <v>1</v>
      </c>
      <c r="T924">
        <v>127.47</v>
      </c>
      <c r="U924">
        <v>0.16</v>
      </c>
      <c r="V924">
        <v>107.0748</v>
      </c>
      <c r="X924" s="4">
        <v>1</v>
      </c>
      <c r="Y924">
        <v>127.47</v>
      </c>
      <c r="Z924">
        <v>0.16</v>
      </c>
      <c r="AA924">
        <v>107.0748</v>
      </c>
    </row>
    <row r="925" spans="1:27" x14ac:dyDescent="0.3">
      <c r="A925" t="s">
        <v>2732</v>
      </c>
      <c r="B925" s="2">
        <v>45778</v>
      </c>
      <c r="C925" t="s">
        <v>1198</v>
      </c>
      <c r="D925" t="s">
        <v>1685</v>
      </c>
      <c r="E925" t="s">
        <v>1782</v>
      </c>
      <c r="F925" s="4">
        <v>3</v>
      </c>
      <c r="G925">
        <v>212.87</v>
      </c>
      <c r="H925">
        <v>0.18</v>
      </c>
      <c r="I925" t="s">
        <v>1807</v>
      </c>
      <c r="J925">
        <v>523.66020000000003</v>
      </c>
      <c r="K925" t="s">
        <v>1199</v>
      </c>
      <c r="L925">
        <v>50</v>
      </c>
      <c r="M925" t="str">
        <v>Male</v>
      </c>
      <c r="N925" t="str">
        <f>VLOOKUP(C:C,Customer_Dim!B:I,5,1)</f>
        <v>Stevensshire</v>
      </c>
      <c r="O925" t="str">
        <f>VLOOKUP(C:C,Customer_Dim!B:I,6,1)</f>
        <v>Missouri</v>
      </c>
      <c r="P925" t="str">
        <f>VLOOKUP(C:C,Customer_Dim!B:I,7,1)</f>
        <v>USA</v>
      </c>
      <c r="Q925" t="str">
        <f>VLOOKUP(C:C,Customer_Dim!B:I,8,1)</f>
        <v>Platinum</v>
      </c>
      <c r="S925">
        <v>3</v>
      </c>
      <c r="T925">
        <v>212.87</v>
      </c>
      <c r="U925">
        <v>0.18</v>
      </c>
      <c r="V925">
        <v>523.66020000000003</v>
      </c>
      <c r="X925" s="4">
        <v>3</v>
      </c>
      <c r="Y925">
        <v>212.87</v>
      </c>
      <c r="Z925">
        <v>0.18</v>
      </c>
      <c r="AA925">
        <v>523.66020000000003</v>
      </c>
    </row>
    <row r="926" spans="1:27" x14ac:dyDescent="0.3">
      <c r="A926" t="s">
        <v>2733</v>
      </c>
      <c r="B926" s="2">
        <v>45471</v>
      </c>
      <c r="C926" t="s">
        <v>592</v>
      </c>
      <c r="D926" t="s">
        <v>1693</v>
      </c>
      <c r="E926" t="s">
        <v>1762</v>
      </c>
      <c r="F926" s="4">
        <v>1</v>
      </c>
      <c r="G926">
        <v>26.37</v>
      </c>
      <c r="H926">
        <v>0.3</v>
      </c>
      <c r="I926" t="s">
        <v>1812</v>
      </c>
      <c r="J926">
        <v>18.459</v>
      </c>
      <c r="K926" t="s">
        <v>593</v>
      </c>
      <c r="L926">
        <v>23</v>
      </c>
      <c r="M926" t="str">
        <v>Female</v>
      </c>
      <c r="N926" t="str">
        <f>VLOOKUP(C:C,Customer_Dim!B:I,5,1)</f>
        <v>New Brianchester</v>
      </c>
      <c r="O926" t="str">
        <f>VLOOKUP(C:C,Customer_Dim!B:I,6,1)</f>
        <v>New York</v>
      </c>
      <c r="P926" t="str">
        <f>VLOOKUP(C:C,Customer_Dim!B:I,7,1)</f>
        <v>USA</v>
      </c>
      <c r="Q926" t="str">
        <f>VLOOKUP(C:C,Customer_Dim!B:I,8,1)</f>
        <v>Bronze</v>
      </c>
      <c r="S926">
        <v>1</v>
      </c>
      <c r="T926">
        <v>26.37</v>
      </c>
      <c r="U926">
        <v>0.3</v>
      </c>
      <c r="V926">
        <v>18.459</v>
      </c>
      <c r="X926" s="4">
        <v>1</v>
      </c>
      <c r="Y926">
        <v>26.37</v>
      </c>
      <c r="Z926">
        <v>0.3</v>
      </c>
      <c r="AA926">
        <v>18.459</v>
      </c>
    </row>
    <row r="927" spans="1:27" x14ac:dyDescent="0.3">
      <c r="A927" t="s">
        <v>2734</v>
      </c>
      <c r="B927" s="2">
        <v>45770</v>
      </c>
      <c r="C927" t="s">
        <v>1421</v>
      </c>
      <c r="D927" t="s">
        <v>1599</v>
      </c>
      <c r="E927" t="s">
        <v>1793</v>
      </c>
      <c r="F927" s="4">
        <v>4</v>
      </c>
      <c r="G927">
        <v>953.98</v>
      </c>
      <c r="H927">
        <v>0.16</v>
      </c>
      <c r="I927" t="s">
        <v>1807</v>
      </c>
      <c r="J927">
        <v>3205.3728000000001</v>
      </c>
      <c r="K927" t="s">
        <v>1422</v>
      </c>
      <c r="L927">
        <v>63</v>
      </c>
      <c r="M927" t="str">
        <v>Female</v>
      </c>
      <c r="N927" t="str">
        <f>VLOOKUP(C:C,Customer_Dim!B:I,5,1)</f>
        <v>Espinozaberg</v>
      </c>
      <c r="O927" t="str">
        <f>VLOOKUP(C:C,Customer_Dim!B:I,6,1)</f>
        <v>Minnesota</v>
      </c>
      <c r="P927" t="str">
        <f>VLOOKUP(C:C,Customer_Dim!B:I,7,1)</f>
        <v>USA</v>
      </c>
      <c r="Q927" t="str">
        <f>VLOOKUP(C:C,Customer_Dim!B:I,8,1)</f>
        <v>Silver</v>
      </c>
      <c r="S927">
        <v>4</v>
      </c>
      <c r="T927">
        <v>953.98</v>
      </c>
      <c r="U927">
        <v>0.16</v>
      </c>
      <c r="V927">
        <v>3205.3728000000001</v>
      </c>
      <c r="X927" s="4">
        <v>4</v>
      </c>
      <c r="Y927">
        <v>953.98</v>
      </c>
      <c r="Z927">
        <v>0.16</v>
      </c>
      <c r="AA927">
        <v>3205.3728000000001</v>
      </c>
    </row>
    <row r="928" spans="1:27" x14ac:dyDescent="0.3">
      <c r="A928" t="s">
        <v>2735</v>
      </c>
      <c r="B928" s="2">
        <v>45369</v>
      </c>
      <c r="C928" t="s">
        <v>693</v>
      </c>
      <c r="D928" t="s">
        <v>1665</v>
      </c>
      <c r="E928" t="s">
        <v>1796</v>
      </c>
      <c r="F928" s="4">
        <v>3</v>
      </c>
      <c r="G928">
        <v>968.88</v>
      </c>
      <c r="H928">
        <v>0.15</v>
      </c>
      <c r="I928" t="s">
        <v>1807</v>
      </c>
      <c r="J928">
        <v>2470.6439999999998</v>
      </c>
      <c r="K928" t="s">
        <v>694</v>
      </c>
      <c r="L928">
        <v>44</v>
      </c>
      <c r="M928" t="str">
        <v>Male</v>
      </c>
      <c r="N928" t="str">
        <f>VLOOKUP(C:C,Customer_Dim!B:I,5,1)</f>
        <v>East Josephside</v>
      </c>
      <c r="O928" t="str">
        <f>VLOOKUP(C:C,Customer_Dim!B:I,6,1)</f>
        <v>Oregon</v>
      </c>
      <c r="P928" t="str">
        <f>VLOOKUP(C:C,Customer_Dim!B:I,7,1)</f>
        <v>USA</v>
      </c>
      <c r="Q928" t="str">
        <f>VLOOKUP(C:C,Customer_Dim!B:I,8,1)</f>
        <v>Gold</v>
      </c>
      <c r="S928">
        <v>3</v>
      </c>
      <c r="T928">
        <v>968.88</v>
      </c>
      <c r="U928">
        <v>0.15</v>
      </c>
      <c r="V928">
        <v>2470.6439999999998</v>
      </c>
      <c r="X928" s="4">
        <v>3</v>
      </c>
      <c r="Y928">
        <v>968.88</v>
      </c>
      <c r="Z928">
        <v>0.15</v>
      </c>
      <c r="AA928">
        <v>2470.6439999999998</v>
      </c>
    </row>
    <row r="929" spans="1:27" x14ac:dyDescent="0.3">
      <c r="A929" t="s">
        <v>2736</v>
      </c>
      <c r="B929" s="2">
        <v>45910</v>
      </c>
      <c r="C929" t="s">
        <v>610</v>
      </c>
      <c r="D929" t="s">
        <v>1683</v>
      </c>
      <c r="E929" t="s">
        <v>1793</v>
      </c>
      <c r="F929" s="4">
        <v>1</v>
      </c>
      <c r="G929">
        <v>533.04999999999995</v>
      </c>
      <c r="H929">
        <v>0.11</v>
      </c>
      <c r="I929" t="s">
        <v>1809</v>
      </c>
      <c r="J929">
        <v>474.41449999999998</v>
      </c>
      <c r="K929" t="s">
        <v>611</v>
      </c>
      <c r="L929">
        <v>42</v>
      </c>
      <c r="M929" t="str">
        <v>Male</v>
      </c>
      <c r="N929" t="str">
        <f>VLOOKUP(C:C,Customer_Dim!B:I,5,1)</f>
        <v>Lake Blaketon</v>
      </c>
      <c r="O929" t="str">
        <f>VLOOKUP(C:C,Customer_Dim!B:I,6,1)</f>
        <v>Alabama</v>
      </c>
      <c r="P929" t="str">
        <f>VLOOKUP(C:C,Customer_Dim!B:I,7,1)</f>
        <v>USA</v>
      </c>
      <c r="Q929" t="str">
        <f>VLOOKUP(C:C,Customer_Dim!B:I,8,1)</f>
        <v>Platinum</v>
      </c>
      <c r="S929">
        <v>1</v>
      </c>
      <c r="T929">
        <v>533.04999999999995</v>
      </c>
      <c r="U929">
        <v>0.11</v>
      </c>
      <c r="V929">
        <v>474.41449999999998</v>
      </c>
      <c r="X929" s="4">
        <v>1</v>
      </c>
      <c r="Y929">
        <v>533.04999999999995</v>
      </c>
      <c r="Z929">
        <v>0.11</v>
      </c>
      <c r="AA929">
        <v>474.41449999999998</v>
      </c>
    </row>
    <row r="930" spans="1:27" x14ac:dyDescent="0.3">
      <c r="A930" t="s">
        <v>2737</v>
      </c>
      <c r="B930" s="2">
        <v>45637</v>
      </c>
      <c r="C930" t="s">
        <v>1177</v>
      </c>
      <c r="D930" t="s">
        <v>1693</v>
      </c>
      <c r="E930" t="s">
        <v>1740</v>
      </c>
      <c r="F930" s="4">
        <v>3</v>
      </c>
      <c r="G930">
        <v>138.86000000000001</v>
      </c>
      <c r="H930">
        <v>0.11</v>
      </c>
      <c r="I930" t="s">
        <v>1809</v>
      </c>
      <c r="J930">
        <v>370.75619999999998</v>
      </c>
      <c r="K930" t="s">
        <v>1178</v>
      </c>
      <c r="L930">
        <v>20</v>
      </c>
      <c r="M930" t="str">
        <v>Female</v>
      </c>
      <c r="N930" t="str">
        <f>VLOOKUP(C:C,Customer_Dim!B:I,5,1)</f>
        <v>Andrewsland</v>
      </c>
      <c r="O930" t="str">
        <f>VLOOKUP(C:C,Customer_Dim!B:I,6,1)</f>
        <v>Alabama</v>
      </c>
      <c r="P930" t="str">
        <f>VLOOKUP(C:C,Customer_Dim!B:I,7,1)</f>
        <v>USA</v>
      </c>
      <c r="Q930" t="str">
        <f>VLOOKUP(C:C,Customer_Dim!B:I,8,1)</f>
        <v>Silver</v>
      </c>
      <c r="S930">
        <v>3</v>
      </c>
      <c r="T930">
        <v>138.86000000000001</v>
      </c>
      <c r="U930">
        <v>0.11</v>
      </c>
      <c r="V930">
        <v>370.75619999999998</v>
      </c>
      <c r="X930" s="4">
        <v>3</v>
      </c>
      <c r="Y930">
        <v>138.86000000000001</v>
      </c>
      <c r="Z930">
        <v>0.11</v>
      </c>
      <c r="AA930">
        <v>370.75619999999998</v>
      </c>
    </row>
    <row r="931" spans="1:27" x14ac:dyDescent="0.3">
      <c r="A931" t="s">
        <v>2738</v>
      </c>
      <c r="B931" s="2">
        <v>45706</v>
      </c>
      <c r="C931" t="s">
        <v>527</v>
      </c>
      <c r="D931" t="s">
        <v>1575</v>
      </c>
      <c r="E931" t="s">
        <v>1735</v>
      </c>
      <c r="F931" s="4">
        <v>1</v>
      </c>
      <c r="G931">
        <v>588.92999999999995</v>
      </c>
      <c r="H931">
        <v>0.03</v>
      </c>
      <c r="I931" t="s">
        <v>1812</v>
      </c>
      <c r="J931">
        <v>571.26209999999992</v>
      </c>
      <c r="K931" t="s">
        <v>528</v>
      </c>
      <c r="L931">
        <v>41</v>
      </c>
      <c r="M931" t="str">
        <v>Female</v>
      </c>
      <c r="N931" t="str">
        <f>VLOOKUP(C:C,Customer_Dim!B:I,5,1)</f>
        <v>Floydton</v>
      </c>
      <c r="O931" t="str">
        <f>VLOOKUP(C:C,Customer_Dim!B:I,6,1)</f>
        <v>New Jersey</v>
      </c>
      <c r="P931" t="str">
        <f>VLOOKUP(C:C,Customer_Dim!B:I,7,1)</f>
        <v>USA</v>
      </c>
      <c r="Q931" t="str">
        <f>VLOOKUP(C:C,Customer_Dim!B:I,8,1)</f>
        <v>Gold</v>
      </c>
      <c r="S931">
        <v>1</v>
      </c>
      <c r="T931">
        <v>588.92999999999995</v>
      </c>
      <c r="U931">
        <v>0.03</v>
      </c>
      <c r="V931">
        <v>571.26209999999992</v>
      </c>
      <c r="X931" s="4">
        <v>1</v>
      </c>
      <c r="Y931">
        <v>588.92999999999995</v>
      </c>
      <c r="Z931">
        <v>0.03</v>
      </c>
      <c r="AA931">
        <v>571.26209999999992</v>
      </c>
    </row>
    <row r="932" spans="1:27" x14ac:dyDescent="0.3">
      <c r="A932" t="s">
        <v>2739</v>
      </c>
      <c r="B932" s="2">
        <v>45557</v>
      </c>
      <c r="C932" t="s">
        <v>1240</v>
      </c>
      <c r="D932" t="s">
        <v>1635</v>
      </c>
      <c r="E932" t="s">
        <v>1756</v>
      </c>
      <c r="F932" s="4">
        <v>2</v>
      </c>
      <c r="G932">
        <v>576.83000000000004</v>
      </c>
      <c r="H932">
        <v>0.19</v>
      </c>
      <c r="I932" t="s">
        <v>1809</v>
      </c>
      <c r="J932">
        <v>934.46460000000013</v>
      </c>
      <c r="K932" t="s">
        <v>1241</v>
      </c>
      <c r="L932">
        <v>22</v>
      </c>
      <c r="M932" t="str">
        <v>Female</v>
      </c>
      <c r="N932" t="str">
        <f>VLOOKUP(C:C,Customer_Dim!B:I,5,1)</f>
        <v>Lake Lisaland</v>
      </c>
      <c r="O932" t="str">
        <f>VLOOKUP(C:C,Customer_Dim!B:I,6,1)</f>
        <v>Louisiana</v>
      </c>
      <c r="P932" t="str">
        <f>VLOOKUP(C:C,Customer_Dim!B:I,7,1)</f>
        <v>USA</v>
      </c>
      <c r="Q932" t="str">
        <f>VLOOKUP(C:C,Customer_Dim!B:I,8,1)</f>
        <v>Bronze</v>
      </c>
      <c r="S932">
        <v>2</v>
      </c>
      <c r="T932">
        <v>576.83000000000004</v>
      </c>
      <c r="U932">
        <v>0.19</v>
      </c>
      <c r="V932">
        <v>934.46460000000013</v>
      </c>
      <c r="X932" s="4">
        <v>2</v>
      </c>
      <c r="Y932">
        <v>576.83000000000004</v>
      </c>
      <c r="Z932">
        <v>0.19</v>
      </c>
      <c r="AA932">
        <v>934.46460000000013</v>
      </c>
    </row>
    <row r="933" spans="1:27" x14ac:dyDescent="0.3">
      <c r="A933" t="s">
        <v>2740</v>
      </c>
      <c r="B933" s="2">
        <v>45338</v>
      </c>
      <c r="C933" t="s">
        <v>1007</v>
      </c>
      <c r="D933" t="s">
        <v>1661</v>
      </c>
      <c r="E933" t="s">
        <v>1777</v>
      </c>
      <c r="F933" s="4">
        <v>1</v>
      </c>
      <c r="G933">
        <v>681.3</v>
      </c>
      <c r="H933">
        <v>0.05</v>
      </c>
      <c r="I933" t="s">
        <v>1807</v>
      </c>
      <c r="J933">
        <v>647.2349999999999</v>
      </c>
      <c r="K933" t="s">
        <v>1008</v>
      </c>
      <c r="L933">
        <v>58</v>
      </c>
      <c r="M933" t="str">
        <v>Male</v>
      </c>
      <c r="N933" t="str">
        <f>VLOOKUP(C:C,Customer_Dim!B:I,5,1)</f>
        <v>Whiteport</v>
      </c>
      <c r="O933" t="str">
        <f>VLOOKUP(C:C,Customer_Dim!B:I,6,1)</f>
        <v>North Carolina</v>
      </c>
      <c r="P933" t="str">
        <f>VLOOKUP(C:C,Customer_Dim!B:I,7,1)</f>
        <v>USA</v>
      </c>
      <c r="Q933" t="str">
        <f>VLOOKUP(C:C,Customer_Dim!B:I,8,1)</f>
        <v>Platinum</v>
      </c>
      <c r="S933">
        <v>1</v>
      </c>
      <c r="T933">
        <v>681.3</v>
      </c>
      <c r="U933">
        <v>0.05</v>
      </c>
      <c r="V933">
        <v>647.2349999999999</v>
      </c>
      <c r="X933" s="4">
        <v>1</v>
      </c>
      <c r="Y933">
        <v>681.3</v>
      </c>
      <c r="Z933">
        <v>0.05</v>
      </c>
      <c r="AA933">
        <v>647.2349999999999</v>
      </c>
    </row>
    <row r="934" spans="1:27" x14ac:dyDescent="0.3">
      <c r="A934" t="s">
        <v>2741</v>
      </c>
      <c r="B934" s="2">
        <v>45441</v>
      </c>
      <c r="C934" t="s">
        <v>1395</v>
      </c>
      <c r="D934" t="s">
        <v>1581</v>
      </c>
      <c r="E934" t="s">
        <v>1784</v>
      </c>
      <c r="F934" s="4">
        <v>3</v>
      </c>
      <c r="G934">
        <v>504.97</v>
      </c>
      <c r="H934">
        <v>0.3</v>
      </c>
      <c r="I934" t="s">
        <v>1807</v>
      </c>
      <c r="J934">
        <v>1060.4369999999999</v>
      </c>
      <c r="K934" t="s">
        <v>1396</v>
      </c>
      <c r="L934">
        <v>62</v>
      </c>
      <c r="M934" t="str">
        <v>Female</v>
      </c>
      <c r="N934" t="str">
        <f>VLOOKUP(C:C,Customer_Dim!B:I,5,1)</f>
        <v>Hubbardborough</v>
      </c>
      <c r="O934" t="str">
        <f>VLOOKUP(C:C,Customer_Dim!B:I,6,1)</f>
        <v>Kentucky</v>
      </c>
      <c r="P934" t="str">
        <f>VLOOKUP(C:C,Customer_Dim!B:I,7,1)</f>
        <v>USA</v>
      </c>
      <c r="Q934" t="str">
        <f>VLOOKUP(C:C,Customer_Dim!B:I,8,1)</f>
        <v>Platinum</v>
      </c>
      <c r="S934">
        <v>3</v>
      </c>
      <c r="T934">
        <v>504.97</v>
      </c>
      <c r="U934">
        <v>0.3</v>
      </c>
      <c r="V934">
        <v>1060.4369999999999</v>
      </c>
      <c r="X934" s="4">
        <v>3</v>
      </c>
      <c r="Y934">
        <v>504.97</v>
      </c>
      <c r="Z934">
        <v>0.3</v>
      </c>
      <c r="AA934">
        <v>1060.4369999999999</v>
      </c>
    </row>
    <row r="935" spans="1:27" x14ac:dyDescent="0.3">
      <c r="A935" t="s">
        <v>2742</v>
      </c>
      <c r="B935" s="2">
        <v>45396</v>
      </c>
      <c r="C935" t="s">
        <v>221</v>
      </c>
      <c r="D935" t="s">
        <v>1607</v>
      </c>
      <c r="E935" t="s">
        <v>1775</v>
      </c>
      <c r="F935" s="4">
        <v>3</v>
      </c>
      <c r="G935">
        <v>649.78</v>
      </c>
      <c r="H935">
        <v>0.1</v>
      </c>
      <c r="I935" t="s">
        <v>1809</v>
      </c>
      <c r="J935">
        <v>1754.4059999999999</v>
      </c>
      <c r="K935" t="s">
        <v>222</v>
      </c>
      <c r="L935">
        <v>23</v>
      </c>
      <c r="M935" t="str">
        <v>Male</v>
      </c>
      <c r="N935" t="str">
        <f>VLOOKUP(C:C,Customer_Dim!B:I,5,1)</f>
        <v>Schmidtchester</v>
      </c>
      <c r="O935" t="str">
        <f>VLOOKUP(C:C,Customer_Dim!B:I,6,1)</f>
        <v>Alaska</v>
      </c>
      <c r="P935" t="str">
        <f>VLOOKUP(C:C,Customer_Dim!B:I,7,1)</f>
        <v>USA</v>
      </c>
      <c r="Q935" t="str">
        <f>VLOOKUP(C:C,Customer_Dim!B:I,8,1)</f>
        <v>Silver</v>
      </c>
      <c r="S935">
        <v>3</v>
      </c>
      <c r="T935">
        <v>649.78</v>
      </c>
      <c r="U935">
        <v>0.1</v>
      </c>
      <c r="V935">
        <v>1754.4059999999999</v>
      </c>
      <c r="X935" s="4">
        <v>3</v>
      </c>
      <c r="Y935">
        <v>649.78</v>
      </c>
      <c r="Z935">
        <v>0.1</v>
      </c>
      <c r="AA935">
        <v>1754.4059999999999</v>
      </c>
    </row>
    <row r="936" spans="1:27" x14ac:dyDescent="0.3">
      <c r="A936" t="s">
        <v>2743</v>
      </c>
      <c r="B936" s="2">
        <v>45317</v>
      </c>
      <c r="C936" t="s">
        <v>779</v>
      </c>
      <c r="D936" t="s">
        <v>1609</v>
      </c>
      <c r="E936" t="s">
        <v>1769</v>
      </c>
      <c r="F936" s="4">
        <v>2</v>
      </c>
      <c r="G936">
        <v>986.73</v>
      </c>
      <c r="H936">
        <v>0.05</v>
      </c>
      <c r="I936" t="s">
        <v>1809</v>
      </c>
      <c r="J936">
        <v>1874.787</v>
      </c>
      <c r="K936" t="s">
        <v>780</v>
      </c>
      <c r="L936">
        <v>58</v>
      </c>
      <c r="M936" t="str">
        <v>Male</v>
      </c>
      <c r="N936" t="str">
        <f>VLOOKUP(C:C,Customer_Dim!B:I,5,1)</f>
        <v>Rodriguezton</v>
      </c>
      <c r="O936" t="str">
        <f>VLOOKUP(C:C,Customer_Dim!B:I,6,1)</f>
        <v>Michigan</v>
      </c>
      <c r="P936" t="str">
        <f>VLOOKUP(C:C,Customer_Dim!B:I,7,1)</f>
        <v>USA</v>
      </c>
      <c r="Q936" t="str">
        <f>VLOOKUP(C:C,Customer_Dim!B:I,8,1)</f>
        <v>Platinum</v>
      </c>
      <c r="S936">
        <v>2</v>
      </c>
      <c r="T936">
        <v>986.73</v>
      </c>
      <c r="U936">
        <v>0.05</v>
      </c>
      <c r="V936">
        <v>1874.787</v>
      </c>
      <c r="X936" s="4">
        <v>2</v>
      </c>
      <c r="Y936">
        <v>986.73</v>
      </c>
      <c r="Z936">
        <v>0.05</v>
      </c>
      <c r="AA936">
        <v>1874.787</v>
      </c>
    </row>
    <row r="937" spans="1:27" x14ac:dyDescent="0.3">
      <c r="A937" t="s">
        <v>2744</v>
      </c>
      <c r="B937" s="2">
        <v>45235</v>
      </c>
      <c r="C937" t="s">
        <v>409</v>
      </c>
      <c r="D937" t="s">
        <v>1557</v>
      </c>
      <c r="E937" t="s">
        <v>1784</v>
      </c>
      <c r="F937" s="4">
        <v>2</v>
      </c>
      <c r="G937">
        <v>65.44</v>
      </c>
      <c r="H937">
        <v>0.05</v>
      </c>
      <c r="I937" t="s">
        <v>1809</v>
      </c>
      <c r="J937">
        <v>124.336</v>
      </c>
      <c r="K937" t="s">
        <v>410</v>
      </c>
      <c r="L937">
        <v>44</v>
      </c>
      <c r="M937" t="str">
        <v>Female</v>
      </c>
      <c r="N937" t="str">
        <f>VLOOKUP(C:C,Customer_Dim!B:I,5,1)</f>
        <v>North Edwardton</v>
      </c>
      <c r="O937" t="str">
        <f>VLOOKUP(C:C,Customer_Dim!B:I,6,1)</f>
        <v>Tennessee</v>
      </c>
      <c r="P937" t="str">
        <f>VLOOKUP(C:C,Customer_Dim!B:I,7,1)</f>
        <v>USA</v>
      </c>
      <c r="Q937" t="str">
        <f>VLOOKUP(C:C,Customer_Dim!B:I,8,1)</f>
        <v>Bronze</v>
      </c>
      <c r="S937">
        <v>2</v>
      </c>
      <c r="T937">
        <v>65.44</v>
      </c>
      <c r="U937">
        <v>0.05</v>
      </c>
      <c r="V937">
        <v>124.336</v>
      </c>
      <c r="X937" s="4">
        <v>2</v>
      </c>
      <c r="Y937">
        <v>65.44</v>
      </c>
      <c r="Z937">
        <v>0.05</v>
      </c>
      <c r="AA937">
        <v>124.336</v>
      </c>
    </row>
    <row r="938" spans="1:27" x14ac:dyDescent="0.3">
      <c r="A938" t="s">
        <v>2745</v>
      </c>
      <c r="B938" s="2">
        <v>45824</v>
      </c>
      <c r="C938" t="s">
        <v>1183</v>
      </c>
      <c r="D938" t="s">
        <v>1657</v>
      </c>
      <c r="E938" t="s">
        <v>1780</v>
      </c>
      <c r="F938" s="4">
        <v>3</v>
      </c>
      <c r="G938">
        <v>953.74</v>
      </c>
      <c r="H938">
        <v>0.04</v>
      </c>
      <c r="I938" t="s">
        <v>1807</v>
      </c>
      <c r="J938">
        <v>2746.7712000000001</v>
      </c>
      <c r="K938" t="s">
        <v>1184</v>
      </c>
      <c r="L938">
        <v>52</v>
      </c>
      <c r="M938" t="str">
        <v>Female</v>
      </c>
      <c r="N938" t="str">
        <f>VLOOKUP(C:C,Customer_Dim!B:I,5,1)</f>
        <v>Jennifertown</v>
      </c>
      <c r="O938" t="str">
        <f>VLOOKUP(C:C,Customer_Dim!B:I,6,1)</f>
        <v>South Carolina</v>
      </c>
      <c r="P938" t="str">
        <f>VLOOKUP(C:C,Customer_Dim!B:I,7,1)</f>
        <v>USA</v>
      </c>
      <c r="Q938" t="str">
        <f>VLOOKUP(C:C,Customer_Dim!B:I,8,1)</f>
        <v>Silver</v>
      </c>
      <c r="S938">
        <v>3</v>
      </c>
      <c r="T938">
        <v>953.74</v>
      </c>
      <c r="U938">
        <v>0.04</v>
      </c>
      <c r="V938">
        <v>2746.7712000000001</v>
      </c>
      <c r="X938" s="4">
        <v>3</v>
      </c>
      <c r="Y938">
        <v>953.74</v>
      </c>
      <c r="Z938">
        <v>0.04</v>
      </c>
      <c r="AA938">
        <v>2746.7712000000001</v>
      </c>
    </row>
    <row r="939" spans="1:27" x14ac:dyDescent="0.3">
      <c r="A939" t="s">
        <v>2746</v>
      </c>
      <c r="B939" s="2">
        <v>45543</v>
      </c>
      <c r="C939" t="s">
        <v>244</v>
      </c>
      <c r="D939" t="s">
        <v>1683</v>
      </c>
      <c r="E939" t="s">
        <v>1772</v>
      </c>
      <c r="F939" s="4">
        <v>3</v>
      </c>
      <c r="G939">
        <v>904.48</v>
      </c>
      <c r="H939">
        <v>0.21</v>
      </c>
      <c r="I939" t="s">
        <v>1809</v>
      </c>
      <c r="J939">
        <v>2143.6176</v>
      </c>
      <c r="K939" t="s">
        <v>245</v>
      </c>
      <c r="L939">
        <v>24</v>
      </c>
      <c r="M939" t="str">
        <v>Female</v>
      </c>
      <c r="N939" t="str">
        <f>VLOOKUP(C:C,Customer_Dim!B:I,5,1)</f>
        <v>Brendaburgh</v>
      </c>
      <c r="O939" t="str">
        <f>VLOOKUP(C:C,Customer_Dim!B:I,6,1)</f>
        <v>Florida</v>
      </c>
      <c r="P939" t="str">
        <f>VLOOKUP(C:C,Customer_Dim!B:I,7,1)</f>
        <v>USA</v>
      </c>
      <c r="Q939" t="str">
        <f>VLOOKUP(C:C,Customer_Dim!B:I,8,1)</f>
        <v>Silver</v>
      </c>
      <c r="S939">
        <v>3</v>
      </c>
      <c r="T939">
        <v>904.48</v>
      </c>
      <c r="U939">
        <v>0.21</v>
      </c>
      <c r="V939">
        <v>2143.6176</v>
      </c>
      <c r="X939" s="4">
        <v>3</v>
      </c>
      <c r="Y939">
        <v>904.48</v>
      </c>
      <c r="Z939">
        <v>0.21</v>
      </c>
      <c r="AA939">
        <v>2143.6176</v>
      </c>
    </row>
    <row r="940" spans="1:27" x14ac:dyDescent="0.3">
      <c r="A940" t="s">
        <v>2747</v>
      </c>
      <c r="B940" s="2">
        <v>45595</v>
      </c>
      <c r="C940" t="s">
        <v>1496</v>
      </c>
      <c r="D940" t="s">
        <v>1655</v>
      </c>
      <c r="E940" t="s">
        <v>1784</v>
      </c>
      <c r="F940" s="4">
        <v>3</v>
      </c>
      <c r="G940">
        <v>920.82</v>
      </c>
      <c r="H940">
        <v>0.1</v>
      </c>
      <c r="I940" t="s">
        <v>1809</v>
      </c>
      <c r="J940">
        <v>2486.2139999999999</v>
      </c>
      <c r="K940" t="s">
        <v>1497</v>
      </c>
      <c r="L940">
        <v>28</v>
      </c>
      <c r="M940" t="str">
        <v>Male</v>
      </c>
      <c r="N940" t="str">
        <f>VLOOKUP(C:C,Customer_Dim!B:I,5,1)</f>
        <v>Port Carol</v>
      </c>
      <c r="O940" t="str">
        <f>VLOOKUP(C:C,Customer_Dim!B:I,6,1)</f>
        <v>Florida</v>
      </c>
      <c r="P940" t="str">
        <f>VLOOKUP(C:C,Customer_Dim!B:I,7,1)</f>
        <v>USA</v>
      </c>
      <c r="Q940" t="str">
        <f>VLOOKUP(C:C,Customer_Dim!B:I,8,1)</f>
        <v>Platinum</v>
      </c>
      <c r="S940">
        <v>3</v>
      </c>
      <c r="T940">
        <v>920.82</v>
      </c>
      <c r="U940">
        <v>0.1</v>
      </c>
      <c r="V940">
        <v>2486.2139999999999</v>
      </c>
      <c r="X940" s="4">
        <v>3</v>
      </c>
      <c r="Y940">
        <v>920.82</v>
      </c>
      <c r="Z940">
        <v>0.1</v>
      </c>
      <c r="AA940">
        <v>2486.2139999999999</v>
      </c>
    </row>
    <row r="941" spans="1:27" x14ac:dyDescent="0.3">
      <c r="A941" t="s">
        <v>2748</v>
      </c>
      <c r="B941" s="2">
        <v>45803</v>
      </c>
      <c r="C941" t="s">
        <v>953</v>
      </c>
      <c r="D941" t="s">
        <v>1587</v>
      </c>
      <c r="E941" t="s">
        <v>1740</v>
      </c>
      <c r="F941" s="4">
        <v>1</v>
      </c>
      <c r="G941">
        <v>182.28</v>
      </c>
      <c r="H941">
        <v>0.15</v>
      </c>
      <c r="I941" t="s">
        <v>1812</v>
      </c>
      <c r="J941">
        <v>154.93799999999999</v>
      </c>
      <c r="K941" t="s">
        <v>954</v>
      </c>
      <c r="L941">
        <v>44</v>
      </c>
      <c r="M941" t="str">
        <v>Male</v>
      </c>
      <c r="N941" t="str">
        <f>VLOOKUP(C:C,Customer_Dim!B:I,5,1)</f>
        <v>West Joseph</v>
      </c>
      <c r="O941" t="str">
        <f>VLOOKUP(C:C,Customer_Dim!B:I,6,1)</f>
        <v>Washington</v>
      </c>
      <c r="P941" t="str">
        <f>VLOOKUP(C:C,Customer_Dim!B:I,7,1)</f>
        <v>USA</v>
      </c>
      <c r="Q941" t="str">
        <f>VLOOKUP(C:C,Customer_Dim!B:I,8,1)</f>
        <v>Platinum</v>
      </c>
      <c r="S941">
        <v>1</v>
      </c>
      <c r="T941">
        <v>182.28</v>
      </c>
      <c r="U941">
        <v>0.15</v>
      </c>
      <c r="V941">
        <v>154.93799999999999</v>
      </c>
      <c r="X941" s="4">
        <v>1</v>
      </c>
      <c r="Y941">
        <v>182.28</v>
      </c>
      <c r="Z941">
        <v>0.15</v>
      </c>
      <c r="AA941">
        <v>154.93799999999999</v>
      </c>
    </row>
    <row r="942" spans="1:27" x14ac:dyDescent="0.3">
      <c r="A942" t="s">
        <v>2749</v>
      </c>
      <c r="B942" s="2">
        <v>45880</v>
      </c>
      <c r="C942" t="s">
        <v>1361</v>
      </c>
      <c r="D942" t="s">
        <v>1593</v>
      </c>
      <c r="E942" t="s">
        <v>1787</v>
      </c>
      <c r="F942" s="4">
        <v>3</v>
      </c>
      <c r="G942">
        <v>938.68</v>
      </c>
      <c r="H942">
        <v>0.14000000000000001</v>
      </c>
      <c r="I942" t="s">
        <v>1807</v>
      </c>
      <c r="J942">
        <v>2421.7944000000002</v>
      </c>
      <c r="K942" t="s">
        <v>1362</v>
      </c>
      <c r="L942">
        <v>35</v>
      </c>
      <c r="M942" t="str">
        <v>Male</v>
      </c>
      <c r="N942" t="str">
        <f>VLOOKUP(C:C,Customer_Dim!B:I,5,1)</f>
        <v>Mcfarlandmouth</v>
      </c>
      <c r="O942" t="str">
        <f>VLOOKUP(C:C,Customer_Dim!B:I,6,1)</f>
        <v>Virginia</v>
      </c>
      <c r="P942" t="str">
        <f>VLOOKUP(C:C,Customer_Dim!B:I,7,1)</f>
        <v>USA</v>
      </c>
      <c r="Q942" t="str">
        <f>VLOOKUP(C:C,Customer_Dim!B:I,8,1)</f>
        <v>Platinum</v>
      </c>
      <c r="S942">
        <v>3</v>
      </c>
      <c r="T942">
        <v>938.68</v>
      </c>
      <c r="U942">
        <v>0.14000000000000001</v>
      </c>
      <c r="V942">
        <v>2421.7944000000002</v>
      </c>
      <c r="X942" s="4">
        <v>3</v>
      </c>
      <c r="Y942">
        <v>938.68</v>
      </c>
      <c r="Z942">
        <v>0.14000000000000001</v>
      </c>
      <c r="AA942">
        <v>2421.7944000000002</v>
      </c>
    </row>
    <row r="943" spans="1:27" x14ac:dyDescent="0.3">
      <c r="A943" t="s">
        <v>2750</v>
      </c>
      <c r="B943" s="2">
        <v>45690</v>
      </c>
      <c r="C943" t="s">
        <v>292</v>
      </c>
      <c r="D943" t="s">
        <v>1713</v>
      </c>
      <c r="E943" t="s">
        <v>1756</v>
      </c>
      <c r="F943" s="4">
        <v>3</v>
      </c>
      <c r="G943">
        <v>219.96</v>
      </c>
      <c r="H943">
        <v>0.18</v>
      </c>
      <c r="I943" t="s">
        <v>1809</v>
      </c>
      <c r="J943">
        <v>541.10160000000008</v>
      </c>
      <c r="K943" t="s">
        <v>293</v>
      </c>
      <c r="L943">
        <v>53</v>
      </c>
      <c r="M943" t="str">
        <v>Male</v>
      </c>
      <c r="N943" t="str">
        <f>VLOOKUP(C:C,Customer_Dim!B:I,5,1)</f>
        <v>South David</v>
      </c>
      <c r="O943" t="str">
        <f>VLOOKUP(C:C,Customer_Dim!B:I,6,1)</f>
        <v>Arizona</v>
      </c>
      <c r="P943" t="str">
        <f>VLOOKUP(C:C,Customer_Dim!B:I,7,1)</f>
        <v>USA</v>
      </c>
      <c r="Q943" t="str">
        <f>VLOOKUP(C:C,Customer_Dim!B:I,8,1)</f>
        <v>Platinum</v>
      </c>
      <c r="S943">
        <v>3</v>
      </c>
      <c r="T943">
        <v>219.96</v>
      </c>
      <c r="U943">
        <v>0.18</v>
      </c>
      <c r="V943">
        <v>541.10160000000008</v>
      </c>
      <c r="X943" s="4">
        <v>3</v>
      </c>
      <c r="Y943">
        <v>219.96</v>
      </c>
      <c r="Z943">
        <v>0.18</v>
      </c>
      <c r="AA943">
        <v>541.10160000000008</v>
      </c>
    </row>
    <row r="944" spans="1:27" x14ac:dyDescent="0.3">
      <c r="A944" t="s">
        <v>2751</v>
      </c>
      <c r="B944" s="2">
        <v>45841</v>
      </c>
      <c r="C944" t="s">
        <v>1442</v>
      </c>
      <c r="D944" t="s">
        <v>1673</v>
      </c>
      <c r="E944" t="s">
        <v>1793</v>
      </c>
      <c r="F944" s="4">
        <v>3</v>
      </c>
      <c r="G944">
        <v>385.74</v>
      </c>
      <c r="H944">
        <v>0.27</v>
      </c>
      <c r="I944" t="s">
        <v>1807</v>
      </c>
      <c r="J944">
        <v>844.77059999999994</v>
      </c>
      <c r="K944" t="s">
        <v>1443</v>
      </c>
      <c r="L944">
        <v>32</v>
      </c>
      <c r="M944" t="str">
        <v>Female</v>
      </c>
      <c r="N944" t="str">
        <f>VLOOKUP(C:C,Customer_Dim!B:I,5,1)</f>
        <v>Chambersfurt</v>
      </c>
      <c r="O944" t="str">
        <f>VLOOKUP(C:C,Customer_Dim!B:I,6,1)</f>
        <v>Wisconsin</v>
      </c>
      <c r="P944" t="str">
        <f>VLOOKUP(C:C,Customer_Dim!B:I,7,1)</f>
        <v>USA</v>
      </c>
      <c r="Q944" t="str">
        <f>VLOOKUP(C:C,Customer_Dim!B:I,8,1)</f>
        <v>Bronze</v>
      </c>
      <c r="S944">
        <v>3</v>
      </c>
      <c r="T944">
        <v>385.74</v>
      </c>
      <c r="U944">
        <v>0.27</v>
      </c>
      <c r="V944">
        <v>844.77059999999994</v>
      </c>
      <c r="X944" s="4">
        <v>3</v>
      </c>
      <c r="Y944">
        <v>385.74</v>
      </c>
      <c r="Z944">
        <v>0.27</v>
      </c>
      <c r="AA944">
        <v>844.77059999999994</v>
      </c>
    </row>
    <row r="945" spans="1:27" x14ac:dyDescent="0.3">
      <c r="A945" t="s">
        <v>2752</v>
      </c>
      <c r="B945" s="2">
        <v>45380</v>
      </c>
      <c r="C945" t="s">
        <v>1384</v>
      </c>
      <c r="D945" t="s">
        <v>1693</v>
      </c>
      <c r="E945" t="s">
        <v>1793</v>
      </c>
      <c r="F945" s="4">
        <v>2</v>
      </c>
      <c r="G945">
        <v>830.94</v>
      </c>
      <c r="H945">
        <v>0.28000000000000003</v>
      </c>
      <c r="I945" t="s">
        <v>1809</v>
      </c>
      <c r="J945">
        <v>1196.5536</v>
      </c>
      <c r="K945" t="s">
        <v>1385</v>
      </c>
      <c r="L945">
        <v>60</v>
      </c>
      <c r="M945" t="str">
        <v>Male</v>
      </c>
      <c r="N945" t="str">
        <f>VLOOKUP(C:C,Customer_Dim!B:I,5,1)</f>
        <v>Lake Carolyn</v>
      </c>
      <c r="O945" t="str">
        <f>VLOOKUP(C:C,Customer_Dim!B:I,6,1)</f>
        <v>Hawaii</v>
      </c>
      <c r="P945" t="str">
        <f>VLOOKUP(C:C,Customer_Dim!B:I,7,1)</f>
        <v>USA</v>
      </c>
      <c r="Q945" t="str">
        <f>VLOOKUP(C:C,Customer_Dim!B:I,8,1)</f>
        <v>Platinum</v>
      </c>
      <c r="S945">
        <v>2</v>
      </c>
      <c r="T945">
        <v>830.94</v>
      </c>
      <c r="U945">
        <v>0.28000000000000003</v>
      </c>
      <c r="V945">
        <v>1196.5536</v>
      </c>
      <c r="X945" s="4">
        <v>2</v>
      </c>
      <c r="Y945">
        <v>830.94</v>
      </c>
      <c r="Z945">
        <v>0.28000000000000003</v>
      </c>
      <c r="AA945">
        <v>1196.5536</v>
      </c>
    </row>
    <row r="946" spans="1:27" x14ac:dyDescent="0.3">
      <c r="A946" t="s">
        <v>2753</v>
      </c>
      <c r="B946" s="2">
        <v>45503</v>
      </c>
      <c r="C946" t="s">
        <v>1183</v>
      </c>
      <c r="D946" t="s">
        <v>1534</v>
      </c>
      <c r="E946" t="s">
        <v>1769</v>
      </c>
      <c r="F946" s="4">
        <v>3</v>
      </c>
      <c r="G946">
        <v>462.75</v>
      </c>
      <c r="H946">
        <v>0.22</v>
      </c>
      <c r="I946" t="s">
        <v>1809</v>
      </c>
      <c r="J946">
        <v>1082.835</v>
      </c>
      <c r="K946" t="s">
        <v>1184</v>
      </c>
      <c r="L946">
        <v>52</v>
      </c>
      <c r="M946" t="str">
        <v>Female</v>
      </c>
      <c r="N946" t="str">
        <f>VLOOKUP(C:C,Customer_Dim!B:I,5,1)</f>
        <v>Jennifertown</v>
      </c>
      <c r="O946" t="str">
        <f>VLOOKUP(C:C,Customer_Dim!B:I,6,1)</f>
        <v>South Carolina</v>
      </c>
      <c r="P946" t="str">
        <f>VLOOKUP(C:C,Customer_Dim!B:I,7,1)</f>
        <v>USA</v>
      </c>
      <c r="Q946" t="str">
        <f>VLOOKUP(C:C,Customer_Dim!B:I,8,1)</f>
        <v>Silver</v>
      </c>
      <c r="S946">
        <v>3</v>
      </c>
      <c r="T946">
        <v>462.75</v>
      </c>
      <c r="U946">
        <v>0.22</v>
      </c>
      <c r="V946">
        <v>1082.835</v>
      </c>
      <c r="X946" s="4">
        <v>3</v>
      </c>
      <c r="Y946">
        <v>462.75</v>
      </c>
      <c r="Z946">
        <v>0.22</v>
      </c>
      <c r="AA946">
        <v>1082.835</v>
      </c>
    </row>
    <row r="947" spans="1:27" x14ac:dyDescent="0.3">
      <c r="A947" t="s">
        <v>2754</v>
      </c>
      <c r="B947" s="2">
        <v>45567</v>
      </c>
      <c r="C947" t="s">
        <v>244</v>
      </c>
      <c r="D947" t="s">
        <v>1559</v>
      </c>
      <c r="E947" t="s">
        <v>1784</v>
      </c>
      <c r="F947" s="4">
        <v>4</v>
      </c>
      <c r="G947">
        <v>973.9</v>
      </c>
      <c r="H947">
        <v>0.02</v>
      </c>
      <c r="I947" t="s">
        <v>1812</v>
      </c>
      <c r="J947">
        <v>3817.6880000000001</v>
      </c>
      <c r="K947" t="s">
        <v>245</v>
      </c>
      <c r="L947">
        <v>24</v>
      </c>
      <c r="M947" t="str">
        <v>Female</v>
      </c>
      <c r="N947" t="str">
        <f>VLOOKUP(C:C,Customer_Dim!B:I,5,1)</f>
        <v>Brendaburgh</v>
      </c>
      <c r="O947" t="str">
        <f>VLOOKUP(C:C,Customer_Dim!B:I,6,1)</f>
        <v>Florida</v>
      </c>
      <c r="P947" t="str">
        <f>VLOOKUP(C:C,Customer_Dim!B:I,7,1)</f>
        <v>USA</v>
      </c>
      <c r="Q947" t="str">
        <f>VLOOKUP(C:C,Customer_Dim!B:I,8,1)</f>
        <v>Silver</v>
      </c>
      <c r="S947">
        <v>4</v>
      </c>
      <c r="T947">
        <v>973.9</v>
      </c>
      <c r="U947">
        <v>0.02</v>
      </c>
      <c r="V947">
        <v>3817.6880000000001</v>
      </c>
      <c r="X947" s="4">
        <v>4</v>
      </c>
      <c r="Y947">
        <v>973.9</v>
      </c>
      <c r="Z947">
        <v>0.02</v>
      </c>
      <c r="AA947">
        <v>3817.6880000000001</v>
      </c>
    </row>
    <row r="948" spans="1:27" x14ac:dyDescent="0.3">
      <c r="A948" t="s">
        <v>2755</v>
      </c>
      <c r="B948" s="2">
        <v>45600</v>
      </c>
      <c r="C948" t="s">
        <v>470</v>
      </c>
      <c r="D948" t="s">
        <v>1601</v>
      </c>
      <c r="E948" t="s">
        <v>1740</v>
      </c>
      <c r="F948" s="4">
        <v>2</v>
      </c>
      <c r="G948">
        <v>157.18</v>
      </c>
      <c r="H948">
        <v>0.15</v>
      </c>
      <c r="I948" t="s">
        <v>1807</v>
      </c>
      <c r="J948">
        <v>267.20600000000002</v>
      </c>
      <c r="K948" t="s">
        <v>471</v>
      </c>
      <c r="L948">
        <v>30</v>
      </c>
      <c r="M948" t="str">
        <v>Male</v>
      </c>
      <c r="N948" t="str">
        <f>VLOOKUP(C:C,Customer_Dim!B:I,5,1)</f>
        <v>South Brooke</v>
      </c>
      <c r="O948" t="str">
        <f>VLOOKUP(C:C,Customer_Dim!B:I,6,1)</f>
        <v>Pennsylvania</v>
      </c>
      <c r="P948" t="str">
        <f>VLOOKUP(C:C,Customer_Dim!B:I,7,1)</f>
        <v>USA</v>
      </c>
      <c r="Q948" t="str">
        <f>VLOOKUP(C:C,Customer_Dim!B:I,8,1)</f>
        <v>Gold</v>
      </c>
      <c r="S948">
        <v>2</v>
      </c>
      <c r="T948">
        <v>157.18</v>
      </c>
      <c r="U948">
        <v>0.15</v>
      </c>
      <c r="V948">
        <v>267.20600000000002</v>
      </c>
      <c r="X948" s="4">
        <v>2</v>
      </c>
      <c r="Y948">
        <v>157.18</v>
      </c>
      <c r="Z948">
        <v>0.15</v>
      </c>
      <c r="AA948">
        <v>267.20600000000002</v>
      </c>
    </row>
    <row r="949" spans="1:27" x14ac:dyDescent="0.3">
      <c r="A949" t="s">
        <v>2756</v>
      </c>
      <c r="B949" s="2">
        <v>45415</v>
      </c>
      <c r="C949" t="s">
        <v>63</v>
      </c>
      <c r="D949" t="s">
        <v>1677</v>
      </c>
      <c r="E949" t="s">
        <v>1780</v>
      </c>
      <c r="F949" s="4">
        <v>3</v>
      </c>
      <c r="G949">
        <v>239.57</v>
      </c>
      <c r="H949">
        <v>0.16</v>
      </c>
      <c r="I949" t="s">
        <v>1807</v>
      </c>
      <c r="J949">
        <v>603.71640000000002</v>
      </c>
      <c r="K949" t="s">
        <v>64</v>
      </c>
      <c r="L949">
        <v>53</v>
      </c>
      <c r="M949" t="str">
        <v>Female</v>
      </c>
      <c r="N949" t="str">
        <f>VLOOKUP(C:C,Customer_Dim!B:I,5,1)</f>
        <v>New Becky</v>
      </c>
      <c r="O949" t="str">
        <f>VLOOKUP(C:C,Customer_Dim!B:I,6,1)</f>
        <v>Montana</v>
      </c>
      <c r="P949" t="str">
        <f>VLOOKUP(C:C,Customer_Dim!B:I,7,1)</f>
        <v>USA</v>
      </c>
      <c r="Q949" t="str">
        <f>VLOOKUP(C:C,Customer_Dim!B:I,8,1)</f>
        <v>Silver</v>
      </c>
      <c r="S949">
        <v>3</v>
      </c>
      <c r="T949">
        <v>239.57</v>
      </c>
      <c r="U949">
        <v>0.16</v>
      </c>
      <c r="V949">
        <v>603.71640000000002</v>
      </c>
      <c r="X949" s="4">
        <v>3</v>
      </c>
      <c r="Y949">
        <v>239.57</v>
      </c>
      <c r="Z949">
        <v>0.16</v>
      </c>
      <c r="AA949">
        <v>603.71640000000002</v>
      </c>
    </row>
    <row r="950" spans="1:27" x14ac:dyDescent="0.3">
      <c r="A950" t="s">
        <v>2757</v>
      </c>
      <c r="B950" s="2">
        <v>45343</v>
      </c>
      <c r="C950" t="s">
        <v>1018</v>
      </c>
      <c r="D950" t="s">
        <v>1548</v>
      </c>
      <c r="E950" t="s">
        <v>1787</v>
      </c>
      <c r="F950" s="4">
        <v>4</v>
      </c>
      <c r="G950">
        <v>583.21</v>
      </c>
      <c r="H950">
        <v>0.2</v>
      </c>
      <c r="I950" t="s">
        <v>1807</v>
      </c>
      <c r="J950">
        <v>1866.2719999999999</v>
      </c>
      <c r="K950" t="s">
        <v>1019</v>
      </c>
      <c r="L950">
        <v>46</v>
      </c>
      <c r="M950" t="str">
        <v>Male</v>
      </c>
      <c r="N950" t="str">
        <f>VLOOKUP(C:C,Customer_Dim!B:I,5,1)</f>
        <v>Kellybury</v>
      </c>
      <c r="O950" t="str">
        <f>VLOOKUP(C:C,Customer_Dim!B:I,6,1)</f>
        <v>New York</v>
      </c>
      <c r="P950" t="str">
        <f>VLOOKUP(C:C,Customer_Dim!B:I,7,1)</f>
        <v>USA</v>
      </c>
      <c r="Q950" t="str">
        <f>VLOOKUP(C:C,Customer_Dim!B:I,8,1)</f>
        <v>Bronze</v>
      </c>
      <c r="S950">
        <v>4</v>
      </c>
      <c r="T950">
        <v>583.21</v>
      </c>
      <c r="U950">
        <v>0.2</v>
      </c>
      <c r="V950">
        <v>1866.2719999999999</v>
      </c>
      <c r="X950" s="4">
        <v>4</v>
      </c>
      <c r="Y950">
        <v>583.21</v>
      </c>
      <c r="Z950">
        <v>0.2</v>
      </c>
      <c r="AA950">
        <v>1866.2719999999999</v>
      </c>
    </row>
    <row r="951" spans="1:27" x14ac:dyDescent="0.3">
      <c r="A951" t="s">
        <v>2758</v>
      </c>
      <c r="B951" s="2">
        <v>45399</v>
      </c>
      <c r="C951" t="s">
        <v>1269</v>
      </c>
      <c r="D951" t="s">
        <v>1693</v>
      </c>
      <c r="E951" t="s">
        <v>1765</v>
      </c>
      <c r="F951" s="4">
        <v>3</v>
      </c>
      <c r="G951">
        <v>758.75</v>
      </c>
      <c r="H951">
        <v>0.27</v>
      </c>
      <c r="I951" t="s">
        <v>1809</v>
      </c>
      <c r="J951">
        <v>1661.6624999999999</v>
      </c>
      <c r="K951" t="s">
        <v>1270</v>
      </c>
      <c r="L951">
        <v>35</v>
      </c>
      <c r="M951" t="str">
        <v>Female</v>
      </c>
      <c r="N951" t="str">
        <f>VLOOKUP(C:C,Customer_Dim!B:I,5,1)</f>
        <v>Andrewsfurt</v>
      </c>
      <c r="O951" t="str">
        <f>VLOOKUP(C:C,Customer_Dim!B:I,6,1)</f>
        <v>Idaho</v>
      </c>
      <c r="P951" t="str">
        <f>VLOOKUP(C:C,Customer_Dim!B:I,7,1)</f>
        <v>USA</v>
      </c>
      <c r="Q951" t="str">
        <f>VLOOKUP(C:C,Customer_Dim!B:I,8,1)</f>
        <v>Bronze</v>
      </c>
      <c r="S951">
        <v>3</v>
      </c>
      <c r="T951">
        <v>758.75</v>
      </c>
      <c r="U951">
        <v>0.27</v>
      </c>
      <c r="V951">
        <v>1661.6624999999999</v>
      </c>
      <c r="X951" s="4">
        <v>3</v>
      </c>
      <c r="Y951">
        <v>758.75</v>
      </c>
      <c r="Z951">
        <v>0.27</v>
      </c>
      <c r="AA951">
        <v>1661.6624999999999</v>
      </c>
    </row>
    <row r="952" spans="1:27" x14ac:dyDescent="0.3">
      <c r="A952" t="s">
        <v>2759</v>
      </c>
      <c r="B952" s="2">
        <v>45689</v>
      </c>
      <c r="C952" t="s">
        <v>965</v>
      </c>
      <c r="D952" t="s">
        <v>1653</v>
      </c>
      <c r="E952" t="s">
        <v>1756</v>
      </c>
      <c r="F952" s="4">
        <v>4</v>
      </c>
      <c r="G952">
        <v>372.42</v>
      </c>
      <c r="H952">
        <v>0.19</v>
      </c>
      <c r="I952" t="s">
        <v>1807</v>
      </c>
      <c r="J952">
        <v>1206.6407999999999</v>
      </c>
      <c r="K952" t="s">
        <v>966</v>
      </c>
      <c r="L952">
        <v>20</v>
      </c>
      <c r="M952" t="str">
        <v>Male</v>
      </c>
      <c r="N952" t="str">
        <f>VLOOKUP(C:C,Customer_Dim!B:I,5,1)</f>
        <v>Randychester</v>
      </c>
      <c r="O952" t="str">
        <f>VLOOKUP(C:C,Customer_Dim!B:I,6,1)</f>
        <v>California</v>
      </c>
      <c r="P952" t="str">
        <f>VLOOKUP(C:C,Customer_Dim!B:I,7,1)</f>
        <v>USA</v>
      </c>
      <c r="Q952" t="str">
        <f>VLOOKUP(C:C,Customer_Dim!B:I,8,1)</f>
        <v>Bronze</v>
      </c>
      <c r="S952">
        <v>4</v>
      </c>
      <c r="T952">
        <v>372.42</v>
      </c>
      <c r="U952">
        <v>0.19</v>
      </c>
      <c r="V952">
        <v>1206.6407999999999</v>
      </c>
      <c r="X952" s="4">
        <v>4</v>
      </c>
      <c r="Y952">
        <v>372.42</v>
      </c>
      <c r="Z952">
        <v>0.19</v>
      </c>
      <c r="AA952">
        <v>1206.6407999999999</v>
      </c>
    </row>
    <row r="953" spans="1:27" x14ac:dyDescent="0.3">
      <c r="A953" t="s">
        <v>2760</v>
      </c>
      <c r="B953" s="2">
        <v>45699</v>
      </c>
      <c r="C953" t="s">
        <v>512</v>
      </c>
      <c r="D953" t="s">
        <v>1657</v>
      </c>
      <c r="E953" t="s">
        <v>1796</v>
      </c>
      <c r="F953" s="4">
        <v>4</v>
      </c>
      <c r="G953">
        <v>286.27999999999997</v>
      </c>
      <c r="H953">
        <v>0.28000000000000003</v>
      </c>
      <c r="I953" t="s">
        <v>1809</v>
      </c>
      <c r="J953">
        <v>824.48639999999989</v>
      </c>
      <c r="K953" t="s">
        <v>513</v>
      </c>
      <c r="L953">
        <v>60</v>
      </c>
      <c r="M953" t="str">
        <v>Female</v>
      </c>
      <c r="N953" t="str">
        <f>VLOOKUP(C:C,Customer_Dim!B:I,5,1)</f>
        <v>Owensview</v>
      </c>
      <c r="O953" t="str">
        <f>VLOOKUP(C:C,Customer_Dim!B:I,6,1)</f>
        <v>Vermont</v>
      </c>
      <c r="P953" t="str">
        <f>VLOOKUP(C:C,Customer_Dim!B:I,7,1)</f>
        <v>USA</v>
      </c>
      <c r="Q953" t="str">
        <f>VLOOKUP(C:C,Customer_Dim!B:I,8,1)</f>
        <v>Gold</v>
      </c>
      <c r="S953">
        <v>4</v>
      </c>
      <c r="T953">
        <v>286.27999999999997</v>
      </c>
      <c r="U953">
        <v>0.28000000000000003</v>
      </c>
      <c r="V953">
        <v>824.48639999999989</v>
      </c>
      <c r="X953" s="4">
        <v>4</v>
      </c>
      <c r="Y953">
        <v>286.27999999999997</v>
      </c>
      <c r="Z953">
        <v>0.28000000000000003</v>
      </c>
      <c r="AA953">
        <v>824.48639999999989</v>
      </c>
    </row>
    <row r="954" spans="1:27" x14ac:dyDescent="0.3">
      <c r="A954" t="s">
        <v>2761</v>
      </c>
      <c r="B954" s="2">
        <v>45663</v>
      </c>
      <c r="C954" t="s">
        <v>879</v>
      </c>
      <c r="D954" t="s">
        <v>1677</v>
      </c>
      <c r="E954" t="s">
        <v>1775</v>
      </c>
      <c r="F954" s="4">
        <v>3</v>
      </c>
      <c r="G954">
        <v>488.37</v>
      </c>
      <c r="H954">
        <v>0.27</v>
      </c>
      <c r="I954" t="s">
        <v>1812</v>
      </c>
      <c r="J954">
        <v>1069.5302999999999</v>
      </c>
      <c r="K954" t="s">
        <v>880</v>
      </c>
      <c r="L954">
        <v>48</v>
      </c>
      <c r="M954" t="str">
        <v>Male</v>
      </c>
      <c r="N954" t="str">
        <f>VLOOKUP(C:C,Customer_Dim!B:I,5,1)</f>
        <v>Gilltown</v>
      </c>
      <c r="O954" t="str">
        <f>VLOOKUP(C:C,Customer_Dim!B:I,6,1)</f>
        <v>Ohio</v>
      </c>
      <c r="P954" t="str">
        <f>VLOOKUP(C:C,Customer_Dim!B:I,7,1)</f>
        <v>USA</v>
      </c>
      <c r="Q954" t="str">
        <f>VLOOKUP(C:C,Customer_Dim!B:I,8,1)</f>
        <v>Bronze</v>
      </c>
      <c r="S954">
        <v>3</v>
      </c>
      <c r="T954">
        <v>488.37</v>
      </c>
      <c r="U954">
        <v>0.27</v>
      </c>
      <c r="V954">
        <v>1069.5302999999999</v>
      </c>
      <c r="X954" s="4">
        <v>3</v>
      </c>
      <c r="Y954">
        <v>488.37</v>
      </c>
      <c r="Z954">
        <v>0.27</v>
      </c>
      <c r="AA954">
        <v>1069.5302999999999</v>
      </c>
    </row>
    <row r="955" spans="1:27" x14ac:dyDescent="0.3">
      <c r="A955" t="s">
        <v>2762</v>
      </c>
      <c r="B955" s="2">
        <v>45377</v>
      </c>
      <c r="C955" t="s">
        <v>1430</v>
      </c>
      <c r="D955" t="s">
        <v>1705</v>
      </c>
      <c r="E955" t="s">
        <v>1765</v>
      </c>
      <c r="F955" s="4">
        <v>3</v>
      </c>
      <c r="G955">
        <v>662.82</v>
      </c>
      <c r="H955">
        <v>0.01</v>
      </c>
      <c r="I955" t="s">
        <v>1812</v>
      </c>
      <c r="J955">
        <v>1968.5753999999999</v>
      </c>
      <c r="K955" t="s">
        <v>1431</v>
      </c>
      <c r="L955">
        <v>21</v>
      </c>
      <c r="M955" t="str">
        <v>Female</v>
      </c>
      <c r="N955" t="str">
        <f>VLOOKUP(C:C,Customer_Dim!B:I,5,1)</f>
        <v>East Audrey</v>
      </c>
      <c r="O955" t="str">
        <f>VLOOKUP(C:C,Customer_Dim!B:I,6,1)</f>
        <v>Utah</v>
      </c>
      <c r="P955" t="str">
        <f>VLOOKUP(C:C,Customer_Dim!B:I,7,1)</f>
        <v>USA</v>
      </c>
      <c r="Q955" t="str">
        <f>VLOOKUP(C:C,Customer_Dim!B:I,8,1)</f>
        <v>Gold</v>
      </c>
      <c r="S955">
        <v>3</v>
      </c>
      <c r="T955">
        <v>662.82</v>
      </c>
      <c r="U955">
        <v>0.01</v>
      </c>
      <c r="V955">
        <v>1968.5753999999999</v>
      </c>
      <c r="X955" s="4">
        <v>3</v>
      </c>
      <c r="Y955">
        <v>662.82</v>
      </c>
      <c r="Z955">
        <v>0.01</v>
      </c>
      <c r="AA955">
        <v>1968.5753999999999</v>
      </c>
    </row>
    <row r="956" spans="1:27" x14ac:dyDescent="0.3">
      <c r="A956" t="s">
        <v>2763</v>
      </c>
      <c r="B956" s="2">
        <v>45412</v>
      </c>
      <c r="C956" t="s">
        <v>1510</v>
      </c>
      <c r="D956" t="s">
        <v>1540</v>
      </c>
      <c r="E956" t="s">
        <v>1787</v>
      </c>
      <c r="F956" s="4">
        <v>2</v>
      </c>
      <c r="G956">
        <v>824.34</v>
      </c>
      <c r="H956">
        <v>0.1</v>
      </c>
      <c r="I956" t="s">
        <v>1812</v>
      </c>
      <c r="J956">
        <v>1483.8119999999999</v>
      </c>
      <c r="K956" t="s">
        <v>1511</v>
      </c>
      <c r="L956">
        <v>35</v>
      </c>
      <c r="M956" t="str">
        <v>Male</v>
      </c>
      <c r="N956" t="str">
        <f>VLOOKUP(C:C,Customer_Dim!B:I,5,1)</f>
        <v>Port William</v>
      </c>
      <c r="O956" t="str">
        <f>VLOOKUP(C:C,Customer_Dim!B:I,6,1)</f>
        <v>New York</v>
      </c>
      <c r="P956" t="str">
        <f>VLOOKUP(C:C,Customer_Dim!B:I,7,1)</f>
        <v>USA</v>
      </c>
      <c r="Q956" t="str">
        <f>VLOOKUP(C:C,Customer_Dim!B:I,8,1)</f>
        <v>Gold</v>
      </c>
      <c r="S956">
        <v>2</v>
      </c>
      <c r="T956">
        <v>824.34</v>
      </c>
      <c r="U956">
        <v>0.1</v>
      </c>
      <c r="V956">
        <v>1483.8119999999999</v>
      </c>
      <c r="X956" s="4">
        <v>2</v>
      </c>
      <c r="Y956">
        <v>824.34</v>
      </c>
      <c r="Z956">
        <v>0.1</v>
      </c>
      <c r="AA956">
        <v>1483.8119999999999</v>
      </c>
    </row>
    <row r="957" spans="1:27" x14ac:dyDescent="0.3">
      <c r="A957" t="s">
        <v>2764</v>
      </c>
      <c r="B957" s="2">
        <v>45349</v>
      </c>
      <c r="C957" t="s">
        <v>391</v>
      </c>
      <c r="D957" t="s">
        <v>1649</v>
      </c>
      <c r="E957" t="s">
        <v>1765</v>
      </c>
      <c r="F957" s="4">
        <v>1</v>
      </c>
      <c r="G957">
        <v>437.12</v>
      </c>
      <c r="H957">
        <v>0.21</v>
      </c>
      <c r="I957" t="s">
        <v>1807</v>
      </c>
      <c r="J957">
        <v>345.32479999999998</v>
      </c>
      <c r="K957" t="s">
        <v>392</v>
      </c>
      <c r="L957">
        <v>30</v>
      </c>
      <c r="M957" t="str">
        <v>Male</v>
      </c>
      <c r="N957" t="str">
        <f>VLOOKUP(C:C,Customer_Dim!B:I,5,1)</f>
        <v>New William</v>
      </c>
      <c r="O957" t="str">
        <f>VLOOKUP(C:C,Customer_Dim!B:I,6,1)</f>
        <v>New Mexico</v>
      </c>
      <c r="P957" t="str">
        <f>VLOOKUP(C:C,Customer_Dim!B:I,7,1)</f>
        <v>USA</v>
      </c>
      <c r="Q957" t="str">
        <f>VLOOKUP(C:C,Customer_Dim!B:I,8,1)</f>
        <v>Gold</v>
      </c>
      <c r="S957">
        <v>1</v>
      </c>
      <c r="T957">
        <v>437.12</v>
      </c>
      <c r="U957">
        <v>0.21</v>
      </c>
      <c r="V957">
        <v>345.32479999999998</v>
      </c>
      <c r="X957" s="4">
        <v>1</v>
      </c>
      <c r="Y957">
        <v>437.12</v>
      </c>
      <c r="Z957">
        <v>0.21</v>
      </c>
      <c r="AA957">
        <v>345.32479999999998</v>
      </c>
    </row>
    <row r="958" spans="1:27" x14ac:dyDescent="0.3">
      <c r="A958" t="s">
        <v>2765</v>
      </c>
      <c r="B958" s="2">
        <v>45486</v>
      </c>
      <c r="C958" t="s">
        <v>1106</v>
      </c>
      <c r="D958" t="s">
        <v>1707</v>
      </c>
      <c r="E958" t="s">
        <v>1759</v>
      </c>
      <c r="F958" s="4">
        <v>3</v>
      </c>
      <c r="G958">
        <v>23.37</v>
      </c>
      <c r="H958">
        <v>0.15</v>
      </c>
      <c r="I958" t="s">
        <v>1809</v>
      </c>
      <c r="J958">
        <v>59.593499999999999</v>
      </c>
      <c r="K958" t="s">
        <v>1107</v>
      </c>
      <c r="L958">
        <v>60</v>
      </c>
      <c r="M958" t="str">
        <v>Female</v>
      </c>
      <c r="N958" t="str">
        <f>VLOOKUP(C:C,Customer_Dim!B:I,5,1)</f>
        <v>Nealview</v>
      </c>
      <c r="O958" t="str">
        <f>VLOOKUP(C:C,Customer_Dim!B:I,6,1)</f>
        <v>Tennessee</v>
      </c>
      <c r="P958" t="str">
        <f>VLOOKUP(C:C,Customer_Dim!B:I,7,1)</f>
        <v>USA</v>
      </c>
      <c r="Q958" t="str">
        <f>VLOOKUP(C:C,Customer_Dim!B:I,8,1)</f>
        <v>Gold</v>
      </c>
      <c r="S958">
        <v>3</v>
      </c>
      <c r="T958">
        <v>23.37</v>
      </c>
      <c r="U958">
        <v>0.15</v>
      </c>
      <c r="V958">
        <v>59.593499999999999</v>
      </c>
      <c r="X958" s="4">
        <v>3</v>
      </c>
      <c r="Y958">
        <v>23.37</v>
      </c>
      <c r="Z958">
        <v>0.15</v>
      </c>
      <c r="AA958">
        <v>59.593499999999999</v>
      </c>
    </row>
    <row r="959" spans="1:27" x14ac:dyDescent="0.3">
      <c r="A959" t="s">
        <v>2766</v>
      </c>
      <c r="B959" s="2">
        <v>45761</v>
      </c>
      <c r="C959" t="s">
        <v>610</v>
      </c>
      <c r="D959" t="s">
        <v>1603</v>
      </c>
      <c r="E959" t="s">
        <v>1765</v>
      </c>
      <c r="F959" s="4">
        <v>1</v>
      </c>
      <c r="G959">
        <v>579.69000000000005</v>
      </c>
      <c r="H959">
        <v>0.02</v>
      </c>
      <c r="I959" t="s">
        <v>1807</v>
      </c>
      <c r="J959">
        <v>568.09620000000007</v>
      </c>
      <c r="K959" t="s">
        <v>611</v>
      </c>
      <c r="L959">
        <v>42</v>
      </c>
      <c r="M959" t="str">
        <v>Male</v>
      </c>
      <c r="N959" t="str">
        <f>VLOOKUP(C:C,Customer_Dim!B:I,5,1)</f>
        <v>Lake Blaketon</v>
      </c>
      <c r="O959" t="str">
        <f>VLOOKUP(C:C,Customer_Dim!B:I,6,1)</f>
        <v>Alabama</v>
      </c>
      <c r="P959" t="str">
        <f>VLOOKUP(C:C,Customer_Dim!B:I,7,1)</f>
        <v>USA</v>
      </c>
      <c r="Q959" t="str">
        <f>VLOOKUP(C:C,Customer_Dim!B:I,8,1)</f>
        <v>Platinum</v>
      </c>
      <c r="S959">
        <v>1</v>
      </c>
      <c r="T959">
        <v>579.69000000000005</v>
      </c>
      <c r="U959">
        <v>0.02</v>
      </c>
      <c r="V959">
        <v>568.09620000000007</v>
      </c>
      <c r="X959" s="4">
        <v>1</v>
      </c>
      <c r="Y959">
        <v>579.69000000000005</v>
      </c>
      <c r="Z959">
        <v>0.02</v>
      </c>
      <c r="AA959">
        <v>568.09620000000007</v>
      </c>
    </row>
    <row r="960" spans="1:27" x14ac:dyDescent="0.3">
      <c r="A960" t="s">
        <v>2767</v>
      </c>
      <c r="B960" s="2">
        <v>45639</v>
      </c>
      <c r="C960" t="s">
        <v>1318</v>
      </c>
      <c r="D960" t="s">
        <v>1687</v>
      </c>
      <c r="E960" t="s">
        <v>1782</v>
      </c>
      <c r="F960" s="4">
        <v>3</v>
      </c>
      <c r="G960">
        <v>240.51</v>
      </c>
      <c r="H960">
        <v>7.0000000000000007E-2</v>
      </c>
      <c r="I960" t="s">
        <v>1807</v>
      </c>
      <c r="J960">
        <v>671.02289999999994</v>
      </c>
      <c r="K960" t="s">
        <v>1319</v>
      </c>
      <c r="L960">
        <v>27</v>
      </c>
      <c r="M960" t="str">
        <v>Male</v>
      </c>
      <c r="N960" t="str">
        <f>VLOOKUP(C:C,Customer_Dim!B:I,5,1)</f>
        <v>Josephchester</v>
      </c>
      <c r="O960" t="str">
        <f>VLOOKUP(C:C,Customer_Dim!B:I,6,1)</f>
        <v>New Jersey</v>
      </c>
      <c r="P960" t="str">
        <f>VLOOKUP(C:C,Customer_Dim!B:I,7,1)</f>
        <v>USA</v>
      </c>
      <c r="Q960" t="str">
        <f>VLOOKUP(C:C,Customer_Dim!B:I,8,1)</f>
        <v>Gold</v>
      </c>
      <c r="S960">
        <v>3</v>
      </c>
      <c r="T960">
        <v>240.51</v>
      </c>
      <c r="U960">
        <v>7.0000000000000007E-2</v>
      </c>
      <c r="V960">
        <v>671.02289999999994</v>
      </c>
      <c r="X960" s="4">
        <v>3</v>
      </c>
      <c r="Y960">
        <v>240.51</v>
      </c>
      <c r="Z960">
        <v>7.0000000000000007E-2</v>
      </c>
      <c r="AA960">
        <v>671.02289999999994</v>
      </c>
    </row>
    <row r="961" spans="1:27" x14ac:dyDescent="0.3">
      <c r="A961" t="s">
        <v>2768</v>
      </c>
      <c r="B961" s="2">
        <v>45893</v>
      </c>
      <c r="C961" t="s">
        <v>1180</v>
      </c>
      <c r="D961" t="s">
        <v>1581</v>
      </c>
      <c r="E961" t="s">
        <v>1782</v>
      </c>
      <c r="F961" s="4">
        <v>2</v>
      </c>
      <c r="G961">
        <v>855.4</v>
      </c>
      <c r="H961">
        <v>0.08</v>
      </c>
      <c r="I961" t="s">
        <v>1812</v>
      </c>
      <c r="J961">
        <v>1573.9359999999999</v>
      </c>
      <c r="K961" t="s">
        <v>1181</v>
      </c>
      <c r="L961">
        <v>27</v>
      </c>
      <c r="M961" t="str">
        <v>Female</v>
      </c>
      <c r="N961" t="str">
        <f>VLOOKUP(C:C,Customer_Dim!B:I,5,1)</f>
        <v>Novakstad</v>
      </c>
      <c r="O961" t="str">
        <f>VLOOKUP(C:C,Customer_Dim!B:I,6,1)</f>
        <v>California</v>
      </c>
      <c r="P961" t="str">
        <f>VLOOKUP(C:C,Customer_Dim!B:I,7,1)</f>
        <v>USA</v>
      </c>
      <c r="Q961" t="str">
        <f>VLOOKUP(C:C,Customer_Dim!B:I,8,1)</f>
        <v>Gold</v>
      </c>
      <c r="S961">
        <v>2</v>
      </c>
      <c r="T961">
        <v>855.4</v>
      </c>
      <c r="U961">
        <v>0.08</v>
      </c>
      <c r="V961">
        <v>1573.9359999999999</v>
      </c>
      <c r="X961" s="4">
        <v>2</v>
      </c>
      <c r="Y961">
        <v>855.4</v>
      </c>
      <c r="Z961">
        <v>0.08</v>
      </c>
      <c r="AA961">
        <v>1573.9359999999999</v>
      </c>
    </row>
    <row r="962" spans="1:27" x14ac:dyDescent="0.3">
      <c r="A962" t="s">
        <v>2769</v>
      </c>
      <c r="B962" s="2">
        <v>45227</v>
      </c>
      <c r="C962" t="s">
        <v>40</v>
      </c>
      <c r="D962" t="s">
        <v>1711</v>
      </c>
      <c r="E962" t="s">
        <v>1762</v>
      </c>
      <c r="F962" s="4">
        <v>1</v>
      </c>
      <c r="G962">
        <v>537.26</v>
      </c>
      <c r="H962">
        <v>0.09</v>
      </c>
      <c r="I962" t="s">
        <v>1807</v>
      </c>
      <c r="J962">
        <v>488.90660000000003</v>
      </c>
      <c r="K962" t="s">
        <v>41</v>
      </c>
      <c r="L962">
        <v>53</v>
      </c>
      <c r="M962" t="str">
        <v>Female</v>
      </c>
      <c r="N962" t="str">
        <f>VLOOKUP(C:C,Customer_Dim!B:I,5,1)</f>
        <v>West Pamelafurt</v>
      </c>
      <c r="O962" t="str">
        <f>VLOOKUP(C:C,Customer_Dim!B:I,6,1)</f>
        <v>West Virginia</v>
      </c>
      <c r="P962" t="str">
        <f>VLOOKUP(C:C,Customer_Dim!B:I,7,1)</f>
        <v>USA</v>
      </c>
      <c r="Q962" t="str">
        <f>VLOOKUP(C:C,Customer_Dim!B:I,8,1)</f>
        <v>Bronze</v>
      </c>
      <c r="S962">
        <v>1</v>
      </c>
      <c r="T962">
        <v>537.26</v>
      </c>
      <c r="U962">
        <v>0.09</v>
      </c>
      <c r="V962">
        <v>488.90660000000003</v>
      </c>
      <c r="X962" s="4">
        <v>1</v>
      </c>
      <c r="Y962">
        <v>537.26</v>
      </c>
      <c r="Z962">
        <v>0.09</v>
      </c>
      <c r="AA962">
        <v>488.90660000000003</v>
      </c>
    </row>
    <row r="963" spans="1:27" x14ac:dyDescent="0.3">
      <c r="A963" t="s">
        <v>2770</v>
      </c>
      <c r="B963" s="2">
        <v>45637</v>
      </c>
      <c r="C963" t="s">
        <v>1186</v>
      </c>
      <c r="D963" t="s">
        <v>1633</v>
      </c>
      <c r="E963" t="s">
        <v>1772</v>
      </c>
      <c r="F963" s="4">
        <v>3</v>
      </c>
      <c r="G963">
        <v>918.26</v>
      </c>
      <c r="H963">
        <v>0.17</v>
      </c>
      <c r="I963" t="s">
        <v>1812</v>
      </c>
      <c r="J963">
        <v>2286.4674</v>
      </c>
      <c r="K963" t="s">
        <v>1187</v>
      </c>
      <c r="L963">
        <v>60</v>
      </c>
      <c r="M963" t="str">
        <v>Male</v>
      </c>
      <c r="N963" t="str">
        <f>VLOOKUP(C:C,Customer_Dim!B:I,5,1)</f>
        <v>North Michael</v>
      </c>
      <c r="O963" t="str">
        <f>VLOOKUP(C:C,Customer_Dim!B:I,6,1)</f>
        <v>Iowa</v>
      </c>
      <c r="P963" t="str">
        <f>VLOOKUP(C:C,Customer_Dim!B:I,7,1)</f>
        <v>USA</v>
      </c>
      <c r="Q963" t="str">
        <f>VLOOKUP(C:C,Customer_Dim!B:I,8,1)</f>
        <v>Bronze</v>
      </c>
      <c r="S963">
        <v>3</v>
      </c>
      <c r="T963">
        <v>918.26</v>
      </c>
      <c r="U963">
        <v>0.17</v>
      </c>
      <c r="V963">
        <v>2286.4674</v>
      </c>
      <c r="X963" s="4">
        <v>3</v>
      </c>
      <c r="Y963">
        <v>918.26</v>
      </c>
      <c r="Z963">
        <v>0.17</v>
      </c>
      <c r="AA963">
        <v>2286.4674</v>
      </c>
    </row>
    <row r="964" spans="1:27" x14ac:dyDescent="0.3">
      <c r="A964" t="s">
        <v>2771</v>
      </c>
      <c r="B964" s="2">
        <v>45472</v>
      </c>
      <c r="C964" t="s">
        <v>336</v>
      </c>
      <c r="D964" t="s">
        <v>1540</v>
      </c>
      <c r="E964" t="s">
        <v>1769</v>
      </c>
      <c r="F964" s="4">
        <v>4</v>
      </c>
      <c r="G964">
        <v>579.70000000000005</v>
      </c>
      <c r="H964">
        <v>0.18</v>
      </c>
      <c r="I964" t="s">
        <v>1809</v>
      </c>
      <c r="J964">
        <v>1901.4159999999999</v>
      </c>
      <c r="K964" t="s">
        <v>337</v>
      </c>
      <c r="L964">
        <v>30</v>
      </c>
      <c r="M964" t="str">
        <v>Female</v>
      </c>
      <c r="N964" t="str">
        <f>VLOOKUP(C:C,Customer_Dim!B:I,5,1)</f>
        <v>West Bobbyshire</v>
      </c>
      <c r="O964" t="str">
        <f>VLOOKUP(C:C,Customer_Dim!B:I,6,1)</f>
        <v>New York</v>
      </c>
      <c r="P964" t="str">
        <f>VLOOKUP(C:C,Customer_Dim!B:I,7,1)</f>
        <v>USA</v>
      </c>
      <c r="Q964" t="str">
        <f>VLOOKUP(C:C,Customer_Dim!B:I,8,1)</f>
        <v>Platinum</v>
      </c>
      <c r="S964">
        <v>4</v>
      </c>
      <c r="T964">
        <v>579.70000000000005</v>
      </c>
      <c r="U964">
        <v>0.18</v>
      </c>
      <c r="V964">
        <v>1901.4159999999999</v>
      </c>
      <c r="X964" s="4">
        <v>4</v>
      </c>
      <c r="Y964">
        <v>579.70000000000005</v>
      </c>
      <c r="Z964">
        <v>0.18</v>
      </c>
      <c r="AA964">
        <v>1901.4159999999999</v>
      </c>
    </row>
    <row r="965" spans="1:27" x14ac:dyDescent="0.3">
      <c r="A965" t="s">
        <v>2772</v>
      </c>
      <c r="B965" s="2">
        <v>45710</v>
      </c>
      <c r="C965" t="s">
        <v>485</v>
      </c>
      <c r="D965" t="s">
        <v>1617</v>
      </c>
      <c r="E965" t="s">
        <v>1759</v>
      </c>
      <c r="F965" s="4">
        <v>1</v>
      </c>
      <c r="G965">
        <v>824.32</v>
      </c>
      <c r="H965">
        <v>0.18</v>
      </c>
      <c r="I965" t="s">
        <v>1807</v>
      </c>
      <c r="J965">
        <v>675.94240000000013</v>
      </c>
      <c r="K965" t="s">
        <v>486</v>
      </c>
      <c r="L965">
        <v>32</v>
      </c>
      <c r="M965" t="str">
        <v>Female</v>
      </c>
      <c r="N965" t="str">
        <f>VLOOKUP(C:C,Customer_Dim!B:I,5,1)</f>
        <v>Michaelfort</v>
      </c>
      <c r="O965" t="str">
        <f>VLOOKUP(C:C,Customer_Dim!B:I,6,1)</f>
        <v>Indiana</v>
      </c>
      <c r="P965" t="str">
        <f>VLOOKUP(C:C,Customer_Dim!B:I,7,1)</f>
        <v>USA</v>
      </c>
      <c r="Q965" t="str">
        <f>VLOOKUP(C:C,Customer_Dim!B:I,8,1)</f>
        <v>Platinum</v>
      </c>
      <c r="S965">
        <v>1</v>
      </c>
      <c r="T965">
        <v>824.32</v>
      </c>
      <c r="U965">
        <v>0.18</v>
      </c>
      <c r="V965">
        <v>675.94240000000013</v>
      </c>
      <c r="X965" s="4">
        <v>1</v>
      </c>
      <c r="Y965">
        <v>824.32</v>
      </c>
      <c r="Z965">
        <v>0.18</v>
      </c>
      <c r="AA965">
        <v>675.94240000000013</v>
      </c>
    </row>
    <row r="966" spans="1:27" x14ac:dyDescent="0.3">
      <c r="A966" t="s">
        <v>2773</v>
      </c>
      <c r="B966" s="2">
        <v>45682</v>
      </c>
      <c r="C966" t="s">
        <v>379</v>
      </c>
      <c r="D966" t="s">
        <v>1623</v>
      </c>
      <c r="E966" t="s">
        <v>1784</v>
      </c>
      <c r="F966" s="4">
        <v>4</v>
      </c>
      <c r="G966">
        <v>614.99</v>
      </c>
      <c r="H966">
        <v>0.16</v>
      </c>
      <c r="I966" t="s">
        <v>1809</v>
      </c>
      <c r="J966">
        <v>2066.3663999999999</v>
      </c>
      <c r="K966" t="s">
        <v>380</v>
      </c>
      <c r="L966">
        <v>40</v>
      </c>
      <c r="M966" t="str">
        <v>Female</v>
      </c>
      <c r="N966" t="str">
        <f>VLOOKUP(C:C,Customer_Dim!B:I,5,1)</f>
        <v>Smithland</v>
      </c>
      <c r="O966" t="str">
        <f>VLOOKUP(C:C,Customer_Dim!B:I,6,1)</f>
        <v>West Virginia</v>
      </c>
      <c r="P966" t="str">
        <f>VLOOKUP(C:C,Customer_Dim!B:I,7,1)</f>
        <v>USA</v>
      </c>
      <c r="Q966" t="str">
        <f>VLOOKUP(C:C,Customer_Dim!B:I,8,1)</f>
        <v>Silver</v>
      </c>
      <c r="S966">
        <v>4</v>
      </c>
      <c r="T966">
        <v>614.99</v>
      </c>
      <c r="U966">
        <v>0.16</v>
      </c>
      <c r="V966">
        <v>2066.3663999999999</v>
      </c>
      <c r="X966" s="4">
        <v>4</v>
      </c>
      <c r="Y966">
        <v>614.99</v>
      </c>
      <c r="Z966">
        <v>0.16</v>
      </c>
      <c r="AA966">
        <v>2066.3663999999999</v>
      </c>
    </row>
    <row r="967" spans="1:27" x14ac:dyDescent="0.3">
      <c r="A967" t="s">
        <v>2774</v>
      </c>
      <c r="B967" s="2">
        <v>45730</v>
      </c>
      <c r="C967" t="s">
        <v>436</v>
      </c>
      <c r="D967" t="s">
        <v>1655</v>
      </c>
      <c r="E967" t="s">
        <v>1735</v>
      </c>
      <c r="F967" s="4">
        <v>4</v>
      </c>
      <c r="G967">
        <v>189.21</v>
      </c>
      <c r="H967">
        <v>0.06</v>
      </c>
      <c r="I967" t="s">
        <v>1812</v>
      </c>
      <c r="J967">
        <v>711.42959999999994</v>
      </c>
      <c r="K967" t="s">
        <v>437</v>
      </c>
      <c r="L967">
        <v>43</v>
      </c>
      <c r="M967" t="str">
        <v>Female</v>
      </c>
      <c r="N967" t="str">
        <f>VLOOKUP(C:C,Customer_Dim!B:I,5,1)</f>
        <v>East Ellen</v>
      </c>
      <c r="O967" t="str">
        <f>VLOOKUP(C:C,Customer_Dim!B:I,6,1)</f>
        <v>Arkansas</v>
      </c>
      <c r="P967" t="str">
        <f>VLOOKUP(C:C,Customer_Dim!B:I,7,1)</f>
        <v>USA</v>
      </c>
      <c r="Q967" t="str">
        <f>VLOOKUP(C:C,Customer_Dim!B:I,8,1)</f>
        <v>Silver</v>
      </c>
      <c r="S967">
        <v>4</v>
      </c>
      <c r="T967">
        <v>189.21</v>
      </c>
      <c r="U967">
        <v>0.06</v>
      </c>
      <c r="V967">
        <v>711.42959999999994</v>
      </c>
      <c r="X967" s="4">
        <v>4</v>
      </c>
      <c r="Y967">
        <v>189.21</v>
      </c>
      <c r="Z967">
        <v>0.06</v>
      </c>
      <c r="AA967">
        <v>711.42959999999994</v>
      </c>
    </row>
    <row r="968" spans="1:27" x14ac:dyDescent="0.3">
      <c r="A968" t="s">
        <v>2775</v>
      </c>
      <c r="B968" s="2">
        <v>45629</v>
      </c>
      <c r="C968" t="s">
        <v>512</v>
      </c>
      <c r="D968" t="s">
        <v>1655</v>
      </c>
      <c r="E968" t="s">
        <v>1782</v>
      </c>
      <c r="F968" s="4">
        <v>2</v>
      </c>
      <c r="G968">
        <v>233.33</v>
      </c>
      <c r="H968">
        <v>0.05</v>
      </c>
      <c r="I968" t="s">
        <v>1807</v>
      </c>
      <c r="J968">
        <v>443.327</v>
      </c>
      <c r="K968" t="s">
        <v>513</v>
      </c>
      <c r="L968">
        <v>60</v>
      </c>
      <c r="M968" t="str">
        <v>Female</v>
      </c>
      <c r="N968" t="str">
        <f>VLOOKUP(C:C,Customer_Dim!B:I,5,1)</f>
        <v>Owensview</v>
      </c>
      <c r="O968" t="str">
        <f>VLOOKUP(C:C,Customer_Dim!B:I,6,1)</f>
        <v>Vermont</v>
      </c>
      <c r="P968" t="str">
        <f>VLOOKUP(C:C,Customer_Dim!B:I,7,1)</f>
        <v>USA</v>
      </c>
      <c r="Q968" t="str">
        <f>VLOOKUP(C:C,Customer_Dim!B:I,8,1)</f>
        <v>Gold</v>
      </c>
      <c r="S968">
        <v>2</v>
      </c>
      <c r="T968">
        <v>233.33</v>
      </c>
      <c r="U968">
        <v>0.05</v>
      </c>
      <c r="V968">
        <v>443.327</v>
      </c>
      <c r="X968" s="4">
        <v>2</v>
      </c>
      <c r="Y968">
        <v>233.33</v>
      </c>
      <c r="Z968">
        <v>0.05</v>
      </c>
      <c r="AA968">
        <v>443.327</v>
      </c>
    </row>
    <row r="969" spans="1:27" x14ac:dyDescent="0.3">
      <c r="A969" t="s">
        <v>2776</v>
      </c>
      <c r="B969" s="2">
        <v>45783</v>
      </c>
      <c r="C969" t="s">
        <v>788</v>
      </c>
      <c r="D969" t="s">
        <v>1609</v>
      </c>
      <c r="E969" t="s">
        <v>1793</v>
      </c>
      <c r="F969" s="4">
        <v>3</v>
      </c>
      <c r="G969">
        <v>529.89</v>
      </c>
      <c r="H969">
        <v>0.21</v>
      </c>
      <c r="I969" t="s">
        <v>1807</v>
      </c>
      <c r="J969">
        <v>1255.8393000000001</v>
      </c>
      <c r="K969" t="s">
        <v>789</v>
      </c>
      <c r="L969">
        <v>41</v>
      </c>
      <c r="M969" t="str">
        <v>Female</v>
      </c>
      <c r="N969" t="str">
        <f>VLOOKUP(C:C,Customer_Dim!B:I,5,1)</f>
        <v>Lake Timothy</v>
      </c>
      <c r="O969" t="str">
        <f>VLOOKUP(C:C,Customer_Dim!B:I,6,1)</f>
        <v>Nevada</v>
      </c>
      <c r="P969" t="str">
        <f>VLOOKUP(C:C,Customer_Dim!B:I,7,1)</f>
        <v>USA</v>
      </c>
      <c r="Q969" t="str">
        <f>VLOOKUP(C:C,Customer_Dim!B:I,8,1)</f>
        <v>Gold</v>
      </c>
      <c r="S969">
        <v>3</v>
      </c>
      <c r="T969">
        <v>529.89</v>
      </c>
      <c r="U969">
        <v>0.21</v>
      </c>
      <c r="V969">
        <v>1255.8393000000001</v>
      </c>
      <c r="X969" s="4">
        <v>3</v>
      </c>
      <c r="Y969">
        <v>529.89</v>
      </c>
      <c r="Z969">
        <v>0.21</v>
      </c>
      <c r="AA969">
        <v>1255.8393000000001</v>
      </c>
    </row>
    <row r="970" spans="1:27" x14ac:dyDescent="0.3">
      <c r="A970" t="s">
        <v>2777</v>
      </c>
      <c r="B970" s="2">
        <v>45518</v>
      </c>
      <c r="C970" t="s">
        <v>1487</v>
      </c>
      <c r="D970" t="s">
        <v>1715</v>
      </c>
      <c r="E970" t="s">
        <v>1740</v>
      </c>
      <c r="F970" s="4">
        <v>2</v>
      </c>
      <c r="G970">
        <v>954.1</v>
      </c>
      <c r="H970">
        <v>0.17</v>
      </c>
      <c r="I970" t="s">
        <v>1809</v>
      </c>
      <c r="J970">
        <v>1583.806</v>
      </c>
      <c r="K970" t="s">
        <v>1488</v>
      </c>
      <c r="L970">
        <v>23</v>
      </c>
      <c r="M970" t="str">
        <v>Male</v>
      </c>
      <c r="N970" t="str">
        <f>VLOOKUP(C:C,Customer_Dim!B:I,5,1)</f>
        <v>Lake Elizabethside</v>
      </c>
      <c r="O970" t="str">
        <f>VLOOKUP(C:C,Customer_Dim!B:I,6,1)</f>
        <v>Indiana</v>
      </c>
      <c r="P970" t="str">
        <f>VLOOKUP(C:C,Customer_Dim!B:I,7,1)</f>
        <v>USA</v>
      </c>
      <c r="Q970" t="str">
        <f>VLOOKUP(C:C,Customer_Dim!B:I,8,1)</f>
        <v>Silver</v>
      </c>
      <c r="S970">
        <v>2</v>
      </c>
      <c r="T970">
        <v>954.1</v>
      </c>
      <c r="U970">
        <v>0.17</v>
      </c>
      <c r="V970">
        <v>1583.806</v>
      </c>
      <c r="X970" s="4">
        <v>2</v>
      </c>
      <c r="Y970">
        <v>954.1</v>
      </c>
      <c r="Z970">
        <v>0.17</v>
      </c>
      <c r="AA970">
        <v>1583.806</v>
      </c>
    </row>
    <row r="971" spans="1:27" x14ac:dyDescent="0.3">
      <c r="A971" t="s">
        <v>2778</v>
      </c>
      <c r="B971" s="2">
        <v>45274</v>
      </c>
      <c r="C971" t="s">
        <v>1007</v>
      </c>
      <c r="D971" t="s">
        <v>1661</v>
      </c>
      <c r="E971" t="s">
        <v>1762</v>
      </c>
      <c r="F971" s="4">
        <v>1</v>
      </c>
      <c r="G971">
        <v>370.04</v>
      </c>
      <c r="H971">
        <v>0.04</v>
      </c>
      <c r="I971" t="s">
        <v>1812</v>
      </c>
      <c r="J971">
        <v>355.23840000000001</v>
      </c>
      <c r="K971" t="s">
        <v>1008</v>
      </c>
      <c r="L971">
        <v>58</v>
      </c>
      <c r="M971" t="str">
        <v>Male</v>
      </c>
      <c r="N971" t="str">
        <f>VLOOKUP(C:C,Customer_Dim!B:I,5,1)</f>
        <v>Whiteport</v>
      </c>
      <c r="O971" t="str">
        <f>VLOOKUP(C:C,Customer_Dim!B:I,6,1)</f>
        <v>North Carolina</v>
      </c>
      <c r="P971" t="str">
        <f>VLOOKUP(C:C,Customer_Dim!B:I,7,1)</f>
        <v>USA</v>
      </c>
      <c r="Q971" t="str">
        <f>VLOOKUP(C:C,Customer_Dim!B:I,8,1)</f>
        <v>Platinum</v>
      </c>
      <c r="S971">
        <v>1</v>
      </c>
      <c r="T971">
        <v>370.04</v>
      </c>
      <c r="U971">
        <v>0.04</v>
      </c>
      <c r="V971">
        <v>355.23840000000001</v>
      </c>
      <c r="X971" s="4">
        <v>1</v>
      </c>
      <c r="Y971">
        <v>370.04</v>
      </c>
      <c r="Z971">
        <v>0.04</v>
      </c>
      <c r="AA971">
        <v>355.23840000000001</v>
      </c>
    </row>
    <row r="972" spans="1:27" x14ac:dyDescent="0.3">
      <c r="A972" t="s">
        <v>2779</v>
      </c>
      <c r="B972" s="2">
        <v>45297</v>
      </c>
      <c r="C972" t="s">
        <v>224</v>
      </c>
      <c r="D972" t="s">
        <v>1723</v>
      </c>
      <c r="E972" t="s">
        <v>1796</v>
      </c>
      <c r="F972" s="4">
        <v>4</v>
      </c>
      <c r="G972">
        <v>492.71</v>
      </c>
      <c r="H972">
        <v>0.08</v>
      </c>
      <c r="I972" t="s">
        <v>1807</v>
      </c>
      <c r="J972">
        <v>1813.1728000000001</v>
      </c>
      <c r="K972" t="s">
        <v>225</v>
      </c>
      <c r="L972">
        <v>50</v>
      </c>
      <c r="M972" t="str">
        <v>Male</v>
      </c>
      <c r="N972" t="str">
        <f>VLOOKUP(C:C,Customer_Dim!B:I,5,1)</f>
        <v>Jennifermouth</v>
      </c>
      <c r="O972" t="str">
        <f>VLOOKUP(C:C,Customer_Dim!B:I,6,1)</f>
        <v>Missouri</v>
      </c>
      <c r="P972" t="str">
        <f>VLOOKUP(C:C,Customer_Dim!B:I,7,1)</f>
        <v>USA</v>
      </c>
      <c r="Q972" t="str">
        <f>VLOOKUP(C:C,Customer_Dim!B:I,8,1)</f>
        <v>Silver</v>
      </c>
      <c r="S972">
        <v>4</v>
      </c>
      <c r="T972">
        <v>492.71</v>
      </c>
      <c r="U972">
        <v>0.08</v>
      </c>
      <c r="V972">
        <v>1813.1728000000001</v>
      </c>
      <c r="X972" s="4">
        <v>4</v>
      </c>
      <c r="Y972">
        <v>492.71</v>
      </c>
      <c r="Z972">
        <v>0.08</v>
      </c>
      <c r="AA972">
        <v>1813.1728000000001</v>
      </c>
    </row>
    <row r="973" spans="1:27" x14ac:dyDescent="0.3">
      <c r="A973" t="s">
        <v>2780</v>
      </c>
      <c r="B973" s="2">
        <v>45530</v>
      </c>
      <c r="C973" t="s">
        <v>882</v>
      </c>
      <c r="D973" t="s">
        <v>1713</v>
      </c>
      <c r="E973" t="s">
        <v>1780</v>
      </c>
      <c r="F973" s="4">
        <v>4</v>
      </c>
      <c r="G973">
        <v>853.26</v>
      </c>
      <c r="H973">
        <v>0.24</v>
      </c>
      <c r="I973" t="s">
        <v>1812</v>
      </c>
      <c r="J973">
        <v>2593.9104000000002</v>
      </c>
      <c r="K973" t="s">
        <v>883</v>
      </c>
      <c r="L973">
        <v>59</v>
      </c>
      <c r="M973" t="str">
        <v>Male</v>
      </c>
      <c r="N973" t="str">
        <f>VLOOKUP(C:C,Customer_Dim!B:I,5,1)</f>
        <v>Morrisville</v>
      </c>
      <c r="O973" t="str">
        <f>VLOOKUP(C:C,Customer_Dim!B:I,6,1)</f>
        <v>Hawaii</v>
      </c>
      <c r="P973" t="str">
        <f>VLOOKUP(C:C,Customer_Dim!B:I,7,1)</f>
        <v>USA</v>
      </c>
      <c r="Q973" t="str">
        <f>VLOOKUP(C:C,Customer_Dim!B:I,8,1)</f>
        <v>Bronze</v>
      </c>
      <c r="S973">
        <v>4</v>
      </c>
      <c r="T973">
        <v>853.26</v>
      </c>
      <c r="U973">
        <v>0.24</v>
      </c>
      <c r="V973">
        <v>2593.9104000000002</v>
      </c>
      <c r="X973" s="4">
        <v>4</v>
      </c>
      <c r="Y973">
        <v>853.26</v>
      </c>
      <c r="Z973">
        <v>0.24</v>
      </c>
      <c r="AA973">
        <v>2593.9104000000002</v>
      </c>
    </row>
    <row r="974" spans="1:27" x14ac:dyDescent="0.3">
      <c r="A974" t="s">
        <v>2781</v>
      </c>
      <c r="B974" s="2">
        <v>45740</v>
      </c>
      <c r="C974" t="s">
        <v>1249</v>
      </c>
      <c r="D974" t="s">
        <v>1534</v>
      </c>
      <c r="E974" t="s">
        <v>1787</v>
      </c>
      <c r="F974" s="4">
        <v>1</v>
      </c>
      <c r="G974">
        <v>402.47</v>
      </c>
      <c r="H974">
        <v>0.19</v>
      </c>
      <c r="I974" t="s">
        <v>1809</v>
      </c>
      <c r="J974">
        <v>326.00070000000011</v>
      </c>
      <c r="K974" t="s">
        <v>1250</v>
      </c>
      <c r="L974">
        <v>33</v>
      </c>
      <c r="M974" t="str">
        <v>Male</v>
      </c>
      <c r="N974" t="str">
        <f>VLOOKUP(C:C,Customer_Dim!B:I,5,1)</f>
        <v>North Michaelfurt</v>
      </c>
      <c r="O974" t="str">
        <f>VLOOKUP(C:C,Customer_Dim!B:I,6,1)</f>
        <v>Wisconsin</v>
      </c>
      <c r="P974" t="str">
        <f>VLOOKUP(C:C,Customer_Dim!B:I,7,1)</f>
        <v>USA</v>
      </c>
      <c r="Q974" t="str">
        <f>VLOOKUP(C:C,Customer_Dim!B:I,8,1)</f>
        <v>Gold</v>
      </c>
      <c r="S974">
        <v>1</v>
      </c>
      <c r="T974">
        <v>402.47</v>
      </c>
      <c r="U974">
        <v>0.19</v>
      </c>
      <c r="V974">
        <v>326.00070000000011</v>
      </c>
      <c r="X974" s="4">
        <v>1</v>
      </c>
      <c r="Y974">
        <v>402.47</v>
      </c>
      <c r="Z974">
        <v>0.19</v>
      </c>
      <c r="AA974">
        <v>326.00070000000011</v>
      </c>
    </row>
    <row r="975" spans="1:27" x14ac:dyDescent="0.3">
      <c r="A975" t="s">
        <v>2782</v>
      </c>
      <c r="B975" s="2">
        <v>45311</v>
      </c>
      <c r="C975" t="s">
        <v>1238</v>
      </c>
      <c r="D975" t="s">
        <v>1639</v>
      </c>
      <c r="E975" t="s">
        <v>1793</v>
      </c>
      <c r="F975" s="4">
        <v>2</v>
      </c>
      <c r="G975">
        <v>528.29999999999995</v>
      </c>
      <c r="H975">
        <v>0.24</v>
      </c>
      <c r="I975" t="s">
        <v>1807</v>
      </c>
      <c r="J975">
        <v>803.01599999999996</v>
      </c>
      <c r="K975" t="s">
        <v>1239</v>
      </c>
      <c r="L975">
        <v>34</v>
      </c>
      <c r="M975" t="str">
        <v>Male</v>
      </c>
      <c r="N975" t="str">
        <f>VLOOKUP(C:C,Customer_Dim!B:I,5,1)</f>
        <v>Brandonville</v>
      </c>
      <c r="O975" t="str">
        <f>VLOOKUP(C:C,Customer_Dim!B:I,6,1)</f>
        <v>Mississippi</v>
      </c>
      <c r="P975" t="str">
        <f>VLOOKUP(C:C,Customer_Dim!B:I,7,1)</f>
        <v>USA</v>
      </c>
      <c r="Q975" t="str">
        <f>VLOOKUP(C:C,Customer_Dim!B:I,8,1)</f>
        <v>Bronze</v>
      </c>
      <c r="S975">
        <v>2</v>
      </c>
      <c r="T975">
        <v>528.29999999999995</v>
      </c>
      <c r="U975">
        <v>0.24</v>
      </c>
      <c r="V975">
        <v>803.01599999999996</v>
      </c>
      <c r="X975" s="4">
        <v>2</v>
      </c>
      <c r="Y975">
        <v>528.29999999999995</v>
      </c>
      <c r="Z975">
        <v>0.24</v>
      </c>
      <c r="AA975">
        <v>803.01599999999996</v>
      </c>
    </row>
    <row r="976" spans="1:27" x14ac:dyDescent="0.3">
      <c r="A976" t="s">
        <v>2783</v>
      </c>
      <c r="B976" s="2">
        <v>45667</v>
      </c>
      <c r="C976" t="s">
        <v>1358</v>
      </c>
      <c r="D976" t="s">
        <v>1551</v>
      </c>
      <c r="E976" t="s">
        <v>1759</v>
      </c>
      <c r="F976" s="4">
        <v>4</v>
      </c>
      <c r="G976">
        <v>599.85</v>
      </c>
      <c r="H976">
        <v>0.25</v>
      </c>
      <c r="I976" t="s">
        <v>1807</v>
      </c>
      <c r="J976">
        <v>1799.55</v>
      </c>
      <c r="K976" t="s">
        <v>1359</v>
      </c>
      <c r="L976">
        <v>41</v>
      </c>
      <c r="M976" t="str">
        <v>Female</v>
      </c>
      <c r="N976" t="str">
        <f>VLOOKUP(C:C,Customer_Dim!B:I,5,1)</f>
        <v>Jessicaland</v>
      </c>
      <c r="O976" t="str">
        <f>VLOOKUP(C:C,Customer_Dim!B:I,6,1)</f>
        <v>Wyoming</v>
      </c>
      <c r="P976" t="str">
        <f>VLOOKUP(C:C,Customer_Dim!B:I,7,1)</f>
        <v>USA</v>
      </c>
      <c r="Q976" t="str">
        <f>VLOOKUP(C:C,Customer_Dim!B:I,8,1)</f>
        <v>Gold</v>
      </c>
      <c r="S976">
        <v>4</v>
      </c>
      <c r="T976">
        <v>599.85</v>
      </c>
      <c r="U976">
        <v>0.25</v>
      </c>
      <c r="V976">
        <v>1799.55</v>
      </c>
      <c r="X976" s="4">
        <v>4</v>
      </c>
      <c r="Y976">
        <v>599.85</v>
      </c>
      <c r="Z976">
        <v>0.25</v>
      </c>
      <c r="AA976">
        <v>1799.55</v>
      </c>
    </row>
    <row r="977" spans="1:27" x14ac:dyDescent="0.3">
      <c r="A977" t="s">
        <v>2784</v>
      </c>
      <c r="B977" s="2">
        <v>45281</v>
      </c>
      <c r="C977" t="s">
        <v>948</v>
      </c>
      <c r="D977" t="s">
        <v>1563</v>
      </c>
      <c r="E977" t="s">
        <v>1769</v>
      </c>
      <c r="F977" s="4">
        <v>2</v>
      </c>
      <c r="G977">
        <v>61.42</v>
      </c>
      <c r="H977">
        <v>0.08</v>
      </c>
      <c r="I977" t="s">
        <v>1809</v>
      </c>
      <c r="J977">
        <v>113.0128</v>
      </c>
      <c r="K977" t="s">
        <v>949</v>
      </c>
      <c r="L977">
        <v>41</v>
      </c>
      <c r="M977" t="str">
        <v>Male</v>
      </c>
      <c r="N977" t="str">
        <f>VLOOKUP(C:C,Customer_Dim!B:I,5,1)</f>
        <v>East Johntown</v>
      </c>
      <c r="O977" t="str">
        <f>VLOOKUP(C:C,Customer_Dim!B:I,6,1)</f>
        <v>Delaware</v>
      </c>
      <c r="P977" t="str">
        <f>VLOOKUP(C:C,Customer_Dim!B:I,7,1)</f>
        <v>USA</v>
      </c>
      <c r="Q977" t="str">
        <f>VLOOKUP(C:C,Customer_Dim!B:I,8,1)</f>
        <v>Platinum</v>
      </c>
      <c r="S977">
        <v>2</v>
      </c>
      <c r="T977">
        <v>61.42</v>
      </c>
      <c r="U977">
        <v>0.08</v>
      </c>
      <c r="V977">
        <v>113.0128</v>
      </c>
      <c r="X977" s="4">
        <v>2</v>
      </c>
      <c r="Y977">
        <v>61.42</v>
      </c>
      <c r="Z977">
        <v>0.08</v>
      </c>
      <c r="AA977">
        <v>113.0128</v>
      </c>
    </row>
    <row r="978" spans="1:27" x14ac:dyDescent="0.3">
      <c r="A978" t="s">
        <v>2785</v>
      </c>
      <c r="B978" s="2">
        <v>45693</v>
      </c>
      <c r="C978" t="s">
        <v>791</v>
      </c>
      <c r="D978" t="s">
        <v>1569</v>
      </c>
      <c r="E978" t="s">
        <v>1772</v>
      </c>
      <c r="F978" s="4">
        <v>2</v>
      </c>
      <c r="G978">
        <v>466.42</v>
      </c>
      <c r="H978">
        <v>0.12</v>
      </c>
      <c r="I978" t="s">
        <v>1809</v>
      </c>
      <c r="J978">
        <v>820.89920000000006</v>
      </c>
      <c r="K978" t="s">
        <v>792</v>
      </c>
      <c r="L978">
        <v>48</v>
      </c>
      <c r="M978" t="str">
        <v>Male</v>
      </c>
      <c r="N978" t="str">
        <f>VLOOKUP(C:C,Customer_Dim!B:I,5,1)</f>
        <v>Garciamouth</v>
      </c>
      <c r="O978" t="str">
        <f>VLOOKUP(C:C,Customer_Dim!B:I,6,1)</f>
        <v>New York</v>
      </c>
      <c r="P978" t="str">
        <f>VLOOKUP(C:C,Customer_Dim!B:I,7,1)</f>
        <v>USA</v>
      </c>
      <c r="Q978" t="str">
        <f>VLOOKUP(C:C,Customer_Dim!B:I,8,1)</f>
        <v>Gold</v>
      </c>
      <c r="S978">
        <v>2</v>
      </c>
      <c r="T978">
        <v>466.42</v>
      </c>
      <c r="U978">
        <v>0.12</v>
      </c>
      <c r="V978">
        <v>820.89920000000006</v>
      </c>
      <c r="X978" s="4">
        <v>2</v>
      </c>
      <c r="Y978">
        <v>466.42</v>
      </c>
      <c r="Z978">
        <v>0.12</v>
      </c>
      <c r="AA978">
        <v>820.89920000000006</v>
      </c>
    </row>
    <row r="979" spans="1:27" x14ac:dyDescent="0.3">
      <c r="A979" t="s">
        <v>2786</v>
      </c>
      <c r="B979" s="2">
        <v>45857</v>
      </c>
      <c r="C979" t="s">
        <v>348</v>
      </c>
      <c r="D979" t="s">
        <v>1593</v>
      </c>
      <c r="E979" t="s">
        <v>1756</v>
      </c>
      <c r="F979" s="4">
        <v>4</v>
      </c>
      <c r="G979">
        <v>540.69000000000005</v>
      </c>
      <c r="H979">
        <v>0.09</v>
      </c>
      <c r="I979" t="s">
        <v>1812</v>
      </c>
      <c r="J979">
        <v>1968.1116</v>
      </c>
      <c r="K979" t="s">
        <v>349</v>
      </c>
      <c r="L979">
        <v>53</v>
      </c>
      <c r="M979" t="str">
        <v>Female</v>
      </c>
      <c r="N979" t="str">
        <f>VLOOKUP(C:C,Customer_Dim!B:I,5,1)</f>
        <v>South Dustin</v>
      </c>
      <c r="O979" t="str">
        <f>VLOOKUP(C:C,Customer_Dim!B:I,6,1)</f>
        <v>Tennessee</v>
      </c>
      <c r="P979" t="str">
        <f>VLOOKUP(C:C,Customer_Dim!B:I,7,1)</f>
        <v>USA</v>
      </c>
      <c r="Q979" t="str">
        <f>VLOOKUP(C:C,Customer_Dim!B:I,8,1)</f>
        <v>Silver</v>
      </c>
      <c r="S979">
        <v>4</v>
      </c>
      <c r="T979">
        <v>540.69000000000005</v>
      </c>
      <c r="U979">
        <v>0.09</v>
      </c>
      <c r="V979">
        <v>1968.1116</v>
      </c>
      <c r="X979" s="4">
        <v>4</v>
      </c>
      <c r="Y979">
        <v>540.69000000000005</v>
      </c>
      <c r="Z979">
        <v>0.09</v>
      </c>
      <c r="AA979">
        <v>1968.1116</v>
      </c>
    </row>
    <row r="980" spans="1:27" x14ac:dyDescent="0.3">
      <c r="A980" t="s">
        <v>2787</v>
      </c>
      <c r="B980" s="2">
        <v>45737</v>
      </c>
      <c r="C980" t="s">
        <v>933</v>
      </c>
      <c r="D980" t="s">
        <v>1569</v>
      </c>
      <c r="E980" t="s">
        <v>1780</v>
      </c>
      <c r="F980" s="4">
        <v>3</v>
      </c>
      <c r="G980">
        <v>677.46</v>
      </c>
      <c r="H980">
        <v>0.05</v>
      </c>
      <c r="I980" t="s">
        <v>1807</v>
      </c>
      <c r="J980">
        <v>1930.761</v>
      </c>
      <c r="K980" t="s">
        <v>934</v>
      </c>
      <c r="L980">
        <v>48</v>
      </c>
      <c r="M980" t="str">
        <v>Female</v>
      </c>
      <c r="N980" t="str">
        <f>VLOOKUP(C:C,Customer_Dim!B:I,5,1)</f>
        <v>New Joshuatown</v>
      </c>
      <c r="O980" t="str">
        <f>VLOOKUP(C:C,Customer_Dim!B:I,6,1)</f>
        <v>Maine</v>
      </c>
      <c r="P980" t="str">
        <f>VLOOKUP(C:C,Customer_Dim!B:I,7,1)</f>
        <v>USA</v>
      </c>
      <c r="Q980" t="str">
        <f>VLOOKUP(C:C,Customer_Dim!B:I,8,1)</f>
        <v>Platinum</v>
      </c>
      <c r="S980">
        <v>3</v>
      </c>
      <c r="T980">
        <v>677.46</v>
      </c>
      <c r="U980">
        <v>0.05</v>
      </c>
      <c r="V980">
        <v>1930.761</v>
      </c>
      <c r="X980" s="4">
        <v>3</v>
      </c>
      <c r="Y980">
        <v>677.46</v>
      </c>
      <c r="Z980">
        <v>0.05</v>
      </c>
      <c r="AA980">
        <v>1930.761</v>
      </c>
    </row>
    <row r="981" spans="1:27" x14ac:dyDescent="0.3">
      <c r="A981" t="s">
        <v>2788</v>
      </c>
      <c r="B981" s="2">
        <v>45771</v>
      </c>
      <c r="C981" t="s">
        <v>1021</v>
      </c>
      <c r="D981" t="s">
        <v>1573</v>
      </c>
      <c r="E981" t="s">
        <v>1740</v>
      </c>
      <c r="F981" s="4">
        <v>3</v>
      </c>
      <c r="G981">
        <v>614.63</v>
      </c>
      <c r="H981">
        <v>0.06</v>
      </c>
      <c r="I981" t="s">
        <v>1809</v>
      </c>
      <c r="J981">
        <v>1733.2565999999999</v>
      </c>
      <c r="K981" t="s">
        <v>1022</v>
      </c>
      <c r="L981">
        <v>62</v>
      </c>
      <c r="M981" t="str">
        <v>Female</v>
      </c>
      <c r="N981" t="str">
        <f>VLOOKUP(C:C,Customer_Dim!B:I,5,1)</f>
        <v>Jessicaport</v>
      </c>
      <c r="O981" t="str">
        <f>VLOOKUP(C:C,Customer_Dim!B:I,6,1)</f>
        <v>Minnesota</v>
      </c>
      <c r="P981" t="str">
        <f>VLOOKUP(C:C,Customer_Dim!B:I,7,1)</f>
        <v>USA</v>
      </c>
      <c r="Q981" t="str">
        <f>VLOOKUP(C:C,Customer_Dim!B:I,8,1)</f>
        <v>Platinum</v>
      </c>
      <c r="S981">
        <v>3</v>
      </c>
      <c r="T981">
        <v>614.63</v>
      </c>
      <c r="U981">
        <v>0.06</v>
      </c>
      <c r="V981">
        <v>1733.2565999999999</v>
      </c>
      <c r="X981" s="4">
        <v>3</v>
      </c>
      <c r="Y981">
        <v>614.63</v>
      </c>
      <c r="Z981">
        <v>0.06</v>
      </c>
      <c r="AA981">
        <v>1733.2565999999999</v>
      </c>
    </row>
    <row r="982" spans="1:27" x14ac:dyDescent="0.3">
      <c r="A982" t="s">
        <v>2789</v>
      </c>
      <c r="B982" s="2">
        <v>45272</v>
      </c>
      <c r="C982" t="s">
        <v>740</v>
      </c>
      <c r="D982" t="s">
        <v>1663</v>
      </c>
      <c r="E982" t="s">
        <v>1765</v>
      </c>
      <c r="F982" s="4">
        <v>4</v>
      </c>
      <c r="G982">
        <v>649.52</v>
      </c>
      <c r="H982">
        <v>0.11</v>
      </c>
      <c r="I982" t="s">
        <v>1807</v>
      </c>
      <c r="J982">
        <v>2312.2912000000001</v>
      </c>
      <c r="K982" t="s">
        <v>741</v>
      </c>
      <c r="L982">
        <v>59</v>
      </c>
      <c r="M982" t="str">
        <v>Male</v>
      </c>
      <c r="N982" t="str">
        <f>VLOOKUP(C:C,Customer_Dim!B:I,5,1)</f>
        <v>Tammyton</v>
      </c>
      <c r="O982" t="str">
        <f>VLOOKUP(C:C,Customer_Dim!B:I,6,1)</f>
        <v>New Jersey</v>
      </c>
      <c r="P982" t="str">
        <f>VLOOKUP(C:C,Customer_Dim!B:I,7,1)</f>
        <v>USA</v>
      </c>
      <c r="Q982" t="str">
        <f>VLOOKUP(C:C,Customer_Dim!B:I,8,1)</f>
        <v>Platinum</v>
      </c>
      <c r="S982">
        <v>4</v>
      </c>
      <c r="T982">
        <v>649.52</v>
      </c>
      <c r="U982">
        <v>0.11</v>
      </c>
      <c r="V982">
        <v>2312.2912000000001</v>
      </c>
      <c r="X982" s="4">
        <v>4</v>
      </c>
      <c r="Y982">
        <v>649.52</v>
      </c>
      <c r="Z982">
        <v>0.11</v>
      </c>
      <c r="AA982">
        <v>2312.2912000000001</v>
      </c>
    </row>
    <row r="983" spans="1:27" x14ac:dyDescent="0.3">
      <c r="A983" t="s">
        <v>2790</v>
      </c>
      <c r="B983" s="2">
        <v>45481</v>
      </c>
      <c r="C983" t="s">
        <v>1361</v>
      </c>
      <c r="D983" t="s">
        <v>1701</v>
      </c>
      <c r="E983" t="s">
        <v>1765</v>
      </c>
      <c r="F983" s="4">
        <v>2</v>
      </c>
      <c r="G983">
        <v>943.93</v>
      </c>
      <c r="H983">
        <v>0.22</v>
      </c>
      <c r="I983" t="s">
        <v>1809</v>
      </c>
      <c r="J983">
        <v>1472.5308</v>
      </c>
      <c r="K983" t="s">
        <v>1362</v>
      </c>
      <c r="L983">
        <v>35</v>
      </c>
      <c r="M983" t="str">
        <v>Male</v>
      </c>
      <c r="N983" t="str">
        <f>VLOOKUP(C:C,Customer_Dim!B:I,5,1)</f>
        <v>Mcfarlandmouth</v>
      </c>
      <c r="O983" t="str">
        <f>VLOOKUP(C:C,Customer_Dim!B:I,6,1)</f>
        <v>Virginia</v>
      </c>
      <c r="P983" t="str">
        <f>VLOOKUP(C:C,Customer_Dim!B:I,7,1)</f>
        <v>USA</v>
      </c>
      <c r="Q983" t="str">
        <f>VLOOKUP(C:C,Customer_Dim!B:I,8,1)</f>
        <v>Platinum</v>
      </c>
      <c r="S983">
        <v>2</v>
      </c>
      <c r="T983">
        <v>943.93</v>
      </c>
      <c r="U983">
        <v>0.22</v>
      </c>
      <c r="V983">
        <v>1472.5308</v>
      </c>
      <c r="X983" s="4">
        <v>2</v>
      </c>
      <c r="Y983">
        <v>943.93</v>
      </c>
      <c r="Z983">
        <v>0.22</v>
      </c>
      <c r="AA983">
        <v>1472.5308</v>
      </c>
    </row>
    <row r="984" spans="1:27" x14ac:dyDescent="0.3">
      <c r="A984" t="s">
        <v>2791</v>
      </c>
      <c r="B984" s="2">
        <v>45228</v>
      </c>
      <c r="C984" t="s">
        <v>545</v>
      </c>
      <c r="D984" t="s">
        <v>1593</v>
      </c>
      <c r="E984" t="s">
        <v>1765</v>
      </c>
      <c r="F984" s="4">
        <v>4</v>
      </c>
      <c r="G984">
        <v>538.73</v>
      </c>
      <c r="H984">
        <v>0.03</v>
      </c>
      <c r="I984" t="s">
        <v>1807</v>
      </c>
      <c r="J984">
        <v>2090.2723999999998</v>
      </c>
      <c r="K984" t="s">
        <v>546</v>
      </c>
      <c r="L984">
        <v>25</v>
      </c>
      <c r="M984" t="str">
        <v>Female</v>
      </c>
      <c r="N984" t="str">
        <f>VLOOKUP(C:C,Customer_Dim!B:I,5,1)</f>
        <v>Carolview</v>
      </c>
      <c r="O984" t="str">
        <f>VLOOKUP(C:C,Customer_Dim!B:I,6,1)</f>
        <v>Illinois</v>
      </c>
      <c r="P984" t="str">
        <f>VLOOKUP(C:C,Customer_Dim!B:I,7,1)</f>
        <v>USA</v>
      </c>
      <c r="Q984" t="str">
        <f>VLOOKUP(C:C,Customer_Dim!B:I,8,1)</f>
        <v>Platinum</v>
      </c>
      <c r="S984">
        <v>4</v>
      </c>
      <c r="T984">
        <v>538.73</v>
      </c>
      <c r="U984">
        <v>0.03</v>
      </c>
      <c r="V984">
        <v>2090.2723999999998</v>
      </c>
      <c r="X984" s="4">
        <v>4</v>
      </c>
      <c r="Y984">
        <v>538.73</v>
      </c>
      <c r="Z984">
        <v>0.03</v>
      </c>
      <c r="AA984">
        <v>2090.2723999999998</v>
      </c>
    </row>
    <row r="985" spans="1:27" x14ac:dyDescent="0.3">
      <c r="A985" t="s">
        <v>2792</v>
      </c>
      <c r="B985" s="2">
        <v>45432</v>
      </c>
      <c r="C985" t="s">
        <v>313</v>
      </c>
      <c r="D985" t="s">
        <v>1663</v>
      </c>
      <c r="E985" t="s">
        <v>1765</v>
      </c>
      <c r="F985" s="4">
        <v>2</v>
      </c>
      <c r="G985">
        <v>853.93</v>
      </c>
      <c r="H985">
        <v>0.01</v>
      </c>
      <c r="I985" t="s">
        <v>1809</v>
      </c>
      <c r="J985">
        <v>1690.7814000000001</v>
      </c>
      <c r="K985" t="s">
        <v>314</v>
      </c>
      <c r="L985">
        <v>43</v>
      </c>
      <c r="M985" t="str">
        <v>Male</v>
      </c>
      <c r="N985" t="str">
        <f>VLOOKUP(C:C,Customer_Dim!B:I,5,1)</f>
        <v>Ashleystad</v>
      </c>
      <c r="O985" t="str">
        <f>VLOOKUP(C:C,Customer_Dim!B:I,6,1)</f>
        <v>Arkansas</v>
      </c>
      <c r="P985" t="str">
        <f>VLOOKUP(C:C,Customer_Dim!B:I,7,1)</f>
        <v>USA</v>
      </c>
      <c r="Q985" t="str">
        <f>VLOOKUP(C:C,Customer_Dim!B:I,8,1)</f>
        <v>Silver</v>
      </c>
      <c r="S985">
        <v>2</v>
      </c>
      <c r="T985">
        <v>853.93</v>
      </c>
      <c r="U985">
        <v>0.01</v>
      </c>
      <c r="V985">
        <v>1690.7814000000001</v>
      </c>
      <c r="X985" s="4">
        <v>2</v>
      </c>
      <c r="Y985">
        <v>853.93</v>
      </c>
      <c r="Z985">
        <v>0.01</v>
      </c>
      <c r="AA985">
        <v>1690.7814000000001</v>
      </c>
    </row>
    <row r="986" spans="1:27" x14ac:dyDescent="0.3">
      <c r="A986" t="s">
        <v>2793</v>
      </c>
      <c r="B986" s="2">
        <v>45914</v>
      </c>
      <c r="C986" t="s">
        <v>1493</v>
      </c>
      <c r="D986" t="s">
        <v>1589</v>
      </c>
      <c r="E986" t="s">
        <v>1752</v>
      </c>
      <c r="F986" s="4">
        <v>4</v>
      </c>
      <c r="G986">
        <v>465.42</v>
      </c>
      <c r="H986">
        <v>0.26</v>
      </c>
      <c r="I986" t="s">
        <v>1812</v>
      </c>
      <c r="J986">
        <v>1377.6432</v>
      </c>
      <c r="K986" t="s">
        <v>1494</v>
      </c>
      <c r="L986">
        <v>59</v>
      </c>
      <c r="M986" t="str">
        <v>Female</v>
      </c>
      <c r="N986" t="str">
        <f>VLOOKUP(C:C,Customer_Dim!B:I,5,1)</f>
        <v>Kellyberg</v>
      </c>
      <c r="O986" t="str">
        <f>VLOOKUP(C:C,Customer_Dim!B:I,6,1)</f>
        <v>South Dakota</v>
      </c>
      <c r="P986" t="str">
        <f>VLOOKUP(C:C,Customer_Dim!B:I,7,1)</f>
        <v>USA</v>
      </c>
      <c r="Q986" t="str">
        <f>VLOOKUP(C:C,Customer_Dim!B:I,8,1)</f>
        <v>Gold</v>
      </c>
      <c r="S986">
        <v>4</v>
      </c>
      <c r="T986">
        <v>465.42</v>
      </c>
      <c r="U986">
        <v>0.26</v>
      </c>
      <c r="V986">
        <v>1377.6432</v>
      </c>
      <c r="X986" s="4">
        <v>4</v>
      </c>
      <c r="Y986">
        <v>465.42</v>
      </c>
      <c r="Z986">
        <v>0.26</v>
      </c>
      <c r="AA986">
        <v>1377.6432</v>
      </c>
    </row>
    <row r="987" spans="1:27" x14ac:dyDescent="0.3">
      <c r="A987" t="s">
        <v>2794</v>
      </c>
      <c r="B987" s="2">
        <v>45758</v>
      </c>
      <c r="C987" t="s">
        <v>205</v>
      </c>
      <c r="D987" t="s">
        <v>1529</v>
      </c>
      <c r="E987" t="s">
        <v>1775</v>
      </c>
      <c r="F987" s="4">
        <v>4</v>
      </c>
      <c r="G987">
        <v>880.26</v>
      </c>
      <c r="H987">
        <v>0.11</v>
      </c>
      <c r="I987" t="s">
        <v>1812</v>
      </c>
      <c r="J987">
        <v>3133.7256000000002</v>
      </c>
      <c r="K987" t="s">
        <v>206</v>
      </c>
      <c r="L987">
        <v>49</v>
      </c>
      <c r="M987" t="str">
        <v>Female</v>
      </c>
      <c r="N987" t="str">
        <f>VLOOKUP(C:C,Customer_Dim!B:I,5,1)</f>
        <v>Edwardsfort</v>
      </c>
      <c r="O987" t="str">
        <f>VLOOKUP(C:C,Customer_Dim!B:I,6,1)</f>
        <v>Minnesota</v>
      </c>
      <c r="P987" t="str">
        <f>VLOOKUP(C:C,Customer_Dim!B:I,7,1)</f>
        <v>USA</v>
      </c>
      <c r="Q987" t="str">
        <f>VLOOKUP(C:C,Customer_Dim!B:I,8,1)</f>
        <v>Bronze</v>
      </c>
      <c r="S987">
        <v>4</v>
      </c>
      <c r="T987">
        <v>880.26</v>
      </c>
      <c r="U987">
        <v>0.11</v>
      </c>
      <c r="V987">
        <v>3133.7256000000002</v>
      </c>
      <c r="X987" s="4">
        <v>4</v>
      </c>
      <c r="Y987">
        <v>880.26</v>
      </c>
      <c r="Z987">
        <v>0.11</v>
      </c>
      <c r="AA987">
        <v>3133.7256000000002</v>
      </c>
    </row>
    <row r="988" spans="1:27" x14ac:dyDescent="0.3">
      <c r="A988" t="s">
        <v>2795</v>
      </c>
      <c r="B988" s="2">
        <v>45429</v>
      </c>
      <c r="C988" t="s">
        <v>1470</v>
      </c>
      <c r="D988" t="s">
        <v>1633</v>
      </c>
      <c r="E988" t="s">
        <v>1775</v>
      </c>
      <c r="F988" s="4">
        <v>3</v>
      </c>
      <c r="G988">
        <v>461.02</v>
      </c>
      <c r="H988">
        <v>0.28999999999999998</v>
      </c>
      <c r="I988" t="s">
        <v>1809</v>
      </c>
      <c r="J988">
        <v>981.97259999999994</v>
      </c>
      <c r="K988" t="s">
        <v>1259</v>
      </c>
      <c r="L988">
        <v>32</v>
      </c>
      <c r="M988" t="str">
        <v>Male</v>
      </c>
      <c r="N988" t="str">
        <f>VLOOKUP(C:C,Customer_Dim!B:I,5,1)</f>
        <v>East Rodney</v>
      </c>
      <c r="O988" t="str">
        <f>VLOOKUP(C:C,Customer_Dim!B:I,6,1)</f>
        <v>Nevada</v>
      </c>
      <c r="P988" t="str">
        <f>VLOOKUP(C:C,Customer_Dim!B:I,7,1)</f>
        <v>USA</v>
      </c>
      <c r="Q988" t="str">
        <f>VLOOKUP(C:C,Customer_Dim!B:I,8,1)</f>
        <v>Gold</v>
      </c>
      <c r="S988">
        <v>3</v>
      </c>
      <c r="T988">
        <v>461.02</v>
      </c>
      <c r="U988">
        <v>0.28999999999999998</v>
      </c>
      <c r="V988">
        <v>981.97259999999994</v>
      </c>
      <c r="X988" s="4">
        <v>3</v>
      </c>
      <c r="Y988">
        <v>461.02</v>
      </c>
      <c r="Z988">
        <v>0.28999999999999998</v>
      </c>
      <c r="AA988">
        <v>981.97259999999994</v>
      </c>
    </row>
    <row r="989" spans="1:27" x14ac:dyDescent="0.3">
      <c r="A989" t="s">
        <v>2796</v>
      </c>
      <c r="B989" s="2">
        <v>45578</v>
      </c>
      <c r="C989" t="s">
        <v>110</v>
      </c>
      <c r="D989" t="s">
        <v>1581</v>
      </c>
      <c r="E989" t="s">
        <v>1780</v>
      </c>
      <c r="F989" s="4">
        <v>1</v>
      </c>
      <c r="G989">
        <v>531.99</v>
      </c>
      <c r="H989">
        <v>0.17</v>
      </c>
      <c r="I989" t="s">
        <v>1809</v>
      </c>
      <c r="J989">
        <v>441.55169999999998</v>
      </c>
      <c r="K989" t="s">
        <v>111</v>
      </c>
      <c r="L989">
        <v>31</v>
      </c>
      <c r="M989" t="str">
        <v>Male</v>
      </c>
      <c r="N989" t="str">
        <f>VLOOKUP(C:C,Customer_Dim!B:I,5,1)</f>
        <v>East Michellemouth</v>
      </c>
      <c r="O989" t="str">
        <f>VLOOKUP(C:C,Customer_Dim!B:I,6,1)</f>
        <v>Missouri</v>
      </c>
      <c r="P989" t="str">
        <f>VLOOKUP(C:C,Customer_Dim!B:I,7,1)</f>
        <v>USA</v>
      </c>
      <c r="Q989" t="str">
        <f>VLOOKUP(C:C,Customer_Dim!B:I,8,1)</f>
        <v>Gold</v>
      </c>
      <c r="S989">
        <v>1</v>
      </c>
      <c r="T989">
        <v>531.99</v>
      </c>
      <c r="U989">
        <v>0.17</v>
      </c>
      <c r="V989">
        <v>441.55169999999998</v>
      </c>
      <c r="X989" s="4">
        <v>1</v>
      </c>
      <c r="Y989">
        <v>531.99</v>
      </c>
      <c r="Z989">
        <v>0.17</v>
      </c>
      <c r="AA989">
        <v>441.55169999999998</v>
      </c>
    </row>
    <row r="990" spans="1:27" x14ac:dyDescent="0.3">
      <c r="A990" t="s">
        <v>2797</v>
      </c>
      <c r="B990" s="2">
        <v>45486</v>
      </c>
      <c r="C990" t="s">
        <v>27</v>
      </c>
      <c r="D990" t="s">
        <v>1625</v>
      </c>
      <c r="E990" t="s">
        <v>1790</v>
      </c>
      <c r="F990" s="4">
        <v>2</v>
      </c>
      <c r="G990">
        <v>274.08999999999997</v>
      </c>
      <c r="H990">
        <v>0.13</v>
      </c>
      <c r="I990" t="s">
        <v>1809</v>
      </c>
      <c r="J990">
        <v>476.91660000000002</v>
      </c>
      <c r="K990" t="s">
        <v>28</v>
      </c>
      <c r="L990">
        <v>24</v>
      </c>
      <c r="M990" t="str">
        <v>Male</v>
      </c>
      <c r="N990" t="str">
        <f>VLOOKUP(C:C,Customer_Dim!B:I,5,1)</f>
        <v>Nicholasshire</v>
      </c>
      <c r="O990" t="str">
        <f>VLOOKUP(C:C,Customer_Dim!B:I,6,1)</f>
        <v>California</v>
      </c>
      <c r="P990" t="str">
        <f>VLOOKUP(C:C,Customer_Dim!B:I,7,1)</f>
        <v>USA</v>
      </c>
      <c r="Q990" t="str">
        <f>VLOOKUP(C:C,Customer_Dim!B:I,8,1)</f>
        <v>Silver</v>
      </c>
      <c r="S990">
        <v>2</v>
      </c>
      <c r="T990">
        <v>274.08999999999997</v>
      </c>
      <c r="U990">
        <v>0.13</v>
      </c>
      <c r="V990">
        <v>476.91660000000002</v>
      </c>
      <c r="X990" s="4">
        <v>2</v>
      </c>
      <c r="Y990">
        <v>274.08999999999997</v>
      </c>
      <c r="Z990">
        <v>0.13</v>
      </c>
      <c r="AA990">
        <v>476.91660000000002</v>
      </c>
    </row>
    <row r="991" spans="1:27" x14ac:dyDescent="0.3">
      <c r="A991" t="s">
        <v>2798</v>
      </c>
      <c r="B991" s="2">
        <v>45694</v>
      </c>
      <c r="C991" t="s">
        <v>1355</v>
      </c>
      <c r="D991" t="s">
        <v>1707</v>
      </c>
      <c r="E991" t="s">
        <v>1772</v>
      </c>
      <c r="F991" s="4">
        <v>1</v>
      </c>
      <c r="G991">
        <v>66.14</v>
      </c>
      <c r="H991">
        <v>0.14000000000000001</v>
      </c>
      <c r="I991" t="s">
        <v>1812</v>
      </c>
      <c r="J991">
        <v>56.880400000000002</v>
      </c>
      <c r="K991" t="s">
        <v>1356</v>
      </c>
      <c r="L991">
        <v>19</v>
      </c>
      <c r="M991" t="str">
        <v>Male</v>
      </c>
      <c r="N991" t="str">
        <f>VLOOKUP(C:C,Customer_Dim!B:I,5,1)</f>
        <v>New Donnabury</v>
      </c>
      <c r="O991" t="str">
        <f>VLOOKUP(C:C,Customer_Dim!B:I,6,1)</f>
        <v>Texas</v>
      </c>
      <c r="P991" t="str">
        <f>VLOOKUP(C:C,Customer_Dim!B:I,7,1)</f>
        <v>USA</v>
      </c>
      <c r="Q991" t="str">
        <f>VLOOKUP(C:C,Customer_Dim!B:I,8,1)</f>
        <v>Silver</v>
      </c>
      <c r="S991">
        <v>1</v>
      </c>
      <c r="T991">
        <v>66.14</v>
      </c>
      <c r="U991">
        <v>0.14000000000000001</v>
      </c>
      <c r="V991">
        <v>56.880400000000002</v>
      </c>
      <c r="X991" s="4">
        <v>1</v>
      </c>
      <c r="Y991">
        <v>66.14</v>
      </c>
      <c r="Z991">
        <v>0.14000000000000001</v>
      </c>
      <c r="AA991">
        <v>56.880400000000002</v>
      </c>
    </row>
    <row r="992" spans="1:27" x14ac:dyDescent="0.3">
      <c r="A992" t="s">
        <v>2799</v>
      </c>
      <c r="B992" s="2">
        <v>45875</v>
      </c>
      <c r="C992" t="s">
        <v>278</v>
      </c>
      <c r="D992" t="s">
        <v>1571</v>
      </c>
      <c r="E992" t="s">
        <v>1769</v>
      </c>
      <c r="F992" s="4">
        <v>3</v>
      </c>
      <c r="G992">
        <v>955.82</v>
      </c>
      <c r="H992">
        <v>0.16</v>
      </c>
      <c r="I992" t="s">
        <v>1812</v>
      </c>
      <c r="J992">
        <v>2408.6664000000001</v>
      </c>
      <c r="K992" t="s">
        <v>279</v>
      </c>
      <c r="L992">
        <v>21</v>
      </c>
      <c r="M992" t="str">
        <v>Male</v>
      </c>
      <c r="N992" t="str">
        <f>VLOOKUP(C:C,Customer_Dim!B:I,5,1)</f>
        <v>North Valeriemouth</v>
      </c>
      <c r="O992" t="str">
        <f>VLOOKUP(C:C,Customer_Dim!B:I,6,1)</f>
        <v>Vermont</v>
      </c>
      <c r="P992" t="str">
        <f>VLOOKUP(C:C,Customer_Dim!B:I,7,1)</f>
        <v>USA</v>
      </c>
      <c r="Q992" t="str">
        <f>VLOOKUP(C:C,Customer_Dim!B:I,8,1)</f>
        <v>Gold</v>
      </c>
      <c r="S992">
        <v>3</v>
      </c>
      <c r="T992">
        <v>955.82</v>
      </c>
      <c r="U992">
        <v>0.16</v>
      </c>
      <c r="V992">
        <v>2408.6664000000001</v>
      </c>
      <c r="X992" s="4">
        <v>3</v>
      </c>
      <c r="Y992">
        <v>955.82</v>
      </c>
      <c r="Z992">
        <v>0.16</v>
      </c>
      <c r="AA992">
        <v>2408.6664000000001</v>
      </c>
    </row>
    <row r="993" spans="1:27" x14ac:dyDescent="0.3">
      <c r="A993" t="s">
        <v>2800</v>
      </c>
      <c r="B993" s="2">
        <v>45432</v>
      </c>
      <c r="C993" t="s">
        <v>995</v>
      </c>
      <c r="D993" t="s">
        <v>1575</v>
      </c>
      <c r="E993" t="s">
        <v>1777</v>
      </c>
      <c r="F993" s="4">
        <v>1</v>
      </c>
      <c r="G993">
        <v>904.92</v>
      </c>
      <c r="H993">
        <v>0.13</v>
      </c>
      <c r="I993" t="s">
        <v>1807</v>
      </c>
      <c r="J993">
        <v>787.28039999999999</v>
      </c>
      <c r="K993" t="s">
        <v>996</v>
      </c>
      <c r="L993">
        <v>34</v>
      </c>
      <c r="M993" t="str">
        <v>Female</v>
      </c>
      <c r="N993" t="str">
        <f>VLOOKUP(C:C,Customer_Dim!B:I,5,1)</f>
        <v>West Mathewside</v>
      </c>
      <c r="O993" t="str">
        <f>VLOOKUP(C:C,Customer_Dim!B:I,6,1)</f>
        <v>Mississippi</v>
      </c>
      <c r="P993" t="str">
        <f>VLOOKUP(C:C,Customer_Dim!B:I,7,1)</f>
        <v>USA</v>
      </c>
      <c r="Q993" t="str">
        <f>VLOOKUP(C:C,Customer_Dim!B:I,8,1)</f>
        <v>Platinum</v>
      </c>
      <c r="S993">
        <v>1</v>
      </c>
      <c r="T993">
        <v>904.92</v>
      </c>
      <c r="U993">
        <v>0.13</v>
      </c>
      <c r="V993">
        <v>787.28039999999999</v>
      </c>
      <c r="X993" s="4">
        <v>1</v>
      </c>
      <c r="Y993">
        <v>904.92</v>
      </c>
      <c r="Z993">
        <v>0.13</v>
      </c>
      <c r="AA993">
        <v>787.28039999999999</v>
      </c>
    </row>
    <row r="994" spans="1:27" x14ac:dyDescent="0.3">
      <c r="A994" t="s">
        <v>2801</v>
      </c>
      <c r="B994" s="2">
        <v>45575</v>
      </c>
      <c r="C994" t="s">
        <v>8</v>
      </c>
      <c r="D994" t="s">
        <v>1611</v>
      </c>
      <c r="E994" t="s">
        <v>1762</v>
      </c>
      <c r="F994" s="4">
        <v>3</v>
      </c>
      <c r="G994">
        <v>490.02</v>
      </c>
      <c r="H994">
        <v>0.26</v>
      </c>
      <c r="I994" t="s">
        <v>1807</v>
      </c>
      <c r="J994">
        <v>1087.8444</v>
      </c>
      <c r="K994" t="s">
        <v>3952</v>
      </c>
      <c r="L994" t="e">
        <v>#N/A</v>
      </c>
      <c r="M994" t="e">
        <v>#N/A</v>
      </c>
      <c r="N994" t="str">
        <f>VLOOKUP(C:C,Customer_Dim!B:I,5,1)</f>
        <v>Donaldton</v>
      </c>
      <c r="O994" t="str">
        <f>VLOOKUP(C:C,Customer_Dim!B:I,6,1)</f>
        <v>North Carolina</v>
      </c>
      <c r="P994" t="str">
        <f>VLOOKUP(C:C,Customer_Dim!B:I,7,1)</f>
        <v>USA</v>
      </c>
      <c r="Q994" t="str">
        <f>VLOOKUP(C:C,Customer_Dim!B:I,8,1)</f>
        <v>Platinum</v>
      </c>
      <c r="S994">
        <v>3</v>
      </c>
      <c r="T994">
        <v>490.02</v>
      </c>
      <c r="U994">
        <v>0.26</v>
      </c>
      <c r="V994">
        <v>1087.8444</v>
      </c>
      <c r="X994" s="4">
        <v>3</v>
      </c>
      <c r="Y994">
        <v>490.02</v>
      </c>
      <c r="Z994">
        <v>0.26</v>
      </c>
      <c r="AA994">
        <v>1087.8444</v>
      </c>
    </row>
    <row r="995" spans="1:27" x14ac:dyDescent="0.3">
      <c r="A995" t="s">
        <v>2802</v>
      </c>
      <c r="B995" s="2">
        <v>45340</v>
      </c>
      <c r="C995" t="s">
        <v>1123</v>
      </c>
      <c r="D995" t="s">
        <v>1569</v>
      </c>
      <c r="E995" t="s">
        <v>1759</v>
      </c>
      <c r="F995" s="4">
        <v>2</v>
      </c>
      <c r="G995">
        <v>957.54</v>
      </c>
      <c r="H995">
        <v>0.1</v>
      </c>
      <c r="I995" t="s">
        <v>1812</v>
      </c>
      <c r="J995">
        <v>1723.5719999999999</v>
      </c>
      <c r="K995" t="s">
        <v>1124</v>
      </c>
      <c r="L995">
        <v>58</v>
      </c>
      <c r="M995" t="str">
        <v>Male</v>
      </c>
      <c r="N995" t="str">
        <f>VLOOKUP(C:C,Customer_Dim!B:I,5,1)</f>
        <v>Murphytown</v>
      </c>
      <c r="O995" t="str">
        <f>VLOOKUP(C:C,Customer_Dim!B:I,6,1)</f>
        <v>Ohio</v>
      </c>
      <c r="P995" t="str">
        <f>VLOOKUP(C:C,Customer_Dim!B:I,7,1)</f>
        <v>USA</v>
      </c>
      <c r="Q995" t="str">
        <f>VLOOKUP(C:C,Customer_Dim!B:I,8,1)</f>
        <v>Bronze</v>
      </c>
      <c r="S995">
        <v>2</v>
      </c>
      <c r="T995">
        <v>957.54</v>
      </c>
      <c r="U995">
        <v>0.1</v>
      </c>
      <c r="V995">
        <v>1723.5719999999999</v>
      </c>
      <c r="X995" s="4">
        <v>2</v>
      </c>
      <c r="Y995">
        <v>957.54</v>
      </c>
      <c r="Z995">
        <v>0.1</v>
      </c>
      <c r="AA995">
        <v>1723.5719999999999</v>
      </c>
    </row>
    <row r="996" spans="1:27" x14ac:dyDescent="0.3">
      <c r="A996" t="s">
        <v>2803</v>
      </c>
      <c r="B996" s="2">
        <v>45926</v>
      </c>
      <c r="C996" t="s">
        <v>1024</v>
      </c>
      <c r="D996" t="s">
        <v>1729</v>
      </c>
      <c r="E996" t="s">
        <v>1780</v>
      </c>
      <c r="F996" s="4">
        <v>2</v>
      </c>
      <c r="G996">
        <v>314.39999999999998</v>
      </c>
      <c r="H996">
        <v>7.0000000000000007E-2</v>
      </c>
      <c r="I996" t="s">
        <v>1809</v>
      </c>
      <c r="J996">
        <v>584.78399999999988</v>
      </c>
      <c r="K996" t="s">
        <v>1025</v>
      </c>
      <c r="L996">
        <v>54</v>
      </c>
      <c r="M996" t="str">
        <v>Male</v>
      </c>
      <c r="N996" t="str">
        <f>VLOOKUP(C:C,Customer_Dim!B:I,5,1)</f>
        <v>Tiffanyshire</v>
      </c>
      <c r="O996" t="str">
        <f>VLOOKUP(C:C,Customer_Dim!B:I,6,1)</f>
        <v>Minnesota</v>
      </c>
      <c r="P996" t="str">
        <f>VLOOKUP(C:C,Customer_Dim!B:I,7,1)</f>
        <v>USA</v>
      </c>
      <c r="Q996" t="str">
        <f>VLOOKUP(C:C,Customer_Dim!B:I,8,1)</f>
        <v>Bronze</v>
      </c>
      <c r="S996">
        <v>2</v>
      </c>
      <c r="T996">
        <v>314.39999999999998</v>
      </c>
      <c r="U996">
        <v>7.0000000000000007E-2</v>
      </c>
      <c r="V996">
        <v>584.78399999999988</v>
      </c>
      <c r="X996" s="4">
        <v>2</v>
      </c>
      <c r="Y996">
        <v>314.39999999999998</v>
      </c>
      <c r="Z996">
        <v>7.0000000000000007E-2</v>
      </c>
      <c r="AA996">
        <v>584.78399999999988</v>
      </c>
    </row>
    <row r="997" spans="1:27" x14ac:dyDescent="0.3">
      <c r="A997" t="s">
        <v>2804</v>
      </c>
      <c r="B997" s="2">
        <v>45373</v>
      </c>
      <c r="C997" t="s">
        <v>1216</v>
      </c>
      <c r="D997" t="s">
        <v>1579</v>
      </c>
      <c r="E997" t="s">
        <v>1759</v>
      </c>
      <c r="F997" s="4">
        <v>3</v>
      </c>
      <c r="G997">
        <v>480.11</v>
      </c>
      <c r="H997">
        <v>0.11</v>
      </c>
      <c r="I997" t="s">
        <v>1809</v>
      </c>
      <c r="J997">
        <v>1281.8937000000001</v>
      </c>
      <c r="K997" t="s">
        <v>1217</v>
      </c>
      <c r="L997">
        <v>50</v>
      </c>
      <c r="M997" t="str">
        <v>Male</v>
      </c>
      <c r="N997" t="str">
        <f>VLOOKUP(C:C,Customer_Dim!B:I,5,1)</f>
        <v>Cannonberg</v>
      </c>
      <c r="O997" t="str">
        <f>VLOOKUP(C:C,Customer_Dim!B:I,6,1)</f>
        <v>Connecticut</v>
      </c>
      <c r="P997" t="str">
        <f>VLOOKUP(C:C,Customer_Dim!B:I,7,1)</f>
        <v>USA</v>
      </c>
      <c r="Q997" t="str">
        <f>VLOOKUP(C:C,Customer_Dim!B:I,8,1)</f>
        <v>Bronze</v>
      </c>
      <c r="S997">
        <v>3</v>
      </c>
      <c r="T997">
        <v>480.11</v>
      </c>
      <c r="U997">
        <v>0.11</v>
      </c>
      <c r="V997">
        <v>1281.8937000000001</v>
      </c>
      <c r="X997" s="4">
        <v>3</v>
      </c>
      <c r="Y997">
        <v>480.11</v>
      </c>
      <c r="Z997">
        <v>0.11</v>
      </c>
      <c r="AA997">
        <v>1281.8937000000001</v>
      </c>
    </row>
    <row r="998" spans="1:27" x14ac:dyDescent="0.3">
      <c r="A998" t="s">
        <v>2805</v>
      </c>
      <c r="B998" s="2">
        <v>45579</v>
      </c>
      <c r="C998" t="s">
        <v>1198</v>
      </c>
      <c r="D998" t="s">
        <v>1627</v>
      </c>
      <c r="E998" t="s">
        <v>1759</v>
      </c>
      <c r="F998" s="4">
        <v>4</v>
      </c>
      <c r="G998">
        <v>826.55</v>
      </c>
      <c r="H998">
        <v>0.28000000000000003</v>
      </c>
      <c r="I998" t="s">
        <v>1807</v>
      </c>
      <c r="J998">
        <v>2380.4639999999999</v>
      </c>
      <c r="K998" t="s">
        <v>1199</v>
      </c>
      <c r="L998">
        <v>50</v>
      </c>
      <c r="M998" t="str">
        <v>Male</v>
      </c>
      <c r="N998" t="str">
        <f>VLOOKUP(C:C,Customer_Dim!B:I,5,1)</f>
        <v>Stevensshire</v>
      </c>
      <c r="O998" t="str">
        <f>VLOOKUP(C:C,Customer_Dim!B:I,6,1)</f>
        <v>Missouri</v>
      </c>
      <c r="P998" t="str">
        <f>VLOOKUP(C:C,Customer_Dim!B:I,7,1)</f>
        <v>USA</v>
      </c>
      <c r="Q998" t="str">
        <f>VLOOKUP(C:C,Customer_Dim!B:I,8,1)</f>
        <v>Platinum</v>
      </c>
      <c r="S998">
        <v>4</v>
      </c>
      <c r="T998">
        <v>826.55</v>
      </c>
      <c r="U998">
        <v>0.28000000000000003</v>
      </c>
      <c r="V998">
        <v>2380.4639999999999</v>
      </c>
      <c r="X998" s="4">
        <v>4</v>
      </c>
      <c r="Y998">
        <v>826.55</v>
      </c>
      <c r="Z998">
        <v>0.28000000000000003</v>
      </c>
      <c r="AA998">
        <v>2380.4639999999999</v>
      </c>
    </row>
    <row r="999" spans="1:27" x14ac:dyDescent="0.3">
      <c r="A999" t="s">
        <v>2806</v>
      </c>
      <c r="B999" s="2">
        <v>45805</v>
      </c>
      <c r="C999" t="s">
        <v>619</v>
      </c>
      <c r="D999" t="s">
        <v>1585</v>
      </c>
      <c r="E999" t="s">
        <v>1749</v>
      </c>
      <c r="F999" s="4">
        <v>3</v>
      </c>
      <c r="G999">
        <v>530.16999999999996</v>
      </c>
      <c r="H999">
        <v>0.18</v>
      </c>
      <c r="I999" t="s">
        <v>1809</v>
      </c>
      <c r="J999">
        <v>1304.2182</v>
      </c>
      <c r="K999" t="s">
        <v>620</v>
      </c>
      <c r="L999">
        <v>29</v>
      </c>
      <c r="M999" t="str">
        <v>Female</v>
      </c>
      <c r="N999" t="str">
        <f>VLOOKUP(C:C,Customer_Dim!B:I,5,1)</f>
        <v>Amandaside</v>
      </c>
      <c r="O999" t="str">
        <f>VLOOKUP(C:C,Customer_Dim!B:I,6,1)</f>
        <v>New York</v>
      </c>
      <c r="P999" t="str">
        <f>VLOOKUP(C:C,Customer_Dim!B:I,7,1)</f>
        <v>USA</v>
      </c>
      <c r="Q999" t="str">
        <f>VLOOKUP(C:C,Customer_Dim!B:I,8,1)</f>
        <v>Bronze</v>
      </c>
      <c r="S999">
        <v>3</v>
      </c>
      <c r="T999">
        <v>530.16999999999996</v>
      </c>
      <c r="U999">
        <v>0.18</v>
      </c>
      <c r="V999">
        <v>1304.2182</v>
      </c>
      <c r="X999" s="4">
        <v>3</v>
      </c>
      <c r="Y999">
        <v>530.16999999999996</v>
      </c>
      <c r="Z999">
        <v>0.18</v>
      </c>
      <c r="AA999">
        <v>1304.2182</v>
      </c>
    </row>
    <row r="1000" spans="1:27" x14ac:dyDescent="0.3">
      <c r="A1000" t="s">
        <v>2807</v>
      </c>
      <c r="B1000" s="2">
        <v>45522</v>
      </c>
      <c r="C1000" t="s">
        <v>1252</v>
      </c>
      <c r="D1000" t="s">
        <v>1599</v>
      </c>
      <c r="E1000" t="s">
        <v>1790</v>
      </c>
      <c r="F1000" s="4">
        <v>3</v>
      </c>
      <c r="G1000">
        <v>336.17</v>
      </c>
      <c r="H1000">
        <v>0.04</v>
      </c>
      <c r="I1000" t="s">
        <v>1812</v>
      </c>
      <c r="J1000">
        <v>968.16959999999995</v>
      </c>
      <c r="K1000" t="s">
        <v>1253</v>
      </c>
      <c r="L1000">
        <v>36</v>
      </c>
      <c r="M1000" t="str">
        <v>Male</v>
      </c>
      <c r="N1000" t="str">
        <f>VLOOKUP(C:C,Customer_Dim!B:I,5,1)</f>
        <v>Ashleymouth</v>
      </c>
      <c r="O1000" t="str">
        <f>VLOOKUP(C:C,Customer_Dim!B:I,6,1)</f>
        <v>Maryland</v>
      </c>
      <c r="P1000" t="str">
        <f>VLOOKUP(C:C,Customer_Dim!B:I,7,1)</f>
        <v>USA</v>
      </c>
      <c r="Q1000" t="str">
        <f>VLOOKUP(C:C,Customer_Dim!B:I,8,1)</f>
        <v>Gold</v>
      </c>
      <c r="S1000">
        <v>3</v>
      </c>
      <c r="T1000">
        <v>336.17</v>
      </c>
      <c r="U1000">
        <v>0.04</v>
      </c>
      <c r="V1000">
        <v>968.16959999999995</v>
      </c>
      <c r="X1000" s="4">
        <v>3</v>
      </c>
      <c r="Y1000">
        <v>336.17</v>
      </c>
      <c r="Z1000">
        <v>0.04</v>
      </c>
      <c r="AA1000">
        <v>968.16959999999995</v>
      </c>
    </row>
    <row r="1001" spans="1:27" x14ac:dyDescent="0.3">
      <c r="A1001" t="s">
        <v>2808</v>
      </c>
      <c r="B1001" s="2">
        <v>45304</v>
      </c>
      <c r="C1001" t="s">
        <v>1292</v>
      </c>
      <c r="D1001" t="s">
        <v>1693</v>
      </c>
      <c r="E1001" t="s">
        <v>1765</v>
      </c>
      <c r="F1001" s="4">
        <v>4</v>
      </c>
      <c r="G1001">
        <v>22.51</v>
      </c>
      <c r="H1001">
        <v>0.27</v>
      </c>
      <c r="I1001" t="s">
        <v>1809</v>
      </c>
      <c r="J1001">
        <v>65.729200000000006</v>
      </c>
      <c r="K1001" t="s">
        <v>1293</v>
      </c>
      <c r="L1001">
        <v>42</v>
      </c>
      <c r="M1001" t="str">
        <v>Female</v>
      </c>
      <c r="N1001" t="str">
        <f>VLOOKUP(C:C,Customer_Dim!B:I,5,1)</f>
        <v>East Amy</v>
      </c>
      <c r="O1001" t="str">
        <f>VLOOKUP(C:C,Customer_Dim!B:I,6,1)</f>
        <v>Washington</v>
      </c>
      <c r="P1001" t="str">
        <f>VLOOKUP(C:C,Customer_Dim!B:I,7,1)</f>
        <v>USA</v>
      </c>
      <c r="Q1001" t="str">
        <f>VLOOKUP(C:C,Customer_Dim!B:I,8,1)</f>
        <v>Platinum</v>
      </c>
      <c r="S1001">
        <v>4</v>
      </c>
      <c r="T1001">
        <v>22.51</v>
      </c>
      <c r="U1001">
        <v>0.27</v>
      </c>
      <c r="V1001">
        <v>65.729200000000006</v>
      </c>
      <c r="X1001" s="4">
        <v>4</v>
      </c>
      <c r="Y1001">
        <v>22.51</v>
      </c>
      <c r="Z1001">
        <v>0.27</v>
      </c>
      <c r="AA1001">
        <v>65.729200000000006</v>
      </c>
    </row>
    <row r="1002" spans="1:27" x14ac:dyDescent="0.3">
      <c r="A1002" t="s">
        <v>2809</v>
      </c>
      <c r="B1002" s="2">
        <v>45456</v>
      </c>
      <c r="C1002" t="s">
        <v>619</v>
      </c>
      <c r="D1002" t="s">
        <v>1649</v>
      </c>
      <c r="E1002" t="s">
        <v>1744</v>
      </c>
      <c r="F1002" s="4">
        <v>2</v>
      </c>
      <c r="G1002">
        <v>909.51</v>
      </c>
      <c r="H1002">
        <v>0.27</v>
      </c>
      <c r="I1002" t="s">
        <v>1807</v>
      </c>
      <c r="J1002">
        <v>1327.8846000000001</v>
      </c>
      <c r="K1002" t="s">
        <v>620</v>
      </c>
      <c r="L1002">
        <v>29</v>
      </c>
      <c r="M1002" t="str">
        <v>Female</v>
      </c>
      <c r="N1002" t="str">
        <f>VLOOKUP(C:C,Customer_Dim!B:I,5,1)</f>
        <v>Amandaside</v>
      </c>
      <c r="O1002" t="str">
        <f>VLOOKUP(C:C,Customer_Dim!B:I,6,1)</f>
        <v>New York</v>
      </c>
      <c r="P1002" t="str">
        <f>VLOOKUP(C:C,Customer_Dim!B:I,7,1)</f>
        <v>USA</v>
      </c>
      <c r="Q1002" t="str">
        <f>VLOOKUP(C:C,Customer_Dim!B:I,8,1)</f>
        <v>Bronze</v>
      </c>
      <c r="S1002">
        <v>2</v>
      </c>
      <c r="T1002">
        <v>909.51</v>
      </c>
      <c r="U1002">
        <v>0.27</v>
      </c>
      <c r="V1002">
        <v>1327.8846000000001</v>
      </c>
      <c r="X1002" s="4">
        <v>2</v>
      </c>
      <c r="Y1002">
        <v>909.51</v>
      </c>
      <c r="Z1002">
        <v>0.27</v>
      </c>
      <c r="AA1002">
        <v>1327.8846000000001</v>
      </c>
    </row>
    <row r="1003" spans="1:27" x14ac:dyDescent="0.3">
      <c r="A1003" t="s">
        <v>2810</v>
      </c>
      <c r="B1003" s="2">
        <v>45776</v>
      </c>
      <c r="C1003" t="s">
        <v>195</v>
      </c>
      <c r="D1003" t="s">
        <v>1669</v>
      </c>
      <c r="E1003" t="s">
        <v>1782</v>
      </c>
      <c r="F1003" s="4">
        <v>4</v>
      </c>
      <c r="G1003">
        <v>593.84</v>
      </c>
      <c r="H1003">
        <v>0.24</v>
      </c>
      <c r="I1003" t="s">
        <v>1809</v>
      </c>
      <c r="J1003">
        <v>1805.2736</v>
      </c>
      <c r="K1003" t="s">
        <v>196</v>
      </c>
      <c r="L1003">
        <v>37</v>
      </c>
      <c r="M1003" t="str">
        <v>Female</v>
      </c>
      <c r="N1003" t="str">
        <f>VLOOKUP(C:C,Customer_Dim!B:I,5,1)</f>
        <v>South Timtown</v>
      </c>
      <c r="O1003" t="str">
        <f>VLOOKUP(C:C,Customer_Dim!B:I,6,1)</f>
        <v>Minnesota</v>
      </c>
      <c r="P1003" t="str">
        <f>VLOOKUP(C:C,Customer_Dim!B:I,7,1)</f>
        <v>USA</v>
      </c>
      <c r="Q1003" t="str">
        <f>VLOOKUP(C:C,Customer_Dim!B:I,8,1)</f>
        <v>Bronze</v>
      </c>
      <c r="S1003">
        <v>4</v>
      </c>
      <c r="T1003">
        <v>593.84</v>
      </c>
      <c r="U1003">
        <v>0.24</v>
      </c>
      <c r="V1003">
        <v>1805.2736</v>
      </c>
      <c r="X1003" s="4">
        <v>4</v>
      </c>
      <c r="Y1003">
        <v>593.84</v>
      </c>
      <c r="Z1003">
        <v>0.24</v>
      </c>
      <c r="AA1003">
        <v>1805.2736</v>
      </c>
    </row>
    <row r="1004" spans="1:27" x14ac:dyDescent="0.3">
      <c r="A1004" t="s">
        <v>2811</v>
      </c>
      <c r="B1004" s="2">
        <v>45566</v>
      </c>
      <c r="C1004" t="s">
        <v>379</v>
      </c>
      <c r="D1004" t="s">
        <v>1677</v>
      </c>
      <c r="E1004" t="s">
        <v>1772</v>
      </c>
      <c r="F1004" s="4">
        <v>3</v>
      </c>
      <c r="G1004">
        <v>909.11</v>
      </c>
      <c r="H1004">
        <v>0.23</v>
      </c>
      <c r="I1004" t="s">
        <v>1812</v>
      </c>
      <c r="J1004">
        <v>2100.0441000000001</v>
      </c>
      <c r="K1004" t="s">
        <v>380</v>
      </c>
      <c r="L1004">
        <v>40</v>
      </c>
      <c r="M1004" t="str">
        <v>Female</v>
      </c>
      <c r="N1004" t="str">
        <f>VLOOKUP(C:C,Customer_Dim!B:I,5,1)</f>
        <v>Smithland</v>
      </c>
      <c r="O1004" t="str">
        <f>VLOOKUP(C:C,Customer_Dim!B:I,6,1)</f>
        <v>West Virginia</v>
      </c>
      <c r="P1004" t="str">
        <f>VLOOKUP(C:C,Customer_Dim!B:I,7,1)</f>
        <v>USA</v>
      </c>
      <c r="Q1004" t="str">
        <f>VLOOKUP(C:C,Customer_Dim!B:I,8,1)</f>
        <v>Silver</v>
      </c>
      <c r="S1004">
        <v>3</v>
      </c>
      <c r="T1004">
        <v>909.11</v>
      </c>
      <c r="U1004">
        <v>0.23</v>
      </c>
      <c r="V1004">
        <v>2100.0441000000001</v>
      </c>
      <c r="X1004" s="4">
        <v>3</v>
      </c>
      <c r="Y1004">
        <v>909.11</v>
      </c>
      <c r="Z1004">
        <v>0.23</v>
      </c>
      <c r="AA1004">
        <v>2100.0441000000001</v>
      </c>
    </row>
    <row r="1005" spans="1:27" x14ac:dyDescent="0.3">
      <c r="A1005" t="s">
        <v>2812</v>
      </c>
      <c r="B1005" s="2">
        <v>45542</v>
      </c>
      <c r="C1005" t="s">
        <v>1229</v>
      </c>
      <c r="D1005" t="s">
        <v>1579</v>
      </c>
      <c r="E1005" t="s">
        <v>1740</v>
      </c>
      <c r="F1005" s="4">
        <v>4</v>
      </c>
      <c r="G1005">
        <v>996.85</v>
      </c>
      <c r="H1005">
        <v>0.24</v>
      </c>
      <c r="I1005" t="s">
        <v>1809</v>
      </c>
      <c r="J1005">
        <v>3030.424</v>
      </c>
      <c r="K1005" t="s">
        <v>1230</v>
      </c>
      <c r="L1005">
        <v>57</v>
      </c>
      <c r="M1005" t="str">
        <v>Female</v>
      </c>
      <c r="N1005" t="str">
        <f>VLOOKUP(C:C,Customer_Dim!B:I,5,1)</f>
        <v>New Edward</v>
      </c>
      <c r="O1005" t="str">
        <f>VLOOKUP(C:C,Customer_Dim!B:I,6,1)</f>
        <v>Maine</v>
      </c>
      <c r="P1005" t="str">
        <f>VLOOKUP(C:C,Customer_Dim!B:I,7,1)</f>
        <v>USA</v>
      </c>
      <c r="Q1005" t="str">
        <f>VLOOKUP(C:C,Customer_Dim!B:I,8,1)</f>
        <v>Bronze</v>
      </c>
      <c r="S1005">
        <v>4</v>
      </c>
      <c r="T1005">
        <v>996.85</v>
      </c>
      <c r="U1005">
        <v>0.24</v>
      </c>
      <c r="V1005">
        <v>3030.424</v>
      </c>
      <c r="X1005" s="4">
        <v>4</v>
      </c>
      <c r="Y1005">
        <v>996.85</v>
      </c>
      <c r="Z1005">
        <v>0.24</v>
      </c>
      <c r="AA1005">
        <v>3030.424</v>
      </c>
    </row>
    <row r="1006" spans="1:27" x14ac:dyDescent="0.3">
      <c r="A1006" t="s">
        <v>2813</v>
      </c>
      <c r="B1006" s="2">
        <v>45834</v>
      </c>
      <c r="C1006" t="s">
        <v>939</v>
      </c>
      <c r="D1006" t="s">
        <v>1526</v>
      </c>
      <c r="E1006" t="s">
        <v>1790</v>
      </c>
      <c r="F1006" s="4">
        <v>1</v>
      </c>
      <c r="G1006">
        <v>522.69000000000005</v>
      </c>
      <c r="H1006">
        <v>0.06</v>
      </c>
      <c r="I1006" t="s">
        <v>1812</v>
      </c>
      <c r="J1006">
        <v>491.32860000000011</v>
      </c>
      <c r="K1006" t="s">
        <v>940</v>
      </c>
      <c r="L1006">
        <v>50</v>
      </c>
      <c r="M1006" t="str">
        <v>Male</v>
      </c>
      <c r="N1006" t="str">
        <f>VLOOKUP(C:C,Customer_Dim!B:I,5,1)</f>
        <v>Lake Melissashire</v>
      </c>
      <c r="O1006" t="str">
        <f>VLOOKUP(C:C,Customer_Dim!B:I,6,1)</f>
        <v>Oregon</v>
      </c>
      <c r="P1006" t="str">
        <f>VLOOKUP(C:C,Customer_Dim!B:I,7,1)</f>
        <v>USA</v>
      </c>
      <c r="Q1006" t="str">
        <f>VLOOKUP(C:C,Customer_Dim!B:I,8,1)</f>
        <v>Silver</v>
      </c>
      <c r="S1006">
        <v>1</v>
      </c>
      <c r="T1006">
        <v>522.69000000000005</v>
      </c>
      <c r="U1006">
        <v>0.06</v>
      </c>
      <c r="V1006">
        <v>491.32860000000011</v>
      </c>
      <c r="X1006" s="4">
        <v>1</v>
      </c>
      <c r="Y1006">
        <v>522.69000000000005</v>
      </c>
      <c r="Z1006">
        <v>0.06</v>
      </c>
      <c r="AA1006">
        <v>491.32860000000011</v>
      </c>
    </row>
    <row r="1007" spans="1:27" x14ac:dyDescent="0.3">
      <c r="A1007" t="s">
        <v>2814</v>
      </c>
      <c r="B1007" s="2">
        <v>45405</v>
      </c>
      <c r="C1007" t="s">
        <v>631</v>
      </c>
      <c r="D1007" t="s">
        <v>1639</v>
      </c>
      <c r="E1007" t="s">
        <v>1749</v>
      </c>
      <c r="F1007" s="4">
        <v>3</v>
      </c>
      <c r="G1007">
        <v>261.05</v>
      </c>
      <c r="H1007">
        <v>0.12</v>
      </c>
      <c r="I1007" t="s">
        <v>1809</v>
      </c>
      <c r="J1007">
        <v>689.17200000000014</v>
      </c>
      <c r="K1007" t="s">
        <v>632</v>
      </c>
      <c r="L1007">
        <v>60</v>
      </c>
      <c r="M1007" t="str">
        <v>Male</v>
      </c>
      <c r="N1007" t="str">
        <f>VLOOKUP(C:C,Customer_Dim!B:I,5,1)</f>
        <v>Sarahmouth</v>
      </c>
      <c r="O1007" t="str">
        <f>VLOOKUP(C:C,Customer_Dim!B:I,6,1)</f>
        <v>Pennsylvania</v>
      </c>
      <c r="P1007" t="str">
        <f>VLOOKUP(C:C,Customer_Dim!B:I,7,1)</f>
        <v>USA</v>
      </c>
      <c r="Q1007" t="str">
        <f>VLOOKUP(C:C,Customer_Dim!B:I,8,1)</f>
        <v>Gold</v>
      </c>
      <c r="S1007">
        <v>3</v>
      </c>
      <c r="T1007">
        <v>261.05</v>
      </c>
      <c r="U1007">
        <v>0.12</v>
      </c>
      <c r="V1007">
        <v>689.17200000000014</v>
      </c>
      <c r="X1007" s="4">
        <v>3</v>
      </c>
      <c r="Y1007">
        <v>261.05</v>
      </c>
      <c r="Z1007">
        <v>0.12</v>
      </c>
      <c r="AA1007">
        <v>689.17200000000014</v>
      </c>
    </row>
    <row r="1008" spans="1:27" x14ac:dyDescent="0.3">
      <c r="A1008" t="s">
        <v>2815</v>
      </c>
      <c r="B1008" s="2">
        <v>45918</v>
      </c>
      <c r="C1008" t="s">
        <v>310</v>
      </c>
      <c r="D1008" t="s">
        <v>1577</v>
      </c>
      <c r="E1008" t="s">
        <v>1790</v>
      </c>
      <c r="F1008" s="4">
        <v>3</v>
      </c>
      <c r="G1008">
        <v>644.73</v>
      </c>
      <c r="H1008">
        <v>0.01</v>
      </c>
      <c r="I1008" t="s">
        <v>1812</v>
      </c>
      <c r="J1008">
        <v>1914.8480999999999</v>
      </c>
      <c r="K1008" t="s">
        <v>3939</v>
      </c>
      <c r="L1008">
        <v>58</v>
      </c>
      <c r="M1008" t="str">
        <v>Male</v>
      </c>
      <c r="N1008" t="str">
        <f>VLOOKUP(C:C,Customer_Dim!B:I,5,1)</f>
        <v>East Jenna</v>
      </c>
      <c r="O1008" t="str">
        <f>VLOOKUP(C:C,Customer_Dim!B:I,6,1)</f>
        <v>South Carolina</v>
      </c>
      <c r="P1008" t="str">
        <f>VLOOKUP(C:C,Customer_Dim!B:I,7,1)</f>
        <v>USA</v>
      </c>
      <c r="Q1008" t="str">
        <f>VLOOKUP(C:C,Customer_Dim!B:I,8,1)</f>
        <v>Bronze</v>
      </c>
      <c r="S1008">
        <v>3</v>
      </c>
      <c r="T1008">
        <v>644.73</v>
      </c>
      <c r="U1008">
        <v>0.01</v>
      </c>
      <c r="V1008">
        <v>1914.8480999999999</v>
      </c>
      <c r="X1008" s="4">
        <v>3</v>
      </c>
      <c r="Y1008">
        <v>644.73</v>
      </c>
      <c r="Z1008">
        <v>0.01</v>
      </c>
      <c r="AA1008">
        <v>1914.8480999999999</v>
      </c>
    </row>
    <row r="1009" spans="1:27" x14ac:dyDescent="0.3">
      <c r="A1009" t="s">
        <v>2816</v>
      </c>
      <c r="B1009" s="2">
        <v>45217</v>
      </c>
      <c r="C1009" t="s">
        <v>642</v>
      </c>
      <c r="D1009" t="s">
        <v>1681</v>
      </c>
      <c r="E1009" t="s">
        <v>1744</v>
      </c>
      <c r="F1009" s="4">
        <v>2</v>
      </c>
      <c r="G1009">
        <v>541.52</v>
      </c>
      <c r="H1009">
        <v>0.26</v>
      </c>
      <c r="I1009" t="s">
        <v>1809</v>
      </c>
      <c r="J1009">
        <v>801.44959999999992</v>
      </c>
      <c r="K1009" t="s">
        <v>643</v>
      </c>
      <c r="L1009">
        <v>46</v>
      </c>
      <c r="M1009" t="str">
        <v>Male</v>
      </c>
      <c r="N1009" t="str">
        <f>VLOOKUP(C:C,Customer_Dim!B:I,5,1)</f>
        <v>Frostmouth</v>
      </c>
      <c r="O1009" t="str">
        <f>VLOOKUP(C:C,Customer_Dim!B:I,6,1)</f>
        <v>Vermont</v>
      </c>
      <c r="P1009" t="str">
        <f>VLOOKUP(C:C,Customer_Dim!B:I,7,1)</f>
        <v>USA</v>
      </c>
      <c r="Q1009" t="str">
        <f>VLOOKUP(C:C,Customer_Dim!B:I,8,1)</f>
        <v>Bronze</v>
      </c>
      <c r="S1009">
        <v>2</v>
      </c>
      <c r="T1009">
        <v>541.52</v>
      </c>
      <c r="U1009">
        <v>0.26</v>
      </c>
      <c r="V1009">
        <v>801.44959999999992</v>
      </c>
      <c r="X1009" s="4">
        <v>2</v>
      </c>
      <c r="Y1009">
        <v>541.52</v>
      </c>
      <c r="Z1009">
        <v>0.26</v>
      </c>
      <c r="AA1009">
        <v>801.44959999999992</v>
      </c>
    </row>
    <row r="1010" spans="1:27" x14ac:dyDescent="0.3">
      <c r="A1010" t="s">
        <v>2817</v>
      </c>
      <c r="B1010" s="2">
        <v>45259</v>
      </c>
      <c r="C1010" t="s">
        <v>1306</v>
      </c>
      <c r="D1010" t="s">
        <v>1657</v>
      </c>
      <c r="E1010" t="s">
        <v>1772</v>
      </c>
      <c r="F1010" s="4">
        <v>1</v>
      </c>
      <c r="G1010">
        <v>395.18</v>
      </c>
      <c r="H1010">
        <v>0.09</v>
      </c>
      <c r="I1010" t="s">
        <v>1809</v>
      </c>
      <c r="J1010">
        <v>359.61380000000003</v>
      </c>
      <c r="K1010" t="s">
        <v>1307</v>
      </c>
      <c r="L1010">
        <v>18</v>
      </c>
      <c r="M1010" t="str">
        <v>Female</v>
      </c>
      <c r="N1010" t="str">
        <f>VLOOKUP(C:C,Customer_Dim!B:I,5,1)</f>
        <v>Aguilarland</v>
      </c>
      <c r="O1010" t="str">
        <f>VLOOKUP(C:C,Customer_Dim!B:I,6,1)</f>
        <v>North Carolina</v>
      </c>
      <c r="P1010" t="str">
        <f>VLOOKUP(C:C,Customer_Dim!B:I,7,1)</f>
        <v>USA</v>
      </c>
      <c r="Q1010" t="str">
        <f>VLOOKUP(C:C,Customer_Dim!B:I,8,1)</f>
        <v>Platinum</v>
      </c>
      <c r="S1010">
        <v>1</v>
      </c>
      <c r="T1010">
        <v>395.18</v>
      </c>
      <c r="U1010">
        <v>0.09</v>
      </c>
      <c r="V1010">
        <v>359.61380000000003</v>
      </c>
      <c r="X1010" s="4">
        <v>1</v>
      </c>
      <c r="Y1010">
        <v>395.18</v>
      </c>
      <c r="Z1010">
        <v>0.09</v>
      </c>
      <c r="AA1010">
        <v>359.61380000000003</v>
      </c>
    </row>
    <row r="1011" spans="1:27" x14ac:dyDescent="0.3">
      <c r="A1011" t="s">
        <v>2818</v>
      </c>
      <c r="B1011" s="2">
        <v>45740</v>
      </c>
      <c r="C1011" t="s">
        <v>351</v>
      </c>
      <c r="D1011" t="s">
        <v>1545</v>
      </c>
      <c r="E1011" t="s">
        <v>1765</v>
      </c>
      <c r="F1011" s="4">
        <v>4</v>
      </c>
      <c r="G1011">
        <v>56.37</v>
      </c>
      <c r="H1011">
        <v>0.17</v>
      </c>
      <c r="I1011" t="s">
        <v>1807</v>
      </c>
      <c r="J1011">
        <v>187.14840000000001</v>
      </c>
      <c r="K1011" t="s">
        <v>352</v>
      </c>
      <c r="L1011">
        <v>29</v>
      </c>
      <c r="M1011" t="str">
        <v>Male</v>
      </c>
      <c r="N1011" t="str">
        <f>VLOOKUP(C:C,Customer_Dim!B:I,5,1)</f>
        <v>North Codyport</v>
      </c>
      <c r="O1011" t="str">
        <f>VLOOKUP(C:C,Customer_Dim!B:I,6,1)</f>
        <v>Texas</v>
      </c>
      <c r="P1011" t="str">
        <f>VLOOKUP(C:C,Customer_Dim!B:I,7,1)</f>
        <v>USA</v>
      </c>
      <c r="Q1011" t="str">
        <f>VLOOKUP(C:C,Customer_Dim!B:I,8,1)</f>
        <v>Platinum</v>
      </c>
      <c r="S1011">
        <v>4</v>
      </c>
      <c r="T1011">
        <v>56.37</v>
      </c>
      <c r="U1011">
        <v>0.17</v>
      </c>
      <c r="V1011">
        <v>187.14840000000001</v>
      </c>
      <c r="X1011" s="4">
        <v>4</v>
      </c>
      <c r="Y1011">
        <v>56.37</v>
      </c>
      <c r="Z1011">
        <v>0.17</v>
      </c>
      <c r="AA1011">
        <v>187.14840000000001</v>
      </c>
    </row>
    <row r="1012" spans="1:27" x14ac:dyDescent="0.3">
      <c r="A1012" t="s">
        <v>2819</v>
      </c>
      <c r="B1012" s="2">
        <v>45908</v>
      </c>
      <c r="C1012" t="s">
        <v>675</v>
      </c>
      <c r="D1012" t="s">
        <v>1689</v>
      </c>
      <c r="E1012" t="s">
        <v>1769</v>
      </c>
      <c r="F1012" s="4">
        <v>4</v>
      </c>
      <c r="G1012">
        <v>202.59</v>
      </c>
      <c r="H1012">
        <v>0.06</v>
      </c>
      <c r="I1012" t="s">
        <v>1812</v>
      </c>
      <c r="J1012">
        <v>761.73839999999996</v>
      </c>
      <c r="K1012" t="s">
        <v>676</v>
      </c>
      <c r="L1012">
        <v>48</v>
      </c>
      <c r="M1012" t="str">
        <v>Male</v>
      </c>
      <c r="N1012" t="str">
        <f>VLOOKUP(C:C,Customer_Dim!B:I,5,1)</f>
        <v>Lake Josephport</v>
      </c>
      <c r="O1012" t="str">
        <f>VLOOKUP(C:C,Customer_Dim!B:I,6,1)</f>
        <v>Maine</v>
      </c>
      <c r="P1012" t="str">
        <f>VLOOKUP(C:C,Customer_Dim!B:I,7,1)</f>
        <v>USA</v>
      </c>
      <c r="Q1012" t="str">
        <f>VLOOKUP(C:C,Customer_Dim!B:I,8,1)</f>
        <v>Platinum</v>
      </c>
      <c r="S1012">
        <v>4</v>
      </c>
      <c r="T1012">
        <v>202.59</v>
      </c>
      <c r="U1012">
        <v>0.06</v>
      </c>
      <c r="V1012">
        <v>761.73839999999996</v>
      </c>
      <c r="X1012" s="4">
        <v>4</v>
      </c>
      <c r="Y1012">
        <v>202.59</v>
      </c>
      <c r="Z1012">
        <v>0.06</v>
      </c>
      <c r="AA1012">
        <v>761.73839999999996</v>
      </c>
    </row>
    <row r="1013" spans="1:27" x14ac:dyDescent="0.3">
      <c r="A1013" t="s">
        <v>2820</v>
      </c>
      <c r="B1013" s="2">
        <v>45601</v>
      </c>
      <c r="C1013" t="s">
        <v>27</v>
      </c>
      <c r="D1013" t="s">
        <v>1693</v>
      </c>
      <c r="E1013" t="s">
        <v>1756</v>
      </c>
      <c r="F1013" s="4">
        <v>2</v>
      </c>
      <c r="G1013">
        <v>358.36</v>
      </c>
      <c r="H1013">
        <v>0.05</v>
      </c>
      <c r="I1013" t="s">
        <v>1809</v>
      </c>
      <c r="J1013">
        <v>680.88400000000001</v>
      </c>
      <c r="K1013" t="s">
        <v>28</v>
      </c>
      <c r="L1013">
        <v>24</v>
      </c>
      <c r="M1013" t="str">
        <v>Male</v>
      </c>
      <c r="N1013" t="str">
        <f>VLOOKUP(C:C,Customer_Dim!B:I,5,1)</f>
        <v>Nicholasshire</v>
      </c>
      <c r="O1013" t="str">
        <f>VLOOKUP(C:C,Customer_Dim!B:I,6,1)</f>
        <v>California</v>
      </c>
      <c r="P1013" t="str">
        <f>VLOOKUP(C:C,Customer_Dim!B:I,7,1)</f>
        <v>USA</v>
      </c>
      <c r="Q1013" t="str">
        <f>VLOOKUP(C:C,Customer_Dim!B:I,8,1)</f>
        <v>Silver</v>
      </c>
      <c r="S1013">
        <v>2</v>
      </c>
      <c r="T1013">
        <v>358.36</v>
      </c>
      <c r="U1013">
        <v>0.05</v>
      </c>
      <c r="V1013">
        <v>680.88400000000001</v>
      </c>
      <c r="X1013" s="4">
        <v>2</v>
      </c>
      <c r="Y1013">
        <v>358.36</v>
      </c>
      <c r="Z1013">
        <v>0.05</v>
      </c>
      <c r="AA1013">
        <v>680.88400000000001</v>
      </c>
    </row>
    <row r="1014" spans="1:27" x14ac:dyDescent="0.3">
      <c r="A1014" t="s">
        <v>2821</v>
      </c>
      <c r="B1014" s="2">
        <v>45535</v>
      </c>
      <c r="C1014" t="s">
        <v>261</v>
      </c>
      <c r="D1014" t="s">
        <v>1605</v>
      </c>
      <c r="E1014" t="s">
        <v>1793</v>
      </c>
      <c r="F1014" s="4">
        <v>4</v>
      </c>
      <c r="G1014">
        <v>85.62</v>
      </c>
      <c r="H1014">
        <v>0.28000000000000003</v>
      </c>
      <c r="I1014" t="s">
        <v>1812</v>
      </c>
      <c r="J1014">
        <v>246.5856</v>
      </c>
      <c r="K1014" t="s">
        <v>262</v>
      </c>
      <c r="L1014">
        <v>56</v>
      </c>
      <c r="M1014" t="str">
        <v>Female</v>
      </c>
      <c r="N1014" t="str">
        <f>VLOOKUP(C:C,Customer_Dim!B:I,5,1)</f>
        <v>Olsonhaven</v>
      </c>
      <c r="O1014" t="str">
        <f>VLOOKUP(C:C,Customer_Dim!B:I,6,1)</f>
        <v>Iowa</v>
      </c>
      <c r="P1014" t="str">
        <f>VLOOKUP(C:C,Customer_Dim!B:I,7,1)</f>
        <v>USA</v>
      </c>
      <c r="Q1014" t="str">
        <f>VLOOKUP(C:C,Customer_Dim!B:I,8,1)</f>
        <v>Gold</v>
      </c>
      <c r="S1014">
        <v>4</v>
      </c>
      <c r="T1014">
        <v>85.62</v>
      </c>
      <c r="U1014">
        <v>0.28000000000000003</v>
      </c>
      <c r="V1014">
        <v>246.5856</v>
      </c>
      <c r="X1014" s="4">
        <v>4</v>
      </c>
      <c r="Y1014">
        <v>85.62</v>
      </c>
      <c r="Z1014">
        <v>0.28000000000000003</v>
      </c>
      <c r="AA1014">
        <v>246.5856</v>
      </c>
    </row>
    <row r="1015" spans="1:27" x14ac:dyDescent="0.3">
      <c r="A1015" t="s">
        <v>2822</v>
      </c>
      <c r="B1015" s="2">
        <v>45459</v>
      </c>
      <c r="C1015" t="s">
        <v>604</v>
      </c>
      <c r="D1015" t="s">
        <v>1543</v>
      </c>
      <c r="E1015" t="s">
        <v>1790</v>
      </c>
      <c r="F1015" s="4">
        <v>4</v>
      </c>
      <c r="G1015">
        <v>929.26</v>
      </c>
      <c r="H1015">
        <v>0.23</v>
      </c>
      <c r="I1015" t="s">
        <v>1809</v>
      </c>
      <c r="J1015">
        <v>2862.1208000000001</v>
      </c>
      <c r="K1015" t="s">
        <v>605</v>
      </c>
      <c r="L1015">
        <v>53</v>
      </c>
      <c r="M1015" t="str">
        <v>Male</v>
      </c>
      <c r="N1015" t="str">
        <f>VLOOKUP(C:C,Customer_Dim!B:I,5,1)</f>
        <v>North Kellyberg</v>
      </c>
      <c r="O1015" t="str">
        <f>VLOOKUP(C:C,Customer_Dim!B:I,6,1)</f>
        <v>New Jersey</v>
      </c>
      <c r="P1015" t="str">
        <f>VLOOKUP(C:C,Customer_Dim!B:I,7,1)</f>
        <v>USA</v>
      </c>
      <c r="Q1015" t="str">
        <f>VLOOKUP(C:C,Customer_Dim!B:I,8,1)</f>
        <v>Platinum</v>
      </c>
      <c r="S1015">
        <v>4</v>
      </c>
      <c r="T1015">
        <v>929.26</v>
      </c>
      <c r="U1015">
        <v>0.23</v>
      </c>
      <c r="V1015">
        <v>2862.1208000000001</v>
      </c>
      <c r="X1015" s="4">
        <v>4</v>
      </c>
      <c r="Y1015">
        <v>929.26</v>
      </c>
      <c r="Z1015">
        <v>0.23</v>
      </c>
      <c r="AA1015">
        <v>2862.1208000000001</v>
      </c>
    </row>
    <row r="1016" spans="1:27" x14ac:dyDescent="0.3">
      <c r="A1016" t="s">
        <v>2823</v>
      </c>
      <c r="B1016" s="2">
        <v>45681</v>
      </c>
      <c r="C1016" t="s">
        <v>965</v>
      </c>
      <c r="D1016" t="s">
        <v>1651</v>
      </c>
      <c r="E1016" t="s">
        <v>1780</v>
      </c>
      <c r="F1016" s="4">
        <v>2</v>
      </c>
      <c r="G1016">
        <v>92.64</v>
      </c>
      <c r="H1016">
        <v>0.14000000000000001</v>
      </c>
      <c r="I1016" t="s">
        <v>1812</v>
      </c>
      <c r="J1016">
        <v>159.3408</v>
      </c>
      <c r="K1016" t="s">
        <v>966</v>
      </c>
      <c r="L1016">
        <v>20</v>
      </c>
      <c r="M1016" t="str">
        <v>Male</v>
      </c>
      <c r="N1016" t="str">
        <f>VLOOKUP(C:C,Customer_Dim!B:I,5,1)</f>
        <v>Randychester</v>
      </c>
      <c r="O1016" t="str">
        <f>VLOOKUP(C:C,Customer_Dim!B:I,6,1)</f>
        <v>California</v>
      </c>
      <c r="P1016" t="str">
        <f>VLOOKUP(C:C,Customer_Dim!B:I,7,1)</f>
        <v>USA</v>
      </c>
      <c r="Q1016" t="str">
        <f>VLOOKUP(C:C,Customer_Dim!B:I,8,1)</f>
        <v>Bronze</v>
      </c>
      <c r="S1016">
        <v>2</v>
      </c>
      <c r="T1016">
        <v>92.64</v>
      </c>
      <c r="U1016">
        <v>0.14000000000000001</v>
      </c>
      <c r="V1016">
        <v>159.3408</v>
      </c>
      <c r="X1016" s="4">
        <v>2</v>
      </c>
      <c r="Y1016">
        <v>92.64</v>
      </c>
      <c r="Z1016">
        <v>0.14000000000000001</v>
      </c>
      <c r="AA1016">
        <v>159.3408</v>
      </c>
    </row>
    <row r="1017" spans="1:27" x14ac:dyDescent="0.3">
      <c r="A1017" t="s">
        <v>2824</v>
      </c>
      <c r="B1017" s="2">
        <v>45725</v>
      </c>
      <c r="C1017" t="s">
        <v>788</v>
      </c>
      <c r="D1017" t="s">
        <v>1655</v>
      </c>
      <c r="E1017" t="s">
        <v>1752</v>
      </c>
      <c r="F1017" s="4">
        <v>4</v>
      </c>
      <c r="G1017">
        <v>139.05000000000001</v>
      </c>
      <c r="H1017">
        <v>0.28999999999999998</v>
      </c>
      <c r="I1017" t="s">
        <v>1812</v>
      </c>
      <c r="J1017">
        <v>394.90199999999999</v>
      </c>
      <c r="K1017" t="s">
        <v>789</v>
      </c>
      <c r="L1017">
        <v>41</v>
      </c>
      <c r="M1017" t="str">
        <v>Female</v>
      </c>
      <c r="N1017" t="str">
        <f>VLOOKUP(C:C,Customer_Dim!B:I,5,1)</f>
        <v>Lake Timothy</v>
      </c>
      <c r="O1017" t="str">
        <f>VLOOKUP(C:C,Customer_Dim!B:I,6,1)</f>
        <v>Nevada</v>
      </c>
      <c r="P1017" t="str">
        <f>VLOOKUP(C:C,Customer_Dim!B:I,7,1)</f>
        <v>USA</v>
      </c>
      <c r="Q1017" t="str">
        <f>VLOOKUP(C:C,Customer_Dim!B:I,8,1)</f>
        <v>Gold</v>
      </c>
      <c r="S1017">
        <v>4</v>
      </c>
      <c r="T1017">
        <v>139.05000000000001</v>
      </c>
      <c r="U1017">
        <v>0.28999999999999998</v>
      </c>
      <c r="V1017">
        <v>394.90199999999999</v>
      </c>
      <c r="X1017" s="4">
        <v>4</v>
      </c>
      <c r="Y1017">
        <v>139.05000000000001</v>
      </c>
      <c r="Z1017">
        <v>0.28999999999999998</v>
      </c>
      <c r="AA1017">
        <v>394.90199999999999</v>
      </c>
    </row>
    <row r="1018" spans="1:27" x14ac:dyDescent="0.3">
      <c r="A1018" t="s">
        <v>2825</v>
      </c>
      <c r="B1018" s="2">
        <v>45461</v>
      </c>
      <c r="C1018" t="s">
        <v>470</v>
      </c>
      <c r="D1018" t="s">
        <v>1637</v>
      </c>
      <c r="E1018" t="s">
        <v>1752</v>
      </c>
      <c r="F1018" s="4">
        <v>3</v>
      </c>
      <c r="G1018">
        <v>155.87</v>
      </c>
      <c r="H1018">
        <v>0.03</v>
      </c>
      <c r="I1018" t="s">
        <v>1812</v>
      </c>
      <c r="J1018">
        <v>453.58170000000001</v>
      </c>
      <c r="K1018" t="s">
        <v>471</v>
      </c>
      <c r="L1018">
        <v>30</v>
      </c>
      <c r="M1018" t="str">
        <v>Male</v>
      </c>
      <c r="N1018" t="str">
        <f>VLOOKUP(C:C,Customer_Dim!B:I,5,1)</f>
        <v>South Brooke</v>
      </c>
      <c r="O1018" t="str">
        <f>VLOOKUP(C:C,Customer_Dim!B:I,6,1)</f>
        <v>Pennsylvania</v>
      </c>
      <c r="P1018" t="str">
        <f>VLOOKUP(C:C,Customer_Dim!B:I,7,1)</f>
        <v>USA</v>
      </c>
      <c r="Q1018" t="str">
        <f>VLOOKUP(C:C,Customer_Dim!B:I,8,1)</f>
        <v>Gold</v>
      </c>
      <c r="S1018">
        <v>3</v>
      </c>
      <c r="T1018">
        <v>155.87</v>
      </c>
      <c r="U1018">
        <v>0.03</v>
      </c>
      <c r="V1018">
        <v>453.58170000000001</v>
      </c>
      <c r="X1018" s="4">
        <v>3</v>
      </c>
      <c r="Y1018">
        <v>155.87</v>
      </c>
      <c r="Z1018">
        <v>0.03</v>
      </c>
      <c r="AA1018">
        <v>453.58170000000001</v>
      </c>
    </row>
    <row r="1019" spans="1:27" x14ac:dyDescent="0.3">
      <c r="A1019" t="s">
        <v>2826</v>
      </c>
      <c r="B1019" s="2">
        <v>45837</v>
      </c>
      <c r="C1019" t="s">
        <v>1352</v>
      </c>
      <c r="D1019" t="s">
        <v>1599</v>
      </c>
      <c r="E1019" t="s">
        <v>1787</v>
      </c>
      <c r="F1019" s="4">
        <v>4</v>
      </c>
      <c r="G1019">
        <v>115.42</v>
      </c>
      <c r="H1019">
        <v>0.03</v>
      </c>
      <c r="I1019" t="s">
        <v>1812</v>
      </c>
      <c r="J1019">
        <v>447.82960000000003</v>
      </c>
      <c r="K1019" t="s">
        <v>1353</v>
      </c>
      <c r="L1019">
        <v>51</v>
      </c>
      <c r="M1019" t="str">
        <v>Male</v>
      </c>
      <c r="N1019" t="str">
        <f>VLOOKUP(C:C,Customer_Dim!B:I,5,1)</f>
        <v>North Maryfort</v>
      </c>
      <c r="O1019" t="str">
        <f>VLOOKUP(C:C,Customer_Dim!B:I,6,1)</f>
        <v>Oregon</v>
      </c>
      <c r="P1019" t="str">
        <f>VLOOKUP(C:C,Customer_Dim!B:I,7,1)</f>
        <v>USA</v>
      </c>
      <c r="Q1019" t="str">
        <f>VLOOKUP(C:C,Customer_Dim!B:I,8,1)</f>
        <v>Bronze</v>
      </c>
      <c r="S1019">
        <v>4</v>
      </c>
      <c r="T1019">
        <v>115.42</v>
      </c>
      <c r="U1019">
        <v>0.03</v>
      </c>
      <c r="V1019">
        <v>447.82960000000003</v>
      </c>
      <c r="X1019" s="4">
        <v>4</v>
      </c>
      <c r="Y1019">
        <v>115.42</v>
      </c>
      <c r="Z1019">
        <v>0.03</v>
      </c>
      <c r="AA1019">
        <v>447.82960000000003</v>
      </c>
    </row>
    <row r="1020" spans="1:27" x14ac:dyDescent="0.3">
      <c r="A1020" t="s">
        <v>2827</v>
      </c>
      <c r="B1020" s="2">
        <v>45823</v>
      </c>
      <c r="C1020" t="s">
        <v>417</v>
      </c>
      <c r="D1020" t="s">
        <v>1635</v>
      </c>
      <c r="E1020" t="s">
        <v>1759</v>
      </c>
      <c r="F1020" s="4">
        <v>3</v>
      </c>
      <c r="G1020">
        <v>593.62</v>
      </c>
      <c r="H1020">
        <v>0.08</v>
      </c>
      <c r="I1020" t="s">
        <v>1807</v>
      </c>
      <c r="J1020">
        <v>1638.3912</v>
      </c>
      <c r="K1020" t="s">
        <v>418</v>
      </c>
      <c r="L1020">
        <v>40</v>
      </c>
      <c r="M1020" t="str">
        <v>Male</v>
      </c>
      <c r="N1020" t="str">
        <f>VLOOKUP(C:C,Customer_Dim!B:I,5,1)</f>
        <v>Kathrynport</v>
      </c>
      <c r="O1020" t="str">
        <f>VLOOKUP(C:C,Customer_Dim!B:I,6,1)</f>
        <v>North Carolina</v>
      </c>
      <c r="P1020" t="str">
        <f>VLOOKUP(C:C,Customer_Dim!B:I,7,1)</f>
        <v>USA</v>
      </c>
      <c r="Q1020" t="str">
        <f>VLOOKUP(C:C,Customer_Dim!B:I,8,1)</f>
        <v>Platinum</v>
      </c>
      <c r="S1020">
        <v>3</v>
      </c>
      <c r="T1020">
        <v>593.62</v>
      </c>
      <c r="U1020">
        <v>0.08</v>
      </c>
      <c r="V1020">
        <v>1638.3912</v>
      </c>
      <c r="X1020" s="4">
        <v>3</v>
      </c>
      <c r="Y1020">
        <v>593.62</v>
      </c>
      <c r="Z1020">
        <v>0.08</v>
      </c>
      <c r="AA1020">
        <v>1638.3912</v>
      </c>
    </row>
    <row r="1021" spans="1:27" x14ac:dyDescent="0.3">
      <c r="A1021" t="s">
        <v>2828</v>
      </c>
      <c r="B1021" s="2">
        <v>45733</v>
      </c>
      <c r="C1021" t="s">
        <v>1095</v>
      </c>
      <c r="D1021" t="s">
        <v>1621</v>
      </c>
      <c r="E1021" t="s">
        <v>1752</v>
      </c>
      <c r="F1021" s="4">
        <v>2</v>
      </c>
      <c r="G1021">
        <v>825.04</v>
      </c>
      <c r="H1021">
        <v>0.2</v>
      </c>
      <c r="I1021" t="s">
        <v>1807</v>
      </c>
      <c r="J1021">
        <v>1320.0640000000001</v>
      </c>
      <c r="K1021" t="s">
        <v>3954</v>
      </c>
      <c r="L1021">
        <v>38</v>
      </c>
      <c r="M1021" t="str">
        <v>Male</v>
      </c>
      <c r="N1021" t="str">
        <f>VLOOKUP(C:C,Customer_Dim!B:I,5,1)</f>
        <v>Westbury</v>
      </c>
      <c r="O1021" t="str">
        <f>VLOOKUP(C:C,Customer_Dim!B:I,6,1)</f>
        <v>Oregon</v>
      </c>
      <c r="P1021" t="str">
        <f>VLOOKUP(C:C,Customer_Dim!B:I,7,1)</f>
        <v>USA</v>
      </c>
      <c r="Q1021" t="str">
        <f>VLOOKUP(C:C,Customer_Dim!B:I,8,1)</f>
        <v>Platinum</v>
      </c>
      <c r="S1021">
        <v>2</v>
      </c>
      <c r="T1021">
        <v>825.04</v>
      </c>
      <c r="U1021">
        <v>0.2</v>
      </c>
      <c r="V1021">
        <v>1320.0640000000001</v>
      </c>
      <c r="X1021" s="4">
        <v>2</v>
      </c>
      <c r="Y1021">
        <v>825.04</v>
      </c>
      <c r="Z1021">
        <v>0.2</v>
      </c>
      <c r="AA1021">
        <v>1320.0640000000001</v>
      </c>
    </row>
    <row r="1022" spans="1:27" x14ac:dyDescent="0.3">
      <c r="A1022" t="s">
        <v>2829</v>
      </c>
      <c r="B1022" s="2">
        <v>45322</v>
      </c>
      <c r="C1022" t="s">
        <v>1415</v>
      </c>
      <c r="D1022" t="s">
        <v>1581</v>
      </c>
      <c r="E1022" t="s">
        <v>1780</v>
      </c>
      <c r="F1022" s="4">
        <v>1</v>
      </c>
      <c r="G1022">
        <v>963.76</v>
      </c>
      <c r="H1022">
        <v>0.14000000000000001</v>
      </c>
      <c r="I1022" t="s">
        <v>1809</v>
      </c>
      <c r="J1022">
        <v>828.83359999999993</v>
      </c>
      <c r="K1022" t="s">
        <v>1416</v>
      </c>
      <c r="L1022">
        <v>28</v>
      </c>
      <c r="M1022" t="str">
        <v>Female</v>
      </c>
      <c r="N1022" t="str">
        <f>VLOOKUP(C:C,Customer_Dim!B:I,5,1)</f>
        <v>Grayland</v>
      </c>
      <c r="O1022" t="str">
        <f>VLOOKUP(C:C,Customer_Dim!B:I,6,1)</f>
        <v>Washington</v>
      </c>
      <c r="P1022" t="str">
        <f>VLOOKUP(C:C,Customer_Dim!B:I,7,1)</f>
        <v>USA</v>
      </c>
      <c r="Q1022" t="str">
        <f>VLOOKUP(C:C,Customer_Dim!B:I,8,1)</f>
        <v>Platinum</v>
      </c>
      <c r="S1022">
        <v>1</v>
      </c>
      <c r="T1022">
        <v>963.76</v>
      </c>
      <c r="U1022">
        <v>0.14000000000000001</v>
      </c>
      <c r="V1022">
        <v>828.83359999999993</v>
      </c>
      <c r="X1022" s="4">
        <v>1</v>
      </c>
      <c r="Y1022">
        <v>963.76</v>
      </c>
      <c r="Z1022">
        <v>0.14000000000000001</v>
      </c>
      <c r="AA1022">
        <v>828.83359999999993</v>
      </c>
    </row>
    <row r="1023" spans="1:27" x14ac:dyDescent="0.3">
      <c r="A1023" t="s">
        <v>2830</v>
      </c>
      <c r="B1023" s="2">
        <v>45415</v>
      </c>
      <c r="C1023" t="s">
        <v>917</v>
      </c>
      <c r="D1023" t="s">
        <v>1641</v>
      </c>
      <c r="E1023" t="s">
        <v>1759</v>
      </c>
      <c r="F1023" s="4">
        <v>1</v>
      </c>
      <c r="G1023">
        <v>238.24</v>
      </c>
      <c r="H1023">
        <v>0.12</v>
      </c>
      <c r="I1023" t="s">
        <v>1809</v>
      </c>
      <c r="J1023">
        <v>209.65119999999999</v>
      </c>
      <c r="K1023" t="s">
        <v>918</v>
      </c>
      <c r="L1023">
        <v>56</v>
      </c>
      <c r="M1023" t="str">
        <v>Female</v>
      </c>
      <c r="N1023" t="str">
        <f>VLOOKUP(C:C,Customer_Dim!B:I,5,1)</f>
        <v>Danielland</v>
      </c>
      <c r="O1023" t="str">
        <f>VLOOKUP(C:C,Customer_Dim!B:I,6,1)</f>
        <v>Minnesota</v>
      </c>
      <c r="P1023" t="str">
        <f>VLOOKUP(C:C,Customer_Dim!B:I,7,1)</f>
        <v>USA</v>
      </c>
      <c r="Q1023" t="str">
        <f>VLOOKUP(C:C,Customer_Dim!B:I,8,1)</f>
        <v>Silver</v>
      </c>
      <c r="S1023">
        <v>1</v>
      </c>
      <c r="T1023">
        <v>238.24</v>
      </c>
      <c r="U1023">
        <v>0.12</v>
      </c>
      <c r="V1023">
        <v>209.65119999999999</v>
      </c>
      <c r="X1023" s="4">
        <v>1</v>
      </c>
      <c r="Y1023">
        <v>238.24</v>
      </c>
      <c r="Z1023">
        <v>0.12</v>
      </c>
      <c r="AA1023">
        <v>209.65119999999999</v>
      </c>
    </row>
    <row r="1024" spans="1:27" x14ac:dyDescent="0.3">
      <c r="A1024" t="s">
        <v>2831</v>
      </c>
      <c r="B1024" s="2">
        <v>45644</v>
      </c>
      <c r="C1024" t="s">
        <v>1395</v>
      </c>
      <c r="D1024" t="s">
        <v>1695</v>
      </c>
      <c r="E1024" t="s">
        <v>1787</v>
      </c>
      <c r="F1024" s="4">
        <v>1</v>
      </c>
      <c r="G1024">
        <v>756.63</v>
      </c>
      <c r="H1024">
        <v>0.04</v>
      </c>
      <c r="I1024" t="s">
        <v>1809</v>
      </c>
      <c r="J1024">
        <v>726.36479999999995</v>
      </c>
      <c r="K1024" t="s">
        <v>1396</v>
      </c>
      <c r="L1024">
        <v>62</v>
      </c>
      <c r="M1024" t="str">
        <v>Female</v>
      </c>
      <c r="N1024" t="str">
        <f>VLOOKUP(C:C,Customer_Dim!B:I,5,1)</f>
        <v>Hubbardborough</v>
      </c>
      <c r="O1024" t="str">
        <f>VLOOKUP(C:C,Customer_Dim!B:I,6,1)</f>
        <v>Kentucky</v>
      </c>
      <c r="P1024" t="str">
        <f>VLOOKUP(C:C,Customer_Dim!B:I,7,1)</f>
        <v>USA</v>
      </c>
      <c r="Q1024" t="str">
        <f>VLOOKUP(C:C,Customer_Dim!B:I,8,1)</f>
        <v>Platinum</v>
      </c>
      <c r="S1024">
        <v>1</v>
      </c>
      <c r="T1024">
        <v>756.63</v>
      </c>
      <c r="U1024">
        <v>0.04</v>
      </c>
      <c r="V1024">
        <v>726.36479999999995</v>
      </c>
      <c r="X1024" s="4">
        <v>1</v>
      </c>
      <c r="Y1024">
        <v>756.63</v>
      </c>
      <c r="Z1024">
        <v>0.04</v>
      </c>
      <c r="AA1024">
        <v>726.36479999999995</v>
      </c>
    </row>
    <row r="1025" spans="1:27" x14ac:dyDescent="0.3">
      <c r="A1025" t="s">
        <v>2832</v>
      </c>
      <c r="B1025" s="2">
        <v>45845</v>
      </c>
      <c r="C1025" t="s">
        <v>85</v>
      </c>
      <c r="D1025" t="s">
        <v>1717</v>
      </c>
      <c r="E1025" t="s">
        <v>1762</v>
      </c>
      <c r="F1025" s="4">
        <v>3</v>
      </c>
      <c r="G1025">
        <v>159.76</v>
      </c>
      <c r="H1025">
        <v>0.22</v>
      </c>
      <c r="I1025" t="s">
        <v>1807</v>
      </c>
      <c r="J1025">
        <v>373.83839999999998</v>
      </c>
      <c r="K1025" t="s">
        <v>86</v>
      </c>
      <c r="L1025">
        <v>59</v>
      </c>
      <c r="M1025" t="str">
        <v>Male</v>
      </c>
      <c r="N1025" t="str">
        <f>VLOOKUP(C:C,Customer_Dim!B:I,5,1)</f>
        <v>Gonzalezfort</v>
      </c>
      <c r="O1025" t="str">
        <f>VLOOKUP(C:C,Customer_Dim!B:I,6,1)</f>
        <v>New Jersey</v>
      </c>
      <c r="P1025" t="str">
        <f>VLOOKUP(C:C,Customer_Dim!B:I,7,1)</f>
        <v>USA</v>
      </c>
      <c r="Q1025" t="str">
        <f>VLOOKUP(C:C,Customer_Dim!B:I,8,1)</f>
        <v>Platinum</v>
      </c>
      <c r="S1025">
        <v>3</v>
      </c>
      <c r="T1025">
        <v>159.76</v>
      </c>
      <c r="U1025">
        <v>0.22</v>
      </c>
      <c r="V1025">
        <v>373.83839999999998</v>
      </c>
      <c r="X1025" s="4">
        <v>3</v>
      </c>
      <c r="Y1025">
        <v>159.76</v>
      </c>
      <c r="Z1025">
        <v>0.22</v>
      </c>
      <c r="AA1025">
        <v>373.83839999999998</v>
      </c>
    </row>
    <row r="1026" spans="1:27" x14ac:dyDescent="0.3">
      <c r="A1026" t="s">
        <v>2833</v>
      </c>
      <c r="B1026" s="2">
        <v>45354</v>
      </c>
      <c r="C1026" t="s">
        <v>1138</v>
      </c>
      <c r="D1026" t="s">
        <v>1721</v>
      </c>
      <c r="E1026" t="s">
        <v>1765</v>
      </c>
      <c r="F1026" s="4">
        <v>1</v>
      </c>
      <c r="G1026">
        <v>329.94</v>
      </c>
      <c r="H1026">
        <v>0.14000000000000001</v>
      </c>
      <c r="I1026" t="s">
        <v>1812</v>
      </c>
      <c r="J1026">
        <v>283.7484</v>
      </c>
      <c r="K1026" t="s">
        <v>1139</v>
      </c>
      <c r="L1026">
        <v>20</v>
      </c>
      <c r="M1026" t="str">
        <v>Female</v>
      </c>
      <c r="N1026" t="str">
        <f>VLOOKUP(C:C,Customer_Dim!B:I,5,1)</f>
        <v>West Mathew</v>
      </c>
      <c r="O1026" t="str">
        <f>VLOOKUP(C:C,Customer_Dim!B:I,6,1)</f>
        <v>New York</v>
      </c>
      <c r="P1026" t="str">
        <f>VLOOKUP(C:C,Customer_Dim!B:I,7,1)</f>
        <v>USA</v>
      </c>
      <c r="Q1026" t="str">
        <f>VLOOKUP(C:C,Customer_Dim!B:I,8,1)</f>
        <v>Platinum</v>
      </c>
      <c r="S1026">
        <v>1</v>
      </c>
      <c r="T1026">
        <v>329.94</v>
      </c>
      <c r="U1026">
        <v>0.14000000000000001</v>
      </c>
      <c r="V1026">
        <v>283.7484</v>
      </c>
      <c r="X1026" s="4">
        <v>1</v>
      </c>
      <c r="Y1026">
        <v>329.94</v>
      </c>
      <c r="Z1026">
        <v>0.14000000000000001</v>
      </c>
      <c r="AA1026">
        <v>283.7484</v>
      </c>
    </row>
    <row r="1027" spans="1:27" x14ac:dyDescent="0.3">
      <c r="A1027" t="s">
        <v>2834</v>
      </c>
      <c r="B1027" s="2">
        <v>45720</v>
      </c>
      <c r="C1027" t="s">
        <v>221</v>
      </c>
      <c r="D1027" t="s">
        <v>1565</v>
      </c>
      <c r="E1027" t="s">
        <v>1765</v>
      </c>
      <c r="F1027" s="4">
        <v>1</v>
      </c>
      <c r="G1027">
        <v>234.06</v>
      </c>
      <c r="H1027">
        <v>0.11</v>
      </c>
      <c r="I1027" t="s">
        <v>1809</v>
      </c>
      <c r="J1027">
        <v>208.3134</v>
      </c>
      <c r="K1027" t="s">
        <v>222</v>
      </c>
      <c r="L1027">
        <v>23</v>
      </c>
      <c r="M1027" t="str">
        <v>Male</v>
      </c>
      <c r="N1027" t="str">
        <f>VLOOKUP(C:C,Customer_Dim!B:I,5,1)</f>
        <v>Schmidtchester</v>
      </c>
      <c r="O1027" t="str">
        <f>VLOOKUP(C:C,Customer_Dim!B:I,6,1)</f>
        <v>Alaska</v>
      </c>
      <c r="P1027" t="str">
        <f>VLOOKUP(C:C,Customer_Dim!B:I,7,1)</f>
        <v>USA</v>
      </c>
      <c r="Q1027" t="str">
        <f>VLOOKUP(C:C,Customer_Dim!B:I,8,1)</f>
        <v>Silver</v>
      </c>
      <c r="S1027">
        <v>1</v>
      </c>
      <c r="T1027">
        <v>234.06</v>
      </c>
      <c r="U1027">
        <v>0.11</v>
      </c>
      <c r="V1027">
        <v>208.3134</v>
      </c>
      <c r="X1027" s="4">
        <v>1</v>
      </c>
      <c r="Y1027">
        <v>234.06</v>
      </c>
      <c r="Z1027">
        <v>0.11</v>
      </c>
      <c r="AA1027">
        <v>208.3134</v>
      </c>
    </row>
    <row r="1028" spans="1:27" x14ac:dyDescent="0.3">
      <c r="A1028" t="s">
        <v>2835</v>
      </c>
      <c r="B1028" s="2">
        <v>45278</v>
      </c>
      <c r="C1028" t="s">
        <v>989</v>
      </c>
      <c r="D1028" t="s">
        <v>1693</v>
      </c>
      <c r="E1028" t="s">
        <v>1735</v>
      </c>
      <c r="F1028" s="4">
        <v>2</v>
      </c>
      <c r="G1028">
        <v>773.75</v>
      </c>
      <c r="H1028">
        <v>0.16</v>
      </c>
      <c r="I1028" t="s">
        <v>1809</v>
      </c>
      <c r="J1028">
        <v>1299.9000000000001</v>
      </c>
      <c r="K1028" t="s">
        <v>990</v>
      </c>
      <c r="L1028">
        <v>25</v>
      </c>
      <c r="M1028" t="str">
        <v>Male</v>
      </c>
      <c r="N1028" t="str">
        <f>VLOOKUP(C:C,Customer_Dim!B:I,5,1)</f>
        <v>Richardsport</v>
      </c>
      <c r="O1028" t="str">
        <f>VLOOKUP(C:C,Customer_Dim!B:I,6,1)</f>
        <v>New Hampshire</v>
      </c>
      <c r="P1028" t="str">
        <f>VLOOKUP(C:C,Customer_Dim!B:I,7,1)</f>
        <v>USA</v>
      </c>
      <c r="Q1028" t="str">
        <f>VLOOKUP(C:C,Customer_Dim!B:I,8,1)</f>
        <v>Gold</v>
      </c>
      <c r="S1028">
        <v>2</v>
      </c>
      <c r="T1028">
        <v>773.75</v>
      </c>
      <c r="U1028">
        <v>0.16</v>
      </c>
      <c r="V1028">
        <v>1299.9000000000001</v>
      </c>
      <c r="X1028" s="4">
        <v>2</v>
      </c>
      <c r="Y1028">
        <v>773.75</v>
      </c>
      <c r="Z1028">
        <v>0.16</v>
      </c>
      <c r="AA1028">
        <v>1299.9000000000001</v>
      </c>
    </row>
    <row r="1029" spans="1:27" x14ac:dyDescent="0.3">
      <c r="A1029" t="s">
        <v>2836</v>
      </c>
      <c r="B1029" s="2">
        <v>45422</v>
      </c>
      <c r="C1029" t="s">
        <v>1336</v>
      </c>
      <c r="D1029" t="s">
        <v>1635</v>
      </c>
      <c r="E1029" t="s">
        <v>1793</v>
      </c>
      <c r="F1029" s="4">
        <v>1</v>
      </c>
      <c r="G1029">
        <v>73.88</v>
      </c>
      <c r="H1029">
        <v>0.04</v>
      </c>
      <c r="I1029" t="s">
        <v>1807</v>
      </c>
      <c r="J1029">
        <v>70.924799999999991</v>
      </c>
      <c r="K1029" t="s">
        <v>1337</v>
      </c>
      <c r="L1029">
        <v>47</v>
      </c>
      <c r="M1029" t="str">
        <v>Female</v>
      </c>
      <c r="N1029" t="str">
        <f>VLOOKUP(C:C,Customer_Dim!B:I,5,1)</f>
        <v>South Michellebury</v>
      </c>
      <c r="O1029" t="str">
        <f>VLOOKUP(C:C,Customer_Dim!B:I,6,1)</f>
        <v>South Dakota</v>
      </c>
      <c r="P1029" t="str">
        <f>VLOOKUP(C:C,Customer_Dim!B:I,7,1)</f>
        <v>USA</v>
      </c>
      <c r="Q1029" t="str">
        <f>VLOOKUP(C:C,Customer_Dim!B:I,8,1)</f>
        <v>Gold</v>
      </c>
      <c r="S1029">
        <v>1</v>
      </c>
      <c r="T1029">
        <v>73.88</v>
      </c>
      <c r="U1029">
        <v>0.04</v>
      </c>
      <c r="V1029">
        <v>70.924799999999991</v>
      </c>
      <c r="X1029" s="4">
        <v>1</v>
      </c>
      <c r="Y1029">
        <v>73.88</v>
      </c>
      <c r="Z1029">
        <v>0.04</v>
      </c>
      <c r="AA1029">
        <v>70.924799999999991</v>
      </c>
    </row>
    <row r="1030" spans="1:27" x14ac:dyDescent="0.3">
      <c r="A1030" t="s">
        <v>2837</v>
      </c>
      <c r="B1030" s="2">
        <v>45337</v>
      </c>
      <c r="C1030" t="s">
        <v>32</v>
      </c>
      <c r="D1030" t="s">
        <v>1703</v>
      </c>
      <c r="E1030" t="s">
        <v>1793</v>
      </c>
      <c r="F1030" s="4">
        <v>1</v>
      </c>
      <c r="G1030">
        <v>859.3</v>
      </c>
      <c r="H1030">
        <v>0.16</v>
      </c>
      <c r="I1030" t="s">
        <v>1809</v>
      </c>
      <c r="J1030">
        <v>721.8119999999999</v>
      </c>
      <c r="K1030" t="s">
        <v>33</v>
      </c>
      <c r="L1030">
        <v>29</v>
      </c>
      <c r="M1030" t="str">
        <v>Female</v>
      </c>
      <c r="N1030" t="str">
        <f>VLOOKUP(C:C,Customer_Dim!B:I,5,1)</f>
        <v>East Amandamouth</v>
      </c>
      <c r="O1030" t="str">
        <f>VLOOKUP(C:C,Customer_Dim!B:I,6,1)</f>
        <v>Oregon</v>
      </c>
      <c r="P1030" t="str">
        <f>VLOOKUP(C:C,Customer_Dim!B:I,7,1)</f>
        <v>USA</v>
      </c>
      <c r="Q1030" t="str">
        <f>VLOOKUP(C:C,Customer_Dim!B:I,8,1)</f>
        <v>Bronze</v>
      </c>
      <c r="S1030">
        <v>1</v>
      </c>
      <c r="T1030">
        <v>859.3</v>
      </c>
      <c r="U1030">
        <v>0.16</v>
      </c>
      <c r="V1030">
        <v>721.8119999999999</v>
      </c>
      <c r="X1030" s="4">
        <v>1</v>
      </c>
      <c r="Y1030">
        <v>859.3</v>
      </c>
      <c r="Z1030">
        <v>0.16</v>
      </c>
      <c r="AA1030">
        <v>721.8119999999999</v>
      </c>
    </row>
    <row r="1031" spans="1:27" x14ac:dyDescent="0.3">
      <c r="A1031" t="s">
        <v>2838</v>
      </c>
      <c r="B1031" s="2">
        <v>45564</v>
      </c>
      <c r="C1031" t="s">
        <v>439</v>
      </c>
      <c r="D1031" t="s">
        <v>1693</v>
      </c>
      <c r="E1031" t="s">
        <v>1759</v>
      </c>
      <c r="F1031" s="4">
        <v>4</v>
      </c>
      <c r="G1031">
        <v>762.43</v>
      </c>
      <c r="H1031">
        <v>0.05</v>
      </c>
      <c r="I1031" t="s">
        <v>1807</v>
      </c>
      <c r="J1031">
        <v>2897.233999999999</v>
      </c>
      <c r="K1031" t="s">
        <v>440</v>
      </c>
      <c r="L1031">
        <v>29</v>
      </c>
      <c r="M1031" t="str">
        <v>Male</v>
      </c>
      <c r="N1031" t="str">
        <f>VLOOKUP(C:C,Customer_Dim!B:I,5,1)</f>
        <v>Matthewbury</v>
      </c>
      <c r="O1031" t="str">
        <f>VLOOKUP(C:C,Customer_Dim!B:I,6,1)</f>
        <v>South Dakota</v>
      </c>
      <c r="P1031" t="str">
        <f>VLOOKUP(C:C,Customer_Dim!B:I,7,1)</f>
        <v>USA</v>
      </c>
      <c r="Q1031" t="str">
        <f>VLOOKUP(C:C,Customer_Dim!B:I,8,1)</f>
        <v>Silver</v>
      </c>
      <c r="S1031">
        <v>4</v>
      </c>
      <c r="T1031">
        <v>762.43</v>
      </c>
      <c r="U1031">
        <v>0.05</v>
      </c>
      <c r="V1031">
        <v>2897.233999999999</v>
      </c>
      <c r="X1031" s="4">
        <v>4</v>
      </c>
      <c r="Y1031">
        <v>762.43</v>
      </c>
      <c r="Z1031">
        <v>0.05</v>
      </c>
      <c r="AA1031">
        <v>2897.233999999999</v>
      </c>
    </row>
    <row r="1032" spans="1:27" x14ac:dyDescent="0.3">
      <c r="A1032" t="s">
        <v>2839</v>
      </c>
      <c r="B1032" s="2">
        <v>45424</v>
      </c>
      <c r="C1032" t="s">
        <v>423</v>
      </c>
      <c r="D1032" t="s">
        <v>1677</v>
      </c>
      <c r="E1032" t="s">
        <v>1735</v>
      </c>
      <c r="F1032" s="4">
        <v>1</v>
      </c>
      <c r="G1032">
        <v>328.51</v>
      </c>
      <c r="H1032">
        <v>0.2</v>
      </c>
      <c r="I1032" t="s">
        <v>1812</v>
      </c>
      <c r="J1032">
        <v>262.80799999999999</v>
      </c>
      <c r="K1032" t="s">
        <v>424</v>
      </c>
      <c r="L1032">
        <v>64</v>
      </c>
      <c r="M1032" t="str">
        <v>Female</v>
      </c>
      <c r="N1032" t="str">
        <f>VLOOKUP(C:C,Customer_Dim!B:I,5,1)</f>
        <v>Wongberg</v>
      </c>
      <c r="O1032" t="str">
        <f>VLOOKUP(C:C,Customer_Dim!B:I,6,1)</f>
        <v>Illinois</v>
      </c>
      <c r="P1032" t="str">
        <f>VLOOKUP(C:C,Customer_Dim!B:I,7,1)</f>
        <v>USA</v>
      </c>
      <c r="Q1032" t="str">
        <f>VLOOKUP(C:C,Customer_Dim!B:I,8,1)</f>
        <v>Bronze</v>
      </c>
      <c r="S1032">
        <v>1</v>
      </c>
      <c r="T1032">
        <v>328.51</v>
      </c>
      <c r="U1032">
        <v>0.2</v>
      </c>
      <c r="V1032">
        <v>262.80799999999999</v>
      </c>
      <c r="X1032" s="4">
        <v>1</v>
      </c>
      <c r="Y1032">
        <v>328.51</v>
      </c>
      <c r="Z1032">
        <v>0.2</v>
      </c>
      <c r="AA1032">
        <v>262.80799999999999</v>
      </c>
    </row>
    <row r="1033" spans="1:27" x14ac:dyDescent="0.3">
      <c r="A1033" t="s">
        <v>2840</v>
      </c>
      <c r="B1033" s="2">
        <v>45719</v>
      </c>
      <c r="C1033" t="s">
        <v>864</v>
      </c>
      <c r="D1033" t="s">
        <v>1619</v>
      </c>
      <c r="E1033" t="s">
        <v>1752</v>
      </c>
      <c r="F1033" s="4">
        <v>1</v>
      </c>
      <c r="G1033">
        <v>34.51</v>
      </c>
      <c r="H1033">
        <v>0.04</v>
      </c>
      <c r="I1033" t="s">
        <v>1812</v>
      </c>
      <c r="J1033">
        <v>33.129600000000003</v>
      </c>
      <c r="K1033" t="s">
        <v>865</v>
      </c>
      <c r="L1033">
        <v>22</v>
      </c>
      <c r="M1033" t="str">
        <v>Male</v>
      </c>
      <c r="N1033" t="str">
        <f>VLOOKUP(C:C,Customer_Dim!B:I,5,1)</f>
        <v>Edwardborough</v>
      </c>
      <c r="O1033" t="str">
        <f>VLOOKUP(C:C,Customer_Dim!B:I,6,1)</f>
        <v>Vermont</v>
      </c>
      <c r="P1033" t="str">
        <f>VLOOKUP(C:C,Customer_Dim!B:I,7,1)</f>
        <v>USA</v>
      </c>
      <c r="Q1033" t="str">
        <f>VLOOKUP(C:C,Customer_Dim!B:I,8,1)</f>
        <v>Silver</v>
      </c>
      <c r="S1033">
        <v>1</v>
      </c>
      <c r="T1033">
        <v>34.51</v>
      </c>
      <c r="U1033">
        <v>0.04</v>
      </c>
      <c r="V1033">
        <v>33.129600000000003</v>
      </c>
      <c r="X1033" s="4">
        <v>1</v>
      </c>
      <c r="Y1033">
        <v>34.51</v>
      </c>
      <c r="Z1033">
        <v>0.04</v>
      </c>
      <c r="AA1033">
        <v>33.129600000000003</v>
      </c>
    </row>
    <row r="1034" spans="1:27" x14ac:dyDescent="0.3">
      <c r="A1034" t="s">
        <v>2841</v>
      </c>
      <c r="B1034" s="2">
        <v>45250</v>
      </c>
      <c r="C1034" t="s">
        <v>367</v>
      </c>
      <c r="D1034" t="s">
        <v>1569</v>
      </c>
      <c r="E1034" t="s">
        <v>1775</v>
      </c>
      <c r="F1034" s="4">
        <v>3</v>
      </c>
      <c r="G1034">
        <v>663.73</v>
      </c>
      <c r="H1034">
        <v>0.06</v>
      </c>
      <c r="I1034" t="s">
        <v>1812</v>
      </c>
      <c r="J1034">
        <v>1871.7185999999999</v>
      </c>
      <c r="K1034" t="s">
        <v>368</v>
      </c>
      <c r="L1034">
        <v>53</v>
      </c>
      <c r="M1034" t="str">
        <v>Female</v>
      </c>
      <c r="N1034" t="str">
        <f>VLOOKUP(C:C,Customer_Dim!B:I,5,1)</f>
        <v>Port Victoria</v>
      </c>
      <c r="O1034" t="str">
        <f>VLOOKUP(C:C,Customer_Dim!B:I,6,1)</f>
        <v>Florida</v>
      </c>
      <c r="P1034" t="str">
        <f>VLOOKUP(C:C,Customer_Dim!B:I,7,1)</f>
        <v>USA</v>
      </c>
      <c r="Q1034" t="str">
        <f>VLOOKUP(C:C,Customer_Dim!B:I,8,1)</f>
        <v>Gold</v>
      </c>
      <c r="S1034">
        <v>3</v>
      </c>
      <c r="T1034">
        <v>663.73</v>
      </c>
      <c r="U1034">
        <v>0.06</v>
      </c>
      <c r="V1034">
        <v>1871.7185999999999</v>
      </c>
      <c r="X1034" s="4">
        <v>3</v>
      </c>
      <c r="Y1034">
        <v>663.73</v>
      </c>
      <c r="Z1034">
        <v>0.06</v>
      </c>
      <c r="AA1034">
        <v>1871.7185999999999</v>
      </c>
    </row>
    <row r="1035" spans="1:27" x14ac:dyDescent="0.3">
      <c r="A1035" t="s">
        <v>2842</v>
      </c>
      <c r="B1035" s="2">
        <v>45479</v>
      </c>
      <c r="C1035" t="s">
        <v>782</v>
      </c>
      <c r="D1035" t="s">
        <v>1597</v>
      </c>
      <c r="E1035" t="s">
        <v>1769</v>
      </c>
      <c r="F1035" s="4">
        <v>1</v>
      </c>
      <c r="G1035">
        <v>409.41</v>
      </c>
      <c r="H1035">
        <v>0.13</v>
      </c>
      <c r="I1035" t="s">
        <v>1809</v>
      </c>
      <c r="J1035">
        <v>356.18669999999997</v>
      </c>
      <c r="K1035" t="s">
        <v>783</v>
      </c>
      <c r="L1035">
        <v>32</v>
      </c>
      <c r="M1035" t="str">
        <v>Male</v>
      </c>
      <c r="N1035" t="str">
        <f>VLOOKUP(C:C,Customer_Dim!B:I,5,1)</f>
        <v>South Regina</v>
      </c>
      <c r="O1035" t="str">
        <f>VLOOKUP(C:C,Customer_Dim!B:I,6,1)</f>
        <v>Arkansas</v>
      </c>
      <c r="P1035" t="str">
        <f>VLOOKUP(C:C,Customer_Dim!B:I,7,1)</f>
        <v>USA</v>
      </c>
      <c r="Q1035" t="str">
        <f>VLOOKUP(C:C,Customer_Dim!B:I,8,1)</f>
        <v>Bronze</v>
      </c>
      <c r="S1035">
        <v>1</v>
      </c>
      <c r="T1035">
        <v>409.41</v>
      </c>
      <c r="U1035">
        <v>0.13</v>
      </c>
      <c r="V1035">
        <v>356.18669999999997</v>
      </c>
      <c r="X1035" s="4">
        <v>1</v>
      </c>
      <c r="Y1035">
        <v>409.41</v>
      </c>
      <c r="Z1035">
        <v>0.13</v>
      </c>
      <c r="AA1035">
        <v>356.18669999999997</v>
      </c>
    </row>
    <row r="1036" spans="1:27" x14ac:dyDescent="0.3">
      <c r="A1036" t="s">
        <v>2843</v>
      </c>
      <c r="B1036" s="2">
        <v>45727</v>
      </c>
      <c r="C1036" t="s">
        <v>327</v>
      </c>
      <c r="D1036" t="s">
        <v>1687</v>
      </c>
      <c r="E1036" t="s">
        <v>1749</v>
      </c>
      <c r="F1036" s="4">
        <v>3</v>
      </c>
      <c r="G1036">
        <v>461.03</v>
      </c>
      <c r="H1036">
        <v>0.11</v>
      </c>
      <c r="I1036" t="s">
        <v>1809</v>
      </c>
      <c r="J1036">
        <v>1230.9501</v>
      </c>
      <c r="K1036" t="s">
        <v>328</v>
      </c>
      <c r="L1036">
        <v>28</v>
      </c>
      <c r="M1036" t="str">
        <v>Female</v>
      </c>
      <c r="N1036" t="str">
        <f>VLOOKUP(C:C,Customer_Dim!B:I,5,1)</f>
        <v>Lake Brandy</v>
      </c>
      <c r="O1036" t="str">
        <f>VLOOKUP(C:C,Customer_Dim!B:I,6,1)</f>
        <v>Tennessee</v>
      </c>
      <c r="P1036" t="str">
        <f>VLOOKUP(C:C,Customer_Dim!B:I,7,1)</f>
        <v>USA</v>
      </c>
      <c r="Q1036" t="str">
        <f>VLOOKUP(C:C,Customer_Dim!B:I,8,1)</f>
        <v>Platinum</v>
      </c>
      <c r="S1036">
        <v>3</v>
      </c>
      <c r="T1036">
        <v>461.03</v>
      </c>
      <c r="U1036">
        <v>0.11</v>
      </c>
      <c r="V1036">
        <v>1230.9501</v>
      </c>
      <c r="X1036" s="4">
        <v>3</v>
      </c>
      <c r="Y1036">
        <v>461.03</v>
      </c>
      <c r="Z1036">
        <v>0.11</v>
      </c>
      <c r="AA1036">
        <v>1230.9501</v>
      </c>
    </row>
    <row r="1037" spans="1:27" x14ac:dyDescent="0.3">
      <c r="A1037" t="s">
        <v>2844</v>
      </c>
      <c r="B1037" s="2">
        <v>45394</v>
      </c>
      <c r="C1037" t="s">
        <v>1138</v>
      </c>
      <c r="D1037" t="s">
        <v>1569</v>
      </c>
      <c r="E1037" t="s">
        <v>1782</v>
      </c>
      <c r="F1037" s="4">
        <v>2</v>
      </c>
      <c r="G1037">
        <v>760.14</v>
      </c>
      <c r="H1037">
        <v>0.02</v>
      </c>
      <c r="I1037" t="s">
        <v>1812</v>
      </c>
      <c r="J1037">
        <v>1489.8743999999999</v>
      </c>
      <c r="K1037" t="s">
        <v>1139</v>
      </c>
      <c r="L1037">
        <v>20</v>
      </c>
      <c r="M1037" t="str">
        <v>Female</v>
      </c>
      <c r="N1037" t="str">
        <f>VLOOKUP(C:C,Customer_Dim!B:I,5,1)</f>
        <v>West Mathew</v>
      </c>
      <c r="O1037" t="str">
        <f>VLOOKUP(C:C,Customer_Dim!B:I,6,1)</f>
        <v>New York</v>
      </c>
      <c r="P1037" t="str">
        <f>VLOOKUP(C:C,Customer_Dim!B:I,7,1)</f>
        <v>USA</v>
      </c>
      <c r="Q1037" t="str">
        <f>VLOOKUP(C:C,Customer_Dim!B:I,8,1)</f>
        <v>Platinum</v>
      </c>
      <c r="S1037">
        <v>2</v>
      </c>
      <c r="T1037">
        <v>760.14</v>
      </c>
      <c r="U1037">
        <v>0.02</v>
      </c>
      <c r="V1037">
        <v>1489.8743999999999</v>
      </c>
      <c r="X1037" s="4">
        <v>2</v>
      </c>
      <c r="Y1037">
        <v>760.14</v>
      </c>
      <c r="Z1037">
        <v>0.02</v>
      </c>
      <c r="AA1037">
        <v>1489.8743999999999</v>
      </c>
    </row>
    <row r="1038" spans="1:27" x14ac:dyDescent="0.3">
      <c r="A1038" t="s">
        <v>2845</v>
      </c>
      <c r="B1038" s="2">
        <v>45773</v>
      </c>
      <c r="C1038" t="s">
        <v>876</v>
      </c>
      <c r="D1038" t="s">
        <v>1577</v>
      </c>
      <c r="E1038" t="s">
        <v>1740</v>
      </c>
      <c r="F1038" s="4">
        <v>3</v>
      </c>
      <c r="G1038">
        <v>688.76</v>
      </c>
      <c r="H1038">
        <v>0.12</v>
      </c>
      <c r="I1038" t="s">
        <v>1809</v>
      </c>
      <c r="J1038">
        <v>1818.3263999999999</v>
      </c>
      <c r="K1038" t="s">
        <v>877</v>
      </c>
      <c r="L1038">
        <v>21</v>
      </c>
      <c r="M1038" t="str">
        <v>Female</v>
      </c>
      <c r="N1038" t="str">
        <f>VLOOKUP(C:C,Customer_Dim!B:I,5,1)</f>
        <v>Port Mariastad</v>
      </c>
      <c r="O1038" t="str">
        <f>VLOOKUP(C:C,Customer_Dim!B:I,6,1)</f>
        <v>Rhode Island</v>
      </c>
      <c r="P1038" t="str">
        <f>VLOOKUP(C:C,Customer_Dim!B:I,7,1)</f>
        <v>USA</v>
      </c>
      <c r="Q1038" t="str">
        <f>VLOOKUP(C:C,Customer_Dim!B:I,8,1)</f>
        <v>Platinum</v>
      </c>
      <c r="S1038">
        <v>3</v>
      </c>
      <c r="T1038">
        <v>688.76</v>
      </c>
      <c r="U1038">
        <v>0.12</v>
      </c>
      <c r="V1038">
        <v>1818.3263999999999</v>
      </c>
      <c r="X1038" s="4">
        <v>3</v>
      </c>
      <c r="Y1038">
        <v>688.76</v>
      </c>
      <c r="Z1038">
        <v>0.12</v>
      </c>
      <c r="AA1038">
        <v>1818.3263999999999</v>
      </c>
    </row>
    <row r="1039" spans="1:27" x14ac:dyDescent="0.3">
      <c r="A1039" t="s">
        <v>2846</v>
      </c>
      <c r="B1039" s="2">
        <v>45779</v>
      </c>
      <c r="C1039" t="s">
        <v>527</v>
      </c>
      <c r="D1039" t="s">
        <v>1617</v>
      </c>
      <c r="E1039" t="s">
        <v>1769</v>
      </c>
      <c r="F1039" s="4">
        <v>2</v>
      </c>
      <c r="G1039">
        <v>257.77999999999997</v>
      </c>
      <c r="H1039">
        <v>0.05</v>
      </c>
      <c r="I1039" t="s">
        <v>1807</v>
      </c>
      <c r="J1039">
        <v>489.78199999999993</v>
      </c>
      <c r="K1039" t="s">
        <v>528</v>
      </c>
      <c r="L1039">
        <v>41</v>
      </c>
      <c r="M1039" t="str">
        <v>Female</v>
      </c>
      <c r="N1039" t="str">
        <f>VLOOKUP(C:C,Customer_Dim!B:I,5,1)</f>
        <v>Floydton</v>
      </c>
      <c r="O1039" t="str">
        <f>VLOOKUP(C:C,Customer_Dim!B:I,6,1)</f>
        <v>New Jersey</v>
      </c>
      <c r="P1039" t="str">
        <f>VLOOKUP(C:C,Customer_Dim!B:I,7,1)</f>
        <v>USA</v>
      </c>
      <c r="Q1039" t="str">
        <f>VLOOKUP(C:C,Customer_Dim!B:I,8,1)</f>
        <v>Gold</v>
      </c>
      <c r="S1039">
        <v>2</v>
      </c>
      <c r="T1039">
        <v>257.77999999999997</v>
      </c>
      <c r="U1039">
        <v>0.05</v>
      </c>
      <c r="V1039">
        <v>489.78199999999993</v>
      </c>
      <c r="X1039" s="4">
        <v>2</v>
      </c>
      <c r="Y1039">
        <v>257.77999999999997</v>
      </c>
      <c r="Z1039">
        <v>0.05</v>
      </c>
      <c r="AA1039">
        <v>489.78199999999993</v>
      </c>
    </row>
    <row r="1040" spans="1:27" x14ac:dyDescent="0.3">
      <c r="A1040" t="s">
        <v>2847</v>
      </c>
      <c r="B1040" s="2">
        <v>45400</v>
      </c>
      <c r="C1040" t="s">
        <v>195</v>
      </c>
      <c r="D1040" t="s">
        <v>1637</v>
      </c>
      <c r="E1040" t="s">
        <v>1762</v>
      </c>
      <c r="F1040" s="4">
        <v>2</v>
      </c>
      <c r="G1040">
        <v>314.29000000000002</v>
      </c>
      <c r="H1040">
        <v>0.19</v>
      </c>
      <c r="I1040" t="s">
        <v>1812</v>
      </c>
      <c r="J1040">
        <v>509.14980000000008</v>
      </c>
      <c r="K1040" t="s">
        <v>196</v>
      </c>
      <c r="L1040">
        <v>37</v>
      </c>
      <c r="M1040" t="str">
        <v>Female</v>
      </c>
      <c r="N1040" t="str">
        <f>VLOOKUP(C:C,Customer_Dim!B:I,5,1)</f>
        <v>South Timtown</v>
      </c>
      <c r="O1040" t="str">
        <f>VLOOKUP(C:C,Customer_Dim!B:I,6,1)</f>
        <v>Minnesota</v>
      </c>
      <c r="P1040" t="str">
        <f>VLOOKUP(C:C,Customer_Dim!B:I,7,1)</f>
        <v>USA</v>
      </c>
      <c r="Q1040" t="str">
        <f>VLOOKUP(C:C,Customer_Dim!B:I,8,1)</f>
        <v>Bronze</v>
      </c>
      <c r="S1040">
        <v>2</v>
      </c>
      <c r="T1040">
        <v>314.29000000000002</v>
      </c>
      <c r="U1040">
        <v>0.19</v>
      </c>
      <c r="V1040">
        <v>509.14980000000008</v>
      </c>
      <c r="X1040" s="4">
        <v>2</v>
      </c>
      <c r="Y1040">
        <v>314.29000000000002</v>
      </c>
      <c r="Z1040">
        <v>0.19</v>
      </c>
      <c r="AA1040">
        <v>509.14980000000008</v>
      </c>
    </row>
    <row r="1041" spans="1:27" x14ac:dyDescent="0.3">
      <c r="A1041" t="s">
        <v>2848</v>
      </c>
      <c r="B1041" s="2">
        <v>45520</v>
      </c>
      <c r="C1041" t="s">
        <v>515</v>
      </c>
      <c r="D1041" t="s">
        <v>1675</v>
      </c>
      <c r="E1041" t="s">
        <v>1782</v>
      </c>
      <c r="F1041" s="4">
        <v>3</v>
      </c>
      <c r="G1041">
        <v>336.09</v>
      </c>
      <c r="H1041">
        <v>0.01</v>
      </c>
      <c r="I1041" t="s">
        <v>1809</v>
      </c>
      <c r="J1041">
        <v>998.18729999999994</v>
      </c>
      <c r="K1041" t="s">
        <v>516</v>
      </c>
      <c r="L1041">
        <v>46</v>
      </c>
      <c r="M1041" t="str">
        <v>Male</v>
      </c>
      <c r="N1041" t="str">
        <f>VLOOKUP(C:C,Customer_Dim!B:I,5,1)</f>
        <v>Estradaside</v>
      </c>
      <c r="O1041" t="str">
        <f>VLOOKUP(C:C,Customer_Dim!B:I,6,1)</f>
        <v>Iowa</v>
      </c>
      <c r="P1041" t="str">
        <f>VLOOKUP(C:C,Customer_Dim!B:I,7,1)</f>
        <v>USA</v>
      </c>
      <c r="Q1041" t="str">
        <f>VLOOKUP(C:C,Customer_Dim!B:I,8,1)</f>
        <v>Gold</v>
      </c>
      <c r="S1041">
        <v>3</v>
      </c>
      <c r="T1041">
        <v>336.09</v>
      </c>
      <c r="U1041">
        <v>0.01</v>
      </c>
      <c r="V1041">
        <v>998.18729999999994</v>
      </c>
      <c r="X1041" s="4">
        <v>3</v>
      </c>
      <c r="Y1041">
        <v>336.09</v>
      </c>
      <c r="Z1041">
        <v>0.01</v>
      </c>
      <c r="AA1041">
        <v>998.18729999999994</v>
      </c>
    </row>
    <row r="1042" spans="1:27" x14ac:dyDescent="0.3">
      <c r="A1042" t="s">
        <v>2849</v>
      </c>
      <c r="B1042" s="2">
        <v>45861</v>
      </c>
      <c r="C1042" t="s">
        <v>20</v>
      </c>
      <c r="D1042" t="s">
        <v>1681</v>
      </c>
      <c r="E1042" t="s">
        <v>1790</v>
      </c>
      <c r="F1042" s="4">
        <v>3</v>
      </c>
      <c r="G1042">
        <v>202.07</v>
      </c>
      <c r="H1042">
        <v>0.23</v>
      </c>
      <c r="I1042" t="s">
        <v>1809</v>
      </c>
      <c r="J1042">
        <v>466.78170000000011</v>
      </c>
      <c r="K1042" t="s">
        <v>3933</v>
      </c>
      <c r="L1042">
        <v>59</v>
      </c>
      <c r="M1042" t="str">
        <v>Female</v>
      </c>
      <c r="N1042" t="str">
        <f>VLOOKUP(C:C,Customer_Dim!B:I,5,1)</f>
        <v>Kylebury</v>
      </c>
      <c r="O1042" t="str">
        <f>VLOOKUP(C:C,Customer_Dim!B:I,6,1)</f>
        <v>Alabama</v>
      </c>
      <c r="P1042" t="str">
        <f>VLOOKUP(C:C,Customer_Dim!B:I,7,1)</f>
        <v>USA</v>
      </c>
      <c r="Q1042" t="str">
        <f>VLOOKUP(C:C,Customer_Dim!B:I,8,1)</f>
        <v>Platinum</v>
      </c>
      <c r="S1042">
        <v>3</v>
      </c>
      <c r="T1042">
        <v>202.07</v>
      </c>
      <c r="U1042">
        <v>0.23</v>
      </c>
      <c r="V1042">
        <v>466.78170000000011</v>
      </c>
      <c r="X1042" s="4">
        <v>3</v>
      </c>
      <c r="Y1042">
        <v>202.07</v>
      </c>
      <c r="Z1042">
        <v>0.23</v>
      </c>
      <c r="AA1042">
        <v>466.78170000000011</v>
      </c>
    </row>
    <row r="1043" spans="1:27" x14ac:dyDescent="0.3">
      <c r="A1043" t="s">
        <v>2850</v>
      </c>
      <c r="B1043" s="2">
        <v>45781</v>
      </c>
      <c r="C1043" t="s">
        <v>968</v>
      </c>
      <c r="D1043" t="s">
        <v>1565</v>
      </c>
      <c r="E1043" t="s">
        <v>1765</v>
      </c>
      <c r="F1043" s="4">
        <v>2</v>
      </c>
      <c r="G1043">
        <v>485.25</v>
      </c>
      <c r="H1043">
        <v>0.28000000000000003</v>
      </c>
      <c r="I1043" t="s">
        <v>1807</v>
      </c>
      <c r="J1043">
        <v>698.76</v>
      </c>
      <c r="K1043" t="s">
        <v>969</v>
      </c>
      <c r="L1043">
        <v>35</v>
      </c>
      <c r="M1043" t="str">
        <v>Male</v>
      </c>
      <c r="N1043" t="str">
        <f>VLOOKUP(C:C,Customer_Dim!B:I,5,1)</f>
        <v>Joelside</v>
      </c>
      <c r="O1043" t="str">
        <f>VLOOKUP(C:C,Customer_Dim!B:I,6,1)</f>
        <v>Vermont</v>
      </c>
      <c r="P1043" t="str">
        <f>VLOOKUP(C:C,Customer_Dim!B:I,7,1)</f>
        <v>USA</v>
      </c>
      <c r="Q1043" t="str">
        <f>VLOOKUP(C:C,Customer_Dim!B:I,8,1)</f>
        <v>Silver</v>
      </c>
      <c r="S1043">
        <v>2</v>
      </c>
      <c r="T1043">
        <v>485.25</v>
      </c>
      <c r="U1043">
        <v>0.28000000000000003</v>
      </c>
      <c r="V1043">
        <v>698.76</v>
      </c>
      <c r="X1043" s="4">
        <v>2</v>
      </c>
      <c r="Y1043">
        <v>485.25</v>
      </c>
      <c r="Z1043">
        <v>0.28000000000000003</v>
      </c>
      <c r="AA1043">
        <v>698.76</v>
      </c>
    </row>
    <row r="1044" spans="1:27" x14ac:dyDescent="0.3">
      <c r="A1044" t="s">
        <v>2851</v>
      </c>
      <c r="B1044" s="2">
        <v>45906</v>
      </c>
      <c r="C1044" t="s">
        <v>562</v>
      </c>
      <c r="D1044" t="s">
        <v>1681</v>
      </c>
      <c r="E1044" t="s">
        <v>1772</v>
      </c>
      <c r="F1044" s="4">
        <v>4</v>
      </c>
      <c r="G1044">
        <v>552.38</v>
      </c>
      <c r="H1044">
        <v>0.1</v>
      </c>
      <c r="I1044" t="s">
        <v>1809</v>
      </c>
      <c r="J1044">
        <v>1988.568</v>
      </c>
      <c r="K1044" t="s">
        <v>563</v>
      </c>
      <c r="L1044">
        <v>41</v>
      </c>
      <c r="M1044" t="str">
        <v>Female</v>
      </c>
      <c r="N1044" t="str">
        <f>VLOOKUP(C:C,Customer_Dim!B:I,5,1)</f>
        <v>Morrisburgh</v>
      </c>
      <c r="O1044" t="str">
        <f>VLOOKUP(C:C,Customer_Dim!B:I,6,1)</f>
        <v>Indiana</v>
      </c>
      <c r="P1044" t="str">
        <f>VLOOKUP(C:C,Customer_Dim!B:I,7,1)</f>
        <v>USA</v>
      </c>
      <c r="Q1044" t="str">
        <f>VLOOKUP(C:C,Customer_Dim!B:I,8,1)</f>
        <v>Platinum</v>
      </c>
      <c r="S1044">
        <v>4</v>
      </c>
      <c r="T1044">
        <v>552.38</v>
      </c>
      <c r="U1044">
        <v>0.1</v>
      </c>
      <c r="V1044">
        <v>1988.568</v>
      </c>
      <c r="X1044" s="4">
        <v>4</v>
      </c>
      <c r="Y1044">
        <v>552.38</v>
      </c>
      <c r="Z1044">
        <v>0.1</v>
      </c>
      <c r="AA1044">
        <v>1988.568</v>
      </c>
    </row>
    <row r="1045" spans="1:27" x14ac:dyDescent="0.3">
      <c r="A1045" t="s">
        <v>2852</v>
      </c>
      <c r="B1045" s="2">
        <v>45251</v>
      </c>
      <c r="C1045" t="s">
        <v>373</v>
      </c>
      <c r="D1045" t="s">
        <v>1647</v>
      </c>
      <c r="E1045" t="s">
        <v>1790</v>
      </c>
      <c r="F1045" s="4">
        <v>4</v>
      </c>
      <c r="G1045">
        <v>377.26</v>
      </c>
      <c r="H1045">
        <v>0.22</v>
      </c>
      <c r="I1045" t="s">
        <v>1812</v>
      </c>
      <c r="J1045">
        <v>1177.0512000000001</v>
      </c>
      <c r="K1045" t="s">
        <v>374</v>
      </c>
      <c r="L1045">
        <v>38</v>
      </c>
      <c r="M1045" t="str">
        <v>Male</v>
      </c>
      <c r="N1045" t="str">
        <f>VLOOKUP(C:C,Customer_Dim!B:I,5,1)</f>
        <v>North Justin</v>
      </c>
      <c r="O1045" t="str">
        <f>VLOOKUP(C:C,Customer_Dim!B:I,6,1)</f>
        <v>North Dakota</v>
      </c>
      <c r="P1045" t="str">
        <f>VLOOKUP(C:C,Customer_Dim!B:I,7,1)</f>
        <v>USA</v>
      </c>
      <c r="Q1045" t="str">
        <f>VLOOKUP(C:C,Customer_Dim!B:I,8,1)</f>
        <v>Platinum</v>
      </c>
      <c r="S1045">
        <v>4</v>
      </c>
      <c r="T1045">
        <v>377.26</v>
      </c>
      <c r="U1045">
        <v>0.22</v>
      </c>
      <c r="V1045">
        <v>1177.0512000000001</v>
      </c>
      <c r="X1045" s="4">
        <v>4</v>
      </c>
      <c r="Y1045">
        <v>377.26</v>
      </c>
      <c r="Z1045">
        <v>0.22</v>
      </c>
      <c r="AA1045">
        <v>1177.0512000000001</v>
      </c>
    </row>
    <row r="1046" spans="1:27" x14ac:dyDescent="0.3">
      <c r="A1046" t="s">
        <v>2853</v>
      </c>
      <c r="B1046" s="2">
        <v>45257</v>
      </c>
      <c r="C1046" t="s">
        <v>199</v>
      </c>
      <c r="D1046" t="s">
        <v>1625</v>
      </c>
      <c r="E1046" t="s">
        <v>1796</v>
      </c>
      <c r="F1046" s="4">
        <v>4</v>
      </c>
      <c r="G1046">
        <v>189.07</v>
      </c>
      <c r="H1046">
        <v>0.1</v>
      </c>
      <c r="I1046" t="s">
        <v>1812</v>
      </c>
      <c r="J1046">
        <v>680.65200000000004</v>
      </c>
      <c r="K1046" t="s">
        <v>200</v>
      </c>
      <c r="L1046">
        <v>24</v>
      </c>
      <c r="M1046" t="str">
        <v>Male</v>
      </c>
      <c r="N1046" t="str">
        <f>VLOOKUP(C:C,Customer_Dim!B:I,5,1)</f>
        <v>East Andrea</v>
      </c>
      <c r="O1046" t="str">
        <f>VLOOKUP(C:C,Customer_Dim!B:I,6,1)</f>
        <v>Michigan</v>
      </c>
      <c r="P1046" t="str">
        <f>VLOOKUP(C:C,Customer_Dim!B:I,7,1)</f>
        <v>USA</v>
      </c>
      <c r="Q1046" t="str">
        <f>VLOOKUP(C:C,Customer_Dim!B:I,8,1)</f>
        <v>Gold</v>
      </c>
      <c r="S1046">
        <v>4</v>
      </c>
      <c r="T1046">
        <v>189.07</v>
      </c>
      <c r="U1046">
        <v>0.1</v>
      </c>
      <c r="V1046">
        <v>680.65200000000004</v>
      </c>
      <c r="X1046" s="4">
        <v>4</v>
      </c>
      <c r="Y1046">
        <v>189.07</v>
      </c>
      <c r="Z1046">
        <v>0.1</v>
      </c>
      <c r="AA1046">
        <v>680.65200000000004</v>
      </c>
    </row>
    <row r="1047" spans="1:27" x14ac:dyDescent="0.3">
      <c r="A1047" t="s">
        <v>2854</v>
      </c>
      <c r="B1047" s="2">
        <v>45818</v>
      </c>
      <c r="C1047" t="s">
        <v>1516</v>
      </c>
      <c r="D1047" t="s">
        <v>1591</v>
      </c>
      <c r="E1047" t="s">
        <v>1752</v>
      </c>
      <c r="F1047" s="4">
        <v>3</v>
      </c>
      <c r="G1047">
        <v>272.27</v>
      </c>
      <c r="H1047">
        <v>0.01</v>
      </c>
      <c r="I1047" t="s">
        <v>1807</v>
      </c>
      <c r="J1047">
        <v>808.64189999999996</v>
      </c>
      <c r="K1047" t="s">
        <v>1517</v>
      </c>
      <c r="L1047">
        <v>0</v>
      </c>
      <c r="M1047" t="str">
        <v>Female</v>
      </c>
      <c r="N1047" t="str">
        <f>VLOOKUP(C:C,Customer_Dim!B:I,5,1)</f>
        <v>East Valerieview</v>
      </c>
      <c r="O1047" t="str">
        <f>VLOOKUP(C:C,Customer_Dim!B:I,6,1)</f>
        <v>Oregon</v>
      </c>
      <c r="P1047" t="str">
        <f>VLOOKUP(C:C,Customer_Dim!B:I,7,1)</f>
        <v>USA</v>
      </c>
      <c r="Q1047" t="str">
        <f>VLOOKUP(C:C,Customer_Dim!B:I,8,1)</f>
        <v>Platinum</v>
      </c>
      <c r="S1047">
        <v>3</v>
      </c>
      <c r="T1047">
        <v>272.27</v>
      </c>
      <c r="U1047">
        <v>0.01</v>
      </c>
      <c r="V1047">
        <v>808.64189999999996</v>
      </c>
      <c r="X1047" s="4">
        <v>3</v>
      </c>
      <c r="Y1047">
        <v>272.27</v>
      </c>
      <c r="Z1047">
        <v>0.01</v>
      </c>
      <c r="AA1047">
        <v>808.64189999999996</v>
      </c>
    </row>
    <row r="1048" spans="1:27" x14ac:dyDescent="0.3">
      <c r="A1048" t="s">
        <v>2855</v>
      </c>
      <c r="B1048" s="2">
        <v>45806</v>
      </c>
      <c r="C1048" t="s">
        <v>835</v>
      </c>
      <c r="D1048" t="s">
        <v>1715</v>
      </c>
      <c r="E1048" t="s">
        <v>1775</v>
      </c>
      <c r="F1048" s="4">
        <v>1</v>
      </c>
      <c r="G1048">
        <v>209.39</v>
      </c>
      <c r="H1048">
        <v>0.28000000000000003</v>
      </c>
      <c r="I1048" t="s">
        <v>1809</v>
      </c>
      <c r="J1048">
        <v>150.76079999999999</v>
      </c>
      <c r="K1048" t="s">
        <v>836</v>
      </c>
      <c r="L1048">
        <v>38</v>
      </c>
      <c r="M1048" t="str">
        <v>Male</v>
      </c>
      <c r="N1048" t="str">
        <f>VLOOKUP(C:C,Customer_Dim!B:I,5,1)</f>
        <v>Grahamfurt</v>
      </c>
      <c r="O1048" t="str">
        <f>VLOOKUP(C:C,Customer_Dim!B:I,6,1)</f>
        <v>Wyoming</v>
      </c>
      <c r="P1048" t="str">
        <f>VLOOKUP(C:C,Customer_Dim!B:I,7,1)</f>
        <v>USA</v>
      </c>
      <c r="Q1048" t="str">
        <f>VLOOKUP(C:C,Customer_Dim!B:I,8,1)</f>
        <v>Gold</v>
      </c>
      <c r="S1048">
        <v>1</v>
      </c>
      <c r="T1048">
        <v>209.39</v>
      </c>
      <c r="U1048">
        <v>0.28000000000000003</v>
      </c>
      <c r="V1048">
        <v>150.76079999999999</v>
      </c>
      <c r="X1048" s="4">
        <v>1</v>
      </c>
      <c r="Y1048">
        <v>209.39</v>
      </c>
      <c r="Z1048">
        <v>0.28000000000000003</v>
      </c>
      <c r="AA1048">
        <v>150.76079999999999</v>
      </c>
    </row>
    <row r="1049" spans="1:27" x14ac:dyDescent="0.3">
      <c r="A1049" t="s">
        <v>2856</v>
      </c>
      <c r="B1049" s="2">
        <v>45288</v>
      </c>
      <c r="C1049" t="s">
        <v>199</v>
      </c>
      <c r="D1049" t="s">
        <v>1691</v>
      </c>
      <c r="E1049" t="s">
        <v>1769</v>
      </c>
      <c r="F1049" s="4">
        <v>1</v>
      </c>
      <c r="G1049">
        <v>813.87</v>
      </c>
      <c r="H1049">
        <v>0.23</v>
      </c>
      <c r="I1049" t="s">
        <v>1807</v>
      </c>
      <c r="J1049">
        <v>626.67989999999998</v>
      </c>
      <c r="K1049" t="s">
        <v>200</v>
      </c>
      <c r="L1049">
        <v>24</v>
      </c>
      <c r="M1049" t="str">
        <v>Male</v>
      </c>
      <c r="N1049" t="str">
        <f>VLOOKUP(C:C,Customer_Dim!B:I,5,1)</f>
        <v>East Andrea</v>
      </c>
      <c r="O1049" t="str">
        <f>VLOOKUP(C:C,Customer_Dim!B:I,6,1)</f>
        <v>Michigan</v>
      </c>
      <c r="P1049" t="str">
        <f>VLOOKUP(C:C,Customer_Dim!B:I,7,1)</f>
        <v>USA</v>
      </c>
      <c r="Q1049" t="str">
        <f>VLOOKUP(C:C,Customer_Dim!B:I,8,1)</f>
        <v>Gold</v>
      </c>
      <c r="S1049">
        <v>1</v>
      </c>
      <c r="T1049">
        <v>813.87</v>
      </c>
      <c r="U1049">
        <v>0.23</v>
      </c>
      <c r="V1049">
        <v>626.67989999999998</v>
      </c>
      <c r="X1049" s="4">
        <v>1</v>
      </c>
      <c r="Y1049">
        <v>813.87</v>
      </c>
      <c r="Z1049">
        <v>0.23</v>
      </c>
      <c r="AA1049">
        <v>626.67989999999998</v>
      </c>
    </row>
    <row r="1050" spans="1:27" x14ac:dyDescent="0.3">
      <c r="A1050" t="s">
        <v>2857</v>
      </c>
      <c r="B1050" s="2">
        <v>45783</v>
      </c>
      <c r="C1050" t="s">
        <v>814</v>
      </c>
      <c r="D1050" t="s">
        <v>1587</v>
      </c>
      <c r="E1050" t="s">
        <v>1735</v>
      </c>
      <c r="F1050" s="4">
        <v>1</v>
      </c>
      <c r="G1050">
        <v>143.69999999999999</v>
      </c>
      <c r="H1050">
        <v>0.19</v>
      </c>
      <c r="I1050" t="s">
        <v>1809</v>
      </c>
      <c r="J1050">
        <v>116.39700000000001</v>
      </c>
      <c r="K1050" t="s">
        <v>815</v>
      </c>
      <c r="L1050">
        <v>24</v>
      </c>
      <c r="M1050" t="str">
        <v>Female</v>
      </c>
      <c r="N1050" t="str">
        <f>VLOOKUP(C:C,Customer_Dim!B:I,5,1)</f>
        <v>Karenmouth</v>
      </c>
      <c r="O1050" t="str">
        <f>VLOOKUP(C:C,Customer_Dim!B:I,6,1)</f>
        <v>Massachusetts</v>
      </c>
      <c r="P1050" t="str">
        <f>VLOOKUP(C:C,Customer_Dim!B:I,7,1)</f>
        <v>USA</v>
      </c>
      <c r="Q1050" t="str">
        <f>VLOOKUP(C:C,Customer_Dim!B:I,8,1)</f>
        <v>Silver</v>
      </c>
      <c r="S1050">
        <v>1</v>
      </c>
      <c r="T1050">
        <v>143.69999999999999</v>
      </c>
      <c r="U1050">
        <v>0.19</v>
      </c>
      <c r="V1050">
        <v>116.39700000000001</v>
      </c>
      <c r="X1050" s="4">
        <v>1</v>
      </c>
      <c r="Y1050">
        <v>143.69999999999999</v>
      </c>
      <c r="Z1050">
        <v>0.19</v>
      </c>
      <c r="AA1050">
        <v>116.39700000000001</v>
      </c>
    </row>
    <row r="1051" spans="1:27" x14ac:dyDescent="0.3">
      <c r="A1051" t="s">
        <v>2858</v>
      </c>
      <c r="B1051" s="2">
        <v>45385</v>
      </c>
      <c r="C1051" t="s">
        <v>1433</v>
      </c>
      <c r="D1051" t="s">
        <v>1623</v>
      </c>
      <c r="E1051" t="s">
        <v>1740</v>
      </c>
      <c r="F1051" s="4">
        <v>4</v>
      </c>
      <c r="G1051">
        <v>837.34</v>
      </c>
      <c r="H1051">
        <v>0.05</v>
      </c>
      <c r="I1051" t="s">
        <v>1809</v>
      </c>
      <c r="J1051">
        <v>3181.8919999999998</v>
      </c>
      <c r="K1051" t="s">
        <v>1434</v>
      </c>
      <c r="L1051">
        <v>42</v>
      </c>
      <c r="M1051" t="str">
        <v>Male</v>
      </c>
      <c r="N1051" t="str">
        <f>VLOOKUP(C:C,Customer_Dim!B:I,5,1)</f>
        <v>Kanebury</v>
      </c>
      <c r="O1051" t="str">
        <f>VLOOKUP(C:C,Customer_Dim!B:I,6,1)</f>
        <v>New Hampshire</v>
      </c>
      <c r="P1051" t="str">
        <f>VLOOKUP(C:C,Customer_Dim!B:I,7,1)</f>
        <v>USA</v>
      </c>
      <c r="Q1051" t="str">
        <f>VLOOKUP(C:C,Customer_Dim!B:I,8,1)</f>
        <v>Gold</v>
      </c>
      <c r="S1051">
        <v>4</v>
      </c>
      <c r="T1051">
        <v>837.34</v>
      </c>
      <c r="U1051">
        <v>0.05</v>
      </c>
      <c r="V1051">
        <v>3181.8919999999998</v>
      </c>
      <c r="X1051" s="4">
        <v>4</v>
      </c>
      <c r="Y1051">
        <v>837.34</v>
      </c>
      <c r="Z1051">
        <v>0.05</v>
      </c>
      <c r="AA1051">
        <v>3181.8919999999998</v>
      </c>
    </row>
    <row r="1052" spans="1:27" x14ac:dyDescent="0.3">
      <c r="A1052" t="s">
        <v>2859</v>
      </c>
      <c r="B1052" s="2">
        <v>45878</v>
      </c>
      <c r="C1052" t="s">
        <v>412</v>
      </c>
      <c r="D1052" t="s">
        <v>1561</v>
      </c>
      <c r="E1052" t="s">
        <v>1796</v>
      </c>
      <c r="F1052" s="4">
        <v>1</v>
      </c>
      <c r="G1052">
        <v>151.66</v>
      </c>
      <c r="H1052">
        <v>0.16</v>
      </c>
      <c r="I1052" t="s">
        <v>1812</v>
      </c>
      <c r="J1052">
        <v>127.3944</v>
      </c>
      <c r="K1052" t="s">
        <v>413</v>
      </c>
      <c r="L1052">
        <v>62</v>
      </c>
      <c r="M1052" t="str">
        <v>Male</v>
      </c>
      <c r="N1052" t="str">
        <f>VLOOKUP(C:C,Customer_Dim!B:I,5,1)</f>
        <v>Lake Tylerfort</v>
      </c>
      <c r="O1052" t="str">
        <f>VLOOKUP(C:C,Customer_Dim!B:I,6,1)</f>
        <v>Pennsylvania</v>
      </c>
      <c r="P1052" t="str">
        <f>VLOOKUP(C:C,Customer_Dim!B:I,7,1)</f>
        <v>USA</v>
      </c>
      <c r="Q1052" t="str">
        <f>VLOOKUP(C:C,Customer_Dim!B:I,8,1)</f>
        <v>Platinum</v>
      </c>
      <c r="S1052">
        <v>1</v>
      </c>
      <c r="T1052">
        <v>151.66</v>
      </c>
      <c r="U1052">
        <v>0.16</v>
      </c>
      <c r="V1052">
        <v>127.3944</v>
      </c>
      <c r="X1052" s="4">
        <v>1</v>
      </c>
      <c r="Y1052">
        <v>151.66</v>
      </c>
      <c r="Z1052">
        <v>0.16</v>
      </c>
      <c r="AA1052">
        <v>127.3944</v>
      </c>
    </row>
    <row r="1053" spans="1:27" x14ac:dyDescent="0.3">
      <c r="A1053" t="s">
        <v>2860</v>
      </c>
      <c r="B1053" s="2">
        <v>45720</v>
      </c>
      <c r="C1053" t="s">
        <v>1516</v>
      </c>
      <c r="D1053" t="s">
        <v>1619</v>
      </c>
      <c r="E1053" t="s">
        <v>1765</v>
      </c>
      <c r="F1053" s="4">
        <v>3</v>
      </c>
      <c r="G1053">
        <v>961.4</v>
      </c>
      <c r="H1053">
        <v>0.02</v>
      </c>
      <c r="I1053" t="s">
        <v>1809</v>
      </c>
      <c r="J1053">
        <v>2826.5160000000001</v>
      </c>
      <c r="K1053" t="s">
        <v>1517</v>
      </c>
      <c r="L1053">
        <v>0</v>
      </c>
      <c r="M1053" t="str">
        <v>Female</v>
      </c>
      <c r="N1053" t="str">
        <f>VLOOKUP(C:C,Customer_Dim!B:I,5,1)</f>
        <v>East Valerieview</v>
      </c>
      <c r="O1053" t="str">
        <f>VLOOKUP(C:C,Customer_Dim!B:I,6,1)</f>
        <v>Oregon</v>
      </c>
      <c r="P1053" t="str">
        <f>VLOOKUP(C:C,Customer_Dim!B:I,7,1)</f>
        <v>USA</v>
      </c>
      <c r="Q1053" t="str">
        <f>VLOOKUP(C:C,Customer_Dim!B:I,8,1)</f>
        <v>Platinum</v>
      </c>
      <c r="S1053">
        <v>3</v>
      </c>
      <c r="T1053">
        <v>961.4</v>
      </c>
      <c r="U1053">
        <v>0.02</v>
      </c>
      <c r="V1053">
        <v>2826.5160000000001</v>
      </c>
      <c r="X1053" s="4">
        <v>3</v>
      </c>
      <c r="Y1053">
        <v>961.4</v>
      </c>
      <c r="Z1053">
        <v>0.02</v>
      </c>
      <c r="AA1053">
        <v>2826.5160000000001</v>
      </c>
    </row>
    <row r="1054" spans="1:27" x14ac:dyDescent="0.3">
      <c r="A1054" t="s">
        <v>2861</v>
      </c>
      <c r="B1054" s="2">
        <v>45503</v>
      </c>
      <c r="C1054" t="s">
        <v>1144</v>
      </c>
      <c r="D1054" t="s">
        <v>1679</v>
      </c>
      <c r="E1054" t="s">
        <v>1793</v>
      </c>
      <c r="F1054" s="4">
        <v>4</v>
      </c>
      <c r="G1054">
        <v>475.98</v>
      </c>
      <c r="H1054">
        <v>0.19</v>
      </c>
      <c r="I1054" t="s">
        <v>1809</v>
      </c>
      <c r="J1054">
        <v>1542.1751999999999</v>
      </c>
      <c r="K1054" t="s">
        <v>1145</v>
      </c>
      <c r="L1054">
        <v>21</v>
      </c>
      <c r="M1054" t="str">
        <v>Female</v>
      </c>
      <c r="N1054" t="str">
        <f>VLOOKUP(C:C,Customer_Dim!B:I,5,1)</f>
        <v>Millston</v>
      </c>
      <c r="O1054" t="str">
        <f>VLOOKUP(C:C,Customer_Dim!B:I,6,1)</f>
        <v>Indiana</v>
      </c>
      <c r="P1054" t="str">
        <f>VLOOKUP(C:C,Customer_Dim!B:I,7,1)</f>
        <v>USA</v>
      </c>
      <c r="Q1054" t="str">
        <f>VLOOKUP(C:C,Customer_Dim!B:I,8,1)</f>
        <v>Silver</v>
      </c>
      <c r="S1054">
        <v>4</v>
      </c>
      <c r="T1054">
        <v>475.98</v>
      </c>
      <c r="U1054">
        <v>0.19</v>
      </c>
      <c r="V1054">
        <v>1542.1751999999999</v>
      </c>
      <c r="X1054" s="4">
        <v>4</v>
      </c>
      <c r="Y1054">
        <v>475.98</v>
      </c>
      <c r="Z1054">
        <v>0.19</v>
      </c>
      <c r="AA1054">
        <v>1542.1751999999999</v>
      </c>
    </row>
    <row r="1055" spans="1:27" x14ac:dyDescent="0.3">
      <c r="A1055" t="s">
        <v>2862</v>
      </c>
      <c r="B1055" s="2">
        <v>45551</v>
      </c>
      <c r="C1055" t="s">
        <v>1174</v>
      </c>
      <c r="D1055" t="s">
        <v>1607</v>
      </c>
      <c r="E1055" t="s">
        <v>1784</v>
      </c>
      <c r="F1055" s="4">
        <v>4</v>
      </c>
      <c r="G1055">
        <v>132.88999999999999</v>
      </c>
      <c r="H1055">
        <v>0.12</v>
      </c>
      <c r="I1055" t="s">
        <v>1807</v>
      </c>
      <c r="J1055">
        <v>467.77280000000002</v>
      </c>
      <c r="K1055" t="s">
        <v>1175</v>
      </c>
      <c r="L1055">
        <v>50</v>
      </c>
      <c r="M1055" t="str">
        <v>Male</v>
      </c>
      <c r="N1055" t="str">
        <f>VLOOKUP(C:C,Customer_Dim!B:I,5,1)</f>
        <v>South Cassandrachester</v>
      </c>
      <c r="O1055" t="str">
        <f>VLOOKUP(C:C,Customer_Dim!B:I,6,1)</f>
        <v>Rhode Island</v>
      </c>
      <c r="P1055" t="str">
        <f>VLOOKUP(C:C,Customer_Dim!B:I,7,1)</f>
        <v>USA</v>
      </c>
      <c r="Q1055" t="str">
        <f>VLOOKUP(C:C,Customer_Dim!B:I,8,1)</f>
        <v>Gold</v>
      </c>
      <c r="S1055">
        <v>4</v>
      </c>
      <c r="T1055">
        <v>132.88999999999999</v>
      </c>
      <c r="U1055">
        <v>0.12</v>
      </c>
      <c r="V1055">
        <v>467.77280000000002</v>
      </c>
      <c r="X1055" s="4">
        <v>4</v>
      </c>
      <c r="Y1055">
        <v>132.88999999999999</v>
      </c>
      <c r="Z1055">
        <v>0.12</v>
      </c>
      <c r="AA1055">
        <v>467.77280000000002</v>
      </c>
    </row>
    <row r="1056" spans="1:27" x14ac:dyDescent="0.3">
      <c r="A1056" t="s">
        <v>2863</v>
      </c>
      <c r="B1056" s="2">
        <v>45850</v>
      </c>
      <c r="C1056" t="s">
        <v>1339</v>
      </c>
      <c r="D1056" t="s">
        <v>1601</v>
      </c>
      <c r="E1056" t="s">
        <v>1777</v>
      </c>
      <c r="F1056" s="4">
        <v>3</v>
      </c>
      <c r="G1056">
        <v>471.31</v>
      </c>
      <c r="H1056">
        <v>0</v>
      </c>
      <c r="I1056" t="s">
        <v>1809</v>
      </c>
      <c r="J1056">
        <v>1413.93</v>
      </c>
      <c r="K1056" t="s">
        <v>1340</v>
      </c>
      <c r="L1056">
        <v>59</v>
      </c>
      <c r="M1056" t="str">
        <v>Female</v>
      </c>
      <c r="N1056" t="str">
        <f>VLOOKUP(C:C,Customer_Dim!B:I,5,1)</f>
        <v>East Davidmouth</v>
      </c>
      <c r="O1056" t="str">
        <f>VLOOKUP(C:C,Customer_Dim!B:I,6,1)</f>
        <v>New Hampshire</v>
      </c>
      <c r="P1056" t="str">
        <f>VLOOKUP(C:C,Customer_Dim!B:I,7,1)</f>
        <v>USA</v>
      </c>
      <c r="Q1056" t="str">
        <f>VLOOKUP(C:C,Customer_Dim!B:I,8,1)</f>
        <v>Platinum</v>
      </c>
      <c r="S1056">
        <v>3</v>
      </c>
      <c r="T1056">
        <v>471.31</v>
      </c>
      <c r="U1056">
        <v>0</v>
      </c>
      <c r="V1056">
        <v>1413.93</v>
      </c>
      <c r="X1056" s="4">
        <v>3</v>
      </c>
      <c r="Y1056">
        <v>471.31</v>
      </c>
      <c r="Z1056">
        <v>0</v>
      </c>
      <c r="AA1056">
        <v>1413.93</v>
      </c>
    </row>
    <row r="1057" spans="1:27" x14ac:dyDescent="0.3">
      <c r="A1057" t="s">
        <v>2864</v>
      </c>
      <c r="B1057" s="2">
        <v>45441</v>
      </c>
      <c r="C1057" t="s">
        <v>1415</v>
      </c>
      <c r="D1057" t="s">
        <v>1683</v>
      </c>
      <c r="E1057" t="s">
        <v>1782</v>
      </c>
      <c r="F1057" s="4">
        <v>2</v>
      </c>
      <c r="G1057">
        <v>720.32</v>
      </c>
      <c r="H1057">
        <v>0.26</v>
      </c>
      <c r="I1057" t="s">
        <v>1807</v>
      </c>
      <c r="J1057">
        <v>1066.0735999999999</v>
      </c>
      <c r="K1057" t="s">
        <v>1416</v>
      </c>
      <c r="L1057">
        <v>28</v>
      </c>
      <c r="M1057" t="str">
        <v>Female</v>
      </c>
      <c r="N1057" t="str">
        <f>VLOOKUP(C:C,Customer_Dim!B:I,5,1)</f>
        <v>Grayland</v>
      </c>
      <c r="O1057" t="str">
        <f>VLOOKUP(C:C,Customer_Dim!B:I,6,1)</f>
        <v>Washington</v>
      </c>
      <c r="P1057" t="str">
        <f>VLOOKUP(C:C,Customer_Dim!B:I,7,1)</f>
        <v>USA</v>
      </c>
      <c r="Q1057" t="str">
        <f>VLOOKUP(C:C,Customer_Dim!B:I,8,1)</f>
        <v>Platinum</v>
      </c>
      <c r="S1057">
        <v>2</v>
      </c>
      <c r="T1057">
        <v>720.32</v>
      </c>
      <c r="U1057">
        <v>0.26</v>
      </c>
      <c r="V1057">
        <v>1066.0735999999999</v>
      </c>
      <c r="X1057" s="4">
        <v>2</v>
      </c>
      <c r="Y1057">
        <v>720.32</v>
      </c>
      <c r="Z1057">
        <v>0.26</v>
      </c>
      <c r="AA1057">
        <v>1066.0735999999999</v>
      </c>
    </row>
    <row r="1058" spans="1:27" x14ac:dyDescent="0.3">
      <c r="A1058" t="s">
        <v>2865</v>
      </c>
      <c r="B1058" s="2">
        <v>45431</v>
      </c>
      <c r="C1058" t="s">
        <v>272</v>
      </c>
      <c r="D1058" t="s">
        <v>1663</v>
      </c>
      <c r="E1058" t="s">
        <v>1793</v>
      </c>
      <c r="F1058" s="4">
        <v>4</v>
      </c>
      <c r="G1058">
        <v>99.92</v>
      </c>
      <c r="H1058">
        <v>0.11</v>
      </c>
      <c r="I1058" t="s">
        <v>1812</v>
      </c>
      <c r="J1058">
        <v>355.71519999999998</v>
      </c>
      <c r="K1058" t="s">
        <v>273</v>
      </c>
      <c r="L1058">
        <v>37</v>
      </c>
      <c r="M1058" t="str">
        <v>Male</v>
      </c>
      <c r="N1058" t="str">
        <f>VLOOKUP(C:C,Customer_Dim!B:I,5,1)</f>
        <v>Lake Barryfurt</v>
      </c>
      <c r="O1058" t="str">
        <f>VLOOKUP(C:C,Customer_Dim!B:I,6,1)</f>
        <v>California</v>
      </c>
      <c r="P1058" t="str">
        <f>VLOOKUP(C:C,Customer_Dim!B:I,7,1)</f>
        <v>USA</v>
      </c>
      <c r="Q1058" t="str">
        <f>VLOOKUP(C:C,Customer_Dim!B:I,8,1)</f>
        <v>Gold</v>
      </c>
      <c r="S1058">
        <v>4</v>
      </c>
      <c r="T1058">
        <v>99.92</v>
      </c>
      <c r="U1058">
        <v>0.11</v>
      </c>
      <c r="V1058">
        <v>355.71519999999998</v>
      </c>
      <c r="X1058" s="4">
        <v>4</v>
      </c>
      <c r="Y1058">
        <v>99.92</v>
      </c>
      <c r="Z1058">
        <v>0.11</v>
      </c>
      <c r="AA1058">
        <v>355.71519999999998</v>
      </c>
    </row>
    <row r="1059" spans="1:27" x14ac:dyDescent="0.3">
      <c r="A1059" t="s">
        <v>2866</v>
      </c>
      <c r="B1059" s="2">
        <v>45873</v>
      </c>
      <c r="C1059" t="s">
        <v>244</v>
      </c>
      <c r="D1059" t="s">
        <v>1551</v>
      </c>
      <c r="E1059" t="s">
        <v>1749</v>
      </c>
      <c r="F1059" s="4">
        <v>3</v>
      </c>
      <c r="G1059">
        <v>900.63</v>
      </c>
      <c r="H1059">
        <v>0.11</v>
      </c>
      <c r="I1059" t="s">
        <v>1812</v>
      </c>
      <c r="J1059">
        <v>2404.6821</v>
      </c>
      <c r="K1059" t="s">
        <v>245</v>
      </c>
      <c r="L1059">
        <v>24</v>
      </c>
      <c r="M1059" t="str">
        <v>Female</v>
      </c>
      <c r="N1059" t="str">
        <f>VLOOKUP(C:C,Customer_Dim!B:I,5,1)</f>
        <v>Brendaburgh</v>
      </c>
      <c r="O1059" t="str">
        <f>VLOOKUP(C:C,Customer_Dim!B:I,6,1)</f>
        <v>Florida</v>
      </c>
      <c r="P1059" t="str">
        <f>VLOOKUP(C:C,Customer_Dim!B:I,7,1)</f>
        <v>USA</v>
      </c>
      <c r="Q1059" t="str">
        <f>VLOOKUP(C:C,Customer_Dim!B:I,8,1)</f>
        <v>Silver</v>
      </c>
      <c r="S1059">
        <v>3</v>
      </c>
      <c r="T1059">
        <v>900.63</v>
      </c>
      <c r="U1059">
        <v>0.11</v>
      </c>
      <c r="V1059">
        <v>2404.6821</v>
      </c>
      <c r="X1059" s="4">
        <v>3</v>
      </c>
      <c r="Y1059">
        <v>900.63</v>
      </c>
      <c r="Z1059">
        <v>0.11</v>
      </c>
      <c r="AA1059">
        <v>2404.6821</v>
      </c>
    </row>
    <row r="1060" spans="1:27" x14ac:dyDescent="0.3">
      <c r="A1060" t="s">
        <v>2867</v>
      </c>
      <c r="B1060" s="2">
        <v>45629</v>
      </c>
      <c r="C1060" t="s">
        <v>1352</v>
      </c>
      <c r="D1060" t="s">
        <v>1623</v>
      </c>
      <c r="E1060" t="s">
        <v>1765</v>
      </c>
      <c r="F1060" s="4">
        <v>1</v>
      </c>
      <c r="G1060">
        <v>681.72</v>
      </c>
      <c r="H1060">
        <v>0.11</v>
      </c>
      <c r="I1060" t="s">
        <v>1809</v>
      </c>
      <c r="J1060">
        <v>606.73080000000004</v>
      </c>
      <c r="K1060" t="s">
        <v>1353</v>
      </c>
      <c r="L1060">
        <v>51</v>
      </c>
      <c r="M1060" t="str">
        <v>Male</v>
      </c>
      <c r="N1060" t="str">
        <f>VLOOKUP(C:C,Customer_Dim!B:I,5,1)</f>
        <v>North Maryfort</v>
      </c>
      <c r="O1060" t="str">
        <f>VLOOKUP(C:C,Customer_Dim!B:I,6,1)</f>
        <v>Oregon</v>
      </c>
      <c r="P1060" t="str">
        <f>VLOOKUP(C:C,Customer_Dim!B:I,7,1)</f>
        <v>USA</v>
      </c>
      <c r="Q1060" t="str">
        <f>VLOOKUP(C:C,Customer_Dim!B:I,8,1)</f>
        <v>Bronze</v>
      </c>
      <c r="S1060">
        <v>1</v>
      </c>
      <c r="T1060">
        <v>681.72</v>
      </c>
      <c r="U1060">
        <v>0.11</v>
      </c>
      <c r="V1060">
        <v>606.73080000000004</v>
      </c>
      <c r="X1060" s="4">
        <v>1</v>
      </c>
      <c r="Y1060">
        <v>681.72</v>
      </c>
      <c r="Z1060">
        <v>0.11</v>
      </c>
      <c r="AA1060">
        <v>606.73080000000004</v>
      </c>
    </row>
    <row r="1061" spans="1:27" x14ac:dyDescent="0.3">
      <c r="A1061" t="s">
        <v>2868</v>
      </c>
      <c r="B1061" s="2">
        <v>45222</v>
      </c>
      <c r="C1061" t="s">
        <v>48</v>
      </c>
      <c r="D1061" t="s">
        <v>1687</v>
      </c>
      <c r="E1061" t="s">
        <v>1780</v>
      </c>
      <c r="F1061" s="4">
        <v>2</v>
      </c>
      <c r="G1061">
        <v>838.22</v>
      </c>
      <c r="H1061">
        <v>0.3</v>
      </c>
      <c r="I1061" t="s">
        <v>1807</v>
      </c>
      <c r="J1061">
        <v>1173.508</v>
      </c>
      <c r="K1061" t="s">
        <v>49</v>
      </c>
      <c r="L1061">
        <v>53</v>
      </c>
      <c r="M1061" t="str">
        <v>Male</v>
      </c>
      <c r="N1061" t="str">
        <f>VLOOKUP(C:C,Customer_Dim!B:I,5,1)</f>
        <v>Melissashire</v>
      </c>
      <c r="O1061" t="str">
        <f>VLOOKUP(C:C,Customer_Dim!B:I,6,1)</f>
        <v>Pennsylvania</v>
      </c>
      <c r="P1061" t="str">
        <f>VLOOKUP(C:C,Customer_Dim!B:I,7,1)</f>
        <v>USA</v>
      </c>
      <c r="Q1061" t="str">
        <f>VLOOKUP(C:C,Customer_Dim!B:I,8,1)</f>
        <v>Platinum</v>
      </c>
      <c r="S1061">
        <v>2</v>
      </c>
      <c r="T1061">
        <v>838.22</v>
      </c>
      <c r="U1061">
        <v>0.3</v>
      </c>
      <c r="V1061">
        <v>1173.508</v>
      </c>
      <c r="X1061" s="4">
        <v>2</v>
      </c>
      <c r="Y1061">
        <v>838.22</v>
      </c>
      <c r="Z1061">
        <v>0.3</v>
      </c>
      <c r="AA1061">
        <v>1173.508</v>
      </c>
    </row>
    <row r="1062" spans="1:27" x14ac:dyDescent="0.3">
      <c r="A1062" t="s">
        <v>2869</v>
      </c>
      <c r="B1062" s="2">
        <v>45797</v>
      </c>
      <c r="C1062" t="s">
        <v>631</v>
      </c>
      <c r="D1062" t="s">
        <v>1705</v>
      </c>
      <c r="E1062" t="s">
        <v>1777</v>
      </c>
      <c r="F1062" s="4">
        <v>2</v>
      </c>
      <c r="G1062">
        <v>816.22</v>
      </c>
      <c r="H1062">
        <v>0.27</v>
      </c>
      <c r="I1062" t="s">
        <v>1807</v>
      </c>
      <c r="J1062">
        <v>1191.6812</v>
      </c>
      <c r="K1062" t="s">
        <v>632</v>
      </c>
      <c r="L1062">
        <v>60</v>
      </c>
      <c r="M1062" t="str">
        <v>Male</v>
      </c>
      <c r="N1062" t="str">
        <f>VLOOKUP(C:C,Customer_Dim!B:I,5,1)</f>
        <v>Sarahmouth</v>
      </c>
      <c r="O1062" t="str">
        <f>VLOOKUP(C:C,Customer_Dim!B:I,6,1)</f>
        <v>Pennsylvania</v>
      </c>
      <c r="P1062" t="str">
        <f>VLOOKUP(C:C,Customer_Dim!B:I,7,1)</f>
        <v>USA</v>
      </c>
      <c r="Q1062" t="str">
        <f>VLOOKUP(C:C,Customer_Dim!B:I,8,1)</f>
        <v>Gold</v>
      </c>
      <c r="S1062">
        <v>2</v>
      </c>
      <c r="T1062">
        <v>816.22</v>
      </c>
      <c r="U1062">
        <v>0.27</v>
      </c>
      <c r="V1062">
        <v>1191.6812</v>
      </c>
      <c r="X1062" s="4">
        <v>2</v>
      </c>
      <c r="Y1062">
        <v>816.22</v>
      </c>
      <c r="Z1062">
        <v>0.27</v>
      </c>
      <c r="AA1062">
        <v>1191.6812</v>
      </c>
    </row>
    <row r="1063" spans="1:27" x14ac:dyDescent="0.3">
      <c r="A1063" t="s">
        <v>2870</v>
      </c>
      <c r="B1063" s="2">
        <v>45554</v>
      </c>
      <c r="C1063" t="s">
        <v>1174</v>
      </c>
      <c r="D1063" t="s">
        <v>1653</v>
      </c>
      <c r="E1063" t="s">
        <v>1762</v>
      </c>
      <c r="F1063" s="4">
        <v>2</v>
      </c>
      <c r="G1063">
        <v>654.12</v>
      </c>
      <c r="H1063">
        <v>0.27</v>
      </c>
      <c r="I1063" t="s">
        <v>1809</v>
      </c>
      <c r="J1063">
        <v>955.01519999999994</v>
      </c>
      <c r="K1063" t="s">
        <v>1175</v>
      </c>
      <c r="L1063">
        <v>50</v>
      </c>
      <c r="M1063" t="str">
        <v>Male</v>
      </c>
      <c r="N1063" t="str">
        <f>VLOOKUP(C:C,Customer_Dim!B:I,5,1)</f>
        <v>South Cassandrachester</v>
      </c>
      <c r="O1063" t="str">
        <f>VLOOKUP(C:C,Customer_Dim!B:I,6,1)</f>
        <v>Rhode Island</v>
      </c>
      <c r="P1063" t="str">
        <f>VLOOKUP(C:C,Customer_Dim!B:I,7,1)</f>
        <v>USA</v>
      </c>
      <c r="Q1063" t="str">
        <f>VLOOKUP(C:C,Customer_Dim!B:I,8,1)</f>
        <v>Gold</v>
      </c>
      <c r="S1063">
        <v>2</v>
      </c>
      <c r="T1063">
        <v>654.12</v>
      </c>
      <c r="U1063">
        <v>0.27</v>
      </c>
      <c r="V1063">
        <v>955.01519999999994</v>
      </c>
      <c r="X1063" s="4">
        <v>2</v>
      </c>
      <c r="Y1063">
        <v>654.12</v>
      </c>
      <c r="Z1063">
        <v>0.27</v>
      </c>
      <c r="AA1063">
        <v>955.01519999999994</v>
      </c>
    </row>
    <row r="1064" spans="1:27" x14ac:dyDescent="0.3">
      <c r="A1064" t="s">
        <v>2871</v>
      </c>
      <c r="B1064" s="2">
        <v>45385</v>
      </c>
      <c r="C1064" t="s">
        <v>367</v>
      </c>
      <c r="D1064" t="s">
        <v>1677</v>
      </c>
      <c r="E1064" t="s">
        <v>1780</v>
      </c>
      <c r="F1064" s="4">
        <v>4</v>
      </c>
      <c r="G1064">
        <v>528.22</v>
      </c>
      <c r="H1064">
        <v>0.2</v>
      </c>
      <c r="I1064" t="s">
        <v>1809</v>
      </c>
      <c r="J1064">
        <v>1690.3040000000001</v>
      </c>
      <c r="K1064" t="s">
        <v>368</v>
      </c>
      <c r="L1064">
        <v>53</v>
      </c>
      <c r="M1064" t="str">
        <v>Female</v>
      </c>
      <c r="N1064" t="str">
        <f>VLOOKUP(C:C,Customer_Dim!B:I,5,1)</f>
        <v>Port Victoria</v>
      </c>
      <c r="O1064" t="str">
        <f>VLOOKUP(C:C,Customer_Dim!B:I,6,1)</f>
        <v>Florida</v>
      </c>
      <c r="P1064" t="str">
        <f>VLOOKUP(C:C,Customer_Dim!B:I,7,1)</f>
        <v>USA</v>
      </c>
      <c r="Q1064" t="str">
        <f>VLOOKUP(C:C,Customer_Dim!B:I,8,1)</f>
        <v>Gold</v>
      </c>
      <c r="S1064">
        <v>4</v>
      </c>
      <c r="T1064">
        <v>528.22</v>
      </c>
      <c r="U1064">
        <v>0.2</v>
      </c>
      <c r="V1064">
        <v>1690.3040000000001</v>
      </c>
      <c r="X1064" s="4">
        <v>4</v>
      </c>
      <c r="Y1064">
        <v>528.22</v>
      </c>
      <c r="Z1064">
        <v>0.2</v>
      </c>
      <c r="AA1064">
        <v>1690.3040000000001</v>
      </c>
    </row>
    <row r="1065" spans="1:27" x14ac:dyDescent="0.3">
      <c r="A1065" t="s">
        <v>2872</v>
      </c>
      <c r="B1065" s="2">
        <v>45704</v>
      </c>
      <c r="C1065" t="s">
        <v>710</v>
      </c>
      <c r="D1065" t="s">
        <v>1599</v>
      </c>
      <c r="E1065" t="s">
        <v>1762</v>
      </c>
      <c r="F1065" s="4">
        <v>4</v>
      </c>
      <c r="G1065">
        <v>36.72</v>
      </c>
      <c r="H1065">
        <v>7.0000000000000007E-2</v>
      </c>
      <c r="I1065" t="s">
        <v>1812</v>
      </c>
      <c r="J1065">
        <v>136.5984</v>
      </c>
      <c r="K1065" t="s">
        <v>711</v>
      </c>
      <c r="L1065">
        <v>35</v>
      </c>
      <c r="M1065" t="str">
        <v>Male</v>
      </c>
      <c r="N1065" t="str">
        <f>VLOOKUP(C:C,Customer_Dim!B:I,5,1)</f>
        <v>Maybury</v>
      </c>
      <c r="O1065" t="str">
        <f>VLOOKUP(C:C,Customer_Dim!B:I,6,1)</f>
        <v>Georgia</v>
      </c>
      <c r="P1065" t="str">
        <f>VLOOKUP(C:C,Customer_Dim!B:I,7,1)</f>
        <v>USA</v>
      </c>
      <c r="Q1065" t="str">
        <f>VLOOKUP(C:C,Customer_Dim!B:I,8,1)</f>
        <v>Platinum</v>
      </c>
      <c r="S1065">
        <v>4</v>
      </c>
      <c r="T1065">
        <v>36.72</v>
      </c>
      <c r="U1065">
        <v>7.0000000000000007E-2</v>
      </c>
      <c r="V1065">
        <v>136.5984</v>
      </c>
      <c r="X1065" s="4">
        <v>4</v>
      </c>
      <c r="Y1065">
        <v>36.72</v>
      </c>
      <c r="Z1065">
        <v>7.0000000000000007E-2</v>
      </c>
      <c r="AA1065">
        <v>136.5984</v>
      </c>
    </row>
    <row r="1066" spans="1:27" x14ac:dyDescent="0.3">
      <c r="A1066" t="s">
        <v>2873</v>
      </c>
      <c r="B1066" s="2">
        <v>45545</v>
      </c>
      <c r="C1066" t="s">
        <v>1144</v>
      </c>
      <c r="D1066" t="s">
        <v>1687</v>
      </c>
      <c r="E1066" t="s">
        <v>1796</v>
      </c>
      <c r="F1066" s="4">
        <v>2</v>
      </c>
      <c r="G1066">
        <v>705.97</v>
      </c>
      <c r="H1066">
        <v>0.1</v>
      </c>
      <c r="I1066" t="s">
        <v>1809</v>
      </c>
      <c r="J1066">
        <v>1270.7460000000001</v>
      </c>
      <c r="K1066" t="s">
        <v>1145</v>
      </c>
      <c r="L1066">
        <v>21</v>
      </c>
      <c r="M1066" t="str">
        <v>Female</v>
      </c>
      <c r="N1066" t="str">
        <f>VLOOKUP(C:C,Customer_Dim!B:I,5,1)</f>
        <v>Millston</v>
      </c>
      <c r="O1066" t="str">
        <f>VLOOKUP(C:C,Customer_Dim!B:I,6,1)</f>
        <v>Indiana</v>
      </c>
      <c r="P1066" t="str">
        <f>VLOOKUP(C:C,Customer_Dim!B:I,7,1)</f>
        <v>USA</v>
      </c>
      <c r="Q1066" t="str">
        <f>VLOOKUP(C:C,Customer_Dim!B:I,8,1)</f>
        <v>Silver</v>
      </c>
      <c r="S1066">
        <v>2</v>
      </c>
      <c r="T1066">
        <v>705.97</v>
      </c>
      <c r="U1066">
        <v>0.1</v>
      </c>
      <c r="V1066">
        <v>1270.7460000000001</v>
      </c>
      <c r="X1066" s="4">
        <v>2</v>
      </c>
      <c r="Y1066">
        <v>705.97</v>
      </c>
      <c r="Z1066">
        <v>0.1</v>
      </c>
      <c r="AA1066">
        <v>1270.7460000000001</v>
      </c>
    </row>
    <row r="1067" spans="1:27" x14ac:dyDescent="0.3">
      <c r="A1067" t="s">
        <v>2874</v>
      </c>
      <c r="B1067" s="2">
        <v>45736</v>
      </c>
      <c r="C1067" t="s">
        <v>100</v>
      </c>
      <c r="D1067" t="s">
        <v>1611</v>
      </c>
      <c r="E1067" t="s">
        <v>1740</v>
      </c>
      <c r="F1067" s="4">
        <v>2</v>
      </c>
      <c r="G1067">
        <v>994.29</v>
      </c>
      <c r="H1067">
        <v>0.01</v>
      </c>
      <c r="I1067" t="s">
        <v>1809</v>
      </c>
      <c r="J1067">
        <v>1968.6941999999999</v>
      </c>
      <c r="K1067" t="s">
        <v>101</v>
      </c>
      <c r="L1067">
        <v>40</v>
      </c>
      <c r="M1067" t="str">
        <v>Male</v>
      </c>
      <c r="N1067" t="str">
        <f>VLOOKUP(C:C,Customer_Dim!B:I,5,1)</f>
        <v>Molinabury</v>
      </c>
      <c r="O1067" t="str">
        <f>VLOOKUP(C:C,Customer_Dim!B:I,6,1)</f>
        <v>Oregon</v>
      </c>
      <c r="P1067" t="str">
        <f>VLOOKUP(C:C,Customer_Dim!B:I,7,1)</f>
        <v>USA</v>
      </c>
      <c r="Q1067" t="str">
        <f>VLOOKUP(C:C,Customer_Dim!B:I,8,1)</f>
        <v>Silver</v>
      </c>
      <c r="S1067">
        <v>2</v>
      </c>
      <c r="T1067">
        <v>994.29</v>
      </c>
      <c r="U1067">
        <v>0.01</v>
      </c>
      <c r="V1067">
        <v>1968.6941999999999</v>
      </c>
      <c r="X1067" s="4">
        <v>2</v>
      </c>
      <c r="Y1067">
        <v>994.29</v>
      </c>
      <c r="Z1067">
        <v>0.01</v>
      </c>
      <c r="AA1067">
        <v>1968.6941999999999</v>
      </c>
    </row>
    <row r="1068" spans="1:27" x14ac:dyDescent="0.3">
      <c r="A1068" t="s">
        <v>2875</v>
      </c>
      <c r="B1068" s="2">
        <v>45608</v>
      </c>
      <c r="C1068" t="s">
        <v>1292</v>
      </c>
      <c r="D1068" t="s">
        <v>1715</v>
      </c>
      <c r="E1068" t="s">
        <v>1793</v>
      </c>
      <c r="F1068" s="4">
        <v>1</v>
      </c>
      <c r="G1068">
        <v>909.04</v>
      </c>
      <c r="H1068">
        <v>0.11</v>
      </c>
      <c r="I1068" t="s">
        <v>1807</v>
      </c>
      <c r="J1068">
        <v>809.04560000000004</v>
      </c>
      <c r="K1068" t="s">
        <v>1293</v>
      </c>
      <c r="L1068">
        <v>42</v>
      </c>
      <c r="M1068" t="str">
        <v>Female</v>
      </c>
      <c r="N1068" t="str">
        <f>VLOOKUP(C:C,Customer_Dim!B:I,5,1)</f>
        <v>East Amy</v>
      </c>
      <c r="O1068" t="str">
        <f>VLOOKUP(C:C,Customer_Dim!B:I,6,1)</f>
        <v>Washington</v>
      </c>
      <c r="P1068" t="str">
        <f>VLOOKUP(C:C,Customer_Dim!B:I,7,1)</f>
        <v>USA</v>
      </c>
      <c r="Q1068" t="str">
        <f>VLOOKUP(C:C,Customer_Dim!B:I,8,1)</f>
        <v>Platinum</v>
      </c>
      <c r="S1068">
        <v>1</v>
      </c>
      <c r="T1068">
        <v>909.04</v>
      </c>
      <c r="U1068">
        <v>0.11</v>
      </c>
      <c r="V1068">
        <v>809.04560000000004</v>
      </c>
      <c r="X1068" s="4">
        <v>1</v>
      </c>
      <c r="Y1068">
        <v>909.04</v>
      </c>
      <c r="Z1068">
        <v>0.11</v>
      </c>
      <c r="AA1068">
        <v>809.04560000000004</v>
      </c>
    </row>
    <row r="1069" spans="1:27" x14ac:dyDescent="0.3">
      <c r="A1069" t="s">
        <v>2876</v>
      </c>
      <c r="B1069" s="2">
        <v>45334</v>
      </c>
      <c r="C1069" t="s">
        <v>1083</v>
      </c>
      <c r="D1069" t="s">
        <v>1599</v>
      </c>
      <c r="E1069" t="s">
        <v>1775</v>
      </c>
      <c r="F1069" s="4">
        <v>1</v>
      </c>
      <c r="G1069">
        <v>164.73</v>
      </c>
      <c r="H1069">
        <v>0.12</v>
      </c>
      <c r="I1069" t="s">
        <v>1809</v>
      </c>
      <c r="J1069">
        <v>144.9624</v>
      </c>
      <c r="K1069" t="s">
        <v>1084</v>
      </c>
      <c r="L1069">
        <v>26</v>
      </c>
      <c r="M1069" t="str">
        <v>Male</v>
      </c>
      <c r="N1069" t="str">
        <f>VLOOKUP(C:C,Customer_Dim!B:I,5,1)</f>
        <v>New Angiefurt</v>
      </c>
      <c r="O1069" t="str">
        <f>VLOOKUP(C:C,Customer_Dim!B:I,6,1)</f>
        <v>Alaska</v>
      </c>
      <c r="P1069" t="str">
        <f>VLOOKUP(C:C,Customer_Dim!B:I,7,1)</f>
        <v>USA</v>
      </c>
      <c r="Q1069" t="str">
        <f>VLOOKUP(C:C,Customer_Dim!B:I,8,1)</f>
        <v>Bronze</v>
      </c>
      <c r="S1069">
        <v>1</v>
      </c>
      <c r="T1069">
        <v>164.73</v>
      </c>
      <c r="U1069">
        <v>0.12</v>
      </c>
      <c r="V1069">
        <v>144.9624</v>
      </c>
      <c r="X1069" s="4">
        <v>1</v>
      </c>
      <c r="Y1069">
        <v>164.73</v>
      </c>
      <c r="Z1069">
        <v>0.12</v>
      </c>
      <c r="AA1069">
        <v>144.9624</v>
      </c>
    </row>
    <row r="1070" spans="1:27" x14ac:dyDescent="0.3">
      <c r="A1070" t="s">
        <v>2877</v>
      </c>
      <c r="B1070" s="2">
        <v>45690</v>
      </c>
      <c r="C1070" t="s">
        <v>227</v>
      </c>
      <c r="D1070" t="s">
        <v>1605</v>
      </c>
      <c r="E1070" t="s">
        <v>1762</v>
      </c>
      <c r="F1070" s="4">
        <v>2</v>
      </c>
      <c r="G1070">
        <v>606.35</v>
      </c>
      <c r="H1070">
        <v>0.16</v>
      </c>
      <c r="I1070" t="s">
        <v>1812</v>
      </c>
      <c r="J1070">
        <v>1018.668</v>
      </c>
      <c r="K1070" t="s">
        <v>228</v>
      </c>
      <c r="L1070">
        <v>51</v>
      </c>
      <c r="M1070" t="str">
        <v>Male</v>
      </c>
      <c r="N1070" t="str">
        <f>VLOOKUP(C:C,Customer_Dim!B:I,5,1)</f>
        <v>Stevensonton</v>
      </c>
      <c r="O1070" t="str">
        <f>VLOOKUP(C:C,Customer_Dim!B:I,6,1)</f>
        <v>New Mexico</v>
      </c>
      <c r="P1070" t="str">
        <f>VLOOKUP(C:C,Customer_Dim!B:I,7,1)</f>
        <v>USA</v>
      </c>
      <c r="Q1070" t="str">
        <f>VLOOKUP(C:C,Customer_Dim!B:I,8,1)</f>
        <v>Bronze</v>
      </c>
      <c r="S1070">
        <v>2</v>
      </c>
      <c r="T1070">
        <v>606.35</v>
      </c>
      <c r="U1070">
        <v>0.16</v>
      </c>
      <c r="V1070">
        <v>1018.668</v>
      </c>
      <c r="X1070" s="4">
        <v>2</v>
      </c>
      <c r="Y1070">
        <v>606.35</v>
      </c>
      <c r="Z1070">
        <v>0.16</v>
      </c>
      <c r="AA1070">
        <v>1018.668</v>
      </c>
    </row>
    <row r="1071" spans="1:27" x14ac:dyDescent="0.3">
      <c r="A1071" t="s">
        <v>2878</v>
      </c>
      <c r="B1071" s="2">
        <v>45481</v>
      </c>
      <c r="C1071" t="s">
        <v>539</v>
      </c>
      <c r="D1071" t="s">
        <v>1727</v>
      </c>
      <c r="E1071" t="s">
        <v>1752</v>
      </c>
      <c r="F1071" s="4">
        <v>3</v>
      </c>
      <c r="G1071">
        <v>904.19</v>
      </c>
      <c r="H1071">
        <v>0.09</v>
      </c>
      <c r="I1071" t="s">
        <v>1807</v>
      </c>
      <c r="J1071">
        <v>2468.4387000000002</v>
      </c>
      <c r="K1071" t="s">
        <v>540</v>
      </c>
      <c r="L1071">
        <v>39</v>
      </c>
      <c r="M1071" t="str">
        <v>Female</v>
      </c>
      <c r="N1071" t="str">
        <f>VLOOKUP(C:C,Customer_Dim!B:I,5,1)</f>
        <v>North Matthew</v>
      </c>
      <c r="O1071" t="str">
        <f>VLOOKUP(C:C,Customer_Dim!B:I,6,1)</f>
        <v>Illinois</v>
      </c>
      <c r="P1071" t="str">
        <f>VLOOKUP(C:C,Customer_Dim!B:I,7,1)</f>
        <v>USA</v>
      </c>
      <c r="Q1071" t="str">
        <f>VLOOKUP(C:C,Customer_Dim!B:I,8,1)</f>
        <v>Bronze</v>
      </c>
      <c r="S1071">
        <v>3</v>
      </c>
      <c r="T1071">
        <v>904.19</v>
      </c>
      <c r="U1071">
        <v>0.09</v>
      </c>
      <c r="V1071">
        <v>2468.4387000000002</v>
      </c>
      <c r="X1071" s="4">
        <v>3</v>
      </c>
      <c r="Y1071">
        <v>904.19</v>
      </c>
      <c r="Z1071">
        <v>0.09</v>
      </c>
      <c r="AA1071">
        <v>2468.4387000000002</v>
      </c>
    </row>
    <row r="1072" spans="1:27" x14ac:dyDescent="0.3">
      <c r="A1072" t="s">
        <v>2879</v>
      </c>
      <c r="B1072" s="2">
        <v>45576</v>
      </c>
      <c r="C1072" t="s">
        <v>503</v>
      </c>
      <c r="D1072" t="s">
        <v>1631</v>
      </c>
      <c r="E1072" t="s">
        <v>1744</v>
      </c>
      <c r="F1072" s="4">
        <v>4</v>
      </c>
      <c r="G1072">
        <v>694.61</v>
      </c>
      <c r="H1072">
        <v>0.18</v>
      </c>
      <c r="I1072" t="s">
        <v>1812</v>
      </c>
      <c r="J1072">
        <v>2278.3208</v>
      </c>
      <c r="K1072" t="s">
        <v>504</v>
      </c>
      <c r="L1072">
        <v>41</v>
      </c>
      <c r="M1072" t="str">
        <v>Female</v>
      </c>
      <c r="N1072" t="str">
        <f>VLOOKUP(C:C,Customer_Dim!B:I,5,1)</f>
        <v>Lake Stevenfort</v>
      </c>
      <c r="O1072" t="str">
        <f>VLOOKUP(C:C,Customer_Dim!B:I,6,1)</f>
        <v>Oregon</v>
      </c>
      <c r="P1072" t="str">
        <f>VLOOKUP(C:C,Customer_Dim!B:I,7,1)</f>
        <v>USA</v>
      </c>
      <c r="Q1072" t="str">
        <f>VLOOKUP(C:C,Customer_Dim!B:I,8,1)</f>
        <v>Gold</v>
      </c>
      <c r="S1072">
        <v>4</v>
      </c>
      <c r="T1072">
        <v>694.61</v>
      </c>
      <c r="U1072">
        <v>0.18</v>
      </c>
      <c r="V1072">
        <v>2278.3208</v>
      </c>
      <c r="X1072" s="4">
        <v>4</v>
      </c>
      <c r="Y1072">
        <v>694.61</v>
      </c>
      <c r="Z1072">
        <v>0.18</v>
      </c>
      <c r="AA1072">
        <v>2278.3208</v>
      </c>
    </row>
    <row r="1073" spans="1:27" x14ac:dyDescent="0.3">
      <c r="A1073" t="s">
        <v>2880</v>
      </c>
      <c r="B1073" s="2">
        <v>45215</v>
      </c>
      <c r="C1073" t="s">
        <v>721</v>
      </c>
      <c r="D1073" t="s">
        <v>1709</v>
      </c>
      <c r="E1073" t="s">
        <v>1744</v>
      </c>
      <c r="F1073" s="4">
        <v>4</v>
      </c>
      <c r="G1073">
        <v>753.83</v>
      </c>
      <c r="H1073">
        <v>0.24</v>
      </c>
      <c r="I1073" t="s">
        <v>1807</v>
      </c>
      <c r="J1073">
        <v>2291.6432</v>
      </c>
      <c r="K1073" t="s">
        <v>722</v>
      </c>
      <c r="L1073">
        <v>54</v>
      </c>
      <c r="M1073" t="str">
        <v>Male</v>
      </c>
      <c r="N1073" t="str">
        <f>VLOOKUP(C:C,Customer_Dim!B:I,5,1)</f>
        <v>Bethanyton</v>
      </c>
      <c r="O1073" t="str">
        <f>VLOOKUP(C:C,Customer_Dim!B:I,6,1)</f>
        <v>Utah</v>
      </c>
      <c r="P1073" t="str">
        <f>VLOOKUP(C:C,Customer_Dim!B:I,7,1)</f>
        <v>USA</v>
      </c>
      <c r="Q1073" t="str">
        <f>VLOOKUP(C:C,Customer_Dim!B:I,8,1)</f>
        <v>Platinum</v>
      </c>
      <c r="S1073">
        <v>4</v>
      </c>
      <c r="T1073">
        <v>753.83</v>
      </c>
      <c r="U1073">
        <v>0.24</v>
      </c>
      <c r="V1073">
        <v>2291.6432</v>
      </c>
      <c r="X1073" s="4">
        <v>4</v>
      </c>
      <c r="Y1073">
        <v>753.83</v>
      </c>
      <c r="Z1073">
        <v>0.24</v>
      </c>
      <c r="AA1073">
        <v>2291.6432</v>
      </c>
    </row>
    <row r="1074" spans="1:27" x14ac:dyDescent="0.3">
      <c r="A1074" t="s">
        <v>2881</v>
      </c>
      <c r="B1074" s="2">
        <v>45653</v>
      </c>
      <c r="C1074" t="s">
        <v>640</v>
      </c>
      <c r="D1074" t="s">
        <v>1573</v>
      </c>
      <c r="E1074" t="s">
        <v>1765</v>
      </c>
      <c r="F1074" s="4">
        <v>1</v>
      </c>
      <c r="G1074">
        <v>66.22</v>
      </c>
      <c r="H1074">
        <v>0.02</v>
      </c>
      <c r="I1074" t="s">
        <v>1807</v>
      </c>
      <c r="J1074">
        <v>64.895600000000002</v>
      </c>
      <c r="K1074" t="s">
        <v>641</v>
      </c>
      <c r="L1074">
        <v>54</v>
      </c>
      <c r="M1074" t="str">
        <v>Male</v>
      </c>
      <c r="N1074" t="str">
        <f>VLOOKUP(C:C,Customer_Dim!B:I,5,1)</f>
        <v>Christopherland</v>
      </c>
      <c r="O1074" t="str">
        <f>VLOOKUP(C:C,Customer_Dim!B:I,6,1)</f>
        <v>Minnesota</v>
      </c>
      <c r="P1074" t="str">
        <f>VLOOKUP(C:C,Customer_Dim!B:I,7,1)</f>
        <v>USA</v>
      </c>
      <c r="Q1074" t="str">
        <f>VLOOKUP(C:C,Customer_Dim!B:I,8,1)</f>
        <v>Platinum</v>
      </c>
      <c r="S1074">
        <v>1</v>
      </c>
      <c r="T1074">
        <v>66.22</v>
      </c>
      <c r="U1074">
        <v>0.02</v>
      </c>
      <c r="V1074">
        <v>64.895600000000002</v>
      </c>
      <c r="X1074" s="4">
        <v>1</v>
      </c>
      <c r="Y1074">
        <v>66.22</v>
      </c>
      <c r="Z1074">
        <v>0.02</v>
      </c>
      <c r="AA1074">
        <v>64.895600000000002</v>
      </c>
    </row>
    <row r="1075" spans="1:27" x14ac:dyDescent="0.3">
      <c r="A1075" t="s">
        <v>2882</v>
      </c>
      <c r="B1075" s="2">
        <v>45241</v>
      </c>
      <c r="C1075" t="s">
        <v>1048</v>
      </c>
      <c r="D1075" t="s">
        <v>1659</v>
      </c>
      <c r="E1075" t="s">
        <v>1782</v>
      </c>
      <c r="F1075" s="4">
        <v>2</v>
      </c>
      <c r="G1075">
        <v>891.8</v>
      </c>
      <c r="H1075">
        <v>0.28999999999999998</v>
      </c>
      <c r="I1075" t="s">
        <v>1812</v>
      </c>
      <c r="J1075">
        <v>1266.356</v>
      </c>
      <c r="K1075" t="s">
        <v>1049</v>
      </c>
      <c r="L1075">
        <v>46</v>
      </c>
      <c r="M1075" t="str">
        <v>Female</v>
      </c>
      <c r="N1075" t="str">
        <f>VLOOKUP(C:C,Customer_Dim!B:I,5,1)</f>
        <v>Ryanport</v>
      </c>
      <c r="O1075" t="str">
        <f>VLOOKUP(C:C,Customer_Dim!B:I,6,1)</f>
        <v>North Carolina</v>
      </c>
      <c r="P1075" t="str">
        <f>VLOOKUP(C:C,Customer_Dim!B:I,7,1)</f>
        <v>USA</v>
      </c>
      <c r="Q1075" t="str">
        <f>VLOOKUP(C:C,Customer_Dim!B:I,8,1)</f>
        <v>Bronze</v>
      </c>
      <c r="S1075">
        <v>2</v>
      </c>
      <c r="T1075">
        <v>891.8</v>
      </c>
      <c r="U1075">
        <v>0.28999999999999998</v>
      </c>
      <c r="V1075">
        <v>1266.356</v>
      </c>
      <c r="X1075" s="4">
        <v>2</v>
      </c>
      <c r="Y1075">
        <v>891.8</v>
      </c>
      <c r="Z1075">
        <v>0.28999999999999998</v>
      </c>
      <c r="AA1075">
        <v>1266.356</v>
      </c>
    </row>
    <row r="1076" spans="1:27" x14ac:dyDescent="0.3">
      <c r="A1076" t="s">
        <v>2883</v>
      </c>
      <c r="B1076" s="2">
        <v>45428</v>
      </c>
      <c r="C1076" t="s">
        <v>1123</v>
      </c>
      <c r="D1076" t="s">
        <v>1681</v>
      </c>
      <c r="E1076" t="s">
        <v>1769</v>
      </c>
      <c r="F1076" s="4">
        <v>4</v>
      </c>
      <c r="G1076">
        <v>255.48</v>
      </c>
      <c r="H1076">
        <v>0.03</v>
      </c>
      <c r="I1076" t="s">
        <v>1812</v>
      </c>
      <c r="J1076">
        <v>991.26239999999996</v>
      </c>
      <c r="K1076" t="s">
        <v>1124</v>
      </c>
      <c r="L1076">
        <v>58</v>
      </c>
      <c r="M1076" t="str">
        <v>Male</v>
      </c>
      <c r="N1076" t="str">
        <f>VLOOKUP(C:C,Customer_Dim!B:I,5,1)</f>
        <v>Murphytown</v>
      </c>
      <c r="O1076" t="str">
        <f>VLOOKUP(C:C,Customer_Dim!B:I,6,1)</f>
        <v>Ohio</v>
      </c>
      <c r="P1076" t="str">
        <f>VLOOKUP(C:C,Customer_Dim!B:I,7,1)</f>
        <v>USA</v>
      </c>
      <c r="Q1076" t="str">
        <f>VLOOKUP(C:C,Customer_Dim!B:I,8,1)</f>
        <v>Bronze</v>
      </c>
      <c r="S1076">
        <v>4</v>
      </c>
      <c r="T1076">
        <v>255.48</v>
      </c>
      <c r="U1076">
        <v>0.03</v>
      </c>
      <c r="V1076">
        <v>991.26239999999996</v>
      </c>
      <c r="X1076" s="4">
        <v>4</v>
      </c>
      <c r="Y1076">
        <v>255.48</v>
      </c>
      <c r="Z1076">
        <v>0.03</v>
      </c>
      <c r="AA1076">
        <v>991.26239999999996</v>
      </c>
    </row>
    <row r="1077" spans="1:27" x14ac:dyDescent="0.3">
      <c r="A1077" t="s">
        <v>2884</v>
      </c>
      <c r="B1077" s="2">
        <v>45593</v>
      </c>
      <c r="C1077" t="s">
        <v>942</v>
      </c>
      <c r="D1077" t="s">
        <v>1699</v>
      </c>
      <c r="E1077" t="s">
        <v>1790</v>
      </c>
      <c r="F1077" s="4">
        <v>4</v>
      </c>
      <c r="G1077">
        <v>604.87</v>
      </c>
      <c r="H1077">
        <v>0.28000000000000003</v>
      </c>
      <c r="I1077" t="s">
        <v>1809</v>
      </c>
      <c r="J1077">
        <v>1742.0255999999999</v>
      </c>
      <c r="K1077" t="s">
        <v>943</v>
      </c>
      <c r="L1077">
        <v>36</v>
      </c>
      <c r="M1077" t="str">
        <v>Male</v>
      </c>
      <c r="N1077" t="str">
        <f>VLOOKUP(C:C,Customer_Dim!B:I,5,1)</f>
        <v>West Bruceburgh</v>
      </c>
      <c r="O1077" t="str">
        <f>VLOOKUP(C:C,Customer_Dim!B:I,6,1)</f>
        <v>Virginia</v>
      </c>
      <c r="P1077" t="str">
        <f>VLOOKUP(C:C,Customer_Dim!B:I,7,1)</f>
        <v>USA</v>
      </c>
      <c r="Q1077" t="str">
        <f>VLOOKUP(C:C,Customer_Dim!B:I,8,1)</f>
        <v>Gold</v>
      </c>
      <c r="S1077">
        <v>4</v>
      </c>
      <c r="T1077">
        <v>604.87</v>
      </c>
      <c r="U1077">
        <v>0.28000000000000003</v>
      </c>
      <c r="V1077">
        <v>1742.0255999999999</v>
      </c>
      <c r="X1077" s="4">
        <v>4</v>
      </c>
      <c r="Y1077">
        <v>604.87</v>
      </c>
      <c r="Z1077">
        <v>0.28000000000000003</v>
      </c>
      <c r="AA1077">
        <v>1742.0255999999999</v>
      </c>
    </row>
    <row r="1078" spans="1:27" x14ac:dyDescent="0.3">
      <c r="A1078" t="s">
        <v>2885</v>
      </c>
      <c r="B1078" s="2">
        <v>45370</v>
      </c>
      <c r="C1078" t="s">
        <v>174</v>
      </c>
      <c r="D1078" t="s">
        <v>1597</v>
      </c>
      <c r="E1078" t="s">
        <v>1790</v>
      </c>
      <c r="F1078" s="4">
        <v>3</v>
      </c>
      <c r="G1078">
        <v>623.82000000000005</v>
      </c>
      <c r="H1078">
        <v>0.13</v>
      </c>
      <c r="I1078" t="s">
        <v>1812</v>
      </c>
      <c r="J1078">
        <v>1628.1702</v>
      </c>
      <c r="K1078" t="s">
        <v>3936</v>
      </c>
      <c r="L1078">
        <v>55</v>
      </c>
      <c r="M1078" t="str">
        <v>Female</v>
      </c>
      <c r="N1078" t="str">
        <f>VLOOKUP(C:C,Customer_Dim!B:I,5,1)</f>
        <v>North Johnview</v>
      </c>
      <c r="O1078" t="str">
        <f>VLOOKUP(C:C,Customer_Dim!B:I,6,1)</f>
        <v>Arizona</v>
      </c>
      <c r="P1078" t="str">
        <f>VLOOKUP(C:C,Customer_Dim!B:I,7,1)</f>
        <v>USA</v>
      </c>
      <c r="Q1078" t="str">
        <f>VLOOKUP(C:C,Customer_Dim!B:I,8,1)</f>
        <v>Gold</v>
      </c>
      <c r="S1078">
        <v>3</v>
      </c>
      <c r="T1078">
        <v>623.82000000000005</v>
      </c>
      <c r="U1078">
        <v>0.13</v>
      </c>
      <c r="V1078">
        <v>1628.1702</v>
      </c>
      <c r="X1078" s="4">
        <v>3</v>
      </c>
      <c r="Y1078">
        <v>623.82000000000005</v>
      </c>
      <c r="Z1078">
        <v>0.13</v>
      </c>
      <c r="AA1078">
        <v>1628.1702</v>
      </c>
    </row>
    <row r="1079" spans="1:27" x14ac:dyDescent="0.3">
      <c r="A1079" t="s">
        <v>2886</v>
      </c>
      <c r="B1079" s="2">
        <v>45882</v>
      </c>
      <c r="C1079" t="s">
        <v>465</v>
      </c>
      <c r="D1079" t="s">
        <v>1673</v>
      </c>
      <c r="E1079" t="s">
        <v>1787</v>
      </c>
      <c r="F1079" s="4">
        <v>3</v>
      </c>
      <c r="G1079">
        <v>575.24</v>
      </c>
      <c r="H1079">
        <v>0.12</v>
      </c>
      <c r="I1079" t="s">
        <v>1812</v>
      </c>
      <c r="J1079">
        <v>1518.6335999999999</v>
      </c>
      <c r="K1079" t="s">
        <v>466</v>
      </c>
      <c r="L1079">
        <v>32</v>
      </c>
      <c r="M1079" t="str">
        <v>Male</v>
      </c>
      <c r="N1079" t="str">
        <f>VLOOKUP(C:C,Customer_Dim!B:I,5,1)</f>
        <v>Lake Michael</v>
      </c>
      <c r="O1079" t="str">
        <f>VLOOKUP(C:C,Customer_Dim!B:I,6,1)</f>
        <v>Virginia</v>
      </c>
      <c r="P1079" t="str">
        <f>VLOOKUP(C:C,Customer_Dim!B:I,7,1)</f>
        <v>USA</v>
      </c>
      <c r="Q1079" t="str">
        <f>VLOOKUP(C:C,Customer_Dim!B:I,8,1)</f>
        <v>Gold</v>
      </c>
      <c r="S1079">
        <v>3</v>
      </c>
      <c r="T1079">
        <v>575.24</v>
      </c>
      <c r="U1079">
        <v>0.12</v>
      </c>
      <c r="V1079">
        <v>1518.6335999999999</v>
      </c>
      <c r="X1079" s="4">
        <v>3</v>
      </c>
      <c r="Y1079">
        <v>575.24</v>
      </c>
      <c r="Z1079">
        <v>0.12</v>
      </c>
      <c r="AA1079">
        <v>1518.6335999999999</v>
      </c>
    </row>
    <row r="1080" spans="1:27" x14ac:dyDescent="0.3">
      <c r="A1080" t="s">
        <v>2887</v>
      </c>
      <c r="B1080" s="2">
        <v>45878</v>
      </c>
      <c r="C1080" t="s">
        <v>1272</v>
      </c>
      <c r="D1080" t="s">
        <v>1536</v>
      </c>
      <c r="E1080" t="s">
        <v>1775</v>
      </c>
      <c r="F1080" s="4">
        <v>1</v>
      </c>
      <c r="G1080">
        <v>769.4</v>
      </c>
      <c r="H1080">
        <v>0.16</v>
      </c>
      <c r="I1080" t="s">
        <v>1807</v>
      </c>
      <c r="J1080">
        <v>646.29599999999994</v>
      </c>
      <c r="K1080" t="s">
        <v>1273</v>
      </c>
      <c r="L1080">
        <v>26</v>
      </c>
      <c r="M1080" t="str">
        <v>Female</v>
      </c>
      <c r="N1080" t="str">
        <f>VLOOKUP(C:C,Customer_Dim!B:I,5,1)</f>
        <v>East Patriciafort</v>
      </c>
      <c r="O1080" t="str">
        <f>VLOOKUP(C:C,Customer_Dim!B:I,6,1)</f>
        <v>Missouri</v>
      </c>
      <c r="P1080" t="str">
        <f>VLOOKUP(C:C,Customer_Dim!B:I,7,1)</f>
        <v>USA</v>
      </c>
      <c r="Q1080" t="str">
        <f>VLOOKUP(C:C,Customer_Dim!B:I,8,1)</f>
        <v>Gold</v>
      </c>
      <c r="S1080">
        <v>1</v>
      </c>
      <c r="T1080">
        <v>769.4</v>
      </c>
      <c r="U1080">
        <v>0.16</v>
      </c>
      <c r="V1080">
        <v>646.29599999999994</v>
      </c>
      <c r="X1080" s="4">
        <v>1</v>
      </c>
      <c r="Y1080">
        <v>769.4</v>
      </c>
      <c r="Z1080">
        <v>0.16</v>
      </c>
      <c r="AA1080">
        <v>646.29599999999994</v>
      </c>
    </row>
    <row r="1081" spans="1:27" x14ac:dyDescent="0.3">
      <c r="A1081" t="s">
        <v>2888</v>
      </c>
      <c r="B1081" s="2">
        <v>45420</v>
      </c>
      <c r="C1081" t="s">
        <v>1024</v>
      </c>
      <c r="D1081" t="s">
        <v>1536</v>
      </c>
      <c r="E1081" t="s">
        <v>1790</v>
      </c>
      <c r="F1081" s="4">
        <v>1</v>
      </c>
      <c r="G1081">
        <v>227.28</v>
      </c>
      <c r="H1081">
        <v>0.13</v>
      </c>
      <c r="I1081" t="s">
        <v>1812</v>
      </c>
      <c r="J1081">
        <v>197.7336</v>
      </c>
      <c r="K1081" t="s">
        <v>1025</v>
      </c>
      <c r="L1081">
        <v>54</v>
      </c>
      <c r="M1081" t="str">
        <v>Male</v>
      </c>
      <c r="N1081" t="str">
        <f>VLOOKUP(C:C,Customer_Dim!B:I,5,1)</f>
        <v>Tiffanyshire</v>
      </c>
      <c r="O1081" t="str">
        <f>VLOOKUP(C:C,Customer_Dim!B:I,6,1)</f>
        <v>Minnesota</v>
      </c>
      <c r="P1081" t="str">
        <f>VLOOKUP(C:C,Customer_Dim!B:I,7,1)</f>
        <v>USA</v>
      </c>
      <c r="Q1081" t="str">
        <f>VLOOKUP(C:C,Customer_Dim!B:I,8,1)</f>
        <v>Bronze</v>
      </c>
      <c r="S1081">
        <v>1</v>
      </c>
      <c r="T1081">
        <v>227.28</v>
      </c>
      <c r="U1081">
        <v>0.13</v>
      </c>
      <c r="V1081">
        <v>197.7336</v>
      </c>
      <c r="X1081" s="4">
        <v>1</v>
      </c>
      <c r="Y1081">
        <v>227.28</v>
      </c>
      <c r="Z1081">
        <v>0.13</v>
      </c>
      <c r="AA1081">
        <v>197.7336</v>
      </c>
    </row>
    <row r="1082" spans="1:27" x14ac:dyDescent="0.3">
      <c r="A1082" t="s">
        <v>2889</v>
      </c>
      <c r="B1082" s="2">
        <v>45361</v>
      </c>
      <c r="C1082" t="s">
        <v>192</v>
      </c>
      <c r="D1082" t="s">
        <v>1532</v>
      </c>
      <c r="E1082" t="s">
        <v>1790</v>
      </c>
      <c r="F1082" s="4">
        <v>4</v>
      </c>
      <c r="G1082">
        <v>127.58</v>
      </c>
      <c r="H1082">
        <v>0.15</v>
      </c>
      <c r="I1082" t="s">
        <v>1807</v>
      </c>
      <c r="J1082">
        <v>433.77199999999999</v>
      </c>
      <c r="K1082" t="s">
        <v>193</v>
      </c>
      <c r="L1082">
        <v>55</v>
      </c>
      <c r="M1082" t="str">
        <v>Male</v>
      </c>
      <c r="N1082" t="str">
        <f>VLOOKUP(C:C,Customer_Dim!B:I,5,1)</f>
        <v>New Julia</v>
      </c>
      <c r="O1082" t="str">
        <f>VLOOKUP(C:C,Customer_Dim!B:I,6,1)</f>
        <v>West Virginia</v>
      </c>
      <c r="P1082" t="str">
        <f>VLOOKUP(C:C,Customer_Dim!B:I,7,1)</f>
        <v>USA</v>
      </c>
      <c r="Q1082" t="str">
        <f>VLOOKUP(C:C,Customer_Dim!B:I,8,1)</f>
        <v>Gold</v>
      </c>
      <c r="S1082">
        <v>4</v>
      </c>
      <c r="T1082">
        <v>127.58</v>
      </c>
      <c r="U1082">
        <v>0.15</v>
      </c>
      <c r="V1082">
        <v>433.77199999999999</v>
      </c>
      <c r="X1082" s="4">
        <v>4</v>
      </c>
      <c r="Y1082">
        <v>127.58</v>
      </c>
      <c r="Z1082">
        <v>0.15</v>
      </c>
      <c r="AA1082">
        <v>433.77199999999999</v>
      </c>
    </row>
    <row r="1083" spans="1:27" x14ac:dyDescent="0.3">
      <c r="A1083" t="s">
        <v>2890</v>
      </c>
      <c r="B1083" s="2">
        <v>45702</v>
      </c>
      <c r="C1083" t="s">
        <v>1284</v>
      </c>
      <c r="D1083" t="s">
        <v>1619</v>
      </c>
      <c r="E1083" t="s">
        <v>1749</v>
      </c>
      <c r="F1083" s="4">
        <v>1</v>
      </c>
      <c r="G1083">
        <v>793.21</v>
      </c>
      <c r="H1083">
        <v>0.09</v>
      </c>
      <c r="I1083" t="s">
        <v>1807</v>
      </c>
      <c r="J1083">
        <v>721.8211</v>
      </c>
      <c r="K1083" t="s">
        <v>1285</v>
      </c>
      <c r="L1083">
        <v>33</v>
      </c>
      <c r="M1083" t="str">
        <v>Male</v>
      </c>
      <c r="N1083" t="str">
        <f>VLOOKUP(C:C,Customer_Dim!B:I,5,1)</f>
        <v>West Mario</v>
      </c>
      <c r="O1083" t="str">
        <f>VLOOKUP(C:C,Customer_Dim!B:I,6,1)</f>
        <v>New Hampshire</v>
      </c>
      <c r="P1083" t="str">
        <f>VLOOKUP(C:C,Customer_Dim!B:I,7,1)</f>
        <v>USA</v>
      </c>
      <c r="Q1083" t="str">
        <f>VLOOKUP(C:C,Customer_Dim!B:I,8,1)</f>
        <v>Silver</v>
      </c>
      <c r="S1083">
        <v>1</v>
      </c>
      <c r="T1083">
        <v>793.21</v>
      </c>
      <c r="U1083">
        <v>0.09</v>
      </c>
      <c r="V1083">
        <v>721.8211</v>
      </c>
      <c r="X1083" s="4">
        <v>1</v>
      </c>
      <c r="Y1083">
        <v>793.21</v>
      </c>
      <c r="Z1083">
        <v>0.09</v>
      </c>
      <c r="AA1083">
        <v>721.8211</v>
      </c>
    </row>
    <row r="1084" spans="1:27" x14ac:dyDescent="0.3">
      <c r="A1084" t="s">
        <v>2891</v>
      </c>
      <c r="B1084" s="2">
        <v>45871</v>
      </c>
      <c r="C1084" t="s">
        <v>942</v>
      </c>
      <c r="D1084" t="s">
        <v>1697</v>
      </c>
      <c r="E1084" t="s">
        <v>1777</v>
      </c>
      <c r="F1084" s="4">
        <v>3</v>
      </c>
      <c r="G1084">
        <v>435.61</v>
      </c>
      <c r="H1084">
        <v>0.03</v>
      </c>
      <c r="I1084" t="s">
        <v>1809</v>
      </c>
      <c r="J1084">
        <v>1267.6251</v>
      </c>
      <c r="K1084" t="s">
        <v>943</v>
      </c>
      <c r="L1084">
        <v>36</v>
      </c>
      <c r="M1084" t="str">
        <v>Male</v>
      </c>
      <c r="N1084" t="str">
        <f>VLOOKUP(C:C,Customer_Dim!B:I,5,1)</f>
        <v>West Bruceburgh</v>
      </c>
      <c r="O1084" t="str">
        <f>VLOOKUP(C:C,Customer_Dim!B:I,6,1)</f>
        <v>Virginia</v>
      </c>
      <c r="P1084" t="str">
        <f>VLOOKUP(C:C,Customer_Dim!B:I,7,1)</f>
        <v>USA</v>
      </c>
      <c r="Q1084" t="str">
        <f>VLOOKUP(C:C,Customer_Dim!B:I,8,1)</f>
        <v>Gold</v>
      </c>
      <c r="S1084">
        <v>3</v>
      </c>
      <c r="T1084">
        <v>435.61</v>
      </c>
      <c r="U1084">
        <v>0.03</v>
      </c>
      <c r="V1084">
        <v>1267.6251</v>
      </c>
      <c r="X1084" s="4">
        <v>3</v>
      </c>
      <c r="Y1084">
        <v>435.61</v>
      </c>
      <c r="Z1084">
        <v>0.03</v>
      </c>
      <c r="AA1084">
        <v>1267.6251</v>
      </c>
    </row>
    <row r="1085" spans="1:27" x14ac:dyDescent="0.3">
      <c r="A1085" t="s">
        <v>2892</v>
      </c>
      <c r="B1085" s="2">
        <v>45531</v>
      </c>
      <c r="C1085" t="s">
        <v>1189</v>
      </c>
      <c r="D1085" t="s">
        <v>1589</v>
      </c>
      <c r="E1085" t="s">
        <v>1787</v>
      </c>
      <c r="F1085" s="4">
        <v>1</v>
      </c>
      <c r="G1085">
        <v>850.06</v>
      </c>
      <c r="H1085">
        <v>0.28999999999999998</v>
      </c>
      <c r="I1085" t="s">
        <v>1809</v>
      </c>
      <c r="J1085">
        <v>603.54259999999988</v>
      </c>
      <c r="K1085" t="s">
        <v>1190</v>
      </c>
      <c r="L1085">
        <v>18</v>
      </c>
      <c r="M1085" t="str">
        <v>Female</v>
      </c>
      <c r="N1085" t="str">
        <f>VLOOKUP(C:C,Customer_Dim!B:I,5,1)</f>
        <v>Lake Brandontown</v>
      </c>
      <c r="O1085" t="str">
        <f>VLOOKUP(C:C,Customer_Dim!B:I,6,1)</f>
        <v>South Carolina</v>
      </c>
      <c r="P1085" t="str">
        <f>VLOOKUP(C:C,Customer_Dim!B:I,7,1)</f>
        <v>USA</v>
      </c>
      <c r="Q1085" t="str">
        <f>VLOOKUP(C:C,Customer_Dim!B:I,8,1)</f>
        <v>Gold</v>
      </c>
      <c r="S1085">
        <v>1</v>
      </c>
      <c r="T1085">
        <v>850.06</v>
      </c>
      <c r="U1085">
        <v>0.28999999999999998</v>
      </c>
      <c r="V1085">
        <v>603.54259999999988</v>
      </c>
      <c r="X1085" s="4">
        <v>1</v>
      </c>
      <c r="Y1085">
        <v>850.06</v>
      </c>
      <c r="Z1085">
        <v>0.28999999999999998</v>
      </c>
      <c r="AA1085">
        <v>603.54259999999988</v>
      </c>
    </row>
    <row r="1086" spans="1:27" x14ac:dyDescent="0.3">
      <c r="A1086" t="s">
        <v>2893</v>
      </c>
      <c r="B1086" s="2">
        <v>45330</v>
      </c>
      <c r="C1086" t="s">
        <v>1078</v>
      </c>
      <c r="D1086" t="s">
        <v>1563</v>
      </c>
      <c r="E1086" t="s">
        <v>1787</v>
      </c>
      <c r="F1086" s="4">
        <v>2</v>
      </c>
      <c r="G1086">
        <v>753.92</v>
      </c>
      <c r="H1086">
        <v>0.17</v>
      </c>
      <c r="I1086" t="s">
        <v>1809</v>
      </c>
      <c r="J1086">
        <v>1251.5072</v>
      </c>
      <c r="K1086" t="s">
        <v>3946</v>
      </c>
      <c r="L1086">
        <v>55</v>
      </c>
      <c r="M1086" t="str">
        <v>Male</v>
      </c>
      <c r="N1086" t="str">
        <f>VLOOKUP(C:C,Customer_Dim!B:I,5,1)</f>
        <v>Peggystad</v>
      </c>
      <c r="O1086" t="str">
        <f>VLOOKUP(C:C,Customer_Dim!B:I,6,1)</f>
        <v>Connecticut</v>
      </c>
      <c r="P1086" t="str">
        <f>VLOOKUP(C:C,Customer_Dim!B:I,7,1)</f>
        <v>USA</v>
      </c>
      <c r="Q1086" t="str">
        <f>VLOOKUP(C:C,Customer_Dim!B:I,8,1)</f>
        <v>Gold</v>
      </c>
      <c r="S1086">
        <v>2</v>
      </c>
      <c r="T1086">
        <v>753.92</v>
      </c>
      <c r="U1086">
        <v>0.17</v>
      </c>
      <c r="V1086">
        <v>1251.5072</v>
      </c>
      <c r="X1086" s="4">
        <v>2</v>
      </c>
      <c r="Y1086">
        <v>753.92</v>
      </c>
      <c r="Z1086">
        <v>0.17</v>
      </c>
      <c r="AA1086">
        <v>1251.5072</v>
      </c>
    </row>
    <row r="1087" spans="1:27" x14ac:dyDescent="0.3">
      <c r="A1087" t="s">
        <v>2894</v>
      </c>
      <c r="B1087" s="2">
        <v>45311</v>
      </c>
      <c r="C1087" t="s">
        <v>1484</v>
      </c>
      <c r="D1087" t="s">
        <v>1536</v>
      </c>
      <c r="E1087" t="s">
        <v>1780</v>
      </c>
      <c r="F1087" s="4">
        <v>3</v>
      </c>
      <c r="G1087">
        <v>408.99</v>
      </c>
      <c r="H1087">
        <v>0.27</v>
      </c>
      <c r="I1087" t="s">
        <v>1809</v>
      </c>
      <c r="J1087">
        <v>895.68809999999996</v>
      </c>
      <c r="K1087" t="s">
        <v>1485</v>
      </c>
      <c r="L1087">
        <v>42</v>
      </c>
      <c r="M1087" t="str">
        <v>Female</v>
      </c>
      <c r="N1087" t="str">
        <f>VLOOKUP(C:C,Customer_Dim!B:I,5,1)</f>
        <v>South Davidport</v>
      </c>
      <c r="O1087" t="str">
        <f>VLOOKUP(C:C,Customer_Dim!B:I,6,1)</f>
        <v>California</v>
      </c>
      <c r="P1087" t="str">
        <f>VLOOKUP(C:C,Customer_Dim!B:I,7,1)</f>
        <v>USA</v>
      </c>
      <c r="Q1087" t="str">
        <f>VLOOKUP(C:C,Customer_Dim!B:I,8,1)</f>
        <v>Platinum</v>
      </c>
      <c r="S1087">
        <v>3</v>
      </c>
      <c r="T1087">
        <v>408.99</v>
      </c>
      <c r="U1087">
        <v>0.27</v>
      </c>
      <c r="V1087">
        <v>895.68809999999996</v>
      </c>
      <c r="X1087" s="4">
        <v>3</v>
      </c>
      <c r="Y1087">
        <v>408.99</v>
      </c>
      <c r="Z1087">
        <v>0.27</v>
      </c>
      <c r="AA1087">
        <v>895.68809999999996</v>
      </c>
    </row>
    <row r="1088" spans="1:27" x14ac:dyDescent="0.3">
      <c r="A1088" t="s">
        <v>2895</v>
      </c>
      <c r="B1088" s="2">
        <v>45567</v>
      </c>
      <c r="C1088" t="s">
        <v>897</v>
      </c>
      <c r="D1088" t="s">
        <v>1645</v>
      </c>
      <c r="E1088" t="s">
        <v>1756</v>
      </c>
      <c r="F1088" s="4">
        <v>3</v>
      </c>
      <c r="G1088">
        <v>404.5</v>
      </c>
      <c r="H1088">
        <v>0.22</v>
      </c>
      <c r="I1088" t="s">
        <v>1809</v>
      </c>
      <c r="J1088">
        <v>946.53000000000009</v>
      </c>
      <c r="K1088" t="s">
        <v>898</v>
      </c>
      <c r="L1088">
        <v>22</v>
      </c>
      <c r="M1088" t="str">
        <v>Male</v>
      </c>
      <c r="N1088" t="str">
        <f>VLOOKUP(C:C,Customer_Dim!B:I,5,1)</f>
        <v>North Robert</v>
      </c>
      <c r="O1088" t="str">
        <f>VLOOKUP(C:C,Customer_Dim!B:I,6,1)</f>
        <v>Massachusetts</v>
      </c>
      <c r="P1088" t="str">
        <f>VLOOKUP(C:C,Customer_Dim!B:I,7,1)</f>
        <v>USA</v>
      </c>
      <c r="Q1088" t="str">
        <f>VLOOKUP(C:C,Customer_Dim!B:I,8,1)</f>
        <v>Silver</v>
      </c>
      <c r="S1088">
        <v>3</v>
      </c>
      <c r="T1088">
        <v>404.5</v>
      </c>
      <c r="U1088">
        <v>0.22</v>
      </c>
      <c r="V1088">
        <v>946.53000000000009</v>
      </c>
      <c r="X1088" s="4">
        <v>3</v>
      </c>
      <c r="Y1088">
        <v>404.5</v>
      </c>
      <c r="Z1088">
        <v>0.22</v>
      </c>
      <c r="AA1088">
        <v>946.53000000000009</v>
      </c>
    </row>
    <row r="1089" spans="1:27" x14ac:dyDescent="0.3">
      <c r="A1089" t="s">
        <v>2896</v>
      </c>
      <c r="B1089" s="2">
        <v>45239</v>
      </c>
      <c r="C1089" t="s">
        <v>1174</v>
      </c>
      <c r="D1089" t="s">
        <v>1609</v>
      </c>
      <c r="E1089" t="s">
        <v>1749</v>
      </c>
      <c r="F1089" s="4">
        <v>3</v>
      </c>
      <c r="G1089">
        <v>717.81</v>
      </c>
      <c r="H1089">
        <v>0.17</v>
      </c>
      <c r="I1089" t="s">
        <v>1812</v>
      </c>
      <c r="J1089">
        <v>1787.3469</v>
      </c>
      <c r="K1089" t="s">
        <v>1175</v>
      </c>
      <c r="L1089">
        <v>50</v>
      </c>
      <c r="M1089" t="str">
        <v>Male</v>
      </c>
      <c r="N1089" t="str">
        <f>VLOOKUP(C:C,Customer_Dim!B:I,5,1)</f>
        <v>South Cassandrachester</v>
      </c>
      <c r="O1089" t="str">
        <f>VLOOKUP(C:C,Customer_Dim!B:I,6,1)</f>
        <v>Rhode Island</v>
      </c>
      <c r="P1089" t="str">
        <f>VLOOKUP(C:C,Customer_Dim!B:I,7,1)</f>
        <v>USA</v>
      </c>
      <c r="Q1089" t="str">
        <f>VLOOKUP(C:C,Customer_Dim!B:I,8,1)</f>
        <v>Gold</v>
      </c>
      <c r="S1089">
        <v>3</v>
      </c>
      <c r="T1089">
        <v>717.81</v>
      </c>
      <c r="U1089">
        <v>0.17</v>
      </c>
      <c r="V1089">
        <v>1787.3469</v>
      </c>
      <c r="X1089" s="4">
        <v>3</v>
      </c>
      <c r="Y1089">
        <v>717.81</v>
      </c>
      <c r="Z1089">
        <v>0.17</v>
      </c>
      <c r="AA1089">
        <v>1787.3469</v>
      </c>
    </row>
    <row r="1090" spans="1:27" x14ac:dyDescent="0.3">
      <c r="A1090" t="s">
        <v>2897</v>
      </c>
      <c r="B1090" s="2">
        <v>45284</v>
      </c>
      <c r="C1090" t="s">
        <v>797</v>
      </c>
      <c r="D1090" t="s">
        <v>1699</v>
      </c>
      <c r="E1090" t="s">
        <v>1740</v>
      </c>
      <c r="F1090" s="4">
        <v>3</v>
      </c>
      <c r="G1090">
        <v>204.77</v>
      </c>
      <c r="H1090">
        <v>0.14000000000000001</v>
      </c>
      <c r="I1090" t="s">
        <v>1807</v>
      </c>
      <c r="J1090">
        <v>528.3066</v>
      </c>
      <c r="K1090" t="s">
        <v>798</v>
      </c>
      <c r="L1090">
        <v>26</v>
      </c>
      <c r="M1090" t="str">
        <v>Male</v>
      </c>
      <c r="N1090" t="str">
        <f>VLOOKUP(C:C,Customer_Dim!B:I,5,1)</f>
        <v>Port Coreyfort</v>
      </c>
      <c r="O1090" t="str">
        <f>VLOOKUP(C:C,Customer_Dim!B:I,6,1)</f>
        <v>Alabama</v>
      </c>
      <c r="P1090" t="str">
        <f>VLOOKUP(C:C,Customer_Dim!B:I,7,1)</f>
        <v>USA</v>
      </c>
      <c r="Q1090" t="str">
        <f>VLOOKUP(C:C,Customer_Dim!B:I,8,1)</f>
        <v>Silver</v>
      </c>
      <c r="S1090">
        <v>3</v>
      </c>
      <c r="T1090">
        <v>204.77</v>
      </c>
      <c r="U1090">
        <v>0.14000000000000001</v>
      </c>
      <c r="V1090">
        <v>528.3066</v>
      </c>
      <c r="X1090" s="4">
        <v>3</v>
      </c>
      <c r="Y1090">
        <v>204.77</v>
      </c>
      <c r="Z1090">
        <v>0.14000000000000001</v>
      </c>
      <c r="AA1090">
        <v>528.3066</v>
      </c>
    </row>
    <row r="1091" spans="1:27" x14ac:dyDescent="0.3">
      <c r="A1091" t="s">
        <v>2898</v>
      </c>
      <c r="B1091" s="2">
        <v>45686</v>
      </c>
      <c r="C1091" t="s">
        <v>152</v>
      </c>
      <c r="D1091" t="s">
        <v>1627</v>
      </c>
      <c r="E1091" t="s">
        <v>1793</v>
      </c>
      <c r="F1091" s="4">
        <v>4</v>
      </c>
      <c r="G1091">
        <v>106.23</v>
      </c>
      <c r="H1091">
        <v>0.28000000000000003</v>
      </c>
      <c r="I1091" t="s">
        <v>1812</v>
      </c>
      <c r="J1091">
        <v>305.94240000000002</v>
      </c>
      <c r="K1091" t="s">
        <v>153</v>
      </c>
      <c r="L1091">
        <v>50</v>
      </c>
      <c r="M1091" t="str">
        <v>Male</v>
      </c>
      <c r="N1091" t="str">
        <f>VLOOKUP(C:C,Customer_Dim!B:I,5,1)</f>
        <v>Darleneton</v>
      </c>
      <c r="O1091" t="str">
        <f>VLOOKUP(C:C,Customer_Dim!B:I,6,1)</f>
        <v>Michigan</v>
      </c>
      <c r="P1091" t="str">
        <f>VLOOKUP(C:C,Customer_Dim!B:I,7,1)</f>
        <v>USA</v>
      </c>
      <c r="Q1091" t="str">
        <f>VLOOKUP(C:C,Customer_Dim!B:I,8,1)</f>
        <v>Gold</v>
      </c>
      <c r="S1091">
        <v>4</v>
      </c>
      <c r="T1091">
        <v>106.23</v>
      </c>
      <c r="U1091">
        <v>0.28000000000000003</v>
      </c>
      <c r="V1091">
        <v>305.94240000000002</v>
      </c>
      <c r="X1091" s="4">
        <v>4</v>
      </c>
      <c r="Y1091">
        <v>106.23</v>
      </c>
      <c r="Z1091">
        <v>0.28000000000000003</v>
      </c>
      <c r="AA1091">
        <v>305.94240000000002</v>
      </c>
    </row>
    <row r="1092" spans="1:27" x14ac:dyDescent="0.3">
      <c r="A1092" t="s">
        <v>2899</v>
      </c>
      <c r="B1092" s="2">
        <v>45824</v>
      </c>
      <c r="C1092" t="s">
        <v>1012</v>
      </c>
      <c r="D1092" t="s">
        <v>1663</v>
      </c>
      <c r="E1092" t="s">
        <v>1756</v>
      </c>
      <c r="F1092" s="4">
        <v>2</v>
      </c>
      <c r="G1092">
        <v>769.48</v>
      </c>
      <c r="H1092">
        <v>0.11</v>
      </c>
      <c r="I1092" t="s">
        <v>1809</v>
      </c>
      <c r="J1092">
        <v>1369.6744000000001</v>
      </c>
      <c r="K1092" t="s">
        <v>1013</v>
      </c>
      <c r="L1092">
        <v>58</v>
      </c>
      <c r="M1092" t="str">
        <v>Female</v>
      </c>
      <c r="N1092" t="str">
        <f>VLOOKUP(C:C,Customer_Dim!B:I,5,1)</f>
        <v>East Matthew</v>
      </c>
      <c r="O1092" t="str">
        <f>VLOOKUP(C:C,Customer_Dim!B:I,6,1)</f>
        <v>Wisconsin</v>
      </c>
      <c r="P1092" t="str">
        <f>VLOOKUP(C:C,Customer_Dim!B:I,7,1)</f>
        <v>USA</v>
      </c>
      <c r="Q1092" t="str">
        <f>VLOOKUP(C:C,Customer_Dim!B:I,8,1)</f>
        <v>Bronze</v>
      </c>
      <c r="S1092">
        <v>2</v>
      </c>
      <c r="T1092">
        <v>769.48</v>
      </c>
      <c r="U1092">
        <v>0.11</v>
      </c>
      <c r="V1092">
        <v>1369.6744000000001</v>
      </c>
      <c r="X1092" s="4">
        <v>2</v>
      </c>
      <c r="Y1092">
        <v>769.48</v>
      </c>
      <c r="Z1092">
        <v>0.11</v>
      </c>
      <c r="AA1092">
        <v>1369.6744000000001</v>
      </c>
    </row>
    <row r="1093" spans="1:27" x14ac:dyDescent="0.3">
      <c r="A1093" t="s">
        <v>2900</v>
      </c>
      <c r="B1093" s="2">
        <v>45867</v>
      </c>
      <c r="C1093" t="s">
        <v>808</v>
      </c>
      <c r="D1093" t="s">
        <v>1645</v>
      </c>
      <c r="E1093" t="s">
        <v>1780</v>
      </c>
      <c r="F1093" s="4">
        <v>2</v>
      </c>
      <c r="G1093">
        <v>714.21</v>
      </c>
      <c r="H1093">
        <v>0.14000000000000001</v>
      </c>
      <c r="I1093" t="s">
        <v>1807</v>
      </c>
      <c r="J1093">
        <v>1228.4412</v>
      </c>
      <c r="K1093" t="s">
        <v>809</v>
      </c>
      <c r="L1093">
        <v>57</v>
      </c>
      <c r="M1093" t="str">
        <v>Male</v>
      </c>
      <c r="N1093" t="str">
        <f>VLOOKUP(C:C,Customer_Dim!B:I,5,1)</f>
        <v>Jasonton</v>
      </c>
      <c r="O1093" t="str">
        <f>VLOOKUP(C:C,Customer_Dim!B:I,6,1)</f>
        <v>Ohio</v>
      </c>
      <c r="P1093" t="str">
        <f>VLOOKUP(C:C,Customer_Dim!B:I,7,1)</f>
        <v>USA</v>
      </c>
      <c r="Q1093" t="str">
        <f>VLOOKUP(C:C,Customer_Dim!B:I,8,1)</f>
        <v>Gold</v>
      </c>
      <c r="S1093">
        <v>2</v>
      </c>
      <c r="T1093">
        <v>714.21</v>
      </c>
      <c r="U1093">
        <v>0.14000000000000001</v>
      </c>
      <c r="V1093">
        <v>1228.4412</v>
      </c>
      <c r="X1093" s="4">
        <v>2</v>
      </c>
      <c r="Y1093">
        <v>714.21</v>
      </c>
      <c r="Z1093">
        <v>0.14000000000000001</v>
      </c>
      <c r="AA1093">
        <v>1228.4412</v>
      </c>
    </row>
    <row r="1094" spans="1:27" x14ac:dyDescent="0.3">
      <c r="A1094" t="s">
        <v>2901</v>
      </c>
      <c r="B1094" s="2">
        <v>45578</v>
      </c>
      <c r="C1094" t="s">
        <v>856</v>
      </c>
      <c r="D1094" t="s">
        <v>1553</v>
      </c>
      <c r="E1094" t="s">
        <v>1784</v>
      </c>
      <c r="F1094" s="4">
        <v>4</v>
      </c>
      <c r="G1094">
        <v>632.24</v>
      </c>
      <c r="H1094">
        <v>0.25</v>
      </c>
      <c r="I1094" t="s">
        <v>1809</v>
      </c>
      <c r="J1094">
        <v>1896.72</v>
      </c>
      <c r="K1094" t="s">
        <v>3942</v>
      </c>
      <c r="L1094">
        <v>48</v>
      </c>
      <c r="M1094" t="str">
        <v>Female</v>
      </c>
      <c r="N1094" t="str">
        <f>VLOOKUP(C:C,Customer_Dim!B:I,5,1)</f>
        <v>North Stephanie</v>
      </c>
      <c r="O1094" t="str">
        <f>VLOOKUP(C:C,Customer_Dim!B:I,6,1)</f>
        <v>Nebraska</v>
      </c>
      <c r="P1094" t="str">
        <f>VLOOKUP(C:C,Customer_Dim!B:I,7,1)</f>
        <v>USA</v>
      </c>
      <c r="Q1094" t="str">
        <f>VLOOKUP(C:C,Customer_Dim!B:I,8,1)</f>
        <v>Platinum</v>
      </c>
      <c r="S1094">
        <v>4</v>
      </c>
      <c r="T1094">
        <v>632.24</v>
      </c>
      <c r="U1094">
        <v>0.25</v>
      </c>
      <c r="V1094">
        <v>1896.72</v>
      </c>
      <c r="X1094" s="4">
        <v>4</v>
      </c>
      <c r="Y1094">
        <v>632.24</v>
      </c>
      <c r="Z1094">
        <v>0.25</v>
      </c>
      <c r="AA1094">
        <v>1896.72</v>
      </c>
    </row>
    <row r="1095" spans="1:27" x14ac:dyDescent="0.3">
      <c r="A1095" t="s">
        <v>2902</v>
      </c>
      <c r="B1095" s="2">
        <v>45575</v>
      </c>
      <c r="C1095" t="s">
        <v>533</v>
      </c>
      <c r="D1095" t="s">
        <v>1687</v>
      </c>
      <c r="E1095" t="s">
        <v>1749</v>
      </c>
      <c r="F1095" s="4">
        <v>2</v>
      </c>
      <c r="G1095">
        <v>845.27</v>
      </c>
      <c r="H1095">
        <v>0.18</v>
      </c>
      <c r="I1095" t="s">
        <v>1809</v>
      </c>
      <c r="J1095">
        <v>1386.2428</v>
      </c>
      <c r="K1095" t="s">
        <v>534</v>
      </c>
      <c r="L1095">
        <v>37</v>
      </c>
      <c r="M1095" t="str">
        <v>Male</v>
      </c>
      <c r="N1095" t="str">
        <f>VLOOKUP(C:C,Customer_Dim!B:I,5,1)</f>
        <v>Hessmouth</v>
      </c>
      <c r="O1095" t="str">
        <f>VLOOKUP(C:C,Customer_Dim!B:I,6,1)</f>
        <v>Arizona</v>
      </c>
      <c r="P1095" t="str">
        <f>VLOOKUP(C:C,Customer_Dim!B:I,7,1)</f>
        <v>USA</v>
      </c>
      <c r="Q1095" t="str">
        <f>VLOOKUP(C:C,Customer_Dim!B:I,8,1)</f>
        <v>Silver</v>
      </c>
      <c r="S1095">
        <v>2</v>
      </c>
      <c r="T1095">
        <v>845.27</v>
      </c>
      <c r="U1095">
        <v>0.18</v>
      </c>
      <c r="V1095">
        <v>1386.2428</v>
      </c>
      <c r="X1095" s="4">
        <v>2</v>
      </c>
      <c r="Y1095">
        <v>845.27</v>
      </c>
      <c r="Z1095">
        <v>0.18</v>
      </c>
      <c r="AA1095">
        <v>1386.2428</v>
      </c>
    </row>
    <row r="1096" spans="1:27" x14ac:dyDescent="0.3">
      <c r="A1096" t="s">
        <v>2903</v>
      </c>
      <c r="B1096" s="2">
        <v>45816</v>
      </c>
      <c r="C1096" t="s">
        <v>1510</v>
      </c>
      <c r="D1096" t="s">
        <v>1705</v>
      </c>
      <c r="E1096" t="s">
        <v>1780</v>
      </c>
      <c r="F1096" s="4">
        <v>1</v>
      </c>
      <c r="G1096">
        <v>575.94000000000005</v>
      </c>
      <c r="H1096">
        <v>0.17</v>
      </c>
      <c r="I1096" t="s">
        <v>1807</v>
      </c>
      <c r="J1096">
        <v>478.03019999999998</v>
      </c>
      <c r="K1096" t="s">
        <v>1511</v>
      </c>
      <c r="L1096">
        <v>35</v>
      </c>
      <c r="M1096" t="str">
        <v>Male</v>
      </c>
      <c r="N1096" t="str">
        <f>VLOOKUP(C:C,Customer_Dim!B:I,5,1)</f>
        <v>Port William</v>
      </c>
      <c r="O1096" t="str">
        <f>VLOOKUP(C:C,Customer_Dim!B:I,6,1)</f>
        <v>New York</v>
      </c>
      <c r="P1096" t="str">
        <f>VLOOKUP(C:C,Customer_Dim!B:I,7,1)</f>
        <v>USA</v>
      </c>
      <c r="Q1096" t="str">
        <f>VLOOKUP(C:C,Customer_Dim!B:I,8,1)</f>
        <v>Gold</v>
      </c>
      <c r="S1096">
        <v>1</v>
      </c>
      <c r="T1096">
        <v>575.94000000000005</v>
      </c>
      <c r="U1096">
        <v>0.17</v>
      </c>
      <c r="V1096">
        <v>478.03019999999998</v>
      </c>
      <c r="X1096" s="4">
        <v>1</v>
      </c>
      <c r="Y1096">
        <v>575.94000000000005</v>
      </c>
      <c r="Z1096">
        <v>0.17</v>
      </c>
      <c r="AA1096">
        <v>478.03019999999998</v>
      </c>
    </row>
    <row r="1097" spans="1:27" x14ac:dyDescent="0.3">
      <c r="A1097" t="s">
        <v>2904</v>
      </c>
      <c r="B1097" s="2">
        <v>45620</v>
      </c>
      <c r="C1097" t="s">
        <v>797</v>
      </c>
      <c r="D1097" t="s">
        <v>1699</v>
      </c>
      <c r="E1097" t="s">
        <v>1784</v>
      </c>
      <c r="F1097" s="4">
        <v>1</v>
      </c>
      <c r="G1097">
        <v>907.97</v>
      </c>
      <c r="H1097">
        <v>0.26</v>
      </c>
      <c r="I1097" t="s">
        <v>1812</v>
      </c>
      <c r="J1097">
        <v>671.89779999999996</v>
      </c>
      <c r="K1097" t="s">
        <v>798</v>
      </c>
      <c r="L1097">
        <v>26</v>
      </c>
      <c r="M1097" t="str">
        <v>Male</v>
      </c>
      <c r="N1097" t="str">
        <f>VLOOKUP(C:C,Customer_Dim!B:I,5,1)</f>
        <v>Port Coreyfort</v>
      </c>
      <c r="O1097" t="str">
        <f>VLOOKUP(C:C,Customer_Dim!B:I,6,1)</f>
        <v>Alabama</v>
      </c>
      <c r="P1097" t="str">
        <f>VLOOKUP(C:C,Customer_Dim!B:I,7,1)</f>
        <v>USA</v>
      </c>
      <c r="Q1097" t="str">
        <f>VLOOKUP(C:C,Customer_Dim!B:I,8,1)</f>
        <v>Silver</v>
      </c>
      <c r="S1097">
        <v>1</v>
      </c>
      <c r="T1097">
        <v>907.97</v>
      </c>
      <c r="U1097">
        <v>0.26</v>
      </c>
      <c r="V1097">
        <v>671.89779999999996</v>
      </c>
      <c r="X1097" s="4">
        <v>1</v>
      </c>
      <c r="Y1097">
        <v>907.97</v>
      </c>
      <c r="Z1097">
        <v>0.26</v>
      </c>
      <c r="AA1097">
        <v>671.89779999999996</v>
      </c>
    </row>
    <row r="1098" spans="1:27" x14ac:dyDescent="0.3">
      <c r="A1098" t="s">
        <v>2905</v>
      </c>
      <c r="B1098" s="2">
        <v>45695</v>
      </c>
      <c r="C1098" t="s">
        <v>842</v>
      </c>
      <c r="D1098" t="s">
        <v>1571</v>
      </c>
      <c r="E1098" t="s">
        <v>1777</v>
      </c>
      <c r="F1098" s="4">
        <v>1</v>
      </c>
      <c r="G1098">
        <v>99.35</v>
      </c>
      <c r="H1098">
        <v>0.08</v>
      </c>
      <c r="I1098" t="s">
        <v>1812</v>
      </c>
      <c r="J1098">
        <v>91.402000000000001</v>
      </c>
      <c r="K1098" t="s">
        <v>843</v>
      </c>
      <c r="L1098">
        <v>18</v>
      </c>
      <c r="M1098" t="str">
        <v>Male</v>
      </c>
      <c r="N1098" t="str">
        <f>VLOOKUP(C:C,Customer_Dim!B:I,5,1)</f>
        <v>South Gina</v>
      </c>
      <c r="O1098" t="str">
        <f>VLOOKUP(C:C,Customer_Dim!B:I,6,1)</f>
        <v>Kentucky</v>
      </c>
      <c r="P1098" t="str">
        <f>VLOOKUP(C:C,Customer_Dim!B:I,7,1)</f>
        <v>USA</v>
      </c>
      <c r="Q1098" t="str">
        <f>VLOOKUP(C:C,Customer_Dim!B:I,8,1)</f>
        <v>Bronze</v>
      </c>
      <c r="S1098">
        <v>1</v>
      </c>
      <c r="T1098">
        <v>99.35</v>
      </c>
      <c r="U1098">
        <v>0.08</v>
      </c>
      <c r="V1098">
        <v>91.402000000000001</v>
      </c>
      <c r="X1098" s="4">
        <v>1</v>
      </c>
      <c r="Y1098">
        <v>99.35</v>
      </c>
      <c r="Z1098">
        <v>0.08</v>
      </c>
      <c r="AA1098">
        <v>91.402000000000001</v>
      </c>
    </row>
    <row r="1099" spans="1:27" x14ac:dyDescent="0.3">
      <c r="A1099" t="s">
        <v>2906</v>
      </c>
      <c r="B1099" s="2">
        <v>45596</v>
      </c>
      <c r="C1099" t="s">
        <v>258</v>
      </c>
      <c r="D1099" t="s">
        <v>1526</v>
      </c>
      <c r="E1099" t="s">
        <v>1749</v>
      </c>
      <c r="F1099" s="4">
        <v>2</v>
      </c>
      <c r="G1099">
        <v>374.42</v>
      </c>
      <c r="H1099">
        <v>0.21</v>
      </c>
      <c r="I1099" t="s">
        <v>1812</v>
      </c>
      <c r="J1099">
        <v>591.58360000000005</v>
      </c>
      <c r="K1099" t="s">
        <v>259</v>
      </c>
      <c r="L1099">
        <v>39</v>
      </c>
      <c r="M1099" t="str">
        <v>Female</v>
      </c>
      <c r="N1099" t="str">
        <f>VLOOKUP(C:C,Customer_Dim!B:I,5,1)</f>
        <v>South Shaun</v>
      </c>
      <c r="O1099" t="str">
        <f>VLOOKUP(C:C,Customer_Dim!B:I,6,1)</f>
        <v>New Mexico</v>
      </c>
      <c r="P1099" t="str">
        <f>VLOOKUP(C:C,Customer_Dim!B:I,7,1)</f>
        <v>USA</v>
      </c>
      <c r="Q1099" t="str">
        <f>VLOOKUP(C:C,Customer_Dim!B:I,8,1)</f>
        <v>Gold</v>
      </c>
      <c r="S1099">
        <v>2</v>
      </c>
      <c r="T1099">
        <v>374.42</v>
      </c>
      <c r="U1099">
        <v>0.21</v>
      </c>
      <c r="V1099">
        <v>591.58360000000005</v>
      </c>
      <c r="X1099" s="4">
        <v>2</v>
      </c>
      <c r="Y1099">
        <v>374.42</v>
      </c>
      <c r="Z1099">
        <v>0.21</v>
      </c>
      <c r="AA1099">
        <v>591.58360000000005</v>
      </c>
    </row>
    <row r="1100" spans="1:27" x14ac:dyDescent="0.3">
      <c r="A1100" t="s">
        <v>2907</v>
      </c>
      <c r="B1100" s="2">
        <v>45869</v>
      </c>
      <c r="C1100" t="s">
        <v>1464</v>
      </c>
      <c r="D1100" t="s">
        <v>1561</v>
      </c>
      <c r="E1100" t="s">
        <v>1784</v>
      </c>
      <c r="F1100" s="4">
        <v>3</v>
      </c>
      <c r="G1100">
        <v>248.43</v>
      </c>
      <c r="H1100">
        <v>0.24</v>
      </c>
      <c r="I1100" t="s">
        <v>1812</v>
      </c>
      <c r="J1100">
        <v>566.42039999999997</v>
      </c>
      <c r="K1100" t="s">
        <v>1465</v>
      </c>
      <c r="L1100">
        <v>26</v>
      </c>
      <c r="M1100" t="str">
        <v>Male</v>
      </c>
      <c r="N1100" t="str">
        <f>VLOOKUP(C:C,Customer_Dim!B:I,5,1)</f>
        <v>Kelseybury</v>
      </c>
      <c r="O1100" t="str">
        <f>VLOOKUP(C:C,Customer_Dim!B:I,6,1)</f>
        <v>Georgia</v>
      </c>
      <c r="P1100" t="str">
        <f>VLOOKUP(C:C,Customer_Dim!B:I,7,1)</f>
        <v>USA</v>
      </c>
      <c r="Q1100" t="str">
        <f>VLOOKUP(C:C,Customer_Dim!B:I,8,1)</f>
        <v>Gold</v>
      </c>
      <c r="S1100">
        <v>3</v>
      </c>
      <c r="T1100">
        <v>248.43</v>
      </c>
      <c r="U1100">
        <v>0.24</v>
      </c>
      <c r="V1100">
        <v>566.42039999999997</v>
      </c>
      <c r="X1100" s="4">
        <v>3</v>
      </c>
      <c r="Y1100">
        <v>248.43</v>
      </c>
      <c r="Z1100">
        <v>0.24</v>
      </c>
      <c r="AA1100">
        <v>566.42039999999997</v>
      </c>
    </row>
    <row r="1101" spans="1:27" x14ac:dyDescent="0.3">
      <c r="A1101" t="s">
        <v>2908</v>
      </c>
      <c r="B1101" s="2">
        <v>45631</v>
      </c>
      <c r="C1101" t="s">
        <v>1427</v>
      </c>
      <c r="D1101" t="s">
        <v>1701</v>
      </c>
      <c r="E1101" t="s">
        <v>1740</v>
      </c>
      <c r="F1101" s="4">
        <v>1</v>
      </c>
      <c r="G1101">
        <v>784.46</v>
      </c>
      <c r="H1101">
        <v>0.14000000000000001</v>
      </c>
      <c r="I1101" t="s">
        <v>1812</v>
      </c>
      <c r="J1101">
        <v>674.63560000000007</v>
      </c>
      <c r="K1101" t="s">
        <v>1428</v>
      </c>
      <c r="L1101">
        <v>19</v>
      </c>
      <c r="M1101" t="str">
        <v>Male</v>
      </c>
      <c r="N1101" t="str">
        <f>VLOOKUP(C:C,Customer_Dim!B:I,5,1)</f>
        <v>Bergermouth</v>
      </c>
      <c r="O1101" t="str">
        <f>VLOOKUP(C:C,Customer_Dim!B:I,6,1)</f>
        <v>Vermont</v>
      </c>
      <c r="P1101" t="str">
        <f>VLOOKUP(C:C,Customer_Dim!B:I,7,1)</f>
        <v>USA</v>
      </c>
      <c r="Q1101" t="str">
        <f>VLOOKUP(C:C,Customer_Dim!B:I,8,1)</f>
        <v>Bronze</v>
      </c>
      <c r="S1101">
        <v>1</v>
      </c>
      <c r="T1101">
        <v>784.46</v>
      </c>
      <c r="U1101">
        <v>0.14000000000000001</v>
      </c>
      <c r="V1101">
        <v>674.63560000000007</v>
      </c>
      <c r="X1101" s="4">
        <v>1</v>
      </c>
      <c r="Y1101">
        <v>784.46</v>
      </c>
      <c r="Z1101">
        <v>0.14000000000000001</v>
      </c>
      <c r="AA1101">
        <v>674.63560000000007</v>
      </c>
    </row>
    <row r="1102" spans="1:27" x14ac:dyDescent="0.3">
      <c r="A1102" t="s">
        <v>2909</v>
      </c>
      <c r="B1102" s="2">
        <v>45379</v>
      </c>
      <c r="C1102" t="s">
        <v>820</v>
      </c>
      <c r="D1102" t="s">
        <v>1635</v>
      </c>
      <c r="E1102" t="s">
        <v>1772</v>
      </c>
      <c r="F1102" s="4">
        <v>3</v>
      </c>
      <c r="G1102">
        <v>70.88</v>
      </c>
      <c r="H1102">
        <v>0.27</v>
      </c>
      <c r="I1102" t="s">
        <v>1812</v>
      </c>
      <c r="J1102">
        <v>155.22720000000001</v>
      </c>
      <c r="K1102" t="s">
        <v>821</v>
      </c>
      <c r="L1102">
        <v>63</v>
      </c>
      <c r="M1102" t="str">
        <v>Female</v>
      </c>
      <c r="N1102" t="str">
        <f>VLOOKUP(C:C,Customer_Dim!B:I,5,1)</f>
        <v>South Kathrynmouth</v>
      </c>
      <c r="O1102" t="str">
        <f>VLOOKUP(C:C,Customer_Dim!B:I,6,1)</f>
        <v>Oklahoma</v>
      </c>
      <c r="P1102" t="str">
        <f>VLOOKUP(C:C,Customer_Dim!B:I,7,1)</f>
        <v>USA</v>
      </c>
      <c r="Q1102" t="str">
        <f>VLOOKUP(C:C,Customer_Dim!B:I,8,1)</f>
        <v>Silver</v>
      </c>
      <c r="S1102">
        <v>3</v>
      </c>
      <c r="T1102">
        <v>70.88</v>
      </c>
      <c r="U1102">
        <v>0.27</v>
      </c>
      <c r="V1102">
        <v>155.22720000000001</v>
      </c>
      <c r="X1102" s="4">
        <v>3</v>
      </c>
      <c r="Y1102">
        <v>70.88</v>
      </c>
      <c r="Z1102">
        <v>0.27</v>
      </c>
      <c r="AA1102">
        <v>155.22720000000001</v>
      </c>
    </row>
    <row r="1103" spans="1:27" x14ac:dyDescent="0.3">
      <c r="A1103" t="s">
        <v>2910</v>
      </c>
      <c r="B1103" s="2">
        <v>45641</v>
      </c>
      <c r="C1103" t="s">
        <v>382</v>
      </c>
      <c r="D1103" t="s">
        <v>1545</v>
      </c>
      <c r="E1103" t="s">
        <v>1740</v>
      </c>
      <c r="F1103" s="4">
        <v>3</v>
      </c>
      <c r="G1103">
        <v>324.29000000000002</v>
      </c>
      <c r="H1103">
        <v>0.16</v>
      </c>
      <c r="I1103" t="s">
        <v>1812</v>
      </c>
      <c r="J1103">
        <v>817.21080000000006</v>
      </c>
      <c r="K1103" t="s">
        <v>383</v>
      </c>
      <c r="L1103">
        <v>18</v>
      </c>
      <c r="M1103" t="str">
        <v>Female</v>
      </c>
      <c r="N1103" t="str">
        <f>VLOOKUP(C:C,Customer_Dim!B:I,5,1)</f>
        <v>New Dawnton</v>
      </c>
      <c r="O1103" t="str">
        <f>VLOOKUP(C:C,Customer_Dim!B:I,6,1)</f>
        <v>Maryland</v>
      </c>
      <c r="P1103" t="str">
        <f>VLOOKUP(C:C,Customer_Dim!B:I,7,1)</f>
        <v>USA</v>
      </c>
      <c r="Q1103" t="str">
        <f>VLOOKUP(C:C,Customer_Dim!B:I,8,1)</f>
        <v>Gold</v>
      </c>
      <c r="S1103">
        <v>3</v>
      </c>
      <c r="T1103">
        <v>324.29000000000002</v>
      </c>
      <c r="U1103">
        <v>0.16</v>
      </c>
      <c r="V1103">
        <v>817.21080000000006</v>
      </c>
      <c r="X1103" s="4">
        <v>3</v>
      </c>
      <c r="Y1103">
        <v>324.29000000000002</v>
      </c>
      <c r="Z1103">
        <v>0.16</v>
      </c>
      <c r="AA1103">
        <v>817.21080000000006</v>
      </c>
    </row>
    <row r="1104" spans="1:27" x14ac:dyDescent="0.3">
      <c r="A1104" t="s">
        <v>2911</v>
      </c>
      <c r="B1104" s="2">
        <v>45842</v>
      </c>
      <c r="C1104" t="s">
        <v>473</v>
      </c>
      <c r="D1104" t="s">
        <v>1561</v>
      </c>
      <c r="E1104" t="s">
        <v>1749</v>
      </c>
      <c r="F1104" s="4">
        <v>4</v>
      </c>
      <c r="G1104">
        <v>243.92</v>
      </c>
      <c r="H1104">
        <v>0.02</v>
      </c>
      <c r="I1104" t="s">
        <v>1809</v>
      </c>
      <c r="J1104">
        <v>956.16639999999995</v>
      </c>
      <c r="K1104" t="s">
        <v>474</v>
      </c>
      <c r="L1104">
        <v>37</v>
      </c>
      <c r="M1104" t="str">
        <v>Male</v>
      </c>
      <c r="N1104" t="str">
        <f>VLOOKUP(C:C,Customer_Dim!B:I,5,1)</f>
        <v>Port Denise</v>
      </c>
      <c r="O1104" t="str">
        <f>VLOOKUP(C:C,Customer_Dim!B:I,6,1)</f>
        <v>California</v>
      </c>
      <c r="P1104" t="str">
        <f>VLOOKUP(C:C,Customer_Dim!B:I,7,1)</f>
        <v>USA</v>
      </c>
      <c r="Q1104" t="str">
        <f>VLOOKUP(C:C,Customer_Dim!B:I,8,1)</f>
        <v>Bronze</v>
      </c>
      <c r="S1104">
        <v>4</v>
      </c>
      <c r="T1104">
        <v>243.92</v>
      </c>
      <c r="U1104">
        <v>0.02</v>
      </c>
      <c r="V1104">
        <v>956.16639999999995</v>
      </c>
      <c r="X1104" s="4">
        <v>4</v>
      </c>
      <c r="Y1104">
        <v>243.92</v>
      </c>
      <c r="Z1104">
        <v>0.02</v>
      </c>
      <c r="AA1104">
        <v>956.16639999999995</v>
      </c>
    </row>
    <row r="1105" spans="1:27" x14ac:dyDescent="0.3">
      <c r="A1105" t="s">
        <v>2912</v>
      </c>
      <c r="B1105" s="2">
        <v>45257</v>
      </c>
      <c r="C1105" t="s">
        <v>1159</v>
      </c>
      <c r="D1105" t="s">
        <v>1587</v>
      </c>
      <c r="E1105" t="s">
        <v>1780</v>
      </c>
      <c r="F1105" s="4">
        <v>1</v>
      </c>
      <c r="G1105">
        <v>664.35</v>
      </c>
      <c r="H1105">
        <v>0</v>
      </c>
      <c r="I1105" t="s">
        <v>1807</v>
      </c>
      <c r="J1105">
        <v>664.35</v>
      </c>
      <c r="K1105" t="s">
        <v>1160</v>
      </c>
      <c r="L1105">
        <v>30</v>
      </c>
      <c r="M1105" t="str">
        <v>Male</v>
      </c>
      <c r="N1105" t="str">
        <f>VLOOKUP(C:C,Customer_Dim!B:I,5,1)</f>
        <v>Port Richardshire</v>
      </c>
      <c r="O1105" t="str">
        <f>VLOOKUP(C:C,Customer_Dim!B:I,6,1)</f>
        <v>Minnesota</v>
      </c>
      <c r="P1105" t="str">
        <f>VLOOKUP(C:C,Customer_Dim!B:I,7,1)</f>
        <v>USA</v>
      </c>
      <c r="Q1105" t="str">
        <f>VLOOKUP(C:C,Customer_Dim!B:I,8,1)</f>
        <v>Platinum</v>
      </c>
      <c r="S1105">
        <v>1</v>
      </c>
      <c r="T1105">
        <v>664.35</v>
      </c>
      <c r="U1105">
        <v>0</v>
      </c>
      <c r="V1105">
        <v>664.35</v>
      </c>
      <c r="X1105" s="4">
        <v>1</v>
      </c>
      <c r="Y1105">
        <v>664.35</v>
      </c>
      <c r="Z1105">
        <v>0</v>
      </c>
      <c r="AA1105">
        <v>664.35</v>
      </c>
    </row>
    <row r="1106" spans="1:27" x14ac:dyDescent="0.3">
      <c r="A1106" t="s">
        <v>2913</v>
      </c>
      <c r="B1106" s="2">
        <v>45468</v>
      </c>
      <c r="C1106" t="s">
        <v>1186</v>
      </c>
      <c r="D1106" t="s">
        <v>1573</v>
      </c>
      <c r="E1106" t="s">
        <v>1772</v>
      </c>
      <c r="F1106" s="4">
        <v>2</v>
      </c>
      <c r="G1106">
        <v>218.07</v>
      </c>
      <c r="H1106">
        <v>0.19</v>
      </c>
      <c r="I1106" t="s">
        <v>1809</v>
      </c>
      <c r="J1106">
        <v>353.27339999999998</v>
      </c>
      <c r="K1106" t="s">
        <v>1187</v>
      </c>
      <c r="L1106">
        <v>60</v>
      </c>
      <c r="M1106" t="str">
        <v>Male</v>
      </c>
      <c r="N1106" t="str">
        <f>VLOOKUP(C:C,Customer_Dim!B:I,5,1)</f>
        <v>North Michael</v>
      </c>
      <c r="O1106" t="str">
        <f>VLOOKUP(C:C,Customer_Dim!B:I,6,1)</f>
        <v>Iowa</v>
      </c>
      <c r="P1106" t="str">
        <f>VLOOKUP(C:C,Customer_Dim!B:I,7,1)</f>
        <v>USA</v>
      </c>
      <c r="Q1106" t="str">
        <f>VLOOKUP(C:C,Customer_Dim!B:I,8,1)</f>
        <v>Bronze</v>
      </c>
      <c r="S1106">
        <v>2</v>
      </c>
      <c r="T1106">
        <v>218.07</v>
      </c>
      <c r="U1106">
        <v>0.19</v>
      </c>
      <c r="V1106">
        <v>353.27339999999998</v>
      </c>
      <c r="X1106" s="4">
        <v>2</v>
      </c>
      <c r="Y1106">
        <v>218.07</v>
      </c>
      <c r="Z1106">
        <v>0.19</v>
      </c>
      <c r="AA1106">
        <v>353.27339999999998</v>
      </c>
    </row>
    <row r="1107" spans="1:27" x14ac:dyDescent="0.3">
      <c r="A1107" t="s">
        <v>2914</v>
      </c>
      <c r="B1107" s="2">
        <v>45228</v>
      </c>
      <c r="C1107" t="s">
        <v>1183</v>
      </c>
      <c r="D1107" t="s">
        <v>1561</v>
      </c>
      <c r="E1107" t="s">
        <v>1749</v>
      </c>
      <c r="F1107" s="4">
        <v>4</v>
      </c>
      <c r="G1107">
        <v>921.83</v>
      </c>
      <c r="H1107">
        <v>0.27</v>
      </c>
      <c r="I1107" t="s">
        <v>1807</v>
      </c>
      <c r="J1107">
        <v>2691.7435999999998</v>
      </c>
      <c r="K1107" t="s">
        <v>1184</v>
      </c>
      <c r="L1107">
        <v>52</v>
      </c>
      <c r="M1107" t="str">
        <v>Female</v>
      </c>
      <c r="N1107" t="str">
        <f>VLOOKUP(C:C,Customer_Dim!B:I,5,1)</f>
        <v>Jennifertown</v>
      </c>
      <c r="O1107" t="str">
        <f>VLOOKUP(C:C,Customer_Dim!B:I,6,1)</f>
        <v>South Carolina</v>
      </c>
      <c r="P1107" t="str">
        <f>VLOOKUP(C:C,Customer_Dim!B:I,7,1)</f>
        <v>USA</v>
      </c>
      <c r="Q1107" t="str">
        <f>VLOOKUP(C:C,Customer_Dim!B:I,8,1)</f>
        <v>Silver</v>
      </c>
      <c r="S1107">
        <v>4</v>
      </c>
      <c r="T1107">
        <v>921.83</v>
      </c>
      <c r="U1107">
        <v>0.27</v>
      </c>
      <c r="V1107">
        <v>2691.7435999999998</v>
      </c>
      <c r="X1107" s="4">
        <v>4</v>
      </c>
      <c r="Y1107">
        <v>921.83</v>
      </c>
      <c r="Z1107">
        <v>0.27</v>
      </c>
      <c r="AA1107">
        <v>2691.7435999999998</v>
      </c>
    </row>
    <row r="1108" spans="1:27" x14ac:dyDescent="0.3">
      <c r="A1108" t="s">
        <v>2915</v>
      </c>
      <c r="B1108" s="2">
        <v>45661</v>
      </c>
      <c r="C1108" t="s">
        <v>554</v>
      </c>
      <c r="D1108" t="s">
        <v>1631</v>
      </c>
      <c r="E1108" t="s">
        <v>1740</v>
      </c>
      <c r="F1108" s="4">
        <v>3</v>
      </c>
      <c r="G1108">
        <v>326.2</v>
      </c>
      <c r="H1108">
        <v>0.22</v>
      </c>
      <c r="I1108" t="s">
        <v>1812</v>
      </c>
      <c r="J1108">
        <v>763.30799999999999</v>
      </c>
      <c r="K1108" t="s">
        <v>555</v>
      </c>
      <c r="L1108">
        <v>64</v>
      </c>
      <c r="M1108" t="str">
        <v>Male</v>
      </c>
      <c r="N1108" t="str">
        <f>VLOOKUP(C:C,Customer_Dim!B:I,5,1)</f>
        <v>Robertview</v>
      </c>
      <c r="O1108" t="str">
        <f>VLOOKUP(C:C,Customer_Dim!B:I,6,1)</f>
        <v>Florida</v>
      </c>
      <c r="P1108" t="str">
        <f>VLOOKUP(C:C,Customer_Dim!B:I,7,1)</f>
        <v>USA</v>
      </c>
      <c r="Q1108" t="str">
        <f>VLOOKUP(C:C,Customer_Dim!B:I,8,1)</f>
        <v>Platinum</v>
      </c>
      <c r="S1108">
        <v>3</v>
      </c>
      <c r="T1108">
        <v>326.2</v>
      </c>
      <c r="U1108">
        <v>0.22</v>
      </c>
      <c r="V1108">
        <v>763.30799999999999</v>
      </c>
      <c r="X1108" s="4">
        <v>3</v>
      </c>
      <c r="Y1108">
        <v>326.2</v>
      </c>
      <c r="Z1108">
        <v>0.22</v>
      </c>
      <c r="AA1108">
        <v>763.30799999999999</v>
      </c>
    </row>
    <row r="1109" spans="1:27" x14ac:dyDescent="0.3">
      <c r="A1109" t="s">
        <v>2916</v>
      </c>
      <c r="B1109" s="2">
        <v>45701</v>
      </c>
      <c r="C1109" t="s">
        <v>1398</v>
      </c>
      <c r="D1109" t="s">
        <v>1565</v>
      </c>
      <c r="E1109" t="s">
        <v>1796</v>
      </c>
      <c r="F1109" s="4">
        <v>1</v>
      </c>
      <c r="G1109">
        <v>244.25</v>
      </c>
      <c r="H1109">
        <v>0.09</v>
      </c>
      <c r="I1109" t="s">
        <v>1809</v>
      </c>
      <c r="J1109">
        <v>222.26750000000001</v>
      </c>
      <c r="K1109" t="s">
        <v>1399</v>
      </c>
      <c r="L1109">
        <v>29</v>
      </c>
      <c r="M1109" t="str">
        <v>Female</v>
      </c>
      <c r="N1109" t="str">
        <f>VLOOKUP(C:C,Customer_Dim!B:I,5,1)</f>
        <v>Port Taylorberg</v>
      </c>
      <c r="O1109" t="str">
        <f>VLOOKUP(C:C,Customer_Dim!B:I,6,1)</f>
        <v>Pennsylvania</v>
      </c>
      <c r="P1109" t="str">
        <f>VLOOKUP(C:C,Customer_Dim!B:I,7,1)</f>
        <v>USA</v>
      </c>
      <c r="Q1109" t="str">
        <f>VLOOKUP(C:C,Customer_Dim!B:I,8,1)</f>
        <v>Silver</v>
      </c>
      <c r="S1109">
        <v>1</v>
      </c>
      <c r="T1109">
        <v>244.25</v>
      </c>
      <c r="U1109">
        <v>0.09</v>
      </c>
      <c r="V1109">
        <v>222.26750000000001</v>
      </c>
      <c r="X1109" s="4">
        <v>1</v>
      </c>
      <c r="Y1109">
        <v>244.25</v>
      </c>
      <c r="Z1109">
        <v>0.09</v>
      </c>
      <c r="AA1109">
        <v>222.26750000000001</v>
      </c>
    </row>
    <row r="1110" spans="1:27" x14ac:dyDescent="0.3">
      <c r="A1110" t="s">
        <v>2917</v>
      </c>
      <c r="B1110" s="2">
        <v>45448</v>
      </c>
      <c r="C1110" t="s">
        <v>1141</v>
      </c>
      <c r="D1110" t="s">
        <v>1653</v>
      </c>
      <c r="E1110" t="s">
        <v>1772</v>
      </c>
      <c r="F1110" s="4">
        <v>3</v>
      </c>
      <c r="G1110">
        <v>808.87</v>
      </c>
      <c r="H1110">
        <v>0.12</v>
      </c>
      <c r="I1110" t="s">
        <v>1812</v>
      </c>
      <c r="J1110">
        <v>2135.4168</v>
      </c>
      <c r="K1110" t="s">
        <v>1142</v>
      </c>
      <c r="L1110">
        <v>45</v>
      </c>
      <c r="M1110" t="str">
        <v>Male</v>
      </c>
      <c r="N1110" t="str">
        <f>VLOOKUP(C:C,Customer_Dim!B:I,5,1)</f>
        <v>West Bruce</v>
      </c>
      <c r="O1110" t="str">
        <f>VLOOKUP(C:C,Customer_Dim!B:I,6,1)</f>
        <v>Vermont</v>
      </c>
      <c r="P1110" t="str">
        <f>VLOOKUP(C:C,Customer_Dim!B:I,7,1)</f>
        <v>USA</v>
      </c>
      <c r="Q1110" t="str">
        <f>VLOOKUP(C:C,Customer_Dim!B:I,8,1)</f>
        <v>Platinum</v>
      </c>
      <c r="S1110">
        <v>3</v>
      </c>
      <c r="T1110">
        <v>808.87</v>
      </c>
      <c r="U1110">
        <v>0.12</v>
      </c>
      <c r="V1110">
        <v>2135.4168</v>
      </c>
      <c r="X1110" s="4">
        <v>3</v>
      </c>
      <c r="Y1110">
        <v>808.87</v>
      </c>
      <c r="Z1110">
        <v>0.12</v>
      </c>
      <c r="AA1110">
        <v>2135.4168</v>
      </c>
    </row>
    <row r="1111" spans="1:27" x14ac:dyDescent="0.3">
      <c r="A1111" t="s">
        <v>2918</v>
      </c>
      <c r="B1111" s="2">
        <v>45387</v>
      </c>
      <c r="C1111" t="s">
        <v>1051</v>
      </c>
      <c r="D1111" t="s">
        <v>1593</v>
      </c>
      <c r="E1111" t="s">
        <v>1744</v>
      </c>
      <c r="F1111" s="4">
        <v>3</v>
      </c>
      <c r="G1111">
        <v>826.15</v>
      </c>
      <c r="H1111">
        <v>0</v>
      </c>
      <c r="I1111" t="s">
        <v>1809</v>
      </c>
      <c r="J1111">
        <v>2478.4499999999998</v>
      </c>
      <c r="K1111" t="s">
        <v>1052</v>
      </c>
      <c r="L1111">
        <v>52</v>
      </c>
      <c r="M1111" t="str">
        <v>Female</v>
      </c>
      <c r="N1111" t="str">
        <f>VLOOKUP(C:C,Customer_Dim!B:I,5,1)</f>
        <v>Hudsonfort</v>
      </c>
      <c r="O1111" t="str">
        <f>VLOOKUP(C:C,Customer_Dim!B:I,6,1)</f>
        <v>Connecticut</v>
      </c>
      <c r="P1111" t="str">
        <f>VLOOKUP(C:C,Customer_Dim!B:I,7,1)</f>
        <v>USA</v>
      </c>
      <c r="Q1111" t="str">
        <f>VLOOKUP(C:C,Customer_Dim!B:I,8,1)</f>
        <v>Silver</v>
      </c>
      <c r="S1111">
        <v>3</v>
      </c>
      <c r="T1111">
        <v>826.15</v>
      </c>
      <c r="U1111">
        <v>0</v>
      </c>
      <c r="V1111">
        <v>2478.4499999999998</v>
      </c>
      <c r="X1111" s="4">
        <v>3</v>
      </c>
      <c r="Y1111">
        <v>826.15</v>
      </c>
      <c r="Z1111">
        <v>0</v>
      </c>
      <c r="AA1111">
        <v>2478.4499999999998</v>
      </c>
    </row>
    <row r="1112" spans="1:27" x14ac:dyDescent="0.3">
      <c r="A1112" t="s">
        <v>2919</v>
      </c>
      <c r="B1112" s="2">
        <v>45652</v>
      </c>
      <c r="C1112" t="s">
        <v>610</v>
      </c>
      <c r="D1112" t="s">
        <v>1579</v>
      </c>
      <c r="E1112" t="s">
        <v>1796</v>
      </c>
      <c r="F1112" s="4">
        <v>3</v>
      </c>
      <c r="G1112">
        <v>631.20000000000005</v>
      </c>
      <c r="H1112">
        <v>0.24</v>
      </c>
      <c r="I1112" t="s">
        <v>1807</v>
      </c>
      <c r="J1112">
        <v>1439.136</v>
      </c>
      <c r="K1112" t="s">
        <v>611</v>
      </c>
      <c r="L1112">
        <v>42</v>
      </c>
      <c r="M1112" t="str">
        <v>Male</v>
      </c>
      <c r="N1112" t="str">
        <f>VLOOKUP(C:C,Customer_Dim!B:I,5,1)</f>
        <v>Lake Blaketon</v>
      </c>
      <c r="O1112" t="str">
        <f>VLOOKUP(C:C,Customer_Dim!B:I,6,1)</f>
        <v>Alabama</v>
      </c>
      <c r="P1112" t="str">
        <f>VLOOKUP(C:C,Customer_Dim!B:I,7,1)</f>
        <v>USA</v>
      </c>
      <c r="Q1112" t="str">
        <f>VLOOKUP(C:C,Customer_Dim!B:I,8,1)</f>
        <v>Platinum</v>
      </c>
      <c r="S1112">
        <v>3</v>
      </c>
      <c r="T1112">
        <v>631.20000000000005</v>
      </c>
      <c r="U1112">
        <v>0.24</v>
      </c>
      <c r="V1112">
        <v>1439.136</v>
      </c>
      <c r="X1112" s="4">
        <v>3</v>
      </c>
      <c r="Y1112">
        <v>631.20000000000005</v>
      </c>
      <c r="Z1112">
        <v>0.24</v>
      </c>
      <c r="AA1112">
        <v>1439.136</v>
      </c>
    </row>
    <row r="1113" spans="1:27" x14ac:dyDescent="0.3">
      <c r="A1113" t="s">
        <v>2920</v>
      </c>
      <c r="B1113" s="2">
        <v>45316</v>
      </c>
      <c r="C1113" t="s">
        <v>864</v>
      </c>
      <c r="D1113" t="s">
        <v>1647</v>
      </c>
      <c r="E1113" t="s">
        <v>1772</v>
      </c>
      <c r="F1113" s="4">
        <v>1</v>
      </c>
      <c r="G1113">
        <v>937.01</v>
      </c>
      <c r="H1113">
        <v>7.0000000000000007E-2</v>
      </c>
      <c r="I1113" t="s">
        <v>1807</v>
      </c>
      <c r="J1113">
        <v>871.41929999999991</v>
      </c>
      <c r="K1113" t="s">
        <v>865</v>
      </c>
      <c r="L1113">
        <v>22</v>
      </c>
      <c r="M1113" t="str">
        <v>Male</v>
      </c>
      <c r="N1113" t="str">
        <f>VLOOKUP(C:C,Customer_Dim!B:I,5,1)</f>
        <v>Edwardborough</v>
      </c>
      <c r="O1113" t="str">
        <f>VLOOKUP(C:C,Customer_Dim!B:I,6,1)</f>
        <v>Vermont</v>
      </c>
      <c r="P1113" t="str">
        <f>VLOOKUP(C:C,Customer_Dim!B:I,7,1)</f>
        <v>USA</v>
      </c>
      <c r="Q1113" t="str">
        <f>VLOOKUP(C:C,Customer_Dim!B:I,8,1)</f>
        <v>Silver</v>
      </c>
      <c r="S1113">
        <v>1</v>
      </c>
      <c r="T1113">
        <v>937.01</v>
      </c>
      <c r="U1113">
        <v>7.0000000000000007E-2</v>
      </c>
      <c r="V1113">
        <v>871.41929999999991</v>
      </c>
      <c r="X1113" s="4">
        <v>1</v>
      </c>
      <c r="Y1113">
        <v>937.01</v>
      </c>
      <c r="Z1113">
        <v>7.0000000000000007E-2</v>
      </c>
      <c r="AA1113">
        <v>871.41929999999991</v>
      </c>
    </row>
    <row r="1114" spans="1:27" x14ac:dyDescent="0.3">
      <c r="A1114" t="s">
        <v>2921</v>
      </c>
      <c r="B1114" s="2">
        <v>45316</v>
      </c>
      <c r="C1114" t="s">
        <v>503</v>
      </c>
      <c r="D1114" t="s">
        <v>1677</v>
      </c>
      <c r="E1114" t="s">
        <v>1756</v>
      </c>
      <c r="F1114" s="4">
        <v>2</v>
      </c>
      <c r="G1114">
        <v>644</v>
      </c>
      <c r="H1114">
        <v>0.04</v>
      </c>
      <c r="I1114" t="s">
        <v>1809</v>
      </c>
      <c r="J1114">
        <v>1236.48</v>
      </c>
      <c r="K1114" t="s">
        <v>504</v>
      </c>
      <c r="L1114">
        <v>41</v>
      </c>
      <c r="M1114" t="str">
        <v>Female</v>
      </c>
      <c r="N1114" t="str">
        <f>VLOOKUP(C:C,Customer_Dim!B:I,5,1)</f>
        <v>Lake Stevenfort</v>
      </c>
      <c r="O1114" t="str">
        <f>VLOOKUP(C:C,Customer_Dim!B:I,6,1)</f>
        <v>Oregon</v>
      </c>
      <c r="P1114" t="str">
        <f>VLOOKUP(C:C,Customer_Dim!B:I,7,1)</f>
        <v>USA</v>
      </c>
      <c r="Q1114" t="str">
        <f>VLOOKUP(C:C,Customer_Dim!B:I,8,1)</f>
        <v>Gold</v>
      </c>
      <c r="S1114">
        <v>2</v>
      </c>
      <c r="T1114">
        <v>644</v>
      </c>
      <c r="U1114">
        <v>0.04</v>
      </c>
      <c r="V1114">
        <v>1236.48</v>
      </c>
      <c r="X1114" s="4">
        <v>2</v>
      </c>
      <c r="Y1114">
        <v>644</v>
      </c>
      <c r="Z1114">
        <v>0.04</v>
      </c>
      <c r="AA1114">
        <v>1236.48</v>
      </c>
    </row>
    <row r="1115" spans="1:27" x14ac:dyDescent="0.3">
      <c r="A1115" t="s">
        <v>2922</v>
      </c>
      <c r="B1115" s="2">
        <v>45888</v>
      </c>
      <c r="C1115" t="s">
        <v>333</v>
      </c>
      <c r="D1115" t="s">
        <v>1713</v>
      </c>
      <c r="E1115" t="s">
        <v>1756</v>
      </c>
      <c r="F1115" s="4">
        <v>3</v>
      </c>
      <c r="G1115">
        <v>629.58000000000004</v>
      </c>
      <c r="H1115">
        <v>0.05</v>
      </c>
      <c r="I1115" t="s">
        <v>1807</v>
      </c>
      <c r="J1115">
        <v>1794.3030000000001</v>
      </c>
      <c r="K1115" t="s">
        <v>334</v>
      </c>
      <c r="L1115">
        <v>62</v>
      </c>
      <c r="M1115" t="str">
        <v>Female</v>
      </c>
      <c r="N1115" t="str">
        <f>VLOOKUP(C:C,Customer_Dim!B:I,5,1)</f>
        <v>New Amyport</v>
      </c>
      <c r="O1115" t="str">
        <f>VLOOKUP(C:C,Customer_Dim!B:I,6,1)</f>
        <v>Nevada</v>
      </c>
      <c r="P1115" t="str">
        <f>VLOOKUP(C:C,Customer_Dim!B:I,7,1)</f>
        <v>USA</v>
      </c>
      <c r="Q1115" t="str">
        <f>VLOOKUP(C:C,Customer_Dim!B:I,8,1)</f>
        <v>Gold</v>
      </c>
      <c r="S1115">
        <v>3</v>
      </c>
      <c r="T1115">
        <v>629.58000000000004</v>
      </c>
      <c r="U1115">
        <v>0.05</v>
      </c>
      <c r="V1115">
        <v>1794.3030000000001</v>
      </c>
      <c r="X1115" s="4">
        <v>3</v>
      </c>
      <c r="Y1115">
        <v>629.58000000000004</v>
      </c>
      <c r="Z1115">
        <v>0.05</v>
      </c>
      <c r="AA1115">
        <v>1794.3030000000001</v>
      </c>
    </row>
    <row r="1116" spans="1:27" x14ac:dyDescent="0.3">
      <c r="A1116" t="s">
        <v>2923</v>
      </c>
      <c r="B1116" s="2">
        <v>45791</v>
      </c>
      <c r="C1116" t="s">
        <v>1421</v>
      </c>
      <c r="D1116" t="s">
        <v>1705</v>
      </c>
      <c r="E1116" t="s">
        <v>1744</v>
      </c>
      <c r="F1116" s="4">
        <v>2</v>
      </c>
      <c r="G1116">
        <v>121.52</v>
      </c>
      <c r="H1116">
        <v>0.18</v>
      </c>
      <c r="I1116" t="s">
        <v>1812</v>
      </c>
      <c r="J1116">
        <v>199.2928</v>
      </c>
      <c r="K1116" t="s">
        <v>1422</v>
      </c>
      <c r="L1116">
        <v>63</v>
      </c>
      <c r="M1116" t="str">
        <v>Female</v>
      </c>
      <c r="N1116" t="str">
        <f>VLOOKUP(C:C,Customer_Dim!B:I,5,1)</f>
        <v>Espinozaberg</v>
      </c>
      <c r="O1116" t="str">
        <f>VLOOKUP(C:C,Customer_Dim!B:I,6,1)</f>
        <v>Minnesota</v>
      </c>
      <c r="P1116" t="str">
        <f>VLOOKUP(C:C,Customer_Dim!B:I,7,1)</f>
        <v>USA</v>
      </c>
      <c r="Q1116" t="str">
        <f>VLOOKUP(C:C,Customer_Dim!B:I,8,1)</f>
        <v>Silver</v>
      </c>
      <c r="S1116">
        <v>2</v>
      </c>
      <c r="T1116">
        <v>121.52</v>
      </c>
      <c r="U1116">
        <v>0.18</v>
      </c>
      <c r="V1116">
        <v>199.2928</v>
      </c>
      <c r="X1116" s="4">
        <v>2</v>
      </c>
      <c r="Y1116">
        <v>121.52</v>
      </c>
      <c r="Z1116">
        <v>0.18</v>
      </c>
      <c r="AA1116">
        <v>199.2928</v>
      </c>
    </row>
    <row r="1117" spans="1:27" x14ac:dyDescent="0.3">
      <c r="A1117" t="s">
        <v>2924</v>
      </c>
      <c r="B1117" s="2">
        <v>45420</v>
      </c>
      <c r="C1117" t="s">
        <v>1235</v>
      </c>
      <c r="D1117" t="s">
        <v>1661</v>
      </c>
      <c r="E1117" t="s">
        <v>1796</v>
      </c>
      <c r="F1117" s="4">
        <v>2</v>
      </c>
      <c r="G1117">
        <v>549.83000000000004</v>
      </c>
      <c r="H1117">
        <v>7.0000000000000007E-2</v>
      </c>
      <c r="I1117" t="s">
        <v>1809</v>
      </c>
      <c r="J1117">
        <v>1022.6838</v>
      </c>
      <c r="K1117" t="s">
        <v>1236</v>
      </c>
      <c r="L1117">
        <v>31</v>
      </c>
      <c r="M1117" t="str">
        <v>Male</v>
      </c>
      <c r="N1117" t="str">
        <f>VLOOKUP(C:C,Customer_Dim!B:I,5,1)</f>
        <v>Leahmouth</v>
      </c>
      <c r="O1117" t="str">
        <f>VLOOKUP(C:C,Customer_Dim!B:I,6,1)</f>
        <v>Nevada</v>
      </c>
      <c r="P1117" t="str">
        <f>VLOOKUP(C:C,Customer_Dim!B:I,7,1)</f>
        <v>USA</v>
      </c>
      <c r="Q1117" t="str">
        <f>VLOOKUP(C:C,Customer_Dim!B:I,8,1)</f>
        <v>Platinum</v>
      </c>
      <c r="S1117">
        <v>2</v>
      </c>
      <c r="T1117">
        <v>549.83000000000004</v>
      </c>
      <c r="U1117">
        <v>7.0000000000000007E-2</v>
      </c>
      <c r="V1117">
        <v>1022.6838</v>
      </c>
      <c r="X1117" s="4">
        <v>2</v>
      </c>
      <c r="Y1117">
        <v>549.83000000000004</v>
      </c>
      <c r="Z1117">
        <v>7.0000000000000007E-2</v>
      </c>
      <c r="AA1117">
        <v>1022.6838</v>
      </c>
    </row>
    <row r="1118" spans="1:27" x14ac:dyDescent="0.3">
      <c r="A1118" t="s">
        <v>2925</v>
      </c>
      <c r="B1118" s="2">
        <v>45219</v>
      </c>
      <c r="C1118" t="s">
        <v>470</v>
      </c>
      <c r="D1118" t="s">
        <v>1557</v>
      </c>
      <c r="E1118" t="s">
        <v>1765</v>
      </c>
      <c r="F1118" s="4">
        <v>3</v>
      </c>
      <c r="G1118">
        <v>278.38</v>
      </c>
      <c r="H1118">
        <v>0.03</v>
      </c>
      <c r="I1118" t="s">
        <v>1807</v>
      </c>
      <c r="J1118">
        <v>810.08579999999995</v>
      </c>
      <c r="K1118" t="s">
        <v>471</v>
      </c>
      <c r="L1118">
        <v>30</v>
      </c>
      <c r="M1118" t="str">
        <v>Male</v>
      </c>
      <c r="N1118" t="str">
        <f>VLOOKUP(C:C,Customer_Dim!B:I,5,1)</f>
        <v>South Brooke</v>
      </c>
      <c r="O1118" t="str">
        <f>VLOOKUP(C:C,Customer_Dim!B:I,6,1)</f>
        <v>Pennsylvania</v>
      </c>
      <c r="P1118" t="str">
        <f>VLOOKUP(C:C,Customer_Dim!B:I,7,1)</f>
        <v>USA</v>
      </c>
      <c r="Q1118" t="str">
        <f>VLOOKUP(C:C,Customer_Dim!B:I,8,1)</f>
        <v>Gold</v>
      </c>
      <c r="S1118">
        <v>3</v>
      </c>
      <c r="T1118">
        <v>278.38</v>
      </c>
      <c r="U1118">
        <v>0.03</v>
      </c>
      <c r="V1118">
        <v>810.08579999999995</v>
      </c>
      <c r="X1118" s="4">
        <v>3</v>
      </c>
      <c r="Y1118">
        <v>278.38</v>
      </c>
      <c r="Z1118">
        <v>0.03</v>
      </c>
      <c r="AA1118">
        <v>810.08579999999995</v>
      </c>
    </row>
    <row r="1119" spans="1:27" x14ac:dyDescent="0.3">
      <c r="A1119" t="s">
        <v>2926</v>
      </c>
      <c r="B1119" s="2">
        <v>45510</v>
      </c>
      <c r="C1119" t="s">
        <v>1339</v>
      </c>
      <c r="D1119" t="s">
        <v>1723</v>
      </c>
      <c r="E1119" t="s">
        <v>1749</v>
      </c>
      <c r="F1119" s="4">
        <v>4</v>
      </c>
      <c r="G1119">
        <v>723.66</v>
      </c>
      <c r="H1119">
        <v>0.03</v>
      </c>
      <c r="I1119" t="s">
        <v>1809</v>
      </c>
      <c r="J1119">
        <v>2807.8008</v>
      </c>
      <c r="K1119" t="s">
        <v>1340</v>
      </c>
      <c r="L1119">
        <v>59</v>
      </c>
      <c r="M1119" t="str">
        <v>Female</v>
      </c>
      <c r="N1119" t="str">
        <f>VLOOKUP(C:C,Customer_Dim!B:I,5,1)</f>
        <v>East Davidmouth</v>
      </c>
      <c r="O1119" t="str">
        <f>VLOOKUP(C:C,Customer_Dim!B:I,6,1)</f>
        <v>New Hampshire</v>
      </c>
      <c r="P1119" t="str">
        <f>VLOOKUP(C:C,Customer_Dim!B:I,7,1)</f>
        <v>USA</v>
      </c>
      <c r="Q1119" t="str">
        <f>VLOOKUP(C:C,Customer_Dim!B:I,8,1)</f>
        <v>Platinum</v>
      </c>
      <c r="S1119">
        <v>4</v>
      </c>
      <c r="T1119">
        <v>723.66</v>
      </c>
      <c r="U1119">
        <v>0.03</v>
      </c>
      <c r="V1119">
        <v>2807.8008</v>
      </c>
      <c r="X1119" s="4">
        <v>4</v>
      </c>
      <c r="Y1119">
        <v>723.66</v>
      </c>
      <c r="Z1119">
        <v>0.03</v>
      </c>
      <c r="AA1119">
        <v>2807.8008</v>
      </c>
    </row>
    <row r="1120" spans="1:27" x14ac:dyDescent="0.3">
      <c r="A1120" t="s">
        <v>2927</v>
      </c>
      <c r="B1120" s="2">
        <v>45687</v>
      </c>
      <c r="C1120" t="s">
        <v>663</v>
      </c>
      <c r="D1120" t="s">
        <v>1675</v>
      </c>
      <c r="E1120" t="s">
        <v>1769</v>
      </c>
      <c r="F1120" s="4">
        <v>1</v>
      </c>
      <c r="G1120">
        <v>724.74</v>
      </c>
      <c r="H1120">
        <v>0.15</v>
      </c>
      <c r="I1120" t="s">
        <v>1809</v>
      </c>
      <c r="J1120">
        <v>616.029</v>
      </c>
      <c r="K1120" t="s">
        <v>664</v>
      </c>
      <c r="L1120">
        <v>26</v>
      </c>
      <c r="M1120" t="str">
        <v>Female</v>
      </c>
      <c r="N1120" t="str">
        <f>VLOOKUP(C:C,Customer_Dim!B:I,5,1)</f>
        <v>Lake Danielleton</v>
      </c>
      <c r="O1120" t="str">
        <f>VLOOKUP(C:C,Customer_Dim!B:I,6,1)</f>
        <v>New Jersey</v>
      </c>
      <c r="P1120" t="str">
        <f>VLOOKUP(C:C,Customer_Dim!B:I,7,1)</f>
        <v>USA</v>
      </c>
      <c r="Q1120" t="str">
        <f>VLOOKUP(C:C,Customer_Dim!B:I,8,1)</f>
        <v>Gold</v>
      </c>
      <c r="S1120">
        <v>1</v>
      </c>
      <c r="T1120">
        <v>724.74</v>
      </c>
      <c r="U1120">
        <v>0.15</v>
      </c>
      <c r="V1120">
        <v>616.029</v>
      </c>
      <c r="X1120" s="4">
        <v>1</v>
      </c>
      <c r="Y1120">
        <v>724.74</v>
      </c>
      <c r="Z1120">
        <v>0.15</v>
      </c>
      <c r="AA1120">
        <v>616.029</v>
      </c>
    </row>
    <row r="1121" spans="1:27" x14ac:dyDescent="0.3">
      <c r="A1121" t="s">
        <v>2928</v>
      </c>
      <c r="B1121" s="2">
        <v>45271</v>
      </c>
      <c r="C1121" t="s">
        <v>1389</v>
      </c>
      <c r="D1121" t="s">
        <v>1573</v>
      </c>
      <c r="E1121" t="s">
        <v>1752</v>
      </c>
      <c r="F1121" s="4">
        <v>2</v>
      </c>
      <c r="G1121">
        <v>961.84</v>
      </c>
      <c r="H1121">
        <v>0.25</v>
      </c>
      <c r="I1121" t="s">
        <v>1809</v>
      </c>
      <c r="J1121">
        <v>1442.76</v>
      </c>
      <c r="K1121" t="s">
        <v>1390</v>
      </c>
      <c r="L1121">
        <v>59</v>
      </c>
      <c r="M1121" t="str">
        <v>Female</v>
      </c>
      <c r="N1121" t="str">
        <f>VLOOKUP(C:C,Customer_Dim!B:I,5,1)</f>
        <v>East Yvette</v>
      </c>
      <c r="O1121" t="str">
        <f>VLOOKUP(C:C,Customer_Dim!B:I,6,1)</f>
        <v>Illinois</v>
      </c>
      <c r="P1121" t="str">
        <f>VLOOKUP(C:C,Customer_Dim!B:I,7,1)</f>
        <v>USA</v>
      </c>
      <c r="Q1121" t="str">
        <f>VLOOKUP(C:C,Customer_Dim!B:I,8,1)</f>
        <v>Gold</v>
      </c>
      <c r="S1121">
        <v>2</v>
      </c>
      <c r="T1121">
        <v>961.84</v>
      </c>
      <c r="U1121">
        <v>0.25</v>
      </c>
      <c r="V1121">
        <v>1442.76</v>
      </c>
      <c r="X1121" s="4">
        <v>2</v>
      </c>
      <c r="Y1121">
        <v>961.84</v>
      </c>
      <c r="Z1121">
        <v>0.25</v>
      </c>
      <c r="AA1121">
        <v>1442.76</v>
      </c>
    </row>
    <row r="1122" spans="1:27" x14ac:dyDescent="0.3">
      <c r="A1122" t="s">
        <v>2929</v>
      </c>
      <c r="B1122" s="2">
        <v>45446</v>
      </c>
      <c r="C1122" t="s">
        <v>89</v>
      </c>
      <c r="D1122" t="s">
        <v>1605</v>
      </c>
      <c r="E1122" t="s">
        <v>1787</v>
      </c>
      <c r="F1122" s="4">
        <v>4</v>
      </c>
      <c r="G1122">
        <v>21.12</v>
      </c>
      <c r="H1122">
        <v>0.18</v>
      </c>
      <c r="I1122" t="s">
        <v>1812</v>
      </c>
      <c r="J1122">
        <v>69.273600000000002</v>
      </c>
      <c r="K1122" t="s">
        <v>90</v>
      </c>
      <c r="L1122">
        <v>36</v>
      </c>
      <c r="M1122" t="str">
        <v>Female</v>
      </c>
      <c r="N1122" t="str">
        <f>VLOOKUP(C:C,Customer_Dim!B:I,5,1)</f>
        <v>Lake Shaneburgh</v>
      </c>
      <c r="O1122" t="str">
        <f>VLOOKUP(C:C,Customer_Dim!B:I,6,1)</f>
        <v>Delaware</v>
      </c>
      <c r="P1122" t="str">
        <f>VLOOKUP(C:C,Customer_Dim!B:I,7,1)</f>
        <v>USA</v>
      </c>
      <c r="Q1122" t="str">
        <f>VLOOKUP(C:C,Customer_Dim!B:I,8,1)</f>
        <v>Silver</v>
      </c>
      <c r="S1122">
        <v>4</v>
      </c>
      <c r="T1122">
        <v>21.12</v>
      </c>
      <c r="U1122">
        <v>0.18</v>
      </c>
      <c r="V1122">
        <v>69.273600000000002</v>
      </c>
      <c r="X1122" s="4">
        <v>4</v>
      </c>
      <c r="Y1122">
        <v>21.12</v>
      </c>
      <c r="Z1122">
        <v>0.18</v>
      </c>
      <c r="AA1122">
        <v>69.273600000000002</v>
      </c>
    </row>
    <row r="1123" spans="1:27" x14ac:dyDescent="0.3">
      <c r="A1123" t="s">
        <v>2930</v>
      </c>
      <c r="B1123" s="2">
        <v>45579</v>
      </c>
      <c r="C1123" t="s">
        <v>995</v>
      </c>
      <c r="D1123" t="s">
        <v>1526</v>
      </c>
      <c r="E1123" t="s">
        <v>1752</v>
      </c>
      <c r="F1123" s="4">
        <v>3</v>
      </c>
      <c r="G1123">
        <v>819.93</v>
      </c>
      <c r="H1123">
        <v>0.08</v>
      </c>
      <c r="I1123" t="s">
        <v>1809</v>
      </c>
      <c r="J1123">
        <v>2263.0068000000001</v>
      </c>
      <c r="K1123" t="s">
        <v>996</v>
      </c>
      <c r="L1123">
        <v>34</v>
      </c>
      <c r="M1123" t="str">
        <v>Female</v>
      </c>
      <c r="N1123" t="str">
        <f>VLOOKUP(C:C,Customer_Dim!B:I,5,1)</f>
        <v>West Mathewside</v>
      </c>
      <c r="O1123" t="str">
        <f>VLOOKUP(C:C,Customer_Dim!B:I,6,1)</f>
        <v>Mississippi</v>
      </c>
      <c r="P1123" t="str">
        <f>VLOOKUP(C:C,Customer_Dim!B:I,7,1)</f>
        <v>USA</v>
      </c>
      <c r="Q1123" t="str">
        <f>VLOOKUP(C:C,Customer_Dim!B:I,8,1)</f>
        <v>Platinum</v>
      </c>
      <c r="S1123">
        <v>3</v>
      </c>
      <c r="T1123">
        <v>819.93</v>
      </c>
      <c r="U1123">
        <v>0.08</v>
      </c>
      <c r="V1123">
        <v>2263.0068000000001</v>
      </c>
      <c r="X1123" s="4">
        <v>3</v>
      </c>
      <c r="Y1123">
        <v>819.93</v>
      </c>
      <c r="Z1123">
        <v>0.08</v>
      </c>
      <c r="AA1123">
        <v>2263.0068000000001</v>
      </c>
    </row>
    <row r="1124" spans="1:27" x14ac:dyDescent="0.3">
      <c r="A1124" t="s">
        <v>2931</v>
      </c>
      <c r="B1124" s="2">
        <v>45725</v>
      </c>
      <c r="C1124" t="s">
        <v>923</v>
      </c>
      <c r="D1124" t="s">
        <v>1615</v>
      </c>
      <c r="E1124" t="s">
        <v>1735</v>
      </c>
      <c r="F1124" s="4">
        <v>2</v>
      </c>
      <c r="G1124">
        <v>700.95</v>
      </c>
      <c r="H1124">
        <v>0.18</v>
      </c>
      <c r="I1124" t="s">
        <v>1807</v>
      </c>
      <c r="J1124">
        <v>1149.558</v>
      </c>
      <c r="K1124" t="s">
        <v>924</v>
      </c>
      <c r="L1124">
        <v>19</v>
      </c>
      <c r="M1124" t="str">
        <v>Female</v>
      </c>
      <c r="N1124" t="str">
        <f>VLOOKUP(C:C,Customer_Dim!B:I,5,1)</f>
        <v>Port Richard</v>
      </c>
      <c r="O1124" t="str">
        <f>VLOOKUP(C:C,Customer_Dim!B:I,6,1)</f>
        <v>Montana</v>
      </c>
      <c r="P1124" t="str">
        <f>VLOOKUP(C:C,Customer_Dim!B:I,7,1)</f>
        <v>USA</v>
      </c>
      <c r="Q1124" t="str">
        <f>VLOOKUP(C:C,Customer_Dim!B:I,8,1)</f>
        <v>Platinum</v>
      </c>
      <c r="S1124">
        <v>2</v>
      </c>
      <c r="T1124">
        <v>700.95</v>
      </c>
      <c r="U1124">
        <v>0.18</v>
      </c>
      <c r="V1124">
        <v>1149.558</v>
      </c>
      <c r="X1124" s="4">
        <v>2</v>
      </c>
      <c r="Y1124">
        <v>700.95</v>
      </c>
      <c r="Z1124">
        <v>0.18</v>
      </c>
      <c r="AA1124">
        <v>1149.558</v>
      </c>
    </row>
    <row r="1125" spans="1:27" x14ac:dyDescent="0.3">
      <c r="A1125" t="s">
        <v>2932</v>
      </c>
      <c r="B1125" s="2">
        <v>45910</v>
      </c>
      <c r="C1125" t="s">
        <v>473</v>
      </c>
      <c r="D1125" t="s">
        <v>1565</v>
      </c>
      <c r="E1125" t="s">
        <v>1782</v>
      </c>
      <c r="F1125" s="4">
        <v>2</v>
      </c>
      <c r="G1125">
        <v>456.38</v>
      </c>
      <c r="H1125">
        <v>0.12</v>
      </c>
      <c r="I1125" t="s">
        <v>1807</v>
      </c>
      <c r="J1125">
        <v>803.22879999999998</v>
      </c>
      <c r="K1125" t="s">
        <v>474</v>
      </c>
      <c r="L1125">
        <v>37</v>
      </c>
      <c r="M1125" t="str">
        <v>Male</v>
      </c>
      <c r="N1125" t="str">
        <f>VLOOKUP(C:C,Customer_Dim!B:I,5,1)</f>
        <v>Port Denise</v>
      </c>
      <c r="O1125" t="str">
        <f>VLOOKUP(C:C,Customer_Dim!B:I,6,1)</f>
        <v>California</v>
      </c>
      <c r="P1125" t="str">
        <f>VLOOKUP(C:C,Customer_Dim!B:I,7,1)</f>
        <v>USA</v>
      </c>
      <c r="Q1125" t="str">
        <f>VLOOKUP(C:C,Customer_Dim!B:I,8,1)</f>
        <v>Bronze</v>
      </c>
      <c r="S1125">
        <v>2</v>
      </c>
      <c r="T1125">
        <v>456.38</v>
      </c>
      <c r="U1125">
        <v>0.12</v>
      </c>
      <c r="V1125">
        <v>803.22879999999998</v>
      </c>
      <c r="X1125" s="4">
        <v>2</v>
      </c>
      <c r="Y1125">
        <v>456.38</v>
      </c>
      <c r="Z1125">
        <v>0.12</v>
      </c>
      <c r="AA1125">
        <v>803.22879999999998</v>
      </c>
    </row>
    <row r="1126" spans="1:27" x14ac:dyDescent="0.3">
      <c r="A1126" t="s">
        <v>2933</v>
      </c>
      <c r="B1126" s="2">
        <v>45447</v>
      </c>
      <c r="C1126" t="s">
        <v>1118</v>
      </c>
      <c r="D1126" t="s">
        <v>1683</v>
      </c>
      <c r="E1126" t="s">
        <v>1782</v>
      </c>
      <c r="F1126" s="4">
        <v>3</v>
      </c>
      <c r="G1126">
        <v>291.05</v>
      </c>
      <c r="H1126">
        <v>0.3</v>
      </c>
      <c r="I1126" t="s">
        <v>1807</v>
      </c>
      <c r="J1126">
        <v>611.20500000000004</v>
      </c>
      <c r="K1126" t="s">
        <v>1119</v>
      </c>
      <c r="L1126">
        <v>60</v>
      </c>
      <c r="M1126" t="str">
        <v>Male</v>
      </c>
      <c r="N1126" t="str">
        <f>VLOOKUP(C:C,Customer_Dim!B:I,5,1)</f>
        <v>New Jessechester</v>
      </c>
      <c r="O1126" t="str">
        <f>VLOOKUP(C:C,Customer_Dim!B:I,6,1)</f>
        <v>Indiana</v>
      </c>
      <c r="P1126" t="str">
        <f>VLOOKUP(C:C,Customer_Dim!B:I,7,1)</f>
        <v>USA</v>
      </c>
      <c r="Q1126" t="str">
        <f>VLOOKUP(C:C,Customer_Dim!B:I,8,1)</f>
        <v>Platinum</v>
      </c>
      <c r="S1126">
        <v>3</v>
      </c>
      <c r="T1126">
        <v>291.05</v>
      </c>
      <c r="U1126">
        <v>0.3</v>
      </c>
      <c r="V1126">
        <v>611.20500000000004</v>
      </c>
      <c r="X1126" s="4">
        <v>3</v>
      </c>
      <c r="Y1126">
        <v>291.05</v>
      </c>
      <c r="Z1126">
        <v>0.3</v>
      </c>
      <c r="AA1126">
        <v>611.20500000000004</v>
      </c>
    </row>
    <row r="1127" spans="1:27" x14ac:dyDescent="0.3">
      <c r="A1127" t="s">
        <v>2934</v>
      </c>
      <c r="B1127" s="2">
        <v>45307</v>
      </c>
      <c r="C1127" t="s">
        <v>743</v>
      </c>
      <c r="D1127" t="s">
        <v>1721</v>
      </c>
      <c r="E1127" t="s">
        <v>1784</v>
      </c>
      <c r="F1127" s="4">
        <v>2</v>
      </c>
      <c r="G1127">
        <v>463.52</v>
      </c>
      <c r="H1127">
        <v>0.27</v>
      </c>
      <c r="I1127" t="s">
        <v>1809</v>
      </c>
      <c r="J1127">
        <v>676.73919999999998</v>
      </c>
      <c r="K1127" t="s">
        <v>744</v>
      </c>
      <c r="L1127">
        <v>43</v>
      </c>
      <c r="M1127" t="str">
        <v>Female</v>
      </c>
      <c r="N1127" t="str">
        <f>VLOOKUP(C:C,Customer_Dim!B:I,5,1)</f>
        <v>Clarkport</v>
      </c>
      <c r="O1127" t="str">
        <f>VLOOKUP(C:C,Customer_Dim!B:I,6,1)</f>
        <v>West Virginia</v>
      </c>
      <c r="P1127" t="str">
        <f>VLOOKUP(C:C,Customer_Dim!B:I,7,1)</f>
        <v>USA</v>
      </c>
      <c r="Q1127" t="str">
        <f>VLOOKUP(C:C,Customer_Dim!B:I,8,1)</f>
        <v>Silver</v>
      </c>
      <c r="S1127">
        <v>2</v>
      </c>
      <c r="T1127">
        <v>463.52</v>
      </c>
      <c r="U1127">
        <v>0.27</v>
      </c>
      <c r="V1127">
        <v>676.73919999999998</v>
      </c>
      <c r="X1127" s="4">
        <v>2</v>
      </c>
      <c r="Y1127">
        <v>463.52</v>
      </c>
      <c r="Z1127">
        <v>0.27</v>
      </c>
      <c r="AA1127">
        <v>676.73919999999998</v>
      </c>
    </row>
    <row r="1128" spans="1:27" x14ac:dyDescent="0.3">
      <c r="A1128" t="s">
        <v>2935</v>
      </c>
      <c r="B1128" s="2">
        <v>45653</v>
      </c>
      <c r="C1128" t="s">
        <v>1171</v>
      </c>
      <c r="D1128" t="s">
        <v>1526</v>
      </c>
      <c r="E1128" t="s">
        <v>1790</v>
      </c>
      <c r="F1128" s="4">
        <v>3</v>
      </c>
      <c r="G1128">
        <v>241.64</v>
      </c>
      <c r="H1128">
        <v>0.28999999999999998</v>
      </c>
      <c r="I1128" t="s">
        <v>1809</v>
      </c>
      <c r="J1128">
        <v>514.69319999999993</v>
      </c>
      <c r="K1128" t="s">
        <v>1172</v>
      </c>
      <c r="L1128">
        <v>23</v>
      </c>
      <c r="M1128" t="str">
        <v>Male</v>
      </c>
      <c r="N1128" t="str">
        <f>VLOOKUP(C:C,Customer_Dim!B:I,5,1)</f>
        <v>West Jeffreyburgh</v>
      </c>
      <c r="O1128" t="str">
        <f>VLOOKUP(C:C,Customer_Dim!B:I,6,1)</f>
        <v>Iowa</v>
      </c>
      <c r="P1128" t="str">
        <f>VLOOKUP(C:C,Customer_Dim!B:I,7,1)</f>
        <v>USA</v>
      </c>
      <c r="Q1128" t="str">
        <f>VLOOKUP(C:C,Customer_Dim!B:I,8,1)</f>
        <v>Gold</v>
      </c>
      <c r="S1128">
        <v>3</v>
      </c>
      <c r="T1128">
        <v>241.64</v>
      </c>
      <c r="U1128">
        <v>0.28999999999999998</v>
      </c>
      <c r="V1128">
        <v>514.69319999999993</v>
      </c>
      <c r="X1128" s="4">
        <v>3</v>
      </c>
      <c r="Y1128">
        <v>241.64</v>
      </c>
      <c r="Z1128">
        <v>0.28999999999999998</v>
      </c>
      <c r="AA1128">
        <v>514.69319999999993</v>
      </c>
    </row>
    <row r="1129" spans="1:27" x14ac:dyDescent="0.3">
      <c r="A1129" t="s">
        <v>2936</v>
      </c>
      <c r="B1129" s="2">
        <v>45817</v>
      </c>
      <c r="C1129" t="s">
        <v>1470</v>
      </c>
      <c r="D1129" t="s">
        <v>1591</v>
      </c>
      <c r="E1129" t="s">
        <v>1772</v>
      </c>
      <c r="F1129" s="4">
        <v>2</v>
      </c>
      <c r="G1129">
        <v>47.86</v>
      </c>
      <c r="H1129">
        <v>0.03</v>
      </c>
      <c r="I1129" t="s">
        <v>1809</v>
      </c>
      <c r="J1129">
        <v>92.848399999999998</v>
      </c>
      <c r="K1129" t="s">
        <v>1259</v>
      </c>
      <c r="L1129">
        <v>32</v>
      </c>
      <c r="M1129" t="str">
        <v>Male</v>
      </c>
      <c r="N1129" t="str">
        <f>VLOOKUP(C:C,Customer_Dim!B:I,5,1)</f>
        <v>East Rodney</v>
      </c>
      <c r="O1129" t="str">
        <f>VLOOKUP(C:C,Customer_Dim!B:I,6,1)</f>
        <v>Nevada</v>
      </c>
      <c r="P1129" t="str">
        <f>VLOOKUP(C:C,Customer_Dim!B:I,7,1)</f>
        <v>USA</v>
      </c>
      <c r="Q1129" t="str">
        <f>VLOOKUP(C:C,Customer_Dim!B:I,8,1)</f>
        <v>Gold</v>
      </c>
      <c r="S1129">
        <v>2</v>
      </c>
      <c r="T1129">
        <v>47.86</v>
      </c>
      <c r="U1129">
        <v>0.03</v>
      </c>
      <c r="V1129">
        <v>92.848399999999998</v>
      </c>
      <c r="X1129" s="4">
        <v>2</v>
      </c>
      <c r="Y1129">
        <v>47.86</v>
      </c>
      <c r="Z1129">
        <v>0.03</v>
      </c>
      <c r="AA1129">
        <v>92.848399999999998</v>
      </c>
    </row>
    <row r="1130" spans="1:27" x14ac:dyDescent="0.3">
      <c r="A1130" t="s">
        <v>2937</v>
      </c>
      <c r="B1130" s="2">
        <v>45509</v>
      </c>
      <c r="C1130" t="s">
        <v>1069</v>
      </c>
      <c r="D1130" t="s">
        <v>1715</v>
      </c>
      <c r="E1130" t="s">
        <v>1749</v>
      </c>
      <c r="F1130" s="4">
        <v>1</v>
      </c>
      <c r="G1130">
        <v>805.07</v>
      </c>
      <c r="H1130">
        <v>0.06</v>
      </c>
      <c r="I1130" t="s">
        <v>1812</v>
      </c>
      <c r="J1130">
        <v>756.76580000000001</v>
      </c>
      <c r="K1130" t="s">
        <v>1070</v>
      </c>
      <c r="L1130">
        <v>33</v>
      </c>
      <c r="M1130" t="str">
        <v>Male</v>
      </c>
      <c r="N1130" t="str">
        <f>VLOOKUP(C:C,Customer_Dim!B:I,5,1)</f>
        <v>West Victoriaborough</v>
      </c>
      <c r="O1130" t="str">
        <f>VLOOKUP(C:C,Customer_Dim!B:I,6,1)</f>
        <v>New Mexico</v>
      </c>
      <c r="P1130" t="str">
        <f>VLOOKUP(C:C,Customer_Dim!B:I,7,1)</f>
        <v>USA</v>
      </c>
      <c r="Q1130" t="str">
        <f>VLOOKUP(C:C,Customer_Dim!B:I,8,1)</f>
        <v>Gold</v>
      </c>
      <c r="S1130">
        <v>1</v>
      </c>
      <c r="T1130">
        <v>805.07</v>
      </c>
      <c r="U1130">
        <v>0.06</v>
      </c>
      <c r="V1130">
        <v>756.76580000000001</v>
      </c>
      <c r="X1130" s="4">
        <v>1</v>
      </c>
      <c r="Y1130">
        <v>805.07</v>
      </c>
      <c r="Z1130">
        <v>0.06</v>
      </c>
      <c r="AA1130">
        <v>756.76580000000001</v>
      </c>
    </row>
    <row r="1131" spans="1:27" x14ac:dyDescent="0.3">
      <c r="A1131" t="s">
        <v>2938</v>
      </c>
      <c r="B1131" s="2">
        <v>45753</v>
      </c>
      <c r="C1131" t="s">
        <v>1153</v>
      </c>
      <c r="D1131" t="s">
        <v>1599</v>
      </c>
      <c r="E1131" t="s">
        <v>1740</v>
      </c>
      <c r="F1131" s="4">
        <v>3</v>
      </c>
      <c r="G1131">
        <v>848.48</v>
      </c>
      <c r="H1131">
        <v>0</v>
      </c>
      <c r="I1131" t="s">
        <v>1812</v>
      </c>
      <c r="J1131">
        <v>2545.44</v>
      </c>
      <c r="K1131" t="s">
        <v>1154</v>
      </c>
      <c r="L1131">
        <v>60</v>
      </c>
      <c r="M1131" t="str">
        <v>Male</v>
      </c>
      <c r="N1131" t="str">
        <f>VLOOKUP(C:C,Customer_Dim!B:I,5,1)</f>
        <v>Simpsonfort</v>
      </c>
      <c r="O1131" t="str">
        <f>VLOOKUP(C:C,Customer_Dim!B:I,6,1)</f>
        <v>Maine</v>
      </c>
      <c r="P1131" t="str">
        <f>VLOOKUP(C:C,Customer_Dim!B:I,7,1)</f>
        <v>USA</v>
      </c>
      <c r="Q1131" t="str">
        <f>VLOOKUP(C:C,Customer_Dim!B:I,8,1)</f>
        <v>Gold</v>
      </c>
      <c r="S1131">
        <v>3</v>
      </c>
      <c r="T1131">
        <v>848.48</v>
      </c>
      <c r="U1131">
        <v>0</v>
      </c>
      <c r="V1131">
        <v>2545.44</v>
      </c>
      <c r="X1131" s="4">
        <v>3</v>
      </c>
      <c r="Y1131">
        <v>848.48</v>
      </c>
      <c r="Z1131">
        <v>0</v>
      </c>
      <c r="AA1131">
        <v>2545.44</v>
      </c>
    </row>
    <row r="1132" spans="1:27" x14ac:dyDescent="0.3">
      <c r="A1132" t="s">
        <v>2939</v>
      </c>
      <c r="B1132" s="2">
        <v>45512</v>
      </c>
      <c r="C1132" t="s">
        <v>776</v>
      </c>
      <c r="D1132" t="s">
        <v>1637</v>
      </c>
      <c r="E1132" t="s">
        <v>1765</v>
      </c>
      <c r="F1132" s="4">
        <v>2</v>
      </c>
      <c r="G1132">
        <v>568.95000000000005</v>
      </c>
      <c r="H1132">
        <v>0.22</v>
      </c>
      <c r="I1132" t="s">
        <v>1807</v>
      </c>
      <c r="J1132">
        <v>887.56200000000013</v>
      </c>
      <c r="K1132" t="s">
        <v>777</v>
      </c>
      <c r="L1132">
        <v>57</v>
      </c>
      <c r="M1132" t="str">
        <v>Female</v>
      </c>
      <c r="N1132" t="str">
        <f>VLOOKUP(C:C,Customer_Dim!B:I,5,1)</f>
        <v>West Julia</v>
      </c>
      <c r="O1132" t="str">
        <f>VLOOKUP(C:C,Customer_Dim!B:I,6,1)</f>
        <v>Utah</v>
      </c>
      <c r="P1132" t="str">
        <f>VLOOKUP(C:C,Customer_Dim!B:I,7,1)</f>
        <v>USA</v>
      </c>
      <c r="Q1132" t="str">
        <f>VLOOKUP(C:C,Customer_Dim!B:I,8,1)</f>
        <v>Bronze</v>
      </c>
      <c r="S1132">
        <v>2</v>
      </c>
      <c r="T1132">
        <v>568.95000000000005</v>
      </c>
      <c r="U1132">
        <v>0.22</v>
      </c>
      <c r="V1132">
        <v>887.56200000000013</v>
      </c>
      <c r="X1132" s="4">
        <v>2</v>
      </c>
      <c r="Y1132">
        <v>568.95000000000005</v>
      </c>
      <c r="Z1132">
        <v>0.22</v>
      </c>
      <c r="AA1132">
        <v>887.56200000000013</v>
      </c>
    </row>
    <row r="1133" spans="1:27" x14ac:dyDescent="0.3">
      <c r="A1133" t="s">
        <v>2940</v>
      </c>
      <c r="B1133" s="2">
        <v>45764</v>
      </c>
      <c r="C1133" t="s">
        <v>536</v>
      </c>
      <c r="D1133" t="s">
        <v>1637</v>
      </c>
      <c r="E1133" t="s">
        <v>1775</v>
      </c>
      <c r="F1133" s="4">
        <v>3</v>
      </c>
      <c r="G1133">
        <v>269.83999999999997</v>
      </c>
      <c r="H1133">
        <v>0.05</v>
      </c>
      <c r="I1133" t="s">
        <v>1809</v>
      </c>
      <c r="J1133">
        <v>769.04399999999998</v>
      </c>
      <c r="K1133" t="s">
        <v>537</v>
      </c>
      <c r="L1133">
        <v>21</v>
      </c>
      <c r="M1133" t="str">
        <v>Male</v>
      </c>
      <c r="N1133" t="str">
        <f>VLOOKUP(C:C,Customer_Dim!B:I,5,1)</f>
        <v>Palmerbury</v>
      </c>
      <c r="O1133" t="str">
        <f>VLOOKUP(C:C,Customer_Dim!B:I,6,1)</f>
        <v>Tennessee</v>
      </c>
      <c r="P1133" t="str">
        <f>VLOOKUP(C:C,Customer_Dim!B:I,7,1)</f>
        <v>USA</v>
      </c>
      <c r="Q1133" t="str">
        <f>VLOOKUP(C:C,Customer_Dim!B:I,8,1)</f>
        <v>Silver</v>
      </c>
      <c r="S1133">
        <v>3</v>
      </c>
      <c r="T1133">
        <v>269.83999999999997</v>
      </c>
      <c r="U1133">
        <v>0.05</v>
      </c>
      <c r="V1133">
        <v>769.04399999999998</v>
      </c>
      <c r="X1133" s="4">
        <v>3</v>
      </c>
      <c r="Y1133">
        <v>269.83999999999997</v>
      </c>
      <c r="Z1133">
        <v>0.05</v>
      </c>
      <c r="AA1133">
        <v>769.04399999999998</v>
      </c>
    </row>
    <row r="1134" spans="1:27" x14ac:dyDescent="0.3">
      <c r="A1134" t="s">
        <v>2941</v>
      </c>
      <c r="B1134" s="2">
        <v>45746</v>
      </c>
      <c r="C1134" t="s">
        <v>965</v>
      </c>
      <c r="D1134" t="s">
        <v>1655</v>
      </c>
      <c r="E1134" t="s">
        <v>1780</v>
      </c>
      <c r="F1134" s="4">
        <v>4</v>
      </c>
      <c r="G1134">
        <v>267.36</v>
      </c>
      <c r="H1134">
        <v>0.27</v>
      </c>
      <c r="I1134" t="s">
        <v>1809</v>
      </c>
      <c r="J1134">
        <v>780.69119999999998</v>
      </c>
      <c r="K1134" t="s">
        <v>966</v>
      </c>
      <c r="L1134">
        <v>20</v>
      </c>
      <c r="M1134" t="str">
        <v>Male</v>
      </c>
      <c r="N1134" t="str">
        <f>VLOOKUP(C:C,Customer_Dim!B:I,5,1)</f>
        <v>Randychester</v>
      </c>
      <c r="O1134" t="str">
        <f>VLOOKUP(C:C,Customer_Dim!B:I,6,1)</f>
        <v>California</v>
      </c>
      <c r="P1134" t="str">
        <f>VLOOKUP(C:C,Customer_Dim!B:I,7,1)</f>
        <v>USA</v>
      </c>
      <c r="Q1134" t="str">
        <f>VLOOKUP(C:C,Customer_Dim!B:I,8,1)</f>
        <v>Bronze</v>
      </c>
      <c r="S1134">
        <v>4</v>
      </c>
      <c r="T1134">
        <v>267.36</v>
      </c>
      <c r="U1134">
        <v>0.27</v>
      </c>
      <c r="V1134">
        <v>780.69119999999998</v>
      </c>
      <c r="X1134" s="4">
        <v>4</v>
      </c>
      <c r="Y1134">
        <v>267.36</v>
      </c>
      <c r="Z1134">
        <v>0.27</v>
      </c>
      <c r="AA1134">
        <v>780.69119999999998</v>
      </c>
    </row>
    <row r="1135" spans="1:27" x14ac:dyDescent="0.3">
      <c r="A1135" t="s">
        <v>2942</v>
      </c>
      <c r="B1135" s="2">
        <v>45647</v>
      </c>
      <c r="C1135" t="s">
        <v>394</v>
      </c>
      <c r="D1135" t="s">
        <v>1605</v>
      </c>
      <c r="E1135" t="s">
        <v>1740</v>
      </c>
      <c r="F1135" s="4">
        <v>1</v>
      </c>
      <c r="G1135">
        <v>438.41</v>
      </c>
      <c r="H1135">
        <v>0.09</v>
      </c>
      <c r="I1135" t="s">
        <v>1807</v>
      </c>
      <c r="J1135">
        <v>398.95310000000012</v>
      </c>
      <c r="K1135" t="s">
        <v>395</v>
      </c>
      <c r="L1135">
        <v>53</v>
      </c>
      <c r="M1135" t="str">
        <v>Female</v>
      </c>
      <c r="N1135" t="str">
        <f>VLOOKUP(C:C,Customer_Dim!B:I,5,1)</f>
        <v>East Donna</v>
      </c>
      <c r="O1135" t="str">
        <f>VLOOKUP(C:C,Customer_Dim!B:I,6,1)</f>
        <v>Nevada</v>
      </c>
      <c r="P1135" t="str">
        <f>VLOOKUP(C:C,Customer_Dim!B:I,7,1)</f>
        <v>USA</v>
      </c>
      <c r="Q1135" t="str">
        <f>VLOOKUP(C:C,Customer_Dim!B:I,8,1)</f>
        <v>Bronze</v>
      </c>
      <c r="S1135">
        <v>1</v>
      </c>
      <c r="T1135">
        <v>438.41</v>
      </c>
      <c r="U1135">
        <v>0.09</v>
      </c>
      <c r="V1135">
        <v>398.95310000000012</v>
      </c>
      <c r="X1135" s="4">
        <v>1</v>
      </c>
      <c r="Y1135">
        <v>438.41</v>
      </c>
      <c r="Z1135">
        <v>0.09</v>
      </c>
      <c r="AA1135">
        <v>398.95310000000012</v>
      </c>
    </row>
    <row r="1136" spans="1:27" x14ac:dyDescent="0.3">
      <c r="A1136" t="s">
        <v>2943</v>
      </c>
      <c r="B1136" s="2">
        <v>45443</v>
      </c>
      <c r="C1136" t="s">
        <v>542</v>
      </c>
      <c r="D1136" t="s">
        <v>1633</v>
      </c>
      <c r="E1136" t="s">
        <v>1793</v>
      </c>
      <c r="F1136" s="4">
        <v>2</v>
      </c>
      <c r="G1136">
        <v>86.72</v>
      </c>
      <c r="H1136">
        <v>0.28000000000000003</v>
      </c>
      <c r="I1136" t="s">
        <v>1812</v>
      </c>
      <c r="J1136">
        <v>124.8768</v>
      </c>
      <c r="K1136" t="s">
        <v>543</v>
      </c>
      <c r="L1136">
        <v>47</v>
      </c>
      <c r="M1136" t="str">
        <v>Female</v>
      </c>
      <c r="N1136" t="str">
        <f>VLOOKUP(C:C,Customer_Dim!B:I,5,1)</f>
        <v>Dominiquefort</v>
      </c>
      <c r="O1136" t="str">
        <f>VLOOKUP(C:C,Customer_Dim!B:I,6,1)</f>
        <v>Georgia</v>
      </c>
      <c r="P1136" t="str">
        <f>VLOOKUP(C:C,Customer_Dim!B:I,7,1)</f>
        <v>USA</v>
      </c>
      <c r="Q1136" t="str">
        <f>VLOOKUP(C:C,Customer_Dim!B:I,8,1)</f>
        <v>Silver</v>
      </c>
      <c r="S1136">
        <v>2</v>
      </c>
      <c r="T1136">
        <v>86.72</v>
      </c>
      <c r="U1136">
        <v>0.28000000000000003</v>
      </c>
      <c r="V1136">
        <v>124.8768</v>
      </c>
      <c r="X1136" s="4">
        <v>2</v>
      </c>
      <c r="Y1136">
        <v>86.72</v>
      </c>
      <c r="Z1136">
        <v>0.28000000000000003</v>
      </c>
      <c r="AA1136">
        <v>124.8768</v>
      </c>
    </row>
    <row r="1137" spans="1:27" x14ac:dyDescent="0.3">
      <c r="A1137" t="s">
        <v>2944</v>
      </c>
      <c r="B1137" s="2">
        <v>45722</v>
      </c>
      <c r="C1137" t="s">
        <v>1303</v>
      </c>
      <c r="D1137" t="s">
        <v>1709</v>
      </c>
      <c r="E1137" t="s">
        <v>1759</v>
      </c>
      <c r="F1137" s="4">
        <v>4</v>
      </c>
      <c r="G1137">
        <v>630.21</v>
      </c>
      <c r="H1137">
        <v>0.14000000000000001</v>
      </c>
      <c r="I1137" t="s">
        <v>1812</v>
      </c>
      <c r="J1137">
        <v>2167.9223999999999</v>
      </c>
      <c r="K1137" t="s">
        <v>1304</v>
      </c>
      <c r="L1137">
        <v>28</v>
      </c>
      <c r="M1137" t="str">
        <v>Male</v>
      </c>
      <c r="N1137" t="str">
        <f>VLOOKUP(C:C,Customer_Dim!B:I,5,1)</f>
        <v>Lake Monique</v>
      </c>
      <c r="O1137" t="str">
        <f>VLOOKUP(C:C,Customer_Dim!B:I,6,1)</f>
        <v>Utah</v>
      </c>
      <c r="P1137" t="str">
        <f>VLOOKUP(C:C,Customer_Dim!B:I,7,1)</f>
        <v>USA</v>
      </c>
      <c r="Q1137" t="str">
        <f>VLOOKUP(C:C,Customer_Dim!B:I,8,1)</f>
        <v>Bronze</v>
      </c>
      <c r="S1137">
        <v>4</v>
      </c>
      <c r="T1137">
        <v>630.21</v>
      </c>
      <c r="U1137">
        <v>0.14000000000000001</v>
      </c>
      <c r="V1137">
        <v>2167.9223999999999</v>
      </c>
      <c r="X1137" s="4">
        <v>4</v>
      </c>
      <c r="Y1137">
        <v>630.21</v>
      </c>
      <c r="Z1137">
        <v>0.14000000000000001</v>
      </c>
      <c r="AA1137">
        <v>2167.9223999999999</v>
      </c>
    </row>
    <row r="1138" spans="1:27" x14ac:dyDescent="0.3">
      <c r="A1138" t="s">
        <v>2945</v>
      </c>
      <c r="B1138" s="2">
        <v>45575</v>
      </c>
      <c r="C1138" t="s">
        <v>1112</v>
      </c>
      <c r="D1138" t="s">
        <v>1649</v>
      </c>
      <c r="E1138" t="s">
        <v>1759</v>
      </c>
      <c r="F1138" s="4">
        <v>3</v>
      </c>
      <c r="G1138">
        <v>180.84</v>
      </c>
      <c r="H1138">
        <v>0.03</v>
      </c>
      <c r="I1138" t="s">
        <v>1809</v>
      </c>
      <c r="J1138">
        <v>526.24439999999993</v>
      </c>
      <c r="K1138" t="s">
        <v>1113</v>
      </c>
      <c r="L1138">
        <v>34</v>
      </c>
      <c r="M1138" t="str">
        <v>Male</v>
      </c>
      <c r="N1138" t="str">
        <f>VLOOKUP(C:C,Customer_Dim!B:I,5,1)</f>
        <v>East Michaelton</v>
      </c>
      <c r="O1138" t="str">
        <f>VLOOKUP(C:C,Customer_Dim!B:I,6,1)</f>
        <v>Kansas</v>
      </c>
      <c r="P1138" t="str">
        <f>VLOOKUP(C:C,Customer_Dim!B:I,7,1)</f>
        <v>USA</v>
      </c>
      <c r="Q1138" t="str">
        <f>VLOOKUP(C:C,Customer_Dim!B:I,8,1)</f>
        <v>Silver</v>
      </c>
      <c r="S1138">
        <v>3</v>
      </c>
      <c r="T1138">
        <v>180.84</v>
      </c>
      <c r="U1138">
        <v>0.03</v>
      </c>
      <c r="V1138">
        <v>526.24439999999993</v>
      </c>
      <c r="X1138" s="4">
        <v>3</v>
      </c>
      <c r="Y1138">
        <v>180.84</v>
      </c>
      <c r="Z1138">
        <v>0.03</v>
      </c>
      <c r="AA1138">
        <v>526.24439999999993</v>
      </c>
    </row>
    <row r="1139" spans="1:27" x14ac:dyDescent="0.3">
      <c r="A1139" t="s">
        <v>2946</v>
      </c>
      <c r="B1139" s="2">
        <v>45441</v>
      </c>
      <c r="C1139" t="s">
        <v>27</v>
      </c>
      <c r="D1139" t="s">
        <v>1659</v>
      </c>
      <c r="E1139" t="s">
        <v>1787</v>
      </c>
      <c r="F1139" s="4">
        <v>1</v>
      </c>
      <c r="G1139">
        <v>453.41</v>
      </c>
      <c r="H1139">
        <v>0.04</v>
      </c>
      <c r="I1139" t="s">
        <v>1812</v>
      </c>
      <c r="J1139">
        <v>435.27359999999999</v>
      </c>
      <c r="K1139" t="s">
        <v>28</v>
      </c>
      <c r="L1139">
        <v>24</v>
      </c>
      <c r="M1139" t="str">
        <v>Male</v>
      </c>
      <c r="N1139" t="str">
        <f>VLOOKUP(C:C,Customer_Dim!B:I,5,1)</f>
        <v>Nicholasshire</v>
      </c>
      <c r="O1139" t="str">
        <f>VLOOKUP(C:C,Customer_Dim!B:I,6,1)</f>
        <v>California</v>
      </c>
      <c r="P1139" t="str">
        <f>VLOOKUP(C:C,Customer_Dim!B:I,7,1)</f>
        <v>USA</v>
      </c>
      <c r="Q1139" t="str">
        <f>VLOOKUP(C:C,Customer_Dim!B:I,8,1)</f>
        <v>Silver</v>
      </c>
      <c r="S1139">
        <v>1</v>
      </c>
      <c r="T1139">
        <v>453.41</v>
      </c>
      <c r="U1139">
        <v>0.04</v>
      </c>
      <c r="V1139">
        <v>435.27359999999999</v>
      </c>
      <c r="X1139" s="4">
        <v>1</v>
      </c>
      <c r="Y1139">
        <v>453.41</v>
      </c>
      <c r="Z1139">
        <v>0.04</v>
      </c>
      <c r="AA1139">
        <v>435.27359999999999</v>
      </c>
    </row>
    <row r="1140" spans="1:27" x14ac:dyDescent="0.3">
      <c r="A1140" t="s">
        <v>2947</v>
      </c>
      <c r="B1140" s="2">
        <v>45940</v>
      </c>
      <c r="C1140" t="s">
        <v>103</v>
      </c>
      <c r="D1140" t="s">
        <v>1633</v>
      </c>
      <c r="E1140" t="s">
        <v>1759</v>
      </c>
      <c r="F1140" s="4">
        <v>1</v>
      </c>
      <c r="G1140">
        <v>629.09</v>
      </c>
      <c r="H1140">
        <v>0.02</v>
      </c>
      <c r="I1140" t="s">
        <v>1807</v>
      </c>
      <c r="J1140">
        <v>616.50819999999999</v>
      </c>
      <c r="K1140" t="s">
        <v>104</v>
      </c>
      <c r="L1140">
        <v>59</v>
      </c>
      <c r="M1140" t="str">
        <v>Female</v>
      </c>
      <c r="N1140" t="str">
        <f>VLOOKUP(C:C,Customer_Dim!B:I,5,1)</f>
        <v>Rogerschester</v>
      </c>
      <c r="O1140" t="str">
        <f>VLOOKUP(C:C,Customer_Dim!B:I,6,1)</f>
        <v>Idaho</v>
      </c>
      <c r="P1140" t="str">
        <f>VLOOKUP(C:C,Customer_Dim!B:I,7,1)</f>
        <v>USA</v>
      </c>
      <c r="Q1140" t="str">
        <f>VLOOKUP(C:C,Customer_Dim!B:I,8,1)</f>
        <v>Platinum</v>
      </c>
      <c r="S1140">
        <v>1</v>
      </c>
      <c r="T1140">
        <v>629.09</v>
      </c>
      <c r="U1140">
        <v>0.02</v>
      </c>
      <c r="V1140">
        <v>616.50819999999999</v>
      </c>
      <c r="X1140" s="4">
        <v>1</v>
      </c>
      <c r="Y1140">
        <v>629.09</v>
      </c>
      <c r="Z1140">
        <v>0.02</v>
      </c>
      <c r="AA1140">
        <v>616.50819999999999</v>
      </c>
    </row>
    <row r="1141" spans="1:27" x14ac:dyDescent="0.3">
      <c r="A1141" t="s">
        <v>2948</v>
      </c>
      <c r="B1141" s="2">
        <v>45518</v>
      </c>
      <c r="C1141" t="s">
        <v>97</v>
      </c>
      <c r="D1141" t="s">
        <v>1685</v>
      </c>
      <c r="E1141" t="s">
        <v>1744</v>
      </c>
      <c r="F1141" s="4">
        <v>2</v>
      </c>
      <c r="G1141">
        <v>257.45</v>
      </c>
      <c r="H1141">
        <v>0</v>
      </c>
      <c r="I1141" t="s">
        <v>1812</v>
      </c>
      <c r="J1141">
        <v>514.9</v>
      </c>
      <c r="K1141" t="s">
        <v>3953</v>
      </c>
      <c r="L1141">
        <v>52</v>
      </c>
      <c r="M1141" t="str">
        <v>Female</v>
      </c>
      <c r="N1141" t="str">
        <f>VLOOKUP(C:C,Customer_Dim!B:I,5,1)</f>
        <v>Michaelton</v>
      </c>
      <c r="O1141" t="str">
        <f>VLOOKUP(C:C,Customer_Dim!B:I,6,1)</f>
        <v>Hawaii</v>
      </c>
      <c r="P1141" t="str">
        <f>VLOOKUP(C:C,Customer_Dim!B:I,7,1)</f>
        <v>USA</v>
      </c>
      <c r="Q1141" t="str">
        <f>VLOOKUP(C:C,Customer_Dim!B:I,8,1)</f>
        <v>Silver</v>
      </c>
      <c r="S1141">
        <v>2</v>
      </c>
      <c r="T1141">
        <v>257.45</v>
      </c>
      <c r="U1141">
        <v>0</v>
      </c>
      <c r="V1141">
        <v>514.9</v>
      </c>
      <c r="X1141" s="4">
        <v>2</v>
      </c>
      <c r="Y1141">
        <v>257.45</v>
      </c>
      <c r="Z1141">
        <v>0</v>
      </c>
      <c r="AA1141">
        <v>514.9</v>
      </c>
    </row>
    <row r="1142" spans="1:27" x14ac:dyDescent="0.3">
      <c r="A1142" t="s">
        <v>2949</v>
      </c>
      <c r="B1142" s="2">
        <v>45861</v>
      </c>
      <c r="C1142" t="s">
        <v>586</v>
      </c>
      <c r="D1142" t="s">
        <v>1599</v>
      </c>
      <c r="E1142" t="s">
        <v>1784</v>
      </c>
      <c r="F1142" s="4">
        <v>2</v>
      </c>
      <c r="G1142">
        <v>696.61</v>
      </c>
      <c r="H1142">
        <v>0.17</v>
      </c>
      <c r="I1142" t="s">
        <v>1809</v>
      </c>
      <c r="J1142">
        <v>1156.3725999999999</v>
      </c>
      <c r="K1142" t="s">
        <v>587</v>
      </c>
      <c r="L1142">
        <v>38</v>
      </c>
      <c r="M1142" t="str">
        <v>Male</v>
      </c>
      <c r="N1142" t="str">
        <f>VLOOKUP(C:C,Customer_Dim!B:I,5,1)</f>
        <v>Murphyfurt</v>
      </c>
      <c r="O1142" t="str">
        <f>VLOOKUP(C:C,Customer_Dim!B:I,6,1)</f>
        <v>Utah</v>
      </c>
      <c r="P1142" t="str">
        <f>VLOOKUP(C:C,Customer_Dim!B:I,7,1)</f>
        <v>USA</v>
      </c>
      <c r="Q1142" t="str">
        <f>VLOOKUP(C:C,Customer_Dim!B:I,8,1)</f>
        <v>Silver</v>
      </c>
      <c r="S1142">
        <v>2</v>
      </c>
      <c r="T1142">
        <v>696.61</v>
      </c>
      <c r="U1142">
        <v>0.17</v>
      </c>
      <c r="V1142">
        <v>1156.3725999999999</v>
      </c>
      <c r="X1142" s="4">
        <v>2</v>
      </c>
      <c r="Y1142">
        <v>696.61</v>
      </c>
      <c r="Z1142">
        <v>0.17</v>
      </c>
      <c r="AA1142">
        <v>1156.3725999999999</v>
      </c>
    </row>
    <row r="1143" spans="1:27" x14ac:dyDescent="0.3">
      <c r="A1143" t="s">
        <v>2950</v>
      </c>
      <c r="B1143" s="2">
        <v>45416</v>
      </c>
      <c r="C1143" t="s">
        <v>1153</v>
      </c>
      <c r="D1143" t="s">
        <v>1623</v>
      </c>
      <c r="E1143" t="s">
        <v>1762</v>
      </c>
      <c r="F1143" s="4">
        <v>2</v>
      </c>
      <c r="G1143">
        <v>143.79</v>
      </c>
      <c r="H1143">
        <v>0.1</v>
      </c>
      <c r="I1143" t="s">
        <v>1809</v>
      </c>
      <c r="J1143">
        <v>258.822</v>
      </c>
      <c r="K1143" t="s">
        <v>1154</v>
      </c>
      <c r="L1143">
        <v>60</v>
      </c>
      <c r="M1143" t="str">
        <v>Male</v>
      </c>
      <c r="N1143" t="str">
        <f>VLOOKUP(C:C,Customer_Dim!B:I,5,1)</f>
        <v>Simpsonfort</v>
      </c>
      <c r="O1143" t="str">
        <f>VLOOKUP(C:C,Customer_Dim!B:I,6,1)</f>
        <v>Maine</v>
      </c>
      <c r="P1143" t="str">
        <f>VLOOKUP(C:C,Customer_Dim!B:I,7,1)</f>
        <v>USA</v>
      </c>
      <c r="Q1143" t="str">
        <f>VLOOKUP(C:C,Customer_Dim!B:I,8,1)</f>
        <v>Gold</v>
      </c>
      <c r="S1143">
        <v>2</v>
      </c>
      <c r="T1143">
        <v>143.79</v>
      </c>
      <c r="U1143">
        <v>0.1</v>
      </c>
      <c r="V1143">
        <v>258.822</v>
      </c>
      <c r="X1143" s="4">
        <v>2</v>
      </c>
      <c r="Y1143">
        <v>143.79</v>
      </c>
      <c r="Z1143">
        <v>0.1</v>
      </c>
      <c r="AA1143">
        <v>258.822</v>
      </c>
    </row>
    <row r="1144" spans="1:27" x14ac:dyDescent="0.3">
      <c r="A1144" t="s">
        <v>2951</v>
      </c>
      <c r="B1144" s="2">
        <v>45608</v>
      </c>
      <c r="C1144" t="s">
        <v>928</v>
      </c>
      <c r="D1144" t="s">
        <v>1697</v>
      </c>
      <c r="E1144" t="s">
        <v>1740</v>
      </c>
      <c r="F1144" s="4">
        <v>3</v>
      </c>
      <c r="G1144">
        <v>460.93</v>
      </c>
      <c r="H1144">
        <v>0.19</v>
      </c>
      <c r="I1144" t="s">
        <v>1812</v>
      </c>
      <c r="J1144">
        <v>1120.0599</v>
      </c>
      <c r="K1144" t="s">
        <v>929</v>
      </c>
      <c r="L1144">
        <v>47</v>
      </c>
      <c r="M1144" t="str">
        <v>Female</v>
      </c>
      <c r="N1144" t="str">
        <f>VLOOKUP(C:C,Customer_Dim!B:I,5,1)</f>
        <v>South David</v>
      </c>
      <c r="O1144" t="str">
        <f>VLOOKUP(C:C,Customer_Dim!B:I,6,1)</f>
        <v>West Virginia</v>
      </c>
      <c r="P1144" t="str">
        <f>VLOOKUP(C:C,Customer_Dim!B:I,7,1)</f>
        <v>USA</v>
      </c>
      <c r="Q1144" t="str">
        <f>VLOOKUP(C:C,Customer_Dim!B:I,8,1)</f>
        <v>Bronze</v>
      </c>
      <c r="S1144">
        <v>3</v>
      </c>
      <c r="T1144">
        <v>460.93</v>
      </c>
      <c r="U1144">
        <v>0.19</v>
      </c>
      <c r="V1144">
        <v>1120.0599</v>
      </c>
      <c r="X1144" s="4">
        <v>3</v>
      </c>
      <c r="Y1144">
        <v>460.93</v>
      </c>
      <c r="Z1144">
        <v>0.19</v>
      </c>
      <c r="AA1144">
        <v>1120.0599</v>
      </c>
    </row>
    <row r="1145" spans="1:27" x14ac:dyDescent="0.3">
      <c r="A1145" t="s">
        <v>2952</v>
      </c>
      <c r="B1145" s="2">
        <v>45301</v>
      </c>
      <c r="C1145" t="s">
        <v>1516</v>
      </c>
      <c r="D1145" t="s">
        <v>1587</v>
      </c>
      <c r="E1145" t="s">
        <v>1769</v>
      </c>
      <c r="F1145" s="4">
        <v>2</v>
      </c>
      <c r="G1145">
        <v>67.55</v>
      </c>
      <c r="H1145">
        <v>0.03</v>
      </c>
      <c r="I1145" t="s">
        <v>1807</v>
      </c>
      <c r="J1145">
        <v>131.047</v>
      </c>
      <c r="K1145" t="s">
        <v>1517</v>
      </c>
      <c r="L1145">
        <v>0</v>
      </c>
      <c r="M1145" t="str">
        <v>Female</v>
      </c>
      <c r="N1145" t="str">
        <f>VLOOKUP(C:C,Customer_Dim!B:I,5,1)</f>
        <v>East Valerieview</v>
      </c>
      <c r="O1145" t="str">
        <f>VLOOKUP(C:C,Customer_Dim!B:I,6,1)</f>
        <v>Oregon</v>
      </c>
      <c r="P1145" t="str">
        <f>VLOOKUP(C:C,Customer_Dim!B:I,7,1)</f>
        <v>USA</v>
      </c>
      <c r="Q1145" t="str">
        <f>VLOOKUP(C:C,Customer_Dim!B:I,8,1)</f>
        <v>Platinum</v>
      </c>
      <c r="S1145">
        <v>2</v>
      </c>
      <c r="T1145">
        <v>67.55</v>
      </c>
      <c r="U1145">
        <v>0.03</v>
      </c>
      <c r="V1145">
        <v>131.047</v>
      </c>
      <c r="X1145" s="4">
        <v>2</v>
      </c>
      <c r="Y1145">
        <v>67.55</v>
      </c>
      <c r="Z1145">
        <v>0.03</v>
      </c>
      <c r="AA1145">
        <v>131.047</v>
      </c>
    </row>
    <row r="1146" spans="1:27" x14ac:dyDescent="0.3">
      <c r="A1146" t="s">
        <v>2953</v>
      </c>
      <c r="B1146" s="2">
        <v>45433</v>
      </c>
      <c r="C1146" t="s">
        <v>678</v>
      </c>
      <c r="D1146" t="s">
        <v>1629</v>
      </c>
      <c r="E1146" t="s">
        <v>1740</v>
      </c>
      <c r="F1146" s="4">
        <v>3</v>
      </c>
      <c r="G1146">
        <v>803.31</v>
      </c>
      <c r="H1146">
        <v>0.1</v>
      </c>
      <c r="I1146" t="s">
        <v>1809</v>
      </c>
      <c r="J1146">
        <v>2168.9369999999999</v>
      </c>
      <c r="K1146" t="s">
        <v>679</v>
      </c>
      <c r="L1146">
        <v>20</v>
      </c>
      <c r="M1146" t="str">
        <v>Female</v>
      </c>
      <c r="N1146" t="str">
        <f>VLOOKUP(C:C,Customer_Dim!B:I,5,1)</f>
        <v>Matthewborough</v>
      </c>
      <c r="O1146" t="str">
        <f>VLOOKUP(C:C,Customer_Dim!B:I,6,1)</f>
        <v>Georgia</v>
      </c>
      <c r="P1146" t="str">
        <f>VLOOKUP(C:C,Customer_Dim!B:I,7,1)</f>
        <v>USA</v>
      </c>
      <c r="Q1146" t="str">
        <f>VLOOKUP(C:C,Customer_Dim!B:I,8,1)</f>
        <v>Silver</v>
      </c>
      <c r="S1146">
        <v>3</v>
      </c>
      <c r="T1146">
        <v>803.31</v>
      </c>
      <c r="U1146">
        <v>0.1</v>
      </c>
      <c r="V1146">
        <v>2168.9369999999999</v>
      </c>
      <c r="X1146" s="4">
        <v>3</v>
      </c>
      <c r="Y1146">
        <v>803.31</v>
      </c>
      <c r="Z1146">
        <v>0.1</v>
      </c>
      <c r="AA1146">
        <v>2168.9369999999999</v>
      </c>
    </row>
    <row r="1147" spans="1:27" x14ac:dyDescent="0.3">
      <c r="A1147" t="s">
        <v>2954</v>
      </c>
      <c r="B1147" s="2">
        <v>45821</v>
      </c>
      <c r="C1147" t="s">
        <v>1324</v>
      </c>
      <c r="D1147" t="s">
        <v>1563</v>
      </c>
      <c r="E1147" t="s">
        <v>1780</v>
      </c>
      <c r="F1147" s="4">
        <v>4</v>
      </c>
      <c r="G1147">
        <v>254.71</v>
      </c>
      <c r="H1147">
        <v>0.2</v>
      </c>
      <c r="I1147" t="s">
        <v>1812</v>
      </c>
      <c r="J1147">
        <v>815.07200000000012</v>
      </c>
      <c r="K1147" t="s">
        <v>1325</v>
      </c>
      <c r="L1147">
        <v>51</v>
      </c>
      <c r="M1147" t="str">
        <v>Female</v>
      </c>
      <c r="N1147" t="str">
        <f>VLOOKUP(C:C,Customer_Dim!B:I,5,1)</f>
        <v>Phyllisport</v>
      </c>
      <c r="O1147" t="str">
        <f>VLOOKUP(C:C,Customer_Dim!B:I,6,1)</f>
        <v>New Jersey</v>
      </c>
      <c r="P1147" t="str">
        <f>VLOOKUP(C:C,Customer_Dim!B:I,7,1)</f>
        <v>USA</v>
      </c>
      <c r="Q1147" t="str">
        <f>VLOOKUP(C:C,Customer_Dim!B:I,8,1)</f>
        <v>Bronze</v>
      </c>
      <c r="S1147">
        <v>4</v>
      </c>
      <c r="T1147">
        <v>254.71</v>
      </c>
      <c r="U1147">
        <v>0.2</v>
      </c>
      <c r="V1147">
        <v>815.07200000000012</v>
      </c>
      <c r="X1147" s="4">
        <v>4</v>
      </c>
      <c r="Y1147">
        <v>254.71</v>
      </c>
      <c r="Z1147">
        <v>0.2</v>
      </c>
      <c r="AA1147">
        <v>815.07200000000012</v>
      </c>
    </row>
    <row r="1148" spans="1:27" x14ac:dyDescent="0.3">
      <c r="A1148" t="s">
        <v>2955</v>
      </c>
      <c r="B1148" s="2">
        <v>45508</v>
      </c>
      <c r="C1148" t="s">
        <v>192</v>
      </c>
      <c r="D1148" t="s">
        <v>1631</v>
      </c>
      <c r="E1148" t="s">
        <v>1752</v>
      </c>
      <c r="F1148" s="4">
        <v>4</v>
      </c>
      <c r="G1148">
        <v>594.89</v>
      </c>
      <c r="H1148">
        <v>0.3</v>
      </c>
      <c r="I1148" t="s">
        <v>1809</v>
      </c>
      <c r="J1148">
        <v>1665.692</v>
      </c>
      <c r="K1148" t="s">
        <v>193</v>
      </c>
      <c r="L1148">
        <v>55</v>
      </c>
      <c r="M1148" t="str">
        <v>Male</v>
      </c>
      <c r="N1148" t="str">
        <f>VLOOKUP(C:C,Customer_Dim!B:I,5,1)</f>
        <v>New Julia</v>
      </c>
      <c r="O1148" t="str">
        <f>VLOOKUP(C:C,Customer_Dim!B:I,6,1)</f>
        <v>West Virginia</v>
      </c>
      <c r="P1148" t="str">
        <f>VLOOKUP(C:C,Customer_Dim!B:I,7,1)</f>
        <v>USA</v>
      </c>
      <c r="Q1148" t="str">
        <f>VLOOKUP(C:C,Customer_Dim!B:I,8,1)</f>
        <v>Gold</v>
      </c>
      <c r="S1148">
        <v>4</v>
      </c>
      <c r="T1148">
        <v>594.89</v>
      </c>
      <c r="U1148">
        <v>0.3</v>
      </c>
      <c r="V1148">
        <v>1665.692</v>
      </c>
      <c r="X1148" s="4">
        <v>4</v>
      </c>
      <c r="Y1148">
        <v>594.89</v>
      </c>
      <c r="Z1148">
        <v>0.3</v>
      </c>
      <c r="AA1148">
        <v>1665.692</v>
      </c>
    </row>
    <row r="1149" spans="1:27" x14ac:dyDescent="0.3">
      <c r="A1149" t="s">
        <v>2956</v>
      </c>
      <c r="B1149" s="2">
        <v>45854</v>
      </c>
      <c r="C1149" t="s">
        <v>705</v>
      </c>
      <c r="D1149" t="s">
        <v>1713</v>
      </c>
      <c r="E1149" t="s">
        <v>1735</v>
      </c>
      <c r="F1149" s="4">
        <v>2</v>
      </c>
      <c r="G1149">
        <v>844.31</v>
      </c>
      <c r="H1149">
        <v>7.0000000000000007E-2</v>
      </c>
      <c r="I1149" t="s">
        <v>1809</v>
      </c>
      <c r="J1149">
        <v>1570.4166</v>
      </c>
      <c r="K1149" t="s">
        <v>706</v>
      </c>
      <c r="L1149">
        <v>50</v>
      </c>
      <c r="M1149" t="str">
        <v>Female</v>
      </c>
      <c r="N1149" t="str">
        <f>VLOOKUP(C:C,Customer_Dim!B:I,5,1)</f>
        <v xml:space="preserve">Phillipschester   </v>
      </c>
      <c r="O1149" t="str">
        <f>VLOOKUP(C:C,Customer_Dim!B:I,6,1)</f>
        <v>New Jersey</v>
      </c>
      <c r="P1149" t="str">
        <f>VLOOKUP(C:C,Customer_Dim!B:I,7,1)</f>
        <v>USA</v>
      </c>
      <c r="Q1149" t="str">
        <f>VLOOKUP(C:C,Customer_Dim!B:I,8,1)</f>
        <v>Gold</v>
      </c>
      <c r="S1149">
        <v>2</v>
      </c>
      <c r="T1149">
        <v>844.31</v>
      </c>
      <c r="U1149">
        <v>7.0000000000000007E-2</v>
      </c>
      <c r="V1149">
        <v>1570.4166</v>
      </c>
      <c r="X1149" s="4">
        <v>2</v>
      </c>
      <c r="Y1149">
        <v>844.31</v>
      </c>
      <c r="Z1149">
        <v>7.0000000000000007E-2</v>
      </c>
      <c r="AA1149">
        <v>1570.4166</v>
      </c>
    </row>
    <row r="1150" spans="1:27" x14ac:dyDescent="0.3">
      <c r="A1150" t="s">
        <v>2957</v>
      </c>
      <c r="B1150" s="2">
        <v>45569</v>
      </c>
      <c r="C1150" t="s">
        <v>453</v>
      </c>
      <c r="D1150" t="s">
        <v>1561</v>
      </c>
      <c r="E1150" t="s">
        <v>1759</v>
      </c>
      <c r="F1150" s="4">
        <v>4</v>
      </c>
      <c r="G1150">
        <v>101.33</v>
      </c>
      <c r="H1150">
        <v>0</v>
      </c>
      <c r="I1150" t="s">
        <v>1807</v>
      </c>
      <c r="J1150">
        <v>405.32</v>
      </c>
      <c r="K1150" t="s">
        <v>454</v>
      </c>
      <c r="L1150">
        <v>33</v>
      </c>
      <c r="M1150" t="str">
        <v>Female</v>
      </c>
      <c r="N1150" t="str">
        <f>VLOOKUP(C:C,Customer_Dim!B:I,5,1)</f>
        <v>Parksfort</v>
      </c>
      <c r="O1150" t="str">
        <f>VLOOKUP(C:C,Customer_Dim!B:I,6,1)</f>
        <v>Washington</v>
      </c>
      <c r="P1150" t="str">
        <f>VLOOKUP(C:C,Customer_Dim!B:I,7,1)</f>
        <v>USA</v>
      </c>
      <c r="Q1150" t="str">
        <f>VLOOKUP(C:C,Customer_Dim!B:I,8,1)</f>
        <v>Gold</v>
      </c>
      <c r="S1150">
        <v>4</v>
      </c>
      <c r="T1150">
        <v>101.33</v>
      </c>
      <c r="U1150">
        <v>0</v>
      </c>
      <c r="V1150">
        <v>405.32</v>
      </c>
      <c r="X1150" s="4">
        <v>4</v>
      </c>
      <c r="Y1150">
        <v>101.33</v>
      </c>
      <c r="Z1150">
        <v>0</v>
      </c>
      <c r="AA1150">
        <v>405.32</v>
      </c>
    </row>
    <row r="1151" spans="1:27" x14ac:dyDescent="0.3">
      <c r="A1151" t="s">
        <v>2958</v>
      </c>
      <c r="B1151" s="2">
        <v>45824</v>
      </c>
      <c r="C1151" t="s">
        <v>444</v>
      </c>
      <c r="D1151" t="s">
        <v>1583</v>
      </c>
      <c r="E1151" t="s">
        <v>1765</v>
      </c>
      <c r="F1151" s="4">
        <v>3</v>
      </c>
      <c r="G1151">
        <v>922.56</v>
      </c>
      <c r="H1151">
        <v>0.18</v>
      </c>
      <c r="I1151" t="s">
        <v>1809</v>
      </c>
      <c r="J1151">
        <v>2269.4976000000001</v>
      </c>
      <c r="K1151" t="s">
        <v>445</v>
      </c>
      <c r="L1151">
        <v>57</v>
      </c>
      <c r="M1151" t="str">
        <v>Female</v>
      </c>
      <c r="N1151" t="str">
        <f>VLOOKUP(C:C,Customer_Dim!B:I,5,1)</f>
        <v>Wigginsville</v>
      </c>
      <c r="O1151" t="str">
        <f>VLOOKUP(C:C,Customer_Dim!B:I,6,1)</f>
        <v>Alabama</v>
      </c>
      <c r="P1151" t="str">
        <f>VLOOKUP(C:C,Customer_Dim!B:I,7,1)</f>
        <v>USA</v>
      </c>
      <c r="Q1151" t="str">
        <f>VLOOKUP(C:C,Customer_Dim!B:I,8,1)</f>
        <v>Bronze</v>
      </c>
      <c r="S1151">
        <v>3</v>
      </c>
      <c r="T1151">
        <v>922.56</v>
      </c>
      <c r="U1151">
        <v>0.18</v>
      </c>
      <c r="V1151">
        <v>2269.4976000000001</v>
      </c>
      <c r="X1151" s="4">
        <v>3</v>
      </c>
      <c r="Y1151">
        <v>922.56</v>
      </c>
      <c r="Z1151">
        <v>0.18</v>
      </c>
      <c r="AA1151">
        <v>2269.4976000000001</v>
      </c>
    </row>
    <row r="1152" spans="1:27" x14ac:dyDescent="0.3">
      <c r="A1152" t="s">
        <v>2959</v>
      </c>
      <c r="B1152" s="2">
        <v>45352</v>
      </c>
      <c r="C1152" t="s">
        <v>1324</v>
      </c>
      <c r="D1152" t="s">
        <v>1607</v>
      </c>
      <c r="E1152" t="s">
        <v>1782</v>
      </c>
      <c r="F1152" s="4">
        <v>4</v>
      </c>
      <c r="G1152">
        <v>867.19</v>
      </c>
      <c r="H1152">
        <v>7.0000000000000007E-2</v>
      </c>
      <c r="I1152" t="s">
        <v>1812</v>
      </c>
      <c r="J1152">
        <v>3225.9468000000002</v>
      </c>
      <c r="K1152" t="s">
        <v>1325</v>
      </c>
      <c r="L1152">
        <v>51</v>
      </c>
      <c r="M1152" t="str">
        <v>Female</v>
      </c>
      <c r="N1152" t="str">
        <f>VLOOKUP(C:C,Customer_Dim!B:I,5,1)</f>
        <v>Phyllisport</v>
      </c>
      <c r="O1152" t="str">
        <f>VLOOKUP(C:C,Customer_Dim!B:I,6,1)</f>
        <v>New Jersey</v>
      </c>
      <c r="P1152" t="str">
        <f>VLOOKUP(C:C,Customer_Dim!B:I,7,1)</f>
        <v>USA</v>
      </c>
      <c r="Q1152" t="str">
        <f>VLOOKUP(C:C,Customer_Dim!B:I,8,1)</f>
        <v>Bronze</v>
      </c>
      <c r="S1152">
        <v>4</v>
      </c>
      <c r="T1152">
        <v>867.19</v>
      </c>
      <c r="U1152">
        <v>7.0000000000000007E-2</v>
      </c>
      <c r="V1152">
        <v>3225.9468000000002</v>
      </c>
      <c r="X1152" s="4">
        <v>4</v>
      </c>
      <c r="Y1152">
        <v>867.19</v>
      </c>
      <c r="Z1152">
        <v>7.0000000000000007E-2</v>
      </c>
      <c r="AA1152">
        <v>3225.9468000000002</v>
      </c>
    </row>
    <row r="1153" spans="1:27" x14ac:dyDescent="0.3">
      <c r="A1153" t="s">
        <v>2960</v>
      </c>
      <c r="B1153" s="2">
        <v>45454</v>
      </c>
      <c r="C1153" t="s">
        <v>36</v>
      </c>
      <c r="D1153" t="s">
        <v>1697</v>
      </c>
      <c r="E1153" t="s">
        <v>1790</v>
      </c>
      <c r="F1153" s="4">
        <v>3</v>
      </c>
      <c r="G1153">
        <v>816.87</v>
      </c>
      <c r="H1153">
        <v>0.14000000000000001</v>
      </c>
      <c r="I1153" t="s">
        <v>1809</v>
      </c>
      <c r="J1153">
        <v>2107.5246000000002</v>
      </c>
      <c r="K1153" t="s">
        <v>37</v>
      </c>
      <c r="L1153">
        <v>29</v>
      </c>
      <c r="M1153" t="str">
        <v>Female</v>
      </c>
      <c r="N1153" t="str">
        <f>VLOOKUP(C:C,Customer_Dim!B:I,5,1)</f>
        <v>Deborahborough</v>
      </c>
      <c r="O1153" t="str">
        <f>VLOOKUP(C:C,Customer_Dim!B:I,6,1)</f>
        <v>South Dakota</v>
      </c>
      <c r="P1153" t="str">
        <f>VLOOKUP(C:C,Customer_Dim!B:I,7,1)</f>
        <v>USA</v>
      </c>
      <c r="Q1153" t="str">
        <f>VLOOKUP(C:C,Customer_Dim!B:I,8,1)</f>
        <v>Platinum</v>
      </c>
      <c r="S1153">
        <v>3</v>
      </c>
      <c r="T1153">
        <v>816.87</v>
      </c>
      <c r="U1153">
        <v>0.14000000000000001</v>
      </c>
      <c r="V1153">
        <v>2107.5246000000002</v>
      </c>
      <c r="X1153" s="4">
        <v>3</v>
      </c>
      <c r="Y1153">
        <v>816.87</v>
      </c>
      <c r="Z1153">
        <v>0.14000000000000001</v>
      </c>
      <c r="AA1153">
        <v>2107.5246000000002</v>
      </c>
    </row>
    <row r="1154" spans="1:27" x14ac:dyDescent="0.3">
      <c r="A1154" t="s">
        <v>2961</v>
      </c>
      <c r="B1154" s="2">
        <v>45924</v>
      </c>
      <c r="C1154" t="s">
        <v>1461</v>
      </c>
      <c r="D1154" t="s">
        <v>1661</v>
      </c>
      <c r="E1154" t="s">
        <v>1749</v>
      </c>
      <c r="F1154" s="4">
        <v>3</v>
      </c>
      <c r="G1154">
        <v>258.06</v>
      </c>
      <c r="H1154">
        <v>0</v>
      </c>
      <c r="I1154" t="s">
        <v>1809</v>
      </c>
      <c r="J1154">
        <v>774.18000000000006</v>
      </c>
      <c r="K1154" t="s">
        <v>1462</v>
      </c>
      <c r="L1154">
        <v>21</v>
      </c>
      <c r="M1154" t="str">
        <v>Male</v>
      </c>
      <c r="N1154" t="str">
        <f>VLOOKUP(C:C,Customer_Dim!B:I,5,1)</f>
        <v>Robinchester</v>
      </c>
      <c r="O1154" t="str">
        <f>VLOOKUP(C:C,Customer_Dim!B:I,6,1)</f>
        <v>Florida</v>
      </c>
      <c r="P1154" t="str">
        <f>VLOOKUP(C:C,Customer_Dim!B:I,7,1)</f>
        <v>USA</v>
      </c>
      <c r="Q1154" t="str">
        <f>VLOOKUP(C:C,Customer_Dim!B:I,8,1)</f>
        <v>Bronze</v>
      </c>
      <c r="S1154">
        <v>3</v>
      </c>
      <c r="T1154">
        <v>258.06</v>
      </c>
      <c r="U1154">
        <v>0</v>
      </c>
      <c r="V1154">
        <v>774.18000000000006</v>
      </c>
      <c r="X1154" s="4">
        <v>3</v>
      </c>
      <c r="Y1154">
        <v>258.06</v>
      </c>
      <c r="Z1154">
        <v>0</v>
      </c>
      <c r="AA1154">
        <v>774.18000000000006</v>
      </c>
    </row>
    <row r="1155" spans="1:27" x14ac:dyDescent="0.3">
      <c r="A1155" t="s">
        <v>2962</v>
      </c>
      <c r="B1155" s="2">
        <v>45694</v>
      </c>
      <c r="C1155" t="s">
        <v>974</v>
      </c>
      <c r="D1155" t="s">
        <v>1607</v>
      </c>
      <c r="E1155" t="s">
        <v>1782</v>
      </c>
      <c r="F1155" s="4">
        <v>2</v>
      </c>
      <c r="G1155">
        <v>574.58000000000004</v>
      </c>
      <c r="H1155">
        <v>0.06</v>
      </c>
      <c r="I1155" t="s">
        <v>1807</v>
      </c>
      <c r="J1155">
        <v>1080.2103999999999</v>
      </c>
      <c r="K1155" t="s">
        <v>975</v>
      </c>
      <c r="L1155">
        <v>62</v>
      </c>
      <c r="M1155" t="str">
        <v>Male</v>
      </c>
      <c r="N1155" t="str">
        <f>VLOOKUP(C:C,Customer_Dim!B:I,5,1)</f>
        <v>Brianchester</v>
      </c>
      <c r="O1155" t="str">
        <f>VLOOKUP(C:C,Customer_Dim!B:I,6,1)</f>
        <v>Delaware</v>
      </c>
      <c r="P1155" t="str">
        <f>VLOOKUP(C:C,Customer_Dim!B:I,7,1)</f>
        <v>USA</v>
      </c>
      <c r="Q1155" t="str">
        <f>VLOOKUP(C:C,Customer_Dim!B:I,8,1)</f>
        <v>Silver</v>
      </c>
      <c r="S1155">
        <v>2</v>
      </c>
      <c r="T1155">
        <v>574.58000000000004</v>
      </c>
      <c r="U1155">
        <v>0.06</v>
      </c>
      <c r="V1155">
        <v>1080.2103999999999</v>
      </c>
      <c r="X1155" s="4">
        <v>2</v>
      </c>
      <c r="Y1155">
        <v>574.58000000000004</v>
      </c>
      <c r="Z1155">
        <v>0.06</v>
      </c>
      <c r="AA1155">
        <v>1080.2103999999999</v>
      </c>
    </row>
    <row r="1156" spans="1:27" x14ac:dyDescent="0.3">
      <c r="A1156" t="s">
        <v>2963</v>
      </c>
      <c r="B1156" s="2">
        <v>45587</v>
      </c>
      <c r="C1156" t="s">
        <v>97</v>
      </c>
      <c r="D1156" t="s">
        <v>1697</v>
      </c>
      <c r="E1156" t="s">
        <v>1759</v>
      </c>
      <c r="F1156" s="4">
        <v>2</v>
      </c>
      <c r="G1156">
        <v>472.18</v>
      </c>
      <c r="H1156">
        <v>0.27</v>
      </c>
      <c r="I1156" t="s">
        <v>1809</v>
      </c>
      <c r="J1156">
        <v>689.38279999999997</v>
      </c>
      <c r="K1156" t="s">
        <v>3953</v>
      </c>
      <c r="L1156">
        <v>52</v>
      </c>
      <c r="M1156" t="str">
        <v>Female</v>
      </c>
      <c r="N1156" t="str">
        <f>VLOOKUP(C:C,Customer_Dim!B:I,5,1)</f>
        <v>Michaelton</v>
      </c>
      <c r="O1156" t="str">
        <f>VLOOKUP(C:C,Customer_Dim!B:I,6,1)</f>
        <v>Hawaii</v>
      </c>
      <c r="P1156" t="str">
        <f>VLOOKUP(C:C,Customer_Dim!B:I,7,1)</f>
        <v>USA</v>
      </c>
      <c r="Q1156" t="str">
        <f>VLOOKUP(C:C,Customer_Dim!B:I,8,1)</f>
        <v>Silver</v>
      </c>
      <c r="S1156">
        <v>2</v>
      </c>
      <c r="T1156">
        <v>472.18</v>
      </c>
      <c r="U1156">
        <v>0.27</v>
      </c>
      <c r="V1156">
        <v>689.38279999999997</v>
      </c>
      <c r="X1156" s="4">
        <v>2</v>
      </c>
      <c r="Y1156">
        <v>472.18</v>
      </c>
      <c r="Z1156">
        <v>0.27</v>
      </c>
      <c r="AA1156">
        <v>689.38279999999997</v>
      </c>
    </row>
    <row r="1157" spans="1:27" x14ac:dyDescent="0.3">
      <c r="A1157" t="s">
        <v>2964</v>
      </c>
      <c r="B1157" s="2">
        <v>45556</v>
      </c>
      <c r="C1157" t="s">
        <v>1057</v>
      </c>
      <c r="D1157" t="s">
        <v>1613</v>
      </c>
      <c r="E1157" t="s">
        <v>1756</v>
      </c>
      <c r="F1157" s="4">
        <v>2</v>
      </c>
      <c r="G1157">
        <v>20.47</v>
      </c>
      <c r="H1157">
        <v>0.12</v>
      </c>
      <c r="I1157" t="s">
        <v>1812</v>
      </c>
      <c r="J1157">
        <v>36.027200000000001</v>
      </c>
      <c r="K1157" t="s">
        <v>1058</v>
      </c>
      <c r="L1157">
        <v>56</v>
      </c>
      <c r="M1157" t="str">
        <v>Female</v>
      </c>
      <c r="N1157" t="str">
        <f>VLOOKUP(C:C,Customer_Dim!B:I,5,1)</f>
        <v>Johntown</v>
      </c>
      <c r="O1157" t="str">
        <f>VLOOKUP(C:C,Customer_Dim!B:I,6,1)</f>
        <v>Colorado</v>
      </c>
      <c r="P1157" t="str">
        <f>VLOOKUP(C:C,Customer_Dim!B:I,7,1)</f>
        <v>USA</v>
      </c>
      <c r="Q1157" t="str">
        <f>VLOOKUP(C:C,Customer_Dim!B:I,8,1)</f>
        <v>Bronze</v>
      </c>
      <c r="S1157">
        <v>2</v>
      </c>
      <c r="T1157">
        <v>20.47</v>
      </c>
      <c r="U1157">
        <v>0.12</v>
      </c>
      <c r="V1157">
        <v>36.027200000000001</v>
      </c>
      <c r="X1157" s="4">
        <v>2</v>
      </c>
      <c r="Y1157">
        <v>20.47</v>
      </c>
      <c r="Z1157">
        <v>0.12</v>
      </c>
      <c r="AA1157">
        <v>36.027200000000001</v>
      </c>
    </row>
    <row r="1158" spans="1:27" x14ac:dyDescent="0.3">
      <c r="A1158" t="s">
        <v>2965</v>
      </c>
      <c r="B1158" s="2">
        <v>45923</v>
      </c>
      <c r="C1158" t="s">
        <v>100</v>
      </c>
      <c r="D1158" t="s">
        <v>1575</v>
      </c>
      <c r="E1158" t="s">
        <v>1762</v>
      </c>
      <c r="F1158" s="4">
        <v>3</v>
      </c>
      <c r="G1158">
        <v>235.41</v>
      </c>
      <c r="H1158">
        <v>0.15</v>
      </c>
      <c r="I1158" t="s">
        <v>1809</v>
      </c>
      <c r="J1158">
        <v>600.29549999999995</v>
      </c>
      <c r="K1158" t="s">
        <v>101</v>
      </c>
      <c r="L1158">
        <v>40</v>
      </c>
      <c r="M1158" t="str">
        <v>Male</v>
      </c>
      <c r="N1158" t="str">
        <f>VLOOKUP(C:C,Customer_Dim!B:I,5,1)</f>
        <v>Molinabury</v>
      </c>
      <c r="O1158" t="str">
        <f>VLOOKUP(C:C,Customer_Dim!B:I,6,1)</f>
        <v>Oregon</v>
      </c>
      <c r="P1158" t="str">
        <f>VLOOKUP(C:C,Customer_Dim!B:I,7,1)</f>
        <v>USA</v>
      </c>
      <c r="Q1158" t="str">
        <f>VLOOKUP(C:C,Customer_Dim!B:I,8,1)</f>
        <v>Silver</v>
      </c>
      <c r="S1158">
        <v>3</v>
      </c>
      <c r="T1158">
        <v>235.41</v>
      </c>
      <c r="U1158">
        <v>0.15</v>
      </c>
      <c r="V1158">
        <v>600.29549999999995</v>
      </c>
      <c r="X1158" s="4">
        <v>3</v>
      </c>
      <c r="Y1158">
        <v>235.41</v>
      </c>
      <c r="Z1158">
        <v>0.15</v>
      </c>
      <c r="AA1158">
        <v>600.29549999999995</v>
      </c>
    </row>
    <row r="1159" spans="1:27" x14ac:dyDescent="0.3">
      <c r="A1159" t="s">
        <v>2966</v>
      </c>
      <c r="B1159" s="2">
        <v>45811</v>
      </c>
      <c r="C1159" t="s">
        <v>734</v>
      </c>
      <c r="D1159" t="s">
        <v>1687</v>
      </c>
      <c r="E1159" t="s">
        <v>1762</v>
      </c>
      <c r="F1159" s="4">
        <v>3</v>
      </c>
      <c r="G1159">
        <v>744.9</v>
      </c>
      <c r="H1159">
        <v>0.27</v>
      </c>
      <c r="I1159" t="s">
        <v>1809</v>
      </c>
      <c r="J1159">
        <v>1631.3309999999999</v>
      </c>
      <c r="K1159" t="s">
        <v>735</v>
      </c>
      <c r="L1159">
        <v>22</v>
      </c>
      <c r="M1159" t="str">
        <v>Female</v>
      </c>
      <c r="N1159" t="str">
        <f>VLOOKUP(C:C,Customer_Dim!B:I,5,1)</f>
        <v>Aaronmouth</v>
      </c>
      <c r="O1159" t="str">
        <f>VLOOKUP(C:C,Customer_Dim!B:I,6,1)</f>
        <v>Florida</v>
      </c>
      <c r="P1159" t="str">
        <f>VLOOKUP(C:C,Customer_Dim!B:I,7,1)</f>
        <v>USA</v>
      </c>
      <c r="Q1159" t="str">
        <f>VLOOKUP(C:C,Customer_Dim!B:I,8,1)</f>
        <v>Bronze</v>
      </c>
      <c r="S1159">
        <v>3</v>
      </c>
      <c r="T1159">
        <v>744.9</v>
      </c>
      <c r="U1159">
        <v>0.27</v>
      </c>
      <c r="V1159">
        <v>1631.3309999999999</v>
      </c>
      <c r="X1159" s="4">
        <v>3</v>
      </c>
      <c r="Y1159">
        <v>744.9</v>
      </c>
      <c r="Z1159">
        <v>0.27</v>
      </c>
      <c r="AA1159">
        <v>1631.3309999999999</v>
      </c>
    </row>
    <row r="1160" spans="1:27" x14ac:dyDescent="0.3">
      <c r="A1160" t="s">
        <v>2967</v>
      </c>
      <c r="B1160" s="2">
        <v>45559</v>
      </c>
      <c r="C1160" t="s">
        <v>178</v>
      </c>
      <c r="D1160" t="s">
        <v>1567</v>
      </c>
      <c r="E1160" t="s">
        <v>1749</v>
      </c>
      <c r="F1160" s="4">
        <v>2</v>
      </c>
      <c r="G1160">
        <v>382.2</v>
      </c>
      <c r="H1160">
        <v>0.15</v>
      </c>
      <c r="I1160" t="s">
        <v>1807</v>
      </c>
      <c r="J1160">
        <v>649.74</v>
      </c>
      <c r="K1160" t="s">
        <v>179</v>
      </c>
      <c r="L1160">
        <v>54</v>
      </c>
      <c r="M1160" t="str">
        <v>Male</v>
      </c>
      <c r="N1160" t="str">
        <f>VLOOKUP(C:C,Customer_Dim!B:I,5,1)</f>
        <v>Lake Roberthaven</v>
      </c>
      <c r="O1160" t="str">
        <f>VLOOKUP(C:C,Customer_Dim!B:I,6,1)</f>
        <v>Nevada</v>
      </c>
      <c r="P1160" t="str">
        <f>VLOOKUP(C:C,Customer_Dim!B:I,7,1)</f>
        <v>USA</v>
      </c>
      <c r="Q1160" t="str">
        <f>VLOOKUP(C:C,Customer_Dim!B:I,8,1)</f>
        <v>Silver</v>
      </c>
      <c r="S1160">
        <v>2</v>
      </c>
      <c r="T1160">
        <v>382.2</v>
      </c>
      <c r="U1160">
        <v>0.15</v>
      </c>
      <c r="V1160">
        <v>649.74</v>
      </c>
      <c r="X1160" s="4">
        <v>2</v>
      </c>
      <c r="Y1160">
        <v>382.2</v>
      </c>
      <c r="Z1160">
        <v>0.15</v>
      </c>
      <c r="AA1160">
        <v>649.74</v>
      </c>
    </row>
    <row r="1161" spans="1:27" x14ac:dyDescent="0.3">
      <c r="A1161" t="s">
        <v>2968</v>
      </c>
      <c r="B1161" s="2">
        <v>45881</v>
      </c>
      <c r="C1161" t="s">
        <v>1075</v>
      </c>
      <c r="D1161" t="s">
        <v>1711</v>
      </c>
      <c r="E1161" t="s">
        <v>1787</v>
      </c>
      <c r="F1161" s="4">
        <v>1</v>
      </c>
      <c r="G1161">
        <v>269.25</v>
      </c>
      <c r="H1161">
        <v>0.14000000000000001</v>
      </c>
      <c r="I1161" t="s">
        <v>1809</v>
      </c>
      <c r="J1161">
        <v>231.55500000000001</v>
      </c>
      <c r="K1161" t="s">
        <v>1076</v>
      </c>
      <c r="L1161">
        <v>39</v>
      </c>
      <c r="M1161" t="str">
        <v>Female</v>
      </c>
      <c r="N1161" t="str">
        <f>VLOOKUP(C:C,Customer_Dim!B:I,5,1)</f>
        <v>Port Crystalberg</v>
      </c>
      <c r="O1161" t="str">
        <f>VLOOKUP(C:C,Customer_Dim!B:I,6,1)</f>
        <v>Tennessee</v>
      </c>
      <c r="P1161" t="str">
        <f>VLOOKUP(C:C,Customer_Dim!B:I,7,1)</f>
        <v>USA</v>
      </c>
      <c r="Q1161" t="str">
        <f>VLOOKUP(C:C,Customer_Dim!B:I,8,1)</f>
        <v>Platinum</v>
      </c>
      <c r="S1161">
        <v>1</v>
      </c>
      <c r="T1161">
        <v>269.25</v>
      </c>
      <c r="U1161">
        <v>0.14000000000000001</v>
      </c>
      <c r="V1161">
        <v>231.55500000000001</v>
      </c>
      <c r="X1161" s="4">
        <v>1</v>
      </c>
      <c r="Y1161">
        <v>269.25</v>
      </c>
      <c r="Z1161">
        <v>0.14000000000000001</v>
      </c>
      <c r="AA1161">
        <v>231.55500000000001</v>
      </c>
    </row>
    <row r="1162" spans="1:27" x14ac:dyDescent="0.3">
      <c r="A1162" t="s">
        <v>2969</v>
      </c>
      <c r="B1162" s="2">
        <v>45367</v>
      </c>
      <c r="C1162" t="s">
        <v>1129</v>
      </c>
      <c r="D1162" t="s">
        <v>1591</v>
      </c>
      <c r="E1162" t="s">
        <v>1775</v>
      </c>
      <c r="F1162" s="4">
        <v>2</v>
      </c>
      <c r="G1162">
        <v>723.75</v>
      </c>
      <c r="H1162">
        <v>0.03</v>
      </c>
      <c r="I1162" t="s">
        <v>1809</v>
      </c>
      <c r="J1162">
        <v>1404.075</v>
      </c>
      <c r="K1162" t="s">
        <v>1130</v>
      </c>
      <c r="L1162">
        <v>40</v>
      </c>
      <c r="M1162" t="str">
        <v>Female</v>
      </c>
      <c r="N1162" t="str">
        <f>VLOOKUP(C:C,Customer_Dim!B:I,5,1)</f>
        <v>Kellyside</v>
      </c>
      <c r="O1162" t="str">
        <f>VLOOKUP(C:C,Customer_Dim!B:I,6,1)</f>
        <v>Alaska</v>
      </c>
      <c r="P1162" t="str">
        <f>VLOOKUP(C:C,Customer_Dim!B:I,7,1)</f>
        <v>USA</v>
      </c>
      <c r="Q1162" t="str">
        <f>VLOOKUP(C:C,Customer_Dim!B:I,8,1)</f>
        <v>Platinum</v>
      </c>
      <c r="S1162">
        <v>2</v>
      </c>
      <c r="T1162">
        <v>723.75</v>
      </c>
      <c r="U1162">
        <v>0.03</v>
      </c>
      <c r="V1162">
        <v>1404.075</v>
      </c>
      <c r="X1162" s="4">
        <v>2</v>
      </c>
      <c r="Y1162">
        <v>723.75</v>
      </c>
      <c r="Z1162">
        <v>0.03</v>
      </c>
      <c r="AA1162">
        <v>1404.075</v>
      </c>
    </row>
    <row r="1163" spans="1:27" x14ac:dyDescent="0.3">
      <c r="A1163" t="s">
        <v>2970</v>
      </c>
      <c r="B1163" s="2">
        <v>45832</v>
      </c>
      <c r="C1163" t="s">
        <v>885</v>
      </c>
      <c r="D1163" t="s">
        <v>1569</v>
      </c>
      <c r="E1163" t="s">
        <v>1796</v>
      </c>
      <c r="F1163" s="4">
        <v>4</v>
      </c>
      <c r="G1163">
        <v>58.92</v>
      </c>
      <c r="H1163">
        <v>0.18</v>
      </c>
      <c r="I1163" t="s">
        <v>1807</v>
      </c>
      <c r="J1163">
        <v>193.2576</v>
      </c>
      <c r="K1163" t="s">
        <v>886</v>
      </c>
      <c r="L1163">
        <v>46</v>
      </c>
      <c r="M1163" t="str">
        <v>Female</v>
      </c>
      <c r="N1163" t="str">
        <f>VLOOKUP(C:C,Customer_Dim!B:I,5,1)</f>
        <v>North Joshualand</v>
      </c>
      <c r="O1163" t="str">
        <f>VLOOKUP(C:C,Customer_Dim!B:I,6,1)</f>
        <v>Connecticut</v>
      </c>
      <c r="P1163" t="str">
        <f>VLOOKUP(C:C,Customer_Dim!B:I,7,1)</f>
        <v>USA</v>
      </c>
      <c r="Q1163" t="str">
        <f>VLOOKUP(C:C,Customer_Dim!B:I,8,1)</f>
        <v>Platinum</v>
      </c>
      <c r="S1163">
        <v>4</v>
      </c>
      <c r="T1163">
        <v>58.92</v>
      </c>
      <c r="U1163">
        <v>0.18</v>
      </c>
      <c r="V1163">
        <v>193.2576</v>
      </c>
      <c r="X1163" s="4">
        <v>4</v>
      </c>
      <c r="Y1163">
        <v>58.92</v>
      </c>
      <c r="Z1163">
        <v>0.18</v>
      </c>
      <c r="AA1163">
        <v>193.2576</v>
      </c>
    </row>
    <row r="1164" spans="1:27" x14ac:dyDescent="0.3">
      <c r="A1164" t="s">
        <v>2971</v>
      </c>
      <c r="B1164" s="2">
        <v>45438</v>
      </c>
      <c r="C1164" t="s">
        <v>613</v>
      </c>
      <c r="D1164" t="s">
        <v>1673</v>
      </c>
      <c r="E1164" t="s">
        <v>1772</v>
      </c>
      <c r="F1164" s="4">
        <v>2</v>
      </c>
      <c r="G1164">
        <v>913.08</v>
      </c>
      <c r="H1164">
        <v>0.26</v>
      </c>
      <c r="I1164" t="s">
        <v>1807</v>
      </c>
      <c r="J1164">
        <v>1351.3584000000001</v>
      </c>
      <c r="K1164" t="s">
        <v>614</v>
      </c>
      <c r="L1164">
        <v>29</v>
      </c>
      <c r="M1164" t="str">
        <v>Male</v>
      </c>
      <c r="N1164" t="str">
        <f>VLOOKUP(C:C,Customer_Dim!B:I,5,1)</f>
        <v>Kingfort</v>
      </c>
      <c r="O1164" t="str">
        <f>VLOOKUP(C:C,Customer_Dim!B:I,6,1)</f>
        <v>New Mexico</v>
      </c>
      <c r="P1164" t="str">
        <f>VLOOKUP(C:C,Customer_Dim!B:I,7,1)</f>
        <v>USA</v>
      </c>
      <c r="Q1164" t="str">
        <f>VLOOKUP(C:C,Customer_Dim!B:I,8,1)</f>
        <v>Silver</v>
      </c>
      <c r="S1164">
        <v>2</v>
      </c>
      <c r="T1164">
        <v>913.08</v>
      </c>
      <c r="U1164">
        <v>0.26</v>
      </c>
      <c r="V1164">
        <v>1351.3584000000001</v>
      </c>
      <c r="X1164" s="4">
        <v>2</v>
      </c>
      <c r="Y1164">
        <v>913.08</v>
      </c>
      <c r="Z1164">
        <v>0.26</v>
      </c>
      <c r="AA1164">
        <v>1351.3584000000001</v>
      </c>
    </row>
    <row r="1165" spans="1:27" x14ac:dyDescent="0.3">
      <c r="A1165" t="s">
        <v>2972</v>
      </c>
      <c r="B1165" s="2">
        <v>45691</v>
      </c>
      <c r="C1165" t="s">
        <v>770</v>
      </c>
      <c r="D1165" t="s">
        <v>1693</v>
      </c>
      <c r="E1165" t="s">
        <v>1740</v>
      </c>
      <c r="F1165" s="4">
        <v>1</v>
      </c>
      <c r="G1165">
        <v>791.83</v>
      </c>
      <c r="H1165">
        <v>0.28000000000000003</v>
      </c>
      <c r="I1165" t="s">
        <v>1809</v>
      </c>
      <c r="J1165">
        <v>570.11760000000004</v>
      </c>
      <c r="K1165" t="s">
        <v>771</v>
      </c>
      <c r="L1165">
        <v>56</v>
      </c>
      <c r="M1165" t="str">
        <v>Female</v>
      </c>
      <c r="N1165" t="str">
        <f>VLOOKUP(C:C,Customer_Dim!B:I,5,1)</f>
        <v>New Tina</v>
      </c>
      <c r="O1165" t="str">
        <f>VLOOKUP(C:C,Customer_Dim!B:I,6,1)</f>
        <v>Connecticut</v>
      </c>
      <c r="P1165" t="str">
        <f>VLOOKUP(C:C,Customer_Dim!B:I,7,1)</f>
        <v>USA</v>
      </c>
      <c r="Q1165" t="str">
        <f>VLOOKUP(C:C,Customer_Dim!B:I,8,1)</f>
        <v>Silver</v>
      </c>
      <c r="S1165">
        <v>1</v>
      </c>
      <c r="T1165">
        <v>791.83</v>
      </c>
      <c r="U1165">
        <v>0.28000000000000003</v>
      </c>
      <c r="V1165">
        <v>570.11760000000004</v>
      </c>
      <c r="X1165" s="4">
        <v>1</v>
      </c>
      <c r="Y1165">
        <v>791.83</v>
      </c>
      <c r="Z1165">
        <v>0.28000000000000003</v>
      </c>
      <c r="AA1165">
        <v>570.11760000000004</v>
      </c>
    </row>
    <row r="1166" spans="1:27" x14ac:dyDescent="0.3">
      <c r="A1166" t="s">
        <v>2973</v>
      </c>
      <c r="B1166" s="2">
        <v>45506</v>
      </c>
      <c r="C1166" t="s">
        <v>1436</v>
      </c>
      <c r="D1166" t="s">
        <v>1534</v>
      </c>
      <c r="E1166" t="s">
        <v>1784</v>
      </c>
      <c r="F1166" s="4">
        <v>1</v>
      </c>
      <c r="G1166">
        <v>74.290000000000006</v>
      </c>
      <c r="H1166">
        <v>0.3</v>
      </c>
      <c r="I1166" t="s">
        <v>1812</v>
      </c>
      <c r="J1166">
        <v>52.003</v>
      </c>
      <c r="K1166" t="s">
        <v>1437</v>
      </c>
      <c r="L1166">
        <v>42</v>
      </c>
      <c r="M1166" t="str">
        <v>Male</v>
      </c>
      <c r="N1166" t="str">
        <f>VLOOKUP(C:C,Customer_Dim!B:I,5,1)</f>
        <v>Mcdanielfurt</v>
      </c>
      <c r="O1166" t="str">
        <f>VLOOKUP(C:C,Customer_Dim!B:I,6,1)</f>
        <v>Montana</v>
      </c>
      <c r="P1166" t="str">
        <f>VLOOKUP(C:C,Customer_Dim!B:I,7,1)</f>
        <v>USA</v>
      </c>
      <c r="Q1166" t="str">
        <f>VLOOKUP(C:C,Customer_Dim!B:I,8,1)</f>
        <v>Platinum</v>
      </c>
      <c r="S1166">
        <v>1</v>
      </c>
      <c r="T1166">
        <v>74.290000000000006</v>
      </c>
      <c r="U1166">
        <v>0.3</v>
      </c>
      <c r="V1166">
        <v>52.003</v>
      </c>
      <c r="X1166" s="4">
        <v>1</v>
      </c>
      <c r="Y1166">
        <v>74.290000000000006</v>
      </c>
      <c r="Z1166">
        <v>0.3</v>
      </c>
      <c r="AA1166">
        <v>52.003</v>
      </c>
    </row>
    <row r="1167" spans="1:27" x14ac:dyDescent="0.3">
      <c r="A1167" t="s">
        <v>2974</v>
      </c>
      <c r="B1167" s="2">
        <v>45251</v>
      </c>
      <c r="C1167" t="s">
        <v>773</v>
      </c>
      <c r="D1167" t="s">
        <v>1601</v>
      </c>
      <c r="E1167" t="s">
        <v>1735</v>
      </c>
      <c r="F1167" s="4">
        <v>2</v>
      </c>
      <c r="G1167">
        <v>961.68</v>
      </c>
      <c r="H1167">
        <v>0.27</v>
      </c>
      <c r="I1167" t="s">
        <v>1809</v>
      </c>
      <c r="J1167">
        <v>1404.0527999999999</v>
      </c>
      <c r="K1167" t="s">
        <v>774</v>
      </c>
      <c r="L1167">
        <v>19</v>
      </c>
      <c r="M1167" t="str">
        <v>Male</v>
      </c>
      <c r="N1167" t="str">
        <f>VLOOKUP(C:C,Customer_Dim!B:I,5,1)</f>
        <v>North Nicholas</v>
      </c>
      <c r="O1167" t="str">
        <f>VLOOKUP(C:C,Customer_Dim!B:I,6,1)</f>
        <v>Texas</v>
      </c>
      <c r="P1167" t="str">
        <f>VLOOKUP(C:C,Customer_Dim!B:I,7,1)</f>
        <v>USA</v>
      </c>
      <c r="Q1167" t="str">
        <f>VLOOKUP(C:C,Customer_Dim!B:I,8,1)</f>
        <v>Gold</v>
      </c>
      <c r="S1167">
        <v>2</v>
      </c>
      <c r="T1167">
        <v>961.68</v>
      </c>
      <c r="U1167">
        <v>0.27</v>
      </c>
      <c r="V1167">
        <v>1404.0527999999999</v>
      </c>
      <c r="X1167" s="4">
        <v>2</v>
      </c>
      <c r="Y1167">
        <v>961.68</v>
      </c>
      <c r="Z1167">
        <v>0.27</v>
      </c>
      <c r="AA1167">
        <v>1404.0527999999999</v>
      </c>
    </row>
    <row r="1168" spans="1:27" x14ac:dyDescent="0.3">
      <c r="A1168" t="s">
        <v>2975</v>
      </c>
      <c r="B1168" s="2">
        <v>45722</v>
      </c>
      <c r="C1168" t="s">
        <v>1501</v>
      </c>
      <c r="D1168" t="s">
        <v>1569</v>
      </c>
      <c r="E1168" t="s">
        <v>1782</v>
      </c>
      <c r="F1168" s="4">
        <v>1</v>
      </c>
      <c r="G1168">
        <v>90.72</v>
      </c>
      <c r="H1168">
        <v>0.1</v>
      </c>
      <c r="I1168" t="s">
        <v>1809</v>
      </c>
      <c r="J1168">
        <v>81.647999999999996</v>
      </c>
      <c r="K1168" t="s">
        <v>1502</v>
      </c>
      <c r="L1168">
        <v>23</v>
      </c>
      <c r="M1168" t="str">
        <v>Female</v>
      </c>
      <c r="N1168" t="str">
        <f>VLOOKUP(C:C,Customer_Dim!B:I,5,1)</f>
        <v>Port Cheryl</v>
      </c>
      <c r="O1168" t="str">
        <f>VLOOKUP(C:C,Customer_Dim!B:I,6,1)</f>
        <v>Texas</v>
      </c>
      <c r="P1168" t="str">
        <f>VLOOKUP(C:C,Customer_Dim!B:I,7,1)</f>
        <v>USA</v>
      </c>
      <c r="Q1168" t="str">
        <f>VLOOKUP(C:C,Customer_Dim!B:I,8,1)</f>
        <v>Gold</v>
      </c>
      <c r="S1168">
        <v>1</v>
      </c>
      <c r="T1168">
        <v>90.72</v>
      </c>
      <c r="U1168">
        <v>0.1</v>
      </c>
      <c r="V1168">
        <v>81.647999999999996</v>
      </c>
      <c r="X1168" s="4">
        <v>1</v>
      </c>
      <c r="Y1168">
        <v>90.72</v>
      </c>
      <c r="Z1168">
        <v>0.1</v>
      </c>
      <c r="AA1168">
        <v>81.647999999999996</v>
      </c>
    </row>
    <row r="1169" spans="1:27" x14ac:dyDescent="0.3">
      <c r="A1169" t="s">
        <v>2976</v>
      </c>
      <c r="B1169" s="2">
        <v>45689</v>
      </c>
      <c r="C1169" t="s">
        <v>221</v>
      </c>
      <c r="D1169" t="s">
        <v>1647</v>
      </c>
      <c r="E1169" t="s">
        <v>1762</v>
      </c>
      <c r="F1169" s="4">
        <v>1</v>
      </c>
      <c r="G1169">
        <v>458.69</v>
      </c>
      <c r="H1169">
        <v>0.16</v>
      </c>
      <c r="I1169" t="s">
        <v>1809</v>
      </c>
      <c r="J1169">
        <v>385.2996</v>
      </c>
      <c r="K1169" t="s">
        <v>222</v>
      </c>
      <c r="L1169">
        <v>23</v>
      </c>
      <c r="M1169" t="str">
        <v>Male</v>
      </c>
      <c r="N1169" t="str">
        <f>VLOOKUP(C:C,Customer_Dim!B:I,5,1)</f>
        <v>Schmidtchester</v>
      </c>
      <c r="O1169" t="str">
        <f>VLOOKUP(C:C,Customer_Dim!B:I,6,1)</f>
        <v>Alaska</v>
      </c>
      <c r="P1169" t="str">
        <f>VLOOKUP(C:C,Customer_Dim!B:I,7,1)</f>
        <v>USA</v>
      </c>
      <c r="Q1169" t="str">
        <f>VLOOKUP(C:C,Customer_Dim!B:I,8,1)</f>
        <v>Silver</v>
      </c>
      <c r="S1169">
        <v>1</v>
      </c>
      <c r="T1169">
        <v>458.69</v>
      </c>
      <c r="U1169">
        <v>0.16</v>
      </c>
      <c r="V1169">
        <v>385.2996</v>
      </c>
      <c r="X1169" s="4">
        <v>1</v>
      </c>
      <c r="Y1169">
        <v>458.69</v>
      </c>
      <c r="Z1169">
        <v>0.16</v>
      </c>
      <c r="AA1169">
        <v>385.2996</v>
      </c>
    </row>
    <row r="1170" spans="1:27" x14ac:dyDescent="0.3">
      <c r="A1170" t="s">
        <v>2977</v>
      </c>
      <c r="B1170" s="2">
        <v>45346</v>
      </c>
      <c r="C1170" t="s">
        <v>737</v>
      </c>
      <c r="D1170" t="s">
        <v>1599</v>
      </c>
      <c r="E1170" t="s">
        <v>1762</v>
      </c>
      <c r="F1170" s="4">
        <v>1</v>
      </c>
      <c r="G1170">
        <v>168.29</v>
      </c>
      <c r="H1170">
        <v>0.05</v>
      </c>
      <c r="I1170" t="s">
        <v>1809</v>
      </c>
      <c r="J1170">
        <v>159.87549999999999</v>
      </c>
      <c r="K1170" t="s">
        <v>738</v>
      </c>
      <c r="L1170">
        <v>27</v>
      </c>
      <c r="M1170" t="str">
        <v>Female</v>
      </c>
      <c r="N1170" t="str">
        <f>VLOOKUP(C:C,Customer_Dim!B:I,5,1)</f>
        <v>Grahamstad</v>
      </c>
      <c r="O1170" t="str">
        <f>VLOOKUP(C:C,Customer_Dim!B:I,6,1)</f>
        <v>South Carolina</v>
      </c>
      <c r="P1170" t="str">
        <f>VLOOKUP(C:C,Customer_Dim!B:I,7,1)</f>
        <v>USA</v>
      </c>
      <c r="Q1170" t="str">
        <f>VLOOKUP(C:C,Customer_Dim!B:I,8,1)</f>
        <v>Bronze</v>
      </c>
      <c r="S1170">
        <v>1</v>
      </c>
      <c r="T1170">
        <v>168.29</v>
      </c>
      <c r="U1170">
        <v>0.05</v>
      </c>
      <c r="V1170">
        <v>159.87549999999999</v>
      </c>
      <c r="X1170" s="4">
        <v>1</v>
      </c>
      <c r="Y1170">
        <v>168.29</v>
      </c>
      <c r="Z1170">
        <v>0.05</v>
      </c>
      <c r="AA1170">
        <v>159.87549999999999</v>
      </c>
    </row>
    <row r="1171" spans="1:27" x14ac:dyDescent="0.3">
      <c r="A1171" t="s">
        <v>2978</v>
      </c>
      <c r="B1171" s="2">
        <v>45549</v>
      </c>
      <c r="C1171" t="s">
        <v>681</v>
      </c>
      <c r="D1171" t="s">
        <v>1565</v>
      </c>
      <c r="E1171" t="s">
        <v>1790</v>
      </c>
      <c r="F1171" s="4">
        <v>1</v>
      </c>
      <c r="G1171">
        <v>391.77</v>
      </c>
      <c r="H1171">
        <v>0.1</v>
      </c>
      <c r="I1171" t="s">
        <v>1809</v>
      </c>
      <c r="J1171">
        <v>352.59300000000002</v>
      </c>
      <c r="K1171" t="s">
        <v>682</v>
      </c>
      <c r="L1171">
        <v>63</v>
      </c>
      <c r="M1171" t="str">
        <v>Female</v>
      </c>
      <c r="N1171" t="str">
        <f>VLOOKUP(C:C,Customer_Dim!B:I,5,1)</f>
        <v>Garzafort</v>
      </c>
      <c r="O1171" t="str">
        <f>VLOOKUP(C:C,Customer_Dim!B:I,6,1)</f>
        <v>Delaware</v>
      </c>
      <c r="P1171" t="str">
        <f>VLOOKUP(C:C,Customer_Dim!B:I,7,1)</f>
        <v>USA</v>
      </c>
      <c r="Q1171" t="str">
        <f>VLOOKUP(C:C,Customer_Dim!B:I,8,1)</f>
        <v>Silver</v>
      </c>
      <c r="S1171">
        <v>1</v>
      </c>
      <c r="T1171">
        <v>391.77</v>
      </c>
      <c r="U1171">
        <v>0.1</v>
      </c>
      <c r="V1171">
        <v>352.59300000000002</v>
      </c>
      <c r="X1171" s="4">
        <v>1</v>
      </c>
      <c r="Y1171">
        <v>391.77</v>
      </c>
      <c r="Z1171">
        <v>0.1</v>
      </c>
      <c r="AA1171">
        <v>352.59300000000002</v>
      </c>
    </row>
    <row r="1172" spans="1:27" x14ac:dyDescent="0.3">
      <c r="A1172" t="s">
        <v>2979</v>
      </c>
      <c r="B1172" s="2">
        <v>45900</v>
      </c>
      <c r="C1172" t="s">
        <v>1066</v>
      </c>
      <c r="D1172" t="s">
        <v>1555</v>
      </c>
      <c r="E1172" t="s">
        <v>1782</v>
      </c>
      <c r="F1172" s="4">
        <v>1</v>
      </c>
      <c r="G1172">
        <v>424.83</v>
      </c>
      <c r="H1172">
        <v>0.05</v>
      </c>
      <c r="I1172" t="s">
        <v>1812</v>
      </c>
      <c r="J1172">
        <v>403.58850000000001</v>
      </c>
      <c r="K1172" t="s">
        <v>1067</v>
      </c>
      <c r="L1172">
        <v>39</v>
      </c>
      <c r="M1172" t="str">
        <v>Male</v>
      </c>
      <c r="N1172" t="str">
        <f>VLOOKUP(C:C,Customer_Dim!B:I,5,1)</f>
        <v>Cartershire</v>
      </c>
      <c r="O1172" t="str">
        <f>VLOOKUP(C:C,Customer_Dim!B:I,6,1)</f>
        <v>Virginia</v>
      </c>
      <c r="P1172" t="str">
        <f>VLOOKUP(C:C,Customer_Dim!B:I,7,1)</f>
        <v>USA</v>
      </c>
      <c r="Q1172" t="str">
        <f>VLOOKUP(C:C,Customer_Dim!B:I,8,1)</f>
        <v>Bronze</v>
      </c>
      <c r="S1172">
        <v>1</v>
      </c>
      <c r="T1172">
        <v>424.83</v>
      </c>
      <c r="U1172">
        <v>0.05</v>
      </c>
      <c r="V1172">
        <v>403.58850000000001</v>
      </c>
      <c r="X1172" s="4">
        <v>1</v>
      </c>
      <c r="Y1172">
        <v>424.83</v>
      </c>
      <c r="Z1172">
        <v>0.05</v>
      </c>
      <c r="AA1172">
        <v>403.58850000000001</v>
      </c>
    </row>
    <row r="1173" spans="1:27" x14ac:dyDescent="0.3">
      <c r="A1173" t="s">
        <v>2980</v>
      </c>
      <c r="B1173" s="2">
        <v>45308</v>
      </c>
      <c r="C1173" t="s">
        <v>199</v>
      </c>
      <c r="D1173" t="s">
        <v>1553</v>
      </c>
      <c r="E1173" t="s">
        <v>1749</v>
      </c>
      <c r="F1173" s="4">
        <v>1</v>
      </c>
      <c r="G1173">
        <v>499.46</v>
      </c>
      <c r="H1173">
        <v>0.1</v>
      </c>
      <c r="I1173" t="s">
        <v>1807</v>
      </c>
      <c r="J1173">
        <v>449.51400000000001</v>
      </c>
      <c r="K1173" t="s">
        <v>200</v>
      </c>
      <c r="L1173">
        <v>24</v>
      </c>
      <c r="M1173" t="str">
        <v>Male</v>
      </c>
      <c r="N1173" t="str">
        <f>VLOOKUP(C:C,Customer_Dim!B:I,5,1)</f>
        <v>East Andrea</v>
      </c>
      <c r="O1173" t="str">
        <f>VLOOKUP(C:C,Customer_Dim!B:I,6,1)</f>
        <v>Michigan</v>
      </c>
      <c r="P1173" t="str">
        <f>VLOOKUP(C:C,Customer_Dim!B:I,7,1)</f>
        <v>USA</v>
      </c>
      <c r="Q1173" t="str">
        <f>VLOOKUP(C:C,Customer_Dim!B:I,8,1)</f>
        <v>Gold</v>
      </c>
      <c r="S1173">
        <v>1</v>
      </c>
      <c r="T1173">
        <v>499.46</v>
      </c>
      <c r="U1173">
        <v>0.1</v>
      </c>
      <c r="V1173">
        <v>449.51400000000001</v>
      </c>
      <c r="X1173" s="4">
        <v>1</v>
      </c>
      <c r="Y1173">
        <v>499.46</v>
      </c>
      <c r="Z1173">
        <v>0.1</v>
      </c>
      <c r="AA1173">
        <v>449.51400000000001</v>
      </c>
    </row>
    <row r="1174" spans="1:27" x14ac:dyDescent="0.3">
      <c r="A1174" t="s">
        <v>2981</v>
      </c>
      <c r="B1174" s="2">
        <v>45336</v>
      </c>
      <c r="C1174" t="s">
        <v>85</v>
      </c>
      <c r="D1174" t="s">
        <v>1729</v>
      </c>
      <c r="E1174" t="s">
        <v>1740</v>
      </c>
      <c r="F1174" s="4">
        <v>2</v>
      </c>
      <c r="G1174">
        <v>698.34</v>
      </c>
      <c r="H1174">
        <v>0.15</v>
      </c>
      <c r="I1174" t="s">
        <v>1809</v>
      </c>
      <c r="J1174">
        <v>1187.1780000000001</v>
      </c>
      <c r="K1174" t="s">
        <v>86</v>
      </c>
      <c r="L1174">
        <v>59</v>
      </c>
      <c r="M1174" t="str">
        <v>Male</v>
      </c>
      <c r="N1174" t="str">
        <f>VLOOKUP(C:C,Customer_Dim!B:I,5,1)</f>
        <v>Gonzalezfort</v>
      </c>
      <c r="O1174" t="str">
        <f>VLOOKUP(C:C,Customer_Dim!B:I,6,1)</f>
        <v>New Jersey</v>
      </c>
      <c r="P1174" t="str">
        <f>VLOOKUP(C:C,Customer_Dim!B:I,7,1)</f>
        <v>USA</v>
      </c>
      <c r="Q1174" t="str">
        <f>VLOOKUP(C:C,Customer_Dim!B:I,8,1)</f>
        <v>Platinum</v>
      </c>
      <c r="S1174">
        <v>2</v>
      </c>
      <c r="T1174">
        <v>698.34</v>
      </c>
      <c r="U1174">
        <v>0.15</v>
      </c>
      <c r="V1174">
        <v>1187.1780000000001</v>
      </c>
      <c r="X1174" s="4">
        <v>2</v>
      </c>
      <c r="Y1174">
        <v>698.34</v>
      </c>
      <c r="Z1174">
        <v>0.15</v>
      </c>
      <c r="AA1174">
        <v>1187.1780000000001</v>
      </c>
    </row>
    <row r="1175" spans="1:27" x14ac:dyDescent="0.3">
      <c r="A1175" t="s">
        <v>2982</v>
      </c>
      <c r="B1175" s="2">
        <v>45213</v>
      </c>
      <c r="C1175" t="s">
        <v>891</v>
      </c>
      <c r="D1175" t="s">
        <v>1643</v>
      </c>
      <c r="E1175" t="s">
        <v>1787</v>
      </c>
      <c r="F1175" s="4">
        <v>2</v>
      </c>
      <c r="G1175">
        <v>805.08</v>
      </c>
      <c r="H1175">
        <v>0.27</v>
      </c>
      <c r="I1175" t="s">
        <v>1809</v>
      </c>
      <c r="J1175">
        <v>1175.4168</v>
      </c>
      <c r="K1175" t="s">
        <v>892</v>
      </c>
      <c r="L1175">
        <v>54</v>
      </c>
      <c r="M1175" t="str">
        <v>Male</v>
      </c>
      <c r="N1175" t="str">
        <f>VLOOKUP(C:C,Customer_Dim!B:I,5,1)</f>
        <v>Garciaborough</v>
      </c>
      <c r="O1175" t="str">
        <f>VLOOKUP(C:C,Customer_Dim!B:I,6,1)</f>
        <v>Wyoming</v>
      </c>
      <c r="P1175" t="str">
        <f>VLOOKUP(C:C,Customer_Dim!B:I,7,1)</f>
        <v>USA</v>
      </c>
      <c r="Q1175" t="str">
        <f>VLOOKUP(C:C,Customer_Dim!B:I,8,1)</f>
        <v>Silver</v>
      </c>
      <c r="S1175">
        <v>2</v>
      </c>
      <c r="T1175">
        <v>805.08</v>
      </c>
      <c r="U1175">
        <v>0.27</v>
      </c>
      <c r="V1175">
        <v>1175.4168</v>
      </c>
      <c r="X1175" s="4">
        <v>2</v>
      </c>
      <c r="Y1175">
        <v>805.08</v>
      </c>
      <c r="Z1175">
        <v>0.27</v>
      </c>
      <c r="AA1175">
        <v>1175.4168</v>
      </c>
    </row>
    <row r="1176" spans="1:27" x14ac:dyDescent="0.3">
      <c r="A1176" t="s">
        <v>2983</v>
      </c>
      <c r="B1176" s="2">
        <v>45742</v>
      </c>
      <c r="C1176" t="s">
        <v>1421</v>
      </c>
      <c r="D1176" t="s">
        <v>1683</v>
      </c>
      <c r="E1176" t="s">
        <v>1744</v>
      </c>
      <c r="F1176" s="4">
        <v>4</v>
      </c>
      <c r="G1176">
        <v>934.79</v>
      </c>
      <c r="H1176">
        <v>0.08</v>
      </c>
      <c r="I1176" t="s">
        <v>1809</v>
      </c>
      <c r="J1176">
        <v>3440.0272</v>
      </c>
      <c r="K1176" t="s">
        <v>1422</v>
      </c>
      <c r="L1176">
        <v>63</v>
      </c>
      <c r="M1176" t="str">
        <v>Female</v>
      </c>
      <c r="N1176" t="str">
        <f>VLOOKUP(C:C,Customer_Dim!B:I,5,1)</f>
        <v>Espinozaberg</v>
      </c>
      <c r="O1176" t="str">
        <f>VLOOKUP(C:C,Customer_Dim!B:I,6,1)</f>
        <v>Minnesota</v>
      </c>
      <c r="P1176" t="str">
        <f>VLOOKUP(C:C,Customer_Dim!B:I,7,1)</f>
        <v>USA</v>
      </c>
      <c r="Q1176" t="str">
        <f>VLOOKUP(C:C,Customer_Dim!B:I,8,1)</f>
        <v>Silver</v>
      </c>
      <c r="S1176">
        <v>4</v>
      </c>
      <c r="T1176">
        <v>934.79</v>
      </c>
      <c r="U1176">
        <v>0.08</v>
      </c>
      <c r="V1176">
        <v>3440.0272</v>
      </c>
      <c r="X1176" s="4">
        <v>4</v>
      </c>
      <c r="Y1176">
        <v>934.79</v>
      </c>
      <c r="Z1176">
        <v>0.08</v>
      </c>
      <c r="AA1176">
        <v>3440.0272</v>
      </c>
    </row>
    <row r="1177" spans="1:27" x14ac:dyDescent="0.3">
      <c r="A1177" t="s">
        <v>2984</v>
      </c>
      <c r="B1177" s="2">
        <v>45932</v>
      </c>
      <c r="C1177" t="s">
        <v>85</v>
      </c>
      <c r="D1177" t="s">
        <v>1651</v>
      </c>
      <c r="E1177" t="s">
        <v>1740</v>
      </c>
      <c r="F1177" s="4">
        <v>2</v>
      </c>
      <c r="G1177">
        <v>424.54</v>
      </c>
      <c r="H1177">
        <v>0.24</v>
      </c>
      <c r="I1177" t="s">
        <v>1809</v>
      </c>
      <c r="J1177">
        <v>645.30080000000009</v>
      </c>
      <c r="K1177" t="s">
        <v>86</v>
      </c>
      <c r="L1177">
        <v>59</v>
      </c>
      <c r="M1177" t="str">
        <v>Male</v>
      </c>
      <c r="N1177" t="str">
        <f>VLOOKUP(C:C,Customer_Dim!B:I,5,1)</f>
        <v>Gonzalezfort</v>
      </c>
      <c r="O1177" t="str">
        <f>VLOOKUP(C:C,Customer_Dim!B:I,6,1)</f>
        <v>New Jersey</v>
      </c>
      <c r="P1177" t="str">
        <f>VLOOKUP(C:C,Customer_Dim!B:I,7,1)</f>
        <v>USA</v>
      </c>
      <c r="Q1177" t="str">
        <f>VLOOKUP(C:C,Customer_Dim!B:I,8,1)</f>
        <v>Platinum</v>
      </c>
      <c r="S1177">
        <v>2</v>
      </c>
      <c r="T1177">
        <v>424.54</v>
      </c>
      <c r="U1177">
        <v>0.24</v>
      </c>
      <c r="V1177">
        <v>645.30080000000009</v>
      </c>
      <c r="X1177" s="4">
        <v>2</v>
      </c>
      <c r="Y1177">
        <v>424.54</v>
      </c>
      <c r="Z1177">
        <v>0.24</v>
      </c>
      <c r="AA1177">
        <v>645.30080000000009</v>
      </c>
    </row>
    <row r="1178" spans="1:27" x14ac:dyDescent="0.3">
      <c r="A1178" t="s">
        <v>2985</v>
      </c>
      <c r="B1178" s="2">
        <v>45462</v>
      </c>
      <c r="C1178" t="s">
        <v>1018</v>
      </c>
      <c r="D1178" t="s">
        <v>1699</v>
      </c>
      <c r="E1178" t="s">
        <v>1790</v>
      </c>
      <c r="F1178" s="4">
        <v>1</v>
      </c>
      <c r="G1178">
        <v>235.44</v>
      </c>
      <c r="H1178">
        <v>0.19</v>
      </c>
      <c r="I1178" t="s">
        <v>1812</v>
      </c>
      <c r="J1178">
        <v>190.7064</v>
      </c>
      <c r="K1178" t="s">
        <v>1019</v>
      </c>
      <c r="L1178">
        <v>46</v>
      </c>
      <c r="M1178" t="str">
        <v>Male</v>
      </c>
      <c r="N1178" t="str">
        <f>VLOOKUP(C:C,Customer_Dim!B:I,5,1)</f>
        <v>Kellybury</v>
      </c>
      <c r="O1178" t="str">
        <f>VLOOKUP(C:C,Customer_Dim!B:I,6,1)</f>
        <v>New York</v>
      </c>
      <c r="P1178" t="str">
        <f>VLOOKUP(C:C,Customer_Dim!B:I,7,1)</f>
        <v>USA</v>
      </c>
      <c r="Q1178" t="str">
        <f>VLOOKUP(C:C,Customer_Dim!B:I,8,1)</f>
        <v>Bronze</v>
      </c>
      <c r="S1178">
        <v>1</v>
      </c>
      <c r="T1178">
        <v>235.44</v>
      </c>
      <c r="U1178">
        <v>0.19</v>
      </c>
      <c r="V1178">
        <v>190.7064</v>
      </c>
      <c r="X1178" s="4">
        <v>1</v>
      </c>
      <c r="Y1178">
        <v>235.44</v>
      </c>
      <c r="Z1178">
        <v>0.19</v>
      </c>
      <c r="AA1178">
        <v>190.7064</v>
      </c>
    </row>
    <row r="1179" spans="1:27" x14ac:dyDescent="0.3">
      <c r="A1179" t="s">
        <v>2986</v>
      </c>
      <c r="B1179" s="2">
        <v>45568</v>
      </c>
      <c r="C1179" t="s">
        <v>856</v>
      </c>
      <c r="D1179" t="s">
        <v>1629</v>
      </c>
      <c r="E1179" t="s">
        <v>1780</v>
      </c>
      <c r="F1179" s="4">
        <v>2</v>
      </c>
      <c r="G1179">
        <v>620.71</v>
      </c>
      <c r="H1179">
        <v>0.27</v>
      </c>
      <c r="I1179" t="s">
        <v>1807</v>
      </c>
      <c r="J1179">
        <v>906.23660000000007</v>
      </c>
      <c r="K1179" t="s">
        <v>3942</v>
      </c>
      <c r="L1179">
        <v>48</v>
      </c>
      <c r="M1179" t="str">
        <v>Female</v>
      </c>
      <c r="N1179" t="str">
        <f>VLOOKUP(C:C,Customer_Dim!B:I,5,1)</f>
        <v>North Stephanie</v>
      </c>
      <c r="O1179" t="str">
        <f>VLOOKUP(C:C,Customer_Dim!B:I,6,1)</f>
        <v>Nebraska</v>
      </c>
      <c r="P1179" t="str">
        <f>VLOOKUP(C:C,Customer_Dim!B:I,7,1)</f>
        <v>USA</v>
      </c>
      <c r="Q1179" t="str">
        <f>VLOOKUP(C:C,Customer_Dim!B:I,8,1)</f>
        <v>Platinum</v>
      </c>
      <c r="S1179">
        <v>2</v>
      </c>
      <c r="T1179">
        <v>620.71</v>
      </c>
      <c r="U1179">
        <v>0.27</v>
      </c>
      <c r="V1179">
        <v>906.23660000000007</v>
      </c>
      <c r="X1179" s="4">
        <v>2</v>
      </c>
      <c r="Y1179">
        <v>620.71</v>
      </c>
      <c r="Z1179">
        <v>0.27</v>
      </c>
      <c r="AA1179">
        <v>906.23660000000007</v>
      </c>
    </row>
    <row r="1180" spans="1:27" x14ac:dyDescent="0.3">
      <c r="A1180" t="s">
        <v>2987</v>
      </c>
      <c r="B1180" s="2">
        <v>45397</v>
      </c>
      <c r="C1180" t="s">
        <v>397</v>
      </c>
      <c r="D1180" t="s">
        <v>1563</v>
      </c>
      <c r="E1180" t="s">
        <v>1775</v>
      </c>
      <c r="F1180" s="4">
        <v>2</v>
      </c>
      <c r="G1180">
        <v>851.77</v>
      </c>
      <c r="H1180">
        <v>0.13</v>
      </c>
      <c r="I1180" t="s">
        <v>1809</v>
      </c>
      <c r="J1180">
        <v>1482.0798</v>
      </c>
      <c r="K1180" t="s">
        <v>398</v>
      </c>
      <c r="L1180">
        <v>18</v>
      </c>
      <c r="M1180" t="str">
        <v>Female</v>
      </c>
      <c r="N1180" t="str">
        <f>VLOOKUP(C:C,Customer_Dim!B:I,5,1)</f>
        <v>North Curtischester</v>
      </c>
      <c r="O1180" t="str">
        <f>VLOOKUP(C:C,Customer_Dim!B:I,6,1)</f>
        <v>North Dakota</v>
      </c>
      <c r="P1180" t="str">
        <f>VLOOKUP(C:C,Customer_Dim!B:I,7,1)</f>
        <v>USA</v>
      </c>
      <c r="Q1180" t="str">
        <f>VLOOKUP(C:C,Customer_Dim!B:I,8,1)</f>
        <v>Platinum</v>
      </c>
      <c r="S1180">
        <v>2</v>
      </c>
      <c r="T1180">
        <v>851.77</v>
      </c>
      <c r="U1180">
        <v>0.13</v>
      </c>
      <c r="V1180">
        <v>1482.0798</v>
      </c>
      <c r="X1180" s="4">
        <v>2</v>
      </c>
      <c r="Y1180">
        <v>851.77</v>
      </c>
      <c r="Z1180">
        <v>0.13</v>
      </c>
      <c r="AA1180">
        <v>1482.0798</v>
      </c>
    </row>
    <row r="1181" spans="1:27" x14ac:dyDescent="0.3">
      <c r="A1181" t="s">
        <v>2988</v>
      </c>
      <c r="B1181" s="2">
        <v>45569</v>
      </c>
      <c r="C1181" t="s">
        <v>554</v>
      </c>
      <c r="D1181" t="s">
        <v>1621</v>
      </c>
      <c r="E1181" t="s">
        <v>1740</v>
      </c>
      <c r="F1181" s="4">
        <v>3</v>
      </c>
      <c r="G1181">
        <v>876.01</v>
      </c>
      <c r="H1181">
        <v>0.2</v>
      </c>
      <c r="I1181" t="s">
        <v>1807</v>
      </c>
      <c r="J1181">
        <v>2102.424</v>
      </c>
      <c r="K1181" t="s">
        <v>555</v>
      </c>
      <c r="L1181">
        <v>64</v>
      </c>
      <c r="M1181" t="str">
        <v>Male</v>
      </c>
      <c r="N1181" t="str">
        <f>VLOOKUP(C:C,Customer_Dim!B:I,5,1)</f>
        <v>Robertview</v>
      </c>
      <c r="O1181" t="str">
        <f>VLOOKUP(C:C,Customer_Dim!B:I,6,1)</f>
        <v>Florida</v>
      </c>
      <c r="P1181" t="str">
        <f>VLOOKUP(C:C,Customer_Dim!B:I,7,1)</f>
        <v>USA</v>
      </c>
      <c r="Q1181" t="str">
        <f>VLOOKUP(C:C,Customer_Dim!B:I,8,1)</f>
        <v>Platinum</v>
      </c>
      <c r="S1181">
        <v>3</v>
      </c>
      <c r="T1181">
        <v>876.01</v>
      </c>
      <c r="U1181">
        <v>0.2</v>
      </c>
      <c r="V1181">
        <v>2102.424</v>
      </c>
      <c r="X1181" s="4">
        <v>3</v>
      </c>
      <c r="Y1181">
        <v>876.01</v>
      </c>
      <c r="Z1181">
        <v>0.2</v>
      </c>
      <c r="AA1181">
        <v>2102.424</v>
      </c>
    </row>
    <row r="1182" spans="1:27" x14ac:dyDescent="0.3">
      <c r="A1182" t="s">
        <v>2989</v>
      </c>
      <c r="B1182" s="2">
        <v>45353</v>
      </c>
      <c r="C1182" t="s">
        <v>870</v>
      </c>
      <c r="D1182" t="s">
        <v>1585</v>
      </c>
      <c r="E1182" t="s">
        <v>1769</v>
      </c>
      <c r="F1182" s="4">
        <v>2</v>
      </c>
      <c r="G1182">
        <v>717.21</v>
      </c>
      <c r="H1182">
        <v>0.15</v>
      </c>
      <c r="I1182" t="s">
        <v>1812</v>
      </c>
      <c r="J1182">
        <v>1219.2570000000001</v>
      </c>
      <c r="K1182" t="s">
        <v>871</v>
      </c>
      <c r="L1182">
        <v>22</v>
      </c>
      <c r="M1182" t="str">
        <v>Female</v>
      </c>
      <c r="N1182" t="str">
        <f>VLOOKUP(C:C,Customer_Dim!B:I,5,1)</f>
        <v>Ericshire</v>
      </c>
      <c r="O1182" t="str">
        <f>VLOOKUP(C:C,Customer_Dim!B:I,6,1)</f>
        <v>Nevada</v>
      </c>
      <c r="P1182" t="str">
        <f>VLOOKUP(C:C,Customer_Dim!B:I,7,1)</f>
        <v>USA</v>
      </c>
      <c r="Q1182" t="str">
        <f>VLOOKUP(C:C,Customer_Dim!B:I,8,1)</f>
        <v>Gold</v>
      </c>
      <c r="S1182">
        <v>2</v>
      </c>
      <c r="T1182">
        <v>717.21</v>
      </c>
      <c r="U1182">
        <v>0.15</v>
      </c>
      <c r="V1182">
        <v>1219.2570000000001</v>
      </c>
      <c r="X1182" s="4">
        <v>2</v>
      </c>
      <c r="Y1182">
        <v>717.21</v>
      </c>
      <c r="Z1182">
        <v>0.15</v>
      </c>
      <c r="AA1182">
        <v>1219.2570000000001</v>
      </c>
    </row>
    <row r="1183" spans="1:27" x14ac:dyDescent="0.3">
      <c r="A1183" t="s">
        <v>2990</v>
      </c>
      <c r="B1183" s="2">
        <v>45343</v>
      </c>
      <c r="C1183" t="s">
        <v>208</v>
      </c>
      <c r="D1183" t="s">
        <v>1613</v>
      </c>
      <c r="E1183" t="s">
        <v>1765</v>
      </c>
      <c r="F1183" s="4">
        <v>2</v>
      </c>
      <c r="G1183">
        <v>871.43</v>
      </c>
      <c r="H1183">
        <v>0.05</v>
      </c>
      <c r="I1183" t="s">
        <v>1807</v>
      </c>
      <c r="J1183">
        <v>1655.7170000000001</v>
      </c>
      <c r="K1183" t="s">
        <v>209</v>
      </c>
      <c r="L1183">
        <v>43</v>
      </c>
      <c r="M1183" t="str">
        <v>Female</v>
      </c>
      <c r="N1183" t="str">
        <f>VLOOKUP(C:C,Customer_Dim!B:I,5,1)</f>
        <v>Deborahberg</v>
      </c>
      <c r="O1183" t="str">
        <f>VLOOKUP(C:C,Customer_Dim!B:I,6,1)</f>
        <v>Pennsylvania</v>
      </c>
      <c r="P1183" t="str">
        <f>VLOOKUP(C:C,Customer_Dim!B:I,7,1)</f>
        <v>USA</v>
      </c>
      <c r="Q1183" t="str">
        <f>VLOOKUP(C:C,Customer_Dim!B:I,8,1)</f>
        <v>Gold</v>
      </c>
      <c r="S1183">
        <v>2</v>
      </c>
      <c r="T1183">
        <v>871.43</v>
      </c>
      <c r="U1183">
        <v>0.05</v>
      </c>
      <c r="V1183">
        <v>1655.7170000000001</v>
      </c>
      <c r="X1183" s="4">
        <v>2</v>
      </c>
      <c r="Y1183">
        <v>871.43</v>
      </c>
      <c r="Z1183">
        <v>0.05</v>
      </c>
      <c r="AA1183">
        <v>1655.7170000000001</v>
      </c>
    </row>
    <row r="1184" spans="1:27" x14ac:dyDescent="0.3">
      <c r="A1184" t="s">
        <v>2991</v>
      </c>
      <c r="B1184" s="2">
        <v>45321</v>
      </c>
      <c r="C1184" t="s">
        <v>1384</v>
      </c>
      <c r="D1184" t="s">
        <v>1603</v>
      </c>
      <c r="E1184" t="s">
        <v>1762</v>
      </c>
      <c r="F1184" s="4">
        <v>1</v>
      </c>
      <c r="G1184">
        <v>514.65</v>
      </c>
      <c r="H1184">
        <v>0.18</v>
      </c>
      <c r="I1184" t="s">
        <v>1807</v>
      </c>
      <c r="J1184">
        <v>422.01299999999998</v>
      </c>
      <c r="K1184" t="s">
        <v>1385</v>
      </c>
      <c r="L1184">
        <v>60</v>
      </c>
      <c r="M1184" t="str">
        <v>Male</v>
      </c>
      <c r="N1184" t="str">
        <f>VLOOKUP(C:C,Customer_Dim!B:I,5,1)</f>
        <v>Lake Carolyn</v>
      </c>
      <c r="O1184" t="str">
        <f>VLOOKUP(C:C,Customer_Dim!B:I,6,1)</f>
        <v>Hawaii</v>
      </c>
      <c r="P1184" t="str">
        <f>VLOOKUP(C:C,Customer_Dim!B:I,7,1)</f>
        <v>USA</v>
      </c>
      <c r="Q1184" t="str">
        <f>VLOOKUP(C:C,Customer_Dim!B:I,8,1)</f>
        <v>Platinum</v>
      </c>
      <c r="S1184">
        <v>1</v>
      </c>
      <c r="T1184">
        <v>514.65</v>
      </c>
      <c r="U1184">
        <v>0.18</v>
      </c>
      <c r="V1184">
        <v>422.01299999999998</v>
      </c>
      <c r="X1184" s="4">
        <v>1</v>
      </c>
      <c r="Y1184">
        <v>514.65</v>
      </c>
      <c r="Z1184">
        <v>0.18</v>
      </c>
      <c r="AA1184">
        <v>422.01299999999998</v>
      </c>
    </row>
    <row r="1185" spans="1:27" x14ac:dyDescent="0.3">
      <c r="A1185" t="s">
        <v>2992</v>
      </c>
      <c r="B1185" s="2">
        <v>45650</v>
      </c>
      <c r="C1185" t="s">
        <v>1401</v>
      </c>
      <c r="D1185" t="s">
        <v>1655</v>
      </c>
      <c r="E1185" t="s">
        <v>1787</v>
      </c>
      <c r="F1185" s="4">
        <v>3</v>
      </c>
      <c r="G1185">
        <v>198.76</v>
      </c>
      <c r="H1185">
        <v>0.28000000000000003</v>
      </c>
      <c r="I1185" t="s">
        <v>1812</v>
      </c>
      <c r="J1185">
        <v>429.32159999999999</v>
      </c>
      <c r="K1185" t="s">
        <v>673</v>
      </c>
      <c r="L1185">
        <v>35</v>
      </c>
      <c r="M1185" t="str">
        <v>Male</v>
      </c>
      <c r="N1185" t="str">
        <f>VLOOKUP(C:C,Customer_Dim!B:I,5,1)</f>
        <v>Brandontown</v>
      </c>
      <c r="O1185" t="str">
        <f>VLOOKUP(C:C,Customer_Dim!B:I,6,1)</f>
        <v>South Carolina</v>
      </c>
      <c r="P1185" t="str">
        <f>VLOOKUP(C:C,Customer_Dim!B:I,7,1)</f>
        <v>USA</v>
      </c>
      <c r="Q1185" t="str">
        <f>VLOOKUP(C:C,Customer_Dim!B:I,8,1)</f>
        <v>Gold</v>
      </c>
      <c r="S1185">
        <v>3</v>
      </c>
      <c r="T1185">
        <v>198.76</v>
      </c>
      <c r="U1185">
        <v>0.28000000000000003</v>
      </c>
      <c r="V1185">
        <v>429.32159999999999</v>
      </c>
      <c r="X1185" s="4">
        <v>3</v>
      </c>
      <c r="Y1185">
        <v>198.76</v>
      </c>
      <c r="Z1185">
        <v>0.28000000000000003</v>
      </c>
      <c r="AA1185">
        <v>429.32159999999999</v>
      </c>
    </row>
    <row r="1186" spans="1:27" x14ac:dyDescent="0.3">
      <c r="A1186" t="s">
        <v>2993</v>
      </c>
      <c r="B1186" s="2">
        <v>45811</v>
      </c>
      <c r="C1186" t="s">
        <v>721</v>
      </c>
      <c r="D1186" t="s">
        <v>1657</v>
      </c>
      <c r="E1186" t="s">
        <v>1749</v>
      </c>
      <c r="F1186" s="4">
        <v>2</v>
      </c>
      <c r="G1186">
        <v>975.72</v>
      </c>
      <c r="H1186">
        <v>0.16</v>
      </c>
      <c r="I1186" t="s">
        <v>1812</v>
      </c>
      <c r="J1186">
        <v>1639.2095999999999</v>
      </c>
      <c r="K1186" t="s">
        <v>722</v>
      </c>
      <c r="L1186">
        <v>54</v>
      </c>
      <c r="M1186" t="str">
        <v>Male</v>
      </c>
      <c r="N1186" t="str">
        <f>VLOOKUP(C:C,Customer_Dim!B:I,5,1)</f>
        <v>Bethanyton</v>
      </c>
      <c r="O1186" t="str">
        <f>VLOOKUP(C:C,Customer_Dim!B:I,6,1)</f>
        <v>Utah</v>
      </c>
      <c r="P1186" t="str">
        <f>VLOOKUP(C:C,Customer_Dim!B:I,7,1)</f>
        <v>USA</v>
      </c>
      <c r="Q1186" t="str">
        <f>VLOOKUP(C:C,Customer_Dim!B:I,8,1)</f>
        <v>Platinum</v>
      </c>
      <c r="S1186">
        <v>2</v>
      </c>
      <c r="T1186">
        <v>975.72</v>
      </c>
      <c r="U1186">
        <v>0.16</v>
      </c>
      <c r="V1186">
        <v>1639.2095999999999</v>
      </c>
      <c r="X1186" s="4">
        <v>2</v>
      </c>
      <c r="Y1186">
        <v>975.72</v>
      </c>
      <c r="Z1186">
        <v>0.16</v>
      </c>
      <c r="AA1186">
        <v>1639.2095999999999</v>
      </c>
    </row>
    <row r="1187" spans="1:27" x14ac:dyDescent="0.3">
      <c r="A1187" t="s">
        <v>2994</v>
      </c>
      <c r="B1187" s="2">
        <v>45505</v>
      </c>
      <c r="C1187" t="s">
        <v>1290</v>
      </c>
      <c r="D1187" t="s">
        <v>1561</v>
      </c>
      <c r="E1187" t="s">
        <v>1740</v>
      </c>
      <c r="F1187" s="4">
        <v>1</v>
      </c>
      <c r="G1187">
        <v>86.03</v>
      </c>
      <c r="H1187">
        <v>0.01</v>
      </c>
      <c r="I1187" t="s">
        <v>1807</v>
      </c>
      <c r="J1187">
        <v>85.169700000000006</v>
      </c>
      <c r="K1187" t="s">
        <v>3949</v>
      </c>
      <c r="L1187">
        <v>45</v>
      </c>
      <c r="M1187" t="str">
        <v>Female</v>
      </c>
      <c r="N1187" t="str">
        <f>VLOOKUP(C:C,Customer_Dim!B:I,5,1)</f>
        <v>New Benjamin</v>
      </c>
      <c r="O1187" t="str">
        <f>VLOOKUP(C:C,Customer_Dim!B:I,6,1)</f>
        <v>North Carolina</v>
      </c>
      <c r="P1187" t="str">
        <f>VLOOKUP(C:C,Customer_Dim!B:I,7,1)</f>
        <v>USA</v>
      </c>
      <c r="Q1187" t="str">
        <f>VLOOKUP(C:C,Customer_Dim!B:I,8,1)</f>
        <v>Bronze</v>
      </c>
      <c r="S1187">
        <v>1</v>
      </c>
      <c r="T1187">
        <v>86.03</v>
      </c>
      <c r="U1187">
        <v>0.01</v>
      </c>
      <c r="V1187">
        <v>85.169700000000006</v>
      </c>
      <c r="X1187" s="4">
        <v>1</v>
      </c>
      <c r="Y1187">
        <v>86.03</v>
      </c>
      <c r="Z1187">
        <v>0.01</v>
      </c>
      <c r="AA1187">
        <v>85.169700000000006</v>
      </c>
    </row>
    <row r="1188" spans="1:27" x14ac:dyDescent="0.3">
      <c r="A1188" t="s">
        <v>2995</v>
      </c>
      <c r="B1188" s="2">
        <v>45897</v>
      </c>
      <c r="C1188" t="s">
        <v>310</v>
      </c>
      <c r="D1188" t="s">
        <v>1639</v>
      </c>
      <c r="E1188" t="s">
        <v>1777</v>
      </c>
      <c r="F1188" s="4">
        <v>4</v>
      </c>
      <c r="G1188">
        <v>705.12</v>
      </c>
      <c r="H1188">
        <v>0.15</v>
      </c>
      <c r="I1188" t="s">
        <v>1809</v>
      </c>
      <c r="J1188">
        <v>2397.4079999999999</v>
      </c>
      <c r="K1188" t="s">
        <v>3939</v>
      </c>
      <c r="L1188">
        <v>58</v>
      </c>
      <c r="M1188" t="str">
        <v>Male</v>
      </c>
      <c r="N1188" t="str">
        <f>VLOOKUP(C:C,Customer_Dim!B:I,5,1)</f>
        <v>East Jenna</v>
      </c>
      <c r="O1188" t="str">
        <f>VLOOKUP(C:C,Customer_Dim!B:I,6,1)</f>
        <v>South Carolina</v>
      </c>
      <c r="P1188" t="str">
        <f>VLOOKUP(C:C,Customer_Dim!B:I,7,1)</f>
        <v>USA</v>
      </c>
      <c r="Q1188" t="str">
        <f>VLOOKUP(C:C,Customer_Dim!B:I,8,1)</f>
        <v>Bronze</v>
      </c>
      <c r="S1188">
        <v>4</v>
      </c>
      <c r="T1188">
        <v>705.12</v>
      </c>
      <c r="U1188">
        <v>0.15</v>
      </c>
      <c r="V1188">
        <v>2397.4079999999999</v>
      </c>
      <c r="X1188" s="4">
        <v>4</v>
      </c>
      <c r="Y1188">
        <v>705.12</v>
      </c>
      <c r="Z1188">
        <v>0.15</v>
      </c>
      <c r="AA1188">
        <v>2397.4079999999999</v>
      </c>
    </row>
    <row r="1189" spans="1:27" x14ac:dyDescent="0.3">
      <c r="A1189" t="s">
        <v>2996</v>
      </c>
      <c r="B1189" s="2">
        <v>45602</v>
      </c>
      <c r="C1189" t="s">
        <v>1147</v>
      </c>
      <c r="D1189" t="s">
        <v>1567</v>
      </c>
      <c r="E1189" t="s">
        <v>1777</v>
      </c>
      <c r="F1189" s="4">
        <v>3</v>
      </c>
      <c r="G1189">
        <v>99.77</v>
      </c>
      <c r="H1189">
        <v>0.01</v>
      </c>
      <c r="I1189" t="s">
        <v>1809</v>
      </c>
      <c r="J1189">
        <v>296.31689999999998</v>
      </c>
      <c r="K1189" t="s">
        <v>1148</v>
      </c>
      <c r="L1189">
        <v>28</v>
      </c>
      <c r="M1189" t="str">
        <v>Male</v>
      </c>
      <c r="N1189" t="str">
        <f>VLOOKUP(C:C,Customer_Dim!B:I,5,1)</f>
        <v>Port Crystal</v>
      </c>
      <c r="O1189" t="str">
        <f>VLOOKUP(C:C,Customer_Dim!B:I,6,1)</f>
        <v>New Hampshire</v>
      </c>
      <c r="P1189" t="str">
        <f>VLOOKUP(C:C,Customer_Dim!B:I,7,1)</f>
        <v>USA</v>
      </c>
      <c r="Q1189" t="str">
        <f>VLOOKUP(C:C,Customer_Dim!B:I,8,1)</f>
        <v>Platinum</v>
      </c>
      <c r="S1189">
        <v>3</v>
      </c>
      <c r="T1189">
        <v>99.77</v>
      </c>
      <c r="U1189">
        <v>0.01</v>
      </c>
      <c r="V1189">
        <v>296.31689999999998</v>
      </c>
      <c r="X1189" s="4">
        <v>3</v>
      </c>
      <c r="Y1189">
        <v>99.77</v>
      </c>
      <c r="Z1189">
        <v>0.01</v>
      </c>
      <c r="AA1189">
        <v>296.31689999999998</v>
      </c>
    </row>
    <row r="1190" spans="1:27" x14ac:dyDescent="0.3">
      <c r="A1190" t="s">
        <v>2997</v>
      </c>
      <c r="B1190" s="2">
        <v>45530</v>
      </c>
      <c r="C1190" t="s">
        <v>675</v>
      </c>
      <c r="D1190" t="s">
        <v>1599</v>
      </c>
      <c r="E1190" t="s">
        <v>1769</v>
      </c>
      <c r="F1190" s="4">
        <v>2</v>
      </c>
      <c r="G1190">
        <v>166.26</v>
      </c>
      <c r="H1190">
        <v>0.14000000000000001</v>
      </c>
      <c r="I1190" t="s">
        <v>1809</v>
      </c>
      <c r="J1190">
        <v>285.96719999999999</v>
      </c>
      <c r="K1190" t="s">
        <v>676</v>
      </c>
      <c r="L1190">
        <v>48</v>
      </c>
      <c r="M1190" t="str">
        <v>Male</v>
      </c>
      <c r="N1190" t="str">
        <f>VLOOKUP(C:C,Customer_Dim!B:I,5,1)</f>
        <v>Lake Josephport</v>
      </c>
      <c r="O1190" t="str">
        <f>VLOOKUP(C:C,Customer_Dim!B:I,6,1)</f>
        <v>Maine</v>
      </c>
      <c r="P1190" t="str">
        <f>VLOOKUP(C:C,Customer_Dim!B:I,7,1)</f>
        <v>USA</v>
      </c>
      <c r="Q1190" t="str">
        <f>VLOOKUP(C:C,Customer_Dim!B:I,8,1)</f>
        <v>Platinum</v>
      </c>
      <c r="S1190">
        <v>2</v>
      </c>
      <c r="T1190">
        <v>166.26</v>
      </c>
      <c r="U1190">
        <v>0.14000000000000001</v>
      </c>
      <c r="V1190">
        <v>285.96719999999999</v>
      </c>
      <c r="X1190" s="4">
        <v>2</v>
      </c>
      <c r="Y1190">
        <v>166.26</v>
      </c>
      <c r="Z1190">
        <v>0.14000000000000001</v>
      </c>
      <c r="AA1190">
        <v>285.96719999999999</v>
      </c>
    </row>
    <row r="1191" spans="1:27" x14ac:dyDescent="0.3">
      <c r="A1191" t="s">
        <v>2998</v>
      </c>
      <c r="B1191" s="2">
        <v>45729</v>
      </c>
      <c r="C1191" t="s">
        <v>1401</v>
      </c>
      <c r="D1191" t="s">
        <v>1583</v>
      </c>
      <c r="E1191" t="s">
        <v>1756</v>
      </c>
      <c r="F1191" s="4">
        <v>1</v>
      </c>
      <c r="G1191">
        <v>429.25</v>
      </c>
      <c r="H1191">
        <v>0.28999999999999998</v>
      </c>
      <c r="I1191" t="s">
        <v>1807</v>
      </c>
      <c r="J1191">
        <v>304.76749999999998</v>
      </c>
      <c r="K1191" t="s">
        <v>673</v>
      </c>
      <c r="L1191">
        <v>35</v>
      </c>
      <c r="M1191" t="str">
        <v>Male</v>
      </c>
      <c r="N1191" t="str">
        <f>VLOOKUP(C:C,Customer_Dim!B:I,5,1)</f>
        <v>Brandontown</v>
      </c>
      <c r="O1191" t="str">
        <f>VLOOKUP(C:C,Customer_Dim!B:I,6,1)</f>
        <v>South Carolina</v>
      </c>
      <c r="P1191" t="str">
        <f>VLOOKUP(C:C,Customer_Dim!B:I,7,1)</f>
        <v>USA</v>
      </c>
      <c r="Q1191" t="str">
        <f>VLOOKUP(C:C,Customer_Dim!B:I,8,1)</f>
        <v>Gold</v>
      </c>
      <c r="S1191">
        <v>1</v>
      </c>
      <c r="T1191">
        <v>429.25</v>
      </c>
      <c r="U1191">
        <v>0.28999999999999998</v>
      </c>
      <c r="V1191">
        <v>304.76749999999998</v>
      </c>
      <c r="X1191" s="4">
        <v>1</v>
      </c>
      <c r="Y1191">
        <v>429.25</v>
      </c>
      <c r="Z1191">
        <v>0.28999999999999998</v>
      </c>
      <c r="AA1191">
        <v>304.76749999999998</v>
      </c>
    </row>
    <row r="1192" spans="1:27" x14ac:dyDescent="0.3">
      <c r="A1192" t="s">
        <v>2999</v>
      </c>
      <c r="B1192" s="2">
        <v>45468</v>
      </c>
      <c r="C1192" t="s">
        <v>1355</v>
      </c>
      <c r="D1192" t="s">
        <v>1526</v>
      </c>
      <c r="E1192" t="s">
        <v>1769</v>
      </c>
      <c r="F1192" s="4">
        <v>2</v>
      </c>
      <c r="G1192">
        <v>540.48</v>
      </c>
      <c r="H1192">
        <v>0.28999999999999998</v>
      </c>
      <c r="I1192" t="s">
        <v>1807</v>
      </c>
      <c r="J1192">
        <v>767.48159999999996</v>
      </c>
      <c r="K1192" t="s">
        <v>1356</v>
      </c>
      <c r="L1192">
        <v>19</v>
      </c>
      <c r="M1192" t="str">
        <v>Male</v>
      </c>
      <c r="N1192" t="str">
        <f>VLOOKUP(C:C,Customer_Dim!B:I,5,1)</f>
        <v>New Donnabury</v>
      </c>
      <c r="O1192" t="str">
        <f>VLOOKUP(C:C,Customer_Dim!B:I,6,1)</f>
        <v>Texas</v>
      </c>
      <c r="P1192" t="str">
        <f>VLOOKUP(C:C,Customer_Dim!B:I,7,1)</f>
        <v>USA</v>
      </c>
      <c r="Q1192" t="str">
        <f>VLOOKUP(C:C,Customer_Dim!B:I,8,1)</f>
        <v>Silver</v>
      </c>
      <c r="S1192">
        <v>2</v>
      </c>
      <c r="T1192">
        <v>540.48</v>
      </c>
      <c r="U1192">
        <v>0.28999999999999998</v>
      </c>
      <c r="V1192">
        <v>767.48159999999996</v>
      </c>
      <c r="X1192" s="4">
        <v>2</v>
      </c>
      <c r="Y1192">
        <v>540.48</v>
      </c>
      <c r="Z1192">
        <v>0.28999999999999998</v>
      </c>
      <c r="AA1192">
        <v>767.48159999999996</v>
      </c>
    </row>
    <row r="1193" spans="1:27" x14ac:dyDescent="0.3">
      <c r="A1193" t="s">
        <v>3000</v>
      </c>
      <c r="B1193" s="2">
        <v>45936</v>
      </c>
      <c r="C1193" t="s">
        <v>850</v>
      </c>
      <c r="D1193" t="s">
        <v>1649</v>
      </c>
      <c r="E1193" t="s">
        <v>1782</v>
      </c>
      <c r="F1193" s="4">
        <v>2</v>
      </c>
      <c r="G1193">
        <v>579.52</v>
      </c>
      <c r="H1193">
        <v>0.01</v>
      </c>
      <c r="I1193" t="s">
        <v>1809</v>
      </c>
      <c r="J1193">
        <v>1147.4495999999999</v>
      </c>
      <c r="K1193" t="s">
        <v>851</v>
      </c>
      <c r="L1193">
        <v>31</v>
      </c>
      <c r="M1193" t="str">
        <v>Female</v>
      </c>
      <c r="N1193" t="str">
        <f>VLOOKUP(C:C,Customer_Dim!B:I,5,1)</f>
        <v>Emilytown</v>
      </c>
      <c r="O1193" t="str">
        <f>VLOOKUP(C:C,Customer_Dim!B:I,6,1)</f>
        <v>California</v>
      </c>
      <c r="P1193" t="str">
        <f>VLOOKUP(C:C,Customer_Dim!B:I,7,1)</f>
        <v>USA</v>
      </c>
      <c r="Q1193" t="str">
        <f>VLOOKUP(C:C,Customer_Dim!B:I,8,1)</f>
        <v>Silver</v>
      </c>
      <c r="S1193">
        <v>2</v>
      </c>
      <c r="T1193">
        <v>579.52</v>
      </c>
      <c r="U1193">
        <v>0.01</v>
      </c>
      <c r="V1193">
        <v>1147.4495999999999</v>
      </c>
      <c r="X1193" s="4">
        <v>2</v>
      </c>
      <c r="Y1193">
        <v>579.52</v>
      </c>
      <c r="Z1193">
        <v>0.01</v>
      </c>
      <c r="AA1193">
        <v>1147.4495999999999</v>
      </c>
    </row>
    <row r="1194" spans="1:27" x14ac:dyDescent="0.3">
      <c r="A1194" t="s">
        <v>3001</v>
      </c>
      <c r="B1194" s="2">
        <v>45622</v>
      </c>
      <c r="C1194" t="s">
        <v>110</v>
      </c>
      <c r="D1194" t="s">
        <v>1669</v>
      </c>
      <c r="E1194" t="s">
        <v>1790</v>
      </c>
      <c r="F1194" s="4">
        <v>4</v>
      </c>
      <c r="G1194">
        <v>477.52</v>
      </c>
      <c r="H1194">
        <v>7.0000000000000007E-2</v>
      </c>
      <c r="I1194" t="s">
        <v>1809</v>
      </c>
      <c r="J1194">
        <v>1776.3743999999999</v>
      </c>
      <c r="K1194" t="s">
        <v>111</v>
      </c>
      <c r="L1194">
        <v>31</v>
      </c>
      <c r="M1194" t="str">
        <v>Male</v>
      </c>
      <c r="N1194" t="str">
        <f>VLOOKUP(C:C,Customer_Dim!B:I,5,1)</f>
        <v>East Michellemouth</v>
      </c>
      <c r="O1194" t="str">
        <f>VLOOKUP(C:C,Customer_Dim!B:I,6,1)</f>
        <v>Missouri</v>
      </c>
      <c r="P1194" t="str">
        <f>VLOOKUP(C:C,Customer_Dim!B:I,7,1)</f>
        <v>USA</v>
      </c>
      <c r="Q1194" t="str">
        <f>VLOOKUP(C:C,Customer_Dim!B:I,8,1)</f>
        <v>Gold</v>
      </c>
      <c r="S1194">
        <v>4</v>
      </c>
      <c r="T1194">
        <v>477.52</v>
      </c>
      <c r="U1194">
        <v>7.0000000000000007E-2</v>
      </c>
      <c r="V1194">
        <v>1776.3743999999999</v>
      </c>
      <c r="X1194" s="4">
        <v>4</v>
      </c>
      <c r="Y1194">
        <v>477.52</v>
      </c>
      <c r="Z1194">
        <v>7.0000000000000007E-2</v>
      </c>
      <c r="AA1194">
        <v>1776.3743999999999</v>
      </c>
    </row>
    <row r="1195" spans="1:27" x14ac:dyDescent="0.3">
      <c r="A1195" t="s">
        <v>3002</v>
      </c>
      <c r="B1195" s="2">
        <v>45705</v>
      </c>
      <c r="C1195" t="s">
        <v>820</v>
      </c>
      <c r="D1195" t="s">
        <v>1713</v>
      </c>
      <c r="E1195" t="s">
        <v>1759</v>
      </c>
      <c r="F1195" s="4">
        <v>3</v>
      </c>
      <c r="G1195">
        <v>242.58</v>
      </c>
      <c r="H1195">
        <v>0.25</v>
      </c>
      <c r="I1195" t="s">
        <v>1807</v>
      </c>
      <c r="J1195">
        <v>545.80500000000006</v>
      </c>
      <c r="K1195" t="s">
        <v>821</v>
      </c>
      <c r="L1195">
        <v>63</v>
      </c>
      <c r="M1195" t="str">
        <v>Female</v>
      </c>
      <c r="N1195" t="str">
        <f>VLOOKUP(C:C,Customer_Dim!B:I,5,1)</f>
        <v>South Kathrynmouth</v>
      </c>
      <c r="O1195" t="str">
        <f>VLOOKUP(C:C,Customer_Dim!B:I,6,1)</f>
        <v>Oklahoma</v>
      </c>
      <c r="P1195" t="str">
        <f>VLOOKUP(C:C,Customer_Dim!B:I,7,1)</f>
        <v>USA</v>
      </c>
      <c r="Q1195" t="str">
        <f>VLOOKUP(C:C,Customer_Dim!B:I,8,1)</f>
        <v>Silver</v>
      </c>
      <c r="S1195">
        <v>3</v>
      </c>
      <c r="T1195">
        <v>242.58</v>
      </c>
      <c r="U1195">
        <v>0.25</v>
      </c>
      <c r="V1195">
        <v>545.80500000000006</v>
      </c>
      <c r="X1195" s="4">
        <v>3</v>
      </c>
      <c r="Y1195">
        <v>242.58</v>
      </c>
      <c r="Z1195">
        <v>0.25</v>
      </c>
      <c r="AA1195">
        <v>545.80500000000006</v>
      </c>
    </row>
    <row r="1196" spans="1:27" x14ac:dyDescent="0.3">
      <c r="A1196" t="s">
        <v>3003</v>
      </c>
      <c r="B1196" s="2">
        <v>45250</v>
      </c>
      <c r="C1196" t="s">
        <v>1135</v>
      </c>
      <c r="D1196" t="s">
        <v>1583</v>
      </c>
      <c r="E1196" t="s">
        <v>1790</v>
      </c>
      <c r="F1196" s="4">
        <v>2</v>
      </c>
      <c r="G1196">
        <v>519.29999999999995</v>
      </c>
      <c r="H1196">
        <v>0.09</v>
      </c>
      <c r="I1196" t="s">
        <v>1809</v>
      </c>
      <c r="J1196">
        <v>945.12599999999998</v>
      </c>
      <c r="K1196" t="s">
        <v>1136</v>
      </c>
      <c r="L1196">
        <v>34</v>
      </c>
      <c r="M1196" t="str">
        <v>Female</v>
      </c>
      <c r="N1196" t="str">
        <f>VLOOKUP(C:C,Customer_Dim!B:I,5,1)</f>
        <v>Kaufmanfurt</v>
      </c>
      <c r="O1196" t="str">
        <f>VLOOKUP(C:C,Customer_Dim!B:I,6,1)</f>
        <v>Ohio</v>
      </c>
      <c r="P1196" t="str">
        <f>VLOOKUP(C:C,Customer_Dim!B:I,7,1)</f>
        <v>USA</v>
      </c>
      <c r="Q1196" t="str">
        <f>VLOOKUP(C:C,Customer_Dim!B:I,8,1)</f>
        <v>Bronze</v>
      </c>
      <c r="S1196">
        <v>2</v>
      </c>
      <c r="T1196">
        <v>519.29999999999995</v>
      </c>
      <c r="U1196">
        <v>0.09</v>
      </c>
      <c r="V1196">
        <v>945.12599999999998</v>
      </c>
      <c r="X1196" s="4">
        <v>2</v>
      </c>
      <c r="Y1196">
        <v>519.29999999999995</v>
      </c>
      <c r="Z1196">
        <v>0.09</v>
      </c>
      <c r="AA1196">
        <v>945.12599999999998</v>
      </c>
    </row>
    <row r="1197" spans="1:27" x14ac:dyDescent="0.3">
      <c r="A1197" t="s">
        <v>3004</v>
      </c>
      <c r="B1197" s="2">
        <v>45684</v>
      </c>
      <c r="C1197" t="s">
        <v>1493</v>
      </c>
      <c r="D1197" t="s">
        <v>1719</v>
      </c>
      <c r="E1197" t="s">
        <v>1775</v>
      </c>
      <c r="F1197" s="4">
        <v>3</v>
      </c>
      <c r="G1197">
        <v>845.67</v>
      </c>
      <c r="H1197">
        <v>0.12</v>
      </c>
      <c r="I1197" t="s">
        <v>1812</v>
      </c>
      <c r="J1197">
        <v>2232.5688</v>
      </c>
      <c r="K1197" t="s">
        <v>1494</v>
      </c>
      <c r="L1197">
        <v>59</v>
      </c>
      <c r="M1197" t="str">
        <v>Female</v>
      </c>
      <c r="N1197" t="str">
        <f>VLOOKUP(C:C,Customer_Dim!B:I,5,1)</f>
        <v>Kellyberg</v>
      </c>
      <c r="O1197" t="str">
        <f>VLOOKUP(C:C,Customer_Dim!B:I,6,1)</f>
        <v>South Dakota</v>
      </c>
      <c r="P1197" t="str">
        <f>VLOOKUP(C:C,Customer_Dim!B:I,7,1)</f>
        <v>USA</v>
      </c>
      <c r="Q1197" t="str">
        <f>VLOOKUP(C:C,Customer_Dim!B:I,8,1)</f>
        <v>Gold</v>
      </c>
      <c r="S1197">
        <v>3</v>
      </c>
      <c r="T1197">
        <v>845.67</v>
      </c>
      <c r="U1197">
        <v>0.12</v>
      </c>
      <c r="V1197">
        <v>2232.5688</v>
      </c>
      <c r="X1197" s="4">
        <v>3</v>
      </c>
      <c r="Y1197">
        <v>845.67</v>
      </c>
      <c r="Z1197">
        <v>0.12</v>
      </c>
      <c r="AA1197">
        <v>2232.5688</v>
      </c>
    </row>
    <row r="1198" spans="1:27" x14ac:dyDescent="0.3">
      <c r="A1198" t="s">
        <v>3005</v>
      </c>
      <c r="B1198" s="2">
        <v>45395</v>
      </c>
      <c r="C1198" t="s">
        <v>953</v>
      </c>
      <c r="D1198" t="s">
        <v>1641</v>
      </c>
      <c r="E1198" t="s">
        <v>1787</v>
      </c>
      <c r="F1198" s="4">
        <v>4</v>
      </c>
      <c r="G1198">
        <v>750.26</v>
      </c>
      <c r="H1198">
        <v>0.01</v>
      </c>
      <c r="I1198" t="s">
        <v>1809</v>
      </c>
      <c r="J1198">
        <v>2971.0295999999998</v>
      </c>
      <c r="K1198" t="s">
        <v>954</v>
      </c>
      <c r="L1198">
        <v>44</v>
      </c>
      <c r="M1198" t="str">
        <v>Male</v>
      </c>
      <c r="N1198" t="str">
        <f>VLOOKUP(C:C,Customer_Dim!B:I,5,1)</f>
        <v>West Joseph</v>
      </c>
      <c r="O1198" t="str">
        <f>VLOOKUP(C:C,Customer_Dim!B:I,6,1)</f>
        <v>Washington</v>
      </c>
      <c r="P1198" t="str">
        <f>VLOOKUP(C:C,Customer_Dim!B:I,7,1)</f>
        <v>USA</v>
      </c>
      <c r="Q1198" t="str">
        <f>VLOOKUP(C:C,Customer_Dim!B:I,8,1)</f>
        <v>Platinum</v>
      </c>
      <c r="S1198">
        <v>4</v>
      </c>
      <c r="T1198">
        <v>750.26</v>
      </c>
      <c r="U1198">
        <v>0.01</v>
      </c>
      <c r="V1198">
        <v>2971.0295999999998</v>
      </c>
      <c r="X1198" s="4">
        <v>4</v>
      </c>
      <c r="Y1198">
        <v>750.26</v>
      </c>
      <c r="Z1198">
        <v>0.01</v>
      </c>
      <c r="AA1198">
        <v>2971.0295999999998</v>
      </c>
    </row>
    <row r="1199" spans="1:27" x14ac:dyDescent="0.3">
      <c r="A1199" t="s">
        <v>3006</v>
      </c>
      <c r="B1199" s="2">
        <v>45382</v>
      </c>
      <c r="C1199" t="s">
        <v>1033</v>
      </c>
      <c r="D1199" t="s">
        <v>1715</v>
      </c>
      <c r="E1199" t="s">
        <v>1777</v>
      </c>
      <c r="F1199" s="4">
        <v>4</v>
      </c>
      <c r="G1199">
        <v>294.38</v>
      </c>
      <c r="H1199">
        <v>0.2</v>
      </c>
      <c r="I1199" t="s">
        <v>1807</v>
      </c>
      <c r="J1199">
        <v>942.01600000000008</v>
      </c>
      <c r="K1199" t="s">
        <v>1034</v>
      </c>
      <c r="L1199">
        <v>64</v>
      </c>
      <c r="M1199" t="str">
        <v>Female</v>
      </c>
      <c r="N1199" t="str">
        <f>VLOOKUP(C:C,Customer_Dim!B:I,5,1)</f>
        <v>New Paulstad</v>
      </c>
      <c r="O1199" t="str">
        <f>VLOOKUP(C:C,Customer_Dim!B:I,6,1)</f>
        <v>Hawaii</v>
      </c>
      <c r="P1199" t="str">
        <f>VLOOKUP(C:C,Customer_Dim!B:I,7,1)</f>
        <v>USA</v>
      </c>
      <c r="Q1199" t="str">
        <f>VLOOKUP(C:C,Customer_Dim!B:I,8,1)</f>
        <v>Bronze</v>
      </c>
      <c r="S1199">
        <v>4</v>
      </c>
      <c r="T1199">
        <v>294.38</v>
      </c>
      <c r="U1199">
        <v>0.2</v>
      </c>
      <c r="V1199">
        <v>942.01600000000008</v>
      </c>
      <c r="X1199" s="4">
        <v>4</v>
      </c>
      <c r="Y1199">
        <v>294.38</v>
      </c>
      <c r="Z1199">
        <v>0.2</v>
      </c>
      <c r="AA1199">
        <v>942.01600000000008</v>
      </c>
    </row>
    <row r="1200" spans="1:27" x14ac:dyDescent="0.3">
      <c r="A1200" t="s">
        <v>3007</v>
      </c>
      <c r="B1200" s="2">
        <v>45919</v>
      </c>
      <c r="C1200" t="s">
        <v>342</v>
      </c>
      <c r="D1200" t="s">
        <v>1723</v>
      </c>
      <c r="E1200" t="s">
        <v>1744</v>
      </c>
      <c r="F1200" s="4">
        <v>3</v>
      </c>
      <c r="G1200">
        <v>583.52</v>
      </c>
      <c r="H1200">
        <v>7.0000000000000007E-2</v>
      </c>
      <c r="I1200" t="s">
        <v>1809</v>
      </c>
      <c r="J1200">
        <v>1628.0208</v>
      </c>
      <c r="K1200" t="s">
        <v>343</v>
      </c>
      <c r="L1200">
        <v>24</v>
      </c>
      <c r="M1200" t="str">
        <v>Male</v>
      </c>
      <c r="N1200" t="str">
        <f>VLOOKUP(C:C,Customer_Dim!B:I,5,1)</f>
        <v>Lake Thomas</v>
      </c>
      <c r="O1200" t="str">
        <f>VLOOKUP(C:C,Customer_Dim!B:I,6,1)</f>
        <v>South Dakota</v>
      </c>
      <c r="P1200" t="str">
        <f>VLOOKUP(C:C,Customer_Dim!B:I,7,1)</f>
        <v>USA</v>
      </c>
      <c r="Q1200" t="str">
        <f>VLOOKUP(C:C,Customer_Dim!B:I,8,1)</f>
        <v>Silver</v>
      </c>
      <c r="S1200">
        <v>3</v>
      </c>
      <c r="T1200">
        <v>583.52</v>
      </c>
      <c r="U1200">
        <v>7.0000000000000007E-2</v>
      </c>
      <c r="V1200">
        <v>1628.0208</v>
      </c>
      <c r="X1200" s="4">
        <v>3</v>
      </c>
      <c r="Y1200">
        <v>583.52</v>
      </c>
      <c r="Z1200">
        <v>7.0000000000000007E-2</v>
      </c>
      <c r="AA1200">
        <v>1628.0208</v>
      </c>
    </row>
    <row r="1201" spans="1:27" x14ac:dyDescent="0.3">
      <c r="A1201" t="s">
        <v>3008</v>
      </c>
      <c r="B1201" s="2">
        <v>45453</v>
      </c>
      <c r="C1201" t="s">
        <v>1433</v>
      </c>
      <c r="D1201" t="s">
        <v>1709</v>
      </c>
      <c r="E1201" t="s">
        <v>1787</v>
      </c>
      <c r="F1201" s="4">
        <v>2</v>
      </c>
      <c r="G1201">
        <v>635.22</v>
      </c>
      <c r="H1201">
        <v>0.3</v>
      </c>
      <c r="I1201" t="s">
        <v>1812</v>
      </c>
      <c r="J1201">
        <v>889.30799999999999</v>
      </c>
      <c r="K1201" t="s">
        <v>1434</v>
      </c>
      <c r="L1201">
        <v>42</v>
      </c>
      <c r="M1201" t="str">
        <v>Male</v>
      </c>
      <c r="N1201" t="str">
        <f>VLOOKUP(C:C,Customer_Dim!B:I,5,1)</f>
        <v>Kanebury</v>
      </c>
      <c r="O1201" t="str">
        <f>VLOOKUP(C:C,Customer_Dim!B:I,6,1)</f>
        <v>New Hampshire</v>
      </c>
      <c r="P1201" t="str">
        <f>VLOOKUP(C:C,Customer_Dim!B:I,7,1)</f>
        <v>USA</v>
      </c>
      <c r="Q1201" t="str">
        <f>VLOOKUP(C:C,Customer_Dim!B:I,8,1)</f>
        <v>Gold</v>
      </c>
      <c r="S1201">
        <v>2</v>
      </c>
      <c r="T1201">
        <v>635.22</v>
      </c>
      <c r="U1201">
        <v>0.3</v>
      </c>
      <c r="V1201">
        <v>889.30799999999999</v>
      </c>
      <c r="X1201" s="4">
        <v>2</v>
      </c>
      <c r="Y1201">
        <v>635.22</v>
      </c>
      <c r="Z1201">
        <v>0.3</v>
      </c>
      <c r="AA1201">
        <v>889.30799999999999</v>
      </c>
    </row>
    <row r="1202" spans="1:27" x14ac:dyDescent="0.3">
      <c r="A1202" t="s">
        <v>3009</v>
      </c>
      <c r="B1202" s="2">
        <v>45313</v>
      </c>
      <c r="C1202" t="s">
        <v>1312</v>
      </c>
      <c r="D1202" t="s">
        <v>1663</v>
      </c>
      <c r="E1202" t="s">
        <v>1744</v>
      </c>
      <c r="F1202" s="4">
        <v>1</v>
      </c>
      <c r="G1202">
        <v>743.55</v>
      </c>
      <c r="H1202">
        <v>0.11</v>
      </c>
      <c r="I1202" t="s">
        <v>1812</v>
      </c>
      <c r="J1202">
        <v>661.7595</v>
      </c>
      <c r="K1202" t="s">
        <v>1313</v>
      </c>
      <c r="L1202">
        <v>43</v>
      </c>
      <c r="M1202" t="str">
        <v>Male</v>
      </c>
      <c r="N1202" t="str">
        <f>VLOOKUP(C:C,Customer_Dim!B:I,5,1)</f>
        <v>Hartmouth</v>
      </c>
      <c r="O1202" t="str">
        <f>VLOOKUP(C:C,Customer_Dim!B:I,6,1)</f>
        <v>Louisiana</v>
      </c>
      <c r="P1202" t="str">
        <f>VLOOKUP(C:C,Customer_Dim!B:I,7,1)</f>
        <v>USA</v>
      </c>
      <c r="Q1202" t="str">
        <f>VLOOKUP(C:C,Customer_Dim!B:I,8,1)</f>
        <v>Bronze</v>
      </c>
      <c r="S1202">
        <v>1</v>
      </c>
      <c r="T1202">
        <v>743.55</v>
      </c>
      <c r="U1202">
        <v>0.11</v>
      </c>
      <c r="V1202">
        <v>661.7595</v>
      </c>
      <c r="X1202" s="4">
        <v>1</v>
      </c>
      <c r="Y1202">
        <v>743.55</v>
      </c>
      <c r="Z1202">
        <v>0.11</v>
      </c>
      <c r="AA1202">
        <v>661.7595</v>
      </c>
    </row>
    <row r="1203" spans="1:27" x14ac:dyDescent="0.3">
      <c r="A1203" t="s">
        <v>3010</v>
      </c>
      <c r="B1203" s="2">
        <v>45377</v>
      </c>
      <c r="C1203" t="s">
        <v>355</v>
      </c>
      <c r="D1203" t="s">
        <v>1619</v>
      </c>
      <c r="E1203" t="s">
        <v>1749</v>
      </c>
      <c r="F1203" s="4">
        <v>4</v>
      </c>
      <c r="G1203">
        <v>530.45000000000005</v>
      </c>
      <c r="H1203">
        <v>0.13</v>
      </c>
      <c r="I1203" t="s">
        <v>1807</v>
      </c>
      <c r="J1203">
        <v>1845.9659999999999</v>
      </c>
      <c r="K1203" t="s">
        <v>356</v>
      </c>
      <c r="L1203">
        <v>34</v>
      </c>
      <c r="M1203" t="str">
        <v>Female</v>
      </c>
      <c r="N1203" t="str">
        <f>VLOOKUP(C:C,Customer_Dim!B:I,5,1)</f>
        <v>Singletonmouth</v>
      </c>
      <c r="O1203" t="str">
        <f>VLOOKUP(C:C,Customer_Dim!B:I,6,1)</f>
        <v>Utah</v>
      </c>
      <c r="P1203" t="str">
        <f>VLOOKUP(C:C,Customer_Dim!B:I,7,1)</f>
        <v>USA</v>
      </c>
      <c r="Q1203" t="str">
        <f>VLOOKUP(C:C,Customer_Dim!B:I,8,1)</f>
        <v>Gold</v>
      </c>
      <c r="S1203">
        <v>4</v>
      </c>
      <c r="T1203">
        <v>530.45000000000005</v>
      </c>
      <c r="U1203">
        <v>0.13</v>
      </c>
      <c r="V1203">
        <v>1845.9659999999999</v>
      </c>
      <c r="X1203" s="4">
        <v>4</v>
      </c>
      <c r="Y1203">
        <v>530.45000000000005</v>
      </c>
      <c r="Z1203">
        <v>0.13</v>
      </c>
      <c r="AA1203">
        <v>1845.9659999999999</v>
      </c>
    </row>
    <row r="1204" spans="1:27" x14ac:dyDescent="0.3">
      <c r="A1204" t="s">
        <v>3011</v>
      </c>
      <c r="B1204" s="2">
        <v>45371</v>
      </c>
      <c r="C1204" t="s">
        <v>835</v>
      </c>
      <c r="D1204" t="s">
        <v>1663</v>
      </c>
      <c r="E1204" t="s">
        <v>1769</v>
      </c>
      <c r="F1204" s="4">
        <v>2</v>
      </c>
      <c r="G1204">
        <v>972.4</v>
      </c>
      <c r="H1204">
        <v>0.06</v>
      </c>
      <c r="I1204" t="s">
        <v>1812</v>
      </c>
      <c r="J1204">
        <v>1828.1120000000001</v>
      </c>
      <c r="K1204" t="s">
        <v>836</v>
      </c>
      <c r="L1204">
        <v>38</v>
      </c>
      <c r="M1204" t="str">
        <v>Male</v>
      </c>
      <c r="N1204" t="str">
        <f>VLOOKUP(C:C,Customer_Dim!B:I,5,1)</f>
        <v>Grahamfurt</v>
      </c>
      <c r="O1204" t="str">
        <f>VLOOKUP(C:C,Customer_Dim!B:I,6,1)</f>
        <v>Wyoming</v>
      </c>
      <c r="P1204" t="str">
        <f>VLOOKUP(C:C,Customer_Dim!B:I,7,1)</f>
        <v>USA</v>
      </c>
      <c r="Q1204" t="str">
        <f>VLOOKUP(C:C,Customer_Dim!B:I,8,1)</f>
        <v>Gold</v>
      </c>
      <c r="S1204">
        <v>2</v>
      </c>
      <c r="T1204">
        <v>972.4</v>
      </c>
      <c r="U1204">
        <v>0.06</v>
      </c>
      <c r="V1204">
        <v>1828.1120000000001</v>
      </c>
      <c r="X1204" s="4">
        <v>2</v>
      </c>
      <c r="Y1204">
        <v>972.4</v>
      </c>
      <c r="Z1204">
        <v>0.06</v>
      </c>
      <c r="AA1204">
        <v>1828.1120000000001</v>
      </c>
    </row>
    <row r="1205" spans="1:27" x14ac:dyDescent="0.3">
      <c r="A1205" t="s">
        <v>3012</v>
      </c>
      <c r="B1205" s="2">
        <v>45797</v>
      </c>
      <c r="C1205" t="s">
        <v>1168</v>
      </c>
      <c r="D1205" t="s">
        <v>1561</v>
      </c>
      <c r="E1205" t="s">
        <v>1793</v>
      </c>
      <c r="F1205" s="4">
        <v>3</v>
      </c>
      <c r="G1205">
        <v>197.93</v>
      </c>
      <c r="H1205">
        <v>0</v>
      </c>
      <c r="I1205" t="s">
        <v>1812</v>
      </c>
      <c r="J1205">
        <v>593.79</v>
      </c>
      <c r="K1205" t="s">
        <v>1169</v>
      </c>
      <c r="L1205">
        <v>34</v>
      </c>
      <c r="M1205" t="str">
        <v>Female</v>
      </c>
      <c r="N1205" t="str">
        <f>VLOOKUP(C:C,Customer_Dim!B:I,5,1)</f>
        <v>Fischerborough</v>
      </c>
      <c r="O1205" t="str">
        <f>VLOOKUP(C:C,Customer_Dim!B:I,6,1)</f>
        <v>Delaware</v>
      </c>
      <c r="P1205" t="str">
        <f>VLOOKUP(C:C,Customer_Dim!B:I,7,1)</f>
        <v>USA</v>
      </c>
      <c r="Q1205" t="str">
        <f>VLOOKUP(C:C,Customer_Dim!B:I,8,1)</f>
        <v>Bronze</v>
      </c>
      <c r="S1205">
        <v>3</v>
      </c>
      <c r="T1205">
        <v>197.93</v>
      </c>
      <c r="U1205">
        <v>0</v>
      </c>
      <c r="V1205">
        <v>593.79</v>
      </c>
      <c r="X1205" s="4">
        <v>3</v>
      </c>
      <c r="Y1205">
        <v>197.93</v>
      </c>
      <c r="Z1205">
        <v>0</v>
      </c>
      <c r="AA1205">
        <v>593.79</v>
      </c>
    </row>
    <row r="1206" spans="1:27" x14ac:dyDescent="0.3">
      <c r="A1206" t="s">
        <v>3013</v>
      </c>
      <c r="B1206" s="2">
        <v>45575</v>
      </c>
      <c r="C1206" t="s">
        <v>1063</v>
      </c>
      <c r="D1206" t="s">
        <v>1705</v>
      </c>
      <c r="E1206" t="s">
        <v>1775</v>
      </c>
      <c r="F1206" s="4">
        <v>4</v>
      </c>
      <c r="G1206">
        <v>565.51</v>
      </c>
      <c r="H1206">
        <v>0.16</v>
      </c>
      <c r="I1206" t="s">
        <v>1809</v>
      </c>
      <c r="J1206">
        <v>1900.1135999999999</v>
      </c>
      <c r="K1206" t="s">
        <v>1064</v>
      </c>
      <c r="L1206">
        <v>38</v>
      </c>
      <c r="M1206" t="str">
        <v>Male</v>
      </c>
      <c r="N1206" t="str">
        <f>VLOOKUP(C:C,Customer_Dim!B:I,5,1)</f>
        <v>Amandaborough</v>
      </c>
      <c r="O1206" t="str">
        <f>VLOOKUP(C:C,Customer_Dim!B:I,6,1)</f>
        <v>Connecticut</v>
      </c>
      <c r="P1206" t="str">
        <f>VLOOKUP(C:C,Customer_Dim!B:I,7,1)</f>
        <v>USA</v>
      </c>
      <c r="Q1206" t="str">
        <f>VLOOKUP(C:C,Customer_Dim!B:I,8,1)</f>
        <v>Bronze</v>
      </c>
      <c r="S1206">
        <v>4</v>
      </c>
      <c r="T1206">
        <v>565.51</v>
      </c>
      <c r="U1206">
        <v>0.16</v>
      </c>
      <c r="V1206">
        <v>1900.1135999999999</v>
      </c>
      <c r="X1206" s="4">
        <v>4</v>
      </c>
      <c r="Y1206">
        <v>565.51</v>
      </c>
      <c r="Z1206">
        <v>0.16</v>
      </c>
      <c r="AA1206">
        <v>1900.1135999999999</v>
      </c>
    </row>
    <row r="1207" spans="1:27" x14ac:dyDescent="0.3">
      <c r="A1207" t="s">
        <v>3014</v>
      </c>
      <c r="B1207" s="2">
        <v>45566</v>
      </c>
      <c r="C1207" t="s">
        <v>1232</v>
      </c>
      <c r="D1207" t="s">
        <v>1609</v>
      </c>
      <c r="E1207" t="s">
        <v>1752</v>
      </c>
      <c r="F1207" s="4">
        <v>4</v>
      </c>
      <c r="G1207">
        <v>983.38</v>
      </c>
      <c r="H1207">
        <v>0.25</v>
      </c>
      <c r="I1207" t="s">
        <v>1812</v>
      </c>
      <c r="J1207">
        <v>2950.14</v>
      </c>
      <c r="K1207" t="s">
        <v>1233</v>
      </c>
      <c r="L1207">
        <v>51</v>
      </c>
      <c r="M1207" t="str">
        <v>Female</v>
      </c>
      <c r="N1207" t="str">
        <f>VLOOKUP(C:C,Customer_Dim!B:I,5,1)</f>
        <v>Bookertown</v>
      </c>
      <c r="O1207" t="str">
        <f>VLOOKUP(C:C,Customer_Dim!B:I,6,1)</f>
        <v>Oklahoma</v>
      </c>
      <c r="P1207" t="str">
        <f>VLOOKUP(C:C,Customer_Dim!B:I,7,1)</f>
        <v>USA</v>
      </c>
      <c r="Q1207" t="str">
        <f>VLOOKUP(C:C,Customer_Dim!B:I,8,1)</f>
        <v>Platinum</v>
      </c>
      <c r="S1207">
        <v>4</v>
      </c>
      <c r="T1207">
        <v>983.38</v>
      </c>
      <c r="U1207">
        <v>0.25</v>
      </c>
      <c r="V1207">
        <v>2950.14</v>
      </c>
      <c r="X1207" s="4">
        <v>4</v>
      </c>
      <c r="Y1207">
        <v>983.38</v>
      </c>
      <c r="Z1207">
        <v>0.25</v>
      </c>
      <c r="AA1207">
        <v>2950.14</v>
      </c>
    </row>
    <row r="1208" spans="1:27" x14ac:dyDescent="0.3">
      <c r="A1208" t="s">
        <v>3015</v>
      </c>
      <c r="B1208" s="2">
        <v>45252</v>
      </c>
      <c r="C1208" t="s">
        <v>746</v>
      </c>
      <c r="D1208" t="s">
        <v>1729</v>
      </c>
      <c r="E1208" t="s">
        <v>1769</v>
      </c>
      <c r="F1208" s="4">
        <v>1</v>
      </c>
      <c r="G1208">
        <v>955.06</v>
      </c>
      <c r="H1208">
        <v>0.14000000000000001</v>
      </c>
      <c r="I1208" t="s">
        <v>1807</v>
      </c>
      <c r="J1208">
        <v>821.35159999999996</v>
      </c>
      <c r="K1208" t="s">
        <v>747</v>
      </c>
      <c r="L1208">
        <v>28</v>
      </c>
      <c r="M1208" t="str">
        <v>Female</v>
      </c>
      <c r="N1208" t="str">
        <f>VLOOKUP(C:C,Customer_Dim!B:I,5,1)</f>
        <v>Lake Mark</v>
      </c>
      <c r="O1208" t="str">
        <f>VLOOKUP(C:C,Customer_Dim!B:I,6,1)</f>
        <v>Kansas</v>
      </c>
      <c r="P1208" t="str">
        <f>VLOOKUP(C:C,Customer_Dim!B:I,7,1)</f>
        <v>USA</v>
      </c>
      <c r="Q1208" t="str">
        <f>VLOOKUP(C:C,Customer_Dim!B:I,8,1)</f>
        <v>Gold</v>
      </c>
      <c r="S1208">
        <v>1</v>
      </c>
      <c r="T1208">
        <v>955.06</v>
      </c>
      <c r="U1208">
        <v>0.14000000000000001</v>
      </c>
      <c r="V1208">
        <v>821.35159999999996</v>
      </c>
      <c r="X1208" s="4">
        <v>1</v>
      </c>
      <c r="Y1208">
        <v>955.06</v>
      </c>
      <c r="Z1208">
        <v>0.14000000000000001</v>
      </c>
      <c r="AA1208">
        <v>821.35159999999996</v>
      </c>
    </row>
    <row r="1209" spans="1:27" x14ac:dyDescent="0.3">
      <c r="A1209" t="s">
        <v>3016</v>
      </c>
      <c r="B1209" s="2">
        <v>45693</v>
      </c>
      <c r="C1209" t="s">
        <v>1092</v>
      </c>
      <c r="D1209" t="s">
        <v>1649</v>
      </c>
      <c r="E1209" t="s">
        <v>1784</v>
      </c>
      <c r="F1209" s="4">
        <v>3</v>
      </c>
      <c r="G1209">
        <v>597.46</v>
      </c>
      <c r="H1209">
        <v>0.02</v>
      </c>
      <c r="I1209" t="s">
        <v>1809</v>
      </c>
      <c r="J1209">
        <v>1756.5324000000001</v>
      </c>
      <c r="K1209" t="s">
        <v>1093</v>
      </c>
      <c r="L1209">
        <v>56</v>
      </c>
      <c r="M1209" t="str">
        <v>Female</v>
      </c>
      <c r="N1209" t="str">
        <f>VLOOKUP(C:C,Customer_Dim!B:I,5,1)</f>
        <v>Port Saramouth</v>
      </c>
      <c r="O1209" t="str">
        <f>VLOOKUP(C:C,Customer_Dim!B:I,6,1)</f>
        <v>Wisconsin</v>
      </c>
      <c r="P1209" t="str">
        <f>VLOOKUP(C:C,Customer_Dim!B:I,7,1)</f>
        <v>USA</v>
      </c>
      <c r="Q1209" t="str">
        <f>VLOOKUP(C:C,Customer_Dim!B:I,8,1)</f>
        <v>Silver</v>
      </c>
      <c r="S1209">
        <v>3</v>
      </c>
      <c r="T1209">
        <v>597.46</v>
      </c>
      <c r="U1209">
        <v>0.02</v>
      </c>
      <c r="V1209">
        <v>1756.5324000000001</v>
      </c>
      <c r="X1209" s="4">
        <v>3</v>
      </c>
      <c r="Y1209">
        <v>597.46</v>
      </c>
      <c r="Z1209">
        <v>0.02</v>
      </c>
      <c r="AA1209">
        <v>1756.5324000000001</v>
      </c>
    </row>
    <row r="1210" spans="1:27" x14ac:dyDescent="0.3">
      <c r="A1210" t="s">
        <v>3017</v>
      </c>
      <c r="B1210" s="2">
        <v>45446</v>
      </c>
      <c r="C1210" t="s">
        <v>989</v>
      </c>
      <c r="D1210" t="s">
        <v>1545</v>
      </c>
      <c r="E1210" t="s">
        <v>1787</v>
      </c>
      <c r="F1210" s="4">
        <v>3</v>
      </c>
      <c r="G1210">
        <v>581.09</v>
      </c>
      <c r="H1210">
        <v>0.1</v>
      </c>
      <c r="I1210" t="s">
        <v>1812</v>
      </c>
      <c r="J1210">
        <v>1568.943</v>
      </c>
      <c r="K1210" t="s">
        <v>990</v>
      </c>
      <c r="L1210">
        <v>25</v>
      </c>
      <c r="M1210" t="str">
        <v>Male</v>
      </c>
      <c r="N1210" t="str">
        <f>VLOOKUP(C:C,Customer_Dim!B:I,5,1)</f>
        <v>Richardsport</v>
      </c>
      <c r="O1210" t="str">
        <f>VLOOKUP(C:C,Customer_Dim!B:I,6,1)</f>
        <v>New Hampshire</v>
      </c>
      <c r="P1210" t="str">
        <f>VLOOKUP(C:C,Customer_Dim!B:I,7,1)</f>
        <v>USA</v>
      </c>
      <c r="Q1210" t="str">
        <f>VLOOKUP(C:C,Customer_Dim!B:I,8,1)</f>
        <v>Gold</v>
      </c>
      <c r="S1210">
        <v>3</v>
      </c>
      <c r="T1210">
        <v>581.09</v>
      </c>
      <c r="U1210">
        <v>0.1</v>
      </c>
      <c r="V1210">
        <v>1568.943</v>
      </c>
      <c r="X1210" s="4">
        <v>3</v>
      </c>
      <c r="Y1210">
        <v>581.09</v>
      </c>
      <c r="Z1210">
        <v>0.1</v>
      </c>
      <c r="AA1210">
        <v>1568.943</v>
      </c>
    </row>
    <row r="1211" spans="1:27" x14ac:dyDescent="0.3">
      <c r="A1211" t="s">
        <v>3018</v>
      </c>
      <c r="B1211" s="2">
        <v>45862</v>
      </c>
      <c r="C1211" t="s">
        <v>202</v>
      </c>
      <c r="D1211" t="s">
        <v>1591</v>
      </c>
      <c r="E1211" t="s">
        <v>1752</v>
      </c>
      <c r="F1211" s="4">
        <v>4</v>
      </c>
      <c r="G1211">
        <v>153.94999999999999</v>
      </c>
      <c r="H1211">
        <v>0.11</v>
      </c>
      <c r="I1211" t="s">
        <v>1809</v>
      </c>
      <c r="J1211">
        <v>548.06200000000001</v>
      </c>
      <c r="K1211" t="s">
        <v>203</v>
      </c>
      <c r="L1211">
        <v>56</v>
      </c>
      <c r="M1211" t="str">
        <v>Female</v>
      </c>
      <c r="N1211" t="str">
        <f>VLOOKUP(C:C,Customer_Dim!B:I,5,1)</f>
        <v>Christopherland</v>
      </c>
      <c r="O1211" t="str">
        <f>VLOOKUP(C:C,Customer_Dim!B:I,6,1)</f>
        <v>Oklahoma</v>
      </c>
      <c r="P1211" t="str">
        <f>VLOOKUP(C:C,Customer_Dim!B:I,7,1)</f>
        <v>USA</v>
      </c>
      <c r="Q1211" t="str">
        <f>VLOOKUP(C:C,Customer_Dim!B:I,8,1)</f>
        <v>Platinum</v>
      </c>
      <c r="S1211">
        <v>4</v>
      </c>
      <c r="T1211">
        <v>153.94999999999999</v>
      </c>
      <c r="U1211">
        <v>0.11</v>
      </c>
      <c r="V1211">
        <v>548.06200000000001</v>
      </c>
      <c r="X1211" s="4">
        <v>4</v>
      </c>
      <c r="Y1211">
        <v>153.94999999999999</v>
      </c>
      <c r="Z1211">
        <v>0.11</v>
      </c>
      <c r="AA1211">
        <v>548.06200000000001</v>
      </c>
    </row>
    <row r="1212" spans="1:27" x14ac:dyDescent="0.3">
      <c r="A1212" t="s">
        <v>3019</v>
      </c>
      <c r="B1212" s="2">
        <v>45530</v>
      </c>
      <c r="C1212" t="s">
        <v>292</v>
      </c>
      <c r="D1212" t="s">
        <v>1603</v>
      </c>
      <c r="E1212" t="s">
        <v>1765</v>
      </c>
      <c r="F1212" s="4">
        <v>4</v>
      </c>
      <c r="G1212">
        <v>271.04000000000002</v>
      </c>
      <c r="H1212">
        <v>0.12</v>
      </c>
      <c r="I1212" t="s">
        <v>1812</v>
      </c>
      <c r="J1212">
        <v>954.06080000000009</v>
      </c>
      <c r="K1212" t="s">
        <v>293</v>
      </c>
      <c r="L1212">
        <v>53</v>
      </c>
      <c r="M1212" t="str">
        <v>Male</v>
      </c>
      <c r="N1212" t="str">
        <f>VLOOKUP(C:C,Customer_Dim!B:I,5,1)</f>
        <v>South David</v>
      </c>
      <c r="O1212" t="str">
        <f>VLOOKUP(C:C,Customer_Dim!B:I,6,1)</f>
        <v>Arizona</v>
      </c>
      <c r="P1212" t="str">
        <f>VLOOKUP(C:C,Customer_Dim!B:I,7,1)</f>
        <v>USA</v>
      </c>
      <c r="Q1212" t="str">
        <f>VLOOKUP(C:C,Customer_Dim!B:I,8,1)</f>
        <v>Platinum</v>
      </c>
      <c r="S1212">
        <v>4</v>
      </c>
      <c r="T1212">
        <v>271.04000000000002</v>
      </c>
      <c r="U1212">
        <v>0.12</v>
      </c>
      <c r="V1212">
        <v>954.06080000000009</v>
      </c>
      <c r="X1212" s="4">
        <v>4</v>
      </c>
      <c r="Y1212">
        <v>271.04000000000002</v>
      </c>
      <c r="Z1212">
        <v>0.12</v>
      </c>
      <c r="AA1212">
        <v>954.06080000000009</v>
      </c>
    </row>
    <row r="1213" spans="1:27" x14ac:dyDescent="0.3">
      <c r="A1213" t="s">
        <v>3020</v>
      </c>
      <c r="B1213" s="2">
        <v>45558</v>
      </c>
      <c r="C1213" t="s">
        <v>71</v>
      </c>
      <c r="D1213" t="s">
        <v>1601</v>
      </c>
      <c r="E1213" t="s">
        <v>1759</v>
      </c>
      <c r="F1213" s="4">
        <v>4</v>
      </c>
      <c r="G1213">
        <v>328.27</v>
      </c>
      <c r="H1213">
        <v>0.09</v>
      </c>
      <c r="I1213" t="s">
        <v>1809</v>
      </c>
      <c r="J1213">
        <v>1194.9028000000001</v>
      </c>
      <c r="K1213" t="s">
        <v>72</v>
      </c>
      <c r="L1213">
        <v>24</v>
      </c>
      <c r="M1213" t="str">
        <v>Female</v>
      </c>
      <c r="N1213" t="str">
        <f>VLOOKUP(C:C,Customer_Dim!B:I,5,1)</f>
        <v>Lawsonhaven</v>
      </c>
      <c r="O1213" t="str">
        <f>VLOOKUP(C:C,Customer_Dim!B:I,6,1)</f>
        <v>Washington</v>
      </c>
      <c r="P1213" t="str">
        <f>VLOOKUP(C:C,Customer_Dim!B:I,7,1)</f>
        <v>USA</v>
      </c>
      <c r="Q1213" t="str">
        <f>VLOOKUP(C:C,Customer_Dim!B:I,8,1)</f>
        <v>Platinum</v>
      </c>
      <c r="S1213">
        <v>4</v>
      </c>
      <c r="T1213">
        <v>328.27</v>
      </c>
      <c r="U1213">
        <v>0.09</v>
      </c>
      <c r="V1213">
        <v>1194.9028000000001</v>
      </c>
      <c r="X1213" s="4">
        <v>4</v>
      </c>
      <c r="Y1213">
        <v>328.27</v>
      </c>
      <c r="Z1213">
        <v>0.09</v>
      </c>
      <c r="AA1213">
        <v>1194.9028000000001</v>
      </c>
    </row>
    <row r="1214" spans="1:27" x14ac:dyDescent="0.3">
      <c r="A1214" t="s">
        <v>3021</v>
      </c>
      <c r="B1214" s="2">
        <v>45472</v>
      </c>
      <c r="C1214" t="s">
        <v>1501</v>
      </c>
      <c r="D1214" t="s">
        <v>1565</v>
      </c>
      <c r="E1214" t="s">
        <v>1782</v>
      </c>
      <c r="F1214" s="4">
        <v>4</v>
      </c>
      <c r="G1214">
        <v>884.71</v>
      </c>
      <c r="H1214">
        <v>0.09</v>
      </c>
      <c r="I1214" t="s">
        <v>1809</v>
      </c>
      <c r="J1214">
        <v>3220.3444</v>
      </c>
      <c r="K1214" t="s">
        <v>1502</v>
      </c>
      <c r="L1214">
        <v>23</v>
      </c>
      <c r="M1214" t="str">
        <v>Female</v>
      </c>
      <c r="N1214" t="str">
        <f>VLOOKUP(C:C,Customer_Dim!B:I,5,1)</f>
        <v>Port Cheryl</v>
      </c>
      <c r="O1214" t="str">
        <f>VLOOKUP(C:C,Customer_Dim!B:I,6,1)</f>
        <v>Texas</v>
      </c>
      <c r="P1214" t="str">
        <f>VLOOKUP(C:C,Customer_Dim!B:I,7,1)</f>
        <v>USA</v>
      </c>
      <c r="Q1214" t="str">
        <f>VLOOKUP(C:C,Customer_Dim!B:I,8,1)</f>
        <v>Gold</v>
      </c>
      <c r="S1214">
        <v>4</v>
      </c>
      <c r="T1214">
        <v>884.71</v>
      </c>
      <c r="U1214">
        <v>0.09</v>
      </c>
      <c r="V1214">
        <v>3220.3444</v>
      </c>
      <c r="X1214" s="4">
        <v>4</v>
      </c>
      <c r="Y1214">
        <v>884.71</v>
      </c>
      <c r="Z1214">
        <v>0.09</v>
      </c>
      <c r="AA1214">
        <v>3220.3444</v>
      </c>
    </row>
    <row r="1215" spans="1:27" x14ac:dyDescent="0.3">
      <c r="A1215" t="s">
        <v>3022</v>
      </c>
      <c r="B1215" s="2">
        <v>45809</v>
      </c>
      <c r="C1215" t="s">
        <v>791</v>
      </c>
      <c r="D1215" t="s">
        <v>1675</v>
      </c>
      <c r="E1215" t="s">
        <v>1752</v>
      </c>
      <c r="F1215" s="4">
        <v>1</v>
      </c>
      <c r="G1215">
        <v>41.39</v>
      </c>
      <c r="H1215">
        <v>0.01</v>
      </c>
      <c r="I1215" t="s">
        <v>1807</v>
      </c>
      <c r="J1215">
        <v>40.976100000000002</v>
      </c>
      <c r="K1215" t="s">
        <v>792</v>
      </c>
      <c r="L1215">
        <v>48</v>
      </c>
      <c r="M1215" t="str">
        <v>Male</v>
      </c>
      <c r="N1215" t="str">
        <f>VLOOKUP(C:C,Customer_Dim!B:I,5,1)</f>
        <v>Garciamouth</v>
      </c>
      <c r="O1215" t="str">
        <f>VLOOKUP(C:C,Customer_Dim!B:I,6,1)</f>
        <v>New York</v>
      </c>
      <c r="P1215" t="str">
        <f>VLOOKUP(C:C,Customer_Dim!B:I,7,1)</f>
        <v>USA</v>
      </c>
      <c r="Q1215" t="str">
        <f>VLOOKUP(C:C,Customer_Dim!B:I,8,1)</f>
        <v>Gold</v>
      </c>
      <c r="S1215">
        <v>1</v>
      </c>
      <c r="T1215">
        <v>41.39</v>
      </c>
      <c r="U1215">
        <v>0.01</v>
      </c>
      <c r="V1215">
        <v>40.976100000000002</v>
      </c>
      <c r="X1215" s="4">
        <v>1</v>
      </c>
      <c r="Y1215">
        <v>41.39</v>
      </c>
      <c r="Z1215">
        <v>0.01</v>
      </c>
      <c r="AA1215">
        <v>40.976100000000002</v>
      </c>
    </row>
    <row r="1216" spans="1:27" x14ac:dyDescent="0.3">
      <c r="A1216" t="s">
        <v>3023</v>
      </c>
      <c r="B1216" s="2">
        <v>45783</v>
      </c>
      <c r="C1216" t="s">
        <v>545</v>
      </c>
      <c r="D1216" t="s">
        <v>1645</v>
      </c>
      <c r="E1216" t="s">
        <v>1769</v>
      </c>
      <c r="F1216" s="4">
        <v>4</v>
      </c>
      <c r="G1216">
        <v>64.06</v>
      </c>
      <c r="H1216">
        <v>0.26</v>
      </c>
      <c r="I1216" t="s">
        <v>1807</v>
      </c>
      <c r="J1216">
        <v>189.61760000000001</v>
      </c>
      <c r="K1216" t="s">
        <v>546</v>
      </c>
      <c r="L1216">
        <v>25</v>
      </c>
      <c r="M1216" t="str">
        <v>Female</v>
      </c>
      <c r="N1216" t="str">
        <f>VLOOKUP(C:C,Customer_Dim!B:I,5,1)</f>
        <v>Carolview</v>
      </c>
      <c r="O1216" t="str">
        <f>VLOOKUP(C:C,Customer_Dim!B:I,6,1)</f>
        <v>Illinois</v>
      </c>
      <c r="P1216" t="str">
        <f>VLOOKUP(C:C,Customer_Dim!B:I,7,1)</f>
        <v>USA</v>
      </c>
      <c r="Q1216" t="str">
        <f>VLOOKUP(C:C,Customer_Dim!B:I,8,1)</f>
        <v>Platinum</v>
      </c>
      <c r="S1216">
        <v>4</v>
      </c>
      <c r="T1216">
        <v>64.06</v>
      </c>
      <c r="U1216">
        <v>0.26</v>
      </c>
      <c r="V1216">
        <v>189.61760000000001</v>
      </c>
      <c r="X1216" s="4">
        <v>4</v>
      </c>
      <c r="Y1216">
        <v>64.06</v>
      </c>
      <c r="Z1216">
        <v>0.26</v>
      </c>
      <c r="AA1216">
        <v>189.61760000000001</v>
      </c>
    </row>
    <row r="1217" spans="1:27" x14ac:dyDescent="0.3">
      <c r="A1217" t="s">
        <v>3024</v>
      </c>
      <c r="B1217" s="2">
        <v>45849</v>
      </c>
      <c r="C1217" t="s">
        <v>1075</v>
      </c>
      <c r="D1217" t="s">
        <v>1623</v>
      </c>
      <c r="E1217" t="s">
        <v>1769</v>
      </c>
      <c r="F1217" s="4">
        <v>2</v>
      </c>
      <c r="G1217">
        <v>152.25</v>
      </c>
      <c r="H1217">
        <v>0.13</v>
      </c>
      <c r="I1217" t="s">
        <v>1807</v>
      </c>
      <c r="J1217">
        <v>264.91500000000002</v>
      </c>
      <c r="K1217" t="s">
        <v>1076</v>
      </c>
      <c r="L1217">
        <v>39</v>
      </c>
      <c r="M1217" t="str">
        <v>Female</v>
      </c>
      <c r="N1217" t="str">
        <f>VLOOKUP(C:C,Customer_Dim!B:I,5,1)</f>
        <v>Port Crystalberg</v>
      </c>
      <c r="O1217" t="str">
        <f>VLOOKUP(C:C,Customer_Dim!B:I,6,1)</f>
        <v>Tennessee</v>
      </c>
      <c r="P1217" t="str">
        <f>VLOOKUP(C:C,Customer_Dim!B:I,7,1)</f>
        <v>USA</v>
      </c>
      <c r="Q1217" t="str">
        <f>VLOOKUP(C:C,Customer_Dim!B:I,8,1)</f>
        <v>Platinum</v>
      </c>
      <c r="S1217">
        <v>2</v>
      </c>
      <c r="T1217">
        <v>152.25</v>
      </c>
      <c r="U1217">
        <v>0.13</v>
      </c>
      <c r="V1217">
        <v>264.91500000000002</v>
      </c>
      <c r="X1217" s="4">
        <v>2</v>
      </c>
      <c r="Y1217">
        <v>152.25</v>
      </c>
      <c r="Z1217">
        <v>0.13</v>
      </c>
      <c r="AA1217">
        <v>264.91500000000002</v>
      </c>
    </row>
    <row r="1218" spans="1:27" x14ac:dyDescent="0.3">
      <c r="A1218" t="s">
        <v>3025</v>
      </c>
      <c r="B1218" s="2">
        <v>45281</v>
      </c>
      <c r="C1218" t="s">
        <v>351</v>
      </c>
      <c r="D1218" t="s">
        <v>1557</v>
      </c>
      <c r="E1218" t="s">
        <v>1796</v>
      </c>
      <c r="F1218" s="4">
        <v>2</v>
      </c>
      <c r="G1218">
        <v>889.04</v>
      </c>
      <c r="H1218">
        <v>0.23</v>
      </c>
      <c r="I1218" t="s">
        <v>1807</v>
      </c>
      <c r="J1218">
        <v>1369.1215999999999</v>
      </c>
      <c r="K1218" t="s">
        <v>352</v>
      </c>
      <c r="L1218">
        <v>29</v>
      </c>
      <c r="M1218" t="str">
        <v>Male</v>
      </c>
      <c r="N1218" t="str">
        <f>VLOOKUP(C:C,Customer_Dim!B:I,5,1)</f>
        <v>North Codyport</v>
      </c>
      <c r="O1218" t="str">
        <f>VLOOKUP(C:C,Customer_Dim!B:I,6,1)</f>
        <v>Texas</v>
      </c>
      <c r="P1218" t="str">
        <f>VLOOKUP(C:C,Customer_Dim!B:I,7,1)</f>
        <v>USA</v>
      </c>
      <c r="Q1218" t="str">
        <f>VLOOKUP(C:C,Customer_Dim!B:I,8,1)</f>
        <v>Platinum</v>
      </c>
      <c r="S1218">
        <v>2</v>
      </c>
      <c r="T1218">
        <v>889.04</v>
      </c>
      <c r="U1218">
        <v>0.23</v>
      </c>
      <c r="V1218">
        <v>1369.1215999999999</v>
      </c>
      <c r="X1218" s="4">
        <v>2</v>
      </c>
      <c r="Y1218">
        <v>889.04</v>
      </c>
      <c r="Z1218">
        <v>0.23</v>
      </c>
      <c r="AA1218">
        <v>1369.1215999999999</v>
      </c>
    </row>
    <row r="1219" spans="1:27" x14ac:dyDescent="0.3">
      <c r="A1219" t="s">
        <v>3026</v>
      </c>
      <c r="B1219" s="2">
        <v>45322</v>
      </c>
      <c r="C1219" t="s">
        <v>533</v>
      </c>
      <c r="D1219" t="s">
        <v>1605</v>
      </c>
      <c r="E1219" t="s">
        <v>1772</v>
      </c>
      <c r="F1219" s="4">
        <v>3</v>
      </c>
      <c r="G1219">
        <v>145.25</v>
      </c>
      <c r="H1219">
        <v>0.24</v>
      </c>
      <c r="I1219" t="s">
        <v>1809</v>
      </c>
      <c r="J1219">
        <v>331.17</v>
      </c>
      <c r="K1219" t="s">
        <v>534</v>
      </c>
      <c r="L1219">
        <v>37</v>
      </c>
      <c r="M1219" t="str">
        <v>Male</v>
      </c>
      <c r="N1219" t="str">
        <f>VLOOKUP(C:C,Customer_Dim!B:I,5,1)</f>
        <v>Hessmouth</v>
      </c>
      <c r="O1219" t="str">
        <f>VLOOKUP(C:C,Customer_Dim!B:I,6,1)</f>
        <v>Arizona</v>
      </c>
      <c r="P1219" t="str">
        <f>VLOOKUP(C:C,Customer_Dim!B:I,7,1)</f>
        <v>USA</v>
      </c>
      <c r="Q1219" t="str">
        <f>VLOOKUP(C:C,Customer_Dim!B:I,8,1)</f>
        <v>Silver</v>
      </c>
      <c r="S1219">
        <v>3</v>
      </c>
      <c r="T1219">
        <v>145.25</v>
      </c>
      <c r="U1219">
        <v>0.24</v>
      </c>
      <c r="V1219">
        <v>331.17</v>
      </c>
      <c r="X1219" s="4">
        <v>3</v>
      </c>
      <c r="Y1219">
        <v>145.25</v>
      </c>
      <c r="Z1219">
        <v>0.24</v>
      </c>
      <c r="AA1219">
        <v>331.17</v>
      </c>
    </row>
    <row r="1220" spans="1:27" x14ac:dyDescent="0.3">
      <c r="A1220" t="s">
        <v>3027</v>
      </c>
      <c r="B1220" s="2">
        <v>45560</v>
      </c>
      <c r="C1220" t="s">
        <v>208</v>
      </c>
      <c r="D1220" t="s">
        <v>1707</v>
      </c>
      <c r="E1220" t="s">
        <v>1744</v>
      </c>
      <c r="F1220" s="4">
        <v>2</v>
      </c>
      <c r="G1220">
        <v>898.45</v>
      </c>
      <c r="H1220">
        <v>0.28999999999999998</v>
      </c>
      <c r="I1220" t="s">
        <v>1812</v>
      </c>
      <c r="J1220">
        <v>1275.799</v>
      </c>
      <c r="K1220" t="s">
        <v>209</v>
      </c>
      <c r="L1220">
        <v>43</v>
      </c>
      <c r="M1220" t="str">
        <v>Female</v>
      </c>
      <c r="N1220" t="str">
        <f>VLOOKUP(C:C,Customer_Dim!B:I,5,1)</f>
        <v>Deborahberg</v>
      </c>
      <c r="O1220" t="str">
        <f>VLOOKUP(C:C,Customer_Dim!B:I,6,1)</f>
        <v>Pennsylvania</v>
      </c>
      <c r="P1220" t="str">
        <f>VLOOKUP(C:C,Customer_Dim!B:I,7,1)</f>
        <v>USA</v>
      </c>
      <c r="Q1220" t="str">
        <f>VLOOKUP(C:C,Customer_Dim!B:I,8,1)</f>
        <v>Gold</v>
      </c>
      <c r="S1220">
        <v>2</v>
      </c>
      <c r="T1220">
        <v>898.45</v>
      </c>
      <c r="U1220">
        <v>0.28999999999999998</v>
      </c>
      <c r="V1220">
        <v>1275.799</v>
      </c>
      <c r="X1220" s="4">
        <v>2</v>
      </c>
      <c r="Y1220">
        <v>898.45</v>
      </c>
      <c r="Z1220">
        <v>0.28999999999999998</v>
      </c>
      <c r="AA1220">
        <v>1275.799</v>
      </c>
    </row>
    <row r="1221" spans="1:27" x14ac:dyDescent="0.3">
      <c r="A1221" t="s">
        <v>3028</v>
      </c>
      <c r="B1221" s="2">
        <v>45905</v>
      </c>
      <c r="C1221" t="s">
        <v>124</v>
      </c>
      <c r="D1221" t="s">
        <v>1601</v>
      </c>
      <c r="E1221" t="s">
        <v>1784</v>
      </c>
      <c r="F1221" s="4">
        <v>4</v>
      </c>
      <c r="G1221">
        <v>642.04999999999995</v>
      </c>
      <c r="H1221">
        <v>0.25</v>
      </c>
      <c r="I1221" t="s">
        <v>1807</v>
      </c>
      <c r="J1221">
        <v>1926.15</v>
      </c>
      <c r="K1221" t="s">
        <v>125</v>
      </c>
      <c r="L1221">
        <v>41</v>
      </c>
      <c r="M1221" t="str">
        <v>Male</v>
      </c>
      <c r="N1221" t="str">
        <f>VLOOKUP(C:C,Customer_Dim!B:I,5,1)</f>
        <v>Amybury</v>
      </c>
      <c r="O1221" t="str">
        <f>VLOOKUP(C:C,Customer_Dim!B:I,6,1)</f>
        <v>Pennsylvania</v>
      </c>
      <c r="P1221" t="str">
        <f>VLOOKUP(C:C,Customer_Dim!B:I,7,1)</f>
        <v>USA</v>
      </c>
      <c r="Q1221" t="str">
        <f>VLOOKUP(C:C,Customer_Dim!B:I,8,1)</f>
        <v>Bronze</v>
      </c>
      <c r="S1221">
        <v>4</v>
      </c>
      <c r="T1221">
        <v>642.04999999999995</v>
      </c>
      <c r="U1221">
        <v>0.25</v>
      </c>
      <c r="V1221">
        <v>1926.15</v>
      </c>
      <c r="X1221" s="4">
        <v>4</v>
      </c>
      <c r="Y1221">
        <v>642.04999999999995</v>
      </c>
      <c r="Z1221">
        <v>0.25</v>
      </c>
      <c r="AA1221">
        <v>1926.15</v>
      </c>
    </row>
    <row r="1222" spans="1:27" x14ac:dyDescent="0.3">
      <c r="A1222" t="s">
        <v>3029</v>
      </c>
      <c r="B1222" s="2">
        <v>45531</v>
      </c>
      <c r="C1222" t="s">
        <v>977</v>
      </c>
      <c r="D1222" t="s">
        <v>1699</v>
      </c>
      <c r="E1222" t="s">
        <v>1762</v>
      </c>
      <c r="F1222" s="4">
        <v>4</v>
      </c>
      <c r="G1222">
        <v>450.83</v>
      </c>
      <c r="H1222">
        <v>0.24</v>
      </c>
      <c r="I1222" t="s">
        <v>1807</v>
      </c>
      <c r="J1222">
        <v>1370.5232000000001</v>
      </c>
      <c r="K1222" t="s">
        <v>978</v>
      </c>
      <c r="L1222">
        <v>53</v>
      </c>
      <c r="M1222" t="str">
        <v>Female</v>
      </c>
      <c r="N1222" t="str">
        <f>VLOOKUP(C:C,Customer_Dim!B:I,5,1)</f>
        <v>Brownburgh</v>
      </c>
      <c r="O1222" t="str">
        <f>VLOOKUP(C:C,Customer_Dim!B:I,6,1)</f>
        <v>Maryland</v>
      </c>
      <c r="P1222" t="str">
        <f>VLOOKUP(C:C,Customer_Dim!B:I,7,1)</f>
        <v>USA</v>
      </c>
      <c r="Q1222" t="str">
        <f>VLOOKUP(C:C,Customer_Dim!B:I,8,1)</f>
        <v>Platinum</v>
      </c>
      <c r="S1222">
        <v>4</v>
      </c>
      <c r="T1222">
        <v>450.83</v>
      </c>
      <c r="U1222">
        <v>0.24</v>
      </c>
      <c r="V1222">
        <v>1370.5232000000001</v>
      </c>
      <c r="X1222" s="4">
        <v>4</v>
      </c>
      <c r="Y1222">
        <v>450.83</v>
      </c>
      <c r="Z1222">
        <v>0.24</v>
      </c>
      <c r="AA1222">
        <v>1370.5232000000001</v>
      </c>
    </row>
    <row r="1223" spans="1:27" x14ac:dyDescent="0.3">
      <c r="A1223" t="s">
        <v>3030</v>
      </c>
      <c r="B1223" s="2">
        <v>45216</v>
      </c>
      <c r="C1223" t="s">
        <v>52</v>
      </c>
      <c r="D1223" t="s">
        <v>1635</v>
      </c>
      <c r="E1223" t="s">
        <v>1796</v>
      </c>
      <c r="F1223" s="4">
        <v>2</v>
      </c>
      <c r="G1223">
        <v>441.03</v>
      </c>
      <c r="H1223">
        <v>0.23</v>
      </c>
      <c r="I1223" t="s">
        <v>1812</v>
      </c>
      <c r="J1223">
        <v>679.18619999999999</v>
      </c>
      <c r="K1223" t="s">
        <v>53</v>
      </c>
      <c r="L1223">
        <v>28</v>
      </c>
      <c r="M1223" t="str">
        <v>Female</v>
      </c>
      <c r="N1223" t="str">
        <f>VLOOKUP(C:C,Customer_Dim!B:I,5,1)</f>
        <v>Port Michaelburgh</v>
      </c>
      <c r="O1223" t="str">
        <f>VLOOKUP(C:C,Customer_Dim!B:I,6,1)</f>
        <v>Pennsylvania</v>
      </c>
      <c r="P1223" t="str">
        <f>VLOOKUP(C:C,Customer_Dim!B:I,7,1)</f>
        <v>USA</v>
      </c>
      <c r="Q1223" t="str">
        <f>VLOOKUP(C:C,Customer_Dim!B:I,8,1)</f>
        <v>Bronze</v>
      </c>
      <c r="S1223">
        <v>2</v>
      </c>
      <c r="T1223">
        <v>441.03</v>
      </c>
      <c r="U1223">
        <v>0.23</v>
      </c>
      <c r="V1223">
        <v>679.18619999999999</v>
      </c>
      <c r="X1223" s="4">
        <v>2</v>
      </c>
      <c r="Y1223">
        <v>441.03</v>
      </c>
      <c r="Z1223">
        <v>0.23</v>
      </c>
      <c r="AA1223">
        <v>679.18619999999999</v>
      </c>
    </row>
    <row r="1224" spans="1:27" x14ac:dyDescent="0.3">
      <c r="A1224" t="s">
        <v>3031</v>
      </c>
      <c r="B1224" s="2">
        <v>45384</v>
      </c>
      <c r="C1224" t="s">
        <v>295</v>
      </c>
      <c r="D1224" t="s">
        <v>1581</v>
      </c>
      <c r="E1224" t="s">
        <v>1744</v>
      </c>
      <c r="F1224" s="4">
        <v>3</v>
      </c>
      <c r="G1224">
        <v>377.69</v>
      </c>
      <c r="H1224">
        <v>7.0000000000000007E-2</v>
      </c>
      <c r="I1224" t="s">
        <v>1809</v>
      </c>
      <c r="J1224">
        <v>1053.7551000000001</v>
      </c>
      <c r="K1224" t="s">
        <v>296</v>
      </c>
      <c r="L1224">
        <v>48</v>
      </c>
      <c r="M1224" t="str">
        <v>Female</v>
      </c>
      <c r="N1224" t="str">
        <f>VLOOKUP(C:C,Customer_Dim!B:I,5,1)</f>
        <v>Leburgh</v>
      </c>
      <c r="O1224" t="str">
        <f>VLOOKUP(C:C,Customer_Dim!B:I,6,1)</f>
        <v>Florida</v>
      </c>
      <c r="P1224" t="str">
        <f>VLOOKUP(C:C,Customer_Dim!B:I,7,1)</f>
        <v>USA</v>
      </c>
      <c r="Q1224" t="str">
        <f>VLOOKUP(C:C,Customer_Dim!B:I,8,1)</f>
        <v>Bronze</v>
      </c>
      <c r="S1224">
        <v>3</v>
      </c>
      <c r="T1224">
        <v>377.69</v>
      </c>
      <c r="U1224">
        <v>7.0000000000000007E-2</v>
      </c>
      <c r="V1224">
        <v>1053.7551000000001</v>
      </c>
      <c r="X1224" s="4">
        <v>3</v>
      </c>
      <c r="Y1224">
        <v>377.69</v>
      </c>
      <c r="Z1224">
        <v>7.0000000000000007E-2</v>
      </c>
      <c r="AA1224">
        <v>1053.7551000000001</v>
      </c>
    </row>
    <row r="1225" spans="1:27" x14ac:dyDescent="0.3">
      <c r="A1225" t="s">
        <v>3032</v>
      </c>
      <c r="B1225" s="2">
        <v>45416</v>
      </c>
      <c r="C1225" t="s">
        <v>530</v>
      </c>
      <c r="D1225" t="s">
        <v>1551</v>
      </c>
      <c r="E1225" t="s">
        <v>1762</v>
      </c>
      <c r="F1225" s="4">
        <v>1</v>
      </c>
      <c r="G1225">
        <v>457.33</v>
      </c>
      <c r="H1225">
        <v>0.27</v>
      </c>
      <c r="I1225" t="s">
        <v>1807</v>
      </c>
      <c r="J1225">
        <v>333.85090000000002</v>
      </c>
      <c r="K1225" t="s">
        <v>531</v>
      </c>
      <c r="L1225">
        <v>18</v>
      </c>
      <c r="M1225" t="str">
        <v>Female</v>
      </c>
      <c r="N1225" t="str">
        <f>VLOOKUP(C:C,Customer_Dim!B:I,5,1)</f>
        <v>New Juliemouth</v>
      </c>
      <c r="O1225" t="str">
        <f>VLOOKUP(C:C,Customer_Dim!B:I,6,1)</f>
        <v>North Carolina</v>
      </c>
      <c r="P1225" t="str">
        <f>VLOOKUP(C:C,Customer_Dim!B:I,7,1)</f>
        <v>USA</v>
      </c>
      <c r="Q1225" t="str">
        <f>VLOOKUP(C:C,Customer_Dim!B:I,8,1)</f>
        <v>Platinum</v>
      </c>
      <c r="S1225">
        <v>1</v>
      </c>
      <c r="T1225">
        <v>457.33</v>
      </c>
      <c r="U1225">
        <v>0.27</v>
      </c>
      <c r="V1225">
        <v>333.85090000000002</v>
      </c>
      <c r="X1225" s="4">
        <v>1</v>
      </c>
      <c r="Y1225">
        <v>457.33</v>
      </c>
      <c r="Z1225">
        <v>0.27</v>
      </c>
      <c r="AA1225">
        <v>333.85090000000002</v>
      </c>
    </row>
    <row r="1226" spans="1:27" x14ac:dyDescent="0.3">
      <c r="A1226" t="s">
        <v>3033</v>
      </c>
      <c r="B1226" s="2">
        <v>45880</v>
      </c>
      <c r="C1226" t="s">
        <v>776</v>
      </c>
      <c r="D1226" t="s">
        <v>1683</v>
      </c>
      <c r="E1226" t="s">
        <v>1759</v>
      </c>
      <c r="F1226" s="4">
        <v>4</v>
      </c>
      <c r="G1226">
        <v>218.01</v>
      </c>
      <c r="H1226">
        <v>0.06</v>
      </c>
      <c r="I1226" t="s">
        <v>1807</v>
      </c>
      <c r="J1226">
        <v>819.71759999999995</v>
      </c>
      <c r="K1226" t="s">
        <v>777</v>
      </c>
      <c r="L1226">
        <v>57</v>
      </c>
      <c r="M1226" t="str">
        <v>Female</v>
      </c>
      <c r="N1226" t="str">
        <f>VLOOKUP(C:C,Customer_Dim!B:I,5,1)</f>
        <v>West Julia</v>
      </c>
      <c r="O1226" t="str">
        <f>VLOOKUP(C:C,Customer_Dim!B:I,6,1)</f>
        <v>Utah</v>
      </c>
      <c r="P1226" t="str">
        <f>VLOOKUP(C:C,Customer_Dim!B:I,7,1)</f>
        <v>USA</v>
      </c>
      <c r="Q1226" t="str">
        <f>VLOOKUP(C:C,Customer_Dim!B:I,8,1)</f>
        <v>Bronze</v>
      </c>
      <c r="S1226">
        <v>4</v>
      </c>
      <c r="T1226">
        <v>218.01</v>
      </c>
      <c r="U1226">
        <v>0.06</v>
      </c>
      <c r="V1226">
        <v>819.71759999999995</v>
      </c>
      <c r="X1226" s="4">
        <v>4</v>
      </c>
      <c r="Y1226">
        <v>218.01</v>
      </c>
      <c r="Z1226">
        <v>0.06</v>
      </c>
      <c r="AA1226">
        <v>819.71759999999995</v>
      </c>
    </row>
    <row r="1227" spans="1:27" x14ac:dyDescent="0.3">
      <c r="A1227" t="s">
        <v>3034</v>
      </c>
      <c r="B1227" s="2">
        <v>45933</v>
      </c>
      <c r="C1227" t="s">
        <v>702</v>
      </c>
      <c r="D1227" t="s">
        <v>1715</v>
      </c>
      <c r="E1227" t="s">
        <v>1793</v>
      </c>
      <c r="F1227" s="4">
        <v>2</v>
      </c>
      <c r="G1227">
        <v>682.7</v>
      </c>
      <c r="H1227">
        <v>0.13</v>
      </c>
      <c r="I1227" t="s">
        <v>1807</v>
      </c>
      <c r="J1227">
        <v>1187.8979999999999</v>
      </c>
      <c r="K1227" t="s">
        <v>703</v>
      </c>
      <c r="L1227">
        <v>47</v>
      </c>
      <c r="M1227" t="str">
        <v>Female</v>
      </c>
      <c r="N1227" t="str">
        <f>VLOOKUP(C:C,Customer_Dim!B:I,5,1)</f>
        <v>Edwardland</v>
      </c>
      <c r="O1227" t="str">
        <f>VLOOKUP(C:C,Customer_Dim!B:I,6,1)</f>
        <v>California</v>
      </c>
      <c r="P1227" t="str">
        <f>VLOOKUP(C:C,Customer_Dim!B:I,7,1)</f>
        <v>USA</v>
      </c>
      <c r="Q1227" t="str">
        <f>VLOOKUP(C:C,Customer_Dim!B:I,8,1)</f>
        <v>Platinum</v>
      </c>
      <c r="S1227">
        <v>2</v>
      </c>
      <c r="T1227">
        <v>682.7</v>
      </c>
      <c r="U1227">
        <v>0.13</v>
      </c>
      <c r="V1227">
        <v>1187.8979999999999</v>
      </c>
      <c r="X1227" s="4">
        <v>2</v>
      </c>
      <c r="Y1227">
        <v>682.7</v>
      </c>
      <c r="Z1227">
        <v>0.13</v>
      </c>
      <c r="AA1227">
        <v>1187.8979999999999</v>
      </c>
    </row>
    <row r="1228" spans="1:27" x14ac:dyDescent="0.3">
      <c r="A1228" t="s">
        <v>3035</v>
      </c>
      <c r="B1228" s="2">
        <v>45345</v>
      </c>
      <c r="C1228" t="s">
        <v>1007</v>
      </c>
      <c r="D1228" t="s">
        <v>1569</v>
      </c>
      <c r="E1228" t="s">
        <v>1793</v>
      </c>
      <c r="F1228" s="4">
        <v>3</v>
      </c>
      <c r="G1228">
        <v>726.97</v>
      </c>
      <c r="H1228">
        <v>0.04</v>
      </c>
      <c r="I1228" t="s">
        <v>1809</v>
      </c>
      <c r="J1228">
        <v>2093.6736000000001</v>
      </c>
      <c r="K1228" t="s">
        <v>1008</v>
      </c>
      <c r="L1228">
        <v>58</v>
      </c>
      <c r="M1228" t="str">
        <v>Male</v>
      </c>
      <c r="N1228" t="str">
        <f>VLOOKUP(C:C,Customer_Dim!B:I,5,1)</f>
        <v>Whiteport</v>
      </c>
      <c r="O1228" t="str">
        <f>VLOOKUP(C:C,Customer_Dim!B:I,6,1)</f>
        <v>North Carolina</v>
      </c>
      <c r="P1228" t="str">
        <f>VLOOKUP(C:C,Customer_Dim!B:I,7,1)</f>
        <v>USA</v>
      </c>
      <c r="Q1228" t="str">
        <f>VLOOKUP(C:C,Customer_Dim!B:I,8,1)</f>
        <v>Platinum</v>
      </c>
      <c r="S1228">
        <v>3</v>
      </c>
      <c r="T1228">
        <v>726.97</v>
      </c>
      <c r="U1228">
        <v>0.04</v>
      </c>
      <c r="V1228">
        <v>2093.6736000000001</v>
      </c>
      <c r="X1228" s="4">
        <v>3</v>
      </c>
      <c r="Y1228">
        <v>726.97</v>
      </c>
      <c r="Z1228">
        <v>0.04</v>
      </c>
      <c r="AA1228">
        <v>2093.6736000000001</v>
      </c>
    </row>
    <row r="1229" spans="1:27" x14ac:dyDescent="0.3">
      <c r="A1229" t="s">
        <v>3036</v>
      </c>
      <c r="B1229" s="2">
        <v>45681</v>
      </c>
      <c r="C1229" t="s">
        <v>1255</v>
      </c>
      <c r="D1229" t="s">
        <v>1649</v>
      </c>
      <c r="E1229" t="s">
        <v>1769</v>
      </c>
      <c r="F1229" s="4">
        <v>2</v>
      </c>
      <c r="G1229">
        <v>107.97</v>
      </c>
      <c r="H1229">
        <v>0.06</v>
      </c>
      <c r="I1229" t="s">
        <v>1807</v>
      </c>
      <c r="J1229">
        <v>202.9836</v>
      </c>
      <c r="K1229" t="s">
        <v>1256</v>
      </c>
      <c r="L1229">
        <v>55</v>
      </c>
      <c r="M1229" t="str">
        <v>Male</v>
      </c>
      <c r="N1229" t="str">
        <f>VLOOKUP(C:C,Customer_Dim!B:I,5,1)</f>
        <v>Port Joshuaville</v>
      </c>
      <c r="O1229" t="str">
        <f>VLOOKUP(C:C,Customer_Dim!B:I,6,1)</f>
        <v>New Jersey</v>
      </c>
      <c r="P1229" t="str">
        <f>VLOOKUP(C:C,Customer_Dim!B:I,7,1)</f>
        <v>USA</v>
      </c>
      <c r="Q1229" t="str">
        <f>VLOOKUP(C:C,Customer_Dim!B:I,8,1)</f>
        <v>Gold</v>
      </c>
      <c r="S1229">
        <v>2</v>
      </c>
      <c r="T1229">
        <v>107.97</v>
      </c>
      <c r="U1229">
        <v>0.06</v>
      </c>
      <c r="V1229">
        <v>202.9836</v>
      </c>
      <c r="X1229" s="4">
        <v>2</v>
      </c>
      <c r="Y1229">
        <v>107.97</v>
      </c>
      <c r="Z1229">
        <v>0.06</v>
      </c>
      <c r="AA1229">
        <v>202.9836</v>
      </c>
    </row>
    <row r="1230" spans="1:27" x14ac:dyDescent="0.3">
      <c r="A1230" t="s">
        <v>3037</v>
      </c>
      <c r="B1230" s="2">
        <v>45785</v>
      </c>
      <c r="C1230" t="s">
        <v>40</v>
      </c>
      <c r="D1230" t="s">
        <v>1538</v>
      </c>
      <c r="E1230" t="s">
        <v>1782</v>
      </c>
      <c r="F1230" s="4">
        <v>1</v>
      </c>
      <c r="G1230">
        <v>38.880000000000003</v>
      </c>
      <c r="H1230">
        <v>0.16</v>
      </c>
      <c r="I1230" t="s">
        <v>1812</v>
      </c>
      <c r="J1230">
        <v>32.659199999999998</v>
      </c>
      <c r="K1230" t="s">
        <v>41</v>
      </c>
      <c r="L1230">
        <v>53</v>
      </c>
      <c r="M1230" t="str">
        <v>Female</v>
      </c>
      <c r="N1230" t="str">
        <f>VLOOKUP(C:C,Customer_Dim!B:I,5,1)</f>
        <v>West Pamelafurt</v>
      </c>
      <c r="O1230" t="str">
        <f>VLOOKUP(C:C,Customer_Dim!B:I,6,1)</f>
        <v>West Virginia</v>
      </c>
      <c r="P1230" t="str">
        <f>VLOOKUP(C:C,Customer_Dim!B:I,7,1)</f>
        <v>USA</v>
      </c>
      <c r="Q1230" t="str">
        <f>VLOOKUP(C:C,Customer_Dim!B:I,8,1)</f>
        <v>Bronze</v>
      </c>
      <c r="S1230">
        <v>1</v>
      </c>
      <c r="T1230">
        <v>38.880000000000003</v>
      </c>
      <c r="U1230">
        <v>0.16</v>
      </c>
      <c r="V1230">
        <v>32.659199999999998</v>
      </c>
      <c r="X1230" s="4">
        <v>1</v>
      </c>
      <c r="Y1230">
        <v>38.880000000000003</v>
      </c>
      <c r="Z1230">
        <v>0.16</v>
      </c>
      <c r="AA1230">
        <v>32.659199999999998</v>
      </c>
    </row>
    <row r="1231" spans="1:27" x14ac:dyDescent="0.3">
      <c r="A1231" t="s">
        <v>3038</v>
      </c>
      <c r="B1231" s="2">
        <v>45823</v>
      </c>
      <c r="C1231" t="s">
        <v>281</v>
      </c>
      <c r="D1231" t="s">
        <v>1563</v>
      </c>
      <c r="E1231" t="s">
        <v>1790</v>
      </c>
      <c r="F1231" s="4">
        <v>3</v>
      </c>
      <c r="G1231">
        <v>484.39</v>
      </c>
      <c r="H1231">
        <v>0.28999999999999998</v>
      </c>
      <c r="I1231" t="s">
        <v>1812</v>
      </c>
      <c r="J1231">
        <v>1031.7507000000001</v>
      </c>
      <c r="K1231" t="s">
        <v>282</v>
      </c>
      <c r="L1231">
        <v>22</v>
      </c>
      <c r="M1231" t="str">
        <v>Female</v>
      </c>
      <c r="N1231" t="str">
        <f>VLOOKUP(C:C,Customer_Dim!B:I,5,1)</f>
        <v>North Scottport</v>
      </c>
      <c r="O1231" t="str">
        <f>VLOOKUP(C:C,Customer_Dim!B:I,6,1)</f>
        <v>Virginia</v>
      </c>
      <c r="P1231" t="str">
        <f>VLOOKUP(C:C,Customer_Dim!B:I,7,1)</f>
        <v>USA</v>
      </c>
      <c r="Q1231" t="str">
        <f>VLOOKUP(C:C,Customer_Dim!B:I,8,1)</f>
        <v>Gold</v>
      </c>
      <c r="S1231">
        <v>3</v>
      </c>
      <c r="T1231">
        <v>484.39</v>
      </c>
      <c r="U1231">
        <v>0.28999999999999998</v>
      </c>
      <c r="V1231">
        <v>1031.7507000000001</v>
      </c>
      <c r="X1231" s="4">
        <v>3</v>
      </c>
      <c r="Y1231">
        <v>484.39</v>
      </c>
      <c r="Z1231">
        <v>0.28999999999999998</v>
      </c>
      <c r="AA1231">
        <v>1031.7507000000001</v>
      </c>
    </row>
    <row r="1232" spans="1:27" x14ac:dyDescent="0.3">
      <c r="A1232" t="s">
        <v>3039</v>
      </c>
      <c r="B1232" s="2">
        <v>45572</v>
      </c>
      <c r="C1232" t="s">
        <v>82</v>
      </c>
      <c r="D1232" t="s">
        <v>1691</v>
      </c>
      <c r="E1232" t="s">
        <v>1784</v>
      </c>
      <c r="F1232" s="4">
        <v>2</v>
      </c>
      <c r="G1232">
        <v>949.3</v>
      </c>
      <c r="H1232">
        <v>0.08</v>
      </c>
      <c r="I1232" t="s">
        <v>1812</v>
      </c>
      <c r="J1232">
        <v>1746.712</v>
      </c>
      <c r="K1232" t="s">
        <v>83</v>
      </c>
      <c r="L1232">
        <v>46</v>
      </c>
      <c r="M1232" t="str">
        <v>Female</v>
      </c>
      <c r="N1232" t="str">
        <f>VLOOKUP(C:C,Customer_Dim!B:I,5,1)</f>
        <v>South William</v>
      </c>
      <c r="O1232" t="str">
        <f>VLOOKUP(C:C,Customer_Dim!B:I,6,1)</f>
        <v>Kansas</v>
      </c>
      <c r="P1232" t="str">
        <f>VLOOKUP(C:C,Customer_Dim!B:I,7,1)</f>
        <v>USA</v>
      </c>
      <c r="Q1232" t="str">
        <f>VLOOKUP(C:C,Customer_Dim!B:I,8,1)</f>
        <v>Platinum</v>
      </c>
      <c r="S1232">
        <v>2</v>
      </c>
      <c r="T1232">
        <v>949.3</v>
      </c>
      <c r="U1232">
        <v>0.08</v>
      </c>
      <c r="V1232">
        <v>1746.712</v>
      </c>
      <c r="X1232" s="4">
        <v>2</v>
      </c>
      <c r="Y1232">
        <v>949.3</v>
      </c>
      <c r="Z1232">
        <v>0.08</v>
      </c>
      <c r="AA1232">
        <v>1746.712</v>
      </c>
    </row>
    <row r="1233" spans="1:27" x14ac:dyDescent="0.3">
      <c r="A1233" t="s">
        <v>3040</v>
      </c>
      <c r="B1233" s="2">
        <v>45259</v>
      </c>
      <c r="C1233" t="s">
        <v>1327</v>
      </c>
      <c r="D1233" t="s">
        <v>1673</v>
      </c>
      <c r="E1233" t="s">
        <v>1759</v>
      </c>
      <c r="F1233" s="4">
        <v>3</v>
      </c>
      <c r="G1233">
        <v>664.75</v>
      </c>
      <c r="H1233">
        <v>0.12</v>
      </c>
      <c r="I1233" t="s">
        <v>1807</v>
      </c>
      <c r="J1233">
        <v>1754.94</v>
      </c>
      <c r="K1233" t="s">
        <v>1328</v>
      </c>
      <c r="L1233">
        <v>48</v>
      </c>
      <c r="M1233" t="str">
        <v>Female</v>
      </c>
      <c r="N1233" t="str">
        <f>VLOOKUP(C:C,Customer_Dim!B:I,5,1)</f>
        <v>Williamsberg</v>
      </c>
      <c r="O1233" t="str">
        <f>VLOOKUP(C:C,Customer_Dim!B:I,6,1)</f>
        <v>New York</v>
      </c>
      <c r="P1233" t="str">
        <f>VLOOKUP(C:C,Customer_Dim!B:I,7,1)</f>
        <v>USA</v>
      </c>
      <c r="Q1233" t="str">
        <f>VLOOKUP(C:C,Customer_Dim!B:I,8,1)</f>
        <v>Silver</v>
      </c>
      <c r="S1233">
        <v>3</v>
      </c>
      <c r="T1233">
        <v>664.75</v>
      </c>
      <c r="U1233">
        <v>0.12</v>
      </c>
      <c r="V1233">
        <v>1754.94</v>
      </c>
      <c r="X1233" s="4">
        <v>3</v>
      </c>
      <c r="Y1233">
        <v>664.75</v>
      </c>
      <c r="Z1233">
        <v>0.12</v>
      </c>
      <c r="AA1233">
        <v>1754.94</v>
      </c>
    </row>
    <row r="1234" spans="1:27" x14ac:dyDescent="0.3">
      <c r="A1234" t="s">
        <v>3041</v>
      </c>
      <c r="B1234" s="2">
        <v>45740</v>
      </c>
      <c r="C1234" t="s">
        <v>888</v>
      </c>
      <c r="D1234" t="s">
        <v>1671</v>
      </c>
      <c r="E1234" t="s">
        <v>1790</v>
      </c>
      <c r="F1234" s="4">
        <v>3</v>
      </c>
      <c r="G1234">
        <v>190.04</v>
      </c>
      <c r="H1234">
        <v>7.0000000000000007E-2</v>
      </c>
      <c r="I1234" t="s">
        <v>1809</v>
      </c>
      <c r="J1234">
        <v>530.21159999999998</v>
      </c>
      <c r="K1234" t="s">
        <v>889</v>
      </c>
      <c r="L1234">
        <v>54</v>
      </c>
      <c r="M1234" t="str">
        <v>Female</v>
      </c>
      <c r="N1234" t="str">
        <f>VLOOKUP(C:C,Customer_Dim!B:I,5,1)</f>
        <v>Spencermouth</v>
      </c>
      <c r="O1234" t="str">
        <f>VLOOKUP(C:C,Customer_Dim!B:I,6,1)</f>
        <v>New Jersey</v>
      </c>
      <c r="P1234" t="str">
        <f>VLOOKUP(C:C,Customer_Dim!B:I,7,1)</f>
        <v>USA</v>
      </c>
      <c r="Q1234" t="str">
        <f>VLOOKUP(C:C,Customer_Dim!B:I,8,1)</f>
        <v>Gold</v>
      </c>
      <c r="S1234">
        <v>3</v>
      </c>
      <c r="T1234">
        <v>190.04</v>
      </c>
      <c r="U1234">
        <v>7.0000000000000007E-2</v>
      </c>
      <c r="V1234">
        <v>530.21159999999998</v>
      </c>
      <c r="X1234" s="4">
        <v>3</v>
      </c>
      <c r="Y1234">
        <v>190.04</v>
      </c>
      <c r="Z1234">
        <v>7.0000000000000007E-2</v>
      </c>
      <c r="AA1234">
        <v>530.21159999999998</v>
      </c>
    </row>
    <row r="1235" spans="1:27" x14ac:dyDescent="0.3">
      <c r="A1235" t="s">
        <v>3042</v>
      </c>
      <c r="B1235" s="2">
        <v>45869</v>
      </c>
      <c r="C1235" t="s">
        <v>873</v>
      </c>
      <c r="D1235" t="s">
        <v>1543</v>
      </c>
      <c r="E1235" t="s">
        <v>1784</v>
      </c>
      <c r="F1235" s="4">
        <v>3</v>
      </c>
      <c r="G1235">
        <v>754.02</v>
      </c>
      <c r="H1235">
        <v>0.1</v>
      </c>
      <c r="I1235" t="s">
        <v>1812</v>
      </c>
      <c r="J1235">
        <v>2035.854</v>
      </c>
      <c r="K1235" t="s">
        <v>874</v>
      </c>
      <c r="L1235">
        <v>42</v>
      </c>
      <c r="M1235" t="str">
        <v>Female</v>
      </c>
      <c r="N1235" t="str">
        <f>VLOOKUP(C:C,Customer_Dim!B:I,5,1)</f>
        <v>Lake Nicole</v>
      </c>
      <c r="O1235" t="str">
        <f>VLOOKUP(C:C,Customer_Dim!B:I,6,1)</f>
        <v>Colorado</v>
      </c>
      <c r="P1235" t="str">
        <f>VLOOKUP(C:C,Customer_Dim!B:I,7,1)</f>
        <v>USA</v>
      </c>
      <c r="Q1235" t="str">
        <f>VLOOKUP(C:C,Customer_Dim!B:I,8,1)</f>
        <v>Platinum</v>
      </c>
      <c r="S1235">
        <v>3</v>
      </c>
      <c r="T1235">
        <v>754.02</v>
      </c>
      <c r="U1235">
        <v>0.1</v>
      </c>
      <c r="V1235">
        <v>2035.854</v>
      </c>
      <c r="X1235" s="4">
        <v>3</v>
      </c>
      <c r="Y1235">
        <v>754.02</v>
      </c>
      <c r="Z1235">
        <v>0.1</v>
      </c>
      <c r="AA1235">
        <v>2035.854</v>
      </c>
    </row>
    <row r="1236" spans="1:27" x14ac:dyDescent="0.3">
      <c r="A1236" t="s">
        <v>3043</v>
      </c>
      <c r="B1236" s="2">
        <v>45526</v>
      </c>
      <c r="C1236" t="s">
        <v>1186</v>
      </c>
      <c r="D1236" t="s">
        <v>1599</v>
      </c>
      <c r="E1236" t="s">
        <v>1777</v>
      </c>
      <c r="F1236" s="4">
        <v>4</v>
      </c>
      <c r="G1236">
        <v>94.13</v>
      </c>
      <c r="H1236">
        <v>0.04</v>
      </c>
      <c r="I1236" t="s">
        <v>1812</v>
      </c>
      <c r="J1236">
        <v>361.45920000000001</v>
      </c>
      <c r="K1236" t="s">
        <v>1187</v>
      </c>
      <c r="L1236">
        <v>60</v>
      </c>
      <c r="M1236" t="str">
        <v>Male</v>
      </c>
      <c r="N1236" t="str">
        <f>VLOOKUP(C:C,Customer_Dim!B:I,5,1)</f>
        <v>North Michael</v>
      </c>
      <c r="O1236" t="str">
        <f>VLOOKUP(C:C,Customer_Dim!B:I,6,1)</f>
        <v>Iowa</v>
      </c>
      <c r="P1236" t="str">
        <f>VLOOKUP(C:C,Customer_Dim!B:I,7,1)</f>
        <v>USA</v>
      </c>
      <c r="Q1236" t="str">
        <f>VLOOKUP(C:C,Customer_Dim!B:I,8,1)</f>
        <v>Bronze</v>
      </c>
      <c r="S1236">
        <v>4</v>
      </c>
      <c r="T1236">
        <v>94.13</v>
      </c>
      <c r="U1236">
        <v>0.04</v>
      </c>
      <c r="V1236">
        <v>361.45920000000001</v>
      </c>
      <c r="X1236" s="4">
        <v>4</v>
      </c>
      <c r="Y1236">
        <v>94.13</v>
      </c>
      <c r="Z1236">
        <v>0.04</v>
      </c>
      <c r="AA1236">
        <v>361.45920000000001</v>
      </c>
    </row>
    <row r="1237" spans="1:27" x14ac:dyDescent="0.3">
      <c r="A1237" t="s">
        <v>3044</v>
      </c>
      <c r="B1237" s="2">
        <v>45489</v>
      </c>
      <c r="C1237" t="s">
        <v>1427</v>
      </c>
      <c r="D1237" t="s">
        <v>1529</v>
      </c>
      <c r="E1237" t="s">
        <v>1784</v>
      </c>
      <c r="F1237" s="4">
        <v>3</v>
      </c>
      <c r="G1237">
        <v>402.3</v>
      </c>
      <c r="H1237">
        <v>0.21</v>
      </c>
      <c r="I1237" t="s">
        <v>1809</v>
      </c>
      <c r="J1237">
        <v>953.45100000000014</v>
      </c>
      <c r="K1237" t="s">
        <v>1428</v>
      </c>
      <c r="L1237">
        <v>19</v>
      </c>
      <c r="M1237" t="str">
        <v>Male</v>
      </c>
      <c r="N1237" t="str">
        <f>VLOOKUP(C:C,Customer_Dim!B:I,5,1)</f>
        <v>Bergermouth</v>
      </c>
      <c r="O1237" t="str">
        <f>VLOOKUP(C:C,Customer_Dim!B:I,6,1)</f>
        <v>Vermont</v>
      </c>
      <c r="P1237" t="str">
        <f>VLOOKUP(C:C,Customer_Dim!B:I,7,1)</f>
        <v>USA</v>
      </c>
      <c r="Q1237" t="str">
        <f>VLOOKUP(C:C,Customer_Dim!B:I,8,1)</f>
        <v>Bronze</v>
      </c>
      <c r="S1237">
        <v>3</v>
      </c>
      <c r="T1237">
        <v>402.3</v>
      </c>
      <c r="U1237">
        <v>0.21</v>
      </c>
      <c r="V1237">
        <v>953.45100000000014</v>
      </c>
      <c r="X1237" s="4">
        <v>3</v>
      </c>
      <c r="Y1237">
        <v>402.3</v>
      </c>
      <c r="Z1237">
        <v>0.21</v>
      </c>
      <c r="AA1237">
        <v>953.45100000000014</v>
      </c>
    </row>
    <row r="1238" spans="1:27" x14ac:dyDescent="0.3">
      <c r="A1238" t="s">
        <v>3045</v>
      </c>
      <c r="B1238" s="2">
        <v>45908</v>
      </c>
      <c r="C1238" t="s">
        <v>761</v>
      </c>
      <c r="D1238" t="s">
        <v>1703</v>
      </c>
      <c r="E1238" t="s">
        <v>1762</v>
      </c>
      <c r="F1238" s="4">
        <v>1</v>
      </c>
      <c r="G1238">
        <v>729.05</v>
      </c>
      <c r="H1238">
        <v>0.06</v>
      </c>
      <c r="I1238" t="s">
        <v>1812</v>
      </c>
      <c r="J1238">
        <v>685.3069999999999</v>
      </c>
      <c r="K1238" t="s">
        <v>762</v>
      </c>
      <c r="L1238">
        <v>59</v>
      </c>
      <c r="M1238" t="str">
        <v>Female</v>
      </c>
      <c r="N1238" t="str">
        <f>VLOOKUP(C:C,Customer_Dim!B:I,5,1)</f>
        <v>Zamoraborough</v>
      </c>
      <c r="O1238" t="str">
        <f>VLOOKUP(C:C,Customer_Dim!B:I,6,1)</f>
        <v>Nevada</v>
      </c>
      <c r="P1238" t="str">
        <f>VLOOKUP(C:C,Customer_Dim!B:I,7,1)</f>
        <v>USA</v>
      </c>
      <c r="Q1238" t="str">
        <f>VLOOKUP(C:C,Customer_Dim!B:I,8,1)</f>
        <v>Platinum</v>
      </c>
      <c r="S1238">
        <v>1</v>
      </c>
      <c r="T1238">
        <v>729.05</v>
      </c>
      <c r="U1238">
        <v>0.06</v>
      </c>
      <c r="V1238">
        <v>685.3069999999999</v>
      </c>
      <c r="X1238" s="4">
        <v>1</v>
      </c>
      <c r="Y1238">
        <v>729.05</v>
      </c>
      <c r="Z1238">
        <v>0.06</v>
      </c>
      <c r="AA1238">
        <v>685.3069999999999</v>
      </c>
    </row>
    <row r="1239" spans="1:27" x14ac:dyDescent="0.3">
      <c r="A1239" t="s">
        <v>3046</v>
      </c>
      <c r="B1239" s="2">
        <v>45912</v>
      </c>
      <c r="C1239" t="s">
        <v>453</v>
      </c>
      <c r="D1239" t="s">
        <v>1711</v>
      </c>
      <c r="E1239" t="s">
        <v>1780</v>
      </c>
      <c r="F1239" s="4">
        <v>1</v>
      </c>
      <c r="G1239">
        <v>822.6</v>
      </c>
      <c r="H1239">
        <v>0.28999999999999998</v>
      </c>
      <c r="I1239" t="s">
        <v>1809</v>
      </c>
      <c r="J1239">
        <v>584.04599999999994</v>
      </c>
      <c r="K1239" t="s">
        <v>454</v>
      </c>
      <c r="L1239">
        <v>33</v>
      </c>
      <c r="M1239" t="str">
        <v>Female</v>
      </c>
      <c r="N1239" t="str">
        <f>VLOOKUP(C:C,Customer_Dim!B:I,5,1)</f>
        <v>Parksfort</v>
      </c>
      <c r="O1239" t="str">
        <f>VLOOKUP(C:C,Customer_Dim!B:I,6,1)</f>
        <v>Washington</v>
      </c>
      <c r="P1239" t="str">
        <f>VLOOKUP(C:C,Customer_Dim!B:I,7,1)</f>
        <v>USA</v>
      </c>
      <c r="Q1239" t="str">
        <f>VLOOKUP(C:C,Customer_Dim!B:I,8,1)</f>
        <v>Gold</v>
      </c>
      <c r="S1239">
        <v>1</v>
      </c>
      <c r="T1239">
        <v>822.6</v>
      </c>
      <c r="U1239">
        <v>0.28999999999999998</v>
      </c>
      <c r="V1239">
        <v>584.04599999999994</v>
      </c>
      <c r="X1239" s="4">
        <v>1</v>
      </c>
      <c r="Y1239">
        <v>822.6</v>
      </c>
      <c r="Z1239">
        <v>0.28999999999999998</v>
      </c>
      <c r="AA1239">
        <v>584.04599999999994</v>
      </c>
    </row>
    <row r="1240" spans="1:27" x14ac:dyDescent="0.3">
      <c r="A1240" t="s">
        <v>3047</v>
      </c>
      <c r="B1240" s="2">
        <v>45771</v>
      </c>
      <c r="C1240" t="s">
        <v>628</v>
      </c>
      <c r="D1240" t="s">
        <v>1697</v>
      </c>
      <c r="E1240" t="s">
        <v>1765</v>
      </c>
      <c r="F1240" s="4">
        <v>2</v>
      </c>
      <c r="G1240">
        <v>327.25</v>
      </c>
      <c r="H1240">
        <v>0.19</v>
      </c>
      <c r="I1240" t="s">
        <v>1809</v>
      </c>
      <c r="J1240">
        <v>530.14499999999998</v>
      </c>
      <c r="K1240" t="s">
        <v>629</v>
      </c>
      <c r="L1240">
        <v>46</v>
      </c>
      <c r="M1240" t="str">
        <v>Male</v>
      </c>
      <c r="N1240" t="str">
        <f>VLOOKUP(C:C,Customer_Dim!B:I,5,1)</f>
        <v>Port Amanda</v>
      </c>
      <c r="O1240" t="str">
        <f>VLOOKUP(C:C,Customer_Dim!B:I,6,1)</f>
        <v>Georgia</v>
      </c>
      <c r="P1240" t="str">
        <f>VLOOKUP(C:C,Customer_Dim!B:I,7,1)</f>
        <v>USA</v>
      </c>
      <c r="Q1240" t="str">
        <f>VLOOKUP(C:C,Customer_Dim!B:I,8,1)</f>
        <v>Gold</v>
      </c>
      <c r="S1240">
        <v>2</v>
      </c>
      <c r="T1240">
        <v>327.25</v>
      </c>
      <c r="U1240">
        <v>0.19</v>
      </c>
      <c r="V1240">
        <v>530.14499999999998</v>
      </c>
      <c r="X1240" s="4">
        <v>2</v>
      </c>
      <c r="Y1240">
        <v>327.25</v>
      </c>
      <c r="Z1240">
        <v>0.19</v>
      </c>
      <c r="AA1240">
        <v>530.14499999999998</v>
      </c>
    </row>
    <row r="1241" spans="1:27" x14ac:dyDescent="0.3">
      <c r="A1241" t="s">
        <v>3048</v>
      </c>
      <c r="B1241" s="2">
        <v>45619</v>
      </c>
      <c r="C1241" t="s">
        <v>301</v>
      </c>
      <c r="D1241" t="s">
        <v>1671</v>
      </c>
      <c r="E1241" t="s">
        <v>1769</v>
      </c>
      <c r="F1241" s="4">
        <v>4</v>
      </c>
      <c r="G1241">
        <v>930.38</v>
      </c>
      <c r="H1241">
        <v>0</v>
      </c>
      <c r="I1241" t="s">
        <v>1812</v>
      </c>
      <c r="J1241">
        <v>3721.52</v>
      </c>
      <c r="K1241" t="s">
        <v>302</v>
      </c>
      <c r="L1241">
        <v>36</v>
      </c>
      <c r="M1241" t="str">
        <v>Male</v>
      </c>
      <c r="N1241" t="str">
        <f>VLOOKUP(C:C,Customer_Dim!B:I,5,1)</f>
        <v>Garyberg</v>
      </c>
      <c r="O1241" t="str">
        <f>VLOOKUP(C:C,Customer_Dim!B:I,6,1)</f>
        <v>Indiana</v>
      </c>
      <c r="P1241" t="str">
        <f>VLOOKUP(C:C,Customer_Dim!B:I,7,1)</f>
        <v>USA</v>
      </c>
      <c r="Q1241" t="str">
        <f>VLOOKUP(C:C,Customer_Dim!B:I,8,1)</f>
        <v>Platinum</v>
      </c>
      <c r="S1241">
        <v>4</v>
      </c>
      <c r="T1241">
        <v>930.38</v>
      </c>
      <c r="U1241">
        <v>0</v>
      </c>
      <c r="V1241">
        <v>3721.52</v>
      </c>
      <c r="X1241" s="4">
        <v>4</v>
      </c>
      <c r="Y1241">
        <v>930.38</v>
      </c>
      <c r="Z1241">
        <v>0</v>
      </c>
      <c r="AA1241">
        <v>3721.52</v>
      </c>
    </row>
    <row r="1242" spans="1:27" x14ac:dyDescent="0.3">
      <c r="A1242" t="s">
        <v>3049</v>
      </c>
      <c r="B1242" s="2">
        <v>45394</v>
      </c>
      <c r="C1242" t="s">
        <v>482</v>
      </c>
      <c r="D1242" t="s">
        <v>1585</v>
      </c>
      <c r="E1242" t="s">
        <v>1756</v>
      </c>
      <c r="F1242" s="4">
        <v>2</v>
      </c>
      <c r="G1242">
        <v>437.84</v>
      </c>
      <c r="H1242">
        <v>0.24</v>
      </c>
      <c r="I1242" t="s">
        <v>1807</v>
      </c>
      <c r="J1242">
        <v>665.51679999999999</v>
      </c>
      <c r="K1242" t="s">
        <v>483</v>
      </c>
      <c r="L1242">
        <v>46</v>
      </c>
      <c r="M1242" t="str">
        <v>Male</v>
      </c>
      <c r="N1242" t="str">
        <f>VLOOKUP(C:C,Customer_Dim!B:I,5,1)</f>
        <v>North Anthonychester</v>
      </c>
      <c r="O1242" t="str">
        <f>VLOOKUP(C:C,Customer_Dim!B:I,6,1)</f>
        <v>Nevada</v>
      </c>
      <c r="P1242" t="str">
        <f>VLOOKUP(C:C,Customer_Dim!B:I,7,1)</f>
        <v>USA</v>
      </c>
      <c r="Q1242" t="str">
        <f>VLOOKUP(C:C,Customer_Dim!B:I,8,1)</f>
        <v>Bronze</v>
      </c>
      <c r="S1242">
        <v>2</v>
      </c>
      <c r="T1242">
        <v>437.84</v>
      </c>
      <c r="U1242">
        <v>0.24</v>
      </c>
      <c r="V1242">
        <v>665.51679999999999</v>
      </c>
      <c r="X1242" s="4">
        <v>2</v>
      </c>
      <c r="Y1242">
        <v>437.84</v>
      </c>
      <c r="Z1242">
        <v>0.24</v>
      </c>
      <c r="AA1242">
        <v>665.51679999999999</v>
      </c>
    </row>
    <row r="1243" spans="1:27" x14ac:dyDescent="0.3">
      <c r="A1243" t="s">
        <v>3050</v>
      </c>
      <c r="B1243" s="2">
        <v>45786</v>
      </c>
      <c r="C1243" t="s">
        <v>255</v>
      </c>
      <c r="D1243" t="s">
        <v>1563</v>
      </c>
      <c r="E1243" t="s">
        <v>1787</v>
      </c>
      <c r="F1243" s="4">
        <v>2</v>
      </c>
      <c r="G1243">
        <v>126.02</v>
      </c>
      <c r="H1243">
        <v>0.09</v>
      </c>
      <c r="I1243" t="s">
        <v>1812</v>
      </c>
      <c r="J1243">
        <v>229.35640000000001</v>
      </c>
      <c r="K1243" t="s">
        <v>256</v>
      </c>
      <c r="L1243">
        <v>61</v>
      </c>
      <c r="M1243" t="str">
        <v>Female</v>
      </c>
      <c r="N1243" t="str">
        <f>VLOOKUP(C:C,Customer_Dim!B:I,5,1)</f>
        <v>Port Lisa</v>
      </c>
      <c r="O1243" t="str">
        <f>VLOOKUP(C:C,Customer_Dim!B:I,6,1)</f>
        <v>New Mexico</v>
      </c>
      <c r="P1243" t="str">
        <f>VLOOKUP(C:C,Customer_Dim!B:I,7,1)</f>
        <v>USA</v>
      </c>
      <c r="Q1243" t="str">
        <f>VLOOKUP(C:C,Customer_Dim!B:I,8,1)</f>
        <v>Gold</v>
      </c>
      <c r="S1243">
        <v>2</v>
      </c>
      <c r="T1243">
        <v>126.02</v>
      </c>
      <c r="U1243">
        <v>0.09</v>
      </c>
      <c r="V1243">
        <v>229.35640000000001</v>
      </c>
      <c r="X1243" s="4">
        <v>2</v>
      </c>
      <c r="Y1243">
        <v>126.02</v>
      </c>
      <c r="Z1243">
        <v>0.09</v>
      </c>
      <c r="AA1243">
        <v>229.35640000000001</v>
      </c>
    </row>
    <row r="1244" spans="1:27" x14ac:dyDescent="0.3">
      <c r="A1244" t="s">
        <v>3051</v>
      </c>
      <c r="B1244" s="2">
        <v>45692</v>
      </c>
      <c r="C1244" t="s">
        <v>1339</v>
      </c>
      <c r="D1244" t="s">
        <v>1697</v>
      </c>
      <c r="E1244" t="s">
        <v>1784</v>
      </c>
      <c r="F1244" s="4">
        <v>1</v>
      </c>
      <c r="G1244">
        <v>860.84</v>
      </c>
      <c r="H1244">
        <v>7.0000000000000007E-2</v>
      </c>
      <c r="I1244" t="s">
        <v>1809</v>
      </c>
      <c r="J1244">
        <v>800.58119999999997</v>
      </c>
      <c r="K1244" t="s">
        <v>1340</v>
      </c>
      <c r="L1244">
        <v>59</v>
      </c>
      <c r="M1244" t="str">
        <v>Female</v>
      </c>
      <c r="N1244" t="str">
        <f>VLOOKUP(C:C,Customer_Dim!B:I,5,1)</f>
        <v>East Davidmouth</v>
      </c>
      <c r="O1244" t="str">
        <f>VLOOKUP(C:C,Customer_Dim!B:I,6,1)</f>
        <v>New Hampshire</v>
      </c>
      <c r="P1244" t="str">
        <f>VLOOKUP(C:C,Customer_Dim!B:I,7,1)</f>
        <v>USA</v>
      </c>
      <c r="Q1244" t="str">
        <f>VLOOKUP(C:C,Customer_Dim!B:I,8,1)</f>
        <v>Platinum</v>
      </c>
      <c r="S1244">
        <v>1</v>
      </c>
      <c r="T1244">
        <v>860.84</v>
      </c>
      <c r="U1244">
        <v>7.0000000000000007E-2</v>
      </c>
      <c r="V1244">
        <v>800.58119999999997</v>
      </c>
      <c r="X1244" s="4">
        <v>1</v>
      </c>
      <c r="Y1244">
        <v>860.84</v>
      </c>
      <c r="Z1244">
        <v>7.0000000000000007E-2</v>
      </c>
      <c r="AA1244">
        <v>800.58119999999997</v>
      </c>
    </row>
    <row r="1245" spans="1:27" x14ac:dyDescent="0.3">
      <c r="A1245" t="s">
        <v>3052</v>
      </c>
      <c r="B1245" s="2">
        <v>45677</v>
      </c>
      <c r="C1245" t="s">
        <v>330</v>
      </c>
      <c r="D1245" t="s">
        <v>1627</v>
      </c>
      <c r="E1245" t="s">
        <v>1780</v>
      </c>
      <c r="F1245" s="4">
        <v>1</v>
      </c>
      <c r="G1245">
        <v>161.80000000000001</v>
      </c>
      <c r="H1245">
        <v>0.24</v>
      </c>
      <c r="I1245" t="s">
        <v>1809</v>
      </c>
      <c r="J1245">
        <v>122.968</v>
      </c>
      <c r="K1245" t="s">
        <v>331</v>
      </c>
      <c r="L1245">
        <v>43</v>
      </c>
      <c r="M1245" t="str">
        <v>Female</v>
      </c>
      <c r="N1245" t="str">
        <f>VLOOKUP(C:C,Customer_Dim!B:I,5,1)</f>
        <v>Port Travisstad</v>
      </c>
      <c r="O1245" t="str">
        <f>VLOOKUP(C:C,Customer_Dim!B:I,6,1)</f>
        <v>South Carolina</v>
      </c>
      <c r="P1245" t="str">
        <f>VLOOKUP(C:C,Customer_Dim!B:I,7,1)</f>
        <v>USA</v>
      </c>
      <c r="Q1245" t="str">
        <f>VLOOKUP(C:C,Customer_Dim!B:I,8,1)</f>
        <v>Gold</v>
      </c>
      <c r="S1245">
        <v>1</v>
      </c>
      <c r="T1245">
        <v>161.80000000000001</v>
      </c>
      <c r="U1245">
        <v>0.24</v>
      </c>
      <c r="V1245">
        <v>122.968</v>
      </c>
      <c r="X1245" s="4">
        <v>1</v>
      </c>
      <c r="Y1245">
        <v>161.80000000000001</v>
      </c>
      <c r="Z1245">
        <v>0.24</v>
      </c>
      <c r="AA1245">
        <v>122.968</v>
      </c>
    </row>
    <row r="1246" spans="1:27" x14ac:dyDescent="0.3">
      <c r="A1246" t="s">
        <v>3053</v>
      </c>
      <c r="B1246" s="2">
        <v>45669</v>
      </c>
      <c r="C1246" t="s">
        <v>1189</v>
      </c>
      <c r="D1246" t="s">
        <v>1607</v>
      </c>
      <c r="E1246" t="s">
        <v>1790</v>
      </c>
      <c r="F1246" s="4">
        <v>4</v>
      </c>
      <c r="G1246">
        <v>347.82</v>
      </c>
      <c r="H1246">
        <v>0.02</v>
      </c>
      <c r="I1246" t="s">
        <v>1812</v>
      </c>
      <c r="J1246">
        <v>1363.4544000000001</v>
      </c>
      <c r="K1246" t="s">
        <v>1190</v>
      </c>
      <c r="L1246">
        <v>18</v>
      </c>
      <c r="M1246" t="str">
        <v>Female</v>
      </c>
      <c r="N1246" t="str">
        <f>VLOOKUP(C:C,Customer_Dim!B:I,5,1)</f>
        <v>Lake Brandontown</v>
      </c>
      <c r="O1246" t="str">
        <f>VLOOKUP(C:C,Customer_Dim!B:I,6,1)</f>
        <v>South Carolina</v>
      </c>
      <c r="P1246" t="str">
        <f>VLOOKUP(C:C,Customer_Dim!B:I,7,1)</f>
        <v>USA</v>
      </c>
      <c r="Q1246" t="str">
        <f>VLOOKUP(C:C,Customer_Dim!B:I,8,1)</f>
        <v>Gold</v>
      </c>
      <c r="S1246">
        <v>4</v>
      </c>
      <c r="T1246">
        <v>347.82</v>
      </c>
      <c r="U1246">
        <v>0.02</v>
      </c>
      <c r="V1246">
        <v>1363.4544000000001</v>
      </c>
      <c r="X1246" s="4">
        <v>4</v>
      </c>
      <c r="Y1246">
        <v>347.82</v>
      </c>
      <c r="Z1246">
        <v>0.02</v>
      </c>
      <c r="AA1246">
        <v>1363.4544000000001</v>
      </c>
    </row>
    <row r="1247" spans="1:27" x14ac:dyDescent="0.3">
      <c r="A1247" t="s">
        <v>3054</v>
      </c>
      <c r="B1247" s="2">
        <v>45299</v>
      </c>
      <c r="C1247" t="s">
        <v>1384</v>
      </c>
      <c r="D1247" t="s">
        <v>1701</v>
      </c>
      <c r="E1247" t="s">
        <v>1787</v>
      </c>
      <c r="F1247" s="4">
        <v>3</v>
      </c>
      <c r="G1247">
        <v>416.44</v>
      </c>
      <c r="H1247">
        <v>0.27</v>
      </c>
      <c r="I1247" t="s">
        <v>1807</v>
      </c>
      <c r="J1247">
        <v>912.00359999999989</v>
      </c>
      <c r="K1247" t="s">
        <v>1385</v>
      </c>
      <c r="L1247">
        <v>60</v>
      </c>
      <c r="M1247" t="str">
        <v>Male</v>
      </c>
      <c r="N1247" t="str">
        <f>VLOOKUP(C:C,Customer_Dim!B:I,5,1)</f>
        <v>Lake Carolyn</v>
      </c>
      <c r="O1247" t="str">
        <f>VLOOKUP(C:C,Customer_Dim!B:I,6,1)</f>
        <v>Hawaii</v>
      </c>
      <c r="P1247" t="str">
        <f>VLOOKUP(C:C,Customer_Dim!B:I,7,1)</f>
        <v>USA</v>
      </c>
      <c r="Q1247" t="str">
        <f>VLOOKUP(C:C,Customer_Dim!B:I,8,1)</f>
        <v>Platinum</v>
      </c>
      <c r="S1247">
        <v>3</v>
      </c>
      <c r="T1247">
        <v>416.44</v>
      </c>
      <c r="U1247">
        <v>0.27</v>
      </c>
      <c r="V1247">
        <v>912.00359999999989</v>
      </c>
      <c r="X1247" s="4">
        <v>3</v>
      </c>
      <c r="Y1247">
        <v>416.44</v>
      </c>
      <c r="Z1247">
        <v>0.27</v>
      </c>
      <c r="AA1247">
        <v>912.00359999999989</v>
      </c>
    </row>
    <row r="1248" spans="1:27" x14ac:dyDescent="0.3">
      <c r="A1248" t="s">
        <v>3055</v>
      </c>
      <c r="B1248" s="2">
        <v>45893</v>
      </c>
      <c r="C1248" t="s">
        <v>32</v>
      </c>
      <c r="D1248" t="s">
        <v>1655</v>
      </c>
      <c r="E1248" t="s">
        <v>1735</v>
      </c>
      <c r="F1248" s="4">
        <v>1</v>
      </c>
      <c r="G1248">
        <v>147.96</v>
      </c>
      <c r="H1248">
        <v>0.24</v>
      </c>
      <c r="I1248" t="s">
        <v>1812</v>
      </c>
      <c r="J1248">
        <v>112.4496</v>
      </c>
      <c r="K1248" t="s">
        <v>33</v>
      </c>
      <c r="L1248">
        <v>29</v>
      </c>
      <c r="M1248" t="str">
        <v>Female</v>
      </c>
      <c r="N1248" t="str">
        <f>VLOOKUP(C:C,Customer_Dim!B:I,5,1)</f>
        <v>East Amandamouth</v>
      </c>
      <c r="O1248" t="str">
        <f>VLOOKUP(C:C,Customer_Dim!B:I,6,1)</f>
        <v>Oregon</v>
      </c>
      <c r="P1248" t="str">
        <f>VLOOKUP(C:C,Customer_Dim!B:I,7,1)</f>
        <v>USA</v>
      </c>
      <c r="Q1248" t="str">
        <f>VLOOKUP(C:C,Customer_Dim!B:I,8,1)</f>
        <v>Bronze</v>
      </c>
      <c r="S1248">
        <v>1</v>
      </c>
      <c r="T1248">
        <v>147.96</v>
      </c>
      <c r="U1248">
        <v>0.24</v>
      </c>
      <c r="V1248">
        <v>112.4496</v>
      </c>
      <c r="X1248" s="4">
        <v>1</v>
      </c>
      <c r="Y1248">
        <v>147.96</v>
      </c>
      <c r="Z1248">
        <v>0.24</v>
      </c>
      <c r="AA1248">
        <v>112.4496</v>
      </c>
    </row>
    <row r="1249" spans="1:27" x14ac:dyDescent="0.3">
      <c r="A1249" t="s">
        <v>3056</v>
      </c>
      <c r="B1249" s="2">
        <v>45560</v>
      </c>
      <c r="C1249" t="s">
        <v>1361</v>
      </c>
      <c r="D1249" t="s">
        <v>1567</v>
      </c>
      <c r="E1249" t="s">
        <v>1765</v>
      </c>
      <c r="F1249" s="4">
        <v>3</v>
      </c>
      <c r="G1249">
        <v>550.26</v>
      </c>
      <c r="H1249">
        <v>0.22</v>
      </c>
      <c r="I1249" t="s">
        <v>1807</v>
      </c>
      <c r="J1249">
        <v>1287.6084000000001</v>
      </c>
      <c r="K1249" t="s">
        <v>1362</v>
      </c>
      <c r="L1249">
        <v>35</v>
      </c>
      <c r="M1249" t="str">
        <v>Male</v>
      </c>
      <c r="N1249" t="str">
        <f>VLOOKUP(C:C,Customer_Dim!B:I,5,1)</f>
        <v>Mcfarlandmouth</v>
      </c>
      <c r="O1249" t="str">
        <f>VLOOKUP(C:C,Customer_Dim!B:I,6,1)</f>
        <v>Virginia</v>
      </c>
      <c r="P1249" t="str">
        <f>VLOOKUP(C:C,Customer_Dim!B:I,7,1)</f>
        <v>USA</v>
      </c>
      <c r="Q1249" t="str">
        <f>VLOOKUP(C:C,Customer_Dim!B:I,8,1)</f>
        <v>Platinum</v>
      </c>
      <c r="S1249">
        <v>3</v>
      </c>
      <c r="T1249">
        <v>550.26</v>
      </c>
      <c r="U1249">
        <v>0.22</v>
      </c>
      <c r="V1249">
        <v>1287.6084000000001</v>
      </c>
      <c r="X1249" s="4">
        <v>3</v>
      </c>
      <c r="Y1249">
        <v>550.26</v>
      </c>
      <c r="Z1249">
        <v>0.22</v>
      </c>
      <c r="AA1249">
        <v>1287.6084000000001</v>
      </c>
    </row>
    <row r="1250" spans="1:27" x14ac:dyDescent="0.3">
      <c r="A1250" t="s">
        <v>3057</v>
      </c>
      <c r="B1250" s="2">
        <v>45267</v>
      </c>
      <c r="C1250" t="s">
        <v>1147</v>
      </c>
      <c r="D1250" t="s">
        <v>1725</v>
      </c>
      <c r="E1250" t="s">
        <v>1762</v>
      </c>
      <c r="F1250" s="4">
        <v>4</v>
      </c>
      <c r="G1250">
        <v>938.21</v>
      </c>
      <c r="H1250">
        <v>0.04</v>
      </c>
      <c r="I1250" t="s">
        <v>1809</v>
      </c>
      <c r="J1250">
        <v>3602.7264</v>
      </c>
      <c r="K1250" t="s">
        <v>1148</v>
      </c>
      <c r="L1250">
        <v>28</v>
      </c>
      <c r="M1250" t="str">
        <v>Male</v>
      </c>
      <c r="N1250" t="str">
        <f>VLOOKUP(C:C,Customer_Dim!B:I,5,1)</f>
        <v>Port Crystal</v>
      </c>
      <c r="O1250" t="str">
        <f>VLOOKUP(C:C,Customer_Dim!B:I,6,1)</f>
        <v>New Hampshire</v>
      </c>
      <c r="P1250" t="str">
        <f>VLOOKUP(C:C,Customer_Dim!B:I,7,1)</f>
        <v>USA</v>
      </c>
      <c r="Q1250" t="str">
        <f>VLOOKUP(C:C,Customer_Dim!B:I,8,1)</f>
        <v>Platinum</v>
      </c>
      <c r="S1250">
        <v>4</v>
      </c>
      <c r="T1250">
        <v>938.21</v>
      </c>
      <c r="U1250">
        <v>0.04</v>
      </c>
      <c r="V1250">
        <v>3602.7264</v>
      </c>
      <c r="X1250" s="4">
        <v>4</v>
      </c>
      <c r="Y1250">
        <v>938.21</v>
      </c>
      <c r="Z1250">
        <v>0.04</v>
      </c>
      <c r="AA1250">
        <v>3602.7264</v>
      </c>
    </row>
    <row r="1251" spans="1:27" x14ac:dyDescent="0.3">
      <c r="A1251" t="s">
        <v>3058</v>
      </c>
      <c r="B1251" s="2">
        <v>45467</v>
      </c>
      <c r="C1251" t="s">
        <v>453</v>
      </c>
      <c r="D1251" t="s">
        <v>1719</v>
      </c>
      <c r="E1251" t="s">
        <v>1787</v>
      </c>
      <c r="F1251" s="4">
        <v>3</v>
      </c>
      <c r="G1251">
        <v>517.98</v>
      </c>
      <c r="H1251">
        <v>0.01</v>
      </c>
      <c r="I1251" t="s">
        <v>1809</v>
      </c>
      <c r="J1251">
        <v>1538.4005999999999</v>
      </c>
      <c r="K1251" t="s">
        <v>454</v>
      </c>
      <c r="L1251">
        <v>33</v>
      </c>
      <c r="M1251" t="str">
        <v>Female</v>
      </c>
      <c r="N1251" t="str">
        <f>VLOOKUP(C:C,Customer_Dim!B:I,5,1)</f>
        <v>Parksfort</v>
      </c>
      <c r="O1251" t="str">
        <f>VLOOKUP(C:C,Customer_Dim!B:I,6,1)</f>
        <v>Washington</v>
      </c>
      <c r="P1251" t="str">
        <f>VLOOKUP(C:C,Customer_Dim!B:I,7,1)</f>
        <v>USA</v>
      </c>
      <c r="Q1251" t="str">
        <f>VLOOKUP(C:C,Customer_Dim!B:I,8,1)</f>
        <v>Gold</v>
      </c>
      <c r="S1251">
        <v>3</v>
      </c>
      <c r="T1251">
        <v>517.98</v>
      </c>
      <c r="U1251">
        <v>0.01</v>
      </c>
      <c r="V1251">
        <v>1538.4005999999999</v>
      </c>
      <c r="X1251" s="4">
        <v>3</v>
      </c>
      <c r="Y1251">
        <v>517.98</v>
      </c>
      <c r="Z1251">
        <v>0.01</v>
      </c>
      <c r="AA1251">
        <v>1538.4005999999999</v>
      </c>
    </row>
    <row r="1252" spans="1:27" x14ac:dyDescent="0.3">
      <c r="A1252" t="s">
        <v>3059</v>
      </c>
      <c r="B1252" s="2">
        <v>45847</v>
      </c>
      <c r="C1252" t="s">
        <v>143</v>
      </c>
      <c r="D1252" t="s">
        <v>1540</v>
      </c>
      <c r="E1252" t="s">
        <v>1765</v>
      </c>
      <c r="F1252" s="4">
        <v>1</v>
      </c>
      <c r="G1252">
        <v>98.27</v>
      </c>
      <c r="H1252">
        <v>0.16</v>
      </c>
      <c r="I1252" t="s">
        <v>1809</v>
      </c>
      <c r="J1252">
        <v>82.54679999999999</v>
      </c>
      <c r="K1252" t="s">
        <v>144</v>
      </c>
      <c r="L1252">
        <v>27</v>
      </c>
      <c r="M1252" t="str">
        <v>Female</v>
      </c>
      <c r="N1252" t="str">
        <f>VLOOKUP(C:C,Customer_Dim!B:I,5,1)</f>
        <v>Luisfurt</v>
      </c>
      <c r="O1252" t="str">
        <f>VLOOKUP(C:C,Customer_Dim!B:I,6,1)</f>
        <v>Georgia</v>
      </c>
      <c r="P1252" t="str">
        <f>VLOOKUP(C:C,Customer_Dim!B:I,7,1)</f>
        <v>USA</v>
      </c>
      <c r="Q1252" t="str">
        <f>VLOOKUP(C:C,Customer_Dim!B:I,8,1)</f>
        <v>Gold</v>
      </c>
      <c r="S1252">
        <v>1</v>
      </c>
      <c r="T1252">
        <v>98.27</v>
      </c>
      <c r="U1252">
        <v>0.16</v>
      </c>
      <c r="V1252">
        <v>82.54679999999999</v>
      </c>
      <c r="X1252" s="4">
        <v>1</v>
      </c>
      <c r="Y1252">
        <v>98.27</v>
      </c>
      <c r="Z1252">
        <v>0.16</v>
      </c>
      <c r="AA1252">
        <v>82.54679999999999</v>
      </c>
    </row>
    <row r="1253" spans="1:27" x14ac:dyDescent="0.3">
      <c r="A1253" t="s">
        <v>3060</v>
      </c>
      <c r="B1253" s="2">
        <v>45480</v>
      </c>
      <c r="C1253" t="s">
        <v>797</v>
      </c>
      <c r="D1253" t="s">
        <v>1627</v>
      </c>
      <c r="E1253" t="s">
        <v>1775</v>
      </c>
      <c r="F1253" s="4">
        <v>2</v>
      </c>
      <c r="G1253">
        <v>875.2</v>
      </c>
      <c r="H1253">
        <v>0.19</v>
      </c>
      <c r="I1253" t="s">
        <v>1807</v>
      </c>
      <c r="J1253">
        <v>1417.8240000000001</v>
      </c>
      <c r="K1253" t="s">
        <v>798</v>
      </c>
      <c r="L1253">
        <v>26</v>
      </c>
      <c r="M1253" t="str">
        <v>Male</v>
      </c>
      <c r="N1253" t="str">
        <f>VLOOKUP(C:C,Customer_Dim!B:I,5,1)</f>
        <v>Port Coreyfort</v>
      </c>
      <c r="O1253" t="str">
        <f>VLOOKUP(C:C,Customer_Dim!B:I,6,1)</f>
        <v>Alabama</v>
      </c>
      <c r="P1253" t="str">
        <f>VLOOKUP(C:C,Customer_Dim!B:I,7,1)</f>
        <v>USA</v>
      </c>
      <c r="Q1253" t="str">
        <f>VLOOKUP(C:C,Customer_Dim!B:I,8,1)</f>
        <v>Silver</v>
      </c>
      <c r="S1253">
        <v>2</v>
      </c>
      <c r="T1253">
        <v>875.2</v>
      </c>
      <c r="U1253">
        <v>0.19</v>
      </c>
      <c r="V1253">
        <v>1417.8240000000001</v>
      </c>
      <c r="X1253" s="4">
        <v>2</v>
      </c>
      <c r="Y1253">
        <v>875.2</v>
      </c>
      <c r="Z1253">
        <v>0.19</v>
      </c>
      <c r="AA1253">
        <v>1417.8240000000001</v>
      </c>
    </row>
    <row r="1254" spans="1:27" x14ac:dyDescent="0.3">
      <c r="A1254" t="s">
        <v>3061</v>
      </c>
      <c r="B1254" s="2">
        <v>45345</v>
      </c>
      <c r="C1254" t="s">
        <v>953</v>
      </c>
      <c r="D1254" t="s">
        <v>1703</v>
      </c>
      <c r="E1254" t="s">
        <v>1735</v>
      </c>
      <c r="F1254" s="4">
        <v>1</v>
      </c>
      <c r="G1254">
        <v>227.35</v>
      </c>
      <c r="H1254">
        <v>0.06</v>
      </c>
      <c r="I1254" t="s">
        <v>1812</v>
      </c>
      <c r="J1254">
        <v>213.709</v>
      </c>
      <c r="K1254" t="s">
        <v>954</v>
      </c>
      <c r="L1254">
        <v>44</v>
      </c>
      <c r="M1254" t="str">
        <v>Male</v>
      </c>
      <c r="N1254" t="str">
        <f>VLOOKUP(C:C,Customer_Dim!B:I,5,1)</f>
        <v>West Joseph</v>
      </c>
      <c r="O1254" t="str">
        <f>VLOOKUP(C:C,Customer_Dim!B:I,6,1)</f>
        <v>Washington</v>
      </c>
      <c r="P1254" t="str">
        <f>VLOOKUP(C:C,Customer_Dim!B:I,7,1)</f>
        <v>USA</v>
      </c>
      <c r="Q1254" t="str">
        <f>VLOOKUP(C:C,Customer_Dim!B:I,8,1)</f>
        <v>Platinum</v>
      </c>
      <c r="S1254">
        <v>1</v>
      </c>
      <c r="T1254">
        <v>227.35</v>
      </c>
      <c r="U1254">
        <v>0.06</v>
      </c>
      <c r="V1254">
        <v>213.709</v>
      </c>
      <c r="X1254" s="4">
        <v>1</v>
      </c>
      <c r="Y1254">
        <v>227.35</v>
      </c>
      <c r="Z1254">
        <v>0.06</v>
      </c>
      <c r="AA1254">
        <v>213.709</v>
      </c>
    </row>
    <row r="1255" spans="1:27" x14ac:dyDescent="0.3">
      <c r="A1255" t="s">
        <v>3062</v>
      </c>
      <c r="B1255" s="2">
        <v>45235</v>
      </c>
      <c r="C1255" t="s">
        <v>678</v>
      </c>
      <c r="D1255" t="s">
        <v>1679</v>
      </c>
      <c r="E1255" t="s">
        <v>1740</v>
      </c>
      <c r="F1255" s="4">
        <v>1</v>
      </c>
      <c r="G1255">
        <v>842.46</v>
      </c>
      <c r="H1255">
        <v>0.05</v>
      </c>
      <c r="I1255" t="s">
        <v>1812</v>
      </c>
      <c r="J1255">
        <v>800.33699999999999</v>
      </c>
      <c r="K1255" t="s">
        <v>679</v>
      </c>
      <c r="L1255">
        <v>20</v>
      </c>
      <c r="M1255" t="str">
        <v>Female</v>
      </c>
      <c r="N1255" t="str">
        <f>VLOOKUP(C:C,Customer_Dim!B:I,5,1)</f>
        <v>Matthewborough</v>
      </c>
      <c r="O1255" t="str">
        <f>VLOOKUP(C:C,Customer_Dim!B:I,6,1)</f>
        <v>Georgia</v>
      </c>
      <c r="P1255" t="str">
        <f>VLOOKUP(C:C,Customer_Dim!B:I,7,1)</f>
        <v>USA</v>
      </c>
      <c r="Q1255" t="str">
        <f>VLOOKUP(C:C,Customer_Dim!B:I,8,1)</f>
        <v>Silver</v>
      </c>
      <c r="S1255">
        <v>1</v>
      </c>
      <c r="T1255">
        <v>842.46</v>
      </c>
      <c r="U1255">
        <v>0.05</v>
      </c>
      <c r="V1255">
        <v>800.33699999999999</v>
      </c>
      <c r="X1255" s="4">
        <v>1</v>
      </c>
      <c r="Y1255">
        <v>842.46</v>
      </c>
      <c r="Z1255">
        <v>0.05</v>
      </c>
      <c r="AA1255">
        <v>800.33699999999999</v>
      </c>
    </row>
    <row r="1256" spans="1:27" x14ac:dyDescent="0.3">
      <c r="A1256" t="s">
        <v>3063</v>
      </c>
      <c r="B1256" s="2">
        <v>45543</v>
      </c>
      <c r="C1256" t="s">
        <v>684</v>
      </c>
      <c r="D1256" t="s">
        <v>1603</v>
      </c>
      <c r="E1256" t="s">
        <v>1775</v>
      </c>
      <c r="F1256" s="4">
        <v>3</v>
      </c>
      <c r="G1256">
        <v>120.67</v>
      </c>
      <c r="H1256">
        <v>0.08</v>
      </c>
      <c r="I1256" t="s">
        <v>1812</v>
      </c>
      <c r="J1256">
        <v>333.04919999999998</v>
      </c>
      <c r="K1256" t="s">
        <v>685</v>
      </c>
      <c r="L1256">
        <v>42</v>
      </c>
      <c r="M1256" t="str">
        <v>Female</v>
      </c>
      <c r="N1256" t="str">
        <f>VLOOKUP(C:C,Customer_Dim!B:I,5,1)</f>
        <v>Lyonsfort</v>
      </c>
      <c r="O1256" t="str">
        <f>VLOOKUP(C:C,Customer_Dim!B:I,6,1)</f>
        <v>Washington</v>
      </c>
      <c r="P1256" t="str">
        <f>VLOOKUP(C:C,Customer_Dim!B:I,7,1)</f>
        <v>USA</v>
      </c>
      <c r="Q1256" t="str">
        <f>VLOOKUP(C:C,Customer_Dim!B:I,8,1)</f>
        <v>Platinum</v>
      </c>
      <c r="S1256">
        <v>3</v>
      </c>
      <c r="T1256">
        <v>120.67</v>
      </c>
      <c r="U1256">
        <v>0.08</v>
      </c>
      <c r="V1256">
        <v>333.04919999999998</v>
      </c>
      <c r="X1256" s="4">
        <v>3</v>
      </c>
      <c r="Y1256">
        <v>120.67</v>
      </c>
      <c r="Z1256">
        <v>0.08</v>
      </c>
      <c r="AA1256">
        <v>333.04919999999998</v>
      </c>
    </row>
    <row r="1257" spans="1:27" x14ac:dyDescent="0.3">
      <c r="A1257" t="s">
        <v>3064</v>
      </c>
      <c r="B1257" s="2">
        <v>45402</v>
      </c>
      <c r="C1257" t="s">
        <v>1510</v>
      </c>
      <c r="D1257" t="s">
        <v>1571</v>
      </c>
      <c r="E1257" t="s">
        <v>1749</v>
      </c>
      <c r="F1257" s="4">
        <v>4</v>
      </c>
      <c r="G1257">
        <v>176.13</v>
      </c>
      <c r="H1257">
        <v>0.27</v>
      </c>
      <c r="I1257" t="s">
        <v>1809</v>
      </c>
      <c r="J1257">
        <v>514.29959999999994</v>
      </c>
      <c r="K1257" t="s">
        <v>1511</v>
      </c>
      <c r="L1257">
        <v>35</v>
      </c>
      <c r="M1257" t="str">
        <v>Male</v>
      </c>
      <c r="N1257" t="str">
        <f>VLOOKUP(C:C,Customer_Dim!B:I,5,1)</f>
        <v>Port William</v>
      </c>
      <c r="O1257" t="str">
        <f>VLOOKUP(C:C,Customer_Dim!B:I,6,1)</f>
        <v>New York</v>
      </c>
      <c r="P1257" t="str">
        <f>VLOOKUP(C:C,Customer_Dim!B:I,7,1)</f>
        <v>USA</v>
      </c>
      <c r="Q1257" t="str">
        <f>VLOOKUP(C:C,Customer_Dim!B:I,8,1)</f>
        <v>Gold</v>
      </c>
      <c r="S1257">
        <v>4</v>
      </c>
      <c r="T1257">
        <v>176.13</v>
      </c>
      <c r="U1257">
        <v>0.27</v>
      </c>
      <c r="V1257">
        <v>514.29959999999994</v>
      </c>
      <c r="X1257" s="4">
        <v>4</v>
      </c>
      <c r="Y1257">
        <v>176.13</v>
      </c>
      <c r="Z1257">
        <v>0.27</v>
      </c>
      <c r="AA1257">
        <v>514.29959999999994</v>
      </c>
    </row>
    <row r="1258" spans="1:27" x14ac:dyDescent="0.3">
      <c r="A1258" t="s">
        <v>3065</v>
      </c>
      <c r="B1258" s="2">
        <v>45671</v>
      </c>
      <c r="C1258" t="s">
        <v>1376</v>
      </c>
      <c r="D1258" t="s">
        <v>1657</v>
      </c>
      <c r="E1258" t="s">
        <v>1775</v>
      </c>
      <c r="F1258" s="4">
        <v>4</v>
      </c>
      <c r="G1258">
        <v>592.67999999999995</v>
      </c>
      <c r="H1258">
        <v>0.03</v>
      </c>
      <c r="I1258" t="s">
        <v>1807</v>
      </c>
      <c r="J1258">
        <v>2299.5983999999999</v>
      </c>
      <c r="K1258" t="s">
        <v>1377</v>
      </c>
      <c r="L1258">
        <v>46</v>
      </c>
      <c r="M1258" t="str">
        <v>Male</v>
      </c>
      <c r="N1258" t="str">
        <f>VLOOKUP(C:C,Customer_Dim!B:I,5,1)</f>
        <v>Lake Meganstad</v>
      </c>
      <c r="O1258" t="str">
        <f>VLOOKUP(C:C,Customer_Dim!B:I,6,1)</f>
        <v>Nebraska</v>
      </c>
      <c r="P1258" t="str">
        <f>VLOOKUP(C:C,Customer_Dim!B:I,7,1)</f>
        <v>USA</v>
      </c>
      <c r="Q1258" t="str">
        <f>VLOOKUP(C:C,Customer_Dim!B:I,8,1)</f>
        <v>Bronze</v>
      </c>
      <c r="S1258">
        <v>4</v>
      </c>
      <c r="T1258">
        <v>592.67999999999995</v>
      </c>
      <c r="U1258">
        <v>0.03</v>
      </c>
      <c r="V1258">
        <v>2299.5983999999999</v>
      </c>
      <c r="X1258" s="4">
        <v>4</v>
      </c>
      <c r="Y1258">
        <v>592.67999999999995</v>
      </c>
      <c r="Z1258">
        <v>0.03</v>
      </c>
      <c r="AA1258">
        <v>2299.5983999999999</v>
      </c>
    </row>
    <row r="1259" spans="1:27" x14ac:dyDescent="0.3">
      <c r="A1259" t="s">
        <v>3066</v>
      </c>
      <c r="B1259" s="2">
        <v>45367</v>
      </c>
      <c r="C1259" t="s">
        <v>576</v>
      </c>
      <c r="D1259" t="s">
        <v>1671</v>
      </c>
      <c r="E1259" t="s">
        <v>1752</v>
      </c>
      <c r="F1259" s="4">
        <v>4</v>
      </c>
      <c r="G1259">
        <v>662.43</v>
      </c>
      <c r="H1259">
        <v>0.24</v>
      </c>
      <c r="I1259" t="s">
        <v>1809</v>
      </c>
      <c r="J1259">
        <v>2013.7872</v>
      </c>
      <c r="K1259" t="s">
        <v>577</v>
      </c>
      <c r="L1259">
        <v>55</v>
      </c>
      <c r="M1259" t="str">
        <v>Male</v>
      </c>
      <c r="N1259" t="str">
        <f>VLOOKUP(C:C,Customer_Dim!B:I,5,1)</f>
        <v>Anabury</v>
      </c>
      <c r="O1259" t="str">
        <f>VLOOKUP(C:C,Customer_Dim!B:I,6,1)</f>
        <v>Vermont</v>
      </c>
      <c r="P1259" t="str">
        <f>VLOOKUP(C:C,Customer_Dim!B:I,7,1)</f>
        <v>USA</v>
      </c>
      <c r="Q1259" t="str">
        <f>VLOOKUP(C:C,Customer_Dim!B:I,8,1)</f>
        <v>Silver</v>
      </c>
      <c r="S1259">
        <v>4</v>
      </c>
      <c r="T1259">
        <v>662.43</v>
      </c>
      <c r="U1259">
        <v>0.24</v>
      </c>
      <c r="V1259">
        <v>2013.7872</v>
      </c>
      <c r="X1259" s="4">
        <v>4</v>
      </c>
      <c r="Y1259">
        <v>662.43</v>
      </c>
      <c r="Z1259">
        <v>0.24</v>
      </c>
      <c r="AA1259">
        <v>2013.7872</v>
      </c>
    </row>
    <row r="1260" spans="1:27" x14ac:dyDescent="0.3">
      <c r="A1260" t="s">
        <v>3067</v>
      </c>
      <c r="B1260" s="2">
        <v>45488</v>
      </c>
      <c r="C1260" t="s">
        <v>436</v>
      </c>
      <c r="D1260" t="s">
        <v>1617</v>
      </c>
      <c r="E1260" t="s">
        <v>1765</v>
      </c>
      <c r="F1260" s="4">
        <v>3</v>
      </c>
      <c r="G1260">
        <v>518.35</v>
      </c>
      <c r="H1260">
        <v>0.21</v>
      </c>
      <c r="I1260" t="s">
        <v>1812</v>
      </c>
      <c r="J1260">
        <v>1228.4894999999999</v>
      </c>
      <c r="K1260" t="s">
        <v>437</v>
      </c>
      <c r="L1260">
        <v>43</v>
      </c>
      <c r="M1260" t="str">
        <v>Female</v>
      </c>
      <c r="N1260" t="str">
        <f>VLOOKUP(C:C,Customer_Dim!B:I,5,1)</f>
        <v>East Ellen</v>
      </c>
      <c r="O1260" t="str">
        <f>VLOOKUP(C:C,Customer_Dim!B:I,6,1)</f>
        <v>Arkansas</v>
      </c>
      <c r="P1260" t="str">
        <f>VLOOKUP(C:C,Customer_Dim!B:I,7,1)</f>
        <v>USA</v>
      </c>
      <c r="Q1260" t="str">
        <f>VLOOKUP(C:C,Customer_Dim!B:I,8,1)</f>
        <v>Silver</v>
      </c>
      <c r="S1260">
        <v>3</v>
      </c>
      <c r="T1260">
        <v>518.35</v>
      </c>
      <c r="U1260">
        <v>0.21</v>
      </c>
      <c r="V1260">
        <v>1228.4894999999999</v>
      </c>
      <c r="X1260" s="4">
        <v>3</v>
      </c>
      <c r="Y1260">
        <v>518.35</v>
      </c>
      <c r="Z1260">
        <v>0.21</v>
      </c>
      <c r="AA1260">
        <v>1228.4894999999999</v>
      </c>
    </row>
    <row r="1261" spans="1:27" x14ac:dyDescent="0.3">
      <c r="A1261" t="s">
        <v>3068</v>
      </c>
      <c r="B1261" s="2">
        <v>45509</v>
      </c>
      <c r="C1261" t="s">
        <v>968</v>
      </c>
      <c r="D1261" t="s">
        <v>1653</v>
      </c>
      <c r="E1261" t="s">
        <v>1756</v>
      </c>
      <c r="F1261" s="4">
        <v>1</v>
      </c>
      <c r="G1261">
        <v>85.58</v>
      </c>
      <c r="H1261">
        <v>0.1</v>
      </c>
      <c r="I1261" t="s">
        <v>1812</v>
      </c>
      <c r="J1261">
        <v>77.022000000000006</v>
      </c>
      <c r="K1261" t="s">
        <v>969</v>
      </c>
      <c r="L1261">
        <v>35</v>
      </c>
      <c r="M1261" t="str">
        <v>Male</v>
      </c>
      <c r="N1261" t="str">
        <f>VLOOKUP(C:C,Customer_Dim!B:I,5,1)</f>
        <v>Joelside</v>
      </c>
      <c r="O1261" t="str">
        <f>VLOOKUP(C:C,Customer_Dim!B:I,6,1)</f>
        <v>Vermont</v>
      </c>
      <c r="P1261" t="str">
        <f>VLOOKUP(C:C,Customer_Dim!B:I,7,1)</f>
        <v>USA</v>
      </c>
      <c r="Q1261" t="str">
        <f>VLOOKUP(C:C,Customer_Dim!B:I,8,1)</f>
        <v>Silver</v>
      </c>
      <c r="S1261">
        <v>1</v>
      </c>
      <c r="T1261">
        <v>85.58</v>
      </c>
      <c r="U1261">
        <v>0.1</v>
      </c>
      <c r="V1261">
        <v>77.022000000000006</v>
      </c>
      <c r="X1261" s="4">
        <v>1</v>
      </c>
      <c r="Y1261">
        <v>85.58</v>
      </c>
      <c r="Z1261">
        <v>0.1</v>
      </c>
      <c r="AA1261">
        <v>77.022000000000006</v>
      </c>
    </row>
    <row r="1262" spans="1:27" x14ac:dyDescent="0.3">
      <c r="A1262" t="s">
        <v>3069</v>
      </c>
      <c r="B1262" s="2">
        <v>45323</v>
      </c>
      <c r="C1262" t="s">
        <v>1123</v>
      </c>
      <c r="D1262" t="s">
        <v>1705</v>
      </c>
      <c r="E1262" t="s">
        <v>1740</v>
      </c>
      <c r="F1262" s="4">
        <v>4</v>
      </c>
      <c r="G1262">
        <v>800</v>
      </c>
      <c r="H1262">
        <v>0.2</v>
      </c>
      <c r="I1262" t="s">
        <v>1807</v>
      </c>
      <c r="J1262">
        <v>2560</v>
      </c>
      <c r="K1262" t="s">
        <v>1124</v>
      </c>
      <c r="L1262">
        <v>58</v>
      </c>
      <c r="M1262" t="str">
        <v>Male</v>
      </c>
      <c r="N1262" t="str">
        <f>VLOOKUP(C:C,Customer_Dim!B:I,5,1)</f>
        <v>Murphytown</v>
      </c>
      <c r="O1262" t="str">
        <f>VLOOKUP(C:C,Customer_Dim!B:I,6,1)</f>
        <v>Ohio</v>
      </c>
      <c r="P1262" t="str">
        <f>VLOOKUP(C:C,Customer_Dim!B:I,7,1)</f>
        <v>USA</v>
      </c>
      <c r="Q1262" t="str">
        <f>VLOOKUP(C:C,Customer_Dim!B:I,8,1)</f>
        <v>Bronze</v>
      </c>
      <c r="S1262">
        <v>4</v>
      </c>
      <c r="T1262">
        <v>800</v>
      </c>
      <c r="U1262">
        <v>0.2</v>
      </c>
      <c r="V1262">
        <v>2560</v>
      </c>
      <c r="X1262" s="4">
        <v>4</v>
      </c>
      <c r="Y1262">
        <v>800</v>
      </c>
      <c r="Z1262">
        <v>0.2</v>
      </c>
      <c r="AA1262">
        <v>2560</v>
      </c>
    </row>
    <row r="1263" spans="1:27" x14ac:dyDescent="0.3">
      <c r="A1263" t="s">
        <v>3070</v>
      </c>
      <c r="B1263" s="2">
        <v>45889</v>
      </c>
      <c r="C1263" t="s">
        <v>515</v>
      </c>
      <c r="D1263" t="s">
        <v>1651</v>
      </c>
      <c r="E1263" t="s">
        <v>1772</v>
      </c>
      <c r="F1263" s="4">
        <v>3</v>
      </c>
      <c r="G1263">
        <v>118.25</v>
      </c>
      <c r="H1263">
        <v>0.26</v>
      </c>
      <c r="I1263" t="s">
        <v>1809</v>
      </c>
      <c r="J1263">
        <v>262.51499999999999</v>
      </c>
      <c r="K1263" t="s">
        <v>516</v>
      </c>
      <c r="L1263">
        <v>46</v>
      </c>
      <c r="M1263" t="str">
        <v>Male</v>
      </c>
      <c r="N1263" t="str">
        <f>VLOOKUP(C:C,Customer_Dim!B:I,5,1)</f>
        <v>Estradaside</v>
      </c>
      <c r="O1263" t="str">
        <f>VLOOKUP(C:C,Customer_Dim!B:I,6,1)</f>
        <v>Iowa</v>
      </c>
      <c r="P1263" t="str">
        <f>VLOOKUP(C:C,Customer_Dim!B:I,7,1)</f>
        <v>USA</v>
      </c>
      <c r="Q1263" t="str">
        <f>VLOOKUP(C:C,Customer_Dim!B:I,8,1)</f>
        <v>Gold</v>
      </c>
      <c r="S1263">
        <v>3</v>
      </c>
      <c r="T1263">
        <v>118.25</v>
      </c>
      <c r="U1263">
        <v>0.26</v>
      </c>
      <c r="V1263">
        <v>262.51499999999999</v>
      </c>
      <c r="X1263" s="4">
        <v>3</v>
      </c>
      <c r="Y1263">
        <v>118.25</v>
      </c>
      <c r="Z1263">
        <v>0.26</v>
      </c>
      <c r="AA1263">
        <v>262.51499999999999</v>
      </c>
    </row>
    <row r="1264" spans="1:27" x14ac:dyDescent="0.3">
      <c r="A1264" t="s">
        <v>3071</v>
      </c>
      <c r="B1264" s="2">
        <v>45253</v>
      </c>
      <c r="C1264" t="s">
        <v>1292</v>
      </c>
      <c r="D1264" t="s">
        <v>1595</v>
      </c>
      <c r="E1264" t="s">
        <v>1784</v>
      </c>
      <c r="F1264" s="4">
        <v>1</v>
      </c>
      <c r="G1264">
        <v>223.25</v>
      </c>
      <c r="H1264">
        <v>0.28999999999999998</v>
      </c>
      <c r="I1264" t="s">
        <v>1807</v>
      </c>
      <c r="J1264">
        <v>158.50749999999999</v>
      </c>
      <c r="K1264" t="s">
        <v>1293</v>
      </c>
      <c r="L1264">
        <v>42</v>
      </c>
      <c r="M1264" t="str">
        <v>Female</v>
      </c>
      <c r="N1264" t="str">
        <f>VLOOKUP(C:C,Customer_Dim!B:I,5,1)</f>
        <v>East Amy</v>
      </c>
      <c r="O1264" t="str">
        <f>VLOOKUP(C:C,Customer_Dim!B:I,6,1)</f>
        <v>Washington</v>
      </c>
      <c r="P1264" t="str">
        <f>VLOOKUP(C:C,Customer_Dim!B:I,7,1)</f>
        <v>USA</v>
      </c>
      <c r="Q1264" t="str">
        <f>VLOOKUP(C:C,Customer_Dim!B:I,8,1)</f>
        <v>Platinum</v>
      </c>
      <c r="S1264">
        <v>1</v>
      </c>
      <c r="T1264">
        <v>223.25</v>
      </c>
      <c r="U1264">
        <v>0.28999999999999998</v>
      </c>
      <c r="V1264">
        <v>158.50749999999999</v>
      </c>
      <c r="X1264" s="4">
        <v>1</v>
      </c>
      <c r="Y1264">
        <v>223.25</v>
      </c>
      <c r="Z1264">
        <v>0.28999999999999998</v>
      </c>
      <c r="AA1264">
        <v>158.50749999999999</v>
      </c>
    </row>
    <row r="1265" spans="1:27" x14ac:dyDescent="0.3">
      <c r="A1265" t="s">
        <v>3072</v>
      </c>
      <c r="B1265" s="2">
        <v>45530</v>
      </c>
      <c r="C1265" t="s">
        <v>1309</v>
      </c>
      <c r="D1265" t="s">
        <v>1595</v>
      </c>
      <c r="E1265" t="s">
        <v>1752</v>
      </c>
      <c r="F1265" s="4">
        <v>3</v>
      </c>
      <c r="G1265">
        <v>918.76</v>
      </c>
      <c r="H1265">
        <v>0.2</v>
      </c>
      <c r="I1265" t="s">
        <v>1809</v>
      </c>
      <c r="J1265">
        <v>2205.0239999999999</v>
      </c>
      <c r="K1265" t="s">
        <v>1310</v>
      </c>
      <c r="L1265">
        <v>27</v>
      </c>
      <c r="M1265" t="str">
        <v>Female</v>
      </c>
      <c r="N1265" t="str">
        <f>VLOOKUP(C:C,Customer_Dim!B:I,5,1)</f>
        <v>South Robert</v>
      </c>
      <c r="O1265" t="str">
        <f>VLOOKUP(C:C,Customer_Dim!B:I,6,1)</f>
        <v>Maine</v>
      </c>
      <c r="P1265" t="str">
        <f>VLOOKUP(C:C,Customer_Dim!B:I,7,1)</f>
        <v>USA</v>
      </c>
      <c r="Q1265" t="str">
        <f>VLOOKUP(C:C,Customer_Dim!B:I,8,1)</f>
        <v>Gold</v>
      </c>
      <c r="S1265">
        <v>3</v>
      </c>
      <c r="T1265">
        <v>918.76</v>
      </c>
      <c r="U1265">
        <v>0.2</v>
      </c>
      <c r="V1265">
        <v>2205.0239999999999</v>
      </c>
      <c r="X1265" s="4">
        <v>3</v>
      </c>
      <c r="Y1265">
        <v>918.76</v>
      </c>
      <c r="Z1265">
        <v>0.2</v>
      </c>
      <c r="AA1265">
        <v>2205.0239999999999</v>
      </c>
    </row>
    <row r="1266" spans="1:27" x14ac:dyDescent="0.3">
      <c r="A1266" t="s">
        <v>3073</v>
      </c>
      <c r="B1266" s="2">
        <v>45491</v>
      </c>
      <c r="C1266" t="s">
        <v>882</v>
      </c>
      <c r="D1266" t="s">
        <v>1699</v>
      </c>
      <c r="E1266" t="s">
        <v>1780</v>
      </c>
      <c r="F1266" s="4">
        <v>2</v>
      </c>
      <c r="G1266">
        <v>905.26</v>
      </c>
      <c r="H1266">
        <v>0.15</v>
      </c>
      <c r="I1266" t="s">
        <v>1812</v>
      </c>
      <c r="J1266">
        <v>1538.942</v>
      </c>
      <c r="K1266" t="s">
        <v>883</v>
      </c>
      <c r="L1266">
        <v>59</v>
      </c>
      <c r="M1266" t="str">
        <v>Male</v>
      </c>
      <c r="N1266" t="str">
        <f>VLOOKUP(C:C,Customer_Dim!B:I,5,1)</f>
        <v>Morrisville</v>
      </c>
      <c r="O1266" t="str">
        <f>VLOOKUP(C:C,Customer_Dim!B:I,6,1)</f>
        <v>Hawaii</v>
      </c>
      <c r="P1266" t="str">
        <f>VLOOKUP(C:C,Customer_Dim!B:I,7,1)</f>
        <v>USA</v>
      </c>
      <c r="Q1266" t="str">
        <f>VLOOKUP(C:C,Customer_Dim!B:I,8,1)</f>
        <v>Bronze</v>
      </c>
      <c r="S1266">
        <v>2</v>
      </c>
      <c r="T1266">
        <v>905.26</v>
      </c>
      <c r="U1266">
        <v>0.15</v>
      </c>
      <c r="V1266">
        <v>1538.942</v>
      </c>
      <c r="X1266" s="4">
        <v>2</v>
      </c>
      <c r="Y1266">
        <v>905.26</v>
      </c>
      <c r="Z1266">
        <v>0.15</v>
      </c>
      <c r="AA1266">
        <v>1538.942</v>
      </c>
    </row>
    <row r="1267" spans="1:27" x14ac:dyDescent="0.3">
      <c r="A1267" t="s">
        <v>3074</v>
      </c>
      <c r="B1267" s="2">
        <v>45628</v>
      </c>
      <c r="C1267" t="s">
        <v>974</v>
      </c>
      <c r="D1267" t="s">
        <v>1563</v>
      </c>
      <c r="E1267" t="s">
        <v>1796</v>
      </c>
      <c r="F1267" s="4">
        <v>4</v>
      </c>
      <c r="G1267">
        <v>295.39999999999998</v>
      </c>
      <c r="H1267">
        <v>0.23</v>
      </c>
      <c r="I1267" t="s">
        <v>1809</v>
      </c>
      <c r="J1267">
        <v>909.83199999999999</v>
      </c>
      <c r="K1267" t="s">
        <v>975</v>
      </c>
      <c r="L1267">
        <v>62</v>
      </c>
      <c r="M1267" t="str">
        <v>Male</v>
      </c>
      <c r="N1267" t="str">
        <f>VLOOKUP(C:C,Customer_Dim!B:I,5,1)</f>
        <v>Brianchester</v>
      </c>
      <c r="O1267" t="str">
        <f>VLOOKUP(C:C,Customer_Dim!B:I,6,1)</f>
        <v>Delaware</v>
      </c>
      <c r="P1267" t="str">
        <f>VLOOKUP(C:C,Customer_Dim!B:I,7,1)</f>
        <v>USA</v>
      </c>
      <c r="Q1267" t="str">
        <f>VLOOKUP(C:C,Customer_Dim!B:I,8,1)</f>
        <v>Silver</v>
      </c>
      <c r="S1267">
        <v>4</v>
      </c>
      <c r="T1267">
        <v>295.39999999999998</v>
      </c>
      <c r="U1267">
        <v>0.23</v>
      </c>
      <c r="V1267">
        <v>909.83199999999999</v>
      </c>
      <c r="X1267" s="4">
        <v>4</v>
      </c>
      <c r="Y1267">
        <v>295.39999999999998</v>
      </c>
      <c r="Z1267">
        <v>0.23</v>
      </c>
      <c r="AA1267">
        <v>909.83199999999999</v>
      </c>
    </row>
    <row r="1268" spans="1:27" x14ac:dyDescent="0.3">
      <c r="A1268" t="s">
        <v>3075</v>
      </c>
      <c r="B1268" s="2">
        <v>45861</v>
      </c>
      <c r="C1268" t="s">
        <v>310</v>
      </c>
      <c r="D1268" t="s">
        <v>1719</v>
      </c>
      <c r="E1268" t="s">
        <v>1756</v>
      </c>
      <c r="F1268" s="4">
        <v>1</v>
      </c>
      <c r="G1268">
        <v>252.18</v>
      </c>
      <c r="H1268">
        <v>0.23</v>
      </c>
      <c r="I1268" t="s">
        <v>1809</v>
      </c>
      <c r="J1268">
        <v>194.17859999999999</v>
      </c>
      <c r="K1268" t="s">
        <v>3939</v>
      </c>
      <c r="L1268">
        <v>58</v>
      </c>
      <c r="M1268" t="str">
        <v>Male</v>
      </c>
      <c r="N1268" t="str">
        <f>VLOOKUP(C:C,Customer_Dim!B:I,5,1)</f>
        <v>East Jenna</v>
      </c>
      <c r="O1268" t="str">
        <f>VLOOKUP(C:C,Customer_Dim!B:I,6,1)</f>
        <v>South Carolina</v>
      </c>
      <c r="P1268" t="str">
        <f>VLOOKUP(C:C,Customer_Dim!B:I,7,1)</f>
        <v>USA</v>
      </c>
      <c r="Q1268" t="str">
        <f>VLOOKUP(C:C,Customer_Dim!B:I,8,1)</f>
        <v>Bronze</v>
      </c>
      <c r="S1268">
        <v>1</v>
      </c>
      <c r="T1268">
        <v>252.18</v>
      </c>
      <c r="U1268">
        <v>0.23</v>
      </c>
      <c r="V1268">
        <v>194.17859999999999</v>
      </c>
      <c r="X1268" s="4">
        <v>1</v>
      </c>
      <c r="Y1268">
        <v>252.18</v>
      </c>
      <c r="Z1268">
        <v>0.23</v>
      </c>
      <c r="AA1268">
        <v>194.17859999999999</v>
      </c>
    </row>
    <row r="1269" spans="1:27" x14ac:dyDescent="0.3">
      <c r="A1269" t="s">
        <v>3076</v>
      </c>
      <c r="B1269" s="2">
        <v>45878</v>
      </c>
      <c r="C1269" t="s">
        <v>506</v>
      </c>
      <c r="D1269" t="s">
        <v>1725</v>
      </c>
      <c r="E1269" t="s">
        <v>1777</v>
      </c>
      <c r="F1269" s="4">
        <v>4</v>
      </c>
      <c r="G1269">
        <v>792.1</v>
      </c>
      <c r="H1269">
        <v>0.19</v>
      </c>
      <c r="I1269" t="s">
        <v>1812</v>
      </c>
      <c r="J1269">
        <v>2566.404</v>
      </c>
      <c r="K1269" t="s">
        <v>507</v>
      </c>
      <c r="L1269">
        <v>31</v>
      </c>
      <c r="M1269" t="str">
        <v>Male</v>
      </c>
      <c r="N1269" t="str">
        <f>VLOOKUP(C:C,Customer_Dim!B:I,5,1)</f>
        <v>Jaredville</v>
      </c>
      <c r="O1269" t="str">
        <f>VLOOKUP(C:C,Customer_Dim!B:I,6,1)</f>
        <v>Missouri</v>
      </c>
      <c r="P1269" t="str">
        <f>VLOOKUP(C:C,Customer_Dim!B:I,7,1)</f>
        <v>USA</v>
      </c>
      <c r="Q1269" t="str">
        <f>VLOOKUP(C:C,Customer_Dim!B:I,8,1)</f>
        <v>Platinum</v>
      </c>
      <c r="S1269">
        <v>4</v>
      </c>
      <c r="T1269">
        <v>792.1</v>
      </c>
      <c r="U1269">
        <v>0.19</v>
      </c>
      <c r="V1269">
        <v>2566.404</v>
      </c>
      <c r="X1269" s="4">
        <v>4</v>
      </c>
      <c r="Y1269">
        <v>792.1</v>
      </c>
      <c r="Z1269">
        <v>0.19</v>
      </c>
      <c r="AA1269">
        <v>2566.404</v>
      </c>
    </row>
    <row r="1270" spans="1:27" x14ac:dyDescent="0.3">
      <c r="A1270" t="s">
        <v>3077</v>
      </c>
      <c r="B1270" s="2">
        <v>45426</v>
      </c>
      <c r="C1270" t="s">
        <v>275</v>
      </c>
      <c r="D1270" t="s">
        <v>1707</v>
      </c>
      <c r="E1270" t="s">
        <v>1782</v>
      </c>
      <c r="F1270" s="4">
        <v>1</v>
      </c>
      <c r="G1270">
        <v>883.36</v>
      </c>
      <c r="H1270">
        <v>0.11</v>
      </c>
      <c r="I1270" t="s">
        <v>1809</v>
      </c>
      <c r="J1270">
        <v>786.19040000000007</v>
      </c>
      <c r="K1270" t="s">
        <v>276</v>
      </c>
      <c r="L1270">
        <v>29</v>
      </c>
      <c r="M1270" t="str">
        <v>Male</v>
      </c>
      <c r="N1270" t="str">
        <f>VLOOKUP(C:C,Customer_Dim!B:I,5,1)</f>
        <v>Rodrigueztown</v>
      </c>
      <c r="O1270" t="str">
        <f>VLOOKUP(C:C,Customer_Dim!B:I,6,1)</f>
        <v>Oklahoma</v>
      </c>
      <c r="P1270" t="str">
        <f>VLOOKUP(C:C,Customer_Dim!B:I,7,1)</f>
        <v>USA</v>
      </c>
      <c r="Q1270" t="str">
        <f>VLOOKUP(C:C,Customer_Dim!B:I,8,1)</f>
        <v>Gold</v>
      </c>
      <c r="S1270">
        <v>1</v>
      </c>
      <c r="T1270">
        <v>883.36</v>
      </c>
      <c r="U1270">
        <v>0.11</v>
      </c>
      <c r="V1270">
        <v>786.19040000000007</v>
      </c>
      <c r="X1270" s="4">
        <v>1</v>
      </c>
      <c r="Y1270">
        <v>883.36</v>
      </c>
      <c r="Z1270">
        <v>0.11</v>
      </c>
      <c r="AA1270">
        <v>786.19040000000007</v>
      </c>
    </row>
    <row r="1271" spans="1:27" x14ac:dyDescent="0.3">
      <c r="A1271" t="s">
        <v>3078</v>
      </c>
      <c r="B1271" s="2">
        <v>45231</v>
      </c>
      <c r="C1271" t="s">
        <v>870</v>
      </c>
      <c r="D1271" t="s">
        <v>1669</v>
      </c>
      <c r="E1271" t="s">
        <v>1735</v>
      </c>
      <c r="F1271" s="4">
        <v>4</v>
      </c>
      <c r="G1271">
        <v>305.95</v>
      </c>
      <c r="H1271">
        <v>0.08</v>
      </c>
      <c r="I1271" t="s">
        <v>1809</v>
      </c>
      <c r="J1271">
        <v>1125.896</v>
      </c>
      <c r="K1271" t="s">
        <v>871</v>
      </c>
      <c r="L1271">
        <v>22</v>
      </c>
      <c r="M1271" t="str">
        <v>Female</v>
      </c>
      <c r="N1271" t="str">
        <f>VLOOKUP(C:C,Customer_Dim!B:I,5,1)</f>
        <v>Ericshire</v>
      </c>
      <c r="O1271" t="str">
        <f>VLOOKUP(C:C,Customer_Dim!B:I,6,1)</f>
        <v>Nevada</v>
      </c>
      <c r="P1271" t="str">
        <f>VLOOKUP(C:C,Customer_Dim!B:I,7,1)</f>
        <v>USA</v>
      </c>
      <c r="Q1271" t="str">
        <f>VLOOKUP(C:C,Customer_Dim!B:I,8,1)</f>
        <v>Gold</v>
      </c>
      <c r="S1271">
        <v>4</v>
      </c>
      <c r="T1271">
        <v>305.95</v>
      </c>
      <c r="U1271">
        <v>0.08</v>
      </c>
      <c r="V1271">
        <v>1125.896</v>
      </c>
      <c r="X1271" s="4">
        <v>4</v>
      </c>
      <c r="Y1271">
        <v>305.95</v>
      </c>
      <c r="Z1271">
        <v>0.08</v>
      </c>
      <c r="AA1271">
        <v>1125.896</v>
      </c>
    </row>
    <row r="1272" spans="1:27" x14ac:dyDescent="0.3">
      <c r="A1272" t="s">
        <v>3079</v>
      </c>
      <c r="B1272" s="2">
        <v>45609</v>
      </c>
      <c r="C1272" t="s">
        <v>1235</v>
      </c>
      <c r="D1272" t="s">
        <v>1647</v>
      </c>
      <c r="E1272" t="s">
        <v>1762</v>
      </c>
      <c r="F1272" s="4">
        <v>3</v>
      </c>
      <c r="G1272">
        <v>742.45</v>
      </c>
      <c r="H1272">
        <v>0.23</v>
      </c>
      <c r="I1272" t="s">
        <v>1812</v>
      </c>
      <c r="J1272">
        <v>1715.0595000000001</v>
      </c>
      <c r="K1272" t="s">
        <v>1236</v>
      </c>
      <c r="L1272">
        <v>31</v>
      </c>
      <c r="M1272" t="str">
        <v>Male</v>
      </c>
      <c r="N1272" t="str">
        <f>VLOOKUP(C:C,Customer_Dim!B:I,5,1)</f>
        <v>Leahmouth</v>
      </c>
      <c r="O1272" t="str">
        <f>VLOOKUP(C:C,Customer_Dim!B:I,6,1)</f>
        <v>Nevada</v>
      </c>
      <c r="P1272" t="str">
        <f>VLOOKUP(C:C,Customer_Dim!B:I,7,1)</f>
        <v>USA</v>
      </c>
      <c r="Q1272" t="str">
        <f>VLOOKUP(C:C,Customer_Dim!B:I,8,1)</f>
        <v>Platinum</v>
      </c>
      <c r="S1272">
        <v>3</v>
      </c>
      <c r="T1272">
        <v>742.45</v>
      </c>
      <c r="U1272">
        <v>0.23</v>
      </c>
      <c r="V1272">
        <v>1715.0595000000001</v>
      </c>
      <c r="X1272" s="4">
        <v>3</v>
      </c>
      <c r="Y1272">
        <v>742.45</v>
      </c>
      <c r="Z1272">
        <v>0.23</v>
      </c>
      <c r="AA1272">
        <v>1715.0595000000001</v>
      </c>
    </row>
    <row r="1273" spans="1:27" x14ac:dyDescent="0.3">
      <c r="A1273" t="s">
        <v>3080</v>
      </c>
      <c r="B1273" s="2">
        <v>45392</v>
      </c>
      <c r="C1273" t="s">
        <v>1100</v>
      </c>
      <c r="D1273" t="s">
        <v>1581</v>
      </c>
      <c r="E1273" t="s">
        <v>1793</v>
      </c>
      <c r="F1273" s="4">
        <v>3</v>
      </c>
      <c r="G1273">
        <v>336.1</v>
      </c>
      <c r="H1273">
        <v>0.12</v>
      </c>
      <c r="I1273" t="s">
        <v>1812</v>
      </c>
      <c r="J1273">
        <v>887.30400000000009</v>
      </c>
      <c r="K1273" t="s">
        <v>1101</v>
      </c>
      <c r="L1273">
        <v>54</v>
      </c>
      <c r="M1273" t="str">
        <v>Male</v>
      </c>
      <c r="N1273" t="str">
        <f>VLOOKUP(C:C,Customer_Dim!B:I,5,1)</f>
        <v>North Johnfurt</v>
      </c>
      <c r="O1273" t="str">
        <f>VLOOKUP(C:C,Customer_Dim!B:I,6,1)</f>
        <v>Washington</v>
      </c>
      <c r="P1273" t="str">
        <f>VLOOKUP(C:C,Customer_Dim!B:I,7,1)</f>
        <v>USA</v>
      </c>
      <c r="Q1273" t="str">
        <f>VLOOKUP(C:C,Customer_Dim!B:I,8,1)</f>
        <v>Gold</v>
      </c>
      <c r="S1273">
        <v>3</v>
      </c>
      <c r="T1273">
        <v>336.1</v>
      </c>
      <c r="U1273">
        <v>0.12</v>
      </c>
      <c r="V1273">
        <v>887.30400000000009</v>
      </c>
      <c r="X1273" s="4">
        <v>3</v>
      </c>
      <c r="Y1273">
        <v>336.1</v>
      </c>
      <c r="Z1273">
        <v>0.12</v>
      </c>
      <c r="AA1273">
        <v>887.30400000000009</v>
      </c>
    </row>
    <row r="1274" spans="1:27" x14ac:dyDescent="0.3">
      <c r="A1274" t="s">
        <v>3081</v>
      </c>
      <c r="B1274" s="2">
        <v>45876</v>
      </c>
      <c r="C1274" t="s">
        <v>1267</v>
      </c>
      <c r="D1274" t="s">
        <v>1589</v>
      </c>
      <c r="E1274" t="s">
        <v>1762</v>
      </c>
      <c r="F1274" s="4">
        <v>3</v>
      </c>
      <c r="G1274">
        <v>310.36</v>
      </c>
      <c r="H1274">
        <v>0.14000000000000001</v>
      </c>
      <c r="I1274" t="s">
        <v>1812</v>
      </c>
      <c r="J1274">
        <v>800.72879999999998</v>
      </c>
      <c r="K1274" t="s">
        <v>1268</v>
      </c>
      <c r="L1274">
        <v>59</v>
      </c>
      <c r="M1274" t="str">
        <v>Female</v>
      </c>
      <c r="N1274" t="str">
        <f>VLOOKUP(C:C,Customer_Dim!B:I,5,1)</f>
        <v>East Andrea</v>
      </c>
      <c r="O1274" t="str">
        <f>VLOOKUP(C:C,Customer_Dim!B:I,6,1)</f>
        <v>Michigan</v>
      </c>
      <c r="P1274" t="str">
        <f>VLOOKUP(C:C,Customer_Dim!B:I,7,1)</f>
        <v>USA</v>
      </c>
      <c r="Q1274" t="str">
        <f>VLOOKUP(C:C,Customer_Dim!B:I,8,1)</f>
        <v>Gold</v>
      </c>
      <c r="S1274">
        <v>3</v>
      </c>
      <c r="T1274">
        <v>310.36</v>
      </c>
      <c r="U1274">
        <v>0.14000000000000001</v>
      </c>
      <c r="V1274">
        <v>800.72879999999998</v>
      </c>
      <c r="X1274" s="4">
        <v>3</v>
      </c>
      <c r="Y1274">
        <v>310.36</v>
      </c>
      <c r="Z1274">
        <v>0.14000000000000001</v>
      </c>
      <c r="AA1274">
        <v>800.72879999999998</v>
      </c>
    </row>
    <row r="1275" spans="1:27" x14ac:dyDescent="0.3">
      <c r="A1275" t="s">
        <v>3082</v>
      </c>
      <c r="B1275" s="2">
        <v>45772</v>
      </c>
      <c r="C1275" t="s">
        <v>879</v>
      </c>
      <c r="D1275" t="s">
        <v>1727</v>
      </c>
      <c r="E1275" t="s">
        <v>1765</v>
      </c>
      <c r="F1275" s="4">
        <v>3</v>
      </c>
      <c r="G1275">
        <v>992.81</v>
      </c>
      <c r="H1275">
        <v>0.04</v>
      </c>
      <c r="I1275" t="s">
        <v>1809</v>
      </c>
      <c r="J1275">
        <v>2859.2928000000002</v>
      </c>
      <c r="K1275" t="s">
        <v>880</v>
      </c>
      <c r="L1275">
        <v>48</v>
      </c>
      <c r="M1275" t="str">
        <v>Male</v>
      </c>
      <c r="N1275" t="str">
        <f>VLOOKUP(C:C,Customer_Dim!B:I,5,1)</f>
        <v>Gilltown</v>
      </c>
      <c r="O1275" t="str">
        <f>VLOOKUP(C:C,Customer_Dim!B:I,6,1)</f>
        <v>Ohio</v>
      </c>
      <c r="P1275" t="str">
        <f>VLOOKUP(C:C,Customer_Dim!B:I,7,1)</f>
        <v>USA</v>
      </c>
      <c r="Q1275" t="str">
        <f>VLOOKUP(C:C,Customer_Dim!B:I,8,1)</f>
        <v>Bronze</v>
      </c>
      <c r="S1275">
        <v>3</v>
      </c>
      <c r="T1275">
        <v>992.81</v>
      </c>
      <c r="U1275">
        <v>0.04</v>
      </c>
      <c r="V1275">
        <v>2859.2928000000002</v>
      </c>
      <c r="X1275" s="4">
        <v>3</v>
      </c>
      <c r="Y1275">
        <v>992.81</v>
      </c>
      <c r="Z1275">
        <v>0.04</v>
      </c>
      <c r="AA1275">
        <v>2859.2928000000002</v>
      </c>
    </row>
    <row r="1276" spans="1:27" x14ac:dyDescent="0.3">
      <c r="A1276" t="s">
        <v>3083</v>
      </c>
      <c r="B1276" s="2">
        <v>45217</v>
      </c>
      <c r="C1276" t="s">
        <v>642</v>
      </c>
      <c r="D1276" t="s">
        <v>1651</v>
      </c>
      <c r="E1276" t="s">
        <v>1775</v>
      </c>
      <c r="F1276" s="4">
        <v>3</v>
      </c>
      <c r="G1276">
        <v>257.11</v>
      </c>
      <c r="H1276">
        <v>0.26</v>
      </c>
      <c r="I1276" t="s">
        <v>1812</v>
      </c>
      <c r="J1276">
        <v>570.78420000000006</v>
      </c>
      <c r="K1276" t="s">
        <v>643</v>
      </c>
      <c r="L1276">
        <v>46</v>
      </c>
      <c r="M1276" t="str">
        <v>Male</v>
      </c>
      <c r="N1276" t="str">
        <f>VLOOKUP(C:C,Customer_Dim!B:I,5,1)</f>
        <v>Frostmouth</v>
      </c>
      <c r="O1276" t="str">
        <f>VLOOKUP(C:C,Customer_Dim!B:I,6,1)</f>
        <v>Vermont</v>
      </c>
      <c r="P1276" t="str">
        <f>VLOOKUP(C:C,Customer_Dim!B:I,7,1)</f>
        <v>USA</v>
      </c>
      <c r="Q1276" t="str">
        <f>VLOOKUP(C:C,Customer_Dim!B:I,8,1)</f>
        <v>Bronze</v>
      </c>
      <c r="S1276">
        <v>3</v>
      </c>
      <c r="T1276">
        <v>257.11</v>
      </c>
      <c r="U1276">
        <v>0.26</v>
      </c>
      <c r="V1276">
        <v>570.78420000000006</v>
      </c>
      <c r="X1276" s="4">
        <v>3</v>
      </c>
      <c r="Y1276">
        <v>257.11</v>
      </c>
      <c r="Z1276">
        <v>0.26</v>
      </c>
      <c r="AA1276">
        <v>570.78420000000006</v>
      </c>
    </row>
    <row r="1277" spans="1:27" x14ac:dyDescent="0.3">
      <c r="A1277" t="s">
        <v>3084</v>
      </c>
      <c r="B1277" s="2">
        <v>45739</v>
      </c>
      <c r="C1277" t="s">
        <v>707</v>
      </c>
      <c r="D1277" t="s">
        <v>1721</v>
      </c>
      <c r="E1277" t="s">
        <v>1777</v>
      </c>
      <c r="F1277" s="4">
        <v>4</v>
      </c>
      <c r="G1277">
        <v>816.29</v>
      </c>
      <c r="H1277">
        <v>0.24</v>
      </c>
      <c r="I1277" t="s">
        <v>1809</v>
      </c>
      <c r="J1277">
        <v>2481.5216</v>
      </c>
      <c r="K1277" t="s">
        <v>708</v>
      </c>
      <c r="L1277">
        <v>38</v>
      </c>
      <c r="M1277" t="str">
        <v>Male</v>
      </c>
      <c r="N1277" t="str">
        <f>VLOOKUP(C:C,Customer_Dim!B:I,5,1)</f>
        <v xml:space="preserve">    Lake Lisa</v>
      </c>
      <c r="O1277" t="str">
        <f>VLOOKUP(C:C,Customer_Dim!B:I,6,1)</f>
        <v>Massachusetts</v>
      </c>
      <c r="P1277" t="str">
        <f>VLOOKUP(C:C,Customer_Dim!B:I,7,1)</f>
        <v>USA</v>
      </c>
      <c r="Q1277" t="str">
        <f>VLOOKUP(C:C,Customer_Dim!B:I,8,1)</f>
        <v>Bronze</v>
      </c>
      <c r="S1277">
        <v>4</v>
      </c>
      <c r="T1277">
        <v>816.29</v>
      </c>
      <c r="U1277">
        <v>0.24</v>
      </c>
      <c r="V1277">
        <v>2481.5216</v>
      </c>
      <c r="X1277" s="4">
        <v>4</v>
      </c>
      <c r="Y1277">
        <v>816.29</v>
      </c>
      <c r="Z1277">
        <v>0.24</v>
      </c>
      <c r="AA1277">
        <v>2481.5216</v>
      </c>
    </row>
    <row r="1278" spans="1:27" x14ac:dyDescent="0.3">
      <c r="A1278" t="s">
        <v>3085</v>
      </c>
      <c r="B1278" s="2">
        <v>45272</v>
      </c>
      <c r="C1278" t="s">
        <v>417</v>
      </c>
      <c r="D1278" t="s">
        <v>1651</v>
      </c>
      <c r="E1278" t="s">
        <v>1777</v>
      </c>
      <c r="F1278" s="4">
        <v>4</v>
      </c>
      <c r="G1278">
        <v>755.82</v>
      </c>
      <c r="H1278">
        <v>0.22</v>
      </c>
      <c r="I1278" t="s">
        <v>1812</v>
      </c>
      <c r="J1278">
        <v>2358.1583999999998</v>
      </c>
      <c r="K1278" t="s">
        <v>418</v>
      </c>
      <c r="L1278">
        <v>40</v>
      </c>
      <c r="M1278" t="str">
        <v>Male</v>
      </c>
      <c r="N1278" t="str">
        <f>VLOOKUP(C:C,Customer_Dim!B:I,5,1)</f>
        <v>Kathrynport</v>
      </c>
      <c r="O1278" t="str">
        <f>VLOOKUP(C:C,Customer_Dim!B:I,6,1)</f>
        <v>North Carolina</v>
      </c>
      <c r="P1278" t="str">
        <f>VLOOKUP(C:C,Customer_Dim!B:I,7,1)</f>
        <v>USA</v>
      </c>
      <c r="Q1278" t="str">
        <f>VLOOKUP(C:C,Customer_Dim!B:I,8,1)</f>
        <v>Platinum</v>
      </c>
      <c r="S1278">
        <v>4</v>
      </c>
      <c r="T1278">
        <v>755.82</v>
      </c>
      <c r="U1278">
        <v>0.22</v>
      </c>
      <c r="V1278">
        <v>2358.1583999999998</v>
      </c>
      <c r="X1278" s="4">
        <v>4</v>
      </c>
      <c r="Y1278">
        <v>755.82</v>
      </c>
      <c r="Z1278">
        <v>0.22</v>
      </c>
      <c r="AA1278">
        <v>2358.1583999999998</v>
      </c>
    </row>
    <row r="1279" spans="1:27" x14ac:dyDescent="0.3">
      <c r="A1279" t="s">
        <v>3086</v>
      </c>
      <c r="B1279" s="2">
        <v>45524</v>
      </c>
      <c r="C1279" t="s">
        <v>23</v>
      </c>
      <c r="D1279" t="s">
        <v>1526</v>
      </c>
      <c r="E1279" t="s">
        <v>1782</v>
      </c>
      <c r="F1279" s="4">
        <v>1</v>
      </c>
      <c r="G1279">
        <v>449.6</v>
      </c>
      <c r="H1279">
        <v>0.01</v>
      </c>
      <c r="I1279" t="s">
        <v>1809</v>
      </c>
      <c r="J1279">
        <v>445.10399999999998</v>
      </c>
      <c r="K1279" t="s">
        <v>3934</v>
      </c>
      <c r="L1279">
        <v>64</v>
      </c>
      <c r="M1279" t="str">
        <v>Female</v>
      </c>
      <c r="N1279" t="str">
        <f>VLOOKUP(C:C,Customer_Dim!B:I,5,1)</f>
        <v>Thomastown</v>
      </c>
      <c r="O1279" t="str">
        <f>VLOOKUP(C:C,Customer_Dim!B:I,6,1)</f>
        <v>Ohio</v>
      </c>
      <c r="P1279" t="str">
        <f>VLOOKUP(C:C,Customer_Dim!B:I,7,1)</f>
        <v>USA</v>
      </c>
      <c r="Q1279" t="str">
        <f>VLOOKUP(C:C,Customer_Dim!B:I,8,1)</f>
        <v>Bronze</v>
      </c>
      <c r="S1279">
        <v>1</v>
      </c>
      <c r="T1279">
        <v>449.6</v>
      </c>
      <c r="U1279">
        <v>0.01</v>
      </c>
      <c r="V1279">
        <v>445.10399999999998</v>
      </c>
      <c r="X1279" s="4">
        <v>1</v>
      </c>
      <c r="Y1279">
        <v>449.6</v>
      </c>
      <c r="Z1279">
        <v>0.01</v>
      </c>
      <c r="AA1279">
        <v>445.10399999999998</v>
      </c>
    </row>
    <row r="1280" spans="1:27" x14ac:dyDescent="0.3">
      <c r="A1280" t="s">
        <v>3087</v>
      </c>
      <c r="B1280" s="2">
        <v>45481</v>
      </c>
      <c r="C1280" t="s">
        <v>1089</v>
      </c>
      <c r="D1280" t="s">
        <v>1559</v>
      </c>
      <c r="E1280" t="s">
        <v>1735</v>
      </c>
      <c r="F1280" s="4">
        <v>2</v>
      </c>
      <c r="G1280">
        <v>779.29</v>
      </c>
      <c r="H1280">
        <v>0.12</v>
      </c>
      <c r="I1280" t="s">
        <v>1812</v>
      </c>
      <c r="J1280">
        <v>1371.5504000000001</v>
      </c>
      <c r="K1280" t="s">
        <v>1090</v>
      </c>
      <c r="L1280">
        <v>52</v>
      </c>
      <c r="M1280" t="str">
        <v>Female</v>
      </c>
      <c r="N1280" t="str">
        <f>VLOOKUP(C:C,Customer_Dim!B:I,5,1)</f>
        <v>North Samuel</v>
      </c>
      <c r="O1280" t="str">
        <f>VLOOKUP(C:C,Customer_Dim!B:I,6,1)</f>
        <v>Nebraska</v>
      </c>
      <c r="P1280" t="str">
        <f>VLOOKUP(C:C,Customer_Dim!B:I,7,1)</f>
        <v>USA</v>
      </c>
      <c r="Q1280" t="str">
        <f>VLOOKUP(C:C,Customer_Dim!B:I,8,1)</f>
        <v>Bronze</v>
      </c>
      <c r="S1280">
        <v>2</v>
      </c>
      <c r="T1280">
        <v>779.29</v>
      </c>
      <c r="U1280">
        <v>0.12</v>
      </c>
      <c r="V1280">
        <v>1371.5504000000001</v>
      </c>
      <c r="X1280" s="4">
        <v>2</v>
      </c>
      <c r="Y1280">
        <v>779.29</v>
      </c>
      <c r="Z1280">
        <v>0.12</v>
      </c>
      <c r="AA1280">
        <v>1371.5504000000001</v>
      </c>
    </row>
    <row r="1281" spans="1:27" x14ac:dyDescent="0.3">
      <c r="A1281" t="s">
        <v>3088</v>
      </c>
      <c r="B1281" s="2">
        <v>45267</v>
      </c>
      <c r="C1281" t="s">
        <v>1415</v>
      </c>
      <c r="D1281" t="s">
        <v>1685</v>
      </c>
      <c r="E1281" t="s">
        <v>1790</v>
      </c>
      <c r="F1281" s="4">
        <v>1</v>
      </c>
      <c r="G1281">
        <v>748.75</v>
      </c>
      <c r="H1281">
        <v>0.1</v>
      </c>
      <c r="I1281" t="s">
        <v>1812</v>
      </c>
      <c r="J1281">
        <v>673.875</v>
      </c>
      <c r="K1281" t="s">
        <v>1416</v>
      </c>
      <c r="L1281">
        <v>28</v>
      </c>
      <c r="M1281" t="str">
        <v>Female</v>
      </c>
      <c r="N1281" t="str">
        <f>VLOOKUP(C:C,Customer_Dim!B:I,5,1)</f>
        <v>Grayland</v>
      </c>
      <c r="O1281" t="str">
        <f>VLOOKUP(C:C,Customer_Dim!B:I,6,1)</f>
        <v>Washington</v>
      </c>
      <c r="P1281" t="str">
        <f>VLOOKUP(C:C,Customer_Dim!B:I,7,1)</f>
        <v>USA</v>
      </c>
      <c r="Q1281" t="str">
        <f>VLOOKUP(C:C,Customer_Dim!B:I,8,1)</f>
        <v>Platinum</v>
      </c>
      <c r="S1281">
        <v>1</v>
      </c>
      <c r="T1281">
        <v>748.75</v>
      </c>
      <c r="U1281">
        <v>0.1</v>
      </c>
      <c r="V1281">
        <v>673.875</v>
      </c>
      <c r="X1281" s="4">
        <v>1</v>
      </c>
      <c r="Y1281">
        <v>748.75</v>
      </c>
      <c r="Z1281">
        <v>0.1</v>
      </c>
      <c r="AA1281">
        <v>673.875</v>
      </c>
    </row>
    <row r="1282" spans="1:27" x14ac:dyDescent="0.3">
      <c r="A1282" t="s">
        <v>3089</v>
      </c>
      <c r="B1282" s="2">
        <v>45328</v>
      </c>
      <c r="C1282" t="s">
        <v>592</v>
      </c>
      <c r="D1282" t="s">
        <v>1709</v>
      </c>
      <c r="E1282" t="s">
        <v>1735</v>
      </c>
      <c r="F1282" s="4">
        <v>2</v>
      </c>
      <c r="G1282">
        <v>121.67</v>
      </c>
      <c r="H1282">
        <v>0.08</v>
      </c>
      <c r="I1282" t="s">
        <v>1812</v>
      </c>
      <c r="J1282">
        <v>223.87280000000001</v>
      </c>
      <c r="K1282" t="s">
        <v>593</v>
      </c>
      <c r="L1282">
        <v>23</v>
      </c>
      <c r="M1282" t="str">
        <v>Female</v>
      </c>
      <c r="N1282" t="str">
        <f>VLOOKUP(C:C,Customer_Dim!B:I,5,1)</f>
        <v>New Brianchester</v>
      </c>
      <c r="O1282" t="str">
        <f>VLOOKUP(C:C,Customer_Dim!B:I,6,1)</f>
        <v>New York</v>
      </c>
      <c r="P1282" t="str">
        <f>VLOOKUP(C:C,Customer_Dim!B:I,7,1)</f>
        <v>USA</v>
      </c>
      <c r="Q1282" t="str">
        <f>VLOOKUP(C:C,Customer_Dim!B:I,8,1)</f>
        <v>Bronze</v>
      </c>
      <c r="S1282">
        <v>2</v>
      </c>
      <c r="T1282">
        <v>121.67</v>
      </c>
      <c r="U1282">
        <v>0.08</v>
      </c>
      <c r="V1282">
        <v>223.87280000000001</v>
      </c>
      <c r="X1282" s="4">
        <v>2</v>
      </c>
      <c r="Y1282">
        <v>121.67</v>
      </c>
      <c r="Z1282">
        <v>0.08</v>
      </c>
      <c r="AA1282">
        <v>223.87280000000001</v>
      </c>
    </row>
    <row r="1283" spans="1:27" x14ac:dyDescent="0.3">
      <c r="A1283" t="s">
        <v>3090</v>
      </c>
      <c r="B1283" s="2">
        <v>45787</v>
      </c>
      <c r="C1283" t="s">
        <v>1496</v>
      </c>
      <c r="D1283" t="s">
        <v>1629</v>
      </c>
      <c r="E1283" t="s">
        <v>1784</v>
      </c>
      <c r="F1283" s="4">
        <v>3</v>
      </c>
      <c r="G1283">
        <v>225.14</v>
      </c>
      <c r="H1283">
        <v>0.15</v>
      </c>
      <c r="I1283" t="s">
        <v>1812</v>
      </c>
      <c r="J1283">
        <v>574.10699999999997</v>
      </c>
      <c r="K1283" t="s">
        <v>1497</v>
      </c>
      <c r="L1283">
        <v>28</v>
      </c>
      <c r="M1283" t="str">
        <v>Male</v>
      </c>
      <c r="N1283" t="str">
        <f>VLOOKUP(C:C,Customer_Dim!B:I,5,1)</f>
        <v>Port Carol</v>
      </c>
      <c r="O1283" t="str">
        <f>VLOOKUP(C:C,Customer_Dim!B:I,6,1)</f>
        <v>Florida</v>
      </c>
      <c r="P1283" t="str">
        <f>VLOOKUP(C:C,Customer_Dim!B:I,7,1)</f>
        <v>USA</v>
      </c>
      <c r="Q1283" t="str">
        <f>VLOOKUP(C:C,Customer_Dim!B:I,8,1)</f>
        <v>Platinum</v>
      </c>
      <c r="S1283">
        <v>3</v>
      </c>
      <c r="T1283">
        <v>225.14</v>
      </c>
      <c r="U1283">
        <v>0.15</v>
      </c>
      <c r="V1283">
        <v>574.10699999999997</v>
      </c>
      <c r="X1283" s="4">
        <v>3</v>
      </c>
      <c r="Y1283">
        <v>225.14</v>
      </c>
      <c r="Z1283">
        <v>0.15</v>
      </c>
      <c r="AA1283">
        <v>574.10699999999997</v>
      </c>
    </row>
    <row r="1284" spans="1:27" x14ac:dyDescent="0.3">
      <c r="A1284" t="s">
        <v>3091</v>
      </c>
      <c r="B1284" s="2">
        <v>45876</v>
      </c>
      <c r="C1284" t="s">
        <v>1001</v>
      </c>
      <c r="D1284" t="s">
        <v>1589</v>
      </c>
      <c r="E1284" t="s">
        <v>1796</v>
      </c>
      <c r="F1284" s="4">
        <v>1</v>
      </c>
      <c r="G1284">
        <v>654.17999999999995</v>
      </c>
      <c r="H1284">
        <v>0.19</v>
      </c>
      <c r="I1284" t="s">
        <v>1809</v>
      </c>
      <c r="J1284">
        <v>529.88580000000002</v>
      </c>
      <c r="K1284" t="s">
        <v>1002</v>
      </c>
      <c r="L1284">
        <v>54</v>
      </c>
      <c r="M1284" t="str">
        <v>Male</v>
      </c>
      <c r="N1284" t="str">
        <f>VLOOKUP(C:C,Customer_Dim!B:I,5,1)</f>
        <v>Lake Alice</v>
      </c>
      <c r="O1284" t="str">
        <f>VLOOKUP(C:C,Customer_Dim!B:I,6,1)</f>
        <v>Tennessee</v>
      </c>
      <c r="P1284" t="str">
        <f>VLOOKUP(C:C,Customer_Dim!B:I,7,1)</f>
        <v>USA</v>
      </c>
      <c r="Q1284" t="str">
        <f>VLOOKUP(C:C,Customer_Dim!B:I,8,1)</f>
        <v>Bronze</v>
      </c>
      <c r="S1284">
        <v>1</v>
      </c>
      <c r="T1284">
        <v>654.17999999999995</v>
      </c>
      <c r="U1284">
        <v>0.19</v>
      </c>
      <c r="V1284">
        <v>529.88580000000002</v>
      </c>
      <c r="X1284" s="4">
        <v>1</v>
      </c>
      <c r="Y1284">
        <v>654.17999999999995</v>
      </c>
      <c r="Z1284">
        <v>0.19</v>
      </c>
      <c r="AA1284">
        <v>529.88580000000002</v>
      </c>
    </row>
    <row r="1285" spans="1:27" x14ac:dyDescent="0.3">
      <c r="A1285" t="s">
        <v>3092</v>
      </c>
      <c r="B1285" s="2">
        <v>45552</v>
      </c>
      <c r="C1285" t="s">
        <v>215</v>
      </c>
      <c r="D1285" t="s">
        <v>1673</v>
      </c>
      <c r="E1285" t="s">
        <v>1756</v>
      </c>
      <c r="F1285" s="4">
        <v>2</v>
      </c>
      <c r="G1285">
        <v>504.98</v>
      </c>
      <c r="H1285">
        <v>0.08</v>
      </c>
      <c r="I1285" t="s">
        <v>1812</v>
      </c>
      <c r="J1285">
        <v>929.16320000000007</v>
      </c>
      <c r="K1285" t="s">
        <v>216</v>
      </c>
      <c r="L1285">
        <v>53</v>
      </c>
      <c r="M1285" t="str">
        <v>Male</v>
      </c>
      <c r="N1285" t="str">
        <f>VLOOKUP(C:C,Customer_Dim!B:I,5,1)</f>
        <v>Snowmouth</v>
      </c>
      <c r="O1285" t="str">
        <f>VLOOKUP(C:C,Customer_Dim!B:I,6,1)</f>
        <v>Maryland</v>
      </c>
      <c r="P1285" t="str">
        <f>VLOOKUP(C:C,Customer_Dim!B:I,7,1)</f>
        <v>USA</v>
      </c>
      <c r="Q1285" t="str">
        <f>VLOOKUP(C:C,Customer_Dim!B:I,8,1)</f>
        <v>Platinum</v>
      </c>
      <c r="S1285">
        <v>2</v>
      </c>
      <c r="T1285">
        <v>504.98</v>
      </c>
      <c r="U1285">
        <v>0.08</v>
      </c>
      <c r="V1285">
        <v>929.16320000000007</v>
      </c>
      <c r="X1285" s="4">
        <v>2</v>
      </c>
      <c r="Y1285">
        <v>504.98</v>
      </c>
      <c r="Z1285">
        <v>0.08</v>
      </c>
      <c r="AA1285">
        <v>929.16320000000007</v>
      </c>
    </row>
    <row r="1286" spans="1:27" x14ac:dyDescent="0.3">
      <c r="A1286" t="s">
        <v>3093</v>
      </c>
      <c r="B1286" s="2">
        <v>45823</v>
      </c>
      <c r="C1286" t="s">
        <v>1168</v>
      </c>
      <c r="D1286" t="s">
        <v>1639</v>
      </c>
      <c r="E1286" t="s">
        <v>1765</v>
      </c>
      <c r="F1286" s="4">
        <v>2</v>
      </c>
      <c r="G1286">
        <v>623.20000000000005</v>
      </c>
      <c r="H1286">
        <v>0.14000000000000001</v>
      </c>
      <c r="I1286" t="s">
        <v>1812</v>
      </c>
      <c r="J1286">
        <v>1071.904</v>
      </c>
      <c r="K1286" t="s">
        <v>1169</v>
      </c>
      <c r="L1286">
        <v>34</v>
      </c>
      <c r="M1286" t="str">
        <v>Female</v>
      </c>
      <c r="N1286" t="str">
        <f>VLOOKUP(C:C,Customer_Dim!B:I,5,1)</f>
        <v>Fischerborough</v>
      </c>
      <c r="O1286" t="str">
        <f>VLOOKUP(C:C,Customer_Dim!B:I,6,1)</f>
        <v>Delaware</v>
      </c>
      <c r="P1286" t="str">
        <f>VLOOKUP(C:C,Customer_Dim!B:I,7,1)</f>
        <v>USA</v>
      </c>
      <c r="Q1286" t="str">
        <f>VLOOKUP(C:C,Customer_Dim!B:I,8,1)</f>
        <v>Bronze</v>
      </c>
      <c r="S1286">
        <v>2</v>
      </c>
      <c r="T1286">
        <v>623.20000000000005</v>
      </c>
      <c r="U1286">
        <v>0.14000000000000001</v>
      </c>
      <c r="V1286">
        <v>1071.904</v>
      </c>
      <c r="X1286" s="4">
        <v>2</v>
      </c>
      <c r="Y1286">
        <v>623.20000000000005</v>
      </c>
      <c r="Z1286">
        <v>0.14000000000000001</v>
      </c>
      <c r="AA1286">
        <v>1071.904</v>
      </c>
    </row>
    <row r="1287" spans="1:27" x14ac:dyDescent="0.3">
      <c r="A1287" t="s">
        <v>3094</v>
      </c>
      <c r="B1287" s="2">
        <v>45622</v>
      </c>
      <c r="C1287" t="s">
        <v>1012</v>
      </c>
      <c r="D1287" t="s">
        <v>1538</v>
      </c>
      <c r="E1287" t="s">
        <v>1787</v>
      </c>
      <c r="F1287" s="4">
        <v>2</v>
      </c>
      <c r="G1287">
        <v>530.54</v>
      </c>
      <c r="H1287">
        <v>0.28000000000000003</v>
      </c>
      <c r="I1287" t="s">
        <v>1812</v>
      </c>
      <c r="J1287">
        <v>763.97759999999994</v>
      </c>
      <c r="K1287" t="s">
        <v>1013</v>
      </c>
      <c r="L1287">
        <v>58</v>
      </c>
      <c r="M1287" t="str">
        <v>Female</v>
      </c>
      <c r="N1287" t="str">
        <f>VLOOKUP(C:C,Customer_Dim!B:I,5,1)</f>
        <v>East Matthew</v>
      </c>
      <c r="O1287" t="str">
        <f>VLOOKUP(C:C,Customer_Dim!B:I,6,1)</f>
        <v>Wisconsin</v>
      </c>
      <c r="P1287" t="str">
        <f>VLOOKUP(C:C,Customer_Dim!B:I,7,1)</f>
        <v>USA</v>
      </c>
      <c r="Q1287" t="str">
        <f>VLOOKUP(C:C,Customer_Dim!B:I,8,1)</f>
        <v>Bronze</v>
      </c>
      <c r="S1287">
        <v>2</v>
      </c>
      <c r="T1287">
        <v>530.54</v>
      </c>
      <c r="U1287">
        <v>0.28000000000000003</v>
      </c>
      <c r="V1287">
        <v>763.97759999999994</v>
      </c>
      <c r="X1287" s="4">
        <v>2</v>
      </c>
      <c r="Y1287">
        <v>530.54</v>
      </c>
      <c r="Z1287">
        <v>0.28000000000000003</v>
      </c>
      <c r="AA1287">
        <v>763.97759999999994</v>
      </c>
    </row>
    <row r="1288" spans="1:27" x14ac:dyDescent="0.3">
      <c r="A1288" t="s">
        <v>3095</v>
      </c>
      <c r="B1288" s="2">
        <v>45810</v>
      </c>
      <c r="C1288" t="s">
        <v>1129</v>
      </c>
      <c r="D1288" t="s">
        <v>1526</v>
      </c>
      <c r="E1288" t="s">
        <v>1787</v>
      </c>
      <c r="F1288" s="4">
        <v>3</v>
      </c>
      <c r="G1288">
        <v>279.45</v>
      </c>
      <c r="H1288">
        <v>0.15</v>
      </c>
      <c r="I1288" t="s">
        <v>1812</v>
      </c>
      <c r="J1288">
        <v>712.59749999999985</v>
      </c>
      <c r="K1288" t="s">
        <v>1130</v>
      </c>
      <c r="L1288">
        <v>40</v>
      </c>
      <c r="M1288" t="str">
        <v>Female</v>
      </c>
      <c r="N1288" t="str">
        <f>VLOOKUP(C:C,Customer_Dim!B:I,5,1)</f>
        <v>Kellyside</v>
      </c>
      <c r="O1288" t="str">
        <f>VLOOKUP(C:C,Customer_Dim!B:I,6,1)</f>
        <v>Alaska</v>
      </c>
      <c r="P1288" t="str">
        <f>VLOOKUP(C:C,Customer_Dim!B:I,7,1)</f>
        <v>USA</v>
      </c>
      <c r="Q1288" t="str">
        <f>VLOOKUP(C:C,Customer_Dim!B:I,8,1)</f>
        <v>Platinum</v>
      </c>
      <c r="S1288">
        <v>3</v>
      </c>
      <c r="T1288">
        <v>279.45</v>
      </c>
      <c r="U1288">
        <v>0.15</v>
      </c>
      <c r="V1288">
        <v>712.59749999999985</v>
      </c>
      <c r="X1288" s="4">
        <v>3</v>
      </c>
      <c r="Y1288">
        <v>279.45</v>
      </c>
      <c r="Z1288">
        <v>0.15</v>
      </c>
      <c r="AA1288">
        <v>712.59749999999985</v>
      </c>
    </row>
    <row r="1289" spans="1:27" x14ac:dyDescent="0.3">
      <c r="A1289" t="s">
        <v>3096</v>
      </c>
      <c r="B1289" s="2">
        <v>45645</v>
      </c>
      <c r="C1289" t="s">
        <v>842</v>
      </c>
      <c r="D1289" t="s">
        <v>1555</v>
      </c>
      <c r="E1289" t="s">
        <v>1765</v>
      </c>
      <c r="F1289" s="4">
        <v>3</v>
      </c>
      <c r="G1289">
        <v>906.99</v>
      </c>
      <c r="H1289">
        <v>0.26</v>
      </c>
      <c r="I1289" t="s">
        <v>1812</v>
      </c>
      <c r="J1289">
        <v>2013.5178000000001</v>
      </c>
      <c r="K1289" t="s">
        <v>843</v>
      </c>
      <c r="L1289">
        <v>18</v>
      </c>
      <c r="M1289" t="str">
        <v>Male</v>
      </c>
      <c r="N1289" t="str">
        <f>VLOOKUP(C:C,Customer_Dim!B:I,5,1)</f>
        <v>South Gina</v>
      </c>
      <c r="O1289" t="str">
        <f>VLOOKUP(C:C,Customer_Dim!B:I,6,1)</f>
        <v>Kentucky</v>
      </c>
      <c r="P1289" t="str">
        <f>VLOOKUP(C:C,Customer_Dim!B:I,7,1)</f>
        <v>USA</v>
      </c>
      <c r="Q1289" t="str">
        <f>VLOOKUP(C:C,Customer_Dim!B:I,8,1)</f>
        <v>Bronze</v>
      </c>
      <c r="S1289">
        <v>3</v>
      </c>
      <c r="T1289">
        <v>906.99</v>
      </c>
      <c r="U1289">
        <v>0.26</v>
      </c>
      <c r="V1289">
        <v>2013.5178000000001</v>
      </c>
      <c r="X1289" s="4">
        <v>3</v>
      </c>
      <c r="Y1289">
        <v>906.99</v>
      </c>
      <c r="Z1289">
        <v>0.26</v>
      </c>
      <c r="AA1289">
        <v>2013.5178000000001</v>
      </c>
    </row>
    <row r="1290" spans="1:27" x14ac:dyDescent="0.3">
      <c r="A1290" t="s">
        <v>3097</v>
      </c>
      <c r="B1290" s="2">
        <v>45749</v>
      </c>
      <c r="C1290" t="s">
        <v>255</v>
      </c>
      <c r="D1290" t="s">
        <v>1691</v>
      </c>
      <c r="E1290" t="s">
        <v>1790</v>
      </c>
      <c r="F1290" s="4">
        <v>4</v>
      </c>
      <c r="G1290">
        <v>408.76</v>
      </c>
      <c r="H1290">
        <v>0.12</v>
      </c>
      <c r="I1290" t="s">
        <v>1812</v>
      </c>
      <c r="J1290">
        <v>1438.8352</v>
      </c>
      <c r="K1290" t="s">
        <v>256</v>
      </c>
      <c r="L1290">
        <v>61</v>
      </c>
      <c r="M1290" t="str">
        <v>Female</v>
      </c>
      <c r="N1290" t="str">
        <f>VLOOKUP(C:C,Customer_Dim!B:I,5,1)</f>
        <v>Port Lisa</v>
      </c>
      <c r="O1290" t="str">
        <f>VLOOKUP(C:C,Customer_Dim!B:I,6,1)</f>
        <v>New Mexico</v>
      </c>
      <c r="P1290" t="str">
        <f>VLOOKUP(C:C,Customer_Dim!B:I,7,1)</f>
        <v>USA</v>
      </c>
      <c r="Q1290" t="str">
        <f>VLOOKUP(C:C,Customer_Dim!B:I,8,1)</f>
        <v>Gold</v>
      </c>
      <c r="S1290">
        <v>4</v>
      </c>
      <c r="T1290">
        <v>408.76</v>
      </c>
      <c r="U1290">
        <v>0.12</v>
      </c>
      <c r="V1290">
        <v>1438.8352</v>
      </c>
      <c r="X1290" s="4">
        <v>4</v>
      </c>
      <c r="Y1290">
        <v>408.76</v>
      </c>
      <c r="Z1290">
        <v>0.12</v>
      </c>
      <c r="AA1290">
        <v>1438.8352</v>
      </c>
    </row>
    <row r="1291" spans="1:27" x14ac:dyDescent="0.3">
      <c r="A1291" t="s">
        <v>3098</v>
      </c>
      <c r="B1291" s="2">
        <v>45537</v>
      </c>
      <c r="C1291" t="s">
        <v>579</v>
      </c>
      <c r="D1291" t="s">
        <v>1603</v>
      </c>
      <c r="E1291" t="s">
        <v>1769</v>
      </c>
      <c r="F1291" s="4">
        <v>2</v>
      </c>
      <c r="G1291">
        <v>117.34</v>
      </c>
      <c r="H1291">
        <v>0.09</v>
      </c>
      <c r="I1291" t="s">
        <v>1809</v>
      </c>
      <c r="J1291">
        <v>213.55879999999999</v>
      </c>
      <c r="K1291" t="s">
        <v>580</v>
      </c>
      <c r="L1291">
        <v>33</v>
      </c>
      <c r="M1291" t="str">
        <v>Female</v>
      </c>
      <c r="N1291" t="str">
        <f>VLOOKUP(C:C,Customer_Dim!B:I,5,1)</f>
        <v>Butlerberg</v>
      </c>
      <c r="O1291" t="str">
        <f>VLOOKUP(C:C,Customer_Dim!B:I,6,1)</f>
        <v>Kentucky</v>
      </c>
      <c r="P1291" t="str">
        <f>VLOOKUP(C:C,Customer_Dim!B:I,7,1)</f>
        <v>USA</v>
      </c>
      <c r="Q1291" t="str">
        <f>VLOOKUP(C:C,Customer_Dim!B:I,8,1)</f>
        <v>Platinum</v>
      </c>
      <c r="S1291">
        <v>2</v>
      </c>
      <c r="T1291">
        <v>117.34</v>
      </c>
      <c r="U1291">
        <v>0.09</v>
      </c>
      <c r="V1291">
        <v>213.55879999999999</v>
      </c>
      <c r="X1291" s="4">
        <v>2</v>
      </c>
      <c r="Y1291">
        <v>117.34</v>
      </c>
      <c r="Z1291">
        <v>0.09</v>
      </c>
      <c r="AA1291">
        <v>213.55879999999999</v>
      </c>
    </row>
    <row r="1292" spans="1:27" x14ac:dyDescent="0.3">
      <c r="A1292" t="s">
        <v>3099</v>
      </c>
      <c r="B1292" s="2">
        <v>45376</v>
      </c>
      <c r="C1292" t="s">
        <v>554</v>
      </c>
      <c r="D1292" t="s">
        <v>1713</v>
      </c>
      <c r="E1292" t="s">
        <v>1782</v>
      </c>
      <c r="F1292" s="4">
        <v>3</v>
      </c>
      <c r="G1292">
        <v>690.27</v>
      </c>
      <c r="H1292">
        <v>7.0000000000000007E-2</v>
      </c>
      <c r="I1292" t="s">
        <v>1809</v>
      </c>
      <c r="J1292">
        <v>1925.8533</v>
      </c>
      <c r="K1292" t="s">
        <v>555</v>
      </c>
      <c r="L1292">
        <v>64</v>
      </c>
      <c r="M1292" t="str">
        <v>Male</v>
      </c>
      <c r="N1292" t="str">
        <f>VLOOKUP(C:C,Customer_Dim!B:I,5,1)</f>
        <v>Robertview</v>
      </c>
      <c r="O1292" t="str">
        <f>VLOOKUP(C:C,Customer_Dim!B:I,6,1)</f>
        <v>Florida</v>
      </c>
      <c r="P1292" t="str">
        <f>VLOOKUP(C:C,Customer_Dim!B:I,7,1)</f>
        <v>USA</v>
      </c>
      <c r="Q1292" t="str">
        <f>VLOOKUP(C:C,Customer_Dim!B:I,8,1)</f>
        <v>Platinum</v>
      </c>
      <c r="S1292">
        <v>3</v>
      </c>
      <c r="T1292">
        <v>690.27</v>
      </c>
      <c r="U1292">
        <v>7.0000000000000007E-2</v>
      </c>
      <c r="V1292">
        <v>1925.8533</v>
      </c>
      <c r="X1292" s="4">
        <v>3</v>
      </c>
      <c r="Y1292">
        <v>690.27</v>
      </c>
      <c r="Z1292">
        <v>7.0000000000000007E-2</v>
      </c>
      <c r="AA1292">
        <v>1925.8533</v>
      </c>
    </row>
    <row r="1293" spans="1:27" x14ac:dyDescent="0.3">
      <c r="A1293" t="s">
        <v>3100</v>
      </c>
      <c r="B1293" s="2">
        <v>45709</v>
      </c>
      <c r="C1293" t="s">
        <v>376</v>
      </c>
      <c r="D1293" t="s">
        <v>1587</v>
      </c>
      <c r="E1293" t="s">
        <v>1790</v>
      </c>
      <c r="F1293" s="4">
        <v>4</v>
      </c>
      <c r="G1293">
        <v>377.18</v>
      </c>
      <c r="H1293">
        <v>0.24</v>
      </c>
      <c r="I1293" t="s">
        <v>1809</v>
      </c>
      <c r="J1293">
        <v>1146.6271999999999</v>
      </c>
      <c r="K1293" t="s">
        <v>377</v>
      </c>
      <c r="L1293">
        <v>27</v>
      </c>
      <c r="M1293" t="str">
        <v>Male</v>
      </c>
      <c r="N1293" t="str">
        <f>VLOOKUP(C:C,Customer_Dim!B:I,5,1)</f>
        <v>Webstermouth</v>
      </c>
      <c r="O1293" t="str">
        <f>VLOOKUP(C:C,Customer_Dim!B:I,6,1)</f>
        <v>New Hampshire</v>
      </c>
      <c r="P1293" t="str">
        <f>VLOOKUP(C:C,Customer_Dim!B:I,7,1)</f>
        <v>USA</v>
      </c>
      <c r="Q1293" t="str">
        <f>VLOOKUP(C:C,Customer_Dim!B:I,8,1)</f>
        <v>Bronze</v>
      </c>
      <c r="S1293">
        <v>4</v>
      </c>
      <c r="T1293">
        <v>377.18</v>
      </c>
      <c r="U1293">
        <v>0.24</v>
      </c>
      <c r="V1293">
        <v>1146.6271999999999</v>
      </c>
      <c r="X1293" s="4">
        <v>4</v>
      </c>
      <c r="Y1293">
        <v>377.18</v>
      </c>
      <c r="Z1293">
        <v>0.24</v>
      </c>
      <c r="AA1293">
        <v>1146.6271999999999</v>
      </c>
    </row>
    <row r="1294" spans="1:27" x14ac:dyDescent="0.3">
      <c r="A1294" t="s">
        <v>3101</v>
      </c>
      <c r="B1294" s="2">
        <v>45446</v>
      </c>
      <c r="C1294" t="s">
        <v>388</v>
      </c>
      <c r="D1294" t="s">
        <v>1611</v>
      </c>
      <c r="E1294" t="s">
        <v>1735</v>
      </c>
      <c r="F1294" s="4">
        <v>1</v>
      </c>
      <c r="G1294">
        <v>70.52</v>
      </c>
      <c r="H1294">
        <v>0.08</v>
      </c>
      <c r="I1294" t="s">
        <v>1812</v>
      </c>
      <c r="J1294">
        <v>64.878399999999999</v>
      </c>
      <c r="K1294" t="s">
        <v>389</v>
      </c>
      <c r="L1294">
        <v>51</v>
      </c>
      <c r="M1294" t="str">
        <v>Male</v>
      </c>
      <c r="N1294" t="str">
        <f>VLOOKUP(C:C,Customer_Dim!B:I,5,1)</f>
        <v>Lake Michael</v>
      </c>
      <c r="O1294" t="str">
        <f>VLOOKUP(C:C,Customer_Dim!B:I,6,1)</f>
        <v>Michigan</v>
      </c>
      <c r="P1294" t="str">
        <f>VLOOKUP(C:C,Customer_Dim!B:I,7,1)</f>
        <v>USA</v>
      </c>
      <c r="Q1294" t="str">
        <f>VLOOKUP(C:C,Customer_Dim!B:I,8,1)</f>
        <v>Silver</v>
      </c>
      <c r="S1294">
        <v>1</v>
      </c>
      <c r="T1294">
        <v>70.52</v>
      </c>
      <c r="U1294">
        <v>0.08</v>
      </c>
      <c r="V1294">
        <v>64.878399999999999</v>
      </c>
      <c r="X1294" s="4">
        <v>1</v>
      </c>
      <c r="Y1294">
        <v>70.52</v>
      </c>
      <c r="Z1294">
        <v>0.08</v>
      </c>
      <c r="AA1294">
        <v>64.878399999999999</v>
      </c>
    </row>
    <row r="1295" spans="1:27" x14ac:dyDescent="0.3">
      <c r="A1295" t="s">
        <v>3102</v>
      </c>
      <c r="B1295" s="2">
        <v>45330</v>
      </c>
      <c r="C1295" t="s">
        <v>867</v>
      </c>
      <c r="D1295" t="s">
        <v>1607</v>
      </c>
      <c r="E1295" t="s">
        <v>1769</v>
      </c>
      <c r="F1295" s="4">
        <v>1</v>
      </c>
      <c r="G1295">
        <v>40.25</v>
      </c>
      <c r="H1295">
        <v>0.1</v>
      </c>
      <c r="I1295" t="s">
        <v>1809</v>
      </c>
      <c r="J1295">
        <v>36.225000000000001</v>
      </c>
      <c r="K1295" t="s">
        <v>868</v>
      </c>
      <c r="L1295">
        <v>38</v>
      </c>
      <c r="M1295" t="str">
        <v>Male</v>
      </c>
      <c r="N1295" t="str">
        <f>VLOOKUP(C:C,Customer_Dim!B:I,5,1)</f>
        <v>North Austinport</v>
      </c>
      <c r="O1295" t="str">
        <f>VLOOKUP(C:C,Customer_Dim!B:I,6,1)</f>
        <v>Kentucky</v>
      </c>
      <c r="P1295" t="str">
        <f>VLOOKUP(C:C,Customer_Dim!B:I,7,1)</f>
        <v>USA</v>
      </c>
      <c r="Q1295" t="str">
        <f>VLOOKUP(C:C,Customer_Dim!B:I,8,1)</f>
        <v>Gold</v>
      </c>
      <c r="S1295">
        <v>1</v>
      </c>
      <c r="T1295">
        <v>40.25</v>
      </c>
      <c r="U1295">
        <v>0.1</v>
      </c>
      <c r="V1295">
        <v>36.225000000000001</v>
      </c>
      <c r="X1295" s="4">
        <v>1</v>
      </c>
      <c r="Y1295">
        <v>40.25</v>
      </c>
      <c r="Z1295">
        <v>0.1</v>
      </c>
      <c r="AA1295">
        <v>36.225000000000001</v>
      </c>
    </row>
    <row r="1296" spans="1:27" x14ac:dyDescent="0.3">
      <c r="A1296" t="s">
        <v>3103</v>
      </c>
      <c r="B1296" s="2">
        <v>45388</v>
      </c>
      <c r="C1296" t="s">
        <v>740</v>
      </c>
      <c r="D1296" t="s">
        <v>1709</v>
      </c>
      <c r="E1296" t="s">
        <v>1775</v>
      </c>
      <c r="F1296" s="4">
        <v>3</v>
      </c>
      <c r="G1296">
        <v>539.44000000000005</v>
      </c>
      <c r="H1296">
        <v>0.05</v>
      </c>
      <c r="I1296" t="s">
        <v>1812</v>
      </c>
      <c r="J1296">
        <v>1537.404</v>
      </c>
      <c r="K1296" t="s">
        <v>741</v>
      </c>
      <c r="L1296">
        <v>59</v>
      </c>
      <c r="M1296" t="str">
        <v>Male</v>
      </c>
      <c r="N1296" t="str">
        <f>VLOOKUP(C:C,Customer_Dim!B:I,5,1)</f>
        <v>Tammyton</v>
      </c>
      <c r="O1296" t="str">
        <f>VLOOKUP(C:C,Customer_Dim!B:I,6,1)</f>
        <v>New Jersey</v>
      </c>
      <c r="P1296" t="str">
        <f>VLOOKUP(C:C,Customer_Dim!B:I,7,1)</f>
        <v>USA</v>
      </c>
      <c r="Q1296" t="str">
        <f>VLOOKUP(C:C,Customer_Dim!B:I,8,1)</f>
        <v>Platinum</v>
      </c>
      <c r="S1296">
        <v>3</v>
      </c>
      <c r="T1296">
        <v>539.44000000000005</v>
      </c>
      <c r="U1296">
        <v>0.05</v>
      </c>
      <c r="V1296">
        <v>1537.404</v>
      </c>
      <c r="X1296" s="4">
        <v>3</v>
      </c>
      <c r="Y1296">
        <v>539.44000000000005</v>
      </c>
      <c r="Z1296">
        <v>0.05</v>
      </c>
      <c r="AA1296">
        <v>1537.404</v>
      </c>
    </row>
    <row r="1297" spans="1:27" x14ac:dyDescent="0.3">
      <c r="A1297" t="s">
        <v>3104</v>
      </c>
      <c r="B1297" s="2">
        <v>45313</v>
      </c>
      <c r="C1297" t="s">
        <v>785</v>
      </c>
      <c r="D1297" t="s">
        <v>1651</v>
      </c>
      <c r="E1297" t="s">
        <v>1752</v>
      </c>
      <c r="F1297" s="4">
        <v>3</v>
      </c>
      <c r="G1297">
        <v>543.49</v>
      </c>
      <c r="H1297">
        <v>0.05</v>
      </c>
      <c r="I1297" t="s">
        <v>1809</v>
      </c>
      <c r="J1297">
        <v>1548.9465</v>
      </c>
      <c r="K1297" t="s">
        <v>786</v>
      </c>
      <c r="L1297">
        <v>19</v>
      </c>
      <c r="M1297" t="str">
        <v>Male</v>
      </c>
      <c r="N1297" t="str">
        <f>VLOOKUP(C:C,Customer_Dim!B:I,5,1)</f>
        <v>Mikehaven</v>
      </c>
      <c r="O1297" t="str">
        <f>VLOOKUP(C:C,Customer_Dim!B:I,6,1)</f>
        <v>New Hampshire</v>
      </c>
      <c r="P1297" t="str">
        <f>VLOOKUP(C:C,Customer_Dim!B:I,7,1)</f>
        <v>USA</v>
      </c>
      <c r="Q1297" t="str">
        <f>VLOOKUP(C:C,Customer_Dim!B:I,8,1)</f>
        <v>Platinum</v>
      </c>
      <c r="S1297">
        <v>3</v>
      </c>
      <c r="T1297">
        <v>543.49</v>
      </c>
      <c r="U1297">
        <v>0.05</v>
      </c>
      <c r="V1297">
        <v>1548.9465</v>
      </c>
      <c r="X1297" s="4">
        <v>3</v>
      </c>
      <c r="Y1297">
        <v>543.49</v>
      </c>
      <c r="Z1297">
        <v>0.05</v>
      </c>
      <c r="AA1297">
        <v>1548.9465</v>
      </c>
    </row>
    <row r="1298" spans="1:27" x14ac:dyDescent="0.3">
      <c r="A1298" t="s">
        <v>3105</v>
      </c>
      <c r="B1298" s="2">
        <v>45221</v>
      </c>
      <c r="C1298" t="s">
        <v>1010</v>
      </c>
      <c r="D1298" t="s">
        <v>1543</v>
      </c>
      <c r="E1298" t="s">
        <v>1759</v>
      </c>
      <c r="F1298" s="4">
        <v>4</v>
      </c>
      <c r="G1298">
        <v>547.21</v>
      </c>
      <c r="H1298">
        <v>0.1</v>
      </c>
      <c r="I1298" t="s">
        <v>1812</v>
      </c>
      <c r="J1298">
        <v>1969.9559999999999</v>
      </c>
      <c r="K1298" t="s">
        <v>3945</v>
      </c>
      <c r="L1298">
        <v>60</v>
      </c>
      <c r="M1298" t="str">
        <v>Male</v>
      </c>
      <c r="N1298" t="str">
        <f>VLOOKUP(C:C,Customer_Dim!B:I,5,1)</f>
        <v>South Zacharychester</v>
      </c>
      <c r="O1298" t="str">
        <f>VLOOKUP(C:C,Customer_Dim!B:I,6,1)</f>
        <v>Oklahoma</v>
      </c>
      <c r="P1298" t="str">
        <f>VLOOKUP(C:C,Customer_Dim!B:I,7,1)</f>
        <v>USA</v>
      </c>
      <c r="Q1298" t="str">
        <f>VLOOKUP(C:C,Customer_Dim!B:I,8,1)</f>
        <v>Bronze</v>
      </c>
      <c r="S1298">
        <v>4</v>
      </c>
      <c r="T1298">
        <v>547.21</v>
      </c>
      <c r="U1298">
        <v>0.1</v>
      </c>
      <c r="V1298">
        <v>1969.9559999999999</v>
      </c>
      <c r="X1298" s="4">
        <v>4</v>
      </c>
      <c r="Y1298">
        <v>547.21</v>
      </c>
      <c r="Z1298">
        <v>0.1</v>
      </c>
      <c r="AA1298">
        <v>1969.9559999999999</v>
      </c>
    </row>
    <row r="1299" spans="1:27" x14ac:dyDescent="0.3">
      <c r="A1299" t="s">
        <v>3106</v>
      </c>
      <c r="B1299" s="2">
        <v>45619</v>
      </c>
      <c r="C1299" t="s">
        <v>767</v>
      </c>
      <c r="D1299" t="s">
        <v>1661</v>
      </c>
      <c r="E1299" t="s">
        <v>1740</v>
      </c>
      <c r="F1299" s="4">
        <v>2</v>
      </c>
      <c r="G1299">
        <v>892.46</v>
      </c>
      <c r="H1299">
        <v>7.0000000000000007E-2</v>
      </c>
      <c r="I1299" t="s">
        <v>1809</v>
      </c>
      <c r="J1299">
        <v>1659.9756</v>
      </c>
      <c r="K1299" t="s">
        <v>768</v>
      </c>
      <c r="L1299">
        <v>58</v>
      </c>
      <c r="M1299" t="str">
        <v>Female</v>
      </c>
      <c r="N1299" t="str">
        <f>VLOOKUP(C:C,Customer_Dim!B:I,5,1)</f>
        <v>Dawsonchester</v>
      </c>
      <c r="O1299" t="str">
        <f>VLOOKUP(C:C,Customer_Dim!B:I,6,1)</f>
        <v>Virginia</v>
      </c>
      <c r="P1299" t="str">
        <f>VLOOKUP(C:C,Customer_Dim!B:I,7,1)</f>
        <v>USA</v>
      </c>
      <c r="Q1299" t="str">
        <f>VLOOKUP(C:C,Customer_Dim!B:I,8,1)</f>
        <v>Platinum</v>
      </c>
      <c r="S1299">
        <v>2</v>
      </c>
      <c r="T1299">
        <v>892.46</v>
      </c>
      <c r="U1299">
        <v>7.0000000000000007E-2</v>
      </c>
      <c r="V1299">
        <v>1659.9756</v>
      </c>
      <c r="X1299" s="4">
        <v>2</v>
      </c>
      <c r="Y1299">
        <v>892.46</v>
      </c>
      <c r="Z1299">
        <v>7.0000000000000007E-2</v>
      </c>
      <c r="AA1299">
        <v>1659.9756</v>
      </c>
    </row>
    <row r="1300" spans="1:27" x14ac:dyDescent="0.3">
      <c r="A1300" t="s">
        <v>3107</v>
      </c>
      <c r="B1300" s="2">
        <v>45286</v>
      </c>
      <c r="C1300" t="s">
        <v>1195</v>
      </c>
      <c r="D1300" t="s">
        <v>1583</v>
      </c>
      <c r="E1300" t="s">
        <v>1765</v>
      </c>
      <c r="F1300" s="4">
        <v>2</v>
      </c>
      <c r="G1300">
        <v>853.41</v>
      </c>
      <c r="H1300">
        <v>0.25</v>
      </c>
      <c r="I1300" t="s">
        <v>1807</v>
      </c>
      <c r="J1300">
        <v>1280.115</v>
      </c>
      <c r="K1300" t="s">
        <v>1196</v>
      </c>
      <c r="L1300">
        <v>53</v>
      </c>
      <c r="M1300" t="str">
        <v>Male</v>
      </c>
      <c r="N1300" t="str">
        <f>VLOOKUP(C:C,Customer_Dim!B:I,5,1)</f>
        <v>New Dawn</v>
      </c>
      <c r="O1300" t="str">
        <f>VLOOKUP(C:C,Customer_Dim!B:I,6,1)</f>
        <v>New Jersey</v>
      </c>
      <c r="P1300" t="str">
        <f>VLOOKUP(C:C,Customer_Dim!B:I,7,1)</f>
        <v>USA</v>
      </c>
      <c r="Q1300" t="str">
        <f>VLOOKUP(C:C,Customer_Dim!B:I,8,1)</f>
        <v>Silver</v>
      </c>
      <c r="S1300">
        <v>2</v>
      </c>
      <c r="T1300">
        <v>853.41</v>
      </c>
      <c r="U1300">
        <v>0.25</v>
      </c>
      <c r="V1300">
        <v>1280.115</v>
      </c>
      <c r="X1300" s="4">
        <v>2</v>
      </c>
      <c r="Y1300">
        <v>853.41</v>
      </c>
      <c r="Z1300">
        <v>0.25</v>
      </c>
      <c r="AA1300">
        <v>1280.115</v>
      </c>
    </row>
    <row r="1301" spans="1:27" x14ac:dyDescent="0.3">
      <c r="A1301" t="s">
        <v>3108</v>
      </c>
      <c r="B1301" s="2">
        <v>45451</v>
      </c>
      <c r="C1301" t="s">
        <v>382</v>
      </c>
      <c r="D1301" t="s">
        <v>1695</v>
      </c>
      <c r="E1301" t="s">
        <v>1762</v>
      </c>
      <c r="F1301" s="4">
        <v>1</v>
      </c>
      <c r="G1301">
        <v>162.13999999999999</v>
      </c>
      <c r="H1301">
        <v>7.0000000000000007E-2</v>
      </c>
      <c r="I1301" t="s">
        <v>1809</v>
      </c>
      <c r="J1301">
        <v>150.7902</v>
      </c>
      <c r="K1301" t="s">
        <v>383</v>
      </c>
      <c r="L1301">
        <v>18</v>
      </c>
      <c r="M1301" t="str">
        <v>Female</v>
      </c>
      <c r="N1301" t="str">
        <f>VLOOKUP(C:C,Customer_Dim!B:I,5,1)</f>
        <v>New Dawnton</v>
      </c>
      <c r="O1301" t="str">
        <f>VLOOKUP(C:C,Customer_Dim!B:I,6,1)</f>
        <v>Maryland</v>
      </c>
      <c r="P1301" t="str">
        <f>VLOOKUP(C:C,Customer_Dim!B:I,7,1)</f>
        <v>USA</v>
      </c>
      <c r="Q1301" t="str">
        <f>VLOOKUP(C:C,Customer_Dim!B:I,8,1)</f>
        <v>Gold</v>
      </c>
      <c r="S1301">
        <v>1</v>
      </c>
      <c r="T1301">
        <v>162.13999999999999</v>
      </c>
      <c r="U1301">
        <v>7.0000000000000007E-2</v>
      </c>
      <c r="V1301">
        <v>150.7902</v>
      </c>
      <c r="X1301" s="4">
        <v>1</v>
      </c>
      <c r="Y1301">
        <v>162.13999999999999</v>
      </c>
      <c r="Z1301">
        <v>7.0000000000000007E-2</v>
      </c>
      <c r="AA1301">
        <v>150.7902</v>
      </c>
    </row>
    <row r="1302" spans="1:27" x14ac:dyDescent="0.3">
      <c r="A1302" t="s">
        <v>3109</v>
      </c>
      <c r="B1302" s="2">
        <v>45478</v>
      </c>
      <c r="C1302" t="s">
        <v>491</v>
      </c>
      <c r="D1302" t="s">
        <v>1723</v>
      </c>
      <c r="E1302" t="s">
        <v>1787</v>
      </c>
      <c r="F1302" s="4">
        <v>1</v>
      </c>
      <c r="G1302">
        <v>893.14</v>
      </c>
      <c r="H1302">
        <v>0.09</v>
      </c>
      <c r="I1302" t="s">
        <v>1807</v>
      </c>
      <c r="J1302">
        <v>812.75739999999996</v>
      </c>
      <c r="K1302" t="s">
        <v>492</v>
      </c>
      <c r="L1302">
        <v>42</v>
      </c>
      <c r="M1302" t="str">
        <v>Female</v>
      </c>
      <c r="N1302" t="str">
        <f>VLOOKUP(C:C,Customer_Dim!B:I,5,1)</f>
        <v>Lake Nathanfort</v>
      </c>
      <c r="O1302" t="str">
        <f>VLOOKUP(C:C,Customer_Dim!B:I,6,1)</f>
        <v>Alaska</v>
      </c>
      <c r="P1302" t="str">
        <f>VLOOKUP(C:C,Customer_Dim!B:I,7,1)</f>
        <v>USA</v>
      </c>
      <c r="Q1302" t="str">
        <f>VLOOKUP(C:C,Customer_Dim!B:I,8,1)</f>
        <v>Platinum</v>
      </c>
      <c r="S1302">
        <v>1</v>
      </c>
      <c r="T1302">
        <v>893.14</v>
      </c>
      <c r="U1302">
        <v>0.09</v>
      </c>
      <c r="V1302">
        <v>812.75739999999996</v>
      </c>
      <c r="X1302" s="4">
        <v>1</v>
      </c>
      <c r="Y1302">
        <v>893.14</v>
      </c>
      <c r="Z1302">
        <v>0.09</v>
      </c>
      <c r="AA1302">
        <v>812.75739999999996</v>
      </c>
    </row>
    <row r="1303" spans="1:27" x14ac:dyDescent="0.3">
      <c r="A1303" t="s">
        <v>3110</v>
      </c>
      <c r="B1303" s="2">
        <v>45528</v>
      </c>
      <c r="C1303" t="s">
        <v>361</v>
      </c>
      <c r="D1303" t="s">
        <v>1599</v>
      </c>
      <c r="E1303" t="s">
        <v>1765</v>
      </c>
      <c r="F1303" s="4">
        <v>4</v>
      </c>
      <c r="G1303">
        <v>349.07</v>
      </c>
      <c r="H1303">
        <v>0.28000000000000003</v>
      </c>
      <c r="I1303" t="s">
        <v>1807</v>
      </c>
      <c r="J1303">
        <v>1005.3216</v>
      </c>
      <c r="K1303" t="s">
        <v>362</v>
      </c>
      <c r="L1303">
        <v>64</v>
      </c>
      <c r="M1303" t="str">
        <v>Male</v>
      </c>
      <c r="N1303" t="str">
        <f>VLOOKUP(C:C,Customer_Dim!B:I,5,1)</f>
        <v>West Lauren</v>
      </c>
      <c r="O1303" t="str">
        <f>VLOOKUP(C:C,Customer_Dim!B:I,6,1)</f>
        <v>Connecticut</v>
      </c>
      <c r="P1303" t="str">
        <f>VLOOKUP(C:C,Customer_Dim!B:I,7,1)</f>
        <v>USA</v>
      </c>
      <c r="Q1303" t="str">
        <f>VLOOKUP(C:C,Customer_Dim!B:I,8,1)</f>
        <v>Bronze</v>
      </c>
      <c r="S1303">
        <v>4</v>
      </c>
      <c r="T1303">
        <v>349.07</v>
      </c>
      <c r="U1303">
        <v>0.28000000000000003</v>
      </c>
      <c r="V1303">
        <v>1005.3216</v>
      </c>
      <c r="X1303" s="4">
        <v>4</v>
      </c>
      <c r="Y1303">
        <v>349.07</v>
      </c>
      <c r="Z1303">
        <v>0.28000000000000003</v>
      </c>
      <c r="AA1303">
        <v>1005.3216</v>
      </c>
    </row>
    <row r="1304" spans="1:27" x14ac:dyDescent="0.3">
      <c r="A1304" t="s">
        <v>3111</v>
      </c>
      <c r="B1304" s="2">
        <v>45418</v>
      </c>
      <c r="C1304" t="s">
        <v>891</v>
      </c>
      <c r="D1304" t="s">
        <v>1693</v>
      </c>
      <c r="E1304" t="s">
        <v>1780</v>
      </c>
      <c r="F1304" s="4">
        <v>1</v>
      </c>
      <c r="G1304">
        <v>747.9</v>
      </c>
      <c r="H1304">
        <v>0.21</v>
      </c>
      <c r="I1304" t="s">
        <v>1812</v>
      </c>
      <c r="J1304">
        <v>590.84100000000001</v>
      </c>
      <c r="K1304" t="s">
        <v>892</v>
      </c>
      <c r="L1304">
        <v>54</v>
      </c>
      <c r="M1304" t="str">
        <v>Male</v>
      </c>
      <c r="N1304" t="str">
        <f>VLOOKUP(C:C,Customer_Dim!B:I,5,1)</f>
        <v>Garciaborough</v>
      </c>
      <c r="O1304" t="str">
        <f>VLOOKUP(C:C,Customer_Dim!B:I,6,1)</f>
        <v>Wyoming</v>
      </c>
      <c r="P1304" t="str">
        <f>VLOOKUP(C:C,Customer_Dim!B:I,7,1)</f>
        <v>USA</v>
      </c>
      <c r="Q1304" t="str">
        <f>VLOOKUP(C:C,Customer_Dim!B:I,8,1)</f>
        <v>Silver</v>
      </c>
      <c r="S1304">
        <v>1</v>
      </c>
      <c r="T1304">
        <v>747.9</v>
      </c>
      <c r="U1304">
        <v>0.21</v>
      </c>
      <c r="V1304">
        <v>590.84100000000001</v>
      </c>
      <c r="X1304" s="4">
        <v>1</v>
      </c>
      <c r="Y1304">
        <v>747.9</v>
      </c>
      <c r="Z1304">
        <v>0.21</v>
      </c>
      <c r="AA1304">
        <v>590.84100000000001</v>
      </c>
    </row>
    <row r="1305" spans="1:27" x14ac:dyDescent="0.3">
      <c r="A1305" t="s">
        <v>3112</v>
      </c>
      <c r="B1305" s="2">
        <v>45478</v>
      </c>
      <c r="C1305" t="s">
        <v>127</v>
      </c>
      <c r="D1305" t="s">
        <v>1693</v>
      </c>
      <c r="E1305" t="s">
        <v>1759</v>
      </c>
      <c r="F1305" s="4">
        <v>3</v>
      </c>
      <c r="G1305">
        <v>438.92</v>
      </c>
      <c r="H1305">
        <v>0.21</v>
      </c>
      <c r="I1305" t="s">
        <v>1807</v>
      </c>
      <c r="J1305">
        <v>1040.2403999999999</v>
      </c>
      <c r="K1305" t="s">
        <v>128</v>
      </c>
      <c r="L1305">
        <v>48</v>
      </c>
      <c r="M1305" t="str">
        <v>Female</v>
      </c>
      <c r="N1305" t="str">
        <f>VLOOKUP(C:C,Customer_Dim!B:I,5,1)</f>
        <v>Johnsonville</v>
      </c>
      <c r="O1305" t="str">
        <f>VLOOKUP(C:C,Customer_Dim!B:I,6,1)</f>
        <v>Oregon</v>
      </c>
      <c r="P1305" t="str">
        <f>VLOOKUP(C:C,Customer_Dim!B:I,7,1)</f>
        <v>USA</v>
      </c>
      <c r="Q1305" t="str">
        <f>VLOOKUP(C:C,Customer_Dim!B:I,8,1)</f>
        <v>Silver</v>
      </c>
      <c r="S1305">
        <v>3</v>
      </c>
      <c r="T1305">
        <v>438.92</v>
      </c>
      <c r="U1305">
        <v>0.21</v>
      </c>
      <c r="V1305">
        <v>1040.2403999999999</v>
      </c>
      <c r="X1305" s="4">
        <v>3</v>
      </c>
      <c r="Y1305">
        <v>438.92</v>
      </c>
      <c r="Z1305">
        <v>0.21</v>
      </c>
      <c r="AA1305">
        <v>1040.2403999999999</v>
      </c>
    </row>
    <row r="1306" spans="1:27" x14ac:dyDescent="0.3">
      <c r="A1306" t="s">
        <v>3113</v>
      </c>
      <c r="B1306" s="2">
        <v>45232</v>
      </c>
      <c r="C1306" t="s">
        <v>420</v>
      </c>
      <c r="D1306" t="s">
        <v>1685</v>
      </c>
      <c r="E1306" t="s">
        <v>1752</v>
      </c>
      <c r="F1306" s="4">
        <v>4</v>
      </c>
      <c r="G1306">
        <v>665.38</v>
      </c>
      <c r="H1306">
        <v>0.18</v>
      </c>
      <c r="I1306" t="s">
        <v>1807</v>
      </c>
      <c r="J1306">
        <v>2182.4463999999998</v>
      </c>
      <c r="K1306" t="s">
        <v>421</v>
      </c>
      <c r="L1306">
        <v>26</v>
      </c>
      <c r="M1306" t="str">
        <v>Male</v>
      </c>
      <c r="N1306" t="str">
        <f>VLOOKUP(C:C,Customer_Dim!B:I,5,1)</f>
        <v>North Sabrina</v>
      </c>
      <c r="O1306" t="str">
        <f>VLOOKUP(C:C,Customer_Dim!B:I,6,1)</f>
        <v>Iowa</v>
      </c>
      <c r="P1306" t="str">
        <f>VLOOKUP(C:C,Customer_Dim!B:I,7,1)</f>
        <v>USA</v>
      </c>
      <c r="Q1306" t="str">
        <f>VLOOKUP(C:C,Customer_Dim!B:I,8,1)</f>
        <v>Silver</v>
      </c>
      <c r="S1306">
        <v>4</v>
      </c>
      <c r="T1306">
        <v>665.38</v>
      </c>
      <c r="U1306">
        <v>0.18</v>
      </c>
      <c r="V1306">
        <v>2182.4463999999998</v>
      </c>
      <c r="X1306" s="4">
        <v>4</v>
      </c>
      <c r="Y1306">
        <v>665.38</v>
      </c>
      <c r="Z1306">
        <v>0.18</v>
      </c>
      <c r="AA1306">
        <v>2182.4463999999998</v>
      </c>
    </row>
    <row r="1307" spans="1:27" x14ac:dyDescent="0.3">
      <c r="A1307" t="s">
        <v>3114</v>
      </c>
      <c r="B1307" s="2">
        <v>45616</v>
      </c>
      <c r="C1307" t="s">
        <v>23</v>
      </c>
      <c r="D1307" t="s">
        <v>1651</v>
      </c>
      <c r="E1307" t="s">
        <v>1793</v>
      </c>
      <c r="F1307" s="4">
        <v>1</v>
      </c>
      <c r="G1307">
        <v>146.49</v>
      </c>
      <c r="H1307">
        <v>0.28000000000000003</v>
      </c>
      <c r="I1307" t="s">
        <v>1807</v>
      </c>
      <c r="J1307">
        <v>105.47280000000001</v>
      </c>
      <c r="K1307" t="s">
        <v>3934</v>
      </c>
      <c r="L1307">
        <v>64</v>
      </c>
      <c r="M1307" t="str">
        <v>Female</v>
      </c>
      <c r="N1307" t="str">
        <f>VLOOKUP(C:C,Customer_Dim!B:I,5,1)</f>
        <v>Thomastown</v>
      </c>
      <c r="O1307" t="str">
        <f>VLOOKUP(C:C,Customer_Dim!B:I,6,1)</f>
        <v>Ohio</v>
      </c>
      <c r="P1307" t="str">
        <f>VLOOKUP(C:C,Customer_Dim!B:I,7,1)</f>
        <v>USA</v>
      </c>
      <c r="Q1307" t="str">
        <f>VLOOKUP(C:C,Customer_Dim!B:I,8,1)</f>
        <v>Bronze</v>
      </c>
      <c r="S1307">
        <v>1</v>
      </c>
      <c r="T1307">
        <v>146.49</v>
      </c>
      <c r="U1307">
        <v>0.28000000000000003</v>
      </c>
      <c r="V1307">
        <v>105.47280000000001</v>
      </c>
      <c r="X1307" s="4">
        <v>1</v>
      </c>
      <c r="Y1307">
        <v>146.49</v>
      </c>
      <c r="Z1307">
        <v>0.28000000000000003</v>
      </c>
      <c r="AA1307">
        <v>105.47280000000001</v>
      </c>
    </row>
    <row r="1308" spans="1:27" x14ac:dyDescent="0.3">
      <c r="A1308" t="s">
        <v>3115</v>
      </c>
      <c r="B1308" s="2">
        <v>45774</v>
      </c>
      <c r="C1308" t="s">
        <v>467</v>
      </c>
      <c r="D1308" t="s">
        <v>1607</v>
      </c>
      <c r="E1308" t="s">
        <v>1784</v>
      </c>
      <c r="F1308" s="4">
        <v>2</v>
      </c>
      <c r="G1308">
        <v>235.39</v>
      </c>
      <c r="H1308">
        <v>0.27</v>
      </c>
      <c r="I1308" t="s">
        <v>1812</v>
      </c>
      <c r="J1308">
        <v>343.6694</v>
      </c>
      <c r="K1308" t="s">
        <v>468</v>
      </c>
      <c r="L1308">
        <v>63</v>
      </c>
      <c r="M1308" t="str">
        <v>Female</v>
      </c>
      <c r="N1308" t="str">
        <f>VLOOKUP(C:C,Customer_Dim!B:I,5,1)</f>
        <v>Port Travis</v>
      </c>
      <c r="O1308" t="str">
        <f>VLOOKUP(C:C,Customer_Dim!B:I,6,1)</f>
        <v>Utah</v>
      </c>
      <c r="P1308" t="str">
        <f>VLOOKUP(C:C,Customer_Dim!B:I,7,1)</f>
        <v>USA</v>
      </c>
      <c r="Q1308" t="str">
        <f>VLOOKUP(C:C,Customer_Dim!B:I,8,1)</f>
        <v>Bronze</v>
      </c>
      <c r="S1308">
        <v>2</v>
      </c>
      <c r="T1308">
        <v>235.39</v>
      </c>
      <c r="U1308">
        <v>0.27</v>
      </c>
      <c r="V1308">
        <v>343.6694</v>
      </c>
      <c r="X1308" s="4">
        <v>2</v>
      </c>
      <c r="Y1308">
        <v>235.39</v>
      </c>
      <c r="Z1308">
        <v>0.27</v>
      </c>
      <c r="AA1308">
        <v>343.6694</v>
      </c>
    </row>
    <row r="1309" spans="1:27" x14ac:dyDescent="0.3">
      <c r="A1309" t="s">
        <v>3116</v>
      </c>
      <c r="B1309" s="2">
        <v>45651</v>
      </c>
      <c r="C1309" t="s">
        <v>118</v>
      </c>
      <c r="D1309" t="s">
        <v>1653</v>
      </c>
      <c r="E1309" t="s">
        <v>1756</v>
      </c>
      <c r="F1309" s="4">
        <v>3</v>
      </c>
      <c r="G1309">
        <v>38.07</v>
      </c>
      <c r="H1309">
        <v>0.09</v>
      </c>
      <c r="I1309" t="s">
        <v>1809</v>
      </c>
      <c r="J1309">
        <v>103.9311</v>
      </c>
      <c r="K1309" t="s">
        <v>119</v>
      </c>
      <c r="L1309">
        <v>54</v>
      </c>
      <c r="M1309" t="str">
        <v>Female</v>
      </c>
      <c r="N1309" t="str">
        <f>VLOOKUP(C:C,Customer_Dim!B:I,5,1)</f>
        <v>New David</v>
      </c>
      <c r="O1309" t="str">
        <f>VLOOKUP(C:C,Customer_Dim!B:I,6,1)</f>
        <v>New Jersey</v>
      </c>
      <c r="P1309" t="str">
        <f>VLOOKUP(C:C,Customer_Dim!B:I,7,1)</f>
        <v>USA</v>
      </c>
      <c r="Q1309" t="str">
        <f>VLOOKUP(C:C,Customer_Dim!B:I,8,1)</f>
        <v>Platinum</v>
      </c>
      <c r="S1309">
        <v>3</v>
      </c>
      <c r="T1309">
        <v>38.07</v>
      </c>
      <c r="U1309">
        <v>0.09</v>
      </c>
      <c r="V1309">
        <v>103.9311</v>
      </c>
      <c r="X1309" s="4">
        <v>3</v>
      </c>
      <c r="Y1309">
        <v>38.07</v>
      </c>
      <c r="Z1309">
        <v>0.09</v>
      </c>
      <c r="AA1309">
        <v>103.9311</v>
      </c>
    </row>
    <row r="1310" spans="1:27" x14ac:dyDescent="0.3">
      <c r="A1310" t="s">
        <v>3117</v>
      </c>
      <c r="B1310" s="2">
        <v>45902</v>
      </c>
      <c r="C1310" t="s">
        <v>1240</v>
      </c>
      <c r="D1310" t="s">
        <v>1599</v>
      </c>
      <c r="E1310" t="s">
        <v>1752</v>
      </c>
      <c r="F1310" s="4">
        <v>2</v>
      </c>
      <c r="G1310">
        <v>511.7</v>
      </c>
      <c r="H1310">
        <v>0.12</v>
      </c>
      <c r="I1310" t="s">
        <v>1812</v>
      </c>
      <c r="J1310">
        <v>900.59199999999998</v>
      </c>
      <c r="K1310" t="s">
        <v>1241</v>
      </c>
      <c r="L1310">
        <v>22</v>
      </c>
      <c r="M1310" t="str">
        <v>Female</v>
      </c>
      <c r="N1310" t="str">
        <f>VLOOKUP(C:C,Customer_Dim!B:I,5,1)</f>
        <v>Lake Lisaland</v>
      </c>
      <c r="O1310" t="str">
        <f>VLOOKUP(C:C,Customer_Dim!B:I,6,1)</f>
        <v>Louisiana</v>
      </c>
      <c r="P1310" t="str">
        <f>VLOOKUP(C:C,Customer_Dim!B:I,7,1)</f>
        <v>USA</v>
      </c>
      <c r="Q1310" t="str">
        <f>VLOOKUP(C:C,Customer_Dim!B:I,8,1)</f>
        <v>Bronze</v>
      </c>
      <c r="S1310">
        <v>2</v>
      </c>
      <c r="T1310">
        <v>511.7</v>
      </c>
      <c r="U1310">
        <v>0.12</v>
      </c>
      <c r="V1310">
        <v>900.59199999999998</v>
      </c>
      <c r="X1310" s="4">
        <v>2</v>
      </c>
      <c r="Y1310">
        <v>511.7</v>
      </c>
      <c r="Z1310">
        <v>0.12</v>
      </c>
      <c r="AA1310">
        <v>900.59199999999998</v>
      </c>
    </row>
    <row r="1311" spans="1:27" x14ac:dyDescent="0.3">
      <c r="A1311" t="s">
        <v>3118</v>
      </c>
      <c r="B1311" s="2">
        <v>45401</v>
      </c>
      <c r="C1311" t="s">
        <v>327</v>
      </c>
      <c r="D1311" t="s">
        <v>1681</v>
      </c>
      <c r="E1311" t="s">
        <v>1765</v>
      </c>
      <c r="F1311" s="4">
        <v>4</v>
      </c>
      <c r="G1311">
        <v>488.72</v>
      </c>
      <c r="H1311">
        <v>0.23</v>
      </c>
      <c r="I1311" t="s">
        <v>1809</v>
      </c>
      <c r="J1311">
        <v>1505.2575999999999</v>
      </c>
      <c r="K1311" t="s">
        <v>328</v>
      </c>
      <c r="L1311">
        <v>28</v>
      </c>
      <c r="M1311" t="str">
        <v>Female</v>
      </c>
      <c r="N1311" t="str">
        <f>VLOOKUP(C:C,Customer_Dim!B:I,5,1)</f>
        <v>Lake Brandy</v>
      </c>
      <c r="O1311" t="str">
        <f>VLOOKUP(C:C,Customer_Dim!B:I,6,1)</f>
        <v>Tennessee</v>
      </c>
      <c r="P1311" t="str">
        <f>VLOOKUP(C:C,Customer_Dim!B:I,7,1)</f>
        <v>USA</v>
      </c>
      <c r="Q1311" t="str">
        <f>VLOOKUP(C:C,Customer_Dim!B:I,8,1)</f>
        <v>Platinum</v>
      </c>
      <c r="S1311">
        <v>4</v>
      </c>
      <c r="T1311">
        <v>488.72</v>
      </c>
      <c r="U1311">
        <v>0.23</v>
      </c>
      <c r="V1311">
        <v>1505.2575999999999</v>
      </c>
      <c r="X1311" s="4">
        <v>4</v>
      </c>
      <c r="Y1311">
        <v>488.72</v>
      </c>
      <c r="Z1311">
        <v>0.23</v>
      </c>
      <c r="AA1311">
        <v>1505.2575999999999</v>
      </c>
    </row>
    <row r="1312" spans="1:27" x14ac:dyDescent="0.3">
      <c r="A1312" t="s">
        <v>3119</v>
      </c>
      <c r="B1312" s="2">
        <v>45717</v>
      </c>
      <c r="C1312" t="s">
        <v>1207</v>
      </c>
      <c r="D1312" t="s">
        <v>1631</v>
      </c>
      <c r="E1312" t="s">
        <v>1777</v>
      </c>
      <c r="F1312" s="4">
        <v>2</v>
      </c>
      <c r="G1312">
        <v>520.45000000000005</v>
      </c>
      <c r="H1312">
        <v>0.11</v>
      </c>
      <c r="I1312" t="s">
        <v>1812</v>
      </c>
      <c r="J1312">
        <v>926.40100000000007</v>
      </c>
      <c r="K1312" t="s">
        <v>1208</v>
      </c>
      <c r="L1312">
        <v>46</v>
      </c>
      <c r="M1312" t="str">
        <v>Male</v>
      </c>
      <c r="N1312" t="str">
        <f>VLOOKUP(C:C,Customer_Dim!B:I,5,1)</f>
        <v>Dawnstad</v>
      </c>
      <c r="O1312" t="str">
        <f>VLOOKUP(C:C,Customer_Dim!B:I,6,1)</f>
        <v>Oregon</v>
      </c>
      <c r="P1312" t="str">
        <f>VLOOKUP(C:C,Customer_Dim!B:I,7,1)</f>
        <v>USA</v>
      </c>
      <c r="Q1312" t="str">
        <f>VLOOKUP(C:C,Customer_Dim!B:I,8,1)</f>
        <v>Bronze</v>
      </c>
      <c r="S1312">
        <v>2</v>
      </c>
      <c r="T1312">
        <v>520.45000000000005</v>
      </c>
      <c r="U1312">
        <v>0.11</v>
      </c>
      <c r="V1312">
        <v>926.40100000000007</v>
      </c>
      <c r="X1312" s="4">
        <v>2</v>
      </c>
      <c r="Y1312">
        <v>520.45000000000005</v>
      </c>
      <c r="Z1312">
        <v>0.11</v>
      </c>
      <c r="AA1312">
        <v>926.40100000000007</v>
      </c>
    </row>
    <row r="1313" spans="1:27" x14ac:dyDescent="0.3">
      <c r="A1313" t="s">
        <v>3120</v>
      </c>
      <c r="B1313" s="2">
        <v>45376</v>
      </c>
      <c r="C1313" t="s">
        <v>1324</v>
      </c>
      <c r="D1313" t="s">
        <v>1627</v>
      </c>
      <c r="E1313" t="s">
        <v>1756</v>
      </c>
      <c r="F1313" s="4">
        <v>1</v>
      </c>
      <c r="G1313">
        <v>340.9</v>
      </c>
      <c r="H1313">
        <v>0.28999999999999998</v>
      </c>
      <c r="I1313" t="s">
        <v>1807</v>
      </c>
      <c r="J1313">
        <v>242.03899999999999</v>
      </c>
      <c r="K1313" t="s">
        <v>1325</v>
      </c>
      <c r="L1313">
        <v>51</v>
      </c>
      <c r="M1313" t="str">
        <v>Female</v>
      </c>
      <c r="N1313" t="str">
        <f>VLOOKUP(C:C,Customer_Dim!B:I,5,1)</f>
        <v>Phyllisport</v>
      </c>
      <c r="O1313" t="str">
        <f>VLOOKUP(C:C,Customer_Dim!B:I,6,1)</f>
        <v>New Jersey</v>
      </c>
      <c r="P1313" t="str">
        <f>VLOOKUP(C:C,Customer_Dim!B:I,7,1)</f>
        <v>USA</v>
      </c>
      <c r="Q1313" t="str">
        <f>VLOOKUP(C:C,Customer_Dim!B:I,8,1)</f>
        <v>Bronze</v>
      </c>
      <c r="S1313">
        <v>1</v>
      </c>
      <c r="T1313">
        <v>340.9</v>
      </c>
      <c r="U1313">
        <v>0.28999999999999998</v>
      </c>
      <c r="V1313">
        <v>242.03899999999999</v>
      </c>
      <c r="X1313" s="4">
        <v>1</v>
      </c>
      <c r="Y1313">
        <v>340.9</v>
      </c>
      <c r="Z1313">
        <v>0.28999999999999998</v>
      </c>
      <c r="AA1313">
        <v>242.03899999999999</v>
      </c>
    </row>
    <row r="1314" spans="1:27" x14ac:dyDescent="0.3">
      <c r="A1314" t="s">
        <v>3121</v>
      </c>
      <c r="B1314" s="2">
        <v>45576</v>
      </c>
      <c r="C1314" t="s">
        <v>1075</v>
      </c>
      <c r="D1314" t="s">
        <v>1593</v>
      </c>
      <c r="E1314" t="s">
        <v>1765</v>
      </c>
      <c r="F1314" s="4">
        <v>3</v>
      </c>
      <c r="G1314">
        <v>653.59</v>
      </c>
      <c r="H1314">
        <v>0.17</v>
      </c>
      <c r="I1314" t="s">
        <v>1812</v>
      </c>
      <c r="J1314">
        <v>1627.4391000000001</v>
      </c>
      <c r="K1314" t="s">
        <v>1076</v>
      </c>
      <c r="L1314">
        <v>39</v>
      </c>
      <c r="M1314" t="str">
        <v>Female</v>
      </c>
      <c r="N1314" t="str">
        <f>VLOOKUP(C:C,Customer_Dim!B:I,5,1)</f>
        <v>Port Crystalberg</v>
      </c>
      <c r="O1314" t="str">
        <f>VLOOKUP(C:C,Customer_Dim!B:I,6,1)</f>
        <v>Tennessee</v>
      </c>
      <c r="P1314" t="str">
        <f>VLOOKUP(C:C,Customer_Dim!B:I,7,1)</f>
        <v>USA</v>
      </c>
      <c r="Q1314" t="str">
        <f>VLOOKUP(C:C,Customer_Dim!B:I,8,1)</f>
        <v>Platinum</v>
      </c>
      <c r="S1314">
        <v>3</v>
      </c>
      <c r="T1314">
        <v>653.59</v>
      </c>
      <c r="U1314">
        <v>0.17</v>
      </c>
      <c r="V1314">
        <v>1627.4391000000001</v>
      </c>
      <c r="X1314" s="4">
        <v>3</v>
      </c>
      <c r="Y1314">
        <v>653.59</v>
      </c>
      <c r="Z1314">
        <v>0.17</v>
      </c>
      <c r="AA1314">
        <v>1627.4391000000001</v>
      </c>
    </row>
    <row r="1315" spans="1:27" x14ac:dyDescent="0.3">
      <c r="A1315" t="s">
        <v>3122</v>
      </c>
      <c r="B1315" s="2">
        <v>45906</v>
      </c>
      <c r="C1315" t="s">
        <v>93</v>
      </c>
      <c r="D1315" t="s">
        <v>1583</v>
      </c>
      <c r="E1315" t="s">
        <v>1793</v>
      </c>
      <c r="F1315" s="4">
        <v>1</v>
      </c>
      <c r="G1315">
        <v>179.77</v>
      </c>
      <c r="H1315">
        <v>0.23</v>
      </c>
      <c r="I1315" t="s">
        <v>1812</v>
      </c>
      <c r="J1315">
        <v>138.4229</v>
      </c>
      <c r="K1315" t="s">
        <v>94</v>
      </c>
      <c r="L1315">
        <v>33</v>
      </c>
      <c r="M1315" t="str">
        <v>Female</v>
      </c>
      <c r="N1315" t="str">
        <f>VLOOKUP(C:C,Customer_Dim!B:I,5,1)</f>
        <v>Smithburgh</v>
      </c>
      <c r="O1315" t="str">
        <f>VLOOKUP(C:C,Customer_Dim!B:I,6,1)</f>
        <v>Oklahoma</v>
      </c>
      <c r="P1315" t="str">
        <f>VLOOKUP(C:C,Customer_Dim!B:I,7,1)</f>
        <v>USA</v>
      </c>
      <c r="Q1315" t="str">
        <f>VLOOKUP(C:C,Customer_Dim!B:I,8,1)</f>
        <v>Gold</v>
      </c>
      <c r="S1315">
        <v>1</v>
      </c>
      <c r="T1315">
        <v>179.77</v>
      </c>
      <c r="U1315">
        <v>0.23</v>
      </c>
      <c r="V1315">
        <v>138.4229</v>
      </c>
      <c r="X1315" s="4">
        <v>1</v>
      </c>
      <c r="Y1315">
        <v>179.77</v>
      </c>
      <c r="Z1315">
        <v>0.23</v>
      </c>
      <c r="AA1315">
        <v>138.4229</v>
      </c>
    </row>
    <row r="1316" spans="1:27" x14ac:dyDescent="0.3">
      <c r="A1316" t="s">
        <v>3123</v>
      </c>
      <c r="B1316" s="2">
        <v>45523</v>
      </c>
      <c r="C1316" t="s">
        <v>44</v>
      </c>
      <c r="D1316" t="s">
        <v>1526</v>
      </c>
      <c r="E1316" t="s">
        <v>1769</v>
      </c>
      <c r="F1316" s="4">
        <v>2</v>
      </c>
      <c r="G1316">
        <v>943.8</v>
      </c>
      <c r="H1316">
        <v>0.06</v>
      </c>
      <c r="I1316" t="s">
        <v>1807</v>
      </c>
      <c r="J1316">
        <v>1774.3440000000001</v>
      </c>
      <c r="K1316" t="s">
        <v>45</v>
      </c>
      <c r="L1316">
        <v>64</v>
      </c>
      <c r="M1316" t="str">
        <v>Male</v>
      </c>
      <c r="N1316" t="str">
        <f>VLOOKUP(C:C,Customer_Dim!B:I,5,1)</f>
        <v>Maynardton</v>
      </c>
      <c r="O1316" t="str">
        <f>VLOOKUP(C:C,Customer_Dim!B:I,6,1)</f>
        <v>New Hampshire</v>
      </c>
      <c r="P1316" t="str">
        <f>VLOOKUP(C:C,Customer_Dim!B:I,7,1)</f>
        <v>USA</v>
      </c>
      <c r="Q1316" t="str">
        <f>VLOOKUP(C:C,Customer_Dim!B:I,8,1)</f>
        <v>Gold</v>
      </c>
      <c r="S1316">
        <v>2</v>
      </c>
      <c r="T1316">
        <v>943.8</v>
      </c>
      <c r="U1316">
        <v>0.06</v>
      </c>
      <c r="V1316">
        <v>1774.3440000000001</v>
      </c>
      <c r="X1316" s="4">
        <v>2</v>
      </c>
      <c r="Y1316">
        <v>943.8</v>
      </c>
      <c r="Z1316">
        <v>0.06</v>
      </c>
      <c r="AA1316">
        <v>1774.3440000000001</v>
      </c>
    </row>
    <row r="1317" spans="1:27" x14ac:dyDescent="0.3">
      <c r="A1317" t="s">
        <v>3124</v>
      </c>
      <c r="B1317" s="2">
        <v>45234</v>
      </c>
      <c r="C1317" t="s">
        <v>1258</v>
      </c>
      <c r="D1317" t="s">
        <v>1673</v>
      </c>
      <c r="E1317" t="s">
        <v>1784</v>
      </c>
      <c r="F1317" s="4">
        <v>2</v>
      </c>
      <c r="G1317">
        <v>985</v>
      </c>
      <c r="H1317">
        <v>0.25</v>
      </c>
      <c r="I1317" t="s">
        <v>1807</v>
      </c>
      <c r="J1317">
        <v>1477.5</v>
      </c>
      <c r="K1317" t="s">
        <v>1259</v>
      </c>
      <c r="L1317">
        <v>48</v>
      </c>
      <c r="M1317" t="str">
        <v>Female</v>
      </c>
      <c r="N1317" t="str">
        <f>VLOOKUP(C:C,Customer_Dim!B:I,5,1)</f>
        <v>Kathleenport</v>
      </c>
      <c r="O1317" t="str">
        <f>VLOOKUP(C:C,Customer_Dim!B:I,6,1)</f>
        <v>Wyoming</v>
      </c>
      <c r="P1317" t="str">
        <f>VLOOKUP(C:C,Customer_Dim!B:I,7,1)</f>
        <v>USA</v>
      </c>
      <c r="Q1317" t="str">
        <f>VLOOKUP(C:C,Customer_Dim!B:I,8,1)</f>
        <v>Gold</v>
      </c>
      <c r="S1317">
        <v>2</v>
      </c>
      <c r="T1317">
        <v>985</v>
      </c>
      <c r="U1317">
        <v>0.25</v>
      </c>
      <c r="V1317">
        <v>1477.5</v>
      </c>
      <c r="X1317" s="4">
        <v>2</v>
      </c>
      <c r="Y1317">
        <v>985</v>
      </c>
      <c r="Z1317">
        <v>0.25</v>
      </c>
      <c r="AA1317">
        <v>1477.5</v>
      </c>
    </row>
    <row r="1318" spans="1:27" x14ac:dyDescent="0.3">
      <c r="A1318" t="s">
        <v>3125</v>
      </c>
      <c r="B1318" s="2">
        <v>45405</v>
      </c>
      <c r="C1318" t="s">
        <v>1475</v>
      </c>
      <c r="D1318" t="s">
        <v>1707</v>
      </c>
      <c r="E1318" t="s">
        <v>1772</v>
      </c>
      <c r="F1318" s="4">
        <v>4</v>
      </c>
      <c r="G1318">
        <v>216.81</v>
      </c>
      <c r="H1318">
        <v>0.28999999999999998</v>
      </c>
      <c r="I1318" t="s">
        <v>1807</v>
      </c>
      <c r="J1318">
        <v>615.74040000000002</v>
      </c>
      <c r="K1318" t="s">
        <v>1476</v>
      </c>
      <c r="L1318">
        <v>22</v>
      </c>
      <c r="M1318" t="str">
        <v>Female</v>
      </c>
      <c r="N1318" t="str">
        <f>VLOOKUP(C:C,Customer_Dim!B:I,5,1)</f>
        <v>East Dillonview</v>
      </c>
      <c r="O1318" t="str">
        <f>VLOOKUP(C:C,Customer_Dim!B:I,6,1)</f>
        <v>Virginia</v>
      </c>
      <c r="P1318" t="str">
        <f>VLOOKUP(C:C,Customer_Dim!B:I,7,1)</f>
        <v>USA</v>
      </c>
      <c r="Q1318" t="str">
        <f>VLOOKUP(C:C,Customer_Dim!B:I,8,1)</f>
        <v>Bronze</v>
      </c>
      <c r="S1318">
        <v>4</v>
      </c>
      <c r="T1318">
        <v>216.81</v>
      </c>
      <c r="U1318">
        <v>0.28999999999999998</v>
      </c>
      <c r="V1318">
        <v>615.74040000000002</v>
      </c>
      <c r="X1318" s="4">
        <v>4</v>
      </c>
      <c r="Y1318">
        <v>216.81</v>
      </c>
      <c r="Z1318">
        <v>0.28999999999999998</v>
      </c>
      <c r="AA1318">
        <v>615.74040000000002</v>
      </c>
    </row>
    <row r="1319" spans="1:27" x14ac:dyDescent="0.3">
      <c r="A1319" t="s">
        <v>3126</v>
      </c>
      <c r="B1319" s="2">
        <v>45223</v>
      </c>
      <c r="C1319" t="s">
        <v>403</v>
      </c>
      <c r="D1319" t="s">
        <v>1659</v>
      </c>
      <c r="E1319" t="s">
        <v>1744</v>
      </c>
      <c r="F1319" s="4">
        <v>4</v>
      </c>
      <c r="G1319">
        <v>950.21</v>
      </c>
      <c r="H1319">
        <v>0.27</v>
      </c>
      <c r="I1319" t="s">
        <v>1812</v>
      </c>
      <c r="J1319">
        <v>2774.6131999999998</v>
      </c>
      <c r="K1319" t="s">
        <v>404</v>
      </c>
      <c r="L1319">
        <v>36</v>
      </c>
      <c r="M1319" t="str">
        <v>Male</v>
      </c>
      <c r="N1319" t="str">
        <f>VLOOKUP(C:C,Customer_Dim!B:I,5,1)</f>
        <v>North Katherine</v>
      </c>
      <c r="O1319" t="str">
        <f>VLOOKUP(C:C,Customer_Dim!B:I,6,1)</f>
        <v>Washington</v>
      </c>
      <c r="P1319" t="str">
        <f>VLOOKUP(C:C,Customer_Dim!B:I,7,1)</f>
        <v>USA</v>
      </c>
      <c r="Q1319" t="str">
        <f>VLOOKUP(C:C,Customer_Dim!B:I,8,1)</f>
        <v>Platinum</v>
      </c>
      <c r="S1319">
        <v>4</v>
      </c>
      <c r="T1319">
        <v>950.21</v>
      </c>
      <c r="U1319">
        <v>0.27</v>
      </c>
      <c r="V1319">
        <v>2774.6131999999998</v>
      </c>
      <c r="X1319" s="4">
        <v>4</v>
      </c>
      <c r="Y1319">
        <v>950.21</v>
      </c>
      <c r="Z1319">
        <v>0.27</v>
      </c>
      <c r="AA1319">
        <v>2774.6131999999998</v>
      </c>
    </row>
    <row r="1320" spans="1:27" x14ac:dyDescent="0.3">
      <c r="A1320" t="s">
        <v>3127</v>
      </c>
      <c r="B1320" s="2">
        <v>45838</v>
      </c>
      <c r="C1320" t="s">
        <v>811</v>
      </c>
      <c r="D1320" t="s">
        <v>1627</v>
      </c>
      <c r="E1320" t="s">
        <v>1762</v>
      </c>
      <c r="F1320" s="4">
        <v>2</v>
      </c>
      <c r="G1320">
        <v>271.39999999999998</v>
      </c>
      <c r="H1320">
        <v>0.17</v>
      </c>
      <c r="I1320" t="s">
        <v>1809</v>
      </c>
      <c r="J1320">
        <v>450.52399999999989</v>
      </c>
      <c r="K1320" t="s">
        <v>812</v>
      </c>
      <c r="L1320">
        <v>42</v>
      </c>
      <c r="M1320" t="str">
        <v>Male</v>
      </c>
      <c r="N1320" t="str">
        <f>VLOOKUP(C:C,Customer_Dim!B:I,5,1)</f>
        <v>Lake Christopher</v>
      </c>
      <c r="O1320" t="str">
        <f>VLOOKUP(C:C,Customer_Dim!B:I,6,1)</f>
        <v>Arkansas</v>
      </c>
      <c r="P1320" t="str">
        <f>VLOOKUP(C:C,Customer_Dim!B:I,7,1)</f>
        <v>USA</v>
      </c>
      <c r="Q1320" t="str">
        <f>VLOOKUP(C:C,Customer_Dim!B:I,8,1)</f>
        <v>Platinum</v>
      </c>
      <c r="S1320">
        <v>2</v>
      </c>
      <c r="T1320">
        <v>271.39999999999998</v>
      </c>
      <c r="U1320">
        <v>0.17</v>
      </c>
      <c r="V1320">
        <v>450.52399999999989</v>
      </c>
      <c r="X1320" s="4">
        <v>2</v>
      </c>
      <c r="Y1320">
        <v>271.39999999999998</v>
      </c>
      <c r="Z1320">
        <v>0.17</v>
      </c>
      <c r="AA1320">
        <v>450.52399999999989</v>
      </c>
    </row>
    <row r="1321" spans="1:27" x14ac:dyDescent="0.3">
      <c r="A1321" t="s">
        <v>3128</v>
      </c>
      <c r="B1321" s="2">
        <v>45883</v>
      </c>
      <c r="C1321" t="s">
        <v>554</v>
      </c>
      <c r="D1321" t="s">
        <v>1609</v>
      </c>
      <c r="E1321" t="s">
        <v>1765</v>
      </c>
      <c r="F1321" s="4">
        <v>4</v>
      </c>
      <c r="G1321">
        <v>708.19</v>
      </c>
      <c r="H1321">
        <v>0.1</v>
      </c>
      <c r="I1321" t="s">
        <v>1809</v>
      </c>
      <c r="J1321">
        <v>2549.4839999999999</v>
      </c>
      <c r="K1321" t="s">
        <v>555</v>
      </c>
      <c r="L1321">
        <v>64</v>
      </c>
      <c r="M1321" t="str">
        <v>Male</v>
      </c>
      <c r="N1321" t="str">
        <f>VLOOKUP(C:C,Customer_Dim!B:I,5,1)</f>
        <v>Robertview</v>
      </c>
      <c r="O1321" t="str">
        <f>VLOOKUP(C:C,Customer_Dim!B:I,6,1)</f>
        <v>Florida</v>
      </c>
      <c r="P1321" t="str">
        <f>VLOOKUP(C:C,Customer_Dim!B:I,7,1)</f>
        <v>USA</v>
      </c>
      <c r="Q1321" t="str">
        <f>VLOOKUP(C:C,Customer_Dim!B:I,8,1)</f>
        <v>Platinum</v>
      </c>
      <c r="S1321">
        <v>4</v>
      </c>
      <c r="T1321">
        <v>708.19</v>
      </c>
      <c r="U1321">
        <v>0.1</v>
      </c>
      <c r="V1321">
        <v>2549.4839999999999</v>
      </c>
      <c r="X1321" s="4">
        <v>4</v>
      </c>
      <c r="Y1321">
        <v>708.19</v>
      </c>
      <c r="Z1321">
        <v>0.1</v>
      </c>
      <c r="AA1321">
        <v>2549.4839999999999</v>
      </c>
    </row>
    <row r="1322" spans="1:27" x14ac:dyDescent="0.3">
      <c r="A1322" t="s">
        <v>3129</v>
      </c>
      <c r="B1322" s="2">
        <v>45788</v>
      </c>
      <c r="C1322" t="s">
        <v>1358</v>
      </c>
      <c r="D1322" t="s">
        <v>1639</v>
      </c>
      <c r="E1322" t="s">
        <v>1749</v>
      </c>
      <c r="F1322" s="4">
        <v>3</v>
      </c>
      <c r="G1322">
        <v>477.05</v>
      </c>
      <c r="H1322">
        <v>0.05</v>
      </c>
      <c r="I1322" t="s">
        <v>1809</v>
      </c>
      <c r="J1322">
        <v>1359.5925</v>
      </c>
      <c r="K1322" t="s">
        <v>1359</v>
      </c>
      <c r="L1322">
        <v>41</v>
      </c>
      <c r="M1322" t="str">
        <v>Female</v>
      </c>
      <c r="N1322" t="str">
        <f>VLOOKUP(C:C,Customer_Dim!B:I,5,1)</f>
        <v>Jessicaland</v>
      </c>
      <c r="O1322" t="str">
        <f>VLOOKUP(C:C,Customer_Dim!B:I,6,1)</f>
        <v>Wyoming</v>
      </c>
      <c r="P1322" t="str">
        <f>VLOOKUP(C:C,Customer_Dim!B:I,7,1)</f>
        <v>USA</v>
      </c>
      <c r="Q1322" t="str">
        <f>VLOOKUP(C:C,Customer_Dim!B:I,8,1)</f>
        <v>Gold</v>
      </c>
      <c r="S1322">
        <v>3</v>
      </c>
      <c r="T1322">
        <v>477.05</v>
      </c>
      <c r="U1322">
        <v>0.05</v>
      </c>
      <c r="V1322">
        <v>1359.5925</v>
      </c>
      <c r="X1322" s="4">
        <v>3</v>
      </c>
      <c r="Y1322">
        <v>477.05</v>
      </c>
      <c r="Z1322">
        <v>0.05</v>
      </c>
      <c r="AA1322">
        <v>1359.5925</v>
      </c>
    </row>
    <row r="1323" spans="1:27" x14ac:dyDescent="0.3">
      <c r="A1323" t="s">
        <v>3130</v>
      </c>
      <c r="B1323" s="2">
        <v>45383</v>
      </c>
      <c r="C1323" t="s">
        <v>959</v>
      </c>
      <c r="D1323" t="s">
        <v>1679</v>
      </c>
      <c r="E1323" t="s">
        <v>1769</v>
      </c>
      <c r="F1323" s="4">
        <v>3</v>
      </c>
      <c r="G1323">
        <v>627.29</v>
      </c>
      <c r="H1323">
        <v>0.27</v>
      </c>
      <c r="I1323" t="s">
        <v>1812</v>
      </c>
      <c r="J1323">
        <v>1373.7651000000001</v>
      </c>
      <c r="K1323" t="s">
        <v>960</v>
      </c>
      <c r="L1323">
        <v>60</v>
      </c>
      <c r="M1323" t="str">
        <v>Female</v>
      </c>
      <c r="N1323" t="str">
        <f>VLOOKUP(C:C,Customer_Dim!B:I,5,1)</f>
        <v>West Patriciaview</v>
      </c>
      <c r="O1323" t="str">
        <f>VLOOKUP(C:C,Customer_Dim!B:I,6,1)</f>
        <v>Alabama</v>
      </c>
      <c r="P1323" t="str">
        <f>VLOOKUP(C:C,Customer_Dim!B:I,7,1)</f>
        <v>USA</v>
      </c>
      <c r="Q1323" t="str">
        <f>VLOOKUP(C:C,Customer_Dim!B:I,8,1)</f>
        <v>Bronze</v>
      </c>
      <c r="S1323">
        <v>3</v>
      </c>
      <c r="T1323">
        <v>627.29</v>
      </c>
      <c r="U1323">
        <v>0.27</v>
      </c>
      <c r="V1323">
        <v>1373.7651000000001</v>
      </c>
      <c r="X1323" s="4">
        <v>3</v>
      </c>
      <c r="Y1323">
        <v>627.29</v>
      </c>
      <c r="Z1323">
        <v>0.27</v>
      </c>
      <c r="AA1323">
        <v>1373.7651000000001</v>
      </c>
    </row>
    <row r="1324" spans="1:27" x14ac:dyDescent="0.3">
      <c r="A1324" t="s">
        <v>3131</v>
      </c>
      <c r="B1324" s="2">
        <v>45335</v>
      </c>
      <c r="C1324" t="s">
        <v>951</v>
      </c>
      <c r="D1324" t="s">
        <v>1719</v>
      </c>
      <c r="E1324" t="s">
        <v>1775</v>
      </c>
      <c r="F1324" s="4">
        <v>3</v>
      </c>
      <c r="G1324">
        <v>206.84</v>
      </c>
      <c r="H1324">
        <v>0.19</v>
      </c>
      <c r="I1324" t="s">
        <v>1809</v>
      </c>
      <c r="J1324">
        <v>502.62119999999999</v>
      </c>
      <c r="K1324" t="s">
        <v>3944</v>
      </c>
      <c r="L1324">
        <v>64</v>
      </c>
      <c r="M1324" t="str">
        <v>Male</v>
      </c>
      <c r="N1324" t="str">
        <f>VLOOKUP(C:C,Customer_Dim!B:I,5,1)</f>
        <v>Port Jenniferton</v>
      </c>
      <c r="O1324" t="str">
        <f>VLOOKUP(C:C,Customer_Dim!B:I,6,1)</f>
        <v>Kansas</v>
      </c>
      <c r="P1324" t="str">
        <f>VLOOKUP(C:C,Customer_Dim!B:I,7,1)</f>
        <v>USA</v>
      </c>
      <c r="Q1324" t="str">
        <f>VLOOKUP(C:C,Customer_Dim!B:I,8,1)</f>
        <v>Silver</v>
      </c>
      <c r="S1324">
        <v>3</v>
      </c>
      <c r="T1324">
        <v>206.84</v>
      </c>
      <c r="U1324">
        <v>0.19</v>
      </c>
      <c r="V1324">
        <v>502.62119999999999</v>
      </c>
      <c r="X1324" s="4">
        <v>3</v>
      </c>
      <c r="Y1324">
        <v>206.84</v>
      </c>
      <c r="Z1324">
        <v>0.19</v>
      </c>
      <c r="AA1324">
        <v>502.62119999999999</v>
      </c>
    </row>
    <row r="1325" spans="1:27" x14ac:dyDescent="0.3">
      <c r="A1325" t="s">
        <v>3132</v>
      </c>
      <c r="B1325" s="2">
        <v>45304</v>
      </c>
      <c r="C1325" t="s">
        <v>797</v>
      </c>
      <c r="D1325" t="s">
        <v>1591</v>
      </c>
      <c r="E1325" t="s">
        <v>1740</v>
      </c>
      <c r="F1325" s="4">
        <v>4</v>
      </c>
      <c r="G1325">
        <v>629.04999999999995</v>
      </c>
      <c r="H1325">
        <v>0.26</v>
      </c>
      <c r="I1325" t="s">
        <v>1807</v>
      </c>
      <c r="J1325">
        <v>1861.9880000000001</v>
      </c>
      <c r="K1325" t="s">
        <v>798</v>
      </c>
      <c r="L1325">
        <v>26</v>
      </c>
      <c r="M1325" t="str">
        <v>Male</v>
      </c>
      <c r="N1325" t="str">
        <f>VLOOKUP(C:C,Customer_Dim!B:I,5,1)</f>
        <v>Port Coreyfort</v>
      </c>
      <c r="O1325" t="str">
        <f>VLOOKUP(C:C,Customer_Dim!B:I,6,1)</f>
        <v>Alabama</v>
      </c>
      <c r="P1325" t="str">
        <f>VLOOKUP(C:C,Customer_Dim!B:I,7,1)</f>
        <v>USA</v>
      </c>
      <c r="Q1325" t="str">
        <f>VLOOKUP(C:C,Customer_Dim!B:I,8,1)</f>
        <v>Silver</v>
      </c>
      <c r="S1325">
        <v>4</v>
      </c>
      <c r="T1325">
        <v>629.04999999999995</v>
      </c>
      <c r="U1325">
        <v>0.26</v>
      </c>
      <c r="V1325">
        <v>1861.9880000000001</v>
      </c>
      <c r="X1325" s="4">
        <v>4</v>
      </c>
      <c r="Y1325">
        <v>629.04999999999995</v>
      </c>
      <c r="Z1325">
        <v>0.26</v>
      </c>
      <c r="AA1325">
        <v>1861.9880000000001</v>
      </c>
    </row>
    <row r="1326" spans="1:27" x14ac:dyDescent="0.3">
      <c r="A1326" t="s">
        <v>3133</v>
      </c>
      <c r="B1326" s="2">
        <v>45543</v>
      </c>
      <c r="C1326" t="s">
        <v>1341</v>
      </c>
      <c r="D1326" t="s">
        <v>1679</v>
      </c>
      <c r="E1326" t="s">
        <v>1790</v>
      </c>
      <c r="F1326" s="4">
        <v>4</v>
      </c>
      <c r="G1326">
        <v>529.04</v>
      </c>
      <c r="H1326">
        <v>0.1</v>
      </c>
      <c r="I1326" t="s">
        <v>1809</v>
      </c>
      <c r="J1326">
        <v>1904.5440000000001</v>
      </c>
      <c r="K1326" t="s">
        <v>1342</v>
      </c>
      <c r="L1326">
        <v>53</v>
      </c>
      <c r="M1326" t="str">
        <v>Male</v>
      </c>
      <c r="N1326" t="str">
        <f>VLOOKUP(C:C,Customer_Dim!B:I,5,1)</f>
        <v>Amberburgh</v>
      </c>
      <c r="O1326" t="str">
        <f>VLOOKUP(C:C,Customer_Dim!B:I,6,1)</f>
        <v>Tennessee</v>
      </c>
      <c r="P1326" t="str">
        <f>VLOOKUP(C:C,Customer_Dim!B:I,7,1)</f>
        <v>USA</v>
      </c>
      <c r="Q1326" t="str">
        <f>VLOOKUP(C:C,Customer_Dim!B:I,8,1)</f>
        <v>Platinum</v>
      </c>
      <c r="S1326">
        <v>4</v>
      </c>
      <c r="T1326">
        <v>529.04</v>
      </c>
      <c r="U1326">
        <v>0.1</v>
      </c>
      <c r="V1326">
        <v>1904.5440000000001</v>
      </c>
      <c r="X1326" s="4">
        <v>4</v>
      </c>
      <c r="Y1326">
        <v>529.04</v>
      </c>
      <c r="Z1326">
        <v>0.1</v>
      </c>
      <c r="AA1326">
        <v>1904.5440000000001</v>
      </c>
    </row>
    <row r="1327" spans="1:27" x14ac:dyDescent="0.3">
      <c r="A1327" t="s">
        <v>3134</v>
      </c>
      <c r="B1327" s="2">
        <v>45326</v>
      </c>
      <c r="C1327" t="s">
        <v>1083</v>
      </c>
      <c r="D1327" t="s">
        <v>1591</v>
      </c>
      <c r="E1327" t="s">
        <v>1790</v>
      </c>
      <c r="F1327" s="4">
        <v>1</v>
      </c>
      <c r="G1327">
        <v>350.67</v>
      </c>
      <c r="H1327">
        <v>0.22</v>
      </c>
      <c r="I1327" t="s">
        <v>1809</v>
      </c>
      <c r="J1327">
        <v>273.52260000000001</v>
      </c>
      <c r="K1327" t="s">
        <v>1084</v>
      </c>
      <c r="L1327">
        <v>26</v>
      </c>
      <c r="M1327" t="str">
        <v>Male</v>
      </c>
      <c r="N1327" t="str">
        <f>VLOOKUP(C:C,Customer_Dim!B:I,5,1)</f>
        <v>New Angiefurt</v>
      </c>
      <c r="O1327" t="str">
        <f>VLOOKUP(C:C,Customer_Dim!B:I,6,1)</f>
        <v>Alaska</v>
      </c>
      <c r="P1327" t="str">
        <f>VLOOKUP(C:C,Customer_Dim!B:I,7,1)</f>
        <v>USA</v>
      </c>
      <c r="Q1327" t="str">
        <f>VLOOKUP(C:C,Customer_Dim!B:I,8,1)</f>
        <v>Bronze</v>
      </c>
      <c r="S1327">
        <v>1</v>
      </c>
      <c r="T1327">
        <v>350.67</v>
      </c>
      <c r="U1327">
        <v>0.22</v>
      </c>
      <c r="V1327">
        <v>273.52260000000001</v>
      </c>
      <c r="X1327" s="4">
        <v>1</v>
      </c>
      <c r="Y1327">
        <v>350.67</v>
      </c>
      <c r="Z1327">
        <v>0.22</v>
      </c>
      <c r="AA1327">
        <v>273.52260000000001</v>
      </c>
    </row>
    <row r="1328" spans="1:27" x14ac:dyDescent="0.3">
      <c r="A1328" t="s">
        <v>3135</v>
      </c>
      <c r="B1328" s="2">
        <v>45498</v>
      </c>
      <c r="C1328" t="s">
        <v>1147</v>
      </c>
      <c r="D1328" t="s">
        <v>1721</v>
      </c>
      <c r="E1328" t="s">
        <v>1740</v>
      </c>
      <c r="F1328" s="4">
        <v>1</v>
      </c>
      <c r="G1328">
        <v>128.93</v>
      </c>
      <c r="H1328">
        <v>0.26</v>
      </c>
      <c r="I1328" t="s">
        <v>1807</v>
      </c>
      <c r="J1328">
        <v>95.408200000000008</v>
      </c>
      <c r="K1328" t="s">
        <v>1148</v>
      </c>
      <c r="L1328">
        <v>28</v>
      </c>
      <c r="M1328" t="str">
        <v>Male</v>
      </c>
      <c r="N1328" t="str">
        <f>VLOOKUP(C:C,Customer_Dim!B:I,5,1)</f>
        <v>Port Crystal</v>
      </c>
      <c r="O1328" t="str">
        <f>VLOOKUP(C:C,Customer_Dim!B:I,6,1)</f>
        <v>New Hampshire</v>
      </c>
      <c r="P1328" t="str">
        <f>VLOOKUP(C:C,Customer_Dim!B:I,7,1)</f>
        <v>USA</v>
      </c>
      <c r="Q1328" t="str">
        <f>VLOOKUP(C:C,Customer_Dim!B:I,8,1)</f>
        <v>Platinum</v>
      </c>
      <c r="S1328">
        <v>1</v>
      </c>
      <c r="T1328">
        <v>128.93</v>
      </c>
      <c r="U1328">
        <v>0.26</v>
      </c>
      <c r="V1328">
        <v>95.408200000000008</v>
      </c>
      <c r="X1328" s="4">
        <v>1</v>
      </c>
      <c r="Y1328">
        <v>128.93</v>
      </c>
      <c r="Z1328">
        <v>0.26</v>
      </c>
      <c r="AA1328">
        <v>95.408200000000008</v>
      </c>
    </row>
    <row r="1329" spans="1:27" x14ac:dyDescent="0.3">
      <c r="A1329" t="s">
        <v>3136</v>
      </c>
      <c r="B1329" s="2">
        <v>45544</v>
      </c>
      <c r="C1329" t="s">
        <v>485</v>
      </c>
      <c r="D1329" t="s">
        <v>1703</v>
      </c>
      <c r="E1329" t="s">
        <v>1784</v>
      </c>
      <c r="F1329" s="4">
        <v>2</v>
      </c>
      <c r="G1329">
        <v>384.92</v>
      </c>
      <c r="H1329">
        <v>0.09</v>
      </c>
      <c r="I1329" t="s">
        <v>1807</v>
      </c>
      <c r="J1329">
        <v>700.5544000000001</v>
      </c>
      <c r="K1329" t="s">
        <v>486</v>
      </c>
      <c r="L1329">
        <v>32</v>
      </c>
      <c r="M1329" t="str">
        <v>Female</v>
      </c>
      <c r="N1329" t="str">
        <f>VLOOKUP(C:C,Customer_Dim!B:I,5,1)</f>
        <v>Michaelfort</v>
      </c>
      <c r="O1329" t="str">
        <f>VLOOKUP(C:C,Customer_Dim!B:I,6,1)</f>
        <v>Indiana</v>
      </c>
      <c r="P1329" t="str">
        <f>VLOOKUP(C:C,Customer_Dim!B:I,7,1)</f>
        <v>USA</v>
      </c>
      <c r="Q1329" t="str">
        <f>VLOOKUP(C:C,Customer_Dim!B:I,8,1)</f>
        <v>Platinum</v>
      </c>
      <c r="S1329">
        <v>2</v>
      </c>
      <c r="T1329">
        <v>384.92</v>
      </c>
      <c r="U1329">
        <v>0.09</v>
      </c>
      <c r="V1329">
        <v>700.5544000000001</v>
      </c>
      <c r="X1329" s="4">
        <v>2</v>
      </c>
      <c r="Y1329">
        <v>384.92</v>
      </c>
      <c r="Z1329">
        <v>0.09</v>
      </c>
      <c r="AA1329">
        <v>700.5544000000001</v>
      </c>
    </row>
    <row r="1330" spans="1:27" x14ac:dyDescent="0.3">
      <c r="A1330" t="s">
        <v>3137</v>
      </c>
      <c r="B1330" s="2">
        <v>45268</v>
      </c>
      <c r="C1330" t="s">
        <v>1039</v>
      </c>
      <c r="D1330" t="s">
        <v>1538</v>
      </c>
      <c r="E1330" t="s">
        <v>1765</v>
      </c>
      <c r="F1330" s="4">
        <v>3</v>
      </c>
      <c r="G1330">
        <v>120.77</v>
      </c>
      <c r="H1330">
        <v>0.28999999999999998</v>
      </c>
      <c r="I1330" t="s">
        <v>1809</v>
      </c>
      <c r="J1330">
        <v>257.24009999999998</v>
      </c>
      <c r="K1330" t="s">
        <v>1040</v>
      </c>
      <c r="L1330">
        <v>37</v>
      </c>
      <c r="M1330" t="str">
        <v>Male</v>
      </c>
      <c r="N1330" t="str">
        <f>VLOOKUP(C:C,Customer_Dim!B:I,5,1)</f>
        <v>Donaldsontown</v>
      </c>
      <c r="O1330" t="str">
        <f>VLOOKUP(C:C,Customer_Dim!B:I,6,1)</f>
        <v>Connecticut</v>
      </c>
      <c r="P1330" t="str">
        <f>VLOOKUP(C:C,Customer_Dim!B:I,7,1)</f>
        <v>USA</v>
      </c>
      <c r="Q1330" t="str">
        <f>VLOOKUP(C:C,Customer_Dim!B:I,8,1)</f>
        <v>Silver</v>
      </c>
      <c r="S1330">
        <v>3</v>
      </c>
      <c r="T1330">
        <v>120.77</v>
      </c>
      <c r="U1330">
        <v>0.28999999999999998</v>
      </c>
      <c r="V1330">
        <v>257.24009999999998</v>
      </c>
      <c r="X1330" s="4">
        <v>3</v>
      </c>
      <c r="Y1330">
        <v>120.77</v>
      </c>
      <c r="Z1330">
        <v>0.28999999999999998</v>
      </c>
      <c r="AA1330">
        <v>257.24009999999998</v>
      </c>
    </row>
    <row r="1331" spans="1:27" x14ac:dyDescent="0.3">
      <c r="A1331" t="s">
        <v>3138</v>
      </c>
      <c r="B1331" s="2">
        <v>45824</v>
      </c>
      <c r="C1331" t="s">
        <v>713</v>
      </c>
      <c r="D1331" t="s">
        <v>1683</v>
      </c>
      <c r="E1331" t="s">
        <v>1790</v>
      </c>
      <c r="F1331" s="4">
        <v>4</v>
      </c>
      <c r="G1331">
        <v>661.39</v>
      </c>
      <c r="H1331">
        <v>7.0000000000000007E-2</v>
      </c>
      <c r="I1331" t="s">
        <v>1807</v>
      </c>
      <c r="J1331">
        <v>2460.3708000000001</v>
      </c>
      <c r="K1331" t="s">
        <v>714</v>
      </c>
      <c r="L1331">
        <v>50</v>
      </c>
      <c r="M1331" t="str">
        <v>Male</v>
      </c>
      <c r="N1331" t="str">
        <f>VLOOKUP(C:C,Customer_Dim!B:I,5,1)</f>
        <v>East Crystalton</v>
      </c>
      <c r="O1331" t="str">
        <f>VLOOKUP(C:C,Customer_Dim!B:I,6,1)</f>
        <v>New Mexico</v>
      </c>
      <c r="P1331" t="str">
        <f>VLOOKUP(C:C,Customer_Dim!B:I,7,1)</f>
        <v>USA</v>
      </c>
      <c r="Q1331" t="str">
        <f>VLOOKUP(C:C,Customer_Dim!B:I,8,1)</f>
        <v>Platinum</v>
      </c>
      <c r="S1331">
        <v>4</v>
      </c>
      <c r="T1331">
        <v>661.39</v>
      </c>
      <c r="U1331">
        <v>7.0000000000000007E-2</v>
      </c>
      <c r="V1331">
        <v>2460.3708000000001</v>
      </c>
      <c r="X1331" s="4">
        <v>4</v>
      </c>
      <c r="Y1331">
        <v>661.39</v>
      </c>
      <c r="Z1331">
        <v>7.0000000000000007E-2</v>
      </c>
      <c r="AA1331">
        <v>2460.3708000000001</v>
      </c>
    </row>
    <row r="1332" spans="1:27" x14ac:dyDescent="0.3">
      <c r="A1332" t="s">
        <v>3139</v>
      </c>
      <c r="B1332" s="2">
        <v>45261</v>
      </c>
      <c r="C1332" t="s">
        <v>1373</v>
      </c>
      <c r="D1332" t="s">
        <v>1655</v>
      </c>
      <c r="E1332" t="s">
        <v>1744</v>
      </c>
      <c r="F1332" s="4">
        <v>1</v>
      </c>
      <c r="G1332">
        <v>195.24</v>
      </c>
      <c r="H1332">
        <v>0.27</v>
      </c>
      <c r="I1332" t="s">
        <v>1809</v>
      </c>
      <c r="J1332">
        <v>142.52520000000001</v>
      </c>
      <c r="K1332" t="s">
        <v>1374</v>
      </c>
      <c r="L1332">
        <v>59</v>
      </c>
      <c r="M1332" t="str">
        <v>Male</v>
      </c>
      <c r="N1332" t="str">
        <f>VLOOKUP(C:C,Customer_Dim!B:I,5,1)</f>
        <v>Port Hannahport</v>
      </c>
      <c r="O1332" t="str">
        <f>VLOOKUP(C:C,Customer_Dim!B:I,6,1)</f>
        <v>Ohio</v>
      </c>
      <c r="P1332" t="str">
        <f>VLOOKUP(C:C,Customer_Dim!B:I,7,1)</f>
        <v>USA</v>
      </c>
      <c r="Q1332" t="str">
        <f>VLOOKUP(C:C,Customer_Dim!B:I,8,1)</f>
        <v>Bronze</v>
      </c>
      <c r="S1332">
        <v>1</v>
      </c>
      <c r="T1332">
        <v>195.24</v>
      </c>
      <c r="U1332">
        <v>0.27</v>
      </c>
      <c r="V1332">
        <v>142.52520000000001</v>
      </c>
      <c r="X1332" s="4">
        <v>1</v>
      </c>
      <c r="Y1332">
        <v>195.24</v>
      </c>
      <c r="Z1332">
        <v>0.27</v>
      </c>
      <c r="AA1332">
        <v>142.52520000000001</v>
      </c>
    </row>
    <row r="1333" spans="1:27" x14ac:dyDescent="0.3">
      <c r="A1333" t="s">
        <v>3140</v>
      </c>
      <c r="B1333" s="2">
        <v>45233</v>
      </c>
      <c r="C1333" t="s">
        <v>27</v>
      </c>
      <c r="D1333" t="s">
        <v>1715</v>
      </c>
      <c r="E1333" t="s">
        <v>1793</v>
      </c>
      <c r="F1333" s="4">
        <v>2</v>
      </c>
      <c r="G1333">
        <v>177.4</v>
      </c>
      <c r="H1333">
        <v>0.19</v>
      </c>
      <c r="I1333" t="s">
        <v>1809</v>
      </c>
      <c r="J1333">
        <v>287.38799999999998</v>
      </c>
      <c r="K1333" t="s">
        <v>28</v>
      </c>
      <c r="L1333">
        <v>24</v>
      </c>
      <c r="M1333" t="str">
        <v>Male</v>
      </c>
      <c r="N1333" t="str">
        <f>VLOOKUP(C:C,Customer_Dim!B:I,5,1)</f>
        <v>Nicholasshire</v>
      </c>
      <c r="O1333" t="str">
        <f>VLOOKUP(C:C,Customer_Dim!B:I,6,1)</f>
        <v>California</v>
      </c>
      <c r="P1333" t="str">
        <f>VLOOKUP(C:C,Customer_Dim!B:I,7,1)</f>
        <v>USA</v>
      </c>
      <c r="Q1333" t="str">
        <f>VLOOKUP(C:C,Customer_Dim!B:I,8,1)</f>
        <v>Silver</v>
      </c>
      <c r="S1333">
        <v>2</v>
      </c>
      <c r="T1333">
        <v>177.4</v>
      </c>
      <c r="U1333">
        <v>0.19</v>
      </c>
      <c r="V1333">
        <v>287.38799999999998</v>
      </c>
      <c r="X1333" s="4">
        <v>2</v>
      </c>
      <c r="Y1333">
        <v>177.4</v>
      </c>
      <c r="Z1333">
        <v>0.19</v>
      </c>
      <c r="AA1333">
        <v>287.38799999999998</v>
      </c>
    </row>
    <row r="1334" spans="1:27" x14ac:dyDescent="0.3">
      <c r="A1334" t="s">
        <v>3141</v>
      </c>
      <c r="B1334" s="2">
        <v>45673</v>
      </c>
      <c r="C1334" t="s">
        <v>211</v>
      </c>
      <c r="D1334" t="s">
        <v>1727</v>
      </c>
      <c r="E1334" t="s">
        <v>1775</v>
      </c>
      <c r="F1334" s="4">
        <v>4</v>
      </c>
      <c r="G1334">
        <v>862.67</v>
      </c>
      <c r="H1334">
        <v>0.2</v>
      </c>
      <c r="I1334" t="s">
        <v>1809</v>
      </c>
      <c r="J1334">
        <v>2760.5439999999999</v>
      </c>
      <c r="K1334" t="s">
        <v>212</v>
      </c>
      <c r="L1334">
        <v>51</v>
      </c>
      <c r="M1334" t="str">
        <v>Male</v>
      </c>
      <c r="N1334" t="str">
        <f>VLOOKUP(C:C,Customer_Dim!B:I,5,1)</f>
        <v>Morrisbury</v>
      </c>
      <c r="O1334" t="str">
        <f>VLOOKUP(C:C,Customer_Dim!B:I,6,1)</f>
        <v>Rhode Island</v>
      </c>
      <c r="P1334" t="str">
        <f>VLOOKUP(C:C,Customer_Dim!B:I,7,1)</f>
        <v>USA</v>
      </c>
      <c r="Q1334" t="str">
        <f>VLOOKUP(C:C,Customer_Dim!B:I,8,1)</f>
        <v>Platinum</v>
      </c>
      <c r="S1334">
        <v>4</v>
      </c>
      <c r="T1334">
        <v>862.67</v>
      </c>
      <c r="U1334">
        <v>0.2</v>
      </c>
      <c r="V1334">
        <v>2760.5439999999999</v>
      </c>
      <c r="X1334" s="4">
        <v>4</v>
      </c>
      <c r="Y1334">
        <v>862.67</v>
      </c>
      <c r="Z1334">
        <v>0.2</v>
      </c>
      <c r="AA1334">
        <v>2760.5439999999999</v>
      </c>
    </row>
    <row r="1335" spans="1:27" x14ac:dyDescent="0.3">
      <c r="A1335" t="s">
        <v>3142</v>
      </c>
      <c r="B1335" s="2">
        <v>45565</v>
      </c>
      <c r="C1335" t="s">
        <v>1358</v>
      </c>
      <c r="D1335" t="s">
        <v>1565</v>
      </c>
      <c r="E1335" t="s">
        <v>1759</v>
      </c>
      <c r="F1335" s="4">
        <v>1</v>
      </c>
      <c r="G1335">
        <v>55.04</v>
      </c>
      <c r="H1335">
        <v>0.01</v>
      </c>
      <c r="I1335" t="s">
        <v>1812</v>
      </c>
      <c r="J1335">
        <v>54.489600000000003</v>
      </c>
      <c r="K1335" t="s">
        <v>1359</v>
      </c>
      <c r="L1335">
        <v>41</v>
      </c>
      <c r="M1335" t="str">
        <v>Female</v>
      </c>
      <c r="N1335" t="str">
        <f>VLOOKUP(C:C,Customer_Dim!B:I,5,1)</f>
        <v>Jessicaland</v>
      </c>
      <c r="O1335" t="str">
        <f>VLOOKUP(C:C,Customer_Dim!B:I,6,1)</f>
        <v>Wyoming</v>
      </c>
      <c r="P1335" t="str">
        <f>VLOOKUP(C:C,Customer_Dim!B:I,7,1)</f>
        <v>USA</v>
      </c>
      <c r="Q1335" t="str">
        <f>VLOOKUP(C:C,Customer_Dim!B:I,8,1)</f>
        <v>Gold</v>
      </c>
      <c r="S1335">
        <v>1</v>
      </c>
      <c r="T1335">
        <v>55.04</v>
      </c>
      <c r="U1335">
        <v>0.01</v>
      </c>
      <c r="V1335">
        <v>54.489600000000003</v>
      </c>
      <c r="X1335" s="4">
        <v>1</v>
      </c>
      <c r="Y1335">
        <v>55.04</v>
      </c>
      <c r="Z1335">
        <v>0.01</v>
      </c>
      <c r="AA1335">
        <v>54.489600000000003</v>
      </c>
    </row>
    <row r="1336" spans="1:27" x14ac:dyDescent="0.3">
      <c r="A1336" t="s">
        <v>3143</v>
      </c>
      <c r="B1336" s="2">
        <v>45646</v>
      </c>
      <c r="C1336" t="s">
        <v>185</v>
      </c>
      <c r="D1336" t="s">
        <v>1621</v>
      </c>
      <c r="E1336" t="s">
        <v>1735</v>
      </c>
      <c r="F1336" s="4">
        <v>2</v>
      </c>
      <c r="G1336">
        <v>905.47</v>
      </c>
      <c r="H1336">
        <v>0.2</v>
      </c>
      <c r="I1336" t="s">
        <v>1812</v>
      </c>
      <c r="J1336">
        <v>1448.752</v>
      </c>
      <c r="K1336" t="s">
        <v>186</v>
      </c>
      <c r="L1336">
        <v>61</v>
      </c>
      <c r="M1336" t="str">
        <v>Female</v>
      </c>
      <c r="N1336" t="str">
        <f>VLOOKUP(C:C,Customer_Dim!B:I,5,1)</f>
        <v>New Amy</v>
      </c>
      <c r="O1336" t="str">
        <f>VLOOKUP(C:C,Customer_Dim!B:I,6,1)</f>
        <v>Ohio</v>
      </c>
      <c r="P1336" t="str">
        <f>VLOOKUP(C:C,Customer_Dim!B:I,7,1)</f>
        <v>USA</v>
      </c>
      <c r="Q1336" t="str">
        <f>VLOOKUP(C:C,Customer_Dim!B:I,8,1)</f>
        <v>Gold</v>
      </c>
      <c r="S1336">
        <v>2</v>
      </c>
      <c r="T1336">
        <v>905.47</v>
      </c>
      <c r="U1336">
        <v>0.2</v>
      </c>
      <c r="V1336">
        <v>1448.752</v>
      </c>
      <c r="X1336" s="4">
        <v>2</v>
      </c>
      <c r="Y1336">
        <v>905.47</v>
      </c>
      <c r="Z1336">
        <v>0.2</v>
      </c>
      <c r="AA1336">
        <v>1448.752</v>
      </c>
    </row>
    <row r="1337" spans="1:27" x14ac:dyDescent="0.3">
      <c r="A1337" t="s">
        <v>3144</v>
      </c>
      <c r="B1337" s="2">
        <v>45539</v>
      </c>
      <c r="C1337" t="s">
        <v>1406</v>
      </c>
      <c r="D1337" t="s">
        <v>1657</v>
      </c>
      <c r="E1337" t="s">
        <v>1780</v>
      </c>
      <c r="F1337" s="4">
        <v>3</v>
      </c>
      <c r="G1337">
        <v>217.13</v>
      </c>
      <c r="H1337">
        <v>0.28000000000000003</v>
      </c>
      <c r="I1337" t="s">
        <v>1807</v>
      </c>
      <c r="J1337">
        <v>469.00080000000003</v>
      </c>
      <c r="K1337" t="s">
        <v>1407</v>
      </c>
      <c r="L1337">
        <v>34</v>
      </c>
      <c r="M1337" t="str">
        <v>Female</v>
      </c>
      <c r="N1337" t="str">
        <f>VLOOKUP(C:C,Customer_Dim!B:I,5,1)</f>
        <v>East Julie</v>
      </c>
      <c r="O1337" t="str">
        <f>VLOOKUP(C:C,Customer_Dim!B:I,6,1)</f>
        <v>Kansas</v>
      </c>
      <c r="P1337" t="str">
        <f>VLOOKUP(C:C,Customer_Dim!B:I,7,1)</f>
        <v>USA</v>
      </c>
      <c r="Q1337" t="str">
        <f>VLOOKUP(C:C,Customer_Dim!B:I,8,1)</f>
        <v>Silver</v>
      </c>
      <c r="S1337">
        <v>3</v>
      </c>
      <c r="T1337">
        <v>217.13</v>
      </c>
      <c r="U1337">
        <v>0.28000000000000003</v>
      </c>
      <c r="V1337">
        <v>469.00080000000003</v>
      </c>
      <c r="X1337" s="4">
        <v>3</v>
      </c>
      <c r="Y1337">
        <v>217.13</v>
      </c>
      <c r="Z1337">
        <v>0.28000000000000003</v>
      </c>
      <c r="AA1337">
        <v>469.00080000000003</v>
      </c>
    </row>
    <row r="1338" spans="1:27" x14ac:dyDescent="0.3">
      <c r="A1338" t="s">
        <v>3145</v>
      </c>
      <c r="B1338" s="2">
        <v>45936</v>
      </c>
      <c r="C1338" t="s">
        <v>1201</v>
      </c>
      <c r="D1338" t="s">
        <v>1681</v>
      </c>
      <c r="E1338" t="s">
        <v>1735</v>
      </c>
      <c r="F1338" s="4">
        <v>3</v>
      </c>
      <c r="G1338">
        <v>580.45000000000005</v>
      </c>
      <c r="H1338">
        <v>0</v>
      </c>
      <c r="I1338" t="s">
        <v>1809</v>
      </c>
      <c r="J1338">
        <v>1741.35</v>
      </c>
      <c r="K1338" t="s">
        <v>1202</v>
      </c>
      <c r="L1338">
        <v>56</v>
      </c>
      <c r="M1338" t="str">
        <v>Male</v>
      </c>
      <c r="N1338" t="str">
        <f>VLOOKUP(C:C,Customer_Dim!B:I,5,1)</f>
        <v>Joseland</v>
      </c>
      <c r="O1338" t="str">
        <f>VLOOKUP(C:C,Customer_Dim!B:I,6,1)</f>
        <v>Nebraska</v>
      </c>
      <c r="P1338" t="str">
        <f>VLOOKUP(C:C,Customer_Dim!B:I,7,1)</f>
        <v>USA</v>
      </c>
      <c r="Q1338" t="str">
        <f>VLOOKUP(C:C,Customer_Dim!B:I,8,1)</f>
        <v>Platinum</v>
      </c>
      <c r="S1338">
        <v>3</v>
      </c>
      <c r="T1338">
        <v>580.45000000000005</v>
      </c>
      <c r="U1338">
        <v>0</v>
      </c>
      <c r="V1338">
        <v>1741.35</v>
      </c>
      <c r="X1338" s="4">
        <v>3</v>
      </c>
      <c r="Y1338">
        <v>580.45000000000005</v>
      </c>
      <c r="Z1338">
        <v>0</v>
      </c>
      <c r="AA1338">
        <v>1741.35</v>
      </c>
    </row>
    <row r="1339" spans="1:27" x14ac:dyDescent="0.3">
      <c r="A1339" t="s">
        <v>3146</v>
      </c>
      <c r="B1339" s="2">
        <v>45854</v>
      </c>
      <c r="C1339" t="s">
        <v>361</v>
      </c>
      <c r="D1339" t="s">
        <v>1536</v>
      </c>
      <c r="E1339" t="s">
        <v>1790</v>
      </c>
      <c r="F1339" s="4">
        <v>2</v>
      </c>
      <c r="G1339">
        <v>892.88</v>
      </c>
      <c r="H1339">
        <v>0.17</v>
      </c>
      <c r="I1339" t="s">
        <v>1809</v>
      </c>
      <c r="J1339">
        <v>1482.1808000000001</v>
      </c>
      <c r="K1339" t="s">
        <v>362</v>
      </c>
      <c r="L1339">
        <v>64</v>
      </c>
      <c r="M1339" t="str">
        <v>Male</v>
      </c>
      <c r="N1339" t="str">
        <f>VLOOKUP(C:C,Customer_Dim!B:I,5,1)</f>
        <v>West Lauren</v>
      </c>
      <c r="O1339" t="str">
        <f>VLOOKUP(C:C,Customer_Dim!B:I,6,1)</f>
        <v>Connecticut</v>
      </c>
      <c r="P1339" t="str">
        <f>VLOOKUP(C:C,Customer_Dim!B:I,7,1)</f>
        <v>USA</v>
      </c>
      <c r="Q1339" t="str">
        <f>VLOOKUP(C:C,Customer_Dim!B:I,8,1)</f>
        <v>Bronze</v>
      </c>
      <c r="S1339">
        <v>2</v>
      </c>
      <c r="T1339">
        <v>892.88</v>
      </c>
      <c r="U1339">
        <v>0.17</v>
      </c>
      <c r="V1339">
        <v>1482.1808000000001</v>
      </c>
      <c r="X1339" s="4">
        <v>2</v>
      </c>
      <c r="Y1339">
        <v>892.88</v>
      </c>
      <c r="Z1339">
        <v>0.17</v>
      </c>
      <c r="AA1339">
        <v>1482.1808000000001</v>
      </c>
    </row>
    <row r="1340" spans="1:27" x14ac:dyDescent="0.3">
      <c r="A1340" t="s">
        <v>3147</v>
      </c>
      <c r="B1340" s="2">
        <v>45936</v>
      </c>
      <c r="C1340" t="s">
        <v>324</v>
      </c>
      <c r="D1340" t="s">
        <v>1611</v>
      </c>
      <c r="E1340" t="s">
        <v>1793</v>
      </c>
      <c r="F1340" s="4">
        <v>2</v>
      </c>
      <c r="G1340">
        <v>356.28</v>
      </c>
      <c r="H1340">
        <v>0.11</v>
      </c>
      <c r="I1340" t="s">
        <v>1812</v>
      </c>
      <c r="J1340">
        <v>634.17840000000001</v>
      </c>
      <c r="K1340" t="s">
        <v>325</v>
      </c>
      <c r="L1340">
        <v>44</v>
      </c>
      <c r="M1340" t="str">
        <v>Female</v>
      </c>
      <c r="N1340" t="str">
        <f>VLOOKUP(C:C,Customer_Dim!B:I,5,1)</f>
        <v>South Amandahaven</v>
      </c>
      <c r="O1340" t="str">
        <f>VLOOKUP(C:C,Customer_Dim!B:I,6,1)</f>
        <v>Arizona</v>
      </c>
      <c r="P1340" t="str">
        <f>VLOOKUP(C:C,Customer_Dim!B:I,7,1)</f>
        <v>USA</v>
      </c>
      <c r="Q1340" t="str">
        <f>VLOOKUP(C:C,Customer_Dim!B:I,8,1)</f>
        <v>Silver</v>
      </c>
      <c r="S1340">
        <v>2</v>
      </c>
      <c r="T1340">
        <v>356.28</v>
      </c>
      <c r="U1340">
        <v>0.11</v>
      </c>
      <c r="V1340">
        <v>634.17840000000001</v>
      </c>
      <c r="X1340" s="4">
        <v>2</v>
      </c>
      <c r="Y1340">
        <v>356.28</v>
      </c>
      <c r="Z1340">
        <v>0.11</v>
      </c>
      <c r="AA1340">
        <v>634.17840000000001</v>
      </c>
    </row>
    <row r="1341" spans="1:27" x14ac:dyDescent="0.3">
      <c r="A1341" t="s">
        <v>3148</v>
      </c>
      <c r="B1341" s="2">
        <v>45921</v>
      </c>
      <c r="C1341" t="s">
        <v>1186</v>
      </c>
      <c r="D1341" t="s">
        <v>1691</v>
      </c>
      <c r="E1341" t="s">
        <v>1744</v>
      </c>
      <c r="F1341" s="4">
        <v>4</v>
      </c>
      <c r="G1341">
        <v>806.99</v>
      </c>
      <c r="H1341">
        <v>0.06</v>
      </c>
      <c r="I1341" t="s">
        <v>1807</v>
      </c>
      <c r="J1341">
        <v>3034.2824000000001</v>
      </c>
      <c r="K1341" t="s">
        <v>1187</v>
      </c>
      <c r="L1341">
        <v>60</v>
      </c>
      <c r="M1341" t="str">
        <v>Male</v>
      </c>
      <c r="N1341" t="str">
        <f>VLOOKUP(C:C,Customer_Dim!B:I,5,1)</f>
        <v>North Michael</v>
      </c>
      <c r="O1341" t="str">
        <f>VLOOKUP(C:C,Customer_Dim!B:I,6,1)</f>
        <v>Iowa</v>
      </c>
      <c r="P1341" t="str">
        <f>VLOOKUP(C:C,Customer_Dim!B:I,7,1)</f>
        <v>USA</v>
      </c>
      <c r="Q1341" t="str">
        <f>VLOOKUP(C:C,Customer_Dim!B:I,8,1)</f>
        <v>Bronze</v>
      </c>
      <c r="S1341">
        <v>4</v>
      </c>
      <c r="T1341">
        <v>806.99</v>
      </c>
      <c r="U1341">
        <v>0.06</v>
      </c>
      <c r="V1341">
        <v>3034.2824000000001</v>
      </c>
      <c r="X1341" s="4">
        <v>4</v>
      </c>
      <c r="Y1341">
        <v>806.99</v>
      </c>
      <c r="Z1341">
        <v>0.06</v>
      </c>
      <c r="AA1341">
        <v>3034.2824000000001</v>
      </c>
    </row>
    <row r="1342" spans="1:27" x14ac:dyDescent="0.3">
      <c r="A1342" t="s">
        <v>3149</v>
      </c>
      <c r="B1342" s="2">
        <v>45855</v>
      </c>
      <c r="C1342" t="s">
        <v>1344</v>
      </c>
      <c r="D1342" t="s">
        <v>1571</v>
      </c>
      <c r="E1342" t="s">
        <v>1740</v>
      </c>
      <c r="F1342" s="4">
        <v>3</v>
      </c>
      <c r="G1342">
        <v>684.22</v>
      </c>
      <c r="H1342">
        <v>0.09</v>
      </c>
      <c r="I1342" t="s">
        <v>1807</v>
      </c>
      <c r="J1342">
        <v>1867.9205999999999</v>
      </c>
      <c r="K1342" t="s">
        <v>1345</v>
      </c>
      <c r="L1342">
        <v>60</v>
      </c>
      <c r="M1342" t="str">
        <v>Male</v>
      </c>
      <c r="N1342" t="str">
        <f>VLOOKUP(C:C,Customer_Dim!B:I,5,1)</f>
        <v>North Daniel</v>
      </c>
      <c r="O1342" t="str">
        <f>VLOOKUP(C:C,Customer_Dim!B:I,6,1)</f>
        <v>Michigan</v>
      </c>
      <c r="P1342" t="str">
        <f>VLOOKUP(C:C,Customer_Dim!B:I,7,1)</f>
        <v>USA</v>
      </c>
      <c r="Q1342" t="str">
        <f>VLOOKUP(C:C,Customer_Dim!B:I,8,1)</f>
        <v>Silver</v>
      </c>
      <c r="S1342">
        <v>3</v>
      </c>
      <c r="T1342">
        <v>684.22</v>
      </c>
      <c r="U1342">
        <v>0.09</v>
      </c>
      <c r="V1342">
        <v>1867.9205999999999</v>
      </c>
      <c r="X1342" s="4">
        <v>3</v>
      </c>
      <c r="Y1342">
        <v>684.22</v>
      </c>
      <c r="Z1342">
        <v>0.09</v>
      </c>
      <c r="AA1342">
        <v>1867.9205999999999</v>
      </c>
    </row>
    <row r="1343" spans="1:27" x14ac:dyDescent="0.3">
      <c r="A1343" t="s">
        <v>3150</v>
      </c>
      <c r="B1343" s="2">
        <v>45837</v>
      </c>
      <c r="C1343" t="s">
        <v>1355</v>
      </c>
      <c r="D1343" t="s">
        <v>1717</v>
      </c>
      <c r="E1343" t="s">
        <v>1762</v>
      </c>
      <c r="F1343" s="4">
        <v>4</v>
      </c>
      <c r="G1343">
        <v>763.34</v>
      </c>
      <c r="H1343">
        <v>7.0000000000000007E-2</v>
      </c>
      <c r="I1343" t="s">
        <v>1809</v>
      </c>
      <c r="J1343">
        <v>2839.6248000000001</v>
      </c>
      <c r="K1343" t="s">
        <v>1356</v>
      </c>
      <c r="L1343">
        <v>19</v>
      </c>
      <c r="M1343" t="str">
        <v>Male</v>
      </c>
      <c r="N1343" t="str">
        <f>VLOOKUP(C:C,Customer_Dim!B:I,5,1)</f>
        <v>New Donnabury</v>
      </c>
      <c r="O1343" t="str">
        <f>VLOOKUP(C:C,Customer_Dim!B:I,6,1)</f>
        <v>Texas</v>
      </c>
      <c r="P1343" t="str">
        <f>VLOOKUP(C:C,Customer_Dim!B:I,7,1)</f>
        <v>USA</v>
      </c>
      <c r="Q1343" t="str">
        <f>VLOOKUP(C:C,Customer_Dim!B:I,8,1)</f>
        <v>Silver</v>
      </c>
      <c r="S1343">
        <v>4</v>
      </c>
      <c r="T1343">
        <v>763.34</v>
      </c>
      <c r="U1343">
        <v>7.0000000000000007E-2</v>
      </c>
      <c r="V1343">
        <v>2839.6248000000001</v>
      </c>
      <c r="X1343" s="4">
        <v>4</v>
      </c>
      <c r="Y1343">
        <v>763.34</v>
      </c>
      <c r="Z1343">
        <v>7.0000000000000007E-2</v>
      </c>
      <c r="AA1343">
        <v>2839.6248000000001</v>
      </c>
    </row>
    <row r="1344" spans="1:27" x14ac:dyDescent="0.3">
      <c r="A1344" t="s">
        <v>3151</v>
      </c>
      <c r="B1344" s="2">
        <v>45738</v>
      </c>
      <c r="C1344" t="s">
        <v>1118</v>
      </c>
      <c r="D1344" t="s">
        <v>1631</v>
      </c>
      <c r="E1344" t="s">
        <v>1749</v>
      </c>
      <c r="F1344" s="4">
        <v>3</v>
      </c>
      <c r="G1344">
        <v>721.94</v>
      </c>
      <c r="H1344">
        <v>0.26</v>
      </c>
      <c r="I1344" t="s">
        <v>1807</v>
      </c>
      <c r="J1344">
        <v>1602.7067999999999</v>
      </c>
      <c r="K1344" t="s">
        <v>1119</v>
      </c>
      <c r="L1344">
        <v>60</v>
      </c>
      <c r="M1344" t="str">
        <v>Male</v>
      </c>
      <c r="N1344" t="str">
        <f>VLOOKUP(C:C,Customer_Dim!B:I,5,1)</f>
        <v>New Jessechester</v>
      </c>
      <c r="O1344" t="str">
        <f>VLOOKUP(C:C,Customer_Dim!B:I,6,1)</f>
        <v>Indiana</v>
      </c>
      <c r="P1344" t="str">
        <f>VLOOKUP(C:C,Customer_Dim!B:I,7,1)</f>
        <v>USA</v>
      </c>
      <c r="Q1344" t="str">
        <f>VLOOKUP(C:C,Customer_Dim!B:I,8,1)</f>
        <v>Platinum</v>
      </c>
      <c r="S1344">
        <v>3</v>
      </c>
      <c r="T1344">
        <v>721.94</v>
      </c>
      <c r="U1344">
        <v>0.26</v>
      </c>
      <c r="V1344">
        <v>1602.7067999999999</v>
      </c>
      <c r="X1344" s="4">
        <v>3</v>
      </c>
      <c r="Y1344">
        <v>721.94</v>
      </c>
      <c r="Z1344">
        <v>0.26</v>
      </c>
      <c r="AA1344">
        <v>1602.7067999999999</v>
      </c>
    </row>
    <row r="1345" spans="1:27" x14ac:dyDescent="0.3">
      <c r="A1345" t="s">
        <v>3152</v>
      </c>
      <c r="B1345" s="2">
        <v>45323</v>
      </c>
      <c r="C1345" t="s">
        <v>1249</v>
      </c>
      <c r="D1345" t="s">
        <v>1725</v>
      </c>
      <c r="E1345" t="s">
        <v>1740</v>
      </c>
      <c r="F1345" s="4">
        <v>3</v>
      </c>
      <c r="G1345">
        <v>760.38</v>
      </c>
      <c r="H1345">
        <v>0</v>
      </c>
      <c r="I1345" t="s">
        <v>1812</v>
      </c>
      <c r="J1345">
        <v>2281.14</v>
      </c>
      <c r="K1345" t="s">
        <v>1250</v>
      </c>
      <c r="L1345">
        <v>33</v>
      </c>
      <c r="M1345" t="str">
        <v>Male</v>
      </c>
      <c r="N1345" t="str">
        <f>VLOOKUP(C:C,Customer_Dim!B:I,5,1)</f>
        <v>North Michaelfurt</v>
      </c>
      <c r="O1345" t="str">
        <f>VLOOKUP(C:C,Customer_Dim!B:I,6,1)</f>
        <v>Wisconsin</v>
      </c>
      <c r="P1345" t="str">
        <f>VLOOKUP(C:C,Customer_Dim!B:I,7,1)</f>
        <v>USA</v>
      </c>
      <c r="Q1345" t="str">
        <f>VLOOKUP(C:C,Customer_Dim!B:I,8,1)</f>
        <v>Gold</v>
      </c>
      <c r="S1345">
        <v>3</v>
      </c>
      <c r="T1345">
        <v>760.38</v>
      </c>
      <c r="U1345">
        <v>0</v>
      </c>
      <c r="V1345">
        <v>2281.14</v>
      </c>
      <c r="X1345" s="4">
        <v>3</v>
      </c>
      <c r="Y1345">
        <v>760.38</v>
      </c>
      <c r="Z1345">
        <v>0</v>
      </c>
      <c r="AA1345">
        <v>2281.14</v>
      </c>
    </row>
    <row r="1346" spans="1:27" x14ac:dyDescent="0.3">
      <c r="A1346" t="s">
        <v>3153</v>
      </c>
      <c r="B1346" s="2">
        <v>45362</v>
      </c>
      <c r="C1346" t="s">
        <v>933</v>
      </c>
      <c r="D1346" t="s">
        <v>1725</v>
      </c>
      <c r="E1346" t="s">
        <v>1759</v>
      </c>
      <c r="F1346" s="4">
        <v>3</v>
      </c>
      <c r="G1346">
        <v>612.53</v>
      </c>
      <c r="H1346">
        <v>0.21</v>
      </c>
      <c r="I1346" t="s">
        <v>1812</v>
      </c>
      <c r="J1346">
        <v>1451.6960999999999</v>
      </c>
      <c r="K1346" t="s">
        <v>934</v>
      </c>
      <c r="L1346">
        <v>48</v>
      </c>
      <c r="M1346" t="str">
        <v>Female</v>
      </c>
      <c r="N1346" t="str">
        <f>VLOOKUP(C:C,Customer_Dim!B:I,5,1)</f>
        <v>New Joshuatown</v>
      </c>
      <c r="O1346" t="str">
        <f>VLOOKUP(C:C,Customer_Dim!B:I,6,1)</f>
        <v>Maine</v>
      </c>
      <c r="P1346" t="str">
        <f>VLOOKUP(C:C,Customer_Dim!B:I,7,1)</f>
        <v>USA</v>
      </c>
      <c r="Q1346" t="str">
        <f>VLOOKUP(C:C,Customer_Dim!B:I,8,1)</f>
        <v>Platinum</v>
      </c>
      <c r="S1346">
        <v>3</v>
      </c>
      <c r="T1346">
        <v>612.53</v>
      </c>
      <c r="U1346">
        <v>0.21</v>
      </c>
      <c r="V1346">
        <v>1451.6960999999999</v>
      </c>
      <c r="X1346" s="4">
        <v>3</v>
      </c>
      <c r="Y1346">
        <v>612.53</v>
      </c>
      <c r="Z1346">
        <v>0.21</v>
      </c>
      <c r="AA1346">
        <v>1451.6960999999999</v>
      </c>
    </row>
    <row r="1347" spans="1:27" x14ac:dyDescent="0.3">
      <c r="A1347" t="s">
        <v>3154</v>
      </c>
      <c r="B1347" s="2">
        <v>45544</v>
      </c>
      <c r="C1347" t="s">
        <v>159</v>
      </c>
      <c r="D1347" t="s">
        <v>1657</v>
      </c>
      <c r="E1347" t="s">
        <v>1787</v>
      </c>
      <c r="F1347" s="4">
        <v>3</v>
      </c>
      <c r="G1347">
        <v>841.37</v>
      </c>
      <c r="H1347">
        <v>0.28999999999999998</v>
      </c>
      <c r="I1347" t="s">
        <v>1809</v>
      </c>
      <c r="J1347">
        <v>1792.1180999999999</v>
      </c>
      <c r="K1347" t="s">
        <v>160</v>
      </c>
      <c r="L1347">
        <v>19</v>
      </c>
      <c r="M1347" t="str">
        <v>Male</v>
      </c>
      <c r="N1347" t="str">
        <f>VLOOKUP(C:C,Customer_Dim!B:I,5,1)</f>
        <v>Mooneyshire</v>
      </c>
      <c r="O1347" t="str">
        <f>VLOOKUP(C:C,Customer_Dim!B:I,6,1)</f>
        <v>Alaska</v>
      </c>
      <c r="P1347" t="str">
        <f>VLOOKUP(C:C,Customer_Dim!B:I,7,1)</f>
        <v>USA</v>
      </c>
      <c r="Q1347" t="str">
        <f>VLOOKUP(C:C,Customer_Dim!B:I,8,1)</f>
        <v>Platinum</v>
      </c>
      <c r="S1347">
        <v>3</v>
      </c>
      <c r="T1347">
        <v>841.37</v>
      </c>
      <c r="U1347">
        <v>0.28999999999999998</v>
      </c>
      <c r="V1347">
        <v>1792.1180999999999</v>
      </c>
      <c r="X1347" s="4">
        <v>3</v>
      </c>
      <c r="Y1347">
        <v>841.37</v>
      </c>
      <c r="Z1347">
        <v>0.28999999999999998</v>
      </c>
      <c r="AA1347">
        <v>1792.1180999999999</v>
      </c>
    </row>
    <row r="1348" spans="1:27" x14ac:dyDescent="0.3">
      <c r="A1348" t="s">
        <v>3155</v>
      </c>
      <c r="B1348" s="2">
        <v>45249</v>
      </c>
      <c r="C1348" t="s">
        <v>826</v>
      </c>
      <c r="D1348" t="s">
        <v>1627</v>
      </c>
      <c r="E1348" t="s">
        <v>1769</v>
      </c>
      <c r="F1348" s="4">
        <v>2</v>
      </c>
      <c r="G1348">
        <v>636.51</v>
      </c>
      <c r="H1348">
        <v>0.25</v>
      </c>
      <c r="I1348" t="s">
        <v>1807</v>
      </c>
      <c r="J1348">
        <v>954.76499999999999</v>
      </c>
      <c r="K1348" t="s">
        <v>827</v>
      </c>
      <c r="L1348">
        <v>60</v>
      </c>
      <c r="M1348" t="str">
        <v>Female</v>
      </c>
      <c r="N1348" t="str">
        <f>VLOOKUP(C:C,Customer_Dim!B:I,5,1)</f>
        <v>Lake Saramouth</v>
      </c>
      <c r="O1348" t="str">
        <f>VLOOKUP(C:C,Customer_Dim!B:I,6,1)</f>
        <v>Oregon</v>
      </c>
      <c r="P1348" t="str">
        <f>VLOOKUP(C:C,Customer_Dim!B:I,7,1)</f>
        <v>USA</v>
      </c>
      <c r="Q1348" t="str">
        <f>VLOOKUP(C:C,Customer_Dim!B:I,8,1)</f>
        <v>Silver</v>
      </c>
      <c r="S1348">
        <v>2</v>
      </c>
      <c r="T1348">
        <v>636.51</v>
      </c>
      <c r="U1348">
        <v>0.25</v>
      </c>
      <c r="V1348">
        <v>954.76499999999999</v>
      </c>
      <c r="X1348" s="4">
        <v>2</v>
      </c>
      <c r="Y1348">
        <v>636.51</v>
      </c>
      <c r="Z1348">
        <v>0.25</v>
      </c>
      <c r="AA1348">
        <v>954.76499999999999</v>
      </c>
    </row>
    <row r="1349" spans="1:27" x14ac:dyDescent="0.3">
      <c r="A1349" t="s">
        <v>3156</v>
      </c>
      <c r="B1349" s="2">
        <v>45659</v>
      </c>
      <c r="C1349" t="s">
        <v>324</v>
      </c>
      <c r="D1349" t="s">
        <v>1621</v>
      </c>
      <c r="E1349" t="s">
        <v>1765</v>
      </c>
      <c r="F1349" s="4">
        <v>2</v>
      </c>
      <c r="G1349">
        <v>732.37</v>
      </c>
      <c r="H1349">
        <v>0.22</v>
      </c>
      <c r="I1349" t="s">
        <v>1812</v>
      </c>
      <c r="J1349">
        <v>1142.4972</v>
      </c>
      <c r="K1349" t="s">
        <v>325</v>
      </c>
      <c r="L1349">
        <v>44</v>
      </c>
      <c r="M1349" t="str">
        <v>Female</v>
      </c>
      <c r="N1349" t="str">
        <f>VLOOKUP(C:C,Customer_Dim!B:I,5,1)</f>
        <v>South Amandahaven</v>
      </c>
      <c r="O1349" t="str">
        <f>VLOOKUP(C:C,Customer_Dim!B:I,6,1)</f>
        <v>Arizona</v>
      </c>
      <c r="P1349" t="str">
        <f>VLOOKUP(C:C,Customer_Dim!B:I,7,1)</f>
        <v>USA</v>
      </c>
      <c r="Q1349" t="str">
        <f>VLOOKUP(C:C,Customer_Dim!B:I,8,1)</f>
        <v>Silver</v>
      </c>
      <c r="S1349">
        <v>2</v>
      </c>
      <c r="T1349">
        <v>732.37</v>
      </c>
      <c r="U1349">
        <v>0.22</v>
      </c>
      <c r="V1349">
        <v>1142.4972</v>
      </c>
      <c r="X1349" s="4">
        <v>2</v>
      </c>
      <c r="Y1349">
        <v>732.37</v>
      </c>
      <c r="Z1349">
        <v>0.22</v>
      </c>
      <c r="AA1349">
        <v>1142.4972</v>
      </c>
    </row>
    <row r="1350" spans="1:27" x14ac:dyDescent="0.3">
      <c r="A1350" t="s">
        <v>3157</v>
      </c>
      <c r="B1350" s="2">
        <v>45927</v>
      </c>
      <c r="C1350" t="s">
        <v>542</v>
      </c>
      <c r="D1350" t="s">
        <v>1639</v>
      </c>
      <c r="E1350" t="s">
        <v>1787</v>
      </c>
      <c r="F1350" s="4">
        <v>3</v>
      </c>
      <c r="G1350">
        <v>183.44</v>
      </c>
      <c r="H1350">
        <v>0.28000000000000003</v>
      </c>
      <c r="I1350" t="s">
        <v>1812</v>
      </c>
      <c r="J1350">
        <v>396.23039999999992</v>
      </c>
      <c r="K1350" t="s">
        <v>543</v>
      </c>
      <c r="L1350">
        <v>47</v>
      </c>
      <c r="M1350" t="str">
        <v>Female</v>
      </c>
      <c r="N1350" t="str">
        <f>VLOOKUP(C:C,Customer_Dim!B:I,5,1)</f>
        <v>Dominiquefort</v>
      </c>
      <c r="O1350" t="str">
        <f>VLOOKUP(C:C,Customer_Dim!B:I,6,1)</f>
        <v>Georgia</v>
      </c>
      <c r="P1350" t="str">
        <f>VLOOKUP(C:C,Customer_Dim!B:I,7,1)</f>
        <v>USA</v>
      </c>
      <c r="Q1350" t="str">
        <f>VLOOKUP(C:C,Customer_Dim!B:I,8,1)</f>
        <v>Silver</v>
      </c>
      <c r="S1350">
        <v>3</v>
      </c>
      <c r="T1350">
        <v>183.44</v>
      </c>
      <c r="U1350">
        <v>0.28000000000000003</v>
      </c>
      <c r="V1350">
        <v>396.23039999999992</v>
      </c>
      <c r="X1350" s="4">
        <v>3</v>
      </c>
      <c r="Y1350">
        <v>183.44</v>
      </c>
      <c r="Z1350">
        <v>0.28000000000000003</v>
      </c>
      <c r="AA1350">
        <v>396.23039999999992</v>
      </c>
    </row>
    <row r="1351" spans="1:27" x14ac:dyDescent="0.3">
      <c r="A1351" t="s">
        <v>3158</v>
      </c>
      <c r="B1351" s="2">
        <v>45373</v>
      </c>
      <c r="C1351" t="s">
        <v>238</v>
      </c>
      <c r="D1351" t="s">
        <v>1553</v>
      </c>
      <c r="E1351" t="s">
        <v>1780</v>
      </c>
      <c r="F1351" s="4">
        <v>4</v>
      </c>
      <c r="G1351">
        <v>898.58</v>
      </c>
      <c r="H1351">
        <v>0.16</v>
      </c>
      <c r="I1351" t="s">
        <v>1809</v>
      </c>
      <c r="J1351">
        <v>3019.2287999999999</v>
      </c>
      <c r="K1351" t="s">
        <v>239</v>
      </c>
      <c r="L1351">
        <v>27</v>
      </c>
      <c r="M1351" t="str">
        <v>Female</v>
      </c>
      <c r="N1351" t="str">
        <f>VLOOKUP(C:C,Customer_Dim!B:I,5,1)</f>
        <v>Woodmouth</v>
      </c>
      <c r="O1351" t="str">
        <f>VLOOKUP(C:C,Customer_Dim!B:I,6,1)</f>
        <v>Nevada</v>
      </c>
      <c r="P1351" t="str">
        <f>VLOOKUP(C:C,Customer_Dim!B:I,7,1)</f>
        <v>USA</v>
      </c>
      <c r="Q1351" t="str">
        <f>VLOOKUP(C:C,Customer_Dim!B:I,8,1)</f>
        <v>Silver</v>
      </c>
      <c r="S1351">
        <v>4</v>
      </c>
      <c r="T1351">
        <v>898.58</v>
      </c>
      <c r="U1351">
        <v>0.16</v>
      </c>
      <c r="V1351">
        <v>3019.2287999999999</v>
      </c>
      <c r="X1351" s="4">
        <v>4</v>
      </c>
      <c r="Y1351">
        <v>898.58</v>
      </c>
      <c r="Z1351">
        <v>0.16</v>
      </c>
      <c r="AA1351">
        <v>3019.2287999999999</v>
      </c>
    </row>
    <row r="1352" spans="1:27" x14ac:dyDescent="0.3">
      <c r="A1352" t="s">
        <v>3159</v>
      </c>
      <c r="B1352" s="2">
        <v>45529</v>
      </c>
      <c r="C1352" t="s">
        <v>1204</v>
      </c>
      <c r="D1352" t="s">
        <v>1577</v>
      </c>
      <c r="E1352" t="s">
        <v>1744</v>
      </c>
      <c r="F1352" s="4">
        <v>3</v>
      </c>
      <c r="G1352">
        <v>152.41</v>
      </c>
      <c r="H1352">
        <v>0.25</v>
      </c>
      <c r="I1352" t="s">
        <v>1807</v>
      </c>
      <c r="J1352">
        <v>342.92250000000001</v>
      </c>
      <c r="K1352" t="s">
        <v>1205</v>
      </c>
      <c r="L1352">
        <v>40</v>
      </c>
      <c r="M1352" t="str">
        <v>Female</v>
      </c>
      <c r="N1352" t="str">
        <f>VLOOKUP(C:C,Customer_Dim!B:I,5,1)</f>
        <v>Deniseberg</v>
      </c>
      <c r="O1352" t="str">
        <f>VLOOKUP(C:C,Customer_Dim!B:I,6,1)</f>
        <v>Arkansas</v>
      </c>
      <c r="P1352" t="str">
        <f>VLOOKUP(C:C,Customer_Dim!B:I,7,1)</f>
        <v>USA</v>
      </c>
      <c r="Q1352" t="str">
        <f>VLOOKUP(C:C,Customer_Dim!B:I,8,1)</f>
        <v>Silver</v>
      </c>
      <c r="S1352">
        <v>3</v>
      </c>
      <c r="T1352">
        <v>152.41</v>
      </c>
      <c r="U1352">
        <v>0.25</v>
      </c>
      <c r="V1352">
        <v>342.92250000000001</v>
      </c>
      <c r="X1352" s="4">
        <v>3</v>
      </c>
      <c r="Y1352">
        <v>152.41</v>
      </c>
      <c r="Z1352">
        <v>0.25</v>
      </c>
      <c r="AA1352">
        <v>342.92250000000001</v>
      </c>
    </row>
    <row r="1353" spans="1:27" x14ac:dyDescent="0.3">
      <c r="A1353" t="s">
        <v>3160</v>
      </c>
      <c r="B1353" s="2">
        <v>45872</v>
      </c>
      <c r="C1353" t="s">
        <v>716</v>
      </c>
      <c r="D1353" t="s">
        <v>1715</v>
      </c>
      <c r="E1353" t="s">
        <v>1782</v>
      </c>
      <c r="F1353" s="4">
        <v>3</v>
      </c>
      <c r="G1353">
        <v>972.58</v>
      </c>
      <c r="H1353">
        <v>0.28000000000000003</v>
      </c>
      <c r="I1353" t="s">
        <v>1812</v>
      </c>
      <c r="J1353">
        <v>2100.7728000000002</v>
      </c>
      <c r="K1353" t="s">
        <v>717</v>
      </c>
      <c r="L1353">
        <v>29</v>
      </c>
      <c r="M1353" t="str">
        <v>Male</v>
      </c>
      <c r="N1353" t="str">
        <f>VLOOKUP(C:C,Customer_Dim!B:I,5,1)</f>
        <v>East Jeremy</v>
      </c>
      <c r="O1353" t="str">
        <f>VLOOKUP(C:C,Customer_Dim!B:I,6,1)</f>
        <v>Iowa</v>
      </c>
      <c r="P1353" t="str">
        <f>VLOOKUP(C:C,Customer_Dim!B:I,7,1)</f>
        <v>USA</v>
      </c>
      <c r="Q1353" t="str">
        <f>VLOOKUP(C:C,Customer_Dim!B:I,8,1)</f>
        <v>Platinum</v>
      </c>
      <c r="S1353">
        <v>3</v>
      </c>
      <c r="T1353">
        <v>972.58</v>
      </c>
      <c r="U1353">
        <v>0.28000000000000003</v>
      </c>
      <c r="V1353">
        <v>2100.7728000000002</v>
      </c>
      <c r="X1353" s="4">
        <v>3</v>
      </c>
      <c r="Y1353">
        <v>972.58</v>
      </c>
      <c r="Z1353">
        <v>0.28000000000000003</v>
      </c>
      <c r="AA1353">
        <v>2100.7728000000002</v>
      </c>
    </row>
    <row r="1354" spans="1:27" x14ac:dyDescent="0.3">
      <c r="A1354" t="s">
        <v>3161</v>
      </c>
      <c r="B1354" s="2">
        <v>45267</v>
      </c>
      <c r="C1354" t="s">
        <v>1421</v>
      </c>
      <c r="D1354" t="s">
        <v>1669</v>
      </c>
      <c r="E1354" t="s">
        <v>1775</v>
      </c>
      <c r="F1354" s="4">
        <v>4</v>
      </c>
      <c r="G1354">
        <v>136.4</v>
      </c>
      <c r="H1354">
        <v>0.04</v>
      </c>
      <c r="I1354" t="s">
        <v>1812</v>
      </c>
      <c r="J1354">
        <v>523.77599999999995</v>
      </c>
      <c r="K1354" t="s">
        <v>1422</v>
      </c>
      <c r="L1354">
        <v>63</v>
      </c>
      <c r="M1354" t="str">
        <v>Female</v>
      </c>
      <c r="N1354" t="str">
        <f>VLOOKUP(C:C,Customer_Dim!B:I,5,1)</f>
        <v>Espinozaberg</v>
      </c>
      <c r="O1354" t="str">
        <f>VLOOKUP(C:C,Customer_Dim!B:I,6,1)</f>
        <v>Minnesota</v>
      </c>
      <c r="P1354" t="str">
        <f>VLOOKUP(C:C,Customer_Dim!B:I,7,1)</f>
        <v>USA</v>
      </c>
      <c r="Q1354" t="str">
        <f>VLOOKUP(C:C,Customer_Dim!B:I,8,1)</f>
        <v>Silver</v>
      </c>
      <c r="S1354">
        <v>4</v>
      </c>
      <c r="T1354">
        <v>136.4</v>
      </c>
      <c r="U1354">
        <v>0.04</v>
      </c>
      <c r="V1354">
        <v>523.77599999999995</v>
      </c>
      <c r="X1354" s="4">
        <v>4</v>
      </c>
      <c r="Y1354">
        <v>136.4</v>
      </c>
      <c r="Z1354">
        <v>0.04</v>
      </c>
      <c r="AA1354">
        <v>523.77599999999995</v>
      </c>
    </row>
    <row r="1355" spans="1:27" x14ac:dyDescent="0.3">
      <c r="A1355" t="s">
        <v>3162</v>
      </c>
      <c r="B1355" s="2">
        <v>45894</v>
      </c>
      <c r="C1355" t="s">
        <v>1232</v>
      </c>
      <c r="D1355" t="s">
        <v>1719</v>
      </c>
      <c r="E1355" t="s">
        <v>1784</v>
      </c>
      <c r="F1355" s="4">
        <v>1</v>
      </c>
      <c r="G1355">
        <v>509.63</v>
      </c>
      <c r="H1355">
        <v>0.27</v>
      </c>
      <c r="I1355" t="s">
        <v>1812</v>
      </c>
      <c r="J1355">
        <v>372.0299</v>
      </c>
      <c r="K1355" t="s">
        <v>1233</v>
      </c>
      <c r="L1355">
        <v>51</v>
      </c>
      <c r="M1355" t="str">
        <v>Female</v>
      </c>
      <c r="N1355" t="str">
        <f>VLOOKUP(C:C,Customer_Dim!B:I,5,1)</f>
        <v>Bookertown</v>
      </c>
      <c r="O1355" t="str">
        <f>VLOOKUP(C:C,Customer_Dim!B:I,6,1)</f>
        <v>Oklahoma</v>
      </c>
      <c r="P1355" t="str">
        <f>VLOOKUP(C:C,Customer_Dim!B:I,7,1)</f>
        <v>USA</v>
      </c>
      <c r="Q1355" t="str">
        <f>VLOOKUP(C:C,Customer_Dim!B:I,8,1)</f>
        <v>Platinum</v>
      </c>
      <c r="S1355">
        <v>1</v>
      </c>
      <c r="T1355">
        <v>509.63</v>
      </c>
      <c r="U1355">
        <v>0.27</v>
      </c>
      <c r="V1355">
        <v>372.0299</v>
      </c>
      <c r="X1355" s="4">
        <v>1</v>
      </c>
      <c r="Y1355">
        <v>509.63</v>
      </c>
      <c r="Z1355">
        <v>0.27</v>
      </c>
      <c r="AA1355">
        <v>372.0299</v>
      </c>
    </row>
    <row r="1356" spans="1:27" x14ac:dyDescent="0.3">
      <c r="A1356" t="s">
        <v>3163</v>
      </c>
      <c r="B1356" s="2">
        <v>45331</v>
      </c>
      <c r="C1356" t="s">
        <v>23</v>
      </c>
      <c r="D1356" t="s">
        <v>1725</v>
      </c>
      <c r="E1356" t="s">
        <v>1749</v>
      </c>
      <c r="F1356" s="4">
        <v>4</v>
      </c>
      <c r="G1356">
        <v>360.28</v>
      </c>
      <c r="H1356">
        <v>0.09</v>
      </c>
      <c r="I1356" t="s">
        <v>1812</v>
      </c>
      <c r="J1356">
        <v>1311.4192</v>
      </c>
      <c r="K1356" t="s">
        <v>3934</v>
      </c>
      <c r="L1356">
        <v>64</v>
      </c>
      <c r="M1356" t="str">
        <v>Female</v>
      </c>
      <c r="N1356" t="str">
        <f>VLOOKUP(C:C,Customer_Dim!B:I,5,1)</f>
        <v>Thomastown</v>
      </c>
      <c r="O1356" t="str">
        <f>VLOOKUP(C:C,Customer_Dim!B:I,6,1)</f>
        <v>Ohio</v>
      </c>
      <c r="P1356" t="str">
        <f>VLOOKUP(C:C,Customer_Dim!B:I,7,1)</f>
        <v>USA</v>
      </c>
      <c r="Q1356" t="str">
        <f>VLOOKUP(C:C,Customer_Dim!B:I,8,1)</f>
        <v>Bronze</v>
      </c>
      <c r="S1356">
        <v>4</v>
      </c>
      <c r="T1356">
        <v>360.28</v>
      </c>
      <c r="U1356">
        <v>0.09</v>
      </c>
      <c r="V1356">
        <v>1311.4192</v>
      </c>
      <c r="X1356" s="4">
        <v>4</v>
      </c>
      <c r="Y1356">
        <v>360.28</v>
      </c>
      <c r="Z1356">
        <v>0.09</v>
      </c>
      <c r="AA1356">
        <v>1311.4192</v>
      </c>
    </row>
    <row r="1357" spans="1:27" x14ac:dyDescent="0.3">
      <c r="A1357" t="s">
        <v>3164</v>
      </c>
      <c r="B1357" s="2">
        <v>45910</v>
      </c>
      <c r="C1357" t="s">
        <v>289</v>
      </c>
      <c r="D1357" t="s">
        <v>1709</v>
      </c>
      <c r="E1357" t="s">
        <v>1784</v>
      </c>
      <c r="F1357" s="4">
        <v>3</v>
      </c>
      <c r="G1357">
        <v>882.05</v>
      </c>
      <c r="H1357">
        <v>0.06</v>
      </c>
      <c r="I1357" t="s">
        <v>1809</v>
      </c>
      <c r="J1357">
        <v>2487.3809999999989</v>
      </c>
      <c r="K1357" t="s">
        <v>290</v>
      </c>
      <c r="L1357">
        <v>34</v>
      </c>
      <c r="M1357" t="str">
        <v>Female</v>
      </c>
      <c r="N1357" t="str">
        <f>VLOOKUP(C:C,Customer_Dim!B:I,5,1)</f>
        <v>New Sean</v>
      </c>
      <c r="O1357" t="str">
        <f>VLOOKUP(C:C,Customer_Dim!B:I,6,1)</f>
        <v>New Mexico</v>
      </c>
      <c r="P1357" t="str">
        <f>VLOOKUP(C:C,Customer_Dim!B:I,7,1)</f>
        <v>USA</v>
      </c>
      <c r="Q1357" t="str">
        <f>VLOOKUP(C:C,Customer_Dim!B:I,8,1)</f>
        <v>Bronze</v>
      </c>
      <c r="S1357">
        <v>3</v>
      </c>
      <c r="T1357">
        <v>882.05</v>
      </c>
      <c r="U1357">
        <v>0.06</v>
      </c>
      <c r="V1357">
        <v>2487.3809999999989</v>
      </c>
      <c r="X1357" s="4">
        <v>3</v>
      </c>
      <c r="Y1357">
        <v>882.05</v>
      </c>
      <c r="Z1357">
        <v>0.06</v>
      </c>
      <c r="AA1357">
        <v>2487.3809999999989</v>
      </c>
    </row>
    <row r="1358" spans="1:27" x14ac:dyDescent="0.3">
      <c r="A1358" t="s">
        <v>3165</v>
      </c>
      <c r="B1358" s="2">
        <v>45564</v>
      </c>
      <c r="C1358" t="s">
        <v>634</v>
      </c>
      <c r="D1358" t="s">
        <v>1689</v>
      </c>
      <c r="E1358" t="s">
        <v>1765</v>
      </c>
      <c r="F1358" s="4">
        <v>3</v>
      </c>
      <c r="G1358">
        <v>141.54</v>
      </c>
      <c r="H1358">
        <v>0.12</v>
      </c>
      <c r="I1358" t="s">
        <v>1809</v>
      </c>
      <c r="J1358">
        <v>373.66559999999998</v>
      </c>
      <c r="K1358" t="s">
        <v>635</v>
      </c>
      <c r="L1358">
        <v>18</v>
      </c>
      <c r="M1358" t="str">
        <v>Female</v>
      </c>
      <c r="N1358" t="str">
        <f>VLOOKUP(C:C,Customer_Dim!B:I,5,1)</f>
        <v>Taraberg</v>
      </c>
      <c r="O1358" t="str">
        <f>VLOOKUP(C:C,Customer_Dim!B:I,6,1)</f>
        <v>Arizona</v>
      </c>
      <c r="P1358" t="str">
        <f>VLOOKUP(C:C,Customer_Dim!B:I,7,1)</f>
        <v>USA</v>
      </c>
      <c r="Q1358" t="str">
        <f>VLOOKUP(C:C,Customer_Dim!B:I,8,1)</f>
        <v>Silver</v>
      </c>
      <c r="S1358">
        <v>3</v>
      </c>
      <c r="T1358">
        <v>141.54</v>
      </c>
      <c r="U1358">
        <v>0.12</v>
      </c>
      <c r="V1358">
        <v>373.66559999999998</v>
      </c>
      <c r="X1358" s="4">
        <v>3</v>
      </c>
      <c r="Y1358">
        <v>141.54</v>
      </c>
      <c r="Z1358">
        <v>0.12</v>
      </c>
      <c r="AA1358">
        <v>373.66559999999998</v>
      </c>
    </row>
    <row r="1359" spans="1:27" x14ac:dyDescent="0.3">
      <c r="A1359" t="s">
        <v>3166</v>
      </c>
      <c r="B1359" s="2">
        <v>45461</v>
      </c>
      <c r="C1359" t="s">
        <v>167</v>
      </c>
      <c r="D1359" t="s">
        <v>1561</v>
      </c>
      <c r="E1359" t="s">
        <v>1752</v>
      </c>
      <c r="F1359" s="4">
        <v>3</v>
      </c>
      <c r="G1359">
        <v>83.5</v>
      </c>
      <c r="H1359">
        <v>0.23</v>
      </c>
      <c r="I1359" t="s">
        <v>1812</v>
      </c>
      <c r="J1359">
        <v>192.88499999999999</v>
      </c>
      <c r="K1359" t="s">
        <v>168</v>
      </c>
      <c r="L1359">
        <v>34</v>
      </c>
      <c r="M1359" t="str">
        <v>Male</v>
      </c>
      <c r="N1359" t="str">
        <f>VLOOKUP(C:C,Customer_Dim!B:I,5,1)</f>
        <v>South Michaelfort</v>
      </c>
      <c r="O1359" t="str">
        <f>VLOOKUP(C:C,Customer_Dim!B:I,6,1)</f>
        <v>Vermont</v>
      </c>
      <c r="P1359" t="str">
        <f>VLOOKUP(C:C,Customer_Dim!B:I,7,1)</f>
        <v>USA</v>
      </c>
      <c r="Q1359" t="str">
        <f>VLOOKUP(C:C,Customer_Dim!B:I,8,1)</f>
        <v>Gold</v>
      </c>
      <c r="S1359">
        <v>3</v>
      </c>
      <c r="T1359">
        <v>83.5</v>
      </c>
      <c r="U1359">
        <v>0.23</v>
      </c>
      <c r="V1359">
        <v>192.88499999999999</v>
      </c>
      <c r="X1359" s="4">
        <v>3</v>
      </c>
      <c r="Y1359">
        <v>83.5</v>
      </c>
      <c r="Z1359">
        <v>0.23</v>
      </c>
      <c r="AA1359">
        <v>192.88499999999999</v>
      </c>
    </row>
    <row r="1360" spans="1:27" x14ac:dyDescent="0.3">
      <c r="A1360" t="s">
        <v>3167</v>
      </c>
      <c r="B1360" s="2">
        <v>45258</v>
      </c>
      <c r="C1360" t="s">
        <v>420</v>
      </c>
      <c r="D1360" t="s">
        <v>1559</v>
      </c>
      <c r="E1360" t="s">
        <v>1759</v>
      </c>
      <c r="F1360" s="4">
        <v>2</v>
      </c>
      <c r="G1360">
        <v>629.73</v>
      </c>
      <c r="H1360">
        <v>7.0000000000000007E-2</v>
      </c>
      <c r="I1360" t="s">
        <v>1809</v>
      </c>
      <c r="J1360">
        <v>1171.2978000000001</v>
      </c>
      <c r="K1360" t="s">
        <v>421</v>
      </c>
      <c r="L1360">
        <v>26</v>
      </c>
      <c r="M1360" t="str">
        <v>Male</v>
      </c>
      <c r="N1360" t="str">
        <f>VLOOKUP(C:C,Customer_Dim!B:I,5,1)</f>
        <v>North Sabrina</v>
      </c>
      <c r="O1360" t="str">
        <f>VLOOKUP(C:C,Customer_Dim!B:I,6,1)</f>
        <v>Iowa</v>
      </c>
      <c r="P1360" t="str">
        <f>VLOOKUP(C:C,Customer_Dim!B:I,7,1)</f>
        <v>USA</v>
      </c>
      <c r="Q1360" t="str">
        <f>VLOOKUP(C:C,Customer_Dim!B:I,8,1)</f>
        <v>Silver</v>
      </c>
      <c r="S1360">
        <v>2</v>
      </c>
      <c r="T1360">
        <v>629.73</v>
      </c>
      <c r="U1360">
        <v>7.0000000000000007E-2</v>
      </c>
      <c r="V1360">
        <v>1171.2978000000001</v>
      </c>
      <c r="X1360" s="4">
        <v>2</v>
      </c>
      <c r="Y1360">
        <v>629.73</v>
      </c>
      <c r="Z1360">
        <v>7.0000000000000007E-2</v>
      </c>
      <c r="AA1360">
        <v>1171.2978000000001</v>
      </c>
    </row>
    <row r="1361" spans="1:27" x14ac:dyDescent="0.3">
      <c r="A1361" t="s">
        <v>3168</v>
      </c>
      <c r="B1361" s="2">
        <v>45228</v>
      </c>
      <c r="C1361" t="s">
        <v>59</v>
      </c>
      <c r="D1361" t="s">
        <v>1597</v>
      </c>
      <c r="E1361" t="s">
        <v>1759</v>
      </c>
      <c r="F1361" s="4">
        <v>2</v>
      </c>
      <c r="G1361">
        <v>159.93</v>
      </c>
      <c r="H1361">
        <v>0.2</v>
      </c>
      <c r="I1361" t="s">
        <v>1812</v>
      </c>
      <c r="J1361">
        <v>255.88800000000001</v>
      </c>
      <c r="K1361" t="s">
        <v>60</v>
      </c>
      <c r="L1361">
        <v>32</v>
      </c>
      <c r="M1361" t="str">
        <v>Female</v>
      </c>
      <c r="N1361" t="str">
        <f>VLOOKUP(C:C,Customer_Dim!B:I,5,1)</f>
        <v>North Kathryn</v>
      </c>
      <c r="O1361" t="str">
        <f>VLOOKUP(C:C,Customer_Dim!B:I,6,1)</f>
        <v>Kansas</v>
      </c>
      <c r="P1361" t="str">
        <f>VLOOKUP(C:C,Customer_Dim!B:I,7,1)</f>
        <v>USA</v>
      </c>
      <c r="Q1361" t="str">
        <f>VLOOKUP(C:C,Customer_Dim!B:I,8,1)</f>
        <v>Platinum</v>
      </c>
      <c r="S1361">
        <v>2</v>
      </c>
      <c r="T1361">
        <v>159.93</v>
      </c>
      <c r="U1361">
        <v>0.2</v>
      </c>
      <c r="V1361">
        <v>255.88800000000001</v>
      </c>
      <c r="X1361" s="4">
        <v>2</v>
      </c>
      <c r="Y1361">
        <v>159.93</v>
      </c>
      <c r="Z1361">
        <v>0.2</v>
      </c>
      <c r="AA1361">
        <v>255.88800000000001</v>
      </c>
    </row>
    <row r="1362" spans="1:27" x14ac:dyDescent="0.3">
      <c r="A1362" t="s">
        <v>3169</v>
      </c>
      <c r="B1362" s="2">
        <v>45858</v>
      </c>
      <c r="C1362" t="s">
        <v>59</v>
      </c>
      <c r="D1362" t="s">
        <v>1621</v>
      </c>
      <c r="E1362" t="s">
        <v>1793</v>
      </c>
      <c r="F1362" s="4">
        <v>1</v>
      </c>
      <c r="G1362">
        <v>459.89</v>
      </c>
      <c r="H1362">
        <v>0.18</v>
      </c>
      <c r="I1362" t="s">
        <v>1812</v>
      </c>
      <c r="J1362">
        <v>377.10980000000001</v>
      </c>
      <c r="K1362" t="s">
        <v>60</v>
      </c>
      <c r="L1362">
        <v>32</v>
      </c>
      <c r="M1362" t="str">
        <v>Female</v>
      </c>
      <c r="N1362" t="str">
        <f>VLOOKUP(C:C,Customer_Dim!B:I,5,1)</f>
        <v>North Kathryn</v>
      </c>
      <c r="O1362" t="str">
        <f>VLOOKUP(C:C,Customer_Dim!B:I,6,1)</f>
        <v>Kansas</v>
      </c>
      <c r="P1362" t="str">
        <f>VLOOKUP(C:C,Customer_Dim!B:I,7,1)</f>
        <v>USA</v>
      </c>
      <c r="Q1362" t="str">
        <f>VLOOKUP(C:C,Customer_Dim!B:I,8,1)</f>
        <v>Platinum</v>
      </c>
      <c r="S1362">
        <v>1</v>
      </c>
      <c r="T1362">
        <v>459.89</v>
      </c>
      <c r="U1362">
        <v>0.18</v>
      </c>
      <c r="V1362">
        <v>377.10980000000001</v>
      </c>
      <c r="X1362" s="4">
        <v>1</v>
      </c>
      <c r="Y1362">
        <v>459.89</v>
      </c>
      <c r="Z1362">
        <v>0.18</v>
      </c>
      <c r="AA1362">
        <v>377.10980000000001</v>
      </c>
    </row>
    <row r="1363" spans="1:27" x14ac:dyDescent="0.3">
      <c r="A1363" t="s">
        <v>3170</v>
      </c>
      <c r="B1363" s="2">
        <v>45532</v>
      </c>
      <c r="C1363" t="s">
        <v>613</v>
      </c>
      <c r="D1363" t="s">
        <v>1597</v>
      </c>
      <c r="E1363" t="s">
        <v>1796</v>
      </c>
      <c r="F1363" s="4">
        <v>4</v>
      </c>
      <c r="G1363">
        <v>885.57</v>
      </c>
      <c r="H1363">
        <v>0.27</v>
      </c>
      <c r="I1363" t="s">
        <v>1807</v>
      </c>
      <c r="J1363">
        <v>2585.8643999999999</v>
      </c>
      <c r="K1363" t="s">
        <v>614</v>
      </c>
      <c r="L1363">
        <v>29</v>
      </c>
      <c r="M1363" t="str">
        <v>Male</v>
      </c>
      <c r="N1363" t="str">
        <f>VLOOKUP(C:C,Customer_Dim!B:I,5,1)</f>
        <v>Kingfort</v>
      </c>
      <c r="O1363" t="str">
        <f>VLOOKUP(C:C,Customer_Dim!B:I,6,1)</f>
        <v>New Mexico</v>
      </c>
      <c r="P1363" t="str">
        <f>VLOOKUP(C:C,Customer_Dim!B:I,7,1)</f>
        <v>USA</v>
      </c>
      <c r="Q1363" t="str">
        <f>VLOOKUP(C:C,Customer_Dim!B:I,8,1)</f>
        <v>Silver</v>
      </c>
      <c r="S1363">
        <v>4</v>
      </c>
      <c r="T1363">
        <v>885.57</v>
      </c>
      <c r="U1363">
        <v>0.27</v>
      </c>
      <c r="V1363">
        <v>2585.8643999999999</v>
      </c>
      <c r="X1363" s="4">
        <v>4</v>
      </c>
      <c r="Y1363">
        <v>885.57</v>
      </c>
      <c r="Z1363">
        <v>0.27</v>
      </c>
      <c r="AA1363">
        <v>2585.8643999999999</v>
      </c>
    </row>
    <row r="1364" spans="1:27" x14ac:dyDescent="0.3">
      <c r="A1364" t="s">
        <v>3171</v>
      </c>
      <c r="B1364" s="2">
        <v>45454</v>
      </c>
      <c r="C1364" t="s">
        <v>1238</v>
      </c>
      <c r="D1364" t="s">
        <v>1639</v>
      </c>
      <c r="E1364" t="s">
        <v>1784</v>
      </c>
      <c r="F1364" s="4">
        <v>3</v>
      </c>
      <c r="G1364">
        <v>789.05</v>
      </c>
      <c r="H1364">
        <v>0</v>
      </c>
      <c r="I1364" t="s">
        <v>1809</v>
      </c>
      <c r="J1364">
        <v>2367.15</v>
      </c>
      <c r="K1364" t="s">
        <v>1239</v>
      </c>
      <c r="L1364">
        <v>34</v>
      </c>
      <c r="M1364" t="str">
        <v>Male</v>
      </c>
      <c r="N1364" t="str">
        <f>VLOOKUP(C:C,Customer_Dim!B:I,5,1)</f>
        <v>Brandonville</v>
      </c>
      <c r="O1364" t="str">
        <f>VLOOKUP(C:C,Customer_Dim!B:I,6,1)</f>
        <v>Mississippi</v>
      </c>
      <c r="P1364" t="str">
        <f>VLOOKUP(C:C,Customer_Dim!B:I,7,1)</f>
        <v>USA</v>
      </c>
      <c r="Q1364" t="str">
        <f>VLOOKUP(C:C,Customer_Dim!B:I,8,1)</f>
        <v>Bronze</v>
      </c>
      <c r="S1364">
        <v>3</v>
      </c>
      <c r="T1364">
        <v>789.05</v>
      </c>
      <c r="U1364">
        <v>0</v>
      </c>
      <c r="V1364">
        <v>2367.15</v>
      </c>
      <c r="X1364" s="4">
        <v>3</v>
      </c>
      <c r="Y1364">
        <v>789.05</v>
      </c>
      <c r="Z1364">
        <v>0</v>
      </c>
      <c r="AA1364">
        <v>2367.15</v>
      </c>
    </row>
    <row r="1365" spans="1:27" x14ac:dyDescent="0.3">
      <c r="A1365" t="s">
        <v>3172</v>
      </c>
      <c r="B1365" s="2">
        <v>45244</v>
      </c>
      <c r="C1365" t="s">
        <v>512</v>
      </c>
      <c r="D1365" t="s">
        <v>1663</v>
      </c>
      <c r="E1365" t="s">
        <v>1735</v>
      </c>
      <c r="F1365" s="4">
        <v>1</v>
      </c>
      <c r="G1365">
        <v>570.52</v>
      </c>
      <c r="H1365">
        <v>0</v>
      </c>
      <c r="I1365" t="s">
        <v>1809</v>
      </c>
      <c r="J1365">
        <v>570.52</v>
      </c>
      <c r="K1365" t="s">
        <v>513</v>
      </c>
      <c r="L1365">
        <v>60</v>
      </c>
      <c r="M1365" t="str">
        <v>Female</v>
      </c>
      <c r="N1365" t="str">
        <f>VLOOKUP(C:C,Customer_Dim!B:I,5,1)</f>
        <v>Owensview</v>
      </c>
      <c r="O1365" t="str">
        <f>VLOOKUP(C:C,Customer_Dim!B:I,6,1)</f>
        <v>Vermont</v>
      </c>
      <c r="P1365" t="str">
        <f>VLOOKUP(C:C,Customer_Dim!B:I,7,1)</f>
        <v>USA</v>
      </c>
      <c r="Q1365" t="str">
        <f>VLOOKUP(C:C,Customer_Dim!B:I,8,1)</f>
        <v>Gold</v>
      </c>
      <c r="S1365">
        <v>1</v>
      </c>
      <c r="T1365">
        <v>570.52</v>
      </c>
      <c r="U1365">
        <v>0</v>
      </c>
      <c r="V1365">
        <v>570.52</v>
      </c>
      <c r="X1365" s="4">
        <v>1</v>
      </c>
      <c r="Y1365">
        <v>570.52</v>
      </c>
      <c r="Z1365">
        <v>0</v>
      </c>
      <c r="AA1365">
        <v>570.52</v>
      </c>
    </row>
    <row r="1366" spans="1:27" x14ac:dyDescent="0.3">
      <c r="A1366" t="s">
        <v>3173</v>
      </c>
      <c r="B1366" s="2">
        <v>45322</v>
      </c>
      <c r="C1366" t="s">
        <v>586</v>
      </c>
      <c r="D1366" t="s">
        <v>1585</v>
      </c>
      <c r="E1366" t="s">
        <v>1787</v>
      </c>
      <c r="F1366" s="4">
        <v>4</v>
      </c>
      <c r="G1366">
        <v>310.79000000000002</v>
      </c>
      <c r="H1366">
        <v>0.22</v>
      </c>
      <c r="I1366" t="s">
        <v>1812</v>
      </c>
      <c r="J1366">
        <v>969.66480000000013</v>
      </c>
      <c r="K1366" t="s">
        <v>587</v>
      </c>
      <c r="L1366">
        <v>38</v>
      </c>
      <c r="M1366" t="str">
        <v>Male</v>
      </c>
      <c r="N1366" t="str">
        <f>VLOOKUP(C:C,Customer_Dim!B:I,5,1)</f>
        <v>Murphyfurt</v>
      </c>
      <c r="O1366" t="str">
        <f>VLOOKUP(C:C,Customer_Dim!B:I,6,1)</f>
        <v>Utah</v>
      </c>
      <c r="P1366" t="str">
        <f>VLOOKUP(C:C,Customer_Dim!B:I,7,1)</f>
        <v>USA</v>
      </c>
      <c r="Q1366" t="str">
        <f>VLOOKUP(C:C,Customer_Dim!B:I,8,1)</f>
        <v>Silver</v>
      </c>
      <c r="S1366">
        <v>4</v>
      </c>
      <c r="T1366">
        <v>310.79000000000002</v>
      </c>
      <c r="U1366">
        <v>0.22</v>
      </c>
      <c r="V1366">
        <v>969.66480000000013</v>
      </c>
      <c r="X1366" s="4">
        <v>4</v>
      </c>
      <c r="Y1366">
        <v>310.79000000000002</v>
      </c>
      <c r="Z1366">
        <v>0.22</v>
      </c>
      <c r="AA1366">
        <v>969.66480000000013</v>
      </c>
    </row>
    <row r="1367" spans="1:27" x14ac:dyDescent="0.3">
      <c r="A1367" t="s">
        <v>3174</v>
      </c>
      <c r="B1367" s="2">
        <v>45757</v>
      </c>
      <c r="C1367" t="s">
        <v>211</v>
      </c>
      <c r="D1367" t="s">
        <v>1667</v>
      </c>
      <c r="E1367" t="s">
        <v>1790</v>
      </c>
      <c r="F1367" s="4">
        <v>4</v>
      </c>
      <c r="G1367">
        <v>255.67</v>
      </c>
      <c r="H1367">
        <v>0.17</v>
      </c>
      <c r="I1367" t="s">
        <v>1807</v>
      </c>
      <c r="J1367">
        <v>848.82439999999997</v>
      </c>
      <c r="K1367" t="s">
        <v>212</v>
      </c>
      <c r="L1367">
        <v>51</v>
      </c>
      <c r="M1367" t="str">
        <v>Male</v>
      </c>
      <c r="N1367" t="str">
        <f>VLOOKUP(C:C,Customer_Dim!B:I,5,1)</f>
        <v>Morrisbury</v>
      </c>
      <c r="O1367" t="str">
        <f>VLOOKUP(C:C,Customer_Dim!B:I,6,1)</f>
        <v>Rhode Island</v>
      </c>
      <c r="P1367" t="str">
        <f>VLOOKUP(C:C,Customer_Dim!B:I,7,1)</f>
        <v>USA</v>
      </c>
      <c r="Q1367" t="str">
        <f>VLOOKUP(C:C,Customer_Dim!B:I,8,1)</f>
        <v>Platinum</v>
      </c>
      <c r="S1367">
        <v>4</v>
      </c>
      <c r="T1367">
        <v>255.67</v>
      </c>
      <c r="U1367">
        <v>0.17</v>
      </c>
      <c r="V1367">
        <v>848.82439999999997</v>
      </c>
      <c r="X1367" s="4">
        <v>4</v>
      </c>
      <c r="Y1367">
        <v>255.67</v>
      </c>
      <c r="Z1367">
        <v>0.17</v>
      </c>
      <c r="AA1367">
        <v>848.82439999999997</v>
      </c>
    </row>
    <row r="1368" spans="1:27" x14ac:dyDescent="0.3">
      <c r="A1368" t="s">
        <v>3175</v>
      </c>
      <c r="B1368" s="2">
        <v>45397</v>
      </c>
      <c r="C1368" t="s">
        <v>439</v>
      </c>
      <c r="D1368" t="s">
        <v>1585</v>
      </c>
      <c r="E1368" t="s">
        <v>1787</v>
      </c>
      <c r="F1368" s="4">
        <v>2</v>
      </c>
      <c r="G1368">
        <v>270.66000000000003</v>
      </c>
      <c r="H1368">
        <v>0.1</v>
      </c>
      <c r="I1368" t="s">
        <v>1812</v>
      </c>
      <c r="J1368">
        <v>487.18799999999999</v>
      </c>
      <c r="K1368" t="s">
        <v>440</v>
      </c>
      <c r="L1368">
        <v>29</v>
      </c>
      <c r="M1368" t="str">
        <v>Male</v>
      </c>
      <c r="N1368" t="str">
        <f>VLOOKUP(C:C,Customer_Dim!B:I,5,1)</f>
        <v>Matthewbury</v>
      </c>
      <c r="O1368" t="str">
        <f>VLOOKUP(C:C,Customer_Dim!B:I,6,1)</f>
        <v>South Dakota</v>
      </c>
      <c r="P1368" t="str">
        <f>VLOOKUP(C:C,Customer_Dim!B:I,7,1)</f>
        <v>USA</v>
      </c>
      <c r="Q1368" t="str">
        <f>VLOOKUP(C:C,Customer_Dim!B:I,8,1)</f>
        <v>Silver</v>
      </c>
      <c r="S1368">
        <v>2</v>
      </c>
      <c r="T1368">
        <v>270.66000000000003</v>
      </c>
      <c r="U1368">
        <v>0.1</v>
      </c>
      <c r="V1368">
        <v>487.18799999999999</v>
      </c>
      <c r="X1368" s="4">
        <v>2</v>
      </c>
      <c r="Y1368">
        <v>270.66000000000003</v>
      </c>
      <c r="Z1368">
        <v>0.1</v>
      </c>
      <c r="AA1368">
        <v>487.18799999999999</v>
      </c>
    </row>
    <row r="1369" spans="1:27" x14ac:dyDescent="0.3">
      <c r="A1369" t="s">
        <v>3176</v>
      </c>
      <c r="B1369" s="2">
        <v>45914</v>
      </c>
      <c r="C1369" t="s">
        <v>936</v>
      </c>
      <c r="D1369" t="s">
        <v>1577</v>
      </c>
      <c r="E1369" t="s">
        <v>1790</v>
      </c>
      <c r="F1369" s="4">
        <v>3</v>
      </c>
      <c r="G1369">
        <v>373.35</v>
      </c>
      <c r="H1369">
        <v>0.2</v>
      </c>
      <c r="I1369" t="s">
        <v>1812</v>
      </c>
      <c r="J1369">
        <v>896.04000000000019</v>
      </c>
      <c r="K1369" t="s">
        <v>937</v>
      </c>
      <c r="L1369">
        <v>29</v>
      </c>
      <c r="M1369" t="str">
        <v>Male</v>
      </c>
      <c r="N1369" t="str">
        <f>VLOOKUP(C:C,Customer_Dim!B:I,5,1)</f>
        <v>West Robinmouth</v>
      </c>
      <c r="O1369" t="str">
        <f>VLOOKUP(C:C,Customer_Dim!B:I,6,1)</f>
        <v>Louisiana</v>
      </c>
      <c r="P1369" t="str">
        <f>VLOOKUP(C:C,Customer_Dim!B:I,7,1)</f>
        <v>USA</v>
      </c>
      <c r="Q1369" t="str">
        <f>VLOOKUP(C:C,Customer_Dim!B:I,8,1)</f>
        <v>Platinum</v>
      </c>
      <c r="S1369">
        <v>3</v>
      </c>
      <c r="T1369">
        <v>373.35</v>
      </c>
      <c r="U1369">
        <v>0.2</v>
      </c>
      <c r="V1369">
        <v>896.04000000000019</v>
      </c>
      <c r="X1369" s="4">
        <v>3</v>
      </c>
      <c r="Y1369">
        <v>373.35</v>
      </c>
      <c r="Z1369">
        <v>0.2</v>
      </c>
      <c r="AA1369">
        <v>896.04000000000019</v>
      </c>
    </row>
    <row r="1370" spans="1:27" x14ac:dyDescent="0.3">
      <c r="A1370" t="s">
        <v>3177</v>
      </c>
      <c r="B1370" s="2">
        <v>45432</v>
      </c>
      <c r="C1370" t="s">
        <v>143</v>
      </c>
      <c r="D1370" t="s">
        <v>1649</v>
      </c>
      <c r="E1370" t="s">
        <v>1775</v>
      </c>
      <c r="F1370" s="4">
        <v>2</v>
      </c>
      <c r="G1370">
        <v>23.58</v>
      </c>
      <c r="H1370">
        <v>0.02</v>
      </c>
      <c r="I1370" t="s">
        <v>1809</v>
      </c>
      <c r="J1370">
        <v>46.216799999999999</v>
      </c>
      <c r="K1370" t="s">
        <v>144</v>
      </c>
      <c r="L1370">
        <v>27</v>
      </c>
      <c r="M1370" t="str">
        <v>Female</v>
      </c>
      <c r="N1370" t="str">
        <f>VLOOKUP(C:C,Customer_Dim!B:I,5,1)</f>
        <v>Luisfurt</v>
      </c>
      <c r="O1370" t="str">
        <f>VLOOKUP(C:C,Customer_Dim!B:I,6,1)</f>
        <v>Georgia</v>
      </c>
      <c r="P1370" t="str">
        <f>VLOOKUP(C:C,Customer_Dim!B:I,7,1)</f>
        <v>USA</v>
      </c>
      <c r="Q1370" t="str">
        <f>VLOOKUP(C:C,Customer_Dim!B:I,8,1)</f>
        <v>Gold</v>
      </c>
      <c r="S1370">
        <v>2</v>
      </c>
      <c r="T1370">
        <v>23.58</v>
      </c>
      <c r="U1370">
        <v>0.02</v>
      </c>
      <c r="V1370">
        <v>46.216799999999999</v>
      </c>
      <c r="X1370" s="4">
        <v>2</v>
      </c>
      <c r="Y1370">
        <v>23.58</v>
      </c>
      <c r="Z1370">
        <v>0.02</v>
      </c>
      <c r="AA1370">
        <v>46.216799999999999</v>
      </c>
    </row>
    <row r="1371" spans="1:27" x14ac:dyDescent="0.3">
      <c r="A1371" t="s">
        <v>3178</v>
      </c>
      <c r="B1371" s="2">
        <v>45798</v>
      </c>
      <c r="C1371" t="s">
        <v>32</v>
      </c>
      <c r="D1371" t="s">
        <v>1601</v>
      </c>
      <c r="E1371" t="s">
        <v>1762</v>
      </c>
      <c r="F1371" s="4">
        <v>4</v>
      </c>
      <c r="G1371">
        <v>185.67</v>
      </c>
      <c r="H1371">
        <v>0.21</v>
      </c>
      <c r="I1371" t="s">
        <v>1809</v>
      </c>
      <c r="J1371">
        <v>586.71719999999993</v>
      </c>
      <c r="K1371" t="s">
        <v>33</v>
      </c>
      <c r="L1371">
        <v>29</v>
      </c>
      <c r="M1371" t="str">
        <v>Female</v>
      </c>
      <c r="N1371" t="str">
        <f>VLOOKUP(C:C,Customer_Dim!B:I,5,1)</f>
        <v>East Amandamouth</v>
      </c>
      <c r="O1371" t="str">
        <f>VLOOKUP(C:C,Customer_Dim!B:I,6,1)</f>
        <v>Oregon</v>
      </c>
      <c r="P1371" t="str">
        <f>VLOOKUP(C:C,Customer_Dim!B:I,7,1)</f>
        <v>USA</v>
      </c>
      <c r="Q1371" t="str">
        <f>VLOOKUP(C:C,Customer_Dim!B:I,8,1)</f>
        <v>Bronze</v>
      </c>
      <c r="S1371">
        <v>4</v>
      </c>
      <c r="T1371">
        <v>185.67</v>
      </c>
      <c r="U1371">
        <v>0.21</v>
      </c>
      <c r="V1371">
        <v>586.71719999999993</v>
      </c>
      <c r="X1371" s="4">
        <v>4</v>
      </c>
      <c r="Y1371">
        <v>185.67</v>
      </c>
      <c r="Z1371">
        <v>0.21</v>
      </c>
      <c r="AA1371">
        <v>586.71719999999993</v>
      </c>
    </row>
    <row r="1372" spans="1:27" x14ac:dyDescent="0.3">
      <c r="A1372" t="s">
        <v>3179</v>
      </c>
      <c r="B1372" s="2">
        <v>45396</v>
      </c>
      <c r="C1372" t="s">
        <v>412</v>
      </c>
      <c r="D1372" t="s">
        <v>1567</v>
      </c>
      <c r="E1372" t="s">
        <v>1780</v>
      </c>
      <c r="F1372" s="4">
        <v>3</v>
      </c>
      <c r="G1372">
        <v>928.74</v>
      </c>
      <c r="H1372">
        <v>0.27</v>
      </c>
      <c r="I1372" t="s">
        <v>1809</v>
      </c>
      <c r="J1372">
        <v>2033.9405999999999</v>
      </c>
      <c r="K1372" t="s">
        <v>413</v>
      </c>
      <c r="L1372">
        <v>62</v>
      </c>
      <c r="M1372" t="str">
        <v>Male</v>
      </c>
      <c r="N1372" t="str">
        <f>VLOOKUP(C:C,Customer_Dim!B:I,5,1)</f>
        <v>Lake Tylerfort</v>
      </c>
      <c r="O1372" t="str">
        <f>VLOOKUP(C:C,Customer_Dim!B:I,6,1)</f>
        <v>Pennsylvania</v>
      </c>
      <c r="P1372" t="str">
        <f>VLOOKUP(C:C,Customer_Dim!B:I,7,1)</f>
        <v>USA</v>
      </c>
      <c r="Q1372" t="str">
        <f>VLOOKUP(C:C,Customer_Dim!B:I,8,1)</f>
        <v>Platinum</v>
      </c>
      <c r="S1372">
        <v>3</v>
      </c>
      <c r="T1372">
        <v>928.74</v>
      </c>
      <c r="U1372">
        <v>0.27</v>
      </c>
      <c r="V1372">
        <v>2033.9405999999999</v>
      </c>
      <c r="X1372" s="4">
        <v>3</v>
      </c>
      <c r="Y1372">
        <v>928.74</v>
      </c>
      <c r="Z1372">
        <v>0.27</v>
      </c>
      <c r="AA1372">
        <v>2033.9405999999999</v>
      </c>
    </row>
    <row r="1373" spans="1:27" x14ac:dyDescent="0.3">
      <c r="A1373" t="s">
        <v>3180</v>
      </c>
      <c r="B1373" s="2">
        <v>45235</v>
      </c>
      <c r="C1373" t="s">
        <v>121</v>
      </c>
      <c r="D1373" t="s">
        <v>1699</v>
      </c>
      <c r="E1373" t="s">
        <v>1756</v>
      </c>
      <c r="F1373" s="4">
        <v>3</v>
      </c>
      <c r="G1373">
        <v>923.38</v>
      </c>
      <c r="H1373">
        <v>7.0000000000000007E-2</v>
      </c>
      <c r="I1373" t="s">
        <v>1812</v>
      </c>
      <c r="J1373">
        <v>2576.2302</v>
      </c>
      <c r="K1373" t="s">
        <v>122</v>
      </c>
      <c r="L1373">
        <v>64</v>
      </c>
      <c r="M1373" t="str">
        <v>Female</v>
      </c>
      <c r="N1373" t="str">
        <f>VLOOKUP(C:C,Customer_Dim!B:I,5,1)</f>
        <v>East Jennifer</v>
      </c>
      <c r="O1373" t="str">
        <f>VLOOKUP(C:C,Customer_Dim!B:I,6,1)</f>
        <v>California</v>
      </c>
      <c r="P1373" t="str">
        <f>VLOOKUP(C:C,Customer_Dim!B:I,7,1)</f>
        <v>USA</v>
      </c>
      <c r="Q1373" t="str">
        <f>VLOOKUP(C:C,Customer_Dim!B:I,8,1)</f>
        <v>Silver</v>
      </c>
      <c r="S1373">
        <v>3</v>
      </c>
      <c r="T1373">
        <v>923.38</v>
      </c>
      <c r="U1373">
        <v>7.0000000000000007E-2</v>
      </c>
      <c r="V1373">
        <v>2576.2302</v>
      </c>
      <c r="X1373" s="4">
        <v>3</v>
      </c>
      <c r="Y1373">
        <v>923.38</v>
      </c>
      <c r="Z1373">
        <v>7.0000000000000007E-2</v>
      </c>
      <c r="AA1373">
        <v>2576.2302</v>
      </c>
    </row>
    <row r="1374" spans="1:27" x14ac:dyDescent="0.3">
      <c r="A1374" t="s">
        <v>3181</v>
      </c>
      <c r="B1374" s="2">
        <v>45499</v>
      </c>
      <c r="C1374" t="s">
        <v>1409</v>
      </c>
      <c r="D1374" t="s">
        <v>1536</v>
      </c>
      <c r="E1374" t="s">
        <v>1769</v>
      </c>
      <c r="F1374" s="4">
        <v>2</v>
      </c>
      <c r="G1374">
        <v>409.26</v>
      </c>
      <c r="H1374">
        <v>0.1</v>
      </c>
      <c r="I1374" t="s">
        <v>1809</v>
      </c>
      <c r="J1374">
        <v>736.66800000000001</v>
      </c>
      <c r="K1374" t="s">
        <v>1410</v>
      </c>
      <c r="L1374">
        <v>36</v>
      </c>
      <c r="M1374" t="str">
        <v>Female</v>
      </c>
      <c r="N1374" t="str">
        <f>VLOOKUP(C:C,Customer_Dim!B:I,5,1)</f>
        <v>Burkefurt</v>
      </c>
      <c r="O1374" t="str">
        <f>VLOOKUP(C:C,Customer_Dim!B:I,6,1)</f>
        <v>West Virginia</v>
      </c>
      <c r="P1374" t="str">
        <f>VLOOKUP(C:C,Customer_Dim!B:I,7,1)</f>
        <v>USA</v>
      </c>
      <c r="Q1374" t="str">
        <f>VLOOKUP(C:C,Customer_Dim!B:I,8,1)</f>
        <v>Silver</v>
      </c>
      <c r="S1374">
        <v>2</v>
      </c>
      <c r="T1374">
        <v>409.26</v>
      </c>
      <c r="U1374">
        <v>0.1</v>
      </c>
      <c r="V1374">
        <v>736.66800000000001</v>
      </c>
      <c r="X1374" s="4">
        <v>2</v>
      </c>
      <c r="Y1374">
        <v>409.26</v>
      </c>
      <c r="Z1374">
        <v>0.1</v>
      </c>
      <c r="AA1374">
        <v>736.66800000000001</v>
      </c>
    </row>
    <row r="1375" spans="1:27" x14ac:dyDescent="0.3">
      <c r="A1375" t="s">
        <v>3182</v>
      </c>
      <c r="B1375" s="2">
        <v>45272</v>
      </c>
      <c r="C1375" t="s">
        <v>805</v>
      </c>
      <c r="D1375" t="s">
        <v>1577</v>
      </c>
      <c r="E1375" t="s">
        <v>1762</v>
      </c>
      <c r="F1375" s="4">
        <v>2</v>
      </c>
      <c r="G1375">
        <v>608.46</v>
      </c>
      <c r="H1375">
        <v>0.16</v>
      </c>
      <c r="I1375" t="s">
        <v>1807</v>
      </c>
      <c r="J1375">
        <v>1022.2128</v>
      </c>
      <c r="K1375" t="s">
        <v>806</v>
      </c>
      <c r="L1375">
        <v>21</v>
      </c>
      <c r="M1375" t="str">
        <v>Male</v>
      </c>
      <c r="N1375" t="str">
        <f>VLOOKUP(C:C,Customer_Dim!B:I,5,1)</f>
        <v>Masseyland</v>
      </c>
      <c r="O1375" t="str">
        <f>VLOOKUP(C:C,Customer_Dim!B:I,6,1)</f>
        <v>Alaska</v>
      </c>
      <c r="P1375" t="str">
        <f>VLOOKUP(C:C,Customer_Dim!B:I,7,1)</f>
        <v>USA</v>
      </c>
      <c r="Q1375" t="str">
        <f>VLOOKUP(C:C,Customer_Dim!B:I,8,1)</f>
        <v>Silver</v>
      </c>
      <c r="S1375">
        <v>2</v>
      </c>
      <c r="T1375">
        <v>608.46</v>
      </c>
      <c r="U1375">
        <v>0.16</v>
      </c>
      <c r="V1375">
        <v>1022.2128</v>
      </c>
      <c r="X1375" s="4">
        <v>2</v>
      </c>
      <c r="Y1375">
        <v>608.46</v>
      </c>
      <c r="Z1375">
        <v>0.16</v>
      </c>
      <c r="AA1375">
        <v>1022.2128</v>
      </c>
    </row>
    <row r="1376" spans="1:27" x14ac:dyDescent="0.3">
      <c r="A1376" t="s">
        <v>3183</v>
      </c>
      <c r="B1376" s="2">
        <v>45785</v>
      </c>
      <c r="C1376" t="s">
        <v>684</v>
      </c>
      <c r="D1376" t="s">
        <v>1615</v>
      </c>
      <c r="E1376" t="s">
        <v>1796</v>
      </c>
      <c r="F1376" s="4">
        <v>4</v>
      </c>
      <c r="G1376">
        <v>150.47999999999999</v>
      </c>
      <c r="H1376">
        <v>0.09</v>
      </c>
      <c r="I1376" t="s">
        <v>1807</v>
      </c>
      <c r="J1376">
        <v>547.74720000000002</v>
      </c>
      <c r="K1376" t="s">
        <v>685</v>
      </c>
      <c r="L1376">
        <v>42</v>
      </c>
      <c r="M1376" t="str">
        <v>Female</v>
      </c>
      <c r="N1376" t="str">
        <f>VLOOKUP(C:C,Customer_Dim!B:I,5,1)</f>
        <v>Lyonsfort</v>
      </c>
      <c r="O1376" t="str">
        <f>VLOOKUP(C:C,Customer_Dim!B:I,6,1)</f>
        <v>Washington</v>
      </c>
      <c r="P1376" t="str">
        <f>VLOOKUP(C:C,Customer_Dim!B:I,7,1)</f>
        <v>USA</v>
      </c>
      <c r="Q1376" t="str">
        <f>VLOOKUP(C:C,Customer_Dim!B:I,8,1)</f>
        <v>Platinum</v>
      </c>
      <c r="S1376">
        <v>4</v>
      </c>
      <c r="T1376">
        <v>150.47999999999999</v>
      </c>
      <c r="U1376">
        <v>0.09</v>
      </c>
      <c r="V1376">
        <v>547.74720000000002</v>
      </c>
      <c r="X1376" s="4">
        <v>4</v>
      </c>
      <c r="Y1376">
        <v>150.47999999999999</v>
      </c>
      <c r="Z1376">
        <v>0.09</v>
      </c>
      <c r="AA1376">
        <v>547.74720000000002</v>
      </c>
    </row>
    <row r="1377" spans="1:27" x14ac:dyDescent="0.3">
      <c r="A1377" t="s">
        <v>3184</v>
      </c>
      <c r="B1377" s="2">
        <v>45534</v>
      </c>
      <c r="C1377" t="s">
        <v>779</v>
      </c>
      <c r="D1377" t="s">
        <v>1667</v>
      </c>
      <c r="E1377" t="s">
        <v>1782</v>
      </c>
      <c r="F1377" s="4">
        <v>4</v>
      </c>
      <c r="G1377">
        <v>207.41</v>
      </c>
      <c r="H1377">
        <v>0.02</v>
      </c>
      <c r="I1377" t="s">
        <v>1807</v>
      </c>
      <c r="J1377">
        <v>813.04719999999998</v>
      </c>
      <c r="K1377" t="s">
        <v>780</v>
      </c>
      <c r="L1377">
        <v>58</v>
      </c>
      <c r="M1377" t="str">
        <v>Male</v>
      </c>
      <c r="N1377" t="str">
        <f>VLOOKUP(C:C,Customer_Dim!B:I,5,1)</f>
        <v>Rodriguezton</v>
      </c>
      <c r="O1377" t="str">
        <f>VLOOKUP(C:C,Customer_Dim!B:I,6,1)</f>
        <v>Michigan</v>
      </c>
      <c r="P1377" t="str">
        <f>VLOOKUP(C:C,Customer_Dim!B:I,7,1)</f>
        <v>USA</v>
      </c>
      <c r="Q1377" t="str">
        <f>VLOOKUP(C:C,Customer_Dim!B:I,8,1)</f>
        <v>Platinum</v>
      </c>
      <c r="S1377">
        <v>4</v>
      </c>
      <c r="T1377">
        <v>207.41</v>
      </c>
      <c r="U1377">
        <v>0.02</v>
      </c>
      <c r="V1377">
        <v>813.04719999999998</v>
      </c>
      <c r="X1377" s="4">
        <v>4</v>
      </c>
      <c r="Y1377">
        <v>207.41</v>
      </c>
      <c r="Z1377">
        <v>0.02</v>
      </c>
      <c r="AA1377">
        <v>813.04719999999998</v>
      </c>
    </row>
    <row r="1378" spans="1:27" x14ac:dyDescent="0.3">
      <c r="A1378" t="s">
        <v>3185</v>
      </c>
      <c r="B1378" s="2">
        <v>45803</v>
      </c>
      <c r="C1378" t="s">
        <v>565</v>
      </c>
      <c r="D1378" t="s">
        <v>1553</v>
      </c>
      <c r="E1378" t="s">
        <v>1759</v>
      </c>
      <c r="F1378" s="4">
        <v>1</v>
      </c>
      <c r="G1378">
        <v>56.59</v>
      </c>
      <c r="H1378">
        <v>0.15</v>
      </c>
      <c r="I1378" t="s">
        <v>1809</v>
      </c>
      <c r="J1378">
        <v>48.101500000000001</v>
      </c>
      <c r="K1378" t="s">
        <v>566</v>
      </c>
      <c r="L1378">
        <v>41</v>
      </c>
      <c r="M1378" t="str">
        <v>Female</v>
      </c>
      <c r="N1378" t="str">
        <f>VLOOKUP(C:C,Customer_Dim!B:I,5,1)</f>
        <v>Port Richard</v>
      </c>
      <c r="O1378" t="str">
        <f>VLOOKUP(C:C,Customer_Dim!B:I,6,1)</f>
        <v>West Virginia</v>
      </c>
      <c r="P1378" t="str">
        <f>VLOOKUP(C:C,Customer_Dim!B:I,7,1)</f>
        <v>USA</v>
      </c>
      <c r="Q1378" t="str">
        <f>VLOOKUP(C:C,Customer_Dim!B:I,8,1)</f>
        <v>Bronze</v>
      </c>
      <c r="S1378">
        <v>1</v>
      </c>
      <c r="T1378">
        <v>56.59</v>
      </c>
      <c r="U1378">
        <v>0.15</v>
      </c>
      <c r="V1378">
        <v>48.101500000000001</v>
      </c>
      <c r="X1378" s="4">
        <v>1</v>
      </c>
      <c r="Y1378">
        <v>56.59</v>
      </c>
      <c r="Z1378">
        <v>0.15</v>
      </c>
      <c r="AA1378">
        <v>48.101500000000001</v>
      </c>
    </row>
    <row r="1379" spans="1:27" x14ac:dyDescent="0.3">
      <c r="A1379" t="s">
        <v>3186</v>
      </c>
      <c r="B1379" s="2">
        <v>45667</v>
      </c>
      <c r="C1379" t="s">
        <v>1246</v>
      </c>
      <c r="D1379" t="s">
        <v>1609</v>
      </c>
      <c r="E1379" t="s">
        <v>1752</v>
      </c>
      <c r="F1379" s="4">
        <v>4</v>
      </c>
      <c r="G1379">
        <v>995.4</v>
      </c>
      <c r="H1379">
        <v>0.27</v>
      </c>
      <c r="I1379" t="s">
        <v>1807</v>
      </c>
      <c r="J1379">
        <v>2906.5680000000002</v>
      </c>
      <c r="K1379" t="s">
        <v>1247</v>
      </c>
      <c r="L1379">
        <v>23</v>
      </c>
      <c r="M1379" t="str">
        <v>Female</v>
      </c>
      <c r="N1379" t="str">
        <f>VLOOKUP(C:C,Customer_Dim!B:I,5,1)</f>
        <v>Garciaview</v>
      </c>
      <c r="O1379" t="str">
        <f>VLOOKUP(C:C,Customer_Dim!B:I,6,1)</f>
        <v>Louisiana</v>
      </c>
      <c r="P1379" t="str">
        <f>VLOOKUP(C:C,Customer_Dim!B:I,7,1)</f>
        <v>USA</v>
      </c>
      <c r="Q1379" t="str">
        <f>VLOOKUP(C:C,Customer_Dim!B:I,8,1)</f>
        <v>Gold</v>
      </c>
      <c r="S1379">
        <v>4</v>
      </c>
      <c r="T1379">
        <v>995.4</v>
      </c>
      <c r="U1379">
        <v>0.27</v>
      </c>
      <c r="V1379">
        <v>2906.5680000000002</v>
      </c>
      <c r="X1379" s="4">
        <v>4</v>
      </c>
      <c r="Y1379">
        <v>995.4</v>
      </c>
      <c r="Z1379">
        <v>0.27</v>
      </c>
      <c r="AA1379">
        <v>2906.5680000000002</v>
      </c>
    </row>
    <row r="1380" spans="1:27" x14ac:dyDescent="0.3">
      <c r="A1380" t="s">
        <v>3187</v>
      </c>
      <c r="B1380" s="2">
        <v>45656</v>
      </c>
      <c r="C1380" t="s">
        <v>235</v>
      </c>
      <c r="D1380" t="s">
        <v>1625</v>
      </c>
      <c r="E1380" t="s">
        <v>1777</v>
      </c>
      <c r="F1380" s="4">
        <v>2</v>
      </c>
      <c r="G1380">
        <v>591.33000000000004</v>
      </c>
      <c r="H1380">
        <v>0.24</v>
      </c>
      <c r="I1380" t="s">
        <v>1807</v>
      </c>
      <c r="J1380">
        <v>898.8216000000001</v>
      </c>
      <c r="K1380" t="s">
        <v>236</v>
      </c>
      <c r="L1380">
        <v>21</v>
      </c>
      <c r="M1380" t="str">
        <v>Female</v>
      </c>
      <c r="N1380" t="str">
        <f>VLOOKUP(C:C,Customer_Dim!B:I,5,1)</f>
        <v>Port Kathrynhaven</v>
      </c>
      <c r="O1380" t="str">
        <f>VLOOKUP(C:C,Customer_Dim!B:I,6,1)</f>
        <v>Arizona</v>
      </c>
      <c r="P1380" t="str">
        <f>VLOOKUP(C:C,Customer_Dim!B:I,7,1)</f>
        <v>USA</v>
      </c>
      <c r="Q1380" t="str">
        <f>VLOOKUP(C:C,Customer_Dim!B:I,8,1)</f>
        <v>Gold</v>
      </c>
      <c r="S1380">
        <v>2</v>
      </c>
      <c r="T1380">
        <v>591.33000000000004</v>
      </c>
      <c r="U1380">
        <v>0.24</v>
      </c>
      <c r="V1380">
        <v>898.8216000000001</v>
      </c>
      <c r="X1380" s="4">
        <v>2</v>
      </c>
      <c r="Y1380">
        <v>591.33000000000004</v>
      </c>
      <c r="Z1380">
        <v>0.24</v>
      </c>
      <c r="AA1380">
        <v>898.8216000000001</v>
      </c>
    </row>
    <row r="1381" spans="1:27" x14ac:dyDescent="0.3">
      <c r="A1381" t="s">
        <v>3188</v>
      </c>
      <c r="B1381" s="2">
        <v>45869</v>
      </c>
      <c r="C1381" t="s">
        <v>1168</v>
      </c>
      <c r="D1381" t="s">
        <v>1627</v>
      </c>
      <c r="E1381" t="s">
        <v>1790</v>
      </c>
      <c r="F1381" s="4">
        <v>2</v>
      </c>
      <c r="G1381">
        <v>204.89</v>
      </c>
      <c r="H1381">
        <v>0.24</v>
      </c>
      <c r="I1381" t="s">
        <v>1807</v>
      </c>
      <c r="J1381">
        <v>311.43279999999999</v>
      </c>
      <c r="K1381" t="s">
        <v>1169</v>
      </c>
      <c r="L1381">
        <v>34</v>
      </c>
      <c r="M1381" t="str">
        <v>Female</v>
      </c>
      <c r="N1381" t="str">
        <f>VLOOKUP(C:C,Customer_Dim!B:I,5,1)</f>
        <v>Fischerborough</v>
      </c>
      <c r="O1381" t="str">
        <f>VLOOKUP(C:C,Customer_Dim!B:I,6,1)</f>
        <v>Delaware</v>
      </c>
      <c r="P1381" t="str">
        <f>VLOOKUP(C:C,Customer_Dim!B:I,7,1)</f>
        <v>USA</v>
      </c>
      <c r="Q1381" t="str">
        <f>VLOOKUP(C:C,Customer_Dim!B:I,8,1)</f>
        <v>Bronze</v>
      </c>
      <c r="S1381">
        <v>2</v>
      </c>
      <c r="T1381">
        <v>204.89</v>
      </c>
      <c r="U1381">
        <v>0.24</v>
      </c>
      <c r="V1381">
        <v>311.43279999999999</v>
      </c>
      <c r="X1381" s="4">
        <v>2</v>
      </c>
      <c r="Y1381">
        <v>204.89</v>
      </c>
      <c r="Z1381">
        <v>0.24</v>
      </c>
      <c r="AA1381">
        <v>311.43279999999999</v>
      </c>
    </row>
    <row r="1382" spans="1:27" x14ac:dyDescent="0.3">
      <c r="A1382" t="s">
        <v>3189</v>
      </c>
      <c r="B1382" s="2">
        <v>45549</v>
      </c>
      <c r="C1382" t="s">
        <v>320</v>
      </c>
      <c r="D1382" t="s">
        <v>1661</v>
      </c>
      <c r="E1382" t="s">
        <v>1782</v>
      </c>
      <c r="F1382" s="4">
        <v>2</v>
      </c>
      <c r="G1382">
        <v>546.41</v>
      </c>
      <c r="H1382">
        <v>0.08</v>
      </c>
      <c r="I1382" t="s">
        <v>1812</v>
      </c>
      <c r="J1382">
        <v>1005.3944</v>
      </c>
      <c r="K1382" t="s">
        <v>321</v>
      </c>
      <c r="L1382">
        <v>29</v>
      </c>
      <c r="M1382" t="str">
        <v>Female</v>
      </c>
      <c r="N1382" t="str">
        <f>VLOOKUP(C:C,Customer_Dim!B:I,5,1)</f>
        <v>West Cody</v>
      </c>
      <c r="O1382" t="str">
        <f>VLOOKUP(C:C,Customer_Dim!B:I,6,1)</f>
        <v>Louisiana</v>
      </c>
      <c r="P1382" t="str">
        <f>VLOOKUP(C:C,Customer_Dim!B:I,7,1)</f>
        <v>USA</v>
      </c>
      <c r="Q1382" t="str">
        <f>VLOOKUP(C:C,Customer_Dim!B:I,8,1)</f>
        <v>Platinum</v>
      </c>
      <c r="S1382">
        <v>2</v>
      </c>
      <c r="T1382">
        <v>546.41</v>
      </c>
      <c r="U1382">
        <v>0.08</v>
      </c>
      <c r="V1382">
        <v>1005.3944</v>
      </c>
      <c r="X1382" s="4">
        <v>2</v>
      </c>
      <c r="Y1382">
        <v>546.41</v>
      </c>
      <c r="Z1382">
        <v>0.08</v>
      </c>
      <c r="AA1382">
        <v>1005.3944</v>
      </c>
    </row>
    <row r="1383" spans="1:27" x14ac:dyDescent="0.3">
      <c r="A1383" t="s">
        <v>3190</v>
      </c>
      <c r="B1383" s="2">
        <v>45409</v>
      </c>
      <c r="C1383" t="s">
        <v>208</v>
      </c>
      <c r="D1383" t="s">
        <v>1567</v>
      </c>
      <c r="E1383" t="s">
        <v>1777</v>
      </c>
      <c r="F1383" s="4">
        <v>4</v>
      </c>
      <c r="G1383">
        <v>455.49</v>
      </c>
      <c r="H1383">
        <v>0.17</v>
      </c>
      <c r="I1383" t="s">
        <v>1807</v>
      </c>
      <c r="J1383">
        <v>1512.2267999999999</v>
      </c>
      <c r="K1383" t="s">
        <v>209</v>
      </c>
      <c r="L1383">
        <v>43</v>
      </c>
      <c r="M1383" t="str">
        <v>Female</v>
      </c>
      <c r="N1383" t="str">
        <f>VLOOKUP(C:C,Customer_Dim!B:I,5,1)</f>
        <v>Deborahberg</v>
      </c>
      <c r="O1383" t="str">
        <f>VLOOKUP(C:C,Customer_Dim!B:I,6,1)</f>
        <v>Pennsylvania</v>
      </c>
      <c r="P1383" t="str">
        <f>VLOOKUP(C:C,Customer_Dim!B:I,7,1)</f>
        <v>USA</v>
      </c>
      <c r="Q1383" t="str">
        <f>VLOOKUP(C:C,Customer_Dim!B:I,8,1)</f>
        <v>Gold</v>
      </c>
      <c r="S1383">
        <v>4</v>
      </c>
      <c r="T1383">
        <v>455.49</v>
      </c>
      <c r="U1383">
        <v>0.17</v>
      </c>
      <c r="V1383">
        <v>1512.2267999999999</v>
      </c>
      <c r="X1383" s="4">
        <v>4</v>
      </c>
      <c r="Y1383">
        <v>455.49</v>
      </c>
      <c r="Z1383">
        <v>0.17</v>
      </c>
      <c r="AA1383">
        <v>1512.2267999999999</v>
      </c>
    </row>
    <row r="1384" spans="1:27" x14ac:dyDescent="0.3">
      <c r="A1384" t="s">
        <v>3191</v>
      </c>
      <c r="B1384" s="2">
        <v>45374</v>
      </c>
      <c r="C1384" t="s">
        <v>1295</v>
      </c>
      <c r="D1384" t="s">
        <v>1551</v>
      </c>
      <c r="E1384" t="s">
        <v>1787</v>
      </c>
      <c r="F1384" s="4">
        <v>2</v>
      </c>
      <c r="G1384">
        <v>700.27</v>
      </c>
      <c r="H1384">
        <v>0.16</v>
      </c>
      <c r="I1384" t="s">
        <v>1807</v>
      </c>
      <c r="J1384">
        <v>1176.4536000000001</v>
      </c>
      <c r="K1384" t="s">
        <v>3950</v>
      </c>
      <c r="L1384">
        <v>35</v>
      </c>
      <c r="M1384" t="str">
        <v>Male</v>
      </c>
      <c r="N1384" t="str">
        <f>VLOOKUP(C:C,Customer_Dim!B:I,5,1)</f>
        <v>Aliciahaven</v>
      </c>
      <c r="O1384" t="str">
        <f>VLOOKUP(C:C,Customer_Dim!B:I,6,1)</f>
        <v>Kansas</v>
      </c>
      <c r="P1384" t="str">
        <f>VLOOKUP(C:C,Customer_Dim!B:I,7,1)</f>
        <v>USA</v>
      </c>
      <c r="Q1384" t="str">
        <f>VLOOKUP(C:C,Customer_Dim!B:I,8,1)</f>
        <v>Platinum</v>
      </c>
      <c r="S1384">
        <v>2</v>
      </c>
      <c r="T1384">
        <v>700.27</v>
      </c>
      <c r="U1384">
        <v>0.16</v>
      </c>
      <c r="V1384">
        <v>1176.4536000000001</v>
      </c>
      <c r="X1384" s="4">
        <v>2</v>
      </c>
      <c r="Y1384">
        <v>700.27</v>
      </c>
      <c r="Z1384">
        <v>0.16</v>
      </c>
      <c r="AA1384">
        <v>1176.4536000000001</v>
      </c>
    </row>
    <row r="1385" spans="1:27" x14ac:dyDescent="0.3">
      <c r="A1385" t="s">
        <v>3192</v>
      </c>
      <c r="B1385" s="2">
        <v>45282</v>
      </c>
      <c r="C1385" t="s">
        <v>1072</v>
      </c>
      <c r="D1385" t="s">
        <v>1695</v>
      </c>
      <c r="E1385" t="s">
        <v>1790</v>
      </c>
      <c r="F1385" s="4">
        <v>2</v>
      </c>
      <c r="G1385">
        <v>160.21</v>
      </c>
      <c r="H1385">
        <v>0.09</v>
      </c>
      <c r="I1385" t="s">
        <v>1807</v>
      </c>
      <c r="J1385">
        <v>291.5822</v>
      </c>
      <c r="K1385" t="s">
        <v>1073</v>
      </c>
      <c r="L1385">
        <v>58</v>
      </c>
      <c r="M1385" t="str">
        <v>Female</v>
      </c>
      <c r="N1385" t="str">
        <f>VLOOKUP(C:C,Customer_Dim!B:I,5,1)</f>
        <v>North Jonathan</v>
      </c>
      <c r="O1385" t="str">
        <f>VLOOKUP(C:C,Customer_Dim!B:I,6,1)</f>
        <v>Oklahoma</v>
      </c>
      <c r="P1385" t="str">
        <f>VLOOKUP(C:C,Customer_Dim!B:I,7,1)</f>
        <v>USA</v>
      </c>
      <c r="Q1385" t="str">
        <f>VLOOKUP(C:C,Customer_Dim!B:I,8,1)</f>
        <v>Bronze</v>
      </c>
      <c r="S1385">
        <v>2</v>
      </c>
      <c r="T1385">
        <v>160.21</v>
      </c>
      <c r="U1385">
        <v>0.09</v>
      </c>
      <c r="V1385">
        <v>291.5822</v>
      </c>
      <c r="X1385" s="4">
        <v>2</v>
      </c>
      <c r="Y1385">
        <v>160.21</v>
      </c>
      <c r="Z1385">
        <v>0.09</v>
      </c>
      <c r="AA1385">
        <v>291.5822</v>
      </c>
    </row>
    <row r="1386" spans="1:27" x14ac:dyDescent="0.3">
      <c r="A1386" t="s">
        <v>3193</v>
      </c>
      <c r="B1386" s="2">
        <v>45742</v>
      </c>
      <c r="C1386" t="s">
        <v>127</v>
      </c>
      <c r="D1386" t="s">
        <v>1625</v>
      </c>
      <c r="E1386" t="s">
        <v>1775</v>
      </c>
      <c r="F1386" s="4">
        <v>1</v>
      </c>
      <c r="G1386">
        <v>713.63</v>
      </c>
      <c r="H1386">
        <v>0.28000000000000003</v>
      </c>
      <c r="I1386" t="s">
        <v>1812</v>
      </c>
      <c r="J1386">
        <v>513.81359999999995</v>
      </c>
      <c r="K1386" t="s">
        <v>128</v>
      </c>
      <c r="L1386">
        <v>48</v>
      </c>
      <c r="M1386" t="str">
        <v>Female</v>
      </c>
      <c r="N1386" t="str">
        <f>VLOOKUP(C:C,Customer_Dim!B:I,5,1)</f>
        <v>Johnsonville</v>
      </c>
      <c r="O1386" t="str">
        <f>VLOOKUP(C:C,Customer_Dim!B:I,6,1)</f>
        <v>Oregon</v>
      </c>
      <c r="P1386" t="str">
        <f>VLOOKUP(C:C,Customer_Dim!B:I,7,1)</f>
        <v>USA</v>
      </c>
      <c r="Q1386" t="str">
        <f>VLOOKUP(C:C,Customer_Dim!B:I,8,1)</f>
        <v>Silver</v>
      </c>
      <c r="S1386">
        <v>1</v>
      </c>
      <c r="T1386">
        <v>713.63</v>
      </c>
      <c r="U1386">
        <v>0.28000000000000003</v>
      </c>
      <c r="V1386">
        <v>513.81359999999995</v>
      </c>
      <c r="X1386" s="4">
        <v>1</v>
      </c>
      <c r="Y1386">
        <v>713.63</v>
      </c>
      <c r="Z1386">
        <v>0.28000000000000003</v>
      </c>
      <c r="AA1386">
        <v>513.81359999999995</v>
      </c>
    </row>
    <row r="1387" spans="1:27" x14ac:dyDescent="0.3">
      <c r="A1387" t="s">
        <v>3194</v>
      </c>
      <c r="B1387" s="2">
        <v>45447</v>
      </c>
      <c r="C1387" t="s">
        <v>726</v>
      </c>
      <c r="D1387" t="s">
        <v>1717</v>
      </c>
      <c r="E1387" t="s">
        <v>1762</v>
      </c>
      <c r="F1387" s="4">
        <v>2</v>
      </c>
      <c r="G1387">
        <v>224.69</v>
      </c>
      <c r="H1387">
        <v>0.2</v>
      </c>
      <c r="I1387" t="s">
        <v>1812</v>
      </c>
      <c r="J1387">
        <v>359.50400000000002</v>
      </c>
      <c r="K1387" t="s">
        <v>727</v>
      </c>
      <c r="L1387">
        <v>52</v>
      </c>
      <c r="M1387" t="str">
        <v>Female</v>
      </c>
      <c r="N1387" t="str">
        <f>VLOOKUP(C:C,Customer_Dim!B:I,5,1)</f>
        <v>Pollardton</v>
      </c>
      <c r="O1387" t="str">
        <f>VLOOKUP(C:C,Customer_Dim!B:I,6,1)</f>
        <v>Kansas</v>
      </c>
      <c r="P1387" t="str">
        <f>VLOOKUP(C:C,Customer_Dim!B:I,7,1)</f>
        <v>USA</v>
      </c>
      <c r="Q1387" t="str">
        <f>VLOOKUP(C:C,Customer_Dim!B:I,8,1)</f>
        <v>Gold</v>
      </c>
      <c r="S1387">
        <v>2</v>
      </c>
      <c r="T1387">
        <v>224.69</v>
      </c>
      <c r="U1387">
        <v>0.2</v>
      </c>
      <c r="V1387">
        <v>359.50400000000002</v>
      </c>
      <c r="X1387" s="4">
        <v>2</v>
      </c>
      <c r="Y1387">
        <v>224.69</v>
      </c>
      <c r="Z1387">
        <v>0.2</v>
      </c>
      <c r="AA1387">
        <v>359.50400000000002</v>
      </c>
    </row>
    <row r="1388" spans="1:27" x14ac:dyDescent="0.3">
      <c r="A1388" t="s">
        <v>3195</v>
      </c>
      <c r="B1388" s="2">
        <v>45733</v>
      </c>
      <c r="C1388" t="s">
        <v>1384</v>
      </c>
      <c r="D1388" t="s">
        <v>1571</v>
      </c>
      <c r="E1388" t="s">
        <v>1782</v>
      </c>
      <c r="F1388" s="4">
        <v>2</v>
      </c>
      <c r="G1388">
        <v>740.57</v>
      </c>
      <c r="H1388">
        <v>0.06</v>
      </c>
      <c r="I1388" t="s">
        <v>1807</v>
      </c>
      <c r="J1388">
        <v>1392.2716</v>
      </c>
      <c r="K1388" t="s">
        <v>1385</v>
      </c>
      <c r="L1388">
        <v>60</v>
      </c>
      <c r="M1388" t="str">
        <v>Male</v>
      </c>
      <c r="N1388" t="str">
        <f>VLOOKUP(C:C,Customer_Dim!B:I,5,1)</f>
        <v>Lake Carolyn</v>
      </c>
      <c r="O1388" t="str">
        <f>VLOOKUP(C:C,Customer_Dim!B:I,6,1)</f>
        <v>Hawaii</v>
      </c>
      <c r="P1388" t="str">
        <f>VLOOKUP(C:C,Customer_Dim!B:I,7,1)</f>
        <v>USA</v>
      </c>
      <c r="Q1388" t="str">
        <f>VLOOKUP(C:C,Customer_Dim!B:I,8,1)</f>
        <v>Platinum</v>
      </c>
      <c r="S1388">
        <v>2</v>
      </c>
      <c r="T1388">
        <v>740.57</v>
      </c>
      <c r="U1388">
        <v>0.06</v>
      </c>
      <c r="V1388">
        <v>1392.2716</v>
      </c>
      <c r="X1388" s="4">
        <v>2</v>
      </c>
      <c r="Y1388">
        <v>740.57</v>
      </c>
      <c r="Z1388">
        <v>0.06</v>
      </c>
      <c r="AA1388">
        <v>1392.2716</v>
      </c>
    </row>
    <row r="1389" spans="1:27" x14ac:dyDescent="0.3">
      <c r="A1389" t="s">
        <v>3196</v>
      </c>
      <c r="B1389" s="2">
        <v>45373</v>
      </c>
      <c r="C1389" t="s">
        <v>476</v>
      </c>
      <c r="D1389" t="s">
        <v>1553</v>
      </c>
      <c r="E1389" t="s">
        <v>1749</v>
      </c>
      <c r="F1389" s="4">
        <v>3</v>
      </c>
      <c r="G1389">
        <v>250.14</v>
      </c>
      <c r="H1389">
        <v>0.23</v>
      </c>
      <c r="I1389" t="s">
        <v>1809</v>
      </c>
      <c r="J1389">
        <v>577.82339999999999</v>
      </c>
      <c r="K1389" t="s">
        <v>477</v>
      </c>
      <c r="L1389">
        <v>46</v>
      </c>
      <c r="M1389" t="str">
        <v>Male</v>
      </c>
      <c r="N1389" t="str">
        <f>VLOOKUP(C:C,Customer_Dim!B:I,5,1)</f>
        <v>West Brandon</v>
      </c>
      <c r="O1389" t="str">
        <f>VLOOKUP(C:C,Customer_Dim!B:I,6,1)</f>
        <v>Montana</v>
      </c>
      <c r="P1389" t="str">
        <f>VLOOKUP(C:C,Customer_Dim!B:I,7,1)</f>
        <v>USA</v>
      </c>
      <c r="Q1389" t="str">
        <f>VLOOKUP(C:C,Customer_Dim!B:I,8,1)</f>
        <v>Bronze</v>
      </c>
      <c r="S1389">
        <v>3</v>
      </c>
      <c r="T1389">
        <v>250.14</v>
      </c>
      <c r="U1389">
        <v>0.23</v>
      </c>
      <c r="V1389">
        <v>577.82339999999999</v>
      </c>
      <c r="X1389" s="4">
        <v>3</v>
      </c>
      <c r="Y1389">
        <v>250.14</v>
      </c>
      <c r="Z1389">
        <v>0.23</v>
      </c>
      <c r="AA1389">
        <v>577.82339999999999</v>
      </c>
    </row>
    <row r="1390" spans="1:27" x14ac:dyDescent="0.3">
      <c r="A1390" t="s">
        <v>3197</v>
      </c>
      <c r="B1390" s="2">
        <v>45655</v>
      </c>
      <c r="C1390" t="s">
        <v>89</v>
      </c>
      <c r="D1390" t="s">
        <v>1727</v>
      </c>
      <c r="E1390" t="s">
        <v>1796</v>
      </c>
      <c r="F1390" s="4">
        <v>3</v>
      </c>
      <c r="G1390">
        <v>34.97</v>
      </c>
      <c r="H1390">
        <v>0.01</v>
      </c>
      <c r="I1390" t="s">
        <v>1807</v>
      </c>
      <c r="J1390">
        <v>103.8609</v>
      </c>
      <c r="K1390" t="s">
        <v>90</v>
      </c>
      <c r="L1390">
        <v>36</v>
      </c>
      <c r="M1390" t="str">
        <v>Female</v>
      </c>
      <c r="N1390" t="str">
        <f>VLOOKUP(C:C,Customer_Dim!B:I,5,1)</f>
        <v>Lake Shaneburgh</v>
      </c>
      <c r="O1390" t="str">
        <f>VLOOKUP(C:C,Customer_Dim!B:I,6,1)</f>
        <v>Delaware</v>
      </c>
      <c r="P1390" t="str">
        <f>VLOOKUP(C:C,Customer_Dim!B:I,7,1)</f>
        <v>USA</v>
      </c>
      <c r="Q1390" t="str">
        <f>VLOOKUP(C:C,Customer_Dim!B:I,8,1)</f>
        <v>Silver</v>
      </c>
      <c r="S1390">
        <v>3</v>
      </c>
      <c r="T1390">
        <v>34.97</v>
      </c>
      <c r="U1390">
        <v>0.01</v>
      </c>
      <c r="V1390">
        <v>103.8609</v>
      </c>
      <c r="X1390" s="4">
        <v>3</v>
      </c>
      <c r="Y1390">
        <v>34.97</v>
      </c>
      <c r="Z1390">
        <v>0.01</v>
      </c>
      <c r="AA1390">
        <v>103.8609</v>
      </c>
    </row>
    <row r="1391" spans="1:27" x14ac:dyDescent="0.3">
      <c r="A1391" t="s">
        <v>3198</v>
      </c>
      <c r="B1391" s="2">
        <v>45868</v>
      </c>
      <c r="C1391" t="s">
        <v>951</v>
      </c>
      <c r="D1391" t="s">
        <v>1615</v>
      </c>
      <c r="E1391" t="s">
        <v>1787</v>
      </c>
      <c r="F1391" s="4">
        <v>1</v>
      </c>
      <c r="G1391">
        <v>653.91</v>
      </c>
      <c r="H1391">
        <v>0.3</v>
      </c>
      <c r="I1391" t="s">
        <v>1809</v>
      </c>
      <c r="J1391">
        <v>457.73700000000002</v>
      </c>
      <c r="K1391" t="s">
        <v>3944</v>
      </c>
      <c r="L1391">
        <v>64</v>
      </c>
      <c r="M1391" t="str">
        <v>Male</v>
      </c>
      <c r="N1391" t="str">
        <f>VLOOKUP(C:C,Customer_Dim!B:I,5,1)</f>
        <v>Port Jenniferton</v>
      </c>
      <c r="O1391" t="str">
        <f>VLOOKUP(C:C,Customer_Dim!B:I,6,1)</f>
        <v>Kansas</v>
      </c>
      <c r="P1391" t="str">
        <f>VLOOKUP(C:C,Customer_Dim!B:I,7,1)</f>
        <v>USA</v>
      </c>
      <c r="Q1391" t="str">
        <f>VLOOKUP(C:C,Customer_Dim!B:I,8,1)</f>
        <v>Silver</v>
      </c>
      <c r="S1391">
        <v>1</v>
      </c>
      <c r="T1391">
        <v>653.91</v>
      </c>
      <c r="U1391">
        <v>0.3</v>
      </c>
      <c r="V1391">
        <v>457.73700000000002</v>
      </c>
      <c r="X1391" s="4">
        <v>1</v>
      </c>
      <c r="Y1391">
        <v>653.91</v>
      </c>
      <c r="Z1391">
        <v>0.3</v>
      </c>
      <c r="AA1391">
        <v>457.73700000000002</v>
      </c>
    </row>
    <row r="1392" spans="1:27" x14ac:dyDescent="0.3">
      <c r="A1392" t="s">
        <v>3199</v>
      </c>
      <c r="B1392" s="2">
        <v>45338</v>
      </c>
      <c r="C1392" t="s">
        <v>1123</v>
      </c>
      <c r="D1392" t="s">
        <v>1663</v>
      </c>
      <c r="E1392" t="s">
        <v>1749</v>
      </c>
      <c r="F1392" s="4">
        <v>1</v>
      </c>
      <c r="G1392">
        <v>997.87</v>
      </c>
      <c r="H1392">
        <v>0.24</v>
      </c>
      <c r="I1392" t="s">
        <v>1807</v>
      </c>
      <c r="J1392">
        <v>758.38120000000004</v>
      </c>
      <c r="K1392" t="s">
        <v>1124</v>
      </c>
      <c r="L1392">
        <v>58</v>
      </c>
      <c r="M1392" t="str">
        <v>Male</v>
      </c>
      <c r="N1392" t="str">
        <f>VLOOKUP(C:C,Customer_Dim!B:I,5,1)</f>
        <v>Murphytown</v>
      </c>
      <c r="O1392" t="str">
        <f>VLOOKUP(C:C,Customer_Dim!B:I,6,1)</f>
        <v>Ohio</v>
      </c>
      <c r="P1392" t="str">
        <f>VLOOKUP(C:C,Customer_Dim!B:I,7,1)</f>
        <v>USA</v>
      </c>
      <c r="Q1392" t="str">
        <f>VLOOKUP(C:C,Customer_Dim!B:I,8,1)</f>
        <v>Bronze</v>
      </c>
      <c r="S1392">
        <v>1</v>
      </c>
      <c r="T1392">
        <v>997.87</v>
      </c>
      <c r="U1392">
        <v>0.24</v>
      </c>
      <c r="V1392">
        <v>758.38120000000004</v>
      </c>
      <c r="X1392" s="4">
        <v>1</v>
      </c>
      <c r="Y1392">
        <v>997.87</v>
      </c>
      <c r="Z1392">
        <v>0.24</v>
      </c>
      <c r="AA1392">
        <v>758.38120000000004</v>
      </c>
    </row>
    <row r="1393" spans="1:27" x14ac:dyDescent="0.3">
      <c r="A1393" t="s">
        <v>3200</v>
      </c>
      <c r="B1393" s="2">
        <v>45349</v>
      </c>
      <c r="C1393" t="s">
        <v>672</v>
      </c>
      <c r="D1393" t="s">
        <v>1709</v>
      </c>
      <c r="E1393" t="s">
        <v>1782</v>
      </c>
      <c r="F1393" s="4">
        <v>1</v>
      </c>
      <c r="G1393">
        <v>174.27</v>
      </c>
      <c r="H1393">
        <v>0.27</v>
      </c>
      <c r="I1393" t="s">
        <v>1812</v>
      </c>
      <c r="J1393">
        <v>127.2171</v>
      </c>
      <c r="K1393" t="s">
        <v>673</v>
      </c>
      <c r="L1393">
        <v>50</v>
      </c>
      <c r="M1393" t="str">
        <v>Female</v>
      </c>
      <c r="N1393" t="str">
        <f>VLOOKUP(C:C,Customer_Dim!B:I,5,1)</f>
        <v>Kathrynview</v>
      </c>
      <c r="O1393" t="str">
        <f>VLOOKUP(C:C,Customer_Dim!B:I,6,1)</f>
        <v>Louisiana</v>
      </c>
      <c r="P1393" t="str">
        <f>VLOOKUP(C:C,Customer_Dim!B:I,7,1)</f>
        <v>USA</v>
      </c>
      <c r="Q1393" t="str">
        <f>VLOOKUP(C:C,Customer_Dim!B:I,8,1)</f>
        <v>Platinum</v>
      </c>
      <c r="S1393">
        <v>1</v>
      </c>
      <c r="T1393">
        <v>174.27</v>
      </c>
      <c r="U1393">
        <v>0.27</v>
      </c>
      <c r="V1393">
        <v>127.2171</v>
      </c>
      <c r="X1393" s="4">
        <v>1</v>
      </c>
      <c r="Y1393">
        <v>174.27</v>
      </c>
      <c r="Z1393">
        <v>0.27</v>
      </c>
      <c r="AA1393">
        <v>127.2171</v>
      </c>
    </row>
    <row r="1394" spans="1:27" x14ac:dyDescent="0.3">
      <c r="A1394" t="s">
        <v>3201</v>
      </c>
      <c r="B1394" s="2">
        <v>45368</v>
      </c>
      <c r="C1394" t="s">
        <v>397</v>
      </c>
      <c r="D1394" t="s">
        <v>1629</v>
      </c>
      <c r="E1394" t="s">
        <v>1762</v>
      </c>
      <c r="F1394" s="4">
        <v>3</v>
      </c>
      <c r="G1394">
        <v>847.44</v>
      </c>
      <c r="H1394">
        <v>0.17</v>
      </c>
      <c r="I1394" t="s">
        <v>1807</v>
      </c>
      <c r="J1394">
        <v>2110.1255999999998</v>
      </c>
      <c r="K1394" t="s">
        <v>398</v>
      </c>
      <c r="L1394">
        <v>18</v>
      </c>
      <c r="M1394" t="str">
        <v>Female</v>
      </c>
      <c r="N1394" t="str">
        <f>VLOOKUP(C:C,Customer_Dim!B:I,5,1)</f>
        <v>North Curtischester</v>
      </c>
      <c r="O1394" t="str">
        <f>VLOOKUP(C:C,Customer_Dim!B:I,6,1)</f>
        <v>North Dakota</v>
      </c>
      <c r="P1394" t="str">
        <f>VLOOKUP(C:C,Customer_Dim!B:I,7,1)</f>
        <v>USA</v>
      </c>
      <c r="Q1394" t="str">
        <f>VLOOKUP(C:C,Customer_Dim!B:I,8,1)</f>
        <v>Platinum</v>
      </c>
      <c r="S1394">
        <v>3</v>
      </c>
      <c r="T1394">
        <v>847.44</v>
      </c>
      <c r="U1394">
        <v>0.17</v>
      </c>
      <c r="V1394">
        <v>2110.1255999999998</v>
      </c>
      <c r="X1394" s="4">
        <v>3</v>
      </c>
      <c r="Y1394">
        <v>847.44</v>
      </c>
      <c r="Z1394">
        <v>0.17</v>
      </c>
      <c r="AA1394">
        <v>2110.1255999999998</v>
      </c>
    </row>
    <row r="1395" spans="1:27" x14ac:dyDescent="0.3">
      <c r="A1395" t="s">
        <v>3202</v>
      </c>
      <c r="B1395" s="2">
        <v>45243</v>
      </c>
      <c r="C1395" t="s">
        <v>1312</v>
      </c>
      <c r="D1395" t="s">
        <v>1532</v>
      </c>
      <c r="E1395" t="s">
        <v>1744</v>
      </c>
      <c r="F1395" s="4">
        <v>1</v>
      </c>
      <c r="G1395">
        <v>493.45</v>
      </c>
      <c r="H1395">
        <v>0.09</v>
      </c>
      <c r="I1395" t="s">
        <v>1807</v>
      </c>
      <c r="J1395">
        <v>449.03949999999998</v>
      </c>
      <c r="K1395" t="s">
        <v>1313</v>
      </c>
      <c r="L1395">
        <v>43</v>
      </c>
      <c r="M1395" t="str">
        <v>Male</v>
      </c>
      <c r="N1395" t="str">
        <f>VLOOKUP(C:C,Customer_Dim!B:I,5,1)</f>
        <v>Hartmouth</v>
      </c>
      <c r="O1395" t="str">
        <f>VLOOKUP(C:C,Customer_Dim!B:I,6,1)</f>
        <v>Louisiana</v>
      </c>
      <c r="P1395" t="str">
        <f>VLOOKUP(C:C,Customer_Dim!B:I,7,1)</f>
        <v>USA</v>
      </c>
      <c r="Q1395" t="str">
        <f>VLOOKUP(C:C,Customer_Dim!B:I,8,1)</f>
        <v>Bronze</v>
      </c>
      <c r="S1395">
        <v>1</v>
      </c>
      <c r="T1395">
        <v>493.45</v>
      </c>
      <c r="U1395">
        <v>0.09</v>
      </c>
      <c r="V1395">
        <v>449.03949999999998</v>
      </c>
      <c r="X1395" s="4">
        <v>1</v>
      </c>
      <c r="Y1395">
        <v>493.45</v>
      </c>
      <c r="Z1395">
        <v>0.09</v>
      </c>
      <c r="AA1395">
        <v>449.03949999999998</v>
      </c>
    </row>
    <row r="1396" spans="1:27" x14ac:dyDescent="0.3">
      <c r="A1396" t="s">
        <v>3203</v>
      </c>
      <c r="B1396" s="2">
        <v>45577</v>
      </c>
      <c r="C1396" t="s">
        <v>740</v>
      </c>
      <c r="D1396" t="s">
        <v>1655</v>
      </c>
      <c r="E1396" t="s">
        <v>1744</v>
      </c>
      <c r="F1396" s="4">
        <v>4</v>
      </c>
      <c r="G1396">
        <v>111.66</v>
      </c>
      <c r="H1396">
        <v>0.14000000000000001</v>
      </c>
      <c r="I1396" t="s">
        <v>1807</v>
      </c>
      <c r="J1396">
        <v>384.11040000000003</v>
      </c>
      <c r="K1396" t="s">
        <v>741</v>
      </c>
      <c r="L1396">
        <v>59</v>
      </c>
      <c r="M1396" t="str">
        <v>Male</v>
      </c>
      <c r="N1396" t="str">
        <f>VLOOKUP(C:C,Customer_Dim!B:I,5,1)</f>
        <v>Tammyton</v>
      </c>
      <c r="O1396" t="str">
        <f>VLOOKUP(C:C,Customer_Dim!B:I,6,1)</f>
        <v>New Jersey</v>
      </c>
      <c r="P1396" t="str">
        <f>VLOOKUP(C:C,Customer_Dim!B:I,7,1)</f>
        <v>USA</v>
      </c>
      <c r="Q1396" t="str">
        <f>VLOOKUP(C:C,Customer_Dim!B:I,8,1)</f>
        <v>Platinum</v>
      </c>
      <c r="S1396">
        <v>4</v>
      </c>
      <c r="T1396">
        <v>111.66</v>
      </c>
      <c r="U1396">
        <v>0.14000000000000001</v>
      </c>
      <c r="V1396">
        <v>384.11040000000003</v>
      </c>
      <c r="X1396" s="4">
        <v>4</v>
      </c>
      <c r="Y1396">
        <v>111.66</v>
      </c>
      <c r="Z1396">
        <v>0.14000000000000001</v>
      </c>
      <c r="AA1396">
        <v>384.11040000000003</v>
      </c>
    </row>
    <row r="1397" spans="1:27" x14ac:dyDescent="0.3">
      <c r="A1397" t="s">
        <v>3204</v>
      </c>
      <c r="B1397" s="2">
        <v>45343</v>
      </c>
      <c r="C1397" t="s">
        <v>876</v>
      </c>
      <c r="D1397" t="s">
        <v>1711</v>
      </c>
      <c r="E1397" t="s">
        <v>1775</v>
      </c>
      <c r="F1397" s="4">
        <v>1</v>
      </c>
      <c r="G1397">
        <v>413.65</v>
      </c>
      <c r="H1397">
        <v>0.1</v>
      </c>
      <c r="I1397" t="s">
        <v>1812</v>
      </c>
      <c r="J1397">
        <v>372.28500000000003</v>
      </c>
      <c r="K1397" t="s">
        <v>877</v>
      </c>
      <c r="L1397">
        <v>21</v>
      </c>
      <c r="M1397" t="str">
        <v>Female</v>
      </c>
      <c r="N1397" t="str">
        <f>VLOOKUP(C:C,Customer_Dim!B:I,5,1)</f>
        <v>Port Mariastad</v>
      </c>
      <c r="O1397" t="str">
        <f>VLOOKUP(C:C,Customer_Dim!B:I,6,1)</f>
        <v>Rhode Island</v>
      </c>
      <c r="P1397" t="str">
        <f>VLOOKUP(C:C,Customer_Dim!B:I,7,1)</f>
        <v>USA</v>
      </c>
      <c r="Q1397" t="str">
        <f>VLOOKUP(C:C,Customer_Dim!B:I,8,1)</f>
        <v>Platinum</v>
      </c>
      <c r="S1397">
        <v>1</v>
      </c>
      <c r="T1397">
        <v>413.65</v>
      </c>
      <c r="U1397">
        <v>0.1</v>
      </c>
      <c r="V1397">
        <v>372.28500000000003</v>
      </c>
      <c r="X1397" s="4">
        <v>1</v>
      </c>
      <c r="Y1397">
        <v>413.65</v>
      </c>
      <c r="Z1397">
        <v>0.1</v>
      </c>
      <c r="AA1397">
        <v>372.28500000000003</v>
      </c>
    </row>
    <row r="1398" spans="1:27" x14ac:dyDescent="0.3">
      <c r="A1398" t="s">
        <v>3205</v>
      </c>
      <c r="B1398" s="2">
        <v>45744</v>
      </c>
      <c r="C1398" t="s">
        <v>1448</v>
      </c>
      <c r="D1398" t="s">
        <v>1709</v>
      </c>
      <c r="E1398" t="s">
        <v>1769</v>
      </c>
      <c r="F1398" s="4">
        <v>1</v>
      </c>
      <c r="G1398">
        <v>317.14999999999998</v>
      </c>
      <c r="H1398">
        <v>0.24</v>
      </c>
      <c r="I1398" t="s">
        <v>1812</v>
      </c>
      <c r="J1398">
        <v>241.03399999999999</v>
      </c>
      <c r="K1398" t="s">
        <v>1449</v>
      </c>
      <c r="L1398">
        <v>33</v>
      </c>
      <c r="M1398" t="str">
        <v>Female</v>
      </c>
      <c r="N1398" t="str">
        <f>VLOOKUP(C:C,Customer_Dim!B:I,5,1)</f>
        <v>Lake Michael</v>
      </c>
      <c r="O1398" t="str">
        <f>VLOOKUP(C:C,Customer_Dim!B:I,6,1)</f>
        <v>Vermont</v>
      </c>
      <c r="P1398" t="str">
        <f>VLOOKUP(C:C,Customer_Dim!B:I,7,1)</f>
        <v>USA</v>
      </c>
      <c r="Q1398" t="str">
        <f>VLOOKUP(C:C,Customer_Dim!B:I,8,1)</f>
        <v>Platinum</v>
      </c>
      <c r="S1398">
        <v>1</v>
      </c>
      <c r="T1398">
        <v>317.14999999999998</v>
      </c>
      <c r="U1398">
        <v>0.24</v>
      </c>
      <c r="V1398">
        <v>241.03399999999999</v>
      </c>
      <c r="X1398" s="4">
        <v>1</v>
      </c>
      <c r="Y1398">
        <v>317.14999999999998</v>
      </c>
      <c r="Z1398">
        <v>0.24</v>
      </c>
      <c r="AA1398">
        <v>241.03399999999999</v>
      </c>
    </row>
    <row r="1399" spans="1:27" x14ac:dyDescent="0.3">
      <c r="A1399" t="s">
        <v>3206</v>
      </c>
      <c r="B1399" s="2">
        <v>45873</v>
      </c>
      <c r="C1399" t="s">
        <v>1112</v>
      </c>
      <c r="D1399" t="s">
        <v>1707</v>
      </c>
      <c r="E1399" t="s">
        <v>1740</v>
      </c>
      <c r="F1399" s="4">
        <v>3</v>
      </c>
      <c r="G1399">
        <v>642.94000000000005</v>
      </c>
      <c r="H1399">
        <v>0.05</v>
      </c>
      <c r="I1399" t="s">
        <v>1812</v>
      </c>
      <c r="J1399">
        <v>1832.3789999999999</v>
      </c>
      <c r="K1399" t="s">
        <v>1113</v>
      </c>
      <c r="L1399">
        <v>34</v>
      </c>
      <c r="M1399" t="str">
        <v>Male</v>
      </c>
      <c r="N1399" t="str">
        <f>VLOOKUP(C:C,Customer_Dim!B:I,5,1)</f>
        <v>East Michaelton</v>
      </c>
      <c r="O1399" t="str">
        <f>VLOOKUP(C:C,Customer_Dim!B:I,6,1)</f>
        <v>Kansas</v>
      </c>
      <c r="P1399" t="str">
        <f>VLOOKUP(C:C,Customer_Dim!B:I,7,1)</f>
        <v>USA</v>
      </c>
      <c r="Q1399" t="str">
        <f>VLOOKUP(C:C,Customer_Dim!B:I,8,1)</f>
        <v>Silver</v>
      </c>
      <c r="S1399">
        <v>3</v>
      </c>
      <c r="T1399">
        <v>642.94000000000005</v>
      </c>
      <c r="U1399">
        <v>0.05</v>
      </c>
      <c r="V1399">
        <v>1832.3789999999999</v>
      </c>
      <c r="X1399" s="4">
        <v>3</v>
      </c>
      <c r="Y1399">
        <v>642.94000000000005</v>
      </c>
      <c r="Z1399">
        <v>0.05</v>
      </c>
      <c r="AA1399">
        <v>1832.3789999999999</v>
      </c>
    </row>
    <row r="1400" spans="1:27" x14ac:dyDescent="0.3">
      <c r="A1400" t="s">
        <v>3207</v>
      </c>
      <c r="B1400" s="2">
        <v>45601</v>
      </c>
      <c r="C1400" t="s">
        <v>450</v>
      </c>
      <c r="D1400" t="s">
        <v>1645</v>
      </c>
      <c r="E1400" t="s">
        <v>1772</v>
      </c>
      <c r="F1400" s="4">
        <v>4</v>
      </c>
      <c r="G1400">
        <v>559.59</v>
      </c>
      <c r="H1400">
        <v>0.19</v>
      </c>
      <c r="I1400" t="s">
        <v>1812</v>
      </c>
      <c r="J1400">
        <v>1813.0716</v>
      </c>
      <c r="K1400" t="s">
        <v>451</v>
      </c>
      <c r="L1400">
        <v>54</v>
      </c>
      <c r="M1400" t="str">
        <v>Male</v>
      </c>
      <c r="N1400" t="str">
        <f>VLOOKUP(C:C,Customer_Dim!B:I,5,1)</f>
        <v>West Stephenville</v>
      </c>
      <c r="O1400" t="str">
        <f>VLOOKUP(C:C,Customer_Dim!B:I,6,1)</f>
        <v>Florida</v>
      </c>
      <c r="P1400" t="str">
        <f>VLOOKUP(C:C,Customer_Dim!B:I,7,1)</f>
        <v>USA</v>
      </c>
      <c r="Q1400" t="str">
        <f>VLOOKUP(C:C,Customer_Dim!B:I,8,1)</f>
        <v>Bronze</v>
      </c>
      <c r="S1400">
        <v>4</v>
      </c>
      <c r="T1400">
        <v>559.59</v>
      </c>
      <c r="U1400">
        <v>0.19</v>
      </c>
      <c r="V1400">
        <v>1813.0716</v>
      </c>
      <c r="X1400" s="4">
        <v>4</v>
      </c>
      <c r="Y1400">
        <v>559.59</v>
      </c>
      <c r="Z1400">
        <v>0.19</v>
      </c>
      <c r="AA1400">
        <v>1813.0716</v>
      </c>
    </row>
    <row r="1401" spans="1:27" x14ac:dyDescent="0.3">
      <c r="A1401" t="s">
        <v>3208</v>
      </c>
      <c r="B1401" s="2">
        <v>45458</v>
      </c>
      <c r="C1401" t="s">
        <v>394</v>
      </c>
      <c r="D1401" t="s">
        <v>1589</v>
      </c>
      <c r="E1401" t="s">
        <v>1793</v>
      </c>
      <c r="F1401" s="4">
        <v>1</v>
      </c>
      <c r="G1401">
        <v>758.54</v>
      </c>
      <c r="H1401">
        <v>0.28999999999999998</v>
      </c>
      <c r="I1401" t="s">
        <v>1809</v>
      </c>
      <c r="J1401">
        <v>538.5634</v>
      </c>
      <c r="K1401" t="s">
        <v>395</v>
      </c>
      <c r="L1401">
        <v>53</v>
      </c>
      <c r="M1401" t="str">
        <v>Female</v>
      </c>
      <c r="N1401" t="str">
        <f>VLOOKUP(C:C,Customer_Dim!B:I,5,1)</f>
        <v>East Donna</v>
      </c>
      <c r="O1401" t="str">
        <f>VLOOKUP(C:C,Customer_Dim!B:I,6,1)</f>
        <v>Nevada</v>
      </c>
      <c r="P1401" t="str">
        <f>VLOOKUP(C:C,Customer_Dim!B:I,7,1)</f>
        <v>USA</v>
      </c>
      <c r="Q1401" t="str">
        <f>VLOOKUP(C:C,Customer_Dim!B:I,8,1)</f>
        <v>Bronze</v>
      </c>
      <c r="S1401">
        <v>1</v>
      </c>
      <c r="T1401">
        <v>758.54</v>
      </c>
      <c r="U1401">
        <v>0.28999999999999998</v>
      </c>
      <c r="V1401">
        <v>538.5634</v>
      </c>
      <c r="X1401" s="4">
        <v>1</v>
      </c>
      <c r="Y1401">
        <v>758.54</v>
      </c>
      <c r="Z1401">
        <v>0.28999999999999998</v>
      </c>
      <c r="AA1401">
        <v>538.5634</v>
      </c>
    </row>
    <row r="1402" spans="1:27" x14ac:dyDescent="0.3">
      <c r="A1402" t="s">
        <v>3209</v>
      </c>
      <c r="B1402" s="2">
        <v>45649</v>
      </c>
      <c r="C1402" t="s">
        <v>1409</v>
      </c>
      <c r="D1402" t="s">
        <v>1691</v>
      </c>
      <c r="E1402" t="s">
        <v>1784</v>
      </c>
      <c r="F1402" s="4">
        <v>4</v>
      </c>
      <c r="G1402">
        <v>643.96</v>
      </c>
      <c r="H1402">
        <v>0.16</v>
      </c>
      <c r="I1402" t="s">
        <v>1809</v>
      </c>
      <c r="J1402">
        <v>2163.7055999999998</v>
      </c>
      <c r="K1402" t="s">
        <v>1410</v>
      </c>
      <c r="L1402">
        <v>36</v>
      </c>
      <c r="M1402" t="str">
        <v>Female</v>
      </c>
      <c r="N1402" t="str">
        <f>VLOOKUP(C:C,Customer_Dim!B:I,5,1)</f>
        <v>Burkefurt</v>
      </c>
      <c r="O1402" t="str">
        <f>VLOOKUP(C:C,Customer_Dim!B:I,6,1)</f>
        <v>West Virginia</v>
      </c>
      <c r="P1402" t="str">
        <f>VLOOKUP(C:C,Customer_Dim!B:I,7,1)</f>
        <v>USA</v>
      </c>
      <c r="Q1402" t="str">
        <f>VLOOKUP(C:C,Customer_Dim!B:I,8,1)</f>
        <v>Silver</v>
      </c>
      <c r="S1402">
        <v>4</v>
      </c>
      <c r="T1402">
        <v>643.96</v>
      </c>
      <c r="U1402">
        <v>0.16</v>
      </c>
      <c r="V1402">
        <v>2163.7055999999998</v>
      </c>
      <c r="X1402" s="4">
        <v>4</v>
      </c>
      <c r="Y1402">
        <v>643.96</v>
      </c>
      <c r="Z1402">
        <v>0.16</v>
      </c>
      <c r="AA1402">
        <v>2163.7055999999998</v>
      </c>
    </row>
    <row r="1403" spans="1:27" x14ac:dyDescent="0.3">
      <c r="A1403" t="s">
        <v>3210</v>
      </c>
      <c r="B1403" s="2">
        <v>45653</v>
      </c>
      <c r="C1403" t="s">
        <v>773</v>
      </c>
      <c r="D1403" t="s">
        <v>1579</v>
      </c>
      <c r="E1403" t="s">
        <v>1769</v>
      </c>
      <c r="F1403" s="4">
        <v>1</v>
      </c>
      <c r="G1403">
        <v>882.73</v>
      </c>
      <c r="H1403">
        <v>0.1</v>
      </c>
      <c r="I1403" t="s">
        <v>1807</v>
      </c>
      <c r="J1403">
        <v>794.45699999999999</v>
      </c>
      <c r="K1403" t="s">
        <v>774</v>
      </c>
      <c r="L1403">
        <v>19</v>
      </c>
      <c r="M1403" t="str">
        <v>Male</v>
      </c>
      <c r="N1403" t="str">
        <f>VLOOKUP(C:C,Customer_Dim!B:I,5,1)</f>
        <v>North Nicholas</v>
      </c>
      <c r="O1403" t="str">
        <f>VLOOKUP(C:C,Customer_Dim!B:I,6,1)</f>
        <v>Texas</v>
      </c>
      <c r="P1403" t="str">
        <f>VLOOKUP(C:C,Customer_Dim!B:I,7,1)</f>
        <v>USA</v>
      </c>
      <c r="Q1403" t="str">
        <f>VLOOKUP(C:C,Customer_Dim!B:I,8,1)</f>
        <v>Gold</v>
      </c>
      <c r="S1403">
        <v>1</v>
      </c>
      <c r="T1403">
        <v>882.73</v>
      </c>
      <c r="U1403">
        <v>0.1</v>
      </c>
      <c r="V1403">
        <v>794.45699999999999</v>
      </c>
      <c r="X1403" s="4">
        <v>1</v>
      </c>
      <c r="Y1403">
        <v>882.73</v>
      </c>
      <c r="Z1403">
        <v>0.1</v>
      </c>
      <c r="AA1403">
        <v>794.45699999999999</v>
      </c>
    </row>
    <row r="1404" spans="1:27" x14ac:dyDescent="0.3">
      <c r="A1404" t="s">
        <v>3211</v>
      </c>
      <c r="B1404" s="2">
        <v>45378</v>
      </c>
      <c r="C1404" t="s">
        <v>1012</v>
      </c>
      <c r="D1404" t="s">
        <v>1713</v>
      </c>
      <c r="E1404" t="s">
        <v>1796</v>
      </c>
      <c r="F1404" s="4">
        <v>2</v>
      </c>
      <c r="G1404">
        <v>600.03</v>
      </c>
      <c r="H1404">
        <v>0.26</v>
      </c>
      <c r="I1404" t="s">
        <v>1809</v>
      </c>
      <c r="J1404">
        <v>888.0444</v>
      </c>
      <c r="K1404" t="s">
        <v>1013</v>
      </c>
      <c r="L1404">
        <v>58</v>
      </c>
      <c r="M1404" t="str">
        <v>Female</v>
      </c>
      <c r="N1404" t="str">
        <f>VLOOKUP(C:C,Customer_Dim!B:I,5,1)</f>
        <v>East Matthew</v>
      </c>
      <c r="O1404" t="str">
        <f>VLOOKUP(C:C,Customer_Dim!B:I,6,1)</f>
        <v>Wisconsin</v>
      </c>
      <c r="P1404" t="str">
        <f>VLOOKUP(C:C,Customer_Dim!B:I,7,1)</f>
        <v>USA</v>
      </c>
      <c r="Q1404" t="str">
        <f>VLOOKUP(C:C,Customer_Dim!B:I,8,1)</f>
        <v>Bronze</v>
      </c>
      <c r="S1404">
        <v>2</v>
      </c>
      <c r="T1404">
        <v>600.03</v>
      </c>
      <c r="U1404">
        <v>0.26</v>
      </c>
      <c r="V1404">
        <v>888.0444</v>
      </c>
      <c r="X1404" s="4">
        <v>2</v>
      </c>
      <c r="Y1404">
        <v>600.03</v>
      </c>
      <c r="Z1404">
        <v>0.26</v>
      </c>
      <c r="AA1404">
        <v>888.0444</v>
      </c>
    </row>
    <row r="1405" spans="1:27" x14ac:dyDescent="0.3">
      <c r="A1405" t="s">
        <v>3212</v>
      </c>
      <c r="B1405" s="2">
        <v>45638</v>
      </c>
      <c r="C1405" t="s">
        <v>521</v>
      </c>
      <c r="D1405" t="s">
        <v>1639</v>
      </c>
      <c r="E1405" t="s">
        <v>1756</v>
      </c>
      <c r="F1405" s="4">
        <v>2</v>
      </c>
      <c r="G1405">
        <v>628.83000000000004</v>
      </c>
      <c r="H1405">
        <v>7.0000000000000007E-2</v>
      </c>
      <c r="I1405" t="s">
        <v>1809</v>
      </c>
      <c r="J1405">
        <v>1169.6238000000001</v>
      </c>
      <c r="K1405" t="s">
        <v>522</v>
      </c>
      <c r="L1405">
        <v>43</v>
      </c>
      <c r="M1405" t="str">
        <v>Male</v>
      </c>
      <c r="N1405" t="str">
        <f>VLOOKUP(C:C,Customer_Dim!B:I,5,1)</f>
        <v>North Larryfurt</v>
      </c>
      <c r="O1405" t="str">
        <f>VLOOKUP(C:C,Customer_Dim!B:I,6,1)</f>
        <v>North Dakota</v>
      </c>
      <c r="P1405" t="str">
        <f>VLOOKUP(C:C,Customer_Dim!B:I,7,1)</f>
        <v>USA</v>
      </c>
      <c r="Q1405" t="str">
        <f>VLOOKUP(C:C,Customer_Dim!B:I,8,1)</f>
        <v>Platinum</v>
      </c>
      <c r="S1405">
        <v>2</v>
      </c>
      <c r="T1405">
        <v>628.83000000000004</v>
      </c>
      <c r="U1405">
        <v>7.0000000000000007E-2</v>
      </c>
      <c r="V1405">
        <v>1169.6238000000001</v>
      </c>
      <c r="X1405" s="4">
        <v>2</v>
      </c>
      <c r="Y1405">
        <v>628.83000000000004</v>
      </c>
      <c r="Z1405">
        <v>7.0000000000000007E-2</v>
      </c>
      <c r="AA1405">
        <v>1169.6238000000001</v>
      </c>
    </row>
    <row r="1406" spans="1:27" x14ac:dyDescent="0.3">
      <c r="A1406" t="s">
        <v>3213</v>
      </c>
      <c r="B1406" s="2">
        <v>45277</v>
      </c>
      <c r="C1406" t="s">
        <v>573</v>
      </c>
      <c r="D1406" t="s">
        <v>1693</v>
      </c>
      <c r="E1406" t="s">
        <v>1769</v>
      </c>
      <c r="F1406" s="4">
        <v>3</v>
      </c>
      <c r="G1406">
        <v>113.87</v>
      </c>
      <c r="H1406">
        <v>0.21</v>
      </c>
      <c r="I1406" t="s">
        <v>1812</v>
      </c>
      <c r="J1406">
        <v>269.87189999999998</v>
      </c>
      <c r="K1406" t="s">
        <v>574</v>
      </c>
      <c r="L1406">
        <v>48</v>
      </c>
      <c r="M1406" t="str">
        <v>Male</v>
      </c>
      <c r="N1406" t="str">
        <f>VLOOKUP(C:C,Customer_Dim!B:I,5,1)</f>
        <v>East Jessicaborough</v>
      </c>
      <c r="O1406" t="str">
        <f>VLOOKUP(C:C,Customer_Dim!B:I,6,1)</f>
        <v>Hawaii</v>
      </c>
      <c r="P1406" t="str">
        <f>VLOOKUP(C:C,Customer_Dim!B:I,7,1)</f>
        <v>USA</v>
      </c>
      <c r="Q1406" t="str">
        <f>VLOOKUP(C:C,Customer_Dim!B:I,8,1)</f>
        <v>Platinum</v>
      </c>
      <c r="S1406">
        <v>3</v>
      </c>
      <c r="T1406">
        <v>113.87</v>
      </c>
      <c r="U1406">
        <v>0.21</v>
      </c>
      <c r="V1406">
        <v>269.87189999999998</v>
      </c>
      <c r="X1406" s="4">
        <v>3</v>
      </c>
      <c r="Y1406">
        <v>113.87</v>
      </c>
      <c r="Z1406">
        <v>0.21</v>
      </c>
      <c r="AA1406">
        <v>269.87189999999998</v>
      </c>
    </row>
    <row r="1407" spans="1:27" x14ac:dyDescent="0.3">
      <c r="A1407" t="s">
        <v>3214</v>
      </c>
      <c r="B1407" s="2">
        <v>45351</v>
      </c>
      <c r="C1407" t="s">
        <v>1284</v>
      </c>
      <c r="D1407" t="s">
        <v>1675</v>
      </c>
      <c r="E1407" t="s">
        <v>1762</v>
      </c>
      <c r="F1407" s="4">
        <v>4</v>
      </c>
      <c r="G1407">
        <v>282.07</v>
      </c>
      <c r="H1407">
        <v>0.18</v>
      </c>
      <c r="I1407" t="s">
        <v>1809</v>
      </c>
      <c r="J1407">
        <v>925.18960000000004</v>
      </c>
      <c r="K1407" t="s">
        <v>1285</v>
      </c>
      <c r="L1407">
        <v>33</v>
      </c>
      <c r="M1407" t="str">
        <v>Male</v>
      </c>
      <c r="N1407" t="str">
        <f>VLOOKUP(C:C,Customer_Dim!B:I,5,1)</f>
        <v>West Mario</v>
      </c>
      <c r="O1407" t="str">
        <f>VLOOKUP(C:C,Customer_Dim!B:I,6,1)</f>
        <v>New Hampshire</v>
      </c>
      <c r="P1407" t="str">
        <f>VLOOKUP(C:C,Customer_Dim!B:I,7,1)</f>
        <v>USA</v>
      </c>
      <c r="Q1407" t="str">
        <f>VLOOKUP(C:C,Customer_Dim!B:I,8,1)</f>
        <v>Silver</v>
      </c>
      <c r="S1407">
        <v>4</v>
      </c>
      <c r="T1407">
        <v>282.07</v>
      </c>
      <c r="U1407">
        <v>0.18</v>
      </c>
      <c r="V1407">
        <v>925.18960000000004</v>
      </c>
      <c r="X1407" s="4">
        <v>4</v>
      </c>
      <c r="Y1407">
        <v>282.07</v>
      </c>
      <c r="Z1407">
        <v>0.18</v>
      </c>
      <c r="AA1407">
        <v>925.18960000000004</v>
      </c>
    </row>
    <row r="1408" spans="1:27" x14ac:dyDescent="0.3">
      <c r="A1408" t="s">
        <v>3215</v>
      </c>
      <c r="B1408" s="2">
        <v>45290</v>
      </c>
      <c r="C1408" t="s">
        <v>518</v>
      </c>
      <c r="D1408" t="s">
        <v>1639</v>
      </c>
      <c r="E1408" t="s">
        <v>1759</v>
      </c>
      <c r="F1408" s="4">
        <v>3</v>
      </c>
      <c r="G1408">
        <v>676.77</v>
      </c>
      <c r="H1408">
        <v>0.17</v>
      </c>
      <c r="I1408" t="s">
        <v>1809</v>
      </c>
      <c r="J1408">
        <v>1685.1573000000001</v>
      </c>
      <c r="K1408" t="s">
        <v>519</v>
      </c>
      <c r="L1408">
        <v>59</v>
      </c>
      <c r="M1408" t="str">
        <v>Male</v>
      </c>
      <c r="N1408" t="str">
        <f>VLOOKUP(C:C,Customer_Dim!B:I,5,1)</f>
        <v>East Peterbury</v>
      </c>
      <c r="O1408" t="str">
        <f>VLOOKUP(C:C,Customer_Dim!B:I,6,1)</f>
        <v>North Dakota</v>
      </c>
      <c r="P1408" t="str">
        <f>VLOOKUP(C:C,Customer_Dim!B:I,7,1)</f>
        <v>USA</v>
      </c>
      <c r="Q1408" t="str">
        <f>VLOOKUP(C:C,Customer_Dim!B:I,8,1)</f>
        <v>Bronze</v>
      </c>
      <c r="S1408">
        <v>3</v>
      </c>
      <c r="T1408">
        <v>676.77</v>
      </c>
      <c r="U1408">
        <v>0.17</v>
      </c>
      <c r="V1408">
        <v>1685.1573000000001</v>
      </c>
      <c r="X1408" s="4">
        <v>3</v>
      </c>
      <c r="Y1408">
        <v>676.77</v>
      </c>
      <c r="Z1408">
        <v>0.17</v>
      </c>
      <c r="AA1408">
        <v>1685.1573000000001</v>
      </c>
    </row>
    <row r="1409" spans="1:27" x14ac:dyDescent="0.3">
      <c r="A1409" t="s">
        <v>3216</v>
      </c>
      <c r="B1409" s="2">
        <v>45638</v>
      </c>
      <c r="C1409" t="s">
        <v>707</v>
      </c>
      <c r="D1409" t="s">
        <v>1543</v>
      </c>
      <c r="E1409" t="s">
        <v>1787</v>
      </c>
      <c r="F1409" s="4">
        <v>2</v>
      </c>
      <c r="G1409">
        <v>362.7</v>
      </c>
      <c r="H1409">
        <v>0.09</v>
      </c>
      <c r="I1409" t="s">
        <v>1807</v>
      </c>
      <c r="J1409">
        <v>660.11400000000003</v>
      </c>
      <c r="K1409" t="s">
        <v>708</v>
      </c>
      <c r="L1409">
        <v>38</v>
      </c>
      <c r="M1409" t="str">
        <v>Male</v>
      </c>
      <c r="N1409" t="str">
        <f>VLOOKUP(C:C,Customer_Dim!B:I,5,1)</f>
        <v xml:space="preserve">    Lake Lisa</v>
      </c>
      <c r="O1409" t="str">
        <f>VLOOKUP(C:C,Customer_Dim!B:I,6,1)</f>
        <v>Massachusetts</v>
      </c>
      <c r="P1409" t="str">
        <f>VLOOKUP(C:C,Customer_Dim!B:I,7,1)</f>
        <v>USA</v>
      </c>
      <c r="Q1409" t="str">
        <f>VLOOKUP(C:C,Customer_Dim!B:I,8,1)</f>
        <v>Bronze</v>
      </c>
      <c r="S1409">
        <v>2</v>
      </c>
      <c r="T1409">
        <v>362.7</v>
      </c>
      <c r="U1409">
        <v>0.09</v>
      </c>
      <c r="V1409">
        <v>660.11400000000003</v>
      </c>
      <c r="X1409" s="4">
        <v>2</v>
      </c>
      <c r="Y1409">
        <v>362.7</v>
      </c>
      <c r="Z1409">
        <v>0.09</v>
      </c>
      <c r="AA1409">
        <v>660.11400000000003</v>
      </c>
    </row>
    <row r="1410" spans="1:27" x14ac:dyDescent="0.3">
      <c r="A1410" t="s">
        <v>3217</v>
      </c>
      <c r="B1410" s="2">
        <v>45679</v>
      </c>
      <c r="C1410" t="s">
        <v>456</v>
      </c>
      <c r="D1410" t="s">
        <v>1557</v>
      </c>
      <c r="E1410" t="s">
        <v>1744</v>
      </c>
      <c r="F1410" s="4">
        <v>1</v>
      </c>
      <c r="G1410">
        <v>908.5</v>
      </c>
      <c r="H1410">
        <v>0.2</v>
      </c>
      <c r="I1410" t="s">
        <v>1812</v>
      </c>
      <c r="J1410">
        <v>726.80000000000007</v>
      </c>
      <c r="K1410" t="s">
        <v>457</v>
      </c>
      <c r="L1410">
        <v>29</v>
      </c>
      <c r="M1410" t="str">
        <v>Male</v>
      </c>
      <c r="N1410" t="str">
        <f>VLOOKUP(C:C,Customer_Dim!B:I,5,1)</f>
        <v>Gonzalezbury</v>
      </c>
      <c r="O1410" t="str">
        <f>VLOOKUP(C:C,Customer_Dim!B:I,6,1)</f>
        <v>Michigan</v>
      </c>
      <c r="P1410" t="str">
        <f>VLOOKUP(C:C,Customer_Dim!B:I,7,1)</f>
        <v>USA</v>
      </c>
      <c r="Q1410" t="str">
        <f>VLOOKUP(C:C,Customer_Dim!B:I,8,1)</f>
        <v>Platinum</v>
      </c>
      <c r="S1410">
        <v>1</v>
      </c>
      <c r="T1410">
        <v>908.5</v>
      </c>
      <c r="U1410">
        <v>0.2</v>
      </c>
      <c r="V1410">
        <v>726.80000000000007</v>
      </c>
      <c r="X1410" s="4">
        <v>1</v>
      </c>
      <c r="Y1410">
        <v>908.5</v>
      </c>
      <c r="Z1410">
        <v>0.2</v>
      </c>
      <c r="AA1410">
        <v>726.80000000000007</v>
      </c>
    </row>
    <row r="1411" spans="1:27" x14ac:dyDescent="0.3">
      <c r="A1411" t="s">
        <v>3218</v>
      </c>
      <c r="B1411" s="2">
        <v>45296</v>
      </c>
      <c r="C1411" t="s">
        <v>244</v>
      </c>
      <c r="D1411" t="s">
        <v>1581</v>
      </c>
      <c r="E1411" t="s">
        <v>1784</v>
      </c>
      <c r="F1411" s="4">
        <v>2</v>
      </c>
      <c r="G1411">
        <v>795.37</v>
      </c>
      <c r="H1411">
        <v>0.2</v>
      </c>
      <c r="I1411" t="s">
        <v>1812</v>
      </c>
      <c r="J1411">
        <v>1272.5920000000001</v>
      </c>
      <c r="K1411" t="s">
        <v>245</v>
      </c>
      <c r="L1411">
        <v>24</v>
      </c>
      <c r="M1411" t="str">
        <v>Female</v>
      </c>
      <c r="N1411" t="str">
        <f>VLOOKUP(C:C,Customer_Dim!B:I,5,1)</f>
        <v>Brendaburgh</v>
      </c>
      <c r="O1411" t="str">
        <f>VLOOKUP(C:C,Customer_Dim!B:I,6,1)</f>
        <v>Florida</v>
      </c>
      <c r="P1411" t="str">
        <f>VLOOKUP(C:C,Customer_Dim!B:I,7,1)</f>
        <v>USA</v>
      </c>
      <c r="Q1411" t="str">
        <f>VLOOKUP(C:C,Customer_Dim!B:I,8,1)</f>
        <v>Silver</v>
      </c>
      <c r="S1411">
        <v>2</v>
      </c>
      <c r="T1411">
        <v>795.37</v>
      </c>
      <c r="U1411">
        <v>0.2</v>
      </c>
      <c r="V1411">
        <v>1272.5920000000001</v>
      </c>
      <c r="X1411" s="4">
        <v>2</v>
      </c>
      <c r="Y1411">
        <v>795.37</v>
      </c>
      <c r="Z1411">
        <v>0.2</v>
      </c>
      <c r="AA1411">
        <v>1272.5920000000001</v>
      </c>
    </row>
    <row r="1412" spans="1:27" x14ac:dyDescent="0.3">
      <c r="A1412" t="s">
        <v>3219</v>
      </c>
      <c r="B1412" s="2">
        <v>45760</v>
      </c>
      <c r="C1412" t="s">
        <v>482</v>
      </c>
      <c r="D1412" t="s">
        <v>1601</v>
      </c>
      <c r="E1412" t="s">
        <v>1752</v>
      </c>
      <c r="F1412" s="4">
        <v>2</v>
      </c>
      <c r="G1412">
        <v>326.85000000000002</v>
      </c>
      <c r="H1412">
        <v>0.17</v>
      </c>
      <c r="I1412" t="s">
        <v>1812</v>
      </c>
      <c r="J1412">
        <v>542.57100000000003</v>
      </c>
      <c r="K1412" t="s">
        <v>483</v>
      </c>
      <c r="L1412">
        <v>46</v>
      </c>
      <c r="M1412" t="str">
        <v>Male</v>
      </c>
      <c r="N1412" t="str">
        <f>VLOOKUP(C:C,Customer_Dim!B:I,5,1)</f>
        <v>North Anthonychester</v>
      </c>
      <c r="O1412" t="str">
        <f>VLOOKUP(C:C,Customer_Dim!B:I,6,1)</f>
        <v>Nevada</v>
      </c>
      <c r="P1412" t="str">
        <f>VLOOKUP(C:C,Customer_Dim!B:I,7,1)</f>
        <v>USA</v>
      </c>
      <c r="Q1412" t="str">
        <f>VLOOKUP(C:C,Customer_Dim!B:I,8,1)</f>
        <v>Bronze</v>
      </c>
      <c r="S1412">
        <v>2</v>
      </c>
      <c r="T1412">
        <v>326.85000000000002</v>
      </c>
      <c r="U1412">
        <v>0.17</v>
      </c>
      <c r="V1412">
        <v>542.57100000000003</v>
      </c>
      <c r="X1412" s="4">
        <v>2</v>
      </c>
      <c r="Y1412">
        <v>326.85000000000002</v>
      </c>
      <c r="Z1412">
        <v>0.17</v>
      </c>
      <c r="AA1412">
        <v>542.57100000000003</v>
      </c>
    </row>
    <row r="1413" spans="1:27" x14ac:dyDescent="0.3">
      <c r="A1413" t="s">
        <v>3220</v>
      </c>
      <c r="B1413" s="2">
        <v>45603</v>
      </c>
      <c r="C1413" t="s">
        <v>1086</v>
      </c>
      <c r="D1413" t="s">
        <v>1643</v>
      </c>
      <c r="E1413" t="s">
        <v>1782</v>
      </c>
      <c r="F1413" s="4">
        <v>3</v>
      </c>
      <c r="G1413">
        <v>169.43</v>
      </c>
      <c r="H1413">
        <v>0.19</v>
      </c>
      <c r="I1413" t="s">
        <v>1807</v>
      </c>
      <c r="J1413">
        <v>411.71490000000011</v>
      </c>
      <c r="K1413" t="s">
        <v>1087</v>
      </c>
      <c r="L1413">
        <v>25</v>
      </c>
      <c r="M1413" t="str">
        <v>Female</v>
      </c>
      <c r="N1413" t="str">
        <f>VLOOKUP(C:C,Customer_Dim!B:I,5,1)</f>
        <v>Lake Allisonborough</v>
      </c>
      <c r="O1413" t="str">
        <f>VLOOKUP(C:C,Customer_Dim!B:I,6,1)</f>
        <v>Iowa</v>
      </c>
      <c r="P1413" t="str">
        <f>VLOOKUP(C:C,Customer_Dim!B:I,7,1)</f>
        <v>USA</v>
      </c>
      <c r="Q1413" t="str">
        <f>VLOOKUP(C:C,Customer_Dim!B:I,8,1)</f>
        <v>Silver</v>
      </c>
      <c r="S1413">
        <v>3</v>
      </c>
      <c r="T1413">
        <v>169.43</v>
      </c>
      <c r="U1413">
        <v>0.19</v>
      </c>
      <c r="V1413">
        <v>411.71490000000011</v>
      </c>
      <c r="X1413" s="4">
        <v>3</v>
      </c>
      <c r="Y1413">
        <v>169.43</v>
      </c>
      <c r="Z1413">
        <v>0.19</v>
      </c>
      <c r="AA1413">
        <v>411.71490000000011</v>
      </c>
    </row>
    <row r="1414" spans="1:27" x14ac:dyDescent="0.3">
      <c r="A1414" t="s">
        <v>3221</v>
      </c>
      <c r="B1414" s="2">
        <v>45413</v>
      </c>
      <c r="C1414" t="s">
        <v>539</v>
      </c>
      <c r="D1414" t="s">
        <v>1697</v>
      </c>
      <c r="E1414" t="s">
        <v>1759</v>
      </c>
      <c r="F1414" s="4">
        <v>1</v>
      </c>
      <c r="G1414">
        <v>254.47</v>
      </c>
      <c r="H1414">
        <v>0.1</v>
      </c>
      <c r="I1414" t="s">
        <v>1807</v>
      </c>
      <c r="J1414">
        <v>229.023</v>
      </c>
      <c r="K1414" t="s">
        <v>540</v>
      </c>
      <c r="L1414">
        <v>39</v>
      </c>
      <c r="M1414" t="str">
        <v>Female</v>
      </c>
      <c r="N1414" t="str">
        <f>VLOOKUP(C:C,Customer_Dim!B:I,5,1)</f>
        <v>North Matthew</v>
      </c>
      <c r="O1414" t="str">
        <f>VLOOKUP(C:C,Customer_Dim!B:I,6,1)</f>
        <v>Illinois</v>
      </c>
      <c r="P1414" t="str">
        <f>VLOOKUP(C:C,Customer_Dim!B:I,7,1)</f>
        <v>USA</v>
      </c>
      <c r="Q1414" t="str">
        <f>VLOOKUP(C:C,Customer_Dim!B:I,8,1)</f>
        <v>Bronze</v>
      </c>
      <c r="S1414">
        <v>1</v>
      </c>
      <c r="T1414">
        <v>254.47</v>
      </c>
      <c r="U1414">
        <v>0.1</v>
      </c>
      <c r="V1414">
        <v>229.023</v>
      </c>
      <c r="X1414" s="4">
        <v>1</v>
      </c>
      <c r="Y1414">
        <v>254.47</v>
      </c>
      <c r="Z1414">
        <v>0.1</v>
      </c>
      <c r="AA1414">
        <v>229.023</v>
      </c>
    </row>
    <row r="1415" spans="1:27" x14ac:dyDescent="0.3">
      <c r="A1415" t="s">
        <v>3222</v>
      </c>
      <c r="B1415" s="2">
        <v>45506</v>
      </c>
      <c r="C1415" t="s">
        <v>1284</v>
      </c>
      <c r="D1415" t="s">
        <v>1581</v>
      </c>
      <c r="E1415" t="s">
        <v>1787</v>
      </c>
      <c r="F1415" s="4">
        <v>4</v>
      </c>
      <c r="G1415">
        <v>627.73</v>
      </c>
      <c r="H1415">
        <v>0.11</v>
      </c>
      <c r="I1415" t="s">
        <v>1812</v>
      </c>
      <c r="J1415">
        <v>2234.7188000000001</v>
      </c>
      <c r="K1415" t="s">
        <v>1285</v>
      </c>
      <c r="L1415">
        <v>33</v>
      </c>
      <c r="M1415" t="str">
        <v>Male</v>
      </c>
      <c r="N1415" t="str">
        <f>VLOOKUP(C:C,Customer_Dim!B:I,5,1)</f>
        <v>West Mario</v>
      </c>
      <c r="O1415" t="str">
        <f>VLOOKUP(C:C,Customer_Dim!B:I,6,1)</f>
        <v>New Hampshire</v>
      </c>
      <c r="P1415" t="str">
        <f>VLOOKUP(C:C,Customer_Dim!B:I,7,1)</f>
        <v>USA</v>
      </c>
      <c r="Q1415" t="str">
        <f>VLOOKUP(C:C,Customer_Dim!B:I,8,1)</f>
        <v>Silver</v>
      </c>
      <c r="S1415">
        <v>4</v>
      </c>
      <c r="T1415">
        <v>627.73</v>
      </c>
      <c r="U1415">
        <v>0.11</v>
      </c>
      <c r="V1415">
        <v>2234.7188000000001</v>
      </c>
      <c r="X1415" s="4">
        <v>4</v>
      </c>
      <c r="Y1415">
        <v>627.73</v>
      </c>
      <c r="Z1415">
        <v>0.11</v>
      </c>
      <c r="AA1415">
        <v>2234.7188000000001</v>
      </c>
    </row>
    <row r="1416" spans="1:27" x14ac:dyDescent="0.3">
      <c r="A1416" t="s">
        <v>3223</v>
      </c>
      <c r="B1416" s="2">
        <v>45394</v>
      </c>
      <c r="C1416" t="s">
        <v>1147</v>
      </c>
      <c r="D1416" t="s">
        <v>1593</v>
      </c>
      <c r="E1416" t="s">
        <v>1796</v>
      </c>
      <c r="F1416" s="4">
        <v>4</v>
      </c>
      <c r="G1416">
        <v>327.25</v>
      </c>
      <c r="H1416">
        <v>0.13</v>
      </c>
      <c r="I1416" t="s">
        <v>1812</v>
      </c>
      <c r="J1416">
        <v>1138.83</v>
      </c>
      <c r="K1416" t="s">
        <v>1148</v>
      </c>
      <c r="L1416">
        <v>28</v>
      </c>
      <c r="M1416" t="str">
        <v>Male</v>
      </c>
      <c r="N1416" t="str">
        <f>VLOOKUP(C:C,Customer_Dim!B:I,5,1)</f>
        <v>Port Crystal</v>
      </c>
      <c r="O1416" t="str">
        <f>VLOOKUP(C:C,Customer_Dim!B:I,6,1)</f>
        <v>New Hampshire</v>
      </c>
      <c r="P1416" t="str">
        <f>VLOOKUP(C:C,Customer_Dim!B:I,7,1)</f>
        <v>USA</v>
      </c>
      <c r="Q1416" t="str">
        <f>VLOOKUP(C:C,Customer_Dim!B:I,8,1)</f>
        <v>Platinum</v>
      </c>
      <c r="S1416">
        <v>4</v>
      </c>
      <c r="T1416">
        <v>327.25</v>
      </c>
      <c r="U1416">
        <v>0.13</v>
      </c>
      <c r="V1416">
        <v>1138.83</v>
      </c>
      <c r="X1416" s="4">
        <v>4</v>
      </c>
      <c r="Y1416">
        <v>327.25</v>
      </c>
      <c r="Z1416">
        <v>0.13</v>
      </c>
      <c r="AA1416">
        <v>1138.83</v>
      </c>
    </row>
    <row r="1417" spans="1:27" x14ac:dyDescent="0.3">
      <c r="A1417" t="s">
        <v>3224</v>
      </c>
      <c r="B1417" s="2">
        <v>45755</v>
      </c>
      <c r="C1417" t="s">
        <v>485</v>
      </c>
      <c r="D1417" t="s">
        <v>1649</v>
      </c>
      <c r="E1417" t="s">
        <v>1775</v>
      </c>
      <c r="F1417" s="4">
        <v>4</v>
      </c>
      <c r="G1417">
        <v>511.43</v>
      </c>
      <c r="H1417">
        <v>0.18</v>
      </c>
      <c r="I1417" t="s">
        <v>1812</v>
      </c>
      <c r="J1417">
        <v>1677.4903999999999</v>
      </c>
      <c r="K1417" t="s">
        <v>486</v>
      </c>
      <c r="L1417">
        <v>32</v>
      </c>
      <c r="M1417" t="str">
        <v>Female</v>
      </c>
      <c r="N1417" t="str">
        <f>VLOOKUP(C:C,Customer_Dim!B:I,5,1)</f>
        <v>Michaelfort</v>
      </c>
      <c r="O1417" t="str">
        <f>VLOOKUP(C:C,Customer_Dim!B:I,6,1)</f>
        <v>Indiana</v>
      </c>
      <c r="P1417" t="str">
        <f>VLOOKUP(C:C,Customer_Dim!B:I,7,1)</f>
        <v>USA</v>
      </c>
      <c r="Q1417" t="str">
        <f>VLOOKUP(C:C,Customer_Dim!B:I,8,1)</f>
        <v>Platinum</v>
      </c>
      <c r="S1417">
        <v>4</v>
      </c>
      <c r="T1417">
        <v>511.43</v>
      </c>
      <c r="U1417">
        <v>0.18</v>
      </c>
      <c r="V1417">
        <v>1677.4903999999999</v>
      </c>
      <c r="X1417" s="4">
        <v>4</v>
      </c>
      <c r="Y1417">
        <v>511.43</v>
      </c>
      <c r="Z1417">
        <v>0.18</v>
      </c>
      <c r="AA1417">
        <v>1677.4903999999999</v>
      </c>
    </row>
    <row r="1418" spans="1:27" x14ac:dyDescent="0.3">
      <c r="A1418" t="s">
        <v>3225</v>
      </c>
      <c r="B1418" s="2">
        <v>45473</v>
      </c>
      <c r="C1418" t="s">
        <v>545</v>
      </c>
      <c r="D1418" t="s">
        <v>1657</v>
      </c>
      <c r="E1418" t="s">
        <v>1790</v>
      </c>
      <c r="F1418" s="4">
        <v>4</v>
      </c>
      <c r="G1418">
        <v>194.67</v>
      </c>
      <c r="H1418">
        <v>0.23</v>
      </c>
      <c r="I1418" t="s">
        <v>1809</v>
      </c>
      <c r="J1418">
        <v>599.58359999999993</v>
      </c>
      <c r="K1418" t="s">
        <v>546</v>
      </c>
      <c r="L1418">
        <v>25</v>
      </c>
      <c r="M1418" t="str">
        <v>Female</v>
      </c>
      <c r="N1418" t="str">
        <f>VLOOKUP(C:C,Customer_Dim!B:I,5,1)</f>
        <v>Carolview</v>
      </c>
      <c r="O1418" t="str">
        <f>VLOOKUP(C:C,Customer_Dim!B:I,6,1)</f>
        <v>Illinois</v>
      </c>
      <c r="P1418" t="str">
        <f>VLOOKUP(C:C,Customer_Dim!B:I,7,1)</f>
        <v>USA</v>
      </c>
      <c r="Q1418" t="str">
        <f>VLOOKUP(C:C,Customer_Dim!B:I,8,1)</f>
        <v>Platinum</v>
      </c>
      <c r="S1418">
        <v>4</v>
      </c>
      <c r="T1418">
        <v>194.67</v>
      </c>
      <c r="U1418">
        <v>0.23</v>
      </c>
      <c r="V1418">
        <v>599.58359999999993</v>
      </c>
      <c r="X1418" s="4">
        <v>4</v>
      </c>
      <c r="Y1418">
        <v>194.67</v>
      </c>
      <c r="Z1418">
        <v>0.23</v>
      </c>
      <c r="AA1418">
        <v>599.58359999999993</v>
      </c>
    </row>
    <row r="1419" spans="1:27" x14ac:dyDescent="0.3">
      <c r="A1419" t="s">
        <v>3226</v>
      </c>
      <c r="B1419" s="2">
        <v>45304</v>
      </c>
      <c r="C1419" t="s">
        <v>218</v>
      </c>
      <c r="D1419" t="s">
        <v>1577</v>
      </c>
      <c r="E1419" t="s">
        <v>1740</v>
      </c>
      <c r="F1419" s="4">
        <v>2</v>
      </c>
      <c r="G1419">
        <v>54.51</v>
      </c>
      <c r="H1419">
        <v>7.0000000000000007E-2</v>
      </c>
      <c r="I1419" t="s">
        <v>1807</v>
      </c>
      <c r="J1419">
        <v>101.3886</v>
      </c>
      <c r="K1419" t="s">
        <v>219</v>
      </c>
      <c r="L1419">
        <v>22</v>
      </c>
      <c r="M1419" t="str">
        <v>Female</v>
      </c>
      <c r="N1419" t="str">
        <f>VLOOKUP(C:C,Customer_Dim!B:I,5,1)</f>
        <v>New Kathrynland</v>
      </c>
      <c r="O1419" t="str">
        <f>VLOOKUP(C:C,Customer_Dim!B:I,6,1)</f>
        <v>Montana</v>
      </c>
      <c r="P1419" t="str">
        <f>VLOOKUP(C:C,Customer_Dim!B:I,7,1)</f>
        <v>USA</v>
      </c>
      <c r="Q1419" t="str">
        <f>VLOOKUP(C:C,Customer_Dim!B:I,8,1)</f>
        <v>Platinum</v>
      </c>
      <c r="S1419">
        <v>2</v>
      </c>
      <c r="T1419">
        <v>54.51</v>
      </c>
      <c r="U1419">
        <v>7.0000000000000007E-2</v>
      </c>
      <c r="V1419">
        <v>101.3886</v>
      </c>
      <c r="X1419" s="4">
        <v>2</v>
      </c>
      <c r="Y1419">
        <v>54.51</v>
      </c>
      <c r="Z1419">
        <v>7.0000000000000007E-2</v>
      </c>
      <c r="AA1419">
        <v>101.3886</v>
      </c>
    </row>
    <row r="1420" spans="1:27" x14ac:dyDescent="0.3">
      <c r="A1420" t="s">
        <v>3227</v>
      </c>
      <c r="B1420" s="2">
        <v>45557</v>
      </c>
      <c r="C1420" t="s">
        <v>275</v>
      </c>
      <c r="D1420" t="s">
        <v>1655</v>
      </c>
      <c r="E1420" t="s">
        <v>1775</v>
      </c>
      <c r="F1420" s="4">
        <v>4</v>
      </c>
      <c r="G1420">
        <v>964</v>
      </c>
      <c r="H1420">
        <v>0.14000000000000001</v>
      </c>
      <c r="I1420" t="s">
        <v>1809</v>
      </c>
      <c r="J1420">
        <v>3316.16</v>
      </c>
      <c r="K1420" t="s">
        <v>276</v>
      </c>
      <c r="L1420">
        <v>29</v>
      </c>
      <c r="M1420" t="str">
        <v>Male</v>
      </c>
      <c r="N1420" t="str">
        <f>VLOOKUP(C:C,Customer_Dim!B:I,5,1)</f>
        <v>Rodrigueztown</v>
      </c>
      <c r="O1420" t="str">
        <f>VLOOKUP(C:C,Customer_Dim!B:I,6,1)</f>
        <v>Oklahoma</v>
      </c>
      <c r="P1420" t="str">
        <f>VLOOKUP(C:C,Customer_Dim!B:I,7,1)</f>
        <v>USA</v>
      </c>
      <c r="Q1420" t="str">
        <f>VLOOKUP(C:C,Customer_Dim!B:I,8,1)</f>
        <v>Gold</v>
      </c>
      <c r="S1420">
        <v>4</v>
      </c>
      <c r="T1420">
        <v>964</v>
      </c>
      <c r="U1420">
        <v>0.14000000000000001</v>
      </c>
      <c r="V1420">
        <v>3316.16</v>
      </c>
      <c r="X1420" s="4">
        <v>4</v>
      </c>
      <c r="Y1420">
        <v>964</v>
      </c>
      <c r="Z1420">
        <v>0.14000000000000001</v>
      </c>
      <c r="AA1420">
        <v>3316.16</v>
      </c>
    </row>
    <row r="1421" spans="1:27" x14ac:dyDescent="0.3">
      <c r="A1421" t="s">
        <v>3228</v>
      </c>
      <c r="B1421" s="2">
        <v>45527</v>
      </c>
      <c r="C1421" t="s">
        <v>156</v>
      </c>
      <c r="D1421" t="s">
        <v>1709</v>
      </c>
      <c r="E1421" t="s">
        <v>1752</v>
      </c>
      <c r="F1421" s="4">
        <v>1</v>
      </c>
      <c r="G1421">
        <v>170.12</v>
      </c>
      <c r="H1421">
        <v>0.26</v>
      </c>
      <c r="I1421" t="s">
        <v>1809</v>
      </c>
      <c r="J1421">
        <v>125.8888</v>
      </c>
      <c r="K1421" t="s">
        <v>157</v>
      </c>
      <c r="L1421">
        <v>21</v>
      </c>
      <c r="M1421" t="str">
        <v>Male</v>
      </c>
      <c r="N1421" t="str">
        <f>VLOOKUP(C:C,Customer_Dim!B:I,5,1)</f>
        <v>Williamsonland</v>
      </c>
      <c r="O1421" t="str">
        <f>VLOOKUP(C:C,Customer_Dim!B:I,6,1)</f>
        <v>Kansas</v>
      </c>
      <c r="P1421" t="str">
        <f>VLOOKUP(C:C,Customer_Dim!B:I,7,1)</f>
        <v>USA</v>
      </c>
      <c r="Q1421" t="str">
        <f>VLOOKUP(C:C,Customer_Dim!B:I,8,1)</f>
        <v>Gold</v>
      </c>
      <c r="S1421">
        <v>1</v>
      </c>
      <c r="T1421">
        <v>170.12</v>
      </c>
      <c r="U1421">
        <v>0.26</v>
      </c>
      <c r="V1421">
        <v>125.8888</v>
      </c>
      <c r="X1421" s="4">
        <v>1</v>
      </c>
      <c r="Y1421">
        <v>170.12</v>
      </c>
      <c r="Z1421">
        <v>0.26</v>
      </c>
      <c r="AA1421">
        <v>125.8888</v>
      </c>
    </row>
    <row r="1422" spans="1:27" x14ac:dyDescent="0.3">
      <c r="A1422" t="s">
        <v>3229</v>
      </c>
      <c r="B1422" s="2">
        <v>45875</v>
      </c>
      <c r="C1422" t="s">
        <v>506</v>
      </c>
      <c r="D1422" t="s">
        <v>1637</v>
      </c>
      <c r="E1422" t="s">
        <v>1796</v>
      </c>
      <c r="F1422" s="4">
        <v>2</v>
      </c>
      <c r="G1422">
        <v>664.5</v>
      </c>
      <c r="H1422">
        <v>0.23</v>
      </c>
      <c r="I1422" t="s">
        <v>1807</v>
      </c>
      <c r="J1422">
        <v>1023.33</v>
      </c>
      <c r="K1422" t="s">
        <v>507</v>
      </c>
      <c r="L1422">
        <v>31</v>
      </c>
      <c r="M1422" t="str">
        <v>Male</v>
      </c>
      <c r="N1422" t="str">
        <f>VLOOKUP(C:C,Customer_Dim!B:I,5,1)</f>
        <v>Jaredville</v>
      </c>
      <c r="O1422" t="str">
        <f>VLOOKUP(C:C,Customer_Dim!B:I,6,1)</f>
        <v>Missouri</v>
      </c>
      <c r="P1422" t="str">
        <f>VLOOKUP(C:C,Customer_Dim!B:I,7,1)</f>
        <v>USA</v>
      </c>
      <c r="Q1422" t="str">
        <f>VLOOKUP(C:C,Customer_Dim!B:I,8,1)</f>
        <v>Platinum</v>
      </c>
      <c r="S1422">
        <v>2</v>
      </c>
      <c r="T1422">
        <v>664.5</v>
      </c>
      <c r="U1422">
        <v>0.23</v>
      </c>
      <c r="V1422">
        <v>1023.33</v>
      </c>
      <c r="X1422" s="4">
        <v>2</v>
      </c>
      <c r="Y1422">
        <v>664.5</v>
      </c>
      <c r="Z1422">
        <v>0.23</v>
      </c>
      <c r="AA1422">
        <v>1023.33</v>
      </c>
    </row>
    <row r="1423" spans="1:27" x14ac:dyDescent="0.3">
      <c r="A1423" t="s">
        <v>3230</v>
      </c>
      <c r="B1423" s="2">
        <v>45936</v>
      </c>
      <c r="C1423" t="s">
        <v>1147</v>
      </c>
      <c r="D1423" t="s">
        <v>1621</v>
      </c>
      <c r="E1423" t="s">
        <v>1772</v>
      </c>
      <c r="F1423" s="4">
        <v>4</v>
      </c>
      <c r="G1423">
        <v>557.51</v>
      </c>
      <c r="H1423">
        <v>0.11</v>
      </c>
      <c r="I1423" t="s">
        <v>1807</v>
      </c>
      <c r="J1423">
        <v>1984.7356</v>
      </c>
      <c r="K1423" t="s">
        <v>1148</v>
      </c>
      <c r="L1423">
        <v>28</v>
      </c>
      <c r="M1423" t="str">
        <v>Male</v>
      </c>
      <c r="N1423" t="str">
        <f>VLOOKUP(C:C,Customer_Dim!B:I,5,1)</f>
        <v>Port Crystal</v>
      </c>
      <c r="O1423" t="str">
        <f>VLOOKUP(C:C,Customer_Dim!B:I,6,1)</f>
        <v>New Hampshire</v>
      </c>
      <c r="P1423" t="str">
        <f>VLOOKUP(C:C,Customer_Dim!B:I,7,1)</f>
        <v>USA</v>
      </c>
      <c r="Q1423" t="str">
        <f>VLOOKUP(C:C,Customer_Dim!B:I,8,1)</f>
        <v>Platinum</v>
      </c>
      <c r="S1423">
        <v>4</v>
      </c>
      <c r="T1423">
        <v>557.51</v>
      </c>
      <c r="U1423">
        <v>0.11</v>
      </c>
      <c r="V1423">
        <v>1984.7356</v>
      </c>
      <c r="X1423" s="4">
        <v>4</v>
      </c>
      <c r="Y1423">
        <v>557.51</v>
      </c>
      <c r="Z1423">
        <v>0.11</v>
      </c>
      <c r="AA1423">
        <v>1984.7356</v>
      </c>
    </row>
    <row r="1424" spans="1:27" x14ac:dyDescent="0.3">
      <c r="A1424" t="s">
        <v>3231</v>
      </c>
      <c r="B1424" s="2">
        <v>45807</v>
      </c>
      <c r="C1424" t="s">
        <v>1225</v>
      </c>
      <c r="D1424" t="s">
        <v>1711</v>
      </c>
      <c r="E1424" t="s">
        <v>1740</v>
      </c>
      <c r="F1424" s="4">
        <v>2</v>
      </c>
      <c r="G1424">
        <v>410</v>
      </c>
      <c r="H1424">
        <v>0.13</v>
      </c>
      <c r="I1424" t="s">
        <v>1812</v>
      </c>
      <c r="J1424">
        <v>713.4</v>
      </c>
      <c r="K1424" t="s">
        <v>3948</v>
      </c>
      <c r="L1424">
        <v>54</v>
      </c>
      <c r="M1424" t="str">
        <v>Male</v>
      </c>
      <c r="N1424" t="str">
        <f>VLOOKUP(C:C,Customer_Dim!B:I,5,1)</f>
        <v>East Jennifer</v>
      </c>
      <c r="O1424" t="str">
        <f>VLOOKUP(C:C,Customer_Dim!B:I,6,1)</f>
        <v>Kansas</v>
      </c>
      <c r="P1424" t="str">
        <f>VLOOKUP(C:C,Customer_Dim!B:I,7,1)</f>
        <v>USA</v>
      </c>
      <c r="Q1424" t="str">
        <f>VLOOKUP(C:C,Customer_Dim!B:I,8,1)</f>
        <v>Platinum</v>
      </c>
      <c r="S1424">
        <v>2</v>
      </c>
      <c r="T1424">
        <v>410</v>
      </c>
      <c r="U1424">
        <v>0.13</v>
      </c>
      <c r="V1424">
        <v>713.4</v>
      </c>
      <c r="X1424" s="4">
        <v>2</v>
      </c>
      <c r="Y1424">
        <v>410</v>
      </c>
      <c r="Z1424">
        <v>0.13</v>
      </c>
      <c r="AA1424">
        <v>713.4</v>
      </c>
    </row>
    <row r="1425" spans="1:27" x14ac:dyDescent="0.3">
      <c r="A1425" t="s">
        <v>3232</v>
      </c>
      <c r="B1425" s="2">
        <v>45473</v>
      </c>
      <c r="C1425" t="s">
        <v>956</v>
      </c>
      <c r="D1425" t="s">
        <v>1697</v>
      </c>
      <c r="E1425" t="s">
        <v>1756</v>
      </c>
      <c r="F1425" s="4">
        <v>2</v>
      </c>
      <c r="G1425">
        <v>879.93</v>
      </c>
      <c r="H1425">
        <v>0.28999999999999998</v>
      </c>
      <c r="I1425" t="s">
        <v>1812</v>
      </c>
      <c r="J1425">
        <v>1249.5006000000001</v>
      </c>
      <c r="K1425" t="s">
        <v>957</v>
      </c>
      <c r="L1425">
        <v>56</v>
      </c>
      <c r="M1425" t="str">
        <v>Female</v>
      </c>
      <c r="N1425" t="str">
        <f>VLOOKUP(C:C,Customer_Dim!B:I,5,1)</f>
        <v>New Nicholasstad</v>
      </c>
      <c r="O1425" t="str">
        <f>VLOOKUP(C:C,Customer_Dim!B:I,6,1)</f>
        <v>Tennessee</v>
      </c>
      <c r="P1425" t="str">
        <f>VLOOKUP(C:C,Customer_Dim!B:I,7,1)</f>
        <v>USA</v>
      </c>
      <c r="Q1425" t="str">
        <f>VLOOKUP(C:C,Customer_Dim!B:I,8,1)</f>
        <v>Platinum</v>
      </c>
      <c r="S1425">
        <v>2</v>
      </c>
      <c r="T1425">
        <v>879.93</v>
      </c>
      <c r="U1425">
        <v>0.28999999999999998</v>
      </c>
      <c r="V1425">
        <v>1249.5006000000001</v>
      </c>
      <c r="X1425" s="4">
        <v>2</v>
      </c>
      <c r="Y1425">
        <v>879.93</v>
      </c>
      <c r="Z1425">
        <v>0.28999999999999998</v>
      </c>
      <c r="AA1425">
        <v>1249.5006000000001</v>
      </c>
    </row>
    <row r="1426" spans="1:27" x14ac:dyDescent="0.3">
      <c r="A1426" t="s">
        <v>3233</v>
      </c>
      <c r="B1426" s="2">
        <v>45664</v>
      </c>
      <c r="C1426" t="s">
        <v>40</v>
      </c>
      <c r="D1426" t="s">
        <v>1557</v>
      </c>
      <c r="E1426" t="s">
        <v>1793</v>
      </c>
      <c r="F1426" s="4">
        <v>1</v>
      </c>
      <c r="G1426">
        <v>350.58</v>
      </c>
      <c r="H1426">
        <v>0.03</v>
      </c>
      <c r="I1426" t="s">
        <v>1812</v>
      </c>
      <c r="J1426">
        <v>340.06259999999997</v>
      </c>
      <c r="K1426" t="s">
        <v>41</v>
      </c>
      <c r="L1426">
        <v>53</v>
      </c>
      <c r="M1426" t="str">
        <v>Female</v>
      </c>
      <c r="N1426" t="str">
        <f>VLOOKUP(C:C,Customer_Dim!B:I,5,1)</f>
        <v>West Pamelafurt</v>
      </c>
      <c r="O1426" t="str">
        <f>VLOOKUP(C:C,Customer_Dim!B:I,6,1)</f>
        <v>West Virginia</v>
      </c>
      <c r="P1426" t="str">
        <f>VLOOKUP(C:C,Customer_Dim!B:I,7,1)</f>
        <v>USA</v>
      </c>
      <c r="Q1426" t="str">
        <f>VLOOKUP(C:C,Customer_Dim!B:I,8,1)</f>
        <v>Bronze</v>
      </c>
      <c r="S1426">
        <v>1</v>
      </c>
      <c r="T1426">
        <v>350.58</v>
      </c>
      <c r="U1426">
        <v>0.03</v>
      </c>
      <c r="V1426">
        <v>340.06259999999997</v>
      </c>
      <c r="X1426" s="4">
        <v>1</v>
      </c>
      <c r="Y1426">
        <v>350.58</v>
      </c>
      <c r="Z1426">
        <v>0.03</v>
      </c>
      <c r="AA1426">
        <v>340.06259999999997</v>
      </c>
    </row>
    <row r="1427" spans="1:27" x14ac:dyDescent="0.3">
      <c r="A1427" t="s">
        <v>3234</v>
      </c>
      <c r="B1427" s="2">
        <v>45633</v>
      </c>
      <c r="C1427" t="s">
        <v>1086</v>
      </c>
      <c r="D1427" t="s">
        <v>1647</v>
      </c>
      <c r="E1427" t="s">
        <v>1749</v>
      </c>
      <c r="F1427" s="4">
        <v>4</v>
      </c>
      <c r="G1427">
        <v>348.58</v>
      </c>
      <c r="H1427">
        <v>0.16</v>
      </c>
      <c r="I1427" t="s">
        <v>1807</v>
      </c>
      <c r="J1427">
        <v>1171.2288000000001</v>
      </c>
      <c r="K1427" t="s">
        <v>1087</v>
      </c>
      <c r="L1427">
        <v>25</v>
      </c>
      <c r="M1427" t="str">
        <v>Female</v>
      </c>
      <c r="N1427" t="str">
        <f>VLOOKUP(C:C,Customer_Dim!B:I,5,1)</f>
        <v>Lake Allisonborough</v>
      </c>
      <c r="O1427" t="str">
        <f>VLOOKUP(C:C,Customer_Dim!B:I,6,1)</f>
        <v>Iowa</v>
      </c>
      <c r="P1427" t="str">
        <f>VLOOKUP(C:C,Customer_Dim!B:I,7,1)</f>
        <v>USA</v>
      </c>
      <c r="Q1427" t="str">
        <f>VLOOKUP(C:C,Customer_Dim!B:I,8,1)</f>
        <v>Silver</v>
      </c>
      <c r="S1427">
        <v>4</v>
      </c>
      <c r="T1427">
        <v>348.58</v>
      </c>
      <c r="U1427">
        <v>0.16</v>
      </c>
      <c r="V1427">
        <v>1171.2288000000001</v>
      </c>
      <c r="X1427" s="4">
        <v>4</v>
      </c>
      <c r="Y1427">
        <v>348.58</v>
      </c>
      <c r="Z1427">
        <v>0.16</v>
      </c>
      <c r="AA1427">
        <v>1171.2288000000001</v>
      </c>
    </row>
    <row r="1428" spans="1:27" x14ac:dyDescent="0.3">
      <c r="A1428" t="s">
        <v>3235</v>
      </c>
      <c r="B1428" s="2">
        <v>45548</v>
      </c>
      <c r="C1428" t="s">
        <v>1401</v>
      </c>
      <c r="D1428" t="s">
        <v>1581</v>
      </c>
      <c r="E1428" t="s">
        <v>1749</v>
      </c>
      <c r="F1428" s="4">
        <v>3</v>
      </c>
      <c r="G1428">
        <v>247.66</v>
      </c>
      <c r="H1428">
        <v>0.02</v>
      </c>
      <c r="I1428" t="s">
        <v>1812</v>
      </c>
      <c r="J1428">
        <v>728.12040000000002</v>
      </c>
      <c r="K1428" t="s">
        <v>673</v>
      </c>
      <c r="L1428">
        <v>35</v>
      </c>
      <c r="M1428" t="str">
        <v>Male</v>
      </c>
      <c r="N1428" t="str">
        <f>VLOOKUP(C:C,Customer_Dim!B:I,5,1)</f>
        <v>Brandontown</v>
      </c>
      <c r="O1428" t="str">
        <f>VLOOKUP(C:C,Customer_Dim!B:I,6,1)</f>
        <v>South Carolina</v>
      </c>
      <c r="P1428" t="str">
        <f>VLOOKUP(C:C,Customer_Dim!B:I,7,1)</f>
        <v>USA</v>
      </c>
      <c r="Q1428" t="str">
        <f>VLOOKUP(C:C,Customer_Dim!B:I,8,1)</f>
        <v>Gold</v>
      </c>
      <c r="S1428">
        <v>3</v>
      </c>
      <c r="T1428">
        <v>247.66</v>
      </c>
      <c r="U1428">
        <v>0.02</v>
      </c>
      <c r="V1428">
        <v>728.12040000000002</v>
      </c>
      <c r="X1428" s="4">
        <v>3</v>
      </c>
      <c r="Y1428">
        <v>247.66</v>
      </c>
      <c r="Z1428">
        <v>0.02</v>
      </c>
      <c r="AA1428">
        <v>728.12040000000002</v>
      </c>
    </row>
    <row r="1429" spans="1:27" x14ac:dyDescent="0.3">
      <c r="A1429" t="s">
        <v>3236</v>
      </c>
      <c r="B1429" s="2">
        <v>45244</v>
      </c>
      <c r="C1429" t="s">
        <v>1198</v>
      </c>
      <c r="D1429" t="s">
        <v>1609</v>
      </c>
      <c r="E1429" t="s">
        <v>1784</v>
      </c>
      <c r="F1429" s="4">
        <v>3</v>
      </c>
      <c r="G1429">
        <v>836.27</v>
      </c>
      <c r="H1429">
        <v>0.16</v>
      </c>
      <c r="I1429" t="s">
        <v>1807</v>
      </c>
      <c r="J1429">
        <v>2107.4004</v>
      </c>
      <c r="K1429" t="s">
        <v>1199</v>
      </c>
      <c r="L1429">
        <v>50</v>
      </c>
      <c r="M1429" t="str">
        <v>Male</v>
      </c>
      <c r="N1429" t="str">
        <f>VLOOKUP(C:C,Customer_Dim!B:I,5,1)</f>
        <v>Stevensshire</v>
      </c>
      <c r="O1429" t="str">
        <f>VLOOKUP(C:C,Customer_Dim!B:I,6,1)</f>
        <v>Missouri</v>
      </c>
      <c r="P1429" t="str">
        <f>VLOOKUP(C:C,Customer_Dim!B:I,7,1)</f>
        <v>USA</v>
      </c>
      <c r="Q1429" t="str">
        <f>VLOOKUP(C:C,Customer_Dim!B:I,8,1)</f>
        <v>Platinum</v>
      </c>
      <c r="S1429">
        <v>3</v>
      </c>
      <c r="T1429">
        <v>836.27</v>
      </c>
      <c r="U1429">
        <v>0.16</v>
      </c>
      <c r="V1429">
        <v>2107.4004</v>
      </c>
      <c r="X1429" s="4">
        <v>3</v>
      </c>
      <c r="Y1429">
        <v>836.27</v>
      </c>
      <c r="Z1429">
        <v>0.16</v>
      </c>
      <c r="AA1429">
        <v>2107.4004</v>
      </c>
    </row>
    <row r="1430" spans="1:27" x14ac:dyDescent="0.3">
      <c r="A1430" t="s">
        <v>3237</v>
      </c>
      <c r="B1430" s="2">
        <v>45753</v>
      </c>
      <c r="C1430" t="s">
        <v>634</v>
      </c>
      <c r="D1430" t="s">
        <v>1559</v>
      </c>
      <c r="E1430" t="s">
        <v>1772</v>
      </c>
      <c r="F1430" s="4">
        <v>3</v>
      </c>
      <c r="G1430">
        <v>696.74</v>
      </c>
      <c r="H1430">
        <v>0.13</v>
      </c>
      <c r="I1430" t="s">
        <v>1812</v>
      </c>
      <c r="J1430">
        <v>1818.4914000000001</v>
      </c>
      <c r="K1430" t="s">
        <v>635</v>
      </c>
      <c r="L1430">
        <v>18</v>
      </c>
      <c r="M1430" t="str">
        <v>Female</v>
      </c>
      <c r="N1430" t="str">
        <f>VLOOKUP(C:C,Customer_Dim!B:I,5,1)</f>
        <v>Taraberg</v>
      </c>
      <c r="O1430" t="str">
        <f>VLOOKUP(C:C,Customer_Dim!B:I,6,1)</f>
        <v>Arizona</v>
      </c>
      <c r="P1430" t="str">
        <f>VLOOKUP(C:C,Customer_Dim!B:I,7,1)</f>
        <v>USA</v>
      </c>
      <c r="Q1430" t="str">
        <f>VLOOKUP(C:C,Customer_Dim!B:I,8,1)</f>
        <v>Silver</v>
      </c>
      <c r="S1430">
        <v>3</v>
      </c>
      <c r="T1430">
        <v>696.74</v>
      </c>
      <c r="U1430">
        <v>0.13</v>
      </c>
      <c r="V1430">
        <v>1818.4914000000001</v>
      </c>
      <c r="X1430" s="4">
        <v>3</v>
      </c>
      <c r="Y1430">
        <v>696.74</v>
      </c>
      <c r="Z1430">
        <v>0.13</v>
      </c>
      <c r="AA1430">
        <v>1818.4914000000001</v>
      </c>
    </row>
    <row r="1431" spans="1:27" x14ac:dyDescent="0.3">
      <c r="A1431" t="s">
        <v>3238</v>
      </c>
      <c r="B1431" s="2">
        <v>45804</v>
      </c>
      <c r="C1431" t="s">
        <v>779</v>
      </c>
      <c r="D1431" t="s">
        <v>1719</v>
      </c>
      <c r="E1431" t="s">
        <v>1780</v>
      </c>
      <c r="F1431" s="4">
        <v>2</v>
      </c>
      <c r="G1431">
        <v>822.59</v>
      </c>
      <c r="H1431">
        <v>0.22</v>
      </c>
      <c r="I1431" t="s">
        <v>1809</v>
      </c>
      <c r="J1431">
        <v>1283.2403999999999</v>
      </c>
      <c r="K1431" t="s">
        <v>780</v>
      </c>
      <c r="L1431">
        <v>58</v>
      </c>
      <c r="M1431" t="str">
        <v>Male</v>
      </c>
      <c r="N1431" t="str">
        <f>VLOOKUP(C:C,Customer_Dim!B:I,5,1)</f>
        <v>Rodriguezton</v>
      </c>
      <c r="O1431" t="str">
        <f>VLOOKUP(C:C,Customer_Dim!B:I,6,1)</f>
        <v>Michigan</v>
      </c>
      <c r="P1431" t="str">
        <f>VLOOKUP(C:C,Customer_Dim!B:I,7,1)</f>
        <v>USA</v>
      </c>
      <c r="Q1431" t="str">
        <f>VLOOKUP(C:C,Customer_Dim!B:I,8,1)</f>
        <v>Platinum</v>
      </c>
      <c r="S1431">
        <v>2</v>
      </c>
      <c r="T1431">
        <v>822.59</v>
      </c>
      <c r="U1431">
        <v>0.22</v>
      </c>
      <c r="V1431">
        <v>1283.2403999999999</v>
      </c>
      <c r="X1431" s="4">
        <v>2</v>
      </c>
      <c r="Y1431">
        <v>822.59</v>
      </c>
      <c r="Z1431">
        <v>0.22</v>
      </c>
      <c r="AA1431">
        <v>1283.2403999999999</v>
      </c>
    </row>
    <row r="1432" spans="1:27" x14ac:dyDescent="0.3">
      <c r="A1432" t="s">
        <v>3239</v>
      </c>
      <c r="B1432" s="2">
        <v>45263</v>
      </c>
      <c r="C1432" t="s">
        <v>713</v>
      </c>
      <c r="D1432" t="s">
        <v>1689</v>
      </c>
      <c r="E1432" t="s">
        <v>1744</v>
      </c>
      <c r="F1432" s="4">
        <v>1</v>
      </c>
      <c r="G1432">
        <v>462.23</v>
      </c>
      <c r="H1432">
        <v>0.3</v>
      </c>
      <c r="I1432" t="s">
        <v>1809</v>
      </c>
      <c r="J1432">
        <v>323.56099999999998</v>
      </c>
      <c r="K1432" t="s">
        <v>714</v>
      </c>
      <c r="L1432">
        <v>50</v>
      </c>
      <c r="M1432" t="str">
        <v>Male</v>
      </c>
      <c r="N1432" t="str">
        <f>VLOOKUP(C:C,Customer_Dim!B:I,5,1)</f>
        <v>East Crystalton</v>
      </c>
      <c r="O1432" t="str">
        <f>VLOOKUP(C:C,Customer_Dim!B:I,6,1)</f>
        <v>New Mexico</v>
      </c>
      <c r="P1432" t="str">
        <f>VLOOKUP(C:C,Customer_Dim!B:I,7,1)</f>
        <v>USA</v>
      </c>
      <c r="Q1432" t="str">
        <f>VLOOKUP(C:C,Customer_Dim!B:I,8,1)</f>
        <v>Platinum</v>
      </c>
      <c r="S1432">
        <v>1</v>
      </c>
      <c r="T1432">
        <v>462.23</v>
      </c>
      <c r="U1432">
        <v>0.3</v>
      </c>
      <c r="V1432">
        <v>323.56099999999998</v>
      </c>
      <c r="X1432" s="4">
        <v>1</v>
      </c>
      <c r="Y1432">
        <v>462.23</v>
      </c>
      <c r="Z1432">
        <v>0.3</v>
      </c>
      <c r="AA1432">
        <v>323.56099999999998</v>
      </c>
    </row>
    <row r="1433" spans="1:27" x14ac:dyDescent="0.3">
      <c r="A1433" t="s">
        <v>3240</v>
      </c>
      <c r="B1433" s="2">
        <v>45906</v>
      </c>
      <c r="C1433" t="s">
        <v>1367</v>
      </c>
      <c r="D1433" t="s">
        <v>1615</v>
      </c>
      <c r="E1433" t="s">
        <v>1790</v>
      </c>
      <c r="F1433" s="4">
        <v>1</v>
      </c>
      <c r="G1433">
        <v>361.09</v>
      </c>
      <c r="H1433">
        <v>0.06</v>
      </c>
      <c r="I1433" t="s">
        <v>1809</v>
      </c>
      <c r="J1433">
        <v>339.42459999999988</v>
      </c>
      <c r="K1433" t="s">
        <v>1368</v>
      </c>
      <c r="L1433">
        <v>64</v>
      </c>
      <c r="M1433" t="str">
        <v>Female</v>
      </c>
      <c r="N1433" t="str">
        <f>VLOOKUP(C:C,Customer_Dim!B:I,5,1)</f>
        <v>Paulside</v>
      </c>
      <c r="O1433" t="str">
        <f>VLOOKUP(C:C,Customer_Dim!B:I,6,1)</f>
        <v>North Carolina</v>
      </c>
      <c r="P1433" t="str">
        <f>VLOOKUP(C:C,Customer_Dim!B:I,7,1)</f>
        <v>USA</v>
      </c>
      <c r="Q1433" t="str">
        <f>VLOOKUP(C:C,Customer_Dim!B:I,8,1)</f>
        <v>Gold</v>
      </c>
      <c r="S1433">
        <v>1</v>
      </c>
      <c r="T1433">
        <v>361.09</v>
      </c>
      <c r="U1433">
        <v>0.06</v>
      </c>
      <c r="V1433">
        <v>339.42459999999988</v>
      </c>
      <c r="X1433" s="4">
        <v>1</v>
      </c>
      <c r="Y1433">
        <v>361.09</v>
      </c>
      <c r="Z1433">
        <v>0.06</v>
      </c>
      <c r="AA1433">
        <v>339.42459999999988</v>
      </c>
    </row>
    <row r="1434" spans="1:27" x14ac:dyDescent="0.3">
      <c r="A1434" t="s">
        <v>3241</v>
      </c>
      <c r="B1434" s="2">
        <v>45243</v>
      </c>
      <c r="C1434" t="s">
        <v>1183</v>
      </c>
      <c r="D1434" t="s">
        <v>1677</v>
      </c>
      <c r="E1434" t="s">
        <v>1796</v>
      </c>
      <c r="F1434" s="4">
        <v>3</v>
      </c>
      <c r="G1434">
        <v>59.37</v>
      </c>
      <c r="H1434">
        <v>0.03</v>
      </c>
      <c r="I1434" t="s">
        <v>1809</v>
      </c>
      <c r="J1434">
        <v>172.76669999999999</v>
      </c>
      <c r="K1434" t="s">
        <v>1184</v>
      </c>
      <c r="L1434">
        <v>52</v>
      </c>
      <c r="M1434" t="str">
        <v>Female</v>
      </c>
      <c r="N1434" t="str">
        <f>VLOOKUP(C:C,Customer_Dim!B:I,5,1)</f>
        <v>Jennifertown</v>
      </c>
      <c r="O1434" t="str">
        <f>VLOOKUP(C:C,Customer_Dim!B:I,6,1)</f>
        <v>South Carolina</v>
      </c>
      <c r="P1434" t="str">
        <f>VLOOKUP(C:C,Customer_Dim!B:I,7,1)</f>
        <v>USA</v>
      </c>
      <c r="Q1434" t="str">
        <f>VLOOKUP(C:C,Customer_Dim!B:I,8,1)</f>
        <v>Silver</v>
      </c>
      <c r="S1434">
        <v>3</v>
      </c>
      <c r="T1434">
        <v>59.37</v>
      </c>
      <c r="U1434">
        <v>0.03</v>
      </c>
      <c r="V1434">
        <v>172.76669999999999</v>
      </c>
      <c r="X1434" s="4">
        <v>3</v>
      </c>
      <c r="Y1434">
        <v>59.37</v>
      </c>
      <c r="Z1434">
        <v>0.03</v>
      </c>
      <c r="AA1434">
        <v>172.76669999999999</v>
      </c>
    </row>
    <row r="1435" spans="1:27" x14ac:dyDescent="0.3">
      <c r="A1435" t="s">
        <v>3242</v>
      </c>
      <c r="B1435" s="2">
        <v>45686</v>
      </c>
      <c r="C1435" t="s">
        <v>143</v>
      </c>
      <c r="D1435" t="s">
        <v>1611</v>
      </c>
      <c r="E1435" t="s">
        <v>1740</v>
      </c>
      <c r="F1435" s="4">
        <v>3</v>
      </c>
      <c r="G1435">
        <v>765.21</v>
      </c>
      <c r="H1435">
        <v>0.14000000000000001</v>
      </c>
      <c r="I1435" t="s">
        <v>1812</v>
      </c>
      <c r="J1435">
        <v>1974.2418</v>
      </c>
      <c r="K1435" t="s">
        <v>144</v>
      </c>
      <c r="L1435">
        <v>27</v>
      </c>
      <c r="M1435" t="str">
        <v>Female</v>
      </c>
      <c r="N1435" t="str">
        <f>VLOOKUP(C:C,Customer_Dim!B:I,5,1)</f>
        <v>Luisfurt</v>
      </c>
      <c r="O1435" t="str">
        <f>VLOOKUP(C:C,Customer_Dim!B:I,6,1)</f>
        <v>Georgia</v>
      </c>
      <c r="P1435" t="str">
        <f>VLOOKUP(C:C,Customer_Dim!B:I,7,1)</f>
        <v>USA</v>
      </c>
      <c r="Q1435" t="str">
        <f>VLOOKUP(C:C,Customer_Dim!B:I,8,1)</f>
        <v>Gold</v>
      </c>
      <c r="S1435">
        <v>3</v>
      </c>
      <c r="T1435">
        <v>765.21</v>
      </c>
      <c r="U1435">
        <v>0.14000000000000001</v>
      </c>
      <c r="V1435">
        <v>1974.2418</v>
      </c>
      <c r="X1435" s="4">
        <v>3</v>
      </c>
      <c r="Y1435">
        <v>765.21</v>
      </c>
      <c r="Z1435">
        <v>0.14000000000000001</v>
      </c>
      <c r="AA1435">
        <v>1974.2418</v>
      </c>
    </row>
    <row r="1436" spans="1:27" x14ac:dyDescent="0.3">
      <c r="A1436" t="s">
        <v>3243</v>
      </c>
      <c r="B1436" s="2">
        <v>45472</v>
      </c>
      <c r="C1436" t="s">
        <v>773</v>
      </c>
      <c r="D1436" t="s">
        <v>1595</v>
      </c>
      <c r="E1436" t="s">
        <v>1777</v>
      </c>
      <c r="F1436" s="4">
        <v>4</v>
      </c>
      <c r="G1436">
        <v>303.56</v>
      </c>
      <c r="H1436">
        <v>0.2</v>
      </c>
      <c r="I1436" t="s">
        <v>1812</v>
      </c>
      <c r="J1436">
        <v>971.39200000000005</v>
      </c>
      <c r="K1436" t="s">
        <v>774</v>
      </c>
      <c r="L1436">
        <v>19</v>
      </c>
      <c r="M1436" t="str">
        <v>Male</v>
      </c>
      <c r="N1436" t="str">
        <f>VLOOKUP(C:C,Customer_Dim!B:I,5,1)</f>
        <v>North Nicholas</v>
      </c>
      <c r="O1436" t="str">
        <f>VLOOKUP(C:C,Customer_Dim!B:I,6,1)</f>
        <v>Texas</v>
      </c>
      <c r="P1436" t="str">
        <f>VLOOKUP(C:C,Customer_Dim!B:I,7,1)</f>
        <v>USA</v>
      </c>
      <c r="Q1436" t="str">
        <f>VLOOKUP(C:C,Customer_Dim!B:I,8,1)</f>
        <v>Gold</v>
      </c>
      <c r="S1436">
        <v>4</v>
      </c>
      <c r="T1436">
        <v>303.56</v>
      </c>
      <c r="U1436">
        <v>0.2</v>
      </c>
      <c r="V1436">
        <v>971.39200000000005</v>
      </c>
      <c r="X1436" s="4">
        <v>4</v>
      </c>
      <c r="Y1436">
        <v>303.56</v>
      </c>
      <c r="Z1436">
        <v>0.2</v>
      </c>
      <c r="AA1436">
        <v>971.39200000000005</v>
      </c>
    </row>
    <row r="1437" spans="1:27" x14ac:dyDescent="0.3">
      <c r="A1437" t="s">
        <v>3244</v>
      </c>
      <c r="B1437" s="2">
        <v>45779</v>
      </c>
      <c r="C1437" t="s">
        <v>1355</v>
      </c>
      <c r="D1437" t="s">
        <v>1585</v>
      </c>
      <c r="E1437" t="s">
        <v>1735</v>
      </c>
      <c r="F1437" s="4">
        <v>1</v>
      </c>
      <c r="G1437">
        <v>640.92999999999995</v>
      </c>
      <c r="H1437">
        <v>0.19</v>
      </c>
      <c r="I1437" t="s">
        <v>1809</v>
      </c>
      <c r="J1437">
        <v>519.15329999999994</v>
      </c>
      <c r="K1437" t="s">
        <v>1356</v>
      </c>
      <c r="L1437">
        <v>19</v>
      </c>
      <c r="M1437" t="str">
        <v>Male</v>
      </c>
      <c r="N1437" t="str">
        <f>VLOOKUP(C:C,Customer_Dim!B:I,5,1)</f>
        <v>New Donnabury</v>
      </c>
      <c r="O1437" t="str">
        <f>VLOOKUP(C:C,Customer_Dim!B:I,6,1)</f>
        <v>Texas</v>
      </c>
      <c r="P1437" t="str">
        <f>VLOOKUP(C:C,Customer_Dim!B:I,7,1)</f>
        <v>USA</v>
      </c>
      <c r="Q1437" t="str">
        <f>VLOOKUP(C:C,Customer_Dim!B:I,8,1)</f>
        <v>Silver</v>
      </c>
      <c r="S1437">
        <v>1</v>
      </c>
      <c r="T1437">
        <v>640.92999999999995</v>
      </c>
      <c r="U1437">
        <v>0.19</v>
      </c>
      <c r="V1437">
        <v>519.15329999999994</v>
      </c>
      <c r="X1437" s="4">
        <v>1</v>
      </c>
      <c r="Y1437">
        <v>640.92999999999995</v>
      </c>
      <c r="Z1437">
        <v>0.19</v>
      </c>
      <c r="AA1437">
        <v>519.15329999999994</v>
      </c>
    </row>
    <row r="1438" spans="1:27" x14ac:dyDescent="0.3">
      <c r="A1438" t="s">
        <v>3245</v>
      </c>
      <c r="B1438" s="2">
        <v>45830</v>
      </c>
      <c r="C1438" t="s">
        <v>570</v>
      </c>
      <c r="D1438" t="s">
        <v>1703</v>
      </c>
      <c r="E1438" t="s">
        <v>1772</v>
      </c>
      <c r="F1438" s="4">
        <v>2</v>
      </c>
      <c r="G1438">
        <v>611.25</v>
      </c>
      <c r="H1438">
        <v>0.22</v>
      </c>
      <c r="I1438" t="s">
        <v>1807</v>
      </c>
      <c r="J1438">
        <v>953.55000000000007</v>
      </c>
      <c r="K1438" t="s">
        <v>571</v>
      </c>
      <c r="L1438">
        <v>56</v>
      </c>
      <c r="M1438" t="str">
        <v>Male</v>
      </c>
      <c r="N1438" t="str">
        <f>VLOOKUP(C:C,Customer_Dim!B:I,5,1)</f>
        <v>Avilahaven</v>
      </c>
      <c r="O1438" t="str">
        <f>VLOOKUP(C:C,Customer_Dim!B:I,6,1)</f>
        <v>Vermont</v>
      </c>
      <c r="P1438" t="str">
        <f>VLOOKUP(C:C,Customer_Dim!B:I,7,1)</f>
        <v>USA</v>
      </c>
      <c r="Q1438" t="str">
        <f>VLOOKUP(C:C,Customer_Dim!B:I,8,1)</f>
        <v>Gold</v>
      </c>
      <c r="S1438">
        <v>2</v>
      </c>
      <c r="T1438">
        <v>611.25</v>
      </c>
      <c r="U1438">
        <v>0.22</v>
      </c>
      <c r="V1438">
        <v>953.55000000000007</v>
      </c>
      <c r="X1438" s="4">
        <v>2</v>
      </c>
      <c r="Y1438">
        <v>611.25</v>
      </c>
      <c r="Z1438">
        <v>0.22</v>
      </c>
      <c r="AA1438">
        <v>953.55000000000007</v>
      </c>
    </row>
    <row r="1439" spans="1:27" x14ac:dyDescent="0.3">
      <c r="A1439" t="s">
        <v>3246</v>
      </c>
      <c r="B1439" s="2">
        <v>45756</v>
      </c>
      <c r="C1439" t="s">
        <v>1406</v>
      </c>
      <c r="D1439" t="s">
        <v>1663</v>
      </c>
      <c r="E1439" t="s">
        <v>1740</v>
      </c>
      <c r="F1439" s="4">
        <v>1</v>
      </c>
      <c r="G1439">
        <v>209.93</v>
      </c>
      <c r="H1439">
        <v>0.21</v>
      </c>
      <c r="I1439" t="s">
        <v>1807</v>
      </c>
      <c r="J1439">
        <v>165.84469999999999</v>
      </c>
      <c r="K1439" t="s">
        <v>1407</v>
      </c>
      <c r="L1439">
        <v>34</v>
      </c>
      <c r="M1439" t="str">
        <v>Female</v>
      </c>
      <c r="N1439" t="str">
        <f>VLOOKUP(C:C,Customer_Dim!B:I,5,1)</f>
        <v>East Julie</v>
      </c>
      <c r="O1439" t="str">
        <f>VLOOKUP(C:C,Customer_Dim!B:I,6,1)</f>
        <v>Kansas</v>
      </c>
      <c r="P1439" t="str">
        <f>VLOOKUP(C:C,Customer_Dim!B:I,7,1)</f>
        <v>USA</v>
      </c>
      <c r="Q1439" t="str">
        <f>VLOOKUP(C:C,Customer_Dim!B:I,8,1)</f>
        <v>Silver</v>
      </c>
      <c r="S1439">
        <v>1</v>
      </c>
      <c r="T1439">
        <v>209.93</v>
      </c>
      <c r="U1439">
        <v>0.21</v>
      </c>
      <c r="V1439">
        <v>165.84469999999999</v>
      </c>
      <c r="X1439" s="4">
        <v>1</v>
      </c>
      <c r="Y1439">
        <v>209.93</v>
      </c>
      <c r="Z1439">
        <v>0.21</v>
      </c>
      <c r="AA1439">
        <v>165.84469999999999</v>
      </c>
    </row>
    <row r="1440" spans="1:27" x14ac:dyDescent="0.3">
      <c r="A1440" t="s">
        <v>3247</v>
      </c>
      <c r="B1440" s="2">
        <v>45847</v>
      </c>
      <c r="C1440" t="s">
        <v>382</v>
      </c>
      <c r="D1440" t="s">
        <v>1729</v>
      </c>
      <c r="E1440" t="s">
        <v>1772</v>
      </c>
      <c r="F1440" s="4">
        <v>3</v>
      </c>
      <c r="G1440">
        <v>130.38999999999999</v>
      </c>
      <c r="H1440">
        <v>0.24</v>
      </c>
      <c r="I1440" t="s">
        <v>1809</v>
      </c>
      <c r="J1440">
        <v>297.28919999999999</v>
      </c>
      <c r="K1440" t="s">
        <v>383</v>
      </c>
      <c r="L1440">
        <v>18</v>
      </c>
      <c r="M1440" t="str">
        <v>Female</v>
      </c>
      <c r="N1440" t="str">
        <f>VLOOKUP(C:C,Customer_Dim!B:I,5,1)</f>
        <v>New Dawnton</v>
      </c>
      <c r="O1440" t="str">
        <f>VLOOKUP(C:C,Customer_Dim!B:I,6,1)</f>
        <v>Maryland</v>
      </c>
      <c r="P1440" t="str">
        <f>VLOOKUP(C:C,Customer_Dim!B:I,7,1)</f>
        <v>USA</v>
      </c>
      <c r="Q1440" t="str">
        <f>VLOOKUP(C:C,Customer_Dim!B:I,8,1)</f>
        <v>Gold</v>
      </c>
      <c r="S1440">
        <v>3</v>
      </c>
      <c r="T1440">
        <v>130.38999999999999</v>
      </c>
      <c r="U1440">
        <v>0.24</v>
      </c>
      <c r="V1440">
        <v>297.28919999999999</v>
      </c>
      <c r="X1440" s="4">
        <v>3</v>
      </c>
      <c r="Y1440">
        <v>130.38999999999999</v>
      </c>
      <c r="Z1440">
        <v>0.24</v>
      </c>
      <c r="AA1440">
        <v>297.28919999999999</v>
      </c>
    </row>
    <row r="1441" spans="1:27" x14ac:dyDescent="0.3">
      <c r="A1441" t="s">
        <v>3248</v>
      </c>
      <c r="B1441" s="2">
        <v>45322</v>
      </c>
      <c r="C1441" t="s">
        <v>914</v>
      </c>
      <c r="D1441" t="s">
        <v>1717</v>
      </c>
      <c r="E1441" t="s">
        <v>1762</v>
      </c>
      <c r="F1441" s="4">
        <v>2</v>
      </c>
      <c r="G1441">
        <v>846.18</v>
      </c>
      <c r="H1441">
        <v>0.1</v>
      </c>
      <c r="I1441" t="s">
        <v>1812</v>
      </c>
      <c r="J1441">
        <v>1523.124</v>
      </c>
      <c r="K1441" t="s">
        <v>915</v>
      </c>
      <c r="L1441">
        <v>30</v>
      </c>
      <c r="M1441" t="str">
        <v>Male</v>
      </c>
      <c r="N1441" t="str">
        <f>VLOOKUP(C:C,Customer_Dim!B:I,5,1)</f>
        <v>West Beverlymouth</v>
      </c>
      <c r="O1441" t="str">
        <f>VLOOKUP(C:C,Customer_Dim!B:I,6,1)</f>
        <v>Missouri</v>
      </c>
      <c r="P1441" t="str">
        <f>VLOOKUP(C:C,Customer_Dim!B:I,7,1)</f>
        <v>USA</v>
      </c>
      <c r="Q1441" t="str">
        <f>VLOOKUP(C:C,Customer_Dim!B:I,8,1)</f>
        <v>Bronze</v>
      </c>
      <c r="S1441">
        <v>2</v>
      </c>
      <c r="T1441">
        <v>846.18</v>
      </c>
      <c r="U1441">
        <v>0.1</v>
      </c>
      <c r="V1441">
        <v>1523.124</v>
      </c>
      <c r="X1441" s="4">
        <v>2</v>
      </c>
      <c r="Y1441">
        <v>846.18</v>
      </c>
      <c r="Z1441">
        <v>0.1</v>
      </c>
      <c r="AA1441">
        <v>1523.124</v>
      </c>
    </row>
    <row r="1442" spans="1:27" x14ac:dyDescent="0.3">
      <c r="A1442" t="s">
        <v>3249</v>
      </c>
      <c r="B1442" s="2">
        <v>45829</v>
      </c>
      <c r="C1442" t="s">
        <v>1097</v>
      </c>
      <c r="D1442" t="s">
        <v>1671</v>
      </c>
      <c r="E1442" t="s">
        <v>1782</v>
      </c>
      <c r="F1442" s="4">
        <v>2</v>
      </c>
      <c r="G1442">
        <v>424.53</v>
      </c>
      <c r="H1442">
        <v>0.14000000000000001</v>
      </c>
      <c r="I1442" t="s">
        <v>1812</v>
      </c>
      <c r="J1442">
        <v>730.19159999999999</v>
      </c>
      <c r="K1442" t="s">
        <v>1098</v>
      </c>
      <c r="L1442">
        <v>20</v>
      </c>
      <c r="M1442" t="str">
        <v>Male</v>
      </c>
      <c r="N1442" t="str">
        <f>VLOOKUP(C:C,Customer_Dim!B:I,5,1)</f>
        <v>Guerreroport</v>
      </c>
      <c r="O1442" t="str">
        <f>VLOOKUP(C:C,Customer_Dim!B:I,6,1)</f>
        <v>Connecticut</v>
      </c>
      <c r="P1442" t="str">
        <f>VLOOKUP(C:C,Customer_Dim!B:I,7,1)</f>
        <v>USA</v>
      </c>
      <c r="Q1442" t="str">
        <f>VLOOKUP(C:C,Customer_Dim!B:I,8,1)</f>
        <v>Silver</v>
      </c>
      <c r="S1442">
        <v>2</v>
      </c>
      <c r="T1442">
        <v>424.53</v>
      </c>
      <c r="U1442">
        <v>0.14000000000000001</v>
      </c>
      <c r="V1442">
        <v>730.19159999999999</v>
      </c>
      <c r="X1442" s="4">
        <v>2</v>
      </c>
      <c r="Y1442">
        <v>424.53</v>
      </c>
      <c r="Z1442">
        <v>0.14000000000000001</v>
      </c>
      <c r="AA1442">
        <v>730.19159999999999</v>
      </c>
    </row>
    <row r="1443" spans="1:27" x14ac:dyDescent="0.3">
      <c r="A1443" t="s">
        <v>3250</v>
      </c>
      <c r="B1443" s="2">
        <v>45539</v>
      </c>
      <c r="C1443" t="s">
        <v>817</v>
      </c>
      <c r="D1443" t="s">
        <v>1707</v>
      </c>
      <c r="E1443" t="s">
        <v>1782</v>
      </c>
      <c r="F1443" s="4">
        <v>4</v>
      </c>
      <c r="G1443">
        <v>450.42</v>
      </c>
      <c r="H1443">
        <v>0.08</v>
      </c>
      <c r="I1443" t="s">
        <v>1812</v>
      </c>
      <c r="J1443">
        <v>1657.5455999999999</v>
      </c>
      <c r="K1443" t="s">
        <v>818</v>
      </c>
      <c r="L1443">
        <v>32</v>
      </c>
      <c r="M1443" t="str">
        <v>Female</v>
      </c>
      <c r="N1443" t="str">
        <f>VLOOKUP(C:C,Customer_Dim!B:I,5,1)</f>
        <v>East Richard</v>
      </c>
      <c r="O1443" t="str">
        <f>VLOOKUP(C:C,Customer_Dim!B:I,6,1)</f>
        <v>Texas</v>
      </c>
      <c r="P1443" t="str">
        <f>VLOOKUP(C:C,Customer_Dim!B:I,7,1)</f>
        <v>USA</v>
      </c>
      <c r="Q1443" t="str">
        <f>VLOOKUP(C:C,Customer_Dim!B:I,8,1)</f>
        <v>Platinum</v>
      </c>
      <c r="S1443">
        <v>4</v>
      </c>
      <c r="T1443">
        <v>450.42</v>
      </c>
      <c r="U1443">
        <v>0.08</v>
      </c>
      <c r="V1443">
        <v>1657.5455999999999</v>
      </c>
      <c r="X1443" s="4">
        <v>4</v>
      </c>
      <c r="Y1443">
        <v>450.42</v>
      </c>
      <c r="Z1443">
        <v>0.08</v>
      </c>
      <c r="AA1443">
        <v>1657.5455999999999</v>
      </c>
    </row>
    <row r="1444" spans="1:27" x14ac:dyDescent="0.3">
      <c r="A1444" t="s">
        <v>3251</v>
      </c>
      <c r="B1444" s="2">
        <v>45893</v>
      </c>
      <c r="C1444" t="s">
        <v>518</v>
      </c>
      <c r="D1444" t="s">
        <v>1583</v>
      </c>
      <c r="E1444" t="s">
        <v>1769</v>
      </c>
      <c r="F1444" s="4">
        <v>4</v>
      </c>
      <c r="G1444">
        <v>896.91</v>
      </c>
      <c r="H1444">
        <v>0.1</v>
      </c>
      <c r="I1444" t="s">
        <v>1807</v>
      </c>
      <c r="J1444">
        <v>3228.8760000000002</v>
      </c>
      <c r="K1444" t="s">
        <v>519</v>
      </c>
      <c r="L1444">
        <v>59</v>
      </c>
      <c r="M1444" t="str">
        <v>Male</v>
      </c>
      <c r="N1444" t="str">
        <f>VLOOKUP(C:C,Customer_Dim!B:I,5,1)</f>
        <v>East Peterbury</v>
      </c>
      <c r="O1444" t="str">
        <f>VLOOKUP(C:C,Customer_Dim!B:I,6,1)</f>
        <v>North Dakota</v>
      </c>
      <c r="P1444" t="str">
        <f>VLOOKUP(C:C,Customer_Dim!B:I,7,1)</f>
        <v>USA</v>
      </c>
      <c r="Q1444" t="str">
        <f>VLOOKUP(C:C,Customer_Dim!B:I,8,1)</f>
        <v>Bronze</v>
      </c>
      <c r="S1444">
        <v>4</v>
      </c>
      <c r="T1444">
        <v>896.91</v>
      </c>
      <c r="U1444">
        <v>0.1</v>
      </c>
      <c r="V1444">
        <v>3228.8760000000002</v>
      </c>
      <c r="X1444" s="4">
        <v>4</v>
      </c>
      <c r="Y1444">
        <v>896.91</v>
      </c>
      <c r="Z1444">
        <v>0.1</v>
      </c>
      <c r="AA1444">
        <v>3228.8760000000002</v>
      </c>
    </row>
    <row r="1445" spans="1:27" x14ac:dyDescent="0.3">
      <c r="A1445" t="s">
        <v>3252</v>
      </c>
      <c r="B1445" s="2">
        <v>45814</v>
      </c>
      <c r="C1445" t="s">
        <v>1475</v>
      </c>
      <c r="D1445" t="s">
        <v>1725</v>
      </c>
      <c r="E1445" t="s">
        <v>1772</v>
      </c>
      <c r="F1445" s="4">
        <v>3</v>
      </c>
      <c r="G1445">
        <v>679.38</v>
      </c>
      <c r="H1445">
        <v>0.3</v>
      </c>
      <c r="I1445" t="s">
        <v>1812</v>
      </c>
      <c r="J1445">
        <v>1426.6980000000001</v>
      </c>
      <c r="K1445" t="s">
        <v>1476</v>
      </c>
      <c r="L1445">
        <v>22</v>
      </c>
      <c r="M1445" t="str">
        <v>Female</v>
      </c>
      <c r="N1445" t="str">
        <f>VLOOKUP(C:C,Customer_Dim!B:I,5,1)</f>
        <v>East Dillonview</v>
      </c>
      <c r="O1445" t="str">
        <f>VLOOKUP(C:C,Customer_Dim!B:I,6,1)</f>
        <v>Virginia</v>
      </c>
      <c r="P1445" t="str">
        <f>VLOOKUP(C:C,Customer_Dim!B:I,7,1)</f>
        <v>USA</v>
      </c>
      <c r="Q1445" t="str">
        <f>VLOOKUP(C:C,Customer_Dim!B:I,8,1)</f>
        <v>Bronze</v>
      </c>
      <c r="S1445">
        <v>3</v>
      </c>
      <c r="T1445">
        <v>679.38</v>
      </c>
      <c r="U1445">
        <v>0.3</v>
      </c>
      <c r="V1445">
        <v>1426.6980000000001</v>
      </c>
      <c r="X1445" s="4">
        <v>3</v>
      </c>
      <c r="Y1445">
        <v>679.38</v>
      </c>
      <c r="Z1445">
        <v>0.3</v>
      </c>
      <c r="AA1445">
        <v>1426.6980000000001</v>
      </c>
    </row>
    <row r="1446" spans="1:27" x14ac:dyDescent="0.3">
      <c r="A1446" t="s">
        <v>3253</v>
      </c>
      <c r="B1446" s="2">
        <v>45571</v>
      </c>
      <c r="C1446" t="s">
        <v>75</v>
      </c>
      <c r="D1446" t="s">
        <v>1691</v>
      </c>
      <c r="E1446" t="s">
        <v>1787</v>
      </c>
      <c r="F1446" s="4">
        <v>3</v>
      </c>
      <c r="G1446">
        <v>483.63</v>
      </c>
      <c r="H1446">
        <v>0</v>
      </c>
      <c r="I1446" t="s">
        <v>1807</v>
      </c>
      <c r="J1446">
        <v>1450.89</v>
      </c>
      <c r="K1446" t="s">
        <v>76</v>
      </c>
      <c r="L1446">
        <v>60</v>
      </c>
      <c r="M1446" t="str">
        <v>Female</v>
      </c>
      <c r="N1446" t="str">
        <f>VLOOKUP(C:C,Customer_Dim!B:I,5,1)</f>
        <v>South Christopher</v>
      </c>
      <c r="O1446" t="str">
        <f>VLOOKUP(C:C,Customer_Dim!B:I,6,1)</f>
        <v>Pennsylvania</v>
      </c>
      <c r="P1446" t="str">
        <f>VLOOKUP(C:C,Customer_Dim!B:I,7,1)</f>
        <v>USA</v>
      </c>
      <c r="Q1446" t="str">
        <f>VLOOKUP(C:C,Customer_Dim!B:I,8,1)</f>
        <v>Bronze</v>
      </c>
      <c r="S1446">
        <v>3</v>
      </c>
      <c r="T1446">
        <v>483.63</v>
      </c>
      <c r="U1446">
        <v>0</v>
      </c>
      <c r="V1446">
        <v>1450.89</v>
      </c>
      <c r="X1446" s="4">
        <v>3</v>
      </c>
      <c r="Y1446">
        <v>483.63</v>
      </c>
      <c r="Z1446">
        <v>0</v>
      </c>
      <c r="AA1446">
        <v>1450.89</v>
      </c>
    </row>
    <row r="1447" spans="1:27" x14ac:dyDescent="0.3">
      <c r="A1447" t="s">
        <v>3254</v>
      </c>
      <c r="B1447" s="2">
        <v>45542</v>
      </c>
      <c r="C1447" t="s">
        <v>124</v>
      </c>
      <c r="D1447" t="s">
        <v>1609</v>
      </c>
      <c r="E1447" t="s">
        <v>1735</v>
      </c>
      <c r="F1447" s="4">
        <v>3</v>
      </c>
      <c r="G1447">
        <v>158.27000000000001</v>
      </c>
      <c r="H1447">
        <v>0.24</v>
      </c>
      <c r="I1447" t="s">
        <v>1812</v>
      </c>
      <c r="J1447">
        <v>360.85559999999998</v>
      </c>
      <c r="K1447" t="s">
        <v>125</v>
      </c>
      <c r="L1447">
        <v>41</v>
      </c>
      <c r="M1447" t="str">
        <v>Male</v>
      </c>
      <c r="N1447" t="str">
        <f>VLOOKUP(C:C,Customer_Dim!B:I,5,1)</f>
        <v>Amybury</v>
      </c>
      <c r="O1447" t="str">
        <f>VLOOKUP(C:C,Customer_Dim!B:I,6,1)</f>
        <v>Pennsylvania</v>
      </c>
      <c r="P1447" t="str">
        <f>VLOOKUP(C:C,Customer_Dim!B:I,7,1)</f>
        <v>USA</v>
      </c>
      <c r="Q1447" t="str">
        <f>VLOOKUP(C:C,Customer_Dim!B:I,8,1)</f>
        <v>Bronze</v>
      </c>
      <c r="S1447">
        <v>3</v>
      </c>
      <c r="T1447">
        <v>158.27000000000001</v>
      </c>
      <c r="U1447">
        <v>0.24</v>
      </c>
      <c r="V1447">
        <v>360.85559999999998</v>
      </c>
      <c r="X1447" s="4">
        <v>3</v>
      </c>
      <c r="Y1447">
        <v>158.27000000000001</v>
      </c>
      <c r="Z1447">
        <v>0.24</v>
      </c>
      <c r="AA1447">
        <v>360.85559999999998</v>
      </c>
    </row>
    <row r="1448" spans="1:27" x14ac:dyDescent="0.3">
      <c r="A1448" t="s">
        <v>3255</v>
      </c>
      <c r="B1448" s="2">
        <v>45758</v>
      </c>
      <c r="C1448" t="s">
        <v>397</v>
      </c>
      <c r="D1448" t="s">
        <v>1532</v>
      </c>
      <c r="E1448" t="s">
        <v>1784</v>
      </c>
      <c r="F1448" s="4">
        <v>4</v>
      </c>
      <c r="G1448">
        <v>601.5</v>
      </c>
      <c r="H1448">
        <v>0.18</v>
      </c>
      <c r="I1448" t="s">
        <v>1807</v>
      </c>
      <c r="J1448">
        <v>1972.92</v>
      </c>
      <c r="K1448" t="s">
        <v>398</v>
      </c>
      <c r="L1448">
        <v>18</v>
      </c>
      <c r="M1448" t="str">
        <v>Female</v>
      </c>
      <c r="N1448" t="str">
        <f>VLOOKUP(C:C,Customer_Dim!B:I,5,1)</f>
        <v>North Curtischester</v>
      </c>
      <c r="O1448" t="str">
        <f>VLOOKUP(C:C,Customer_Dim!B:I,6,1)</f>
        <v>North Dakota</v>
      </c>
      <c r="P1448" t="str">
        <f>VLOOKUP(C:C,Customer_Dim!B:I,7,1)</f>
        <v>USA</v>
      </c>
      <c r="Q1448" t="str">
        <f>VLOOKUP(C:C,Customer_Dim!B:I,8,1)</f>
        <v>Platinum</v>
      </c>
      <c r="S1448">
        <v>4</v>
      </c>
      <c r="T1448">
        <v>601.5</v>
      </c>
      <c r="U1448">
        <v>0.18</v>
      </c>
      <c r="V1448">
        <v>1972.92</v>
      </c>
      <c r="X1448" s="4">
        <v>4</v>
      </c>
      <c r="Y1448">
        <v>601.5</v>
      </c>
      <c r="Z1448">
        <v>0.18</v>
      </c>
      <c r="AA1448">
        <v>1972.92</v>
      </c>
    </row>
    <row r="1449" spans="1:27" x14ac:dyDescent="0.3">
      <c r="A1449" t="s">
        <v>3256</v>
      </c>
      <c r="B1449" s="2">
        <v>45709</v>
      </c>
      <c r="C1449" t="s">
        <v>252</v>
      </c>
      <c r="D1449" t="s">
        <v>1593</v>
      </c>
      <c r="E1449" t="s">
        <v>1793</v>
      </c>
      <c r="F1449" s="4">
        <v>2</v>
      </c>
      <c r="G1449">
        <v>46.39</v>
      </c>
      <c r="H1449">
        <v>7.0000000000000007E-2</v>
      </c>
      <c r="I1449" t="s">
        <v>1807</v>
      </c>
      <c r="J1449">
        <v>86.285399999999996</v>
      </c>
      <c r="K1449" t="s">
        <v>253</v>
      </c>
      <c r="L1449">
        <v>29</v>
      </c>
      <c r="M1449" t="str">
        <v>Female</v>
      </c>
      <c r="N1449" t="str">
        <f>VLOOKUP(C:C,Customer_Dim!B:I,5,1)</f>
        <v>North Cynthiatown</v>
      </c>
      <c r="O1449" t="str">
        <f>VLOOKUP(C:C,Customer_Dim!B:I,6,1)</f>
        <v>New Jersey</v>
      </c>
      <c r="P1449" t="str">
        <f>VLOOKUP(C:C,Customer_Dim!B:I,7,1)</f>
        <v>USA</v>
      </c>
      <c r="Q1449" t="str">
        <f>VLOOKUP(C:C,Customer_Dim!B:I,8,1)</f>
        <v>Platinum</v>
      </c>
      <c r="S1449">
        <v>2</v>
      </c>
      <c r="T1449">
        <v>46.39</v>
      </c>
      <c r="U1449">
        <v>7.0000000000000007E-2</v>
      </c>
      <c r="V1449">
        <v>86.285399999999996</v>
      </c>
      <c r="X1449" s="4">
        <v>2</v>
      </c>
      <c r="Y1449">
        <v>46.39</v>
      </c>
      <c r="Z1449">
        <v>7.0000000000000007E-2</v>
      </c>
      <c r="AA1449">
        <v>86.285399999999996</v>
      </c>
    </row>
    <row r="1450" spans="1:27" x14ac:dyDescent="0.3">
      <c r="A1450" t="s">
        <v>3257</v>
      </c>
      <c r="B1450" s="2">
        <v>45587</v>
      </c>
      <c r="C1450" t="s">
        <v>409</v>
      </c>
      <c r="D1450" t="s">
        <v>1695</v>
      </c>
      <c r="E1450" t="s">
        <v>1765</v>
      </c>
      <c r="F1450" s="4">
        <v>4</v>
      </c>
      <c r="G1450">
        <v>892.28</v>
      </c>
      <c r="H1450">
        <v>0.23</v>
      </c>
      <c r="I1450" t="s">
        <v>1807</v>
      </c>
      <c r="J1450">
        <v>2748.2224000000001</v>
      </c>
      <c r="K1450" t="s">
        <v>410</v>
      </c>
      <c r="L1450">
        <v>44</v>
      </c>
      <c r="M1450" t="str">
        <v>Female</v>
      </c>
      <c r="N1450" t="str">
        <f>VLOOKUP(C:C,Customer_Dim!B:I,5,1)</f>
        <v>North Edwardton</v>
      </c>
      <c r="O1450" t="str">
        <f>VLOOKUP(C:C,Customer_Dim!B:I,6,1)</f>
        <v>Tennessee</v>
      </c>
      <c r="P1450" t="str">
        <f>VLOOKUP(C:C,Customer_Dim!B:I,7,1)</f>
        <v>USA</v>
      </c>
      <c r="Q1450" t="str">
        <f>VLOOKUP(C:C,Customer_Dim!B:I,8,1)</f>
        <v>Bronze</v>
      </c>
      <c r="S1450">
        <v>4</v>
      </c>
      <c r="T1450">
        <v>892.28</v>
      </c>
      <c r="U1450">
        <v>0.23</v>
      </c>
      <c r="V1450">
        <v>2748.2224000000001</v>
      </c>
      <c r="X1450" s="4">
        <v>4</v>
      </c>
      <c r="Y1450">
        <v>892.28</v>
      </c>
      <c r="Z1450">
        <v>0.23</v>
      </c>
      <c r="AA1450">
        <v>2748.2224000000001</v>
      </c>
    </row>
    <row r="1451" spans="1:27" x14ac:dyDescent="0.3">
      <c r="A1451" t="s">
        <v>3258</v>
      </c>
      <c r="B1451" s="2">
        <v>45494</v>
      </c>
      <c r="C1451" t="s">
        <v>710</v>
      </c>
      <c r="D1451" t="s">
        <v>1551</v>
      </c>
      <c r="E1451" t="s">
        <v>1762</v>
      </c>
      <c r="F1451" s="4">
        <v>2</v>
      </c>
      <c r="G1451">
        <v>164.23</v>
      </c>
      <c r="H1451">
        <v>0.17</v>
      </c>
      <c r="I1451" t="s">
        <v>1807</v>
      </c>
      <c r="J1451">
        <v>272.62180000000001</v>
      </c>
      <c r="K1451" t="s">
        <v>711</v>
      </c>
      <c r="L1451">
        <v>35</v>
      </c>
      <c r="M1451" t="str">
        <v>Male</v>
      </c>
      <c r="N1451" t="str">
        <f>VLOOKUP(C:C,Customer_Dim!B:I,5,1)</f>
        <v>Maybury</v>
      </c>
      <c r="O1451" t="str">
        <f>VLOOKUP(C:C,Customer_Dim!B:I,6,1)</f>
        <v>Georgia</v>
      </c>
      <c r="P1451" t="str">
        <f>VLOOKUP(C:C,Customer_Dim!B:I,7,1)</f>
        <v>USA</v>
      </c>
      <c r="Q1451" t="str">
        <f>VLOOKUP(C:C,Customer_Dim!B:I,8,1)</f>
        <v>Platinum</v>
      </c>
      <c r="S1451">
        <v>2</v>
      </c>
      <c r="T1451">
        <v>164.23</v>
      </c>
      <c r="U1451">
        <v>0.17</v>
      </c>
      <c r="V1451">
        <v>272.62180000000001</v>
      </c>
      <c r="X1451" s="4">
        <v>2</v>
      </c>
      <c r="Y1451">
        <v>164.23</v>
      </c>
      <c r="Z1451">
        <v>0.17</v>
      </c>
      <c r="AA1451">
        <v>272.62180000000001</v>
      </c>
    </row>
    <row r="1452" spans="1:27" x14ac:dyDescent="0.3">
      <c r="A1452" t="s">
        <v>3259</v>
      </c>
      <c r="B1452" s="2">
        <v>45305</v>
      </c>
      <c r="C1452" t="s">
        <v>1381</v>
      </c>
      <c r="D1452" t="s">
        <v>1548</v>
      </c>
      <c r="E1452" t="s">
        <v>1762</v>
      </c>
      <c r="F1452" s="4">
        <v>1</v>
      </c>
      <c r="G1452">
        <v>484.23</v>
      </c>
      <c r="H1452">
        <v>0.12</v>
      </c>
      <c r="I1452" t="s">
        <v>1812</v>
      </c>
      <c r="J1452">
        <v>426.12240000000003</v>
      </c>
      <c r="K1452" t="s">
        <v>1382</v>
      </c>
      <c r="L1452">
        <v>62</v>
      </c>
      <c r="M1452" t="str">
        <v>Female</v>
      </c>
      <c r="N1452" t="str">
        <f>VLOOKUP(C:C,Customer_Dim!B:I,5,1)</f>
        <v>New Laura</v>
      </c>
      <c r="O1452" t="str">
        <f>VLOOKUP(C:C,Customer_Dim!B:I,6,1)</f>
        <v>Mississippi</v>
      </c>
      <c r="P1452" t="str">
        <f>VLOOKUP(C:C,Customer_Dim!B:I,7,1)</f>
        <v>USA</v>
      </c>
      <c r="Q1452" t="str">
        <f>VLOOKUP(C:C,Customer_Dim!B:I,8,1)</f>
        <v>Bronze</v>
      </c>
      <c r="S1452">
        <v>1</v>
      </c>
      <c r="T1452">
        <v>484.23</v>
      </c>
      <c r="U1452">
        <v>0.12</v>
      </c>
      <c r="V1452">
        <v>426.12240000000003</v>
      </c>
      <c r="X1452" s="4">
        <v>1</v>
      </c>
      <c r="Y1452">
        <v>484.23</v>
      </c>
      <c r="Z1452">
        <v>0.12</v>
      </c>
      <c r="AA1452">
        <v>426.12240000000003</v>
      </c>
    </row>
    <row r="1453" spans="1:27" x14ac:dyDescent="0.3">
      <c r="A1453" t="s">
        <v>3260</v>
      </c>
      <c r="B1453" s="2">
        <v>45383</v>
      </c>
      <c r="C1453" t="s">
        <v>32</v>
      </c>
      <c r="D1453" t="s">
        <v>1601</v>
      </c>
      <c r="E1453" t="s">
        <v>1793</v>
      </c>
      <c r="F1453" s="4">
        <v>3</v>
      </c>
      <c r="G1453">
        <v>341.51</v>
      </c>
      <c r="H1453">
        <v>0.22</v>
      </c>
      <c r="I1453" t="s">
        <v>1812</v>
      </c>
      <c r="J1453">
        <v>799.13340000000005</v>
      </c>
      <c r="K1453" t="s">
        <v>33</v>
      </c>
      <c r="L1453">
        <v>29</v>
      </c>
      <c r="M1453" t="str">
        <v>Female</v>
      </c>
      <c r="N1453" t="str">
        <f>VLOOKUP(C:C,Customer_Dim!B:I,5,1)</f>
        <v>East Amandamouth</v>
      </c>
      <c r="O1453" t="str">
        <f>VLOOKUP(C:C,Customer_Dim!B:I,6,1)</f>
        <v>Oregon</v>
      </c>
      <c r="P1453" t="str">
        <f>VLOOKUP(C:C,Customer_Dim!B:I,7,1)</f>
        <v>USA</v>
      </c>
      <c r="Q1453" t="str">
        <f>VLOOKUP(C:C,Customer_Dim!B:I,8,1)</f>
        <v>Bronze</v>
      </c>
      <c r="S1453">
        <v>3</v>
      </c>
      <c r="T1453">
        <v>341.51</v>
      </c>
      <c r="U1453">
        <v>0.22</v>
      </c>
      <c r="V1453">
        <v>799.13340000000005</v>
      </c>
      <c r="X1453" s="4">
        <v>3</v>
      </c>
      <c r="Y1453">
        <v>341.51</v>
      </c>
      <c r="Z1453">
        <v>0.22</v>
      </c>
      <c r="AA1453">
        <v>799.13340000000005</v>
      </c>
    </row>
    <row r="1454" spans="1:27" x14ac:dyDescent="0.3">
      <c r="A1454" t="s">
        <v>3261</v>
      </c>
      <c r="B1454" s="2">
        <v>45788</v>
      </c>
      <c r="C1454" t="s">
        <v>379</v>
      </c>
      <c r="D1454" t="s">
        <v>1727</v>
      </c>
      <c r="E1454" t="s">
        <v>1780</v>
      </c>
      <c r="F1454" s="4">
        <v>3</v>
      </c>
      <c r="G1454">
        <v>758.87</v>
      </c>
      <c r="H1454">
        <v>0.11</v>
      </c>
      <c r="I1454" t="s">
        <v>1809</v>
      </c>
      <c r="J1454">
        <v>2026.1829</v>
      </c>
      <c r="K1454" t="s">
        <v>380</v>
      </c>
      <c r="L1454">
        <v>40</v>
      </c>
      <c r="M1454" t="str">
        <v>Female</v>
      </c>
      <c r="N1454" t="str">
        <f>VLOOKUP(C:C,Customer_Dim!B:I,5,1)</f>
        <v>Smithland</v>
      </c>
      <c r="O1454" t="str">
        <f>VLOOKUP(C:C,Customer_Dim!B:I,6,1)</f>
        <v>West Virginia</v>
      </c>
      <c r="P1454" t="str">
        <f>VLOOKUP(C:C,Customer_Dim!B:I,7,1)</f>
        <v>USA</v>
      </c>
      <c r="Q1454" t="str">
        <f>VLOOKUP(C:C,Customer_Dim!B:I,8,1)</f>
        <v>Silver</v>
      </c>
      <c r="S1454">
        <v>3</v>
      </c>
      <c r="T1454">
        <v>758.87</v>
      </c>
      <c r="U1454">
        <v>0.11</v>
      </c>
      <c r="V1454">
        <v>2026.1829</v>
      </c>
      <c r="X1454" s="4">
        <v>3</v>
      </c>
      <c r="Y1454">
        <v>758.87</v>
      </c>
      <c r="Z1454">
        <v>0.11</v>
      </c>
      <c r="AA1454">
        <v>2026.1829</v>
      </c>
    </row>
    <row r="1455" spans="1:27" x14ac:dyDescent="0.3">
      <c r="A1455" t="s">
        <v>3262</v>
      </c>
      <c r="B1455" s="2">
        <v>45855</v>
      </c>
      <c r="C1455" t="s">
        <v>1433</v>
      </c>
      <c r="D1455" t="s">
        <v>1643</v>
      </c>
      <c r="E1455" t="s">
        <v>1777</v>
      </c>
      <c r="F1455" s="4">
        <v>3</v>
      </c>
      <c r="G1455">
        <v>560.52</v>
      </c>
      <c r="H1455">
        <v>0.17</v>
      </c>
      <c r="I1455" t="s">
        <v>1807</v>
      </c>
      <c r="J1455">
        <v>1395.6948</v>
      </c>
      <c r="K1455" t="s">
        <v>1434</v>
      </c>
      <c r="L1455">
        <v>42</v>
      </c>
      <c r="M1455" t="str">
        <v>Male</v>
      </c>
      <c r="N1455" t="str">
        <f>VLOOKUP(C:C,Customer_Dim!B:I,5,1)</f>
        <v>Kanebury</v>
      </c>
      <c r="O1455" t="str">
        <f>VLOOKUP(C:C,Customer_Dim!B:I,6,1)</f>
        <v>New Hampshire</v>
      </c>
      <c r="P1455" t="str">
        <f>VLOOKUP(C:C,Customer_Dim!B:I,7,1)</f>
        <v>USA</v>
      </c>
      <c r="Q1455" t="str">
        <f>VLOOKUP(C:C,Customer_Dim!B:I,8,1)</f>
        <v>Gold</v>
      </c>
      <c r="S1455">
        <v>3</v>
      </c>
      <c r="T1455">
        <v>560.52</v>
      </c>
      <c r="U1455">
        <v>0.17</v>
      </c>
      <c r="V1455">
        <v>1395.6948</v>
      </c>
      <c r="X1455" s="4">
        <v>3</v>
      </c>
      <c r="Y1455">
        <v>560.52</v>
      </c>
      <c r="Z1455">
        <v>0.17</v>
      </c>
      <c r="AA1455">
        <v>1395.6948</v>
      </c>
    </row>
    <row r="1456" spans="1:27" x14ac:dyDescent="0.3">
      <c r="A1456" t="s">
        <v>3263</v>
      </c>
      <c r="B1456" s="2">
        <v>45533</v>
      </c>
      <c r="C1456" t="s">
        <v>1089</v>
      </c>
      <c r="D1456" t="s">
        <v>1723</v>
      </c>
      <c r="E1456" t="s">
        <v>1790</v>
      </c>
      <c r="F1456" s="4">
        <v>2</v>
      </c>
      <c r="G1456">
        <v>977.18</v>
      </c>
      <c r="H1456">
        <v>0.19</v>
      </c>
      <c r="I1456" t="s">
        <v>1807</v>
      </c>
      <c r="J1456">
        <v>1583.0316</v>
      </c>
      <c r="K1456" t="s">
        <v>1090</v>
      </c>
      <c r="L1456">
        <v>52</v>
      </c>
      <c r="M1456" t="str">
        <v>Female</v>
      </c>
      <c r="N1456" t="str">
        <f>VLOOKUP(C:C,Customer_Dim!B:I,5,1)</f>
        <v>North Samuel</v>
      </c>
      <c r="O1456" t="str">
        <f>VLOOKUP(C:C,Customer_Dim!B:I,6,1)</f>
        <v>Nebraska</v>
      </c>
      <c r="P1456" t="str">
        <f>VLOOKUP(C:C,Customer_Dim!B:I,7,1)</f>
        <v>USA</v>
      </c>
      <c r="Q1456" t="str">
        <f>VLOOKUP(C:C,Customer_Dim!B:I,8,1)</f>
        <v>Bronze</v>
      </c>
      <c r="S1456">
        <v>2</v>
      </c>
      <c r="T1456">
        <v>977.18</v>
      </c>
      <c r="U1456">
        <v>0.19</v>
      </c>
      <c r="V1456">
        <v>1583.0316</v>
      </c>
      <c r="X1456" s="4">
        <v>2</v>
      </c>
      <c r="Y1456">
        <v>977.18</v>
      </c>
      <c r="Z1456">
        <v>0.19</v>
      </c>
      <c r="AA1456">
        <v>1583.0316</v>
      </c>
    </row>
    <row r="1457" spans="1:27" x14ac:dyDescent="0.3">
      <c r="A1457" t="s">
        <v>3264</v>
      </c>
      <c r="B1457" s="2">
        <v>45763</v>
      </c>
      <c r="C1457" t="s">
        <v>752</v>
      </c>
      <c r="D1457" t="s">
        <v>1563</v>
      </c>
      <c r="E1457" t="s">
        <v>1782</v>
      </c>
      <c r="F1457" s="4">
        <v>4</v>
      </c>
      <c r="G1457">
        <v>761.35</v>
      </c>
      <c r="H1457">
        <v>0.08</v>
      </c>
      <c r="I1457" t="s">
        <v>1807</v>
      </c>
      <c r="J1457">
        <v>2801.768</v>
      </c>
      <c r="K1457" t="s">
        <v>753</v>
      </c>
      <c r="L1457">
        <v>41</v>
      </c>
      <c r="M1457" t="str">
        <v>Female</v>
      </c>
      <c r="N1457" t="str">
        <f>VLOOKUP(C:C,Customer_Dim!B:I,5,1)</f>
        <v>North Larryport</v>
      </c>
      <c r="O1457" t="str">
        <f>VLOOKUP(C:C,Customer_Dim!B:I,6,1)</f>
        <v>Virginia</v>
      </c>
      <c r="P1457" t="str">
        <f>VLOOKUP(C:C,Customer_Dim!B:I,7,1)</f>
        <v>USA</v>
      </c>
      <c r="Q1457" t="str">
        <f>VLOOKUP(C:C,Customer_Dim!B:I,8,1)</f>
        <v>Bronze</v>
      </c>
      <c r="S1457">
        <v>4</v>
      </c>
      <c r="T1457">
        <v>761.35</v>
      </c>
      <c r="U1457">
        <v>0.08</v>
      </c>
      <c r="V1457">
        <v>2801.768</v>
      </c>
      <c r="X1457" s="4">
        <v>4</v>
      </c>
      <c r="Y1457">
        <v>761.35</v>
      </c>
      <c r="Z1457">
        <v>0.08</v>
      </c>
      <c r="AA1457">
        <v>2801.768</v>
      </c>
    </row>
    <row r="1458" spans="1:27" x14ac:dyDescent="0.3">
      <c r="A1458" t="s">
        <v>3265</v>
      </c>
      <c r="B1458" s="2">
        <v>45900</v>
      </c>
      <c r="C1458" t="s">
        <v>586</v>
      </c>
      <c r="D1458" t="s">
        <v>1665</v>
      </c>
      <c r="E1458" t="s">
        <v>1793</v>
      </c>
      <c r="F1458" s="4">
        <v>2</v>
      </c>
      <c r="G1458">
        <v>947.56</v>
      </c>
      <c r="H1458">
        <v>0.02</v>
      </c>
      <c r="I1458" t="s">
        <v>1812</v>
      </c>
      <c r="J1458">
        <v>1857.2175999999999</v>
      </c>
      <c r="K1458" t="s">
        <v>587</v>
      </c>
      <c r="L1458">
        <v>38</v>
      </c>
      <c r="M1458" t="str">
        <v>Male</v>
      </c>
      <c r="N1458" t="str">
        <f>VLOOKUP(C:C,Customer_Dim!B:I,5,1)</f>
        <v>Murphyfurt</v>
      </c>
      <c r="O1458" t="str">
        <f>VLOOKUP(C:C,Customer_Dim!B:I,6,1)</f>
        <v>Utah</v>
      </c>
      <c r="P1458" t="str">
        <f>VLOOKUP(C:C,Customer_Dim!B:I,7,1)</f>
        <v>USA</v>
      </c>
      <c r="Q1458" t="str">
        <f>VLOOKUP(C:C,Customer_Dim!B:I,8,1)</f>
        <v>Silver</v>
      </c>
      <c r="S1458">
        <v>2</v>
      </c>
      <c r="T1458">
        <v>947.56</v>
      </c>
      <c r="U1458">
        <v>0.02</v>
      </c>
      <c r="V1458">
        <v>1857.2175999999999</v>
      </c>
      <c r="X1458" s="4">
        <v>2</v>
      </c>
      <c r="Y1458">
        <v>947.56</v>
      </c>
      <c r="Z1458">
        <v>0.02</v>
      </c>
      <c r="AA1458">
        <v>1857.2175999999999</v>
      </c>
    </row>
    <row r="1459" spans="1:27" x14ac:dyDescent="0.3">
      <c r="A1459" t="s">
        <v>3266</v>
      </c>
      <c r="B1459" s="2">
        <v>45943</v>
      </c>
      <c r="C1459" t="s">
        <v>758</v>
      </c>
      <c r="D1459" t="s">
        <v>1617</v>
      </c>
      <c r="E1459" t="s">
        <v>1793</v>
      </c>
      <c r="F1459" s="4">
        <v>4</v>
      </c>
      <c r="G1459">
        <v>975.47</v>
      </c>
      <c r="H1459">
        <v>0.04</v>
      </c>
      <c r="I1459" t="s">
        <v>1807</v>
      </c>
      <c r="J1459">
        <v>3745.8047999999999</v>
      </c>
      <c r="K1459" t="s">
        <v>759</v>
      </c>
      <c r="L1459">
        <v>58</v>
      </c>
      <c r="M1459" t="str">
        <v>Female</v>
      </c>
      <c r="N1459" t="str">
        <f>VLOOKUP(C:C,Customer_Dim!B:I,5,1)</f>
        <v>Port Krista</v>
      </c>
      <c r="O1459" t="str">
        <f>VLOOKUP(C:C,Customer_Dim!B:I,6,1)</f>
        <v>West Virginia</v>
      </c>
      <c r="P1459" t="str">
        <f>VLOOKUP(C:C,Customer_Dim!B:I,7,1)</f>
        <v>USA</v>
      </c>
      <c r="Q1459" t="str">
        <f>VLOOKUP(C:C,Customer_Dim!B:I,8,1)</f>
        <v>Platinum</v>
      </c>
      <c r="S1459">
        <v>4</v>
      </c>
      <c r="T1459">
        <v>975.47</v>
      </c>
      <c r="U1459">
        <v>0.04</v>
      </c>
      <c r="V1459">
        <v>3745.8047999999999</v>
      </c>
      <c r="X1459" s="4">
        <v>4</v>
      </c>
      <c r="Y1459">
        <v>975.47</v>
      </c>
      <c r="Z1459">
        <v>0.04</v>
      </c>
      <c r="AA1459">
        <v>3745.8047999999999</v>
      </c>
    </row>
    <row r="1460" spans="1:27" x14ac:dyDescent="0.3">
      <c r="A1460" t="s">
        <v>3267</v>
      </c>
      <c r="B1460" s="2">
        <v>45448</v>
      </c>
      <c r="C1460" t="s">
        <v>1453</v>
      </c>
      <c r="D1460" t="s">
        <v>1557</v>
      </c>
      <c r="E1460" t="s">
        <v>1769</v>
      </c>
      <c r="F1460" s="4">
        <v>3</v>
      </c>
      <c r="G1460">
        <v>769.06</v>
      </c>
      <c r="H1460">
        <v>0.23</v>
      </c>
      <c r="I1460" t="s">
        <v>1812</v>
      </c>
      <c r="J1460">
        <v>1776.5286000000001</v>
      </c>
      <c r="K1460" t="s">
        <v>1454</v>
      </c>
      <c r="L1460">
        <v>59</v>
      </c>
      <c r="M1460" t="str">
        <v>Male</v>
      </c>
      <c r="N1460" t="str">
        <f>VLOOKUP(C:C,Customer_Dim!B:I,5,1)</f>
        <v>West Kelseyberg</v>
      </c>
      <c r="O1460" t="str">
        <f>VLOOKUP(C:C,Customer_Dim!B:I,6,1)</f>
        <v>Kansas</v>
      </c>
      <c r="P1460" t="str">
        <f>VLOOKUP(C:C,Customer_Dim!B:I,7,1)</f>
        <v>USA</v>
      </c>
      <c r="Q1460" t="str">
        <f>VLOOKUP(C:C,Customer_Dim!B:I,8,1)</f>
        <v>Platinum</v>
      </c>
      <c r="S1460">
        <v>3</v>
      </c>
      <c r="T1460">
        <v>769.06</v>
      </c>
      <c r="U1460">
        <v>0.23</v>
      </c>
      <c r="V1460">
        <v>1776.5286000000001</v>
      </c>
      <c r="X1460" s="4">
        <v>3</v>
      </c>
      <c r="Y1460">
        <v>769.06</v>
      </c>
      <c r="Z1460">
        <v>0.23</v>
      </c>
      <c r="AA1460">
        <v>1776.5286000000001</v>
      </c>
    </row>
    <row r="1461" spans="1:27" x14ac:dyDescent="0.3">
      <c r="A1461" t="s">
        <v>3268</v>
      </c>
      <c r="B1461" s="2">
        <v>45929</v>
      </c>
      <c r="C1461" t="s">
        <v>1478</v>
      </c>
      <c r="D1461" t="s">
        <v>1609</v>
      </c>
      <c r="E1461" t="s">
        <v>1744</v>
      </c>
      <c r="F1461" s="4">
        <v>3</v>
      </c>
      <c r="G1461">
        <v>824.75</v>
      </c>
      <c r="H1461">
        <v>0.23</v>
      </c>
      <c r="I1461" t="s">
        <v>1807</v>
      </c>
      <c r="J1461">
        <v>1905.1724999999999</v>
      </c>
      <c r="K1461" t="s">
        <v>1479</v>
      </c>
      <c r="L1461">
        <v>36</v>
      </c>
      <c r="M1461" t="str">
        <v>Female</v>
      </c>
      <c r="N1461" t="str">
        <f>VLOOKUP(C:C,Customer_Dim!B:I,5,1)</f>
        <v>Lake April</v>
      </c>
      <c r="O1461" t="str">
        <f>VLOOKUP(C:C,Customer_Dim!B:I,6,1)</f>
        <v>Vermont</v>
      </c>
      <c r="P1461" t="str">
        <f>VLOOKUP(C:C,Customer_Dim!B:I,7,1)</f>
        <v>USA</v>
      </c>
      <c r="Q1461" t="str">
        <f>VLOOKUP(C:C,Customer_Dim!B:I,8,1)</f>
        <v>Bronze</v>
      </c>
      <c r="S1461">
        <v>3</v>
      </c>
      <c r="T1461">
        <v>824.75</v>
      </c>
      <c r="U1461">
        <v>0.23</v>
      </c>
      <c r="V1461">
        <v>1905.1724999999999</v>
      </c>
      <c r="X1461" s="4">
        <v>3</v>
      </c>
      <c r="Y1461">
        <v>824.75</v>
      </c>
      <c r="Z1461">
        <v>0.23</v>
      </c>
      <c r="AA1461">
        <v>1905.1724999999999</v>
      </c>
    </row>
    <row r="1462" spans="1:27" x14ac:dyDescent="0.3">
      <c r="A1462" t="s">
        <v>3269</v>
      </c>
      <c r="B1462" s="2">
        <v>45478</v>
      </c>
      <c r="C1462" t="s">
        <v>1235</v>
      </c>
      <c r="D1462" t="s">
        <v>1667</v>
      </c>
      <c r="E1462" t="s">
        <v>1752</v>
      </c>
      <c r="F1462" s="4">
        <v>2</v>
      </c>
      <c r="G1462">
        <v>821.35</v>
      </c>
      <c r="H1462">
        <v>0.11</v>
      </c>
      <c r="I1462" t="s">
        <v>1809</v>
      </c>
      <c r="J1462">
        <v>1462.0029999999999</v>
      </c>
      <c r="K1462" t="s">
        <v>1236</v>
      </c>
      <c r="L1462">
        <v>31</v>
      </c>
      <c r="M1462" t="str">
        <v>Male</v>
      </c>
      <c r="N1462" t="str">
        <f>VLOOKUP(C:C,Customer_Dim!B:I,5,1)</f>
        <v>Leahmouth</v>
      </c>
      <c r="O1462" t="str">
        <f>VLOOKUP(C:C,Customer_Dim!B:I,6,1)</f>
        <v>Nevada</v>
      </c>
      <c r="P1462" t="str">
        <f>VLOOKUP(C:C,Customer_Dim!B:I,7,1)</f>
        <v>USA</v>
      </c>
      <c r="Q1462" t="str">
        <f>VLOOKUP(C:C,Customer_Dim!B:I,8,1)</f>
        <v>Platinum</v>
      </c>
      <c r="S1462">
        <v>2</v>
      </c>
      <c r="T1462">
        <v>821.35</v>
      </c>
      <c r="U1462">
        <v>0.11</v>
      </c>
      <c r="V1462">
        <v>1462.0029999999999</v>
      </c>
      <c r="X1462" s="4">
        <v>2</v>
      </c>
      <c r="Y1462">
        <v>821.35</v>
      </c>
      <c r="Z1462">
        <v>0.11</v>
      </c>
      <c r="AA1462">
        <v>1462.0029999999999</v>
      </c>
    </row>
    <row r="1463" spans="1:27" x14ac:dyDescent="0.3">
      <c r="A1463" t="s">
        <v>3270</v>
      </c>
      <c r="B1463" s="2">
        <v>45723</v>
      </c>
      <c r="C1463" t="s">
        <v>1246</v>
      </c>
      <c r="D1463" t="s">
        <v>1557</v>
      </c>
      <c r="E1463" t="s">
        <v>1772</v>
      </c>
      <c r="F1463" s="4">
        <v>1</v>
      </c>
      <c r="G1463">
        <v>120.57</v>
      </c>
      <c r="H1463">
        <v>0.06</v>
      </c>
      <c r="I1463" t="s">
        <v>1809</v>
      </c>
      <c r="J1463">
        <v>113.33580000000001</v>
      </c>
      <c r="K1463" t="s">
        <v>1247</v>
      </c>
      <c r="L1463">
        <v>23</v>
      </c>
      <c r="M1463" t="str">
        <v>Female</v>
      </c>
      <c r="N1463" t="str">
        <f>VLOOKUP(C:C,Customer_Dim!B:I,5,1)</f>
        <v>Garciaview</v>
      </c>
      <c r="O1463" t="str">
        <f>VLOOKUP(C:C,Customer_Dim!B:I,6,1)</f>
        <v>Louisiana</v>
      </c>
      <c r="P1463" t="str">
        <f>VLOOKUP(C:C,Customer_Dim!B:I,7,1)</f>
        <v>USA</v>
      </c>
      <c r="Q1463" t="str">
        <f>VLOOKUP(C:C,Customer_Dim!B:I,8,1)</f>
        <v>Gold</v>
      </c>
      <c r="S1463">
        <v>1</v>
      </c>
      <c r="T1463">
        <v>120.57</v>
      </c>
      <c r="U1463">
        <v>0.06</v>
      </c>
      <c r="V1463">
        <v>113.33580000000001</v>
      </c>
      <c r="X1463" s="4">
        <v>1</v>
      </c>
      <c r="Y1463">
        <v>120.57</v>
      </c>
      <c r="Z1463">
        <v>0.06</v>
      </c>
      <c r="AA1463">
        <v>113.33580000000001</v>
      </c>
    </row>
    <row r="1464" spans="1:27" x14ac:dyDescent="0.3">
      <c r="A1464" t="s">
        <v>3271</v>
      </c>
      <c r="B1464" s="2">
        <v>45240</v>
      </c>
      <c r="C1464" t="s">
        <v>1042</v>
      </c>
      <c r="D1464" t="s">
        <v>1709</v>
      </c>
      <c r="E1464" t="s">
        <v>1740</v>
      </c>
      <c r="F1464" s="4">
        <v>1</v>
      </c>
      <c r="G1464">
        <v>122.27</v>
      </c>
      <c r="H1464">
        <v>0.26</v>
      </c>
      <c r="I1464" t="s">
        <v>1809</v>
      </c>
      <c r="J1464">
        <v>90.479799999999997</v>
      </c>
      <c r="K1464" t="s">
        <v>1043</v>
      </c>
      <c r="L1464">
        <v>58</v>
      </c>
      <c r="M1464" t="str">
        <v>Female</v>
      </c>
      <c r="N1464" t="str">
        <f>VLOOKUP(C:C,Customer_Dim!B:I,5,1)</f>
        <v>West Brendamouth</v>
      </c>
      <c r="O1464" t="str">
        <f>VLOOKUP(C:C,Customer_Dim!B:I,6,1)</f>
        <v>North Carolina</v>
      </c>
      <c r="P1464" t="str">
        <f>VLOOKUP(C:C,Customer_Dim!B:I,7,1)</f>
        <v>USA</v>
      </c>
      <c r="Q1464" t="str">
        <f>VLOOKUP(C:C,Customer_Dim!B:I,8,1)</f>
        <v>Platinum</v>
      </c>
      <c r="S1464">
        <v>1</v>
      </c>
      <c r="T1464">
        <v>122.27</v>
      </c>
      <c r="U1464">
        <v>0.26</v>
      </c>
      <c r="V1464">
        <v>90.479799999999997</v>
      </c>
      <c r="X1464" s="4">
        <v>1</v>
      </c>
      <c r="Y1464">
        <v>122.27</v>
      </c>
      <c r="Z1464">
        <v>0.26</v>
      </c>
      <c r="AA1464">
        <v>90.479799999999997</v>
      </c>
    </row>
    <row r="1465" spans="1:27" x14ac:dyDescent="0.3">
      <c r="A1465" t="s">
        <v>3272</v>
      </c>
      <c r="B1465" s="2">
        <v>45890</v>
      </c>
      <c r="C1465" t="s">
        <v>560</v>
      </c>
      <c r="D1465" t="s">
        <v>1583</v>
      </c>
      <c r="E1465" t="s">
        <v>1744</v>
      </c>
      <c r="F1465" s="4">
        <v>2</v>
      </c>
      <c r="G1465">
        <v>182.89</v>
      </c>
      <c r="H1465">
        <v>0.11</v>
      </c>
      <c r="I1465" t="s">
        <v>1807</v>
      </c>
      <c r="J1465">
        <v>325.54419999999999</v>
      </c>
      <c r="K1465" t="s">
        <v>3940</v>
      </c>
      <c r="L1465">
        <v>44</v>
      </c>
      <c r="M1465" t="str">
        <v>Female</v>
      </c>
      <c r="N1465" t="str">
        <f>VLOOKUP(C:C,Customer_Dim!B:I,5,1)</f>
        <v>New Joseph</v>
      </c>
      <c r="O1465" t="str">
        <f>VLOOKUP(C:C,Customer_Dim!B:I,6,1)</f>
        <v>Missouri</v>
      </c>
      <c r="P1465" t="str">
        <f>VLOOKUP(C:C,Customer_Dim!B:I,7,1)</f>
        <v>USA</v>
      </c>
      <c r="Q1465" t="str">
        <f>VLOOKUP(C:C,Customer_Dim!B:I,8,1)</f>
        <v>Gold</v>
      </c>
      <c r="S1465">
        <v>2</v>
      </c>
      <c r="T1465">
        <v>182.89</v>
      </c>
      <c r="U1465">
        <v>0.11</v>
      </c>
      <c r="V1465">
        <v>325.54419999999999</v>
      </c>
      <c r="X1465" s="4">
        <v>2</v>
      </c>
      <c r="Y1465">
        <v>182.89</v>
      </c>
      <c r="Z1465">
        <v>0.11</v>
      </c>
      <c r="AA1465">
        <v>325.54419999999999</v>
      </c>
    </row>
    <row r="1466" spans="1:27" x14ac:dyDescent="0.3">
      <c r="A1466" t="s">
        <v>3273</v>
      </c>
      <c r="B1466" s="2">
        <v>45796</v>
      </c>
      <c r="C1466" t="s">
        <v>1147</v>
      </c>
      <c r="D1466" t="s">
        <v>1623</v>
      </c>
      <c r="E1466" t="s">
        <v>1752</v>
      </c>
      <c r="F1466" s="4">
        <v>1</v>
      </c>
      <c r="G1466">
        <v>695.26</v>
      </c>
      <c r="H1466">
        <v>0.23</v>
      </c>
      <c r="I1466" t="s">
        <v>1809</v>
      </c>
      <c r="J1466">
        <v>535.35019999999997</v>
      </c>
      <c r="K1466" t="s">
        <v>1148</v>
      </c>
      <c r="L1466">
        <v>28</v>
      </c>
      <c r="M1466" t="str">
        <v>Male</v>
      </c>
      <c r="N1466" t="str">
        <f>VLOOKUP(C:C,Customer_Dim!B:I,5,1)</f>
        <v>Port Crystal</v>
      </c>
      <c r="O1466" t="str">
        <f>VLOOKUP(C:C,Customer_Dim!B:I,6,1)</f>
        <v>New Hampshire</v>
      </c>
      <c r="P1466" t="str">
        <f>VLOOKUP(C:C,Customer_Dim!B:I,7,1)</f>
        <v>USA</v>
      </c>
      <c r="Q1466" t="str">
        <f>VLOOKUP(C:C,Customer_Dim!B:I,8,1)</f>
        <v>Platinum</v>
      </c>
      <c r="S1466">
        <v>1</v>
      </c>
      <c r="T1466">
        <v>695.26</v>
      </c>
      <c r="U1466">
        <v>0.23</v>
      </c>
      <c r="V1466">
        <v>535.35019999999997</v>
      </c>
      <c r="X1466" s="4">
        <v>1</v>
      </c>
      <c r="Y1466">
        <v>695.26</v>
      </c>
      <c r="Z1466">
        <v>0.23</v>
      </c>
      <c r="AA1466">
        <v>535.35019999999997</v>
      </c>
    </row>
    <row r="1467" spans="1:27" x14ac:dyDescent="0.3">
      <c r="A1467" t="s">
        <v>3274</v>
      </c>
      <c r="B1467" s="2">
        <v>45895</v>
      </c>
      <c r="C1467" t="s">
        <v>114</v>
      </c>
      <c r="D1467" t="s">
        <v>1589</v>
      </c>
      <c r="E1467" t="s">
        <v>1759</v>
      </c>
      <c r="F1467" s="4">
        <v>2</v>
      </c>
      <c r="G1467">
        <v>408.8</v>
      </c>
      <c r="H1467">
        <v>0.17</v>
      </c>
      <c r="I1467" t="s">
        <v>1812</v>
      </c>
      <c r="J1467">
        <v>678.60799999999995</v>
      </c>
      <c r="K1467" t="s">
        <v>115</v>
      </c>
      <c r="L1467">
        <v>27</v>
      </c>
      <c r="M1467" t="str">
        <v>Female</v>
      </c>
      <c r="N1467" t="str">
        <f>VLOOKUP(C:C,Customer_Dim!B:I,5,1)</f>
        <v>Mollyshire</v>
      </c>
      <c r="O1467" t="str">
        <f>VLOOKUP(C:C,Customer_Dim!B:I,6,1)</f>
        <v>Utah</v>
      </c>
      <c r="P1467" t="str">
        <f>VLOOKUP(C:C,Customer_Dim!B:I,7,1)</f>
        <v>USA</v>
      </c>
      <c r="Q1467" t="str">
        <f>VLOOKUP(C:C,Customer_Dim!B:I,8,1)</f>
        <v>Platinum</v>
      </c>
      <c r="S1467">
        <v>2</v>
      </c>
      <c r="T1467">
        <v>408.8</v>
      </c>
      <c r="U1467">
        <v>0.17</v>
      </c>
      <c r="V1467">
        <v>678.60799999999995</v>
      </c>
      <c r="X1467" s="4">
        <v>2</v>
      </c>
      <c r="Y1467">
        <v>408.8</v>
      </c>
      <c r="Z1467">
        <v>0.17</v>
      </c>
      <c r="AA1467">
        <v>678.60799999999995</v>
      </c>
    </row>
    <row r="1468" spans="1:27" x14ac:dyDescent="0.3">
      <c r="A1468" t="s">
        <v>3275</v>
      </c>
      <c r="B1468" s="2">
        <v>45676</v>
      </c>
      <c r="C1468" t="s">
        <v>724</v>
      </c>
      <c r="D1468" t="s">
        <v>1629</v>
      </c>
      <c r="E1468" t="s">
        <v>1765</v>
      </c>
      <c r="F1468" s="4">
        <v>3</v>
      </c>
      <c r="G1468">
        <v>512.15</v>
      </c>
      <c r="H1468">
        <v>0.12</v>
      </c>
      <c r="I1468" t="s">
        <v>1807</v>
      </c>
      <c r="J1468">
        <v>1352.076</v>
      </c>
      <c r="K1468" t="s">
        <v>725</v>
      </c>
      <c r="L1468">
        <v>63</v>
      </c>
      <c r="M1468" t="str">
        <v>Female</v>
      </c>
      <c r="N1468" t="str">
        <f>VLOOKUP(C:C,Customer_Dim!B:I,5,1)</f>
        <v>Morrisbury</v>
      </c>
      <c r="O1468" t="str">
        <f>VLOOKUP(C:C,Customer_Dim!B:I,6,1)</f>
        <v>Alaska</v>
      </c>
      <c r="P1468" t="str">
        <f>VLOOKUP(C:C,Customer_Dim!B:I,7,1)</f>
        <v>USA</v>
      </c>
      <c r="Q1468" t="str">
        <f>VLOOKUP(C:C,Customer_Dim!B:I,8,1)</f>
        <v>Gold</v>
      </c>
      <c r="S1468">
        <v>3</v>
      </c>
      <c r="T1468">
        <v>512.15</v>
      </c>
      <c r="U1468">
        <v>0.12</v>
      </c>
      <c r="V1468">
        <v>1352.076</v>
      </c>
      <c r="X1468" s="4">
        <v>3</v>
      </c>
      <c r="Y1468">
        <v>512.15</v>
      </c>
      <c r="Z1468">
        <v>0.12</v>
      </c>
      <c r="AA1468">
        <v>1352.076</v>
      </c>
    </row>
    <row r="1469" spans="1:27" x14ac:dyDescent="0.3">
      <c r="A1469" t="s">
        <v>3276</v>
      </c>
      <c r="B1469" s="2">
        <v>45568</v>
      </c>
      <c r="C1469" t="s">
        <v>1258</v>
      </c>
      <c r="D1469" t="s">
        <v>1548</v>
      </c>
      <c r="E1469" t="s">
        <v>1765</v>
      </c>
      <c r="F1469" s="4">
        <v>3</v>
      </c>
      <c r="G1469">
        <v>136.4</v>
      </c>
      <c r="H1469">
        <v>0.15</v>
      </c>
      <c r="I1469" t="s">
        <v>1809</v>
      </c>
      <c r="J1469">
        <v>347.82000000000011</v>
      </c>
      <c r="K1469" t="s">
        <v>1259</v>
      </c>
      <c r="L1469">
        <v>48</v>
      </c>
      <c r="M1469" t="str">
        <v>Female</v>
      </c>
      <c r="N1469" t="str">
        <f>VLOOKUP(C:C,Customer_Dim!B:I,5,1)</f>
        <v>Kathleenport</v>
      </c>
      <c r="O1469" t="str">
        <f>VLOOKUP(C:C,Customer_Dim!B:I,6,1)</f>
        <v>Wyoming</v>
      </c>
      <c r="P1469" t="str">
        <f>VLOOKUP(C:C,Customer_Dim!B:I,7,1)</f>
        <v>USA</v>
      </c>
      <c r="Q1469" t="str">
        <f>VLOOKUP(C:C,Customer_Dim!B:I,8,1)</f>
        <v>Gold</v>
      </c>
      <c r="S1469">
        <v>3</v>
      </c>
      <c r="T1469">
        <v>136.4</v>
      </c>
      <c r="U1469">
        <v>0.15</v>
      </c>
      <c r="V1469">
        <v>347.82000000000011</v>
      </c>
      <c r="X1469" s="4">
        <v>3</v>
      </c>
      <c r="Y1469">
        <v>136.4</v>
      </c>
      <c r="Z1469">
        <v>0.15</v>
      </c>
      <c r="AA1469">
        <v>347.82000000000011</v>
      </c>
    </row>
    <row r="1470" spans="1:27" x14ac:dyDescent="0.3">
      <c r="A1470" t="s">
        <v>3277</v>
      </c>
      <c r="B1470" s="2">
        <v>45272</v>
      </c>
      <c r="C1470" t="s">
        <v>573</v>
      </c>
      <c r="D1470" t="s">
        <v>1540</v>
      </c>
      <c r="E1470" t="s">
        <v>1749</v>
      </c>
      <c r="F1470" s="4">
        <v>2</v>
      </c>
      <c r="G1470">
        <v>42.51</v>
      </c>
      <c r="H1470">
        <v>0.04</v>
      </c>
      <c r="I1470" t="s">
        <v>1812</v>
      </c>
      <c r="J1470">
        <v>81.619199999999992</v>
      </c>
      <c r="K1470" t="s">
        <v>574</v>
      </c>
      <c r="L1470">
        <v>48</v>
      </c>
      <c r="M1470" t="str">
        <v>Male</v>
      </c>
      <c r="N1470" t="str">
        <f>VLOOKUP(C:C,Customer_Dim!B:I,5,1)</f>
        <v>East Jessicaborough</v>
      </c>
      <c r="O1470" t="str">
        <f>VLOOKUP(C:C,Customer_Dim!B:I,6,1)</f>
        <v>Hawaii</v>
      </c>
      <c r="P1470" t="str">
        <f>VLOOKUP(C:C,Customer_Dim!B:I,7,1)</f>
        <v>USA</v>
      </c>
      <c r="Q1470" t="str">
        <f>VLOOKUP(C:C,Customer_Dim!B:I,8,1)</f>
        <v>Platinum</v>
      </c>
      <c r="S1470">
        <v>2</v>
      </c>
      <c r="T1470">
        <v>42.51</v>
      </c>
      <c r="U1470">
        <v>0.04</v>
      </c>
      <c r="V1470">
        <v>81.619199999999992</v>
      </c>
      <c r="X1470" s="4">
        <v>2</v>
      </c>
      <c r="Y1470">
        <v>42.51</v>
      </c>
      <c r="Z1470">
        <v>0.04</v>
      </c>
      <c r="AA1470">
        <v>81.619199999999992</v>
      </c>
    </row>
    <row r="1471" spans="1:27" x14ac:dyDescent="0.3">
      <c r="A1471" t="s">
        <v>3278</v>
      </c>
      <c r="B1471" s="2">
        <v>45718</v>
      </c>
      <c r="C1471" t="s">
        <v>1112</v>
      </c>
      <c r="D1471" t="s">
        <v>1681</v>
      </c>
      <c r="E1471" t="s">
        <v>1762</v>
      </c>
      <c r="F1471" s="4">
        <v>3</v>
      </c>
      <c r="G1471">
        <v>582.1</v>
      </c>
      <c r="H1471">
        <v>0.12</v>
      </c>
      <c r="I1471" t="s">
        <v>1809</v>
      </c>
      <c r="J1471">
        <v>1536.7439999999999</v>
      </c>
      <c r="K1471" t="s">
        <v>1113</v>
      </c>
      <c r="L1471">
        <v>34</v>
      </c>
      <c r="M1471" t="str">
        <v>Male</v>
      </c>
      <c r="N1471" t="str">
        <f>VLOOKUP(C:C,Customer_Dim!B:I,5,1)</f>
        <v>East Michaelton</v>
      </c>
      <c r="O1471" t="str">
        <f>VLOOKUP(C:C,Customer_Dim!B:I,6,1)</f>
        <v>Kansas</v>
      </c>
      <c r="P1471" t="str">
        <f>VLOOKUP(C:C,Customer_Dim!B:I,7,1)</f>
        <v>USA</v>
      </c>
      <c r="Q1471" t="str">
        <f>VLOOKUP(C:C,Customer_Dim!B:I,8,1)</f>
        <v>Silver</v>
      </c>
      <c r="S1471">
        <v>3</v>
      </c>
      <c r="T1471">
        <v>582.1</v>
      </c>
      <c r="U1471">
        <v>0.12</v>
      </c>
      <c r="V1471">
        <v>1536.7439999999999</v>
      </c>
      <c r="X1471" s="4">
        <v>3</v>
      </c>
      <c r="Y1471">
        <v>582.1</v>
      </c>
      <c r="Z1471">
        <v>0.12</v>
      </c>
      <c r="AA1471">
        <v>1536.7439999999999</v>
      </c>
    </row>
    <row r="1472" spans="1:27" x14ac:dyDescent="0.3">
      <c r="A1472" t="s">
        <v>3279</v>
      </c>
      <c r="B1472" s="2">
        <v>45356</v>
      </c>
      <c r="C1472" t="s">
        <v>705</v>
      </c>
      <c r="D1472" t="s">
        <v>1695</v>
      </c>
      <c r="E1472" t="s">
        <v>1790</v>
      </c>
      <c r="F1472" s="4">
        <v>4</v>
      </c>
      <c r="G1472">
        <v>461.52</v>
      </c>
      <c r="H1472">
        <v>0</v>
      </c>
      <c r="I1472" t="s">
        <v>1812</v>
      </c>
      <c r="J1472">
        <v>1846.08</v>
      </c>
      <c r="K1472" t="s">
        <v>706</v>
      </c>
      <c r="L1472">
        <v>50</v>
      </c>
      <c r="M1472" t="str">
        <v>Female</v>
      </c>
      <c r="N1472" t="str">
        <f>VLOOKUP(C:C,Customer_Dim!B:I,5,1)</f>
        <v xml:space="preserve">Phillipschester   </v>
      </c>
      <c r="O1472" t="str">
        <f>VLOOKUP(C:C,Customer_Dim!B:I,6,1)</f>
        <v>New Jersey</v>
      </c>
      <c r="P1472" t="str">
        <f>VLOOKUP(C:C,Customer_Dim!B:I,7,1)</f>
        <v>USA</v>
      </c>
      <c r="Q1472" t="str">
        <f>VLOOKUP(C:C,Customer_Dim!B:I,8,1)</f>
        <v>Gold</v>
      </c>
      <c r="S1472">
        <v>4</v>
      </c>
      <c r="T1472">
        <v>461.52</v>
      </c>
      <c r="U1472">
        <v>0</v>
      </c>
      <c r="V1472">
        <v>1846.08</v>
      </c>
      <c r="X1472" s="4">
        <v>4</v>
      </c>
      <c r="Y1472">
        <v>461.52</v>
      </c>
      <c r="Z1472">
        <v>0</v>
      </c>
      <c r="AA1472">
        <v>1846.08</v>
      </c>
    </row>
    <row r="1473" spans="1:27" x14ac:dyDescent="0.3">
      <c r="A1473" t="s">
        <v>3280</v>
      </c>
      <c r="B1473" s="2">
        <v>45552</v>
      </c>
      <c r="C1473" t="s">
        <v>1507</v>
      </c>
      <c r="D1473" t="s">
        <v>1563</v>
      </c>
      <c r="E1473" t="s">
        <v>1775</v>
      </c>
      <c r="F1473" s="4">
        <v>1</v>
      </c>
      <c r="G1473">
        <v>558.41999999999996</v>
      </c>
      <c r="H1473">
        <v>0.03</v>
      </c>
      <c r="I1473" t="s">
        <v>1807</v>
      </c>
      <c r="J1473">
        <v>541.66739999999993</v>
      </c>
      <c r="K1473" t="s">
        <v>1508</v>
      </c>
      <c r="L1473">
        <v>47</v>
      </c>
      <c r="M1473" t="str">
        <v>Female</v>
      </c>
      <c r="N1473" t="str">
        <f>VLOOKUP(C:C,Customer_Dim!B:I,5,1)</f>
        <v>North Seanfurt</v>
      </c>
      <c r="O1473" t="str">
        <f>VLOOKUP(C:C,Customer_Dim!B:I,6,1)</f>
        <v>Ohio</v>
      </c>
      <c r="P1473" t="str">
        <f>VLOOKUP(C:C,Customer_Dim!B:I,7,1)</f>
        <v>USA</v>
      </c>
      <c r="Q1473" t="str">
        <f>VLOOKUP(C:C,Customer_Dim!B:I,8,1)</f>
        <v>Bronze</v>
      </c>
      <c r="S1473">
        <v>1</v>
      </c>
      <c r="T1473">
        <v>558.41999999999996</v>
      </c>
      <c r="U1473">
        <v>0.03</v>
      </c>
      <c r="V1473">
        <v>541.66739999999993</v>
      </c>
      <c r="X1473" s="4">
        <v>1</v>
      </c>
      <c r="Y1473">
        <v>558.41999999999996</v>
      </c>
      <c r="Z1473">
        <v>0.03</v>
      </c>
      <c r="AA1473">
        <v>541.66739999999993</v>
      </c>
    </row>
    <row r="1474" spans="1:27" x14ac:dyDescent="0.3">
      <c r="A1474" t="s">
        <v>3281</v>
      </c>
      <c r="B1474" s="2">
        <v>45288</v>
      </c>
      <c r="C1474" t="s">
        <v>832</v>
      </c>
      <c r="D1474" t="s">
        <v>1555</v>
      </c>
      <c r="E1474" t="s">
        <v>1793</v>
      </c>
      <c r="F1474" s="4">
        <v>4</v>
      </c>
      <c r="G1474">
        <v>700.98</v>
      </c>
      <c r="H1474">
        <v>0.12</v>
      </c>
      <c r="I1474" t="s">
        <v>1809</v>
      </c>
      <c r="J1474">
        <v>2467.4495999999999</v>
      </c>
      <c r="K1474" t="s">
        <v>833</v>
      </c>
      <c r="L1474">
        <v>25</v>
      </c>
      <c r="M1474" t="str">
        <v>Male</v>
      </c>
      <c r="N1474" t="str">
        <f>VLOOKUP(C:C,Customer_Dim!B:I,5,1)</f>
        <v>Sallymouth</v>
      </c>
      <c r="O1474" t="str">
        <f>VLOOKUP(C:C,Customer_Dim!B:I,6,1)</f>
        <v>Louisiana</v>
      </c>
      <c r="P1474" t="str">
        <f>VLOOKUP(C:C,Customer_Dim!B:I,7,1)</f>
        <v>USA</v>
      </c>
      <c r="Q1474" t="str">
        <f>VLOOKUP(C:C,Customer_Dim!B:I,8,1)</f>
        <v>Bronze</v>
      </c>
      <c r="S1474">
        <v>4</v>
      </c>
      <c r="T1474">
        <v>700.98</v>
      </c>
      <c r="U1474">
        <v>0.12</v>
      </c>
      <c r="V1474">
        <v>2467.4495999999999</v>
      </c>
      <c r="X1474" s="4">
        <v>4</v>
      </c>
      <c r="Y1474">
        <v>700.98</v>
      </c>
      <c r="Z1474">
        <v>0.12</v>
      </c>
      <c r="AA1474">
        <v>2467.4495999999999</v>
      </c>
    </row>
    <row r="1475" spans="1:27" x14ac:dyDescent="0.3">
      <c r="A1475" t="s">
        <v>3282</v>
      </c>
      <c r="B1475" s="2">
        <v>45605</v>
      </c>
      <c r="C1475" t="s">
        <v>1246</v>
      </c>
      <c r="D1475" t="s">
        <v>1701</v>
      </c>
      <c r="E1475" t="s">
        <v>1793</v>
      </c>
      <c r="F1475" s="4">
        <v>2</v>
      </c>
      <c r="G1475">
        <v>227.97</v>
      </c>
      <c r="H1475">
        <v>0.08</v>
      </c>
      <c r="I1475" t="s">
        <v>1812</v>
      </c>
      <c r="J1475">
        <v>419.46480000000003</v>
      </c>
      <c r="K1475" t="s">
        <v>1247</v>
      </c>
      <c r="L1475">
        <v>23</v>
      </c>
      <c r="M1475" t="str">
        <v>Female</v>
      </c>
      <c r="N1475" t="str">
        <f>VLOOKUP(C:C,Customer_Dim!B:I,5,1)</f>
        <v>Garciaview</v>
      </c>
      <c r="O1475" t="str">
        <f>VLOOKUP(C:C,Customer_Dim!B:I,6,1)</f>
        <v>Louisiana</v>
      </c>
      <c r="P1475" t="str">
        <f>VLOOKUP(C:C,Customer_Dim!B:I,7,1)</f>
        <v>USA</v>
      </c>
      <c r="Q1475" t="str">
        <f>VLOOKUP(C:C,Customer_Dim!B:I,8,1)</f>
        <v>Gold</v>
      </c>
      <c r="S1475">
        <v>2</v>
      </c>
      <c r="T1475">
        <v>227.97</v>
      </c>
      <c r="U1475">
        <v>0.08</v>
      </c>
      <c r="V1475">
        <v>419.46480000000003</v>
      </c>
      <c r="X1475" s="4">
        <v>2</v>
      </c>
      <c r="Y1475">
        <v>227.97</v>
      </c>
      <c r="Z1475">
        <v>0.08</v>
      </c>
      <c r="AA1475">
        <v>419.46480000000003</v>
      </c>
    </row>
    <row r="1476" spans="1:27" x14ac:dyDescent="0.3">
      <c r="A1476" t="s">
        <v>3283</v>
      </c>
      <c r="B1476" s="2">
        <v>45516</v>
      </c>
      <c r="C1476" t="s">
        <v>1445</v>
      </c>
      <c r="D1476" t="s">
        <v>1609</v>
      </c>
      <c r="E1476" t="s">
        <v>1775</v>
      </c>
      <c r="F1476" s="4">
        <v>4</v>
      </c>
      <c r="G1476">
        <v>278.70999999999998</v>
      </c>
      <c r="H1476">
        <v>0.2</v>
      </c>
      <c r="I1476" t="s">
        <v>1809</v>
      </c>
      <c r="J1476">
        <v>891.87199999999996</v>
      </c>
      <c r="K1476" t="s">
        <v>1446</v>
      </c>
      <c r="L1476">
        <v>18</v>
      </c>
      <c r="M1476" t="str">
        <v>Female</v>
      </c>
      <c r="N1476" t="str">
        <f>VLOOKUP(C:C,Customer_Dim!B:I,5,1)</f>
        <v>East Christopherhaven</v>
      </c>
      <c r="O1476" t="str">
        <f>VLOOKUP(C:C,Customer_Dim!B:I,6,1)</f>
        <v>South Dakota</v>
      </c>
      <c r="P1476" t="str">
        <f>VLOOKUP(C:C,Customer_Dim!B:I,7,1)</f>
        <v>USA</v>
      </c>
      <c r="Q1476" t="str">
        <f>VLOOKUP(C:C,Customer_Dim!B:I,8,1)</f>
        <v>Platinum</v>
      </c>
      <c r="S1476">
        <v>4</v>
      </c>
      <c r="T1476">
        <v>278.70999999999998</v>
      </c>
      <c r="U1476">
        <v>0.2</v>
      </c>
      <c r="V1476">
        <v>891.87199999999996</v>
      </c>
      <c r="X1476" s="4">
        <v>4</v>
      </c>
      <c r="Y1476">
        <v>278.70999999999998</v>
      </c>
      <c r="Z1476">
        <v>0.2</v>
      </c>
      <c r="AA1476">
        <v>891.87199999999996</v>
      </c>
    </row>
    <row r="1477" spans="1:27" x14ac:dyDescent="0.3">
      <c r="A1477" t="s">
        <v>3284</v>
      </c>
      <c r="B1477" s="2">
        <v>45379</v>
      </c>
      <c r="C1477" t="s">
        <v>820</v>
      </c>
      <c r="D1477" t="s">
        <v>1729</v>
      </c>
      <c r="E1477" t="s">
        <v>1765</v>
      </c>
      <c r="F1477" s="4">
        <v>2</v>
      </c>
      <c r="G1477">
        <v>916.12</v>
      </c>
      <c r="H1477">
        <v>0.05</v>
      </c>
      <c r="I1477" t="s">
        <v>1809</v>
      </c>
      <c r="J1477">
        <v>1740.6279999999999</v>
      </c>
      <c r="K1477" t="s">
        <v>821</v>
      </c>
      <c r="L1477">
        <v>63</v>
      </c>
      <c r="M1477" t="str">
        <v>Female</v>
      </c>
      <c r="N1477" t="str">
        <f>VLOOKUP(C:C,Customer_Dim!B:I,5,1)</f>
        <v>South Kathrynmouth</v>
      </c>
      <c r="O1477" t="str">
        <f>VLOOKUP(C:C,Customer_Dim!B:I,6,1)</f>
        <v>Oklahoma</v>
      </c>
      <c r="P1477" t="str">
        <f>VLOOKUP(C:C,Customer_Dim!B:I,7,1)</f>
        <v>USA</v>
      </c>
      <c r="Q1477" t="str">
        <f>VLOOKUP(C:C,Customer_Dim!B:I,8,1)</f>
        <v>Silver</v>
      </c>
      <c r="S1477">
        <v>2</v>
      </c>
      <c r="T1477">
        <v>916.12</v>
      </c>
      <c r="U1477">
        <v>0.05</v>
      </c>
      <c r="V1477">
        <v>1740.6279999999999</v>
      </c>
      <c r="X1477" s="4">
        <v>2</v>
      </c>
      <c r="Y1477">
        <v>916.12</v>
      </c>
      <c r="Z1477">
        <v>0.05</v>
      </c>
      <c r="AA1477">
        <v>1740.6279999999999</v>
      </c>
    </row>
    <row r="1478" spans="1:27" x14ac:dyDescent="0.3">
      <c r="A1478" t="s">
        <v>3285</v>
      </c>
      <c r="B1478" s="2">
        <v>45567</v>
      </c>
      <c r="C1478" t="s">
        <v>450</v>
      </c>
      <c r="D1478" t="s">
        <v>1551</v>
      </c>
      <c r="E1478" t="s">
        <v>1777</v>
      </c>
      <c r="F1478" s="4">
        <v>4</v>
      </c>
      <c r="G1478">
        <v>228.98</v>
      </c>
      <c r="H1478">
        <v>0.22</v>
      </c>
      <c r="I1478" t="s">
        <v>1809</v>
      </c>
      <c r="J1478">
        <v>714.41759999999999</v>
      </c>
      <c r="K1478" t="s">
        <v>451</v>
      </c>
      <c r="L1478">
        <v>54</v>
      </c>
      <c r="M1478" t="str">
        <v>Male</v>
      </c>
      <c r="N1478" t="str">
        <f>VLOOKUP(C:C,Customer_Dim!B:I,5,1)</f>
        <v>West Stephenville</v>
      </c>
      <c r="O1478" t="str">
        <f>VLOOKUP(C:C,Customer_Dim!B:I,6,1)</f>
        <v>Florida</v>
      </c>
      <c r="P1478" t="str">
        <f>VLOOKUP(C:C,Customer_Dim!B:I,7,1)</f>
        <v>USA</v>
      </c>
      <c r="Q1478" t="str">
        <f>VLOOKUP(C:C,Customer_Dim!B:I,8,1)</f>
        <v>Bronze</v>
      </c>
      <c r="S1478">
        <v>4</v>
      </c>
      <c r="T1478">
        <v>228.98</v>
      </c>
      <c r="U1478">
        <v>0.22</v>
      </c>
      <c r="V1478">
        <v>714.41759999999999</v>
      </c>
      <c r="X1478" s="4">
        <v>4</v>
      </c>
      <c r="Y1478">
        <v>228.98</v>
      </c>
      <c r="Z1478">
        <v>0.22</v>
      </c>
      <c r="AA1478">
        <v>714.41759999999999</v>
      </c>
    </row>
    <row r="1479" spans="1:27" x14ac:dyDescent="0.3">
      <c r="A1479" t="s">
        <v>3286</v>
      </c>
      <c r="B1479" s="2">
        <v>45510</v>
      </c>
      <c r="C1479" t="s">
        <v>746</v>
      </c>
      <c r="D1479" t="s">
        <v>1709</v>
      </c>
      <c r="E1479" t="s">
        <v>1784</v>
      </c>
      <c r="F1479" s="4">
        <v>4</v>
      </c>
      <c r="G1479">
        <v>904.82</v>
      </c>
      <c r="H1479">
        <v>0.09</v>
      </c>
      <c r="I1479" t="s">
        <v>1809</v>
      </c>
      <c r="J1479">
        <v>3293.5448000000001</v>
      </c>
      <c r="K1479" t="s">
        <v>747</v>
      </c>
      <c r="L1479">
        <v>28</v>
      </c>
      <c r="M1479" t="str">
        <v>Female</v>
      </c>
      <c r="N1479" t="str">
        <f>VLOOKUP(C:C,Customer_Dim!B:I,5,1)</f>
        <v>Lake Mark</v>
      </c>
      <c r="O1479" t="str">
        <f>VLOOKUP(C:C,Customer_Dim!B:I,6,1)</f>
        <v>Kansas</v>
      </c>
      <c r="P1479" t="str">
        <f>VLOOKUP(C:C,Customer_Dim!B:I,7,1)</f>
        <v>USA</v>
      </c>
      <c r="Q1479" t="str">
        <f>VLOOKUP(C:C,Customer_Dim!B:I,8,1)</f>
        <v>Gold</v>
      </c>
      <c r="S1479">
        <v>4</v>
      </c>
      <c r="T1479">
        <v>904.82</v>
      </c>
      <c r="U1479">
        <v>0.09</v>
      </c>
      <c r="V1479">
        <v>3293.5448000000001</v>
      </c>
      <c r="X1479" s="4">
        <v>4</v>
      </c>
      <c r="Y1479">
        <v>904.82</v>
      </c>
      <c r="Z1479">
        <v>0.09</v>
      </c>
      <c r="AA1479">
        <v>3293.5448000000001</v>
      </c>
    </row>
    <row r="1480" spans="1:27" x14ac:dyDescent="0.3">
      <c r="A1480" t="s">
        <v>3287</v>
      </c>
      <c r="B1480" s="2">
        <v>45806</v>
      </c>
      <c r="C1480" t="s">
        <v>292</v>
      </c>
      <c r="D1480" t="s">
        <v>1577</v>
      </c>
      <c r="E1480" t="s">
        <v>1775</v>
      </c>
      <c r="F1480" s="4">
        <v>1</v>
      </c>
      <c r="G1480">
        <v>588.61</v>
      </c>
      <c r="H1480">
        <v>0.1</v>
      </c>
      <c r="I1480" t="s">
        <v>1809</v>
      </c>
      <c r="J1480">
        <v>529.74900000000002</v>
      </c>
      <c r="K1480" t="s">
        <v>293</v>
      </c>
      <c r="L1480">
        <v>53</v>
      </c>
      <c r="M1480" t="str">
        <v>Male</v>
      </c>
      <c r="N1480" t="str">
        <f>VLOOKUP(C:C,Customer_Dim!B:I,5,1)</f>
        <v>South David</v>
      </c>
      <c r="O1480" t="str">
        <f>VLOOKUP(C:C,Customer_Dim!B:I,6,1)</f>
        <v>Arizona</v>
      </c>
      <c r="P1480" t="str">
        <f>VLOOKUP(C:C,Customer_Dim!B:I,7,1)</f>
        <v>USA</v>
      </c>
      <c r="Q1480" t="str">
        <f>VLOOKUP(C:C,Customer_Dim!B:I,8,1)</f>
        <v>Platinum</v>
      </c>
      <c r="S1480">
        <v>1</v>
      </c>
      <c r="T1480">
        <v>588.61</v>
      </c>
      <c r="U1480">
        <v>0.1</v>
      </c>
      <c r="V1480">
        <v>529.74900000000002</v>
      </c>
      <c r="X1480" s="4">
        <v>1</v>
      </c>
      <c r="Y1480">
        <v>588.61</v>
      </c>
      <c r="Z1480">
        <v>0.1</v>
      </c>
      <c r="AA1480">
        <v>529.74900000000002</v>
      </c>
    </row>
    <row r="1481" spans="1:27" x14ac:dyDescent="0.3">
      <c r="A1481" t="s">
        <v>3288</v>
      </c>
      <c r="B1481" s="2">
        <v>45240</v>
      </c>
      <c r="C1481" t="s">
        <v>391</v>
      </c>
      <c r="D1481" t="s">
        <v>1597</v>
      </c>
      <c r="E1481" t="s">
        <v>1749</v>
      </c>
      <c r="F1481" s="4">
        <v>4</v>
      </c>
      <c r="G1481">
        <v>695.97</v>
      </c>
      <c r="H1481">
        <v>0.02</v>
      </c>
      <c r="I1481" t="s">
        <v>1807</v>
      </c>
      <c r="J1481">
        <v>2728.2024000000001</v>
      </c>
      <c r="K1481" t="s">
        <v>392</v>
      </c>
      <c r="L1481">
        <v>30</v>
      </c>
      <c r="M1481" t="str">
        <v>Male</v>
      </c>
      <c r="N1481" t="str">
        <f>VLOOKUP(C:C,Customer_Dim!B:I,5,1)</f>
        <v>New William</v>
      </c>
      <c r="O1481" t="str">
        <f>VLOOKUP(C:C,Customer_Dim!B:I,6,1)</f>
        <v>New Mexico</v>
      </c>
      <c r="P1481" t="str">
        <f>VLOOKUP(C:C,Customer_Dim!B:I,7,1)</f>
        <v>USA</v>
      </c>
      <c r="Q1481" t="str">
        <f>VLOOKUP(C:C,Customer_Dim!B:I,8,1)</f>
        <v>Gold</v>
      </c>
      <c r="S1481">
        <v>4</v>
      </c>
      <c r="T1481">
        <v>695.97</v>
      </c>
      <c r="U1481">
        <v>0.02</v>
      </c>
      <c r="V1481">
        <v>2728.2024000000001</v>
      </c>
      <c r="X1481" s="4">
        <v>4</v>
      </c>
      <c r="Y1481">
        <v>695.97</v>
      </c>
      <c r="Z1481">
        <v>0.02</v>
      </c>
      <c r="AA1481">
        <v>2728.2024000000001</v>
      </c>
    </row>
    <row r="1482" spans="1:27" x14ac:dyDescent="0.3">
      <c r="A1482" t="s">
        <v>3289</v>
      </c>
      <c r="B1482" s="2">
        <v>45309</v>
      </c>
      <c r="C1482" t="s">
        <v>942</v>
      </c>
      <c r="D1482" t="s">
        <v>1725</v>
      </c>
      <c r="E1482" t="s">
        <v>1775</v>
      </c>
      <c r="F1482" s="4">
        <v>2</v>
      </c>
      <c r="G1482">
        <v>181.42</v>
      </c>
      <c r="H1482">
        <v>0.08</v>
      </c>
      <c r="I1482" t="s">
        <v>1809</v>
      </c>
      <c r="J1482">
        <v>333.81279999999998</v>
      </c>
      <c r="K1482" t="s">
        <v>943</v>
      </c>
      <c r="L1482">
        <v>36</v>
      </c>
      <c r="M1482" t="str">
        <v>Male</v>
      </c>
      <c r="N1482" t="str">
        <f>VLOOKUP(C:C,Customer_Dim!B:I,5,1)</f>
        <v>West Bruceburgh</v>
      </c>
      <c r="O1482" t="str">
        <f>VLOOKUP(C:C,Customer_Dim!B:I,6,1)</f>
        <v>Virginia</v>
      </c>
      <c r="P1482" t="str">
        <f>VLOOKUP(C:C,Customer_Dim!B:I,7,1)</f>
        <v>USA</v>
      </c>
      <c r="Q1482" t="str">
        <f>VLOOKUP(C:C,Customer_Dim!B:I,8,1)</f>
        <v>Gold</v>
      </c>
      <c r="S1482">
        <v>2</v>
      </c>
      <c r="T1482">
        <v>181.42</v>
      </c>
      <c r="U1482">
        <v>0.08</v>
      </c>
      <c r="V1482">
        <v>333.81279999999998</v>
      </c>
      <c r="X1482" s="4">
        <v>2</v>
      </c>
      <c r="Y1482">
        <v>181.42</v>
      </c>
      <c r="Z1482">
        <v>0.08</v>
      </c>
      <c r="AA1482">
        <v>333.81279999999998</v>
      </c>
    </row>
    <row r="1483" spans="1:27" x14ac:dyDescent="0.3">
      <c r="A1483" t="s">
        <v>3290</v>
      </c>
      <c r="B1483" s="2">
        <v>45375</v>
      </c>
      <c r="C1483" t="s">
        <v>100</v>
      </c>
      <c r="D1483" t="s">
        <v>1725</v>
      </c>
      <c r="E1483" t="s">
        <v>1780</v>
      </c>
      <c r="F1483" s="4">
        <v>1</v>
      </c>
      <c r="G1483">
        <v>439.55</v>
      </c>
      <c r="H1483">
        <v>0.28999999999999998</v>
      </c>
      <c r="I1483" t="s">
        <v>1812</v>
      </c>
      <c r="J1483">
        <v>312.08049999999997</v>
      </c>
      <c r="K1483" t="s">
        <v>101</v>
      </c>
      <c r="L1483">
        <v>40</v>
      </c>
      <c r="M1483" t="str">
        <v>Male</v>
      </c>
      <c r="N1483" t="str">
        <f>VLOOKUP(C:C,Customer_Dim!B:I,5,1)</f>
        <v>Molinabury</v>
      </c>
      <c r="O1483" t="str">
        <f>VLOOKUP(C:C,Customer_Dim!B:I,6,1)</f>
        <v>Oregon</v>
      </c>
      <c r="P1483" t="str">
        <f>VLOOKUP(C:C,Customer_Dim!B:I,7,1)</f>
        <v>USA</v>
      </c>
      <c r="Q1483" t="str">
        <f>VLOOKUP(C:C,Customer_Dim!B:I,8,1)</f>
        <v>Silver</v>
      </c>
      <c r="S1483">
        <v>1</v>
      </c>
      <c r="T1483">
        <v>439.55</v>
      </c>
      <c r="U1483">
        <v>0.28999999999999998</v>
      </c>
      <c r="V1483">
        <v>312.08049999999997</v>
      </c>
      <c r="X1483" s="4">
        <v>1</v>
      </c>
      <c r="Y1483">
        <v>439.55</v>
      </c>
      <c r="Z1483">
        <v>0.28999999999999998</v>
      </c>
      <c r="AA1483">
        <v>312.08049999999997</v>
      </c>
    </row>
    <row r="1484" spans="1:27" x14ac:dyDescent="0.3">
      <c r="A1484" t="s">
        <v>3291</v>
      </c>
      <c r="B1484" s="2">
        <v>45733</v>
      </c>
      <c r="C1484" t="s">
        <v>394</v>
      </c>
      <c r="D1484" t="s">
        <v>1641</v>
      </c>
      <c r="E1484" t="s">
        <v>1793</v>
      </c>
      <c r="F1484" s="4">
        <v>3</v>
      </c>
      <c r="G1484">
        <v>471.27</v>
      </c>
      <c r="H1484">
        <v>0.27</v>
      </c>
      <c r="I1484" t="s">
        <v>1812</v>
      </c>
      <c r="J1484">
        <v>1032.0813000000001</v>
      </c>
      <c r="K1484" t="s">
        <v>395</v>
      </c>
      <c r="L1484">
        <v>53</v>
      </c>
      <c r="M1484" t="str">
        <v>Female</v>
      </c>
      <c r="N1484" t="str">
        <f>VLOOKUP(C:C,Customer_Dim!B:I,5,1)</f>
        <v>East Donna</v>
      </c>
      <c r="O1484" t="str">
        <f>VLOOKUP(C:C,Customer_Dim!B:I,6,1)</f>
        <v>Nevada</v>
      </c>
      <c r="P1484" t="str">
        <f>VLOOKUP(C:C,Customer_Dim!B:I,7,1)</f>
        <v>USA</v>
      </c>
      <c r="Q1484" t="str">
        <f>VLOOKUP(C:C,Customer_Dim!B:I,8,1)</f>
        <v>Bronze</v>
      </c>
      <c r="S1484">
        <v>3</v>
      </c>
      <c r="T1484">
        <v>471.27</v>
      </c>
      <c r="U1484">
        <v>0.27</v>
      </c>
      <c r="V1484">
        <v>1032.0813000000001</v>
      </c>
      <c r="X1484" s="4">
        <v>3</v>
      </c>
      <c r="Y1484">
        <v>471.27</v>
      </c>
      <c r="Z1484">
        <v>0.27</v>
      </c>
      <c r="AA1484">
        <v>1032.0813000000001</v>
      </c>
    </row>
    <row r="1485" spans="1:27" x14ac:dyDescent="0.3">
      <c r="A1485" t="s">
        <v>3292</v>
      </c>
      <c r="B1485" s="2">
        <v>45435</v>
      </c>
      <c r="C1485" t="s">
        <v>171</v>
      </c>
      <c r="D1485" t="s">
        <v>1649</v>
      </c>
      <c r="E1485" t="s">
        <v>1777</v>
      </c>
      <c r="F1485" s="4">
        <v>1</v>
      </c>
      <c r="G1485">
        <v>758.89</v>
      </c>
      <c r="H1485">
        <v>0.1</v>
      </c>
      <c r="I1485" t="s">
        <v>1807</v>
      </c>
      <c r="J1485">
        <v>683.00099999999998</v>
      </c>
      <c r="K1485" t="s">
        <v>172</v>
      </c>
      <c r="L1485">
        <v>54</v>
      </c>
      <c r="M1485" t="str">
        <v>Male</v>
      </c>
      <c r="N1485" t="str">
        <f>VLOOKUP(C:C,Customer_Dim!B:I,5,1)</f>
        <v>Christianstad</v>
      </c>
      <c r="O1485" t="str">
        <f>VLOOKUP(C:C,Customer_Dim!B:I,6,1)</f>
        <v>Hawaii</v>
      </c>
      <c r="P1485" t="str">
        <f>VLOOKUP(C:C,Customer_Dim!B:I,7,1)</f>
        <v>USA</v>
      </c>
      <c r="Q1485" t="str">
        <f>VLOOKUP(C:C,Customer_Dim!B:I,8,1)</f>
        <v>Bronze</v>
      </c>
      <c r="S1485">
        <v>1</v>
      </c>
      <c r="T1485">
        <v>758.89</v>
      </c>
      <c r="U1485">
        <v>0.1</v>
      </c>
      <c r="V1485">
        <v>683.00099999999998</v>
      </c>
      <c r="X1485" s="4">
        <v>1</v>
      </c>
      <c r="Y1485">
        <v>758.89</v>
      </c>
      <c r="Z1485">
        <v>0.1</v>
      </c>
      <c r="AA1485">
        <v>683.00099999999998</v>
      </c>
    </row>
    <row r="1486" spans="1:27" x14ac:dyDescent="0.3">
      <c r="A1486" t="s">
        <v>3293</v>
      </c>
      <c r="B1486" s="2">
        <v>45864</v>
      </c>
      <c r="C1486" t="s">
        <v>1475</v>
      </c>
      <c r="D1486" t="s">
        <v>1721</v>
      </c>
      <c r="E1486" t="s">
        <v>1784</v>
      </c>
      <c r="F1486" s="4">
        <v>4</v>
      </c>
      <c r="G1486">
        <v>918.1</v>
      </c>
      <c r="H1486">
        <v>0.19</v>
      </c>
      <c r="I1486" t="s">
        <v>1812</v>
      </c>
      <c r="J1486">
        <v>2974.6439999999998</v>
      </c>
      <c r="K1486" t="s">
        <v>1476</v>
      </c>
      <c r="L1486">
        <v>22</v>
      </c>
      <c r="M1486" t="str">
        <v>Female</v>
      </c>
      <c r="N1486" t="str">
        <f>VLOOKUP(C:C,Customer_Dim!B:I,5,1)</f>
        <v>East Dillonview</v>
      </c>
      <c r="O1486" t="str">
        <f>VLOOKUP(C:C,Customer_Dim!B:I,6,1)</f>
        <v>Virginia</v>
      </c>
      <c r="P1486" t="str">
        <f>VLOOKUP(C:C,Customer_Dim!B:I,7,1)</f>
        <v>USA</v>
      </c>
      <c r="Q1486" t="str">
        <f>VLOOKUP(C:C,Customer_Dim!B:I,8,1)</f>
        <v>Bronze</v>
      </c>
      <c r="S1486">
        <v>4</v>
      </c>
      <c r="T1486">
        <v>918.1</v>
      </c>
      <c r="U1486">
        <v>0.19</v>
      </c>
      <c r="V1486">
        <v>2974.6439999999998</v>
      </c>
      <c r="X1486" s="4">
        <v>4</v>
      </c>
      <c r="Y1486">
        <v>918.1</v>
      </c>
      <c r="Z1486">
        <v>0.19</v>
      </c>
      <c r="AA1486">
        <v>2974.6439999999998</v>
      </c>
    </row>
    <row r="1487" spans="1:27" x14ac:dyDescent="0.3">
      <c r="A1487" t="s">
        <v>3294</v>
      </c>
      <c r="B1487" s="2">
        <v>45569</v>
      </c>
      <c r="C1487" t="s">
        <v>820</v>
      </c>
      <c r="D1487" t="s">
        <v>1719</v>
      </c>
      <c r="E1487" t="s">
        <v>1775</v>
      </c>
      <c r="F1487" s="4">
        <v>1</v>
      </c>
      <c r="G1487">
        <v>861.5</v>
      </c>
      <c r="H1487">
        <v>0.05</v>
      </c>
      <c r="I1487" t="s">
        <v>1812</v>
      </c>
      <c r="J1487">
        <v>818.42499999999995</v>
      </c>
      <c r="K1487" t="s">
        <v>821</v>
      </c>
      <c r="L1487">
        <v>63</v>
      </c>
      <c r="M1487" t="str">
        <v>Female</v>
      </c>
      <c r="N1487" t="str">
        <f>VLOOKUP(C:C,Customer_Dim!B:I,5,1)</f>
        <v>South Kathrynmouth</v>
      </c>
      <c r="O1487" t="str">
        <f>VLOOKUP(C:C,Customer_Dim!B:I,6,1)</f>
        <v>Oklahoma</v>
      </c>
      <c r="P1487" t="str">
        <f>VLOOKUP(C:C,Customer_Dim!B:I,7,1)</f>
        <v>USA</v>
      </c>
      <c r="Q1487" t="str">
        <f>VLOOKUP(C:C,Customer_Dim!B:I,8,1)</f>
        <v>Silver</v>
      </c>
      <c r="S1487">
        <v>1</v>
      </c>
      <c r="T1487">
        <v>861.5</v>
      </c>
      <c r="U1487">
        <v>0.05</v>
      </c>
      <c r="V1487">
        <v>818.42499999999995</v>
      </c>
      <c r="X1487" s="4">
        <v>1</v>
      </c>
      <c r="Y1487">
        <v>861.5</v>
      </c>
      <c r="Z1487">
        <v>0.05</v>
      </c>
      <c r="AA1487">
        <v>818.42499999999995</v>
      </c>
    </row>
    <row r="1488" spans="1:27" x14ac:dyDescent="0.3">
      <c r="A1488" t="s">
        <v>3295</v>
      </c>
      <c r="B1488" s="2">
        <v>45664</v>
      </c>
      <c r="C1488" t="s">
        <v>1409</v>
      </c>
      <c r="D1488" t="s">
        <v>1575</v>
      </c>
      <c r="E1488" t="s">
        <v>1782</v>
      </c>
      <c r="F1488" s="4">
        <v>1</v>
      </c>
      <c r="G1488">
        <v>588.29999999999995</v>
      </c>
      <c r="H1488">
        <v>0.26</v>
      </c>
      <c r="I1488" t="s">
        <v>1812</v>
      </c>
      <c r="J1488">
        <v>435.34199999999998</v>
      </c>
      <c r="K1488" t="s">
        <v>1410</v>
      </c>
      <c r="L1488">
        <v>36</v>
      </c>
      <c r="M1488" t="str">
        <v>Female</v>
      </c>
      <c r="N1488" t="str">
        <f>VLOOKUP(C:C,Customer_Dim!B:I,5,1)</f>
        <v>Burkefurt</v>
      </c>
      <c r="O1488" t="str">
        <f>VLOOKUP(C:C,Customer_Dim!B:I,6,1)</f>
        <v>West Virginia</v>
      </c>
      <c r="P1488" t="str">
        <f>VLOOKUP(C:C,Customer_Dim!B:I,7,1)</f>
        <v>USA</v>
      </c>
      <c r="Q1488" t="str">
        <f>VLOOKUP(C:C,Customer_Dim!B:I,8,1)</f>
        <v>Silver</v>
      </c>
      <c r="S1488">
        <v>1</v>
      </c>
      <c r="T1488">
        <v>588.29999999999995</v>
      </c>
      <c r="U1488">
        <v>0.26</v>
      </c>
      <c r="V1488">
        <v>435.34199999999998</v>
      </c>
      <c r="X1488" s="4">
        <v>1</v>
      </c>
      <c r="Y1488">
        <v>588.29999999999995</v>
      </c>
      <c r="Z1488">
        <v>0.26</v>
      </c>
      <c r="AA1488">
        <v>435.34199999999998</v>
      </c>
    </row>
    <row r="1489" spans="1:27" x14ac:dyDescent="0.3">
      <c r="A1489" t="s">
        <v>3296</v>
      </c>
      <c r="B1489" s="2">
        <v>45645</v>
      </c>
      <c r="C1489" t="s">
        <v>1409</v>
      </c>
      <c r="D1489" t="s">
        <v>1641</v>
      </c>
      <c r="E1489" t="s">
        <v>1762</v>
      </c>
      <c r="F1489" s="4">
        <v>1</v>
      </c>
      <c r="G1489">
        <v>917.26</v>
      </c>
      <c r="H1489">
        <v>0.05</v>
      </c>
      <c r="I1489" t="s">
        <v>1809</v>
      </c>
      <c r="J1489">
        <v>871.39699999999993</v>
      </c>
      <c r="K1489" t="s">
        <v>1410</v>
      </c>
      <c r="L1489">
        <v>36</v>
      </c>
      <c r="M1489" t="str">
        <v>Female</v>
      </c>
      <c r="N1489" t="str">
        <f>VLOOKUP(C:C,Customer_Dim!B:I,5,1)</f>
        <v>Burkefurt</v>
      </c>
      <c r="O1489" t="str">
        <f>VLOOKUP(C:C,Customer_Dim!B:I,6,1)</f>
        <v>West Virginia</v>
      </c>
      <c r="P1489" t="str">
        <f>VLOOKUP(C:C,Customer_Dim!B:I,7,1)</f>
        <v>USA</v>
      </c>
      <c r="Q1489" t="str">
        <f>VLOOKUP(C:C,Customer_Dim!B:I,8,1)</f>
        <v>Silver</v>
      </c>
      <c r="S1489">
        <v>1</v>
      </c>
      <c r="T1489">
        <v>917.26</v>
      </c>
      <c r="U1489">
        <v>0.05</v>
      </c>
      <c r="V1489">
        <v>871.39699999999993</v>
      </c>
      <c r="X1489" s="4">
        <v>1</v>
      </c>
      <c r="Y1489">
        <v>917.26</v>
      </c>
      <c r="Z1489">
        <v>0.05</v>
      </c>
      <c r="AA1489">
        <v>871.39699999999993</v>
      </c>
    </row>
    <row r="1490" spans="1:27" x14ac:dyDescent="0.3">
      <c r="A1490" t="s">
        <v>3297</v>
      </c>
      <c r="B1490" s="2">
        <v>45449</v>
      </c>
      <c r="C1490" t="s">
        <v>743</v>
      </c>
      <c r="D1490" t="s">
        <v>1540</v>
      </c>
      <c r="E1490" t="s">
        <v>1793</v>
      </c>
      <c r="F1490" s="4">
        <v>4</v>
      </c>
      <c r="G1490">
        <v>96.78</v>
      </c>
      <c r="H1490">
        <v>0.11</v>
      </c>
      <c r="I1490" t="s">
        <v>1809</v>
      </c>
      <c r="J1490">
        <v>344.53680000000003</v>
      </c>
      <c r="K1490" t="s">
        <v>744</v>
      </c>
      <c r="L1490">
        <v>43</v>
      </c>
      <c r="M1490" t="str">
        <v>Female</v>
      </c>
      <c r="N1490" t="str">
        <f>VLOOKUP(C:C,Customer_Dim!B:I,5,1)</f>
        <v>Clarkport</v>
      </c>
      <c r="O1490" t="str">
        <f>VLOOKUP(C:C,Customer_Dim!B:I,6,1)</f>
        <v>West Virginia</v>
      </c>
      <c r="P1490" t="str">
        <f>VLOOKUP(C:C,Customer_Dim!B:I,7,1)</f>
        <v>USA</v>
      </c>
      <c r="Q1490" t="str">
        <f>VLOOKUP(C:C,Customer_Dim!B:I,8,1)</f>
        <v>Silver</v>
      </c>
      <c r="S1490">
        <v>4</v>
      </c>
      <c r="T1490">
        <v>96.78</v>
      </c>
      <c r="U1490">
        <v>0.11</v>
      </c>
      <c r="V1490">
        <v>344.53680000000003</v>
      </c>
      <c r="X1490" s="4">
        <v>4</v>
      </c>
      <c r="Y1490">
        <v>96.78</v>
      </c>
      <c r="Z1490">
        <v>0.11</v>
      </c>
      <c r="AA1490">
        <v>344.53680000000003</v>
      </c>
    </row>
    <row r="1491" spans="1:27" x14ac:dyDescent="0.3">
      <c r="A1491" t="s">
        <v>3298</v>
      </c>
      <c r="B1491" s="2">
        <v>45629</v>
      </c>
      <c r="C1491" t="s">
        <v>1456</v>
      </c>
      <c r="D1491" t="s">
        <v>1587</v>
      </c>
      <c r="E1491" t="s">
        <v>1752</v>
      </c>
      <c r="F1491" s="4">
        <v>3</v>
      </c>
      <c r="G1491">
        <v>199.41</v>
      </c>
      <c r="H1491">
        <v>0.16</v>
      </c>
      <c r="I1491" t="s">
        <v>1812</v>
      </c>
      <c r="J1491">
        <v>502.51319999999998</v>
      </c>
      <c r="K1491" t="s">
        <v>3951</v>
      </c>
      <c r="L1491">
        <v>40</v>
      </c>
      <c r="M1491" t="str">
        <v>Male</v>
      </c>
      <c r="N1491" t="str">
        <f>VLOOKUP(C:C,Customer_Dim!B:I,5,1)</f>
        <v>West Sarah</v>
      </c>
      <c r="O1491" t="str">
        <f>VLOOKUP(C:C,Customer_Dim!B:I,6,1)</f>
        <v>South Dakota</v>
      </c>
      <c r="P1491" t="str">
        <f>VLOOKUP(C:C,Customer_Dim!B:I,7,1)</f>
        <v>USA</v>
      </c>
      <c r="Q1491" t="str">
        <f>VLOOKUP(C:C,Customer_Dim!B:I,8,1)</f>
        <v>Gold</v>
      </c>
      <c r="S1491">
        <v>3</v>
      </c>
      <c r="T1491">
        <v>199.41</v>
      </c>
      <c r="U1491">
        <v>0.16</v>
      </c>
      <c r="V1491">
        <v>502.51319999999998</v>
      </c>
      <c r="X1491" s="4">
        <v>3</v>
      </c>
      <c r="Y1491">
        <v>199.41</v>
      </c>
      <c r="Z1491">
        <v>0.16</v>
      </c>
      <c r="AA1491">
        <v>502.51319999999998</v>
      </c>
    </row>
    <row r="1492" spans="1:27" x14ac:dyDescent="0.3">
      <c r="A1492" t="s">
        <v>3299</v>
      </c>
      <c r="B1492" s="2">
        <v>45739</v>
      </c>
      <c r="C1492" t="s">
        <v>85</v>
      </c>
      <c r="D1492" t="s">
        <v>1639</v>
      </c>
      <c r="E1492" t="s">
        <v>1769</v>
      </c>
      <c r="F1492" s="4">
        <v>1</v>
      </c>
      <c r="G1492">
        <v>687.91</v>
      </c>
      <c r="H1492">
        <v>0.25</v>
      </c>
      <c r="I1492" t="s">
        <v>1807</v>
      </c>
      <c r="J1492">
        <v>515.9325</v>
      </c>
      <c r="K1492" t="s">
        <v>86</v>
      </c>
      <c r="L1492">
        <v>59</v>
      </c>
      <c r="M1492" t="str">
        <v>Male</v>
      </c>
      <c r="N1492" t="str">
        <f>VLOOKUP(C:C,Customer_Dim!B:I,5,1)</f>
        <v>Gonzalezfort</v>
      </c>
      <c r="O1492" t="str">
        <f>VLOOKUP(C:C,Customer_Dim!B:I,6,1)</f>
        <v>New Jersey</v>
      </c>
      <c r="P1492" t="str">
        <f>VLOOKUP(C:C,Customer_Dim!B:I,7,1)</f>
        <v>USA</v>
      </c>
      <c r="Q1492" t="str">
        <f>VLOOKUP(C:C,Customer_Dim!B:I,8,1)</f>
        <v>Platinum</v>
      </c>
      <c r="S1492">
        <v>1</v>
      </c>
      <c r="T1492">
        <v>687.91</v>
      </c>
      <c r="U1492">
        <v>0.25</v>
      </c>
      <c r="V1492">
        <v>515.9325</v>
      </c>
      <c r="X1492" s="4">
        <v>1</v>
      </c>
      <c r="Y1492">
        <v>687.91</v>
      </c>
      <c r="Z1492">
        <v>0.25</v>
      </c>
      <c r="AA1492">
        <v>515.9325</v>
      </c>
    </row>
    <row r="1493" spans="1:27" x14ac:dyDescent="0.3">
      <c r="A1493" t="s">
        <v>3300</v>
      </c>
      <c r="B1493" s="2">
        <v>45849</v>
      </c>
      <c r="C1493" t="s">
        <v>152</v>
      </c>
      <c r="D1493" t="s">
        <v>1673</v>
      </c>
      <c r="E1493" t="s">
        <v>1744</v>
      </c>
      <c r="F1493" s="4">
        <v>3</v>
      </c>
      <c r="G1493">
        <v>769.62</v>
      </c>
      <c r="H1493">
        <v>0.09</v>
      </c>
      <c r="I1493" t="s">
        <v>1809</v>
      </c>
      <c r="J1493">
        <v>2101.0626000000002</v>
      </c>
      <c r="K1493" t="s">
        <v>153</v>
      </c>
      <c r="L1493">
        <v>50</v>
      </c>
      <c r="M1493" t="str">
        <v>Male</v>
      </c>
      <c r="N1493" t="str">
        <f>VLOOKUP(C:C,Customer_Dim!B:I,5,1)</f>
        <v>Darleneton</v>
      </c>
      <c r="O1493" t="str">
        <f>VLOOKUP(C:C,Customer_Dim!B:I,6,1)</f>
        <v>Michigan</v>
      </c>
      <c r="P1493" t="str">
        <f>VLOOKUP(C:C,Customer_Dim!B:I,7,1)</f>
        <v>USA</v>
      </c>
      <c r="Q1493" t="str">
        <f>VLOOKUP(C:C,Customer_Dim!B:I,8,1)</f>
        <v>Gold</v>
      </c>
      <c r="S1493">
        <v>3</v>
      </c>
      <c r="T1493">
        <v>769.62</v>
      </c>
      <c r="U1493">
        <v>0.09</v>
      </c>
      <c r="V1493">
        <v>2101.0626000000002</v>
      </c>
      <c r="X1493" s="4">
        <v>3</v>
      </c>
      <c r="Y1493">
        <v>769.62</v>
      </c>
      <c r="Z1493">
        <v>0.09</v>
      </c>
      <c r="AA1493">
        <v>2101.0626000000002</v>
      </c>
    </row>
    <row r="1494" spans="1:27" x14ac:dyDescent="0.3">
      <c r="A1494" t="s">
        <v>3301</v>
      </c>
      <c r="B1494" s="2">
        <v>45230</v>
      </c>
      <c r="C1494" t="s">
        <v>707</v>
      </c>
      <c r="D1494" t="s">
        <v>1536</v>
      </c>
      <c r="E1494" t="s">
        <v>1749</v>
      </c>
      <c r="F1494" s="4">
        <v>1</v>
      </c>
      <c r="G1494">
        <v>492.05</v>
      </c>
      <c r="H1494">
        <v>0.27</v>
      </c>
      <c r="I1494" t="s">
        <v>1807</v>
      </c>
      <c r="J1494">
        <v>359.19650000000001</v>
      </c>
      <c r="K1494" t="s">
        <v>708</v>
      </c>
      <c r="L1494">
        <v>38</v>
      </c>
      <c r="M1494" t="str">
        <v>Male</v>
      </c>
      <c r="N1494" t="str">
        <f>VLOOKUP(C:C,Customer_Dim!B:I,5,1)</f>
        <v xml:space="preserve">    Lake Lisa</v>
      </c>
      <c r="O1494" t="str">
        <f>VLOOKUP(C:C,Customer_Dim!B:I,6,1)</f>
        <v>Massachusetts</v>
      </c>
      <c r="P1494" t="str">
        <f>VLOOKUP(C:C,Customer_Dim!B:I,7,1)</f>
        <v>USA</v>
      </c>
      <c r="Q1494" t="str">
        <f>VLOOKUP(C:C,Customer_Dim!B:I,8,1)</f>
        <v>Bronze</v>
      </c>
      <c r="S1494">
        <v>1</v>
      </c>
      <c r="T1494">
        <v>492.05</v>
      </c>
      <c r="U1494">
        <v>0.27</v>
      </c>
      <c r="V1494">
        <v>359.19650000000001</v>
      </c>
      <c r="X1494" s="4">
        <v>1</v>
      </c>
      <c r="Y1494">
        <v>492.05</v>
      </c>
      <c r="Z1494">
        <v>0.27</v>
      </c>
      <c r="AA1494">
        <v>359.19650000000001</v>
      </c>
    </row>
    <row r="1495" spans="1:27" x14ac:dyDescent="0.3">
      <c r="A1495" t="s">
        <v>3302</v>
      </c>
      <c r="B1495" s="2">
        <v>45292</v>
      </c>
      <c r="C1495" t="s">
        <v>364</v>
      </c>
      <c r="D1495" t="s">
        <v>1565</v>
      </c>
      <c r="E1495" t="s">
        <v>1777</v>
      </c>
      <c r="F1495" s="4">
        <v>2</v>
      </c>
      <c r="G1495">
        <v>428.55</v>
      </c>
      <c r="H1495">
        <v>0</v>
      </c>
      <c r="I1495" t="s">
        <v>1809</v>
      </c>
      <c r="J1495">
        <v>857.1</v>
      </c>
      <c r="K1495" t="s">
        <v>365</v>
      </c>
      <c r="L1495">
        <v>50</v>
      </c>
      <c r="M1495" t="str">
        <v>Female</v>
      </c>
      <c r="N1495" t="str">
        <f>VLOOKUP(C:C,Customer_Dim!B:I,5,1)</f>
        <v>South Jenniferville</v>
      </c>
      <c r="O1495" t="str">
        <f>VLOOKUP(C:C,Customer_Dim!B:I,6,1)</f>
        <v>Georgia</v>
      </c>
      <c r="P1495" t="str">
        <f>VLOOKUP(C:C,Customer_Dim!B:I,7,1)</f>
        <v>USA</v>
      </c>
      <c r="Q1495" t="str">
        <f>VLOOKUP(C:C,Customer_Dim!B:I,8,1)</f>
        <v>Silver</v>
      </c>
      <c r="S1495">
        <v>2</v>
      </c>
      <c r="T1495">
        <v>428.55</v>
      </c>
      <c r="U1495">
        <v>0</v>
      </c>
      <c r="V1495">
        <v>857.1</v>
      </c>
      <c r="X1495" s="4">
        <v>2</v>
      </c>
      <c r="Y1495">
        <v>428.55</v>
      </c>
      <c r="Z1495">
        <v>0</v>
      </c>
      <c r="AA1495">
        <v>857.1</v>
      </c>
    </row>
    <row r="1496" spans="1:27" x14ac:dyDescent="0.3">
      <c r="A1496" t="s">
        <v>3303</v>
      </c>
      <c r="B1496" s="2">
        <v>45251</v>
      </c>
      <c r="C1496" t="s">
        <v>731</v>
      </c>
      <c r="D1496" t="s">
        <v>1551</v>
      </c>
      <c r="E1496" t="s">
        <v>1784</v>
      </c>
      <c r="F1496" s="4">
        <v>4</v>
      </c>
      <c r="G1496">
        <v>316.18</v>
      </c>
      <c r="H1496">
        <v>0.12</v>
      </c>
      <c r="I1496" t="s">
        <v>1807</v>
      </c>
      <c r="J1496">
        <v>1112.9536000000001</v>
      </c>
      <c r="K1496" t="s">
        <v>732</v>
      </c>
      <c r="L1496">
        <v>29</v>
      </c>
      <c r="M1496" t="str">
        <v>Male</v>
      </c>
      <c r="N1496" t="str">
        <f>VLOOKUP(C:C,Customer_Dim!B:I,5,1)</f>
        <v>Port Lisashire</v>
      </c>
      <c r="O1496" t="str">
        <f>VLOOKUP(C:C,Customer_Dim!B:I,6,1)</f>
        <v>Maryland</v>
      </c>
      <c r="P1496" t="str">
        <f>VLOOKUP(C:C,Customer_Dim!B:I,7,1)</f>
        <v>USA</v>
      </c>
      <c r="Q1496" t="str">
        <f>VLOOKUP(C:C,Customer_Dim!B:I,8,1)</f>
        <v>Bronze</v>
      </c>
      <c r="S1496">
        <v>4</v>
      </c>
      <c r="T1496">
        <v>316.18</v>
      </c>
      <c r="U1496">
        <v>0.12</v>
      </c>
      <c r="V1496">
        <v>1112.9536000000001</v>
      </c>
      <c r="X1496" s="4">
        <v>4</v>
      </c>
      <c r="Y1496">
        <v>316.18</v>
      </c>
      <c r="Z1496">
        <v>0.12</v>
      </c>
      <c r="AA1496">
        <v>1112.9536000000001</v>
      </c>
    </row>
    <row r="1497" spans="1:27" x14ac:dyDescent="0.3">
      <c r="A1497" t="s">
        <v>3304</v>
      </c>
      <c r="B1497" s="2">
        <v>45555</v>
      </c>
      <c r="C1497" t="s">
        <v>40</v>
      </c>
      <c r="D1497" t="s">
        <v>1557</v>
      </c>
      <c r="E1497" t="s">
        <v>1749</v>
      </c>
      <c r="F1497" s="4">
        <v>3</v>
      </c>
      <c r="G1497">
        <v>162.16999999999999</v>
      </c>
      <c r="H1497">
        <v>0.15</v>
      </c>
      <c r="I1497" t="s">
        <v>1809</v>
      </c>
      <c r="J1497">
        <v>413.5335</v>
      </c>
      <c r="K1497" t="s">
        <v>41</v>
      </c>
      <c r="L1497">
        <v>53</v>
      </c>
      <c r="M1497" t="str">
        <v>Female</v>
      </c>
      <c r="N1497" t="str">
        <f>VLOOKUP(C:C,Customer_Dim!B:I,5,1)</f>
        <v>West Pamelafurt</v>
      </c>
      <c r="O1497" t="str">
        <f>VLOOKUP(C:C,Customer_Dim!B:I,6,1)</f>
        <v>West Virginia</v>
      </c>
      <c r="P1497" t="str">
        <f>VLOOKUP(C:C,Customer_Dim!B:I,7,1)</f>
        <v>USA</v>
      </c>
      <c r="Q1497" t="str">
        <f>VLOOKUP(C:C,Customer_Dim!B:I,8,1)</f>
        <v>Bronze</v>
      </c>
      <c r="S1497">
        <v>3</v>
      </c>
      <c r="T1497">
        <v>162.16999999999999</v>
      </c>
      <c r="U1497">
        <v>0.15</v>
      </c>
      <c r="V1497">
        <v>413.5335</v>
      </c>
      <c r="X1497" s="4">
        <v>3</v>
      </c>
      <c r="Y1497">
        <v>162.16999999999999</v>
      </c>
      <c r="Z1497">
        <v>0.15</v>
      </c>
      <c r="AA1497">
        <v>413.5335</v>
      </c>
    </row>
    <row r="1498" spans="1:27" x14ac:dyDescent="0.3">
      <c r="A1498" t="s">
        <v>3305</v>
      </c>
      <c r="B1498" s="2">
        <v>45385</v>
      </c>
      <c r="C1498" t="s">
        <v>1030</v>
      </c>
      <c r="D1498" t="s">
        <v>1536</v>
      </c>
      <c r="E1498" t="s">
        <v>1749</v>
      </c>
      <c r="F1498" s="4">
        <v>3</v>
      </c>
      <c r="G1498">
        <v>698.14</v>
      </c>
      <c r="H1498">
        <v>0.04</v>
      </c>
      <c r="I1498" t="s">
        <v>1809</v>
      </c>
      <c r="J1498">
        <v>2010.6432</v>
      </c>
      <c r="K1498" t="s">
        <v>1031</v>
      </c>
      <c r="L1498">
        <v>34</v>
      </c>
      <c r="M1498" t="str">
        <v>Female</v>
      </c>
      <c r="N1498" t="str">
        <f>VLOOKUP(C:C,Customer_Dim!B:I,5,1)</f>
        <v>North Kathytown</v>
      </c>
      <c r="O1498" t="str">
        <f>VLOOKUP(C:C,Customer_Dim!B:I,6,1)</f>
        <v>Montana</v>
      </c>
      <c r="P1498" t="str">
        <f>VLOOKUP(C:C,Customer_Dim!B:I,7,1)</f>
        <v>USA</v>
      </c>
      <c r="Q1498" t="str">
        <f>VLOOKUP(C:C,Customer_Dim!B:I,8,1)</f>
        <v>Bronze</v>
      </c>
      <c r="S1498">
        <v>3</v>
      </c>
      <c r="T1498">
        <v>698.14</v>
      </c>
      <c r="U1498">
        <v>0.04</v>
      </c>
      <c r="V1498">
        <v>2010.6432</v>
      </c>
      <c r="X1498" s="4">
        <v>3</v>
      </c>
      <c r="Y1498">
        <v>698.14</v>
      </c>
      <c r="Z1498">
        <v>0.04</v>
      </c>
      <c r="AA1498">
        <v>2010.6432</v>
      </c>
    </row>
    <row r="1499" spans="1:27" x14ac:dyDescent="0.3">
      <c r="A1499" t="s">
        <v>3306</v>
      </c>
      <c r="B1499" s="2">
        <v>45787</v>
      </c>
      <c r="C1499" t="s">
        <v>968</v>
      </c>
      <c r="D1499" t="s">
        <v>1679</v>
      </c>
      <c r="E1499" t="s">
        <v>1793</v>
      </c>
      <c r="F1499" s="4">
        <v>1</v>
      </c>
      <c r="G1499">
        <v>478.08</v>
      </c>
      <c r="H1499">
        <v>7.0000000000000007E-2</v>
      </c>
      <c r="I1499" t="s">
        <v>1812</v>
      </c>
      <c r="J1499">
        <v>444.61439999999988</v>
      </c>
      <c r="K1499" t="s">
        <v>969</v>
      </c>
      <c r="L1499">
        <v>35</v>
      </c>
      <c r="M1499" t="str">
        <v>Male</v>
      </c>
      <c r="N1499" t="str">
        <f>VLOOKUP(C:C,Customer_Dim!B:I,5,1)</f>
        <v>Joelside</v>
      </c>
      <c r="O1499" t="str">
        <f>VLOOKUP(C:C,Customer_Dim!B:I,6,1)</f>
        <v>Vermont</v>
      </c>
      <c r="P1499" t="str">
        <f>VLOOKUP(C:C,Customer_Dim!B:I,7,1)</f>
        <v>USA</v>
      </c>
      <c r="Q1499" t="str">
        <f>VLOOKUP(C:C,Customer_Dim!B:I,8,1)</f>
        <v>Silver</v>
      </c>
      <c r="S1499">
        <v>1</v>
      </c>
      <c r="T1499">
        <v>478.08</v>
      </c>
      <c r="U1499">
        <v>7.0000000000000007E-2</v>
      </c>
      <c r="V1499">
        <v>444.61439999999988</v>
      </c>
      <c r="X1499" s="4">
        <v>1</v>
      </c>
      <c r="Y1499">
        <v>478.08</v>
      </c>
      <c r="Z1499">
        <v>7.0000000000000007E-2</v>
      </c>
      <c r="AA1499">
        <v>444.61439999999988</v>
      </c>
    </row>
    <row r="1500" spans="1:27" x14ac:dyDescent="0.3">
      <c r="A1500" t="s">
        <v>3307</v>
      </c>
      <c r="B1500" s="2">
        <v>45822</v>
      </c>
      <c r="C1500" t="s">
        <v>672</v>
      </c>
      <c r="D1500" t="s">
        <v>1649</v>
      </c>
      <c r="E1500" t="s">
        <v>1762</v>
      </c>
      <c r="F1500" s="4">
        <v>2</v>
      </c>
      <c r="G1500">
        <v>958.64</v>
      </c>
      <c r="H1500">
        <v>0.2</v>
      </c>
      <c r="I1500" t="s">
        <v>1809</v>
      </c>
      <c r="J1500">
        <v>1533.8240000000001</v>
      </c>
      <c r="K1500" t="s">
        <v>673</v>
      </c>
      <c r="L1500">
        <v>50</v>
      </c>
      <c r="M1500" t="str">
        <v>Female</v>
      </c>
      <c r="N1500" t="str">
        <f>VLOOKUP(C:C,Customer_Dim!B:I,5,1)</f>
        <v>Kathrynview</v>
      </c>
      <c r="O1500" t="str">
        <f>VLOOKUP(C:C,Customer_Dim!B:I,6,1)</f>
        <v>Louisiana</v>
      </c>
      <c r="P1500" t="str">
        <f>VLOOKUP(C:C,Customer_Dim!B:I,7,1)</f>
        <v>USA</v>
      </c>
      <c r="Q1500" t="str">
        <f>VLOOKUP(C:C,Customer_Dim!B:I,8,1)</f>
        <v>Platinum</v>
      </c>
      <c r="S1500">
        <v>2</v>
      </c>
      <c r="T1500">
        <v>958.64</v>
      </c>
      <c r="U1500">
        <v>0.2</v>
      </c>
      <c r="V1500">
        <v>1533.8240000000001</v>
      </c>
      <c r="X1500" s="4">
        <v>2</v>
      </c>
      <c r="Y1500">
        <v>958.64</v>
      </c>
      <c r="Z1500">
        <v>0.2</v>
      </c>
      <c r="AA1500">
        <v>1533.8240000000001</v>
      </c>
    </row>
    <row r="1501" spans="1:27" x14ac:dyDescent="0.3">
      <c r="A1501" t="s">
        <v>3308</v>
      </c>
      <c r="B1501" s="2">
        <v>45590</v>
      </c>
      <c r="C1501" t="s">
        <v>1415</v>
      </c>
      <c r="D1501" t="s">
        <v>1613</v>
      </c>
      <c r="E1501" t="s">
        <v>1777</v>
      </c>
      <c r="F1501" s="4">
        <v>2</v>
      </c>
      <c r="G1501">
        <v>581.19000000000005</v>
      </c>
      <c r="H1501">
        <v>7.0000000000000007E-2</v>
      </c>
      <c r="I1501" t="s">
        <v>1812</v>
      </c>
      <c r="J1501">
        <v>1081.0134</v>
      </c>
      <c r="K1501" t="s">
        <v>1416</v>
      </c>
      <c r="L1501">
        <v>28</v>
      </c>
      <c r="M1501" t="str">
        <v>Female</v>
      </c>
      <c r="N1501" t="str">
        <f>VLOOKUP(C:C,Customer_Dim!B:I,5,1)</f>
        <v>Grayland</v>
      </c>
      <c r="O1501" t="str">
        <f>VLOOKUP(C:C,Customer_Dim!B:I,6,1)</f>
        <v>Washington</v>
      </c>
      <c r="P1501" t="str">
        <f>VLOOKUP(C:C,Customer_Dim!B:I,7,1)</f>
        <v>USA</v>
      </c>
      <c r="Q1501" t="str">
        <f>VLOOKUP(C:C,Customer_Dim!B:I,8,1)</f>
        <v>Platinum</v>
      </c>
      <c r="S1501">
        <v>2</v>
      </c>
      <c r="T1501">
        <v>581.19000000000005</v>
      </c>
      <c r="U1501">
        <v>7.0000000000000007E-2</v>
      </c>
      <c r="V1501">
        <v>1081.0134</v>
      </c>
      <c r="X1501" s="4">
        <v>2</v>
      </c>
      <c r="Y1501">
        <v>581.19000000000005</v>
      </c>
      <c r="Z1501">
        <v>7.0000000000000007E-2</v>
      </c>
      <c r="AA1501">
        <v>1081.0134</v>
      </c>
    </row>
    <row r="1502" spans="1:27" x14ac:dyDescent="0.3">
      <c r="A1502" t="s">
        <v>3309</v>
      </c>
      <c r="B1502" s="2">
        <v>45618</v>
      </c>
      <c r="C1502" t="s">
        <v>388</v>
      </c>
      <c r="D1502" t="s">
        <v>1729</v>
      </c>
      <c r="E1502" t="s">
        <v>1775</v>
      </c>
      <c r="F1502" s="4">
        <v>1</v>
      </c>
      <c r="G1502">
        <v>736.54</v>
      </c>
      <c r="H1502">
        <v>0.16</v>
      </c>
      <c r="I1502" t="s">
        <v>1809</v>
      </c>
      <c r="J1502">
        <v>618.69359999999995</v>
      </c>
      <c r="K1502" t="s">
        <v>389</v>
      </c>
      <c r="L1502">
        <v>51</v>
      </c>
      <c r="M1502" t="str">
        <v>Male</v>
      </c>
      <c r="N1502" t="str">
        <f>VLOOKUP(C:C,Customer_Dim!B:I,5,1)</f>
        <v>Lake Michael</v>
      </c>
      <c r="O1502" t="str">
        <f>VLOOKUP(C:C,Customer_Dim!B:I,6,1)</f>
        <v>Michigan</v>
      </c>
      <c r="P1502" t="str">
        <f>VLOOKUP(C:C,Customer_Dim!B:I,7,1)</f>
        <v>USA</v>
      </c>
      <c r="Q1502" t="str">
        <f>VLOOKUP(C:C,Customer_Dim!B:I,8,1)</f>
        <v>Silver</v>
      </c>
      <c r="S1502">
        <v>1</v>
      </c>
      <c r="T1502">
        <v>736.54</v>
      </c>
      <c r="U1502">
        <v>0.16</v>
      </c>
      <c r="V1502">
        <v>618.69359999999995</v>
      </c>
      <c r="X1502" s="4">
        <v>1</v>
      </c>
      <c r="Y1502">
        <v>736.54</v>
      </c>
      <c r="Z1502">
        <v>0.16</v>
      </c>
      <c r="AA1502">
        <v>618.69359999999995</v>
      </c>
    </row>
    <row r="1503" spans="1:27" x14ac:dyDescent="0.3">
      <c r="A1503" t="s">
        <v>3310</v>
      </c>
      <c r="B1503" s="2">
        <v>45586</v>
      </c>
      <c r="C1503" t="s">
        <v>1235</v>
      </c>
      <c r="D1503" t="s">
        <v>1661</v>
      </c>
      <c r="E1503" t="s">
        <v>1784</v>
      </c>
      <c r="F1503" s="4">
        <v>1</v>
      </c>
      <c r="G1503">
        <v>524</v>
      </c>
      <c r="H1503">
        <v>0.28000000000000003</v>
      </c>
      <c r="I1503" t="s">
        <v>1807</v>
      </c>
      <c r="J1503">
        <v>377.28</v>
      </c>
      <c r="K1503" t="s">
        <v>1236</v>
      </c>
      <c r="L1503">
        <v>31</v>
      </c>
      <c r="M1503" t="str">
        <v>Male</v>
      </c>
      <c r="N1503" t="str">
        <f>VLOOKUP(C:C,Customer_Dim!B:I,5,1)</f>
        <v>Leahmouth</v>
      </c>
      <c r="O1503" t="str">
        <f>VLOOKUP(C:C,Customer_Dim!B:I,6,1)</f>
        <v>Nevada</v>
      </c>
      <c r="P1503" t="str">
        <f>VLOOKUP(C:C,Customer_Dim!B:I,7,1)</f>
        <v>USA</v>
      </c>
      <c r="Q1503" t="str">
        <f>VLOOKUP(C:C,Customer_Dim!B:I,8,1)</f>
        <v>Platinum</v>
      </c>
      <c r="S1503">
        <v>1</v>
      </c>
      <c r="T1503">
        <v>524</v>
      </c>
      <c r="U1503">
        <v>0.28000000000000003</v>
      </c>
      <c r="V1503">
        <v>377.28</v>
      </c>
      <c r="X1503" s="4">
        <v>1</v>
      </c>
      <c r="Y1503">
        <v>524</v>
      </c>
      <c r="Z1503">
        <v>0.28000000000000003</v>
      </c>
      <c r="AA1503">
        <v>377.28</v>
      </c>
    </row>
    <row r="1504" spans="1:27" x14ac:dyDescent="0.3">
      <c r="A1504" t="s">
        <v>3311</v>
      </c>
      <c r="B1504" s="2">
        <v>45548</v>
      </c>
      <c r="C1504" t="s">
        <v>176</v>
      </c>
      <c r="D1504" t="s">
        <v>1587</v>
      </c>
      <c r="E1504" t="s">
        <v>1749</v>
      </c>
      <c r="F1504" s="4">
        <v>4</v>
      </c>
      <c r="G1504">
        <v>566.09</v>
      </c>
      <c r="H1504">
        <v>0.28000000000000003</v>
      </c>
      <c r="I1504" t="s">
        <v>1812</v>
      </c>
      <c r="J1504">
        <v>1630.3391999999999</v>
      </c>
      <c r="K1504" t="s">
        <v>3937</v>
      </c>
      <c r="L1504">
        <v>54</v>
      </c>
      <c r="M1504" t="str">
        <v>Female</v>
      </c>
      <c r="N1504" t="str">
        <f>VLOOKUP(C:C,Customer_Dim!B:I,5,1)</f>
        <v>Perezbury</v>
      </c>
      <c r="O1504" t="str">
        <f>VLOOKUP(C:C,Customer_Dim!B:I,6,1)</f>
        <v>Ohio</v>
      </c>
      <c r="P1504" t="str">
        <f>VLOOKUP(C:C,Customer_Dim!B:I,7,1)</f>
        <v>USA</v>
      </c>
      <c r="Q1504" t="str">
        <f>VLOOKUP(C:C,Customer_Dim!B:I,8,1)</f>
        <v>Platinum</v>
      </c>
      <c r="S1504">
        <v>4</v>
      </c>
      <c r="T1504">
        <v>566.09</v>
      </c>
      <c r="U1504">
        <v>0.28000000000000003</v>
      </c>
      <c r="V1504">
        <v>1630.3391999999999</v>
      </c>
      <c r="X1504" s="4">
        <v>4</v>
      </c>
      <c r="Y1504">
        <v>566.09</v>
      </c>
      <c r="Z1504">
        <v>0.28000000000000003</v>
      </c>
      <c r="AA1504">
        <v>1630.3391999999999</v>
      </c>
    </row>
    <row r="1505" spans="1:27" x14ac:dyDescent="0.3">
      <c r="A1505" t="s">
        <v>3312</v>
      </c>
      <c r="B1505" s="2">
        <v>45772</v>
      </c>
      <c r="C1505" t="s">
        <v>820</v>
      </c>
      <c r="D1505" t="s">
        <v>1573</v>
      </c>
      <c r="E1505" t="s">
        <v>1772</v>
      </c>
      <c r="F1505" s="4">
        <v>1</v>
      </c>
      <c r="G1505">
        <v>251.99</v>
      </c>
      <c r="H1505">
        <v>0.09</v>
      </c>
      <c r="I1505" t="s">
        <v>1807</v>
      </c>
      <c r="J1505">
        <v>229.3109</v>
      </c>
      <c r="K1505" t="s">
        <v>821</v>
      </c>
      <c r="L1505">
        <v>63</v>
      </c>
      <c r="M1505" t="str">
        <v>Female</v>
      </c>
      <c r="N1505" t="str">
        <f>VLOOKUP(C:C,Customer_Dim!B:I,5,1)</f>
        <v>South Kathrynmouth</v>
      </c>
      <c r="O1505" t="str">
        <f>VLOOKUP(C:C,Customer_Dim!B:I,6,1)</f>
        <v>Oklahoma</v>
      </c>
      <c r="P1505" t="str">
        <f>VLOOKUP(C:C,Customer_Dim!B:I,7,1)</f>
        <v>USA</v>
      </c>
      <c r="Q1505" t="str">
        <f>VLOOKUP(C:C,Customer_Dim!B:I,8,1)</f>
        <v>Silver</v>
      </c>
      <c r="S1505">
        <v>1</v>
      </c>
      <c r="T1505">
        <v>251.99</v>
      </c>
      <c r="U1505">
        <v>0.09</v>
      </c>
      <c r="V1505">
        <v>229.3109</v>
      </c>
      <c r="X1505" s="4">
        <v>1</v>
      </c>
      <c r="Y1505">
        <v>251.99</v>
      </c>
      <c r="Z1505">
        <v>0.09</v>
      </c>
      <c r="AA1505">
        <v>229.3109</v>
      </c>
    </row>
    <row r="1506" spans="1:27" x14ac:dyDescent="0.3">
      <c r="A1506" t="s">
        <v>3313</v>
      </c>
      <c r="B1506" s="2">
        <v>45361</v>
      </c>
      <c r="C1506" t="s">
        <v>710</v>
      </c>
      <c r="D1506" t="s">
        <v>1565</v>
      </c>
      <c r="E1506" t="s">
        <v>1796</v>
      </c>
      <c r="F1506" s="4">
        <v>1</v>
      </c>
      <c r="G1506">
        <v>259.2</v>
      </c>
      <c r="H1506">
        <v>0.27</v>
      </c>
      <c r="I1506" t="s">
        <v>1812</v>
      </c>
      <c r="J1506">
        <v>189.21600000000001</v>
      </c>
      <c r="K1506" t="s">
        <v>711</v>
      </c>
      <c r="L1506">
        <v>35</v>
      </c>
      <c r="M1506" t="str">
        <v>Male</v>
      </c>
      <c r="N1506" t="str">
        <f>VLOOKUP(C:C,Customer_Dim!B:I,5,1)</f>
        <v>Maybury</v>
      </c>
      <c r="O1506" t="str">
        <f>VLOOKUP(C:C,Customer_Dim!B:I,6,1)</f>
        <v>Georgia</v>
      </c>
      <c r="P1506" t="str">
        <f>VLOOKUP(C:C,Customer_Dim!B:I,7,1)</f>
        <v>USA</v>
      </c>
      <c r="Q1506" t="str">
        <f>VLOOKUP(C:C,Customer_Dim!B:I,8,1)</f>
        <v>Platinum</v>
      </c>
      <c r="S1506">
        <v>1</v>
      </c>
      <c r="T1506">
        <v>259.2</v>
      </c>
      <c r="U1506">
        <v>0.27</v>
      </c>
      <c r="V1506">
        <v>189.21600000000001</v>
      </c>
      <c r="X1506" s="4">
        <v>1</v>
      </c>
      <c r="Y1506">
        <v>259.2</v>
      </c>
      <c r="Z1506">
        <v>0.27</v>
      </c>
      <c r="AA1506">
        <v>189.21600000000001</v>
      </c>
    </row>
    <row r="1507" spans="1:27" x14ac:dyDescent="0.3">
      <c r="A1507" t="s">
        <v>3314</v>
      </c>
      <c r="B1507" s="2">
        <v>45235</v>
      </c>
      <c r="C1507" t="s">
        <v>1364</v>
      </c>
      <c r="D1507" t="s">
        <v>1649</v>
      </c>
      <c r="E1507" t="s">
        <v>1784</v>
      </c>
      <c r="F1507" s="4">
        <v>1</v>
      </c>
      <c r="G1507">
        <v>935.66</v>
      </c>
      <c r="H1507">
        <v>0.26</v>
      </c>
      <c r="I1507" t="s">
        <v>1809</v>
      </c>
      <c r="J1507">
        <v>692.38839999999993</v>
      </c>
      <c r="K1507" t="s">
        <v>1365</v>
      </c>
      <c r="L1507">
        <v>45</v>
      </c>
      <c r="M1507" t="str">
        <v>Male</v>
      </c>
      <c r="N1507" t="str">
        <f>VLOOKUP(C:C,Customer_Dim!B:I,5,1)</f>
        <v>West Jorge</v>
      </c>
      <c r="O1507" t="str">
        <f>VLOOKUP(C:C,Customer_Dim!B:I,6,1)</f>
        <v>Oklahoma</v>
      </c>
      <c r="P1507" t="str">
        <f>VLOOKUP(C:C,Customer_Dim!B:I,7,1)</f>
        <v>USA</v>
      </c>
      <c r="Q1507" t="str">
        <f>VLOOKUP(C:C,Customer_Dim!B:I,8,1)</f>
        <v>Silver</v>
      </c>
      <c r="S1507">
        <v>1</v>
      </c>
      <c r="T1507">
        <v>935.66</v>
      </c>
      <c r="U1507">
        <v>0.26</v>
      </c>
      <c r="V1507">
        <v>692.38839999999993</v>
      </c>
      <c r="X1507" s="4">
        <v>1</v>
      </c>
      <c r="Y1507">
        <v>935.66</v>
      </c>
      <c r="Z1507">
        <v>0.26</v>
      </c>
      <c r="AA1507">
        <v>692.38839999999993</v>
      </c>
    </row>
    <row r="1508" spans="1:27" x14ac:dyDescent="0.3">
      <c r="A1508" t="s">
        <v>3315</v>
      </c>
      <c r="B1508" s="2">
        <v>45864</v>
      </c>
      <c r="C1508" t="s">
        <v>1430</v>
      </c>
      <c r="D1508" t="s">
        <v>1601</v>
      </c>
      <c r="E1508" t="s">
        <v>1765</v>
      </c>
      <c r="F1508" s="4">
        <v>4</v>
      </c>
      <c r="G1508">
        <v>480.75</v>
      </c>
      <c r="H1508">
        <v>0.02</v>
      </c>
      <c r="I1508" t="s">
        <v>1807</v>
      </c>
      <c r="J1508">
        <v>1884.54</v>
      </c>
      <c r="K1508" t="s">
        <v>1431</v>
      </c>
      <c r="L1508">
        <v>21</v>
      </c>
      <c r="M1508" t="str">
        <v>Female</v>
      </c>
      <c r="N1508" t="str">
        <f>VLOOKUP(C:C,Customer_Dim!B:I,5,1)</f>
        <v>East Audrey</v>
      </c>
      <c r="O1508" t="str">
        <f>VLOOKUP(C:C,Customer_Dim!B:I,6,1)</f>
        <v>Utah</v>
      </c>
      <c r="P1508" t="str">
        <f>VLOOKUP(C:C,Customer_Dim!B:I,7,1)</f>
        <v>USA</v>
      </c>
      <c r="Q1508" t="str">
        <f>VLOOKUP(C:C,Customer_Dim!B:I,8,1)</f>
        <v>Gold</v>
      </c>
      <c r="S1508">
        <v>4</v>
      </c>
      <c r="T1508">
        <v>480.75</v>
      </c>
      <c r="U1508">
        <v>0.02</v>
      </c>
      <c r="V1508">
        <v>1884.54</v>
      </c>
      <c r="X1508" s="4">
        <v>4</v>
      </c>
      <c r="Y1508">
        <v>480.75</v>
      </c>
      <c r="Z1508">
        <v>0.02</v>
      </c>
      <c r="AA1508">
        <v>1884.54</v>
      </c>
    </row>
    <row r="1509" spans="1:27" x14ac:dyDescent="0.3">
      <c r="A1509" t="s">
        <v>3316</v>
      </c>
      <c r="B1509" s="2">
        <v>45681</v>
      </c>
      <c r="C1509" t="s">
        <v>1141</v>
      </c>
      <c r="D1509" t="s">
        <v>1693</v>
      </c>
      <c r="E1509" t="s">
        <v>1784</v>
      </c>
      <c r="F1509" s="4">
        <v>2</v>
      </c>
      <c r="G1509">
        <v>457.83</v>
      </c>
      <c r="H1509">
        <v>0.01</v>
      </c>
      <c r="I1509" t="s">
        <v>1812</v>
      </c>
      <c r="J1509">
        <v>906.50339999999994</v>
      </c>
      <c r="K1509" t="s">
        <v>1142</v>
      </c>
      <c r="L1509">
        <v>45</v>
      </c>
      <c r="M1509" t="str">
        <v>Male</v>
      </c>
      <c r="N1509" t="str">
        <f>VLOOKUP(C:C,Customer_Dim!B:I,5,1)</f>
        <v>West Bruce</v>
      </c>
      <c r="O1509" t="str">
        <f>VLOOKUP(C:C,Customer_Dim!B:I,6,1)</f>
        <v>Vermont</v>
      </c>
      <c r="P1509" t="str">
        <f>VLOOKUP(C:C,Customer_Dim!B:I,7,1)</f>
        <v>USA</v>
      </c>
      <c r="Q1509" t="str">
        <f>VLOOKUP(C:C,Customer_Dim!B:I,8,1)</f>
        <v>Platinum</v>
      </c>
      <c r="S1509">
        <v>2</v>
      </c>
      <c r="T1509">
        <v>457.83</v>
      </c>
      <c r="U1509">
        <v>0.01</v>
      </c>
      <c r="V1509">
        <v>906.50339999999994</v>
      </c>
      <c r="X1509" s="4">
        <v>2</v>
      </c>
      <c r="Y1509">
        <v>457.83</v>
      </c>
      <c r="Z1509">
        <v>0.01</v>
      </c>
      <c r="AA1509">
        <v>906.50339999999994</v>
      </c>
    </row>
    <row r="1510" spans="1:27" x14ac:dyDescent="0.3">
      <c r="A1510" t="s">
        <v>3317</v>
      </c>
      <c r="B1510" s="2">
        <v>45905</v>
      </c>
      <c r="C1510" t="s">
        <v>542</v>
      </c>
      <c r="D1510" t="s">
        <v>1627</v>
      </c>
      <c r="E1510" t="s">
        <v>1782</v>
      </c>
      <c r="F1510" s="4">
        <v>1</v>
      </c>
      <c r="G1510">
        <v>994.63</v>
      </c>
      <c r="H1510">
        <v>0.28000000000000003</v>
      </c>
      <c r="I1510" t="s">
        <v>1807</v>
      </c>
      <c r="J1510">
        <v>716.1336</v>
      </c>
      <c r="K1510" t="s">
        <v>543</v>
      </c>
      <c r="L1510">
        <v>47</v>
      </c>
      <c r="M1510" t="str">
        <v>Female</v>
      </c>
      <c r="N1510" t="str">
        <f>VLOOKUP(C:C,Customer_Dim!B:I,5,1)</f>
        <v>Dominiquefort</v>
      </c>
      <c r="O1510" t="str">
        <f>VLOOKUP(C:C,Customer_Dim!B:I,6,1)</f>
        <v>Georgia</v>
      </c>
      <c r="P1510" t="str">
        <f>VLOOKUP(C:C,Customer_Dim!B:I,7,1)</f>
        <v>USA</v>
      </c>
      <c r="Q1510" t="str">
        <f>VLOOKUP(C:C,Customer_Dim!B:I,8,1)</f>
        <v>Silver</v>
      </c>
      <c r="S1510">
        <v>1</v>
      </c>
      <c r="T1510">
        <v>994.63</v>
      </c>
      <c r="U1510">
        <v>0.28000000000000003</v>
      </c>
      <c r="V1510">
        <v>716.1336</v>
      </c>
      <c r="X1510" s="4">
        <v>1</v>
      </c>
      <c r="Y1510">
        <v>994.63</v>
      </c>
      <c r="Z1510">
        <v>0.28000000000000003</v>
      </c>
      <c r="AA1510">
        <v>716.1336</v>
      </c>
    </row>
    <row r="1511" spans="1:27" x14ac:dyDescent="0.3">
      <c r="A1511" t="s">
        <v>3318</v>
      </c>
      <c r="B1511" s="2">
        <v>45765</v>
      </c>
      <c r="C1511" t="s">
        <v>779</v>
      </c>
      <c r="D1511" t="s">
        <v>1711</v>
      </c>
      <c r="E1511" t="s">
        <v>1735</v>
      </c>
      <c r="F1511" s="4">
        <v>3</v>
      </c>
      <c r="G1511">
        <v>65.569999999999993</v>
      </c>
      <c r="H1511">
        <v>0.3</v>
      </c>
      <c r="I1511" t="s">
        <v>1812</v>
      </c>
      <c r="J1511">
        <v>137.697</v>
      </c>
      <c r="K1511" t="s">
        <v>780</v>
      </c>
      <c r="L1511">
        <v>58</v>
      </c>
      <c r="M1511" t="str">
        <v>Male</v>
      </c>
      <c r="N1511" t="str">
        <f>VLOOKUP(C:C,Customer_Dim!B:I,5,1)</f>
        <v>Rodriguezton</v>
      </c>
      <c r="O1511" t="str">
        <f>VLOOKUP(C:C,Customer_Dim!B:I,6,1)</f>
        <v>Michigan</v>
      </c>
      <c r="P1511" t="str">
        <f>VLOOKUP(C:C,Customer_Dim!B:I,7,1)</f>
        <v>USA</v>
      </c>
      <c r="Q1511" t="str">
        <f>VLOOKUP(C:C,Customer_Dim!B:I,8,1)</f>
        <v>Platinum</v>
      </c>
      <c r="S1511">
        <v>3</v>
      </c>
      <c r="T1511">
        <v>65.569999999999993</v>
      </c>
      <c r="U1511">
        <v>0.3</v>
      </c>
      <c r="V1511">
        <v>137.697</v>
      </c>
      <c r="X1511" s="4">
        <v>3</v>
      </c>
      <c r="Y1511">
        <v>65.569999999999993</v>
      </c>
      <c r="Z1511">
        <v>0.3</v>
      </c>
      <c r="AA1511">
        <v>137.697</v>
      </c>
    </row>
    <row r="1512" spans="1:27" x14ac:dyDescent="0.3">
      <c r="A1512" t="s">
        <v>3319</v>
      </c>
      <c r="B1512" s="2">
        <v>45821</v>
      </c>
      <c r="C1512" t="s">
        <v>530</v>
      </c>
      <c r="D1512" t="s">
        <v>1647</v>
      </c>
      <c r="E1512" t="s">
        <v>1790</v>
      </c>
      <c r="F1512" s="4">
        <v>3</v>
      </c>
      <c r="G1512">
        <v>622.98</v>
      </c>
      <c r="H1512">
        <v>0.28000000000000003</v>
      </c>
      <c r="I1512" t="s">
        <v>1809</v>
      </c>
      <c r="J1512">
        <v>1345.6368</v>
      </c>
      <c r="K1512" t="s">
        <v>531</v>
      </c>
      <c r="L1512">
        <v>18</v>
      </c>
      <c r="M1512" t="str">
        <v>Female</v>
      </c>
      <c r="N1512" t="str">
        <f>VLOOKUP(C:C,Customer_Dim!B:I,5,1)</f>
        <v>New Juliemouth</v>
      </c>
      <c r="O1512" t="str">
        <f>VLOOKUP(C:C,Customer_Dim!B:I,6,1)</f>
        <v>North Carolina</v>
      </c>
      <c r="P1512" t="str">
        <f>VLOOKUP(C:C,Customer_Dim!B:I,7,1)</f>
        <v>USA</v>
      </c>
      <c r="Q1512" t="str">
        <f>VLOOKUP(C:C,Customer_Dim!B:I,8,1)</f>
        <v>Platinum</v>
      </c>
      <c r="S1512">
        <v>3</v>
      </c>
      <c r="T1512">
        <v>622.98</v>
      </c>
      <c r="U1512">
        <v>0.28000000000000003</v>
      </c>
      <c r="V1512">
        <v>1345.6368</v>
      </c>
      <c r="X1512" s="4">
        <v>3</v>
      </c>
      <c r="Y1512">
        <v>622.98</v>
      </c>
      <c r="Z1512">
        <v>0.28000000000000003</v>
      </c>
      <c r="AA1512">
        <v>1345.6368</v>
      </c>
    </row>
    <row r="1513" spans="1:27" x14ac:dyDescent="0.3">
      <c r="A1513" t="s">
        <v>3320</v>
      </c>
      <c r="B1513" s="2">
        <v>45691</v>
      </c>
      <c r="C1513" t="s">
        <v>794</v>
      </c>
      <c r="D1513" t="s">
        <v>1641</v>
      </c>
      <c r="E1513" t="s">
        <v>1780</v>
      </c>
      <c r="F1513" s="4">
        <v>1</v>
      </c>
      <c r="G1513">
        <v>170.68</v>
      </c>
      <c r="H1513">
        <v>0.13</v>
      </c>
      <c r="I1513" t="s">
        <v>1809</v>
      </c>
      <c r="J1513">
        <v>148.49160000000001</v>
      </c>
      <c r="K1513" t="s">
        <v>795</v>
      </c>
      <c r="L1513">
        <v>64</v>
      </c>
      <c r="M1513" t="str">
        <v>Male</v>
      </c>
      <c r="N1513" t="str">
        <f>VLOOKUP(C:C,Customer_Dim!B:I,5,1)</f>
        <v>New Daniel</v>
      </c>
      <c r="O1513" t="str">
        <f>VLOOKUP(C:C,Customer_Dim!B:I,6,1)</f>
        <v>Delaware</v>
      </c>
      <c r="P1513" t="str">
        <f>VLOOKUP(C:C,Customer_Dim!B:I,7,1)</f>
        <v>USA</v>
      </c>
      <c r="Q1513" t="str">
        <f>VLOOKUP(C:C,Customer_Dim!B:I,8,1)</f>
        <v>Platinum</v>
      </c>
      <c r="S1513">
        <v>1</v>
      </c>
      <c r="T1513">
        <v>170.68</v>
      </c>
      <c r="U1513">
        <v>0.13</v>
      </c>
      <c r="V1513">
        <v>148.49160000000001</v>
      </c>
      <c r="X1513" s="4">
        <v>1</v>
      </c>
      <c r="Y1513">
        <v>170.68</v>
      </c>
      <c r="Z1513">
        <v>0.13</v>
      </c>
      <c r="AA1513">
        <v>148.49160000000001</v>
      </c>
    </row>
    <row r="1514" spans="1:27" x14ac:dyDescent="0.3">
      <c r="A1514" t="s">
        <v>3321</v>
      </c>
      <c r="B1514" s="2">
        <v>45860</v>
      </c>
      <c r="C1514" t="s">
        <v>339</v>
      </c>
      <c r="D1514" t="s">
        <v>1543</v>
      </c>
      <c r="E1514" t="s">
        <v>1765</v>
      </c>
      <c r="F1514" s="4">
        <v>4</v>
      </c>
      <c r="G1514">
        <v>797.83</v>
      </c>
      <c r="H1514">
        <v>0.08</v>
      </c>
      <c r="I1514" t="s">
        <v>1807</v>
      </c>
      <c r="J1514">
        <v>2936.0144</v>
      </c>
      <c r="K1514" t="s">
        <v>340</v>
      </c>
      <c r="L1514">
        <v>36</v>
      </c>
      <c r="M1514" t="str">
        <v>Male</v>
      </c>
      <c r="N1514" t="str">
        <f>VLOOKUP(C:C,Customer_Dim!B:I,5,1)</f>
        <v>Timothyburgh</v>
      </c>
      <c r="O1514" t="str">
        <f>VLOOKUP(C:C,Customer_Dim!B:I,6,1)</f>
        <v>Louisiana</v>
      </c>
      <c r="P1514" t="str">
        <f>VLOOKUP(C:C,Customer_Dim!B:I,7,1)</f>
        <v>USA</v>
      </c>
      <c r="Q1514" t="str">
        <f>VLOOKUP(C:C,Customer_Dim!B:I,8,1)</f>
        <v>Platinum</v>
      </c>
      <c r="S1514">
        <v>4</v>
      </c>
      <c r="T1514">
        <v>797.83</v>
      </c>
      <c r="U1514">
        <v>0.08</v>
      </c>
      <c r="V1514">
        <v>2936.0144</v>
      </c>
      <c r="X1514" s="4">
        <v>4</v>
      </c>
      <c r="Y1514">
        <v>797.83</v>
      </c>
      <c r="Z1514">
        <v>0.08</v>
      </c>
      <c r="AA1514">
        <v>2936.0144</v>
      </c>
    </row>
    <row r="1515" spans="1:27" x14ac:dyDescent="0.3">
      <c r="A1515" t="s">
        <v>3322</v>
      </c>
      <c r="B1515" s="2">
        <v>45922</v>
      </c>
      <c r="C1515" t="s">
        <v>345</v>
      </c>
      <c r="D1515" t="s">
        <v>1532</v>
      </c>
      <c r="E1515" t="s">
        <v>1787</v>
      </c>
      <c r="F1515" s="4">
        <v>1</v>
      </c>
      <c r="G1515">
        <v>372.75</v>
      </c>
      <c r="H1515">
        <v>0.12</v>
      </c>
      <c r="I1515" t="s">
        <v>1807</v>
      </c>
      <c r="J1515">
        <v>328.02</v>
      </c>
      <c r="K1515" t="s">
        <v>346</v>
      </c>
      <c r="L1515">
        <v>35</v>
      </c>
      <c r="M1515" t="str">
        <v>Male</v>
      </c>
      <c r="N1515" t="str">
        <f>VLOOKUP(C:C,Customer_Dim!B:I,5,1)</f>
        <v>Lake Kaylahaven</v>
      </c>
      <c r="O1515" t="str">
        <f>VLOOKUP(C:C,Customer_Dim!B:I,6,1)</f>
        <v>Alaska</v>
      </c>
      <c r="P1515" t="str">
        <f>VLOOKUP(C:C,Customer_Dim!B:I,7,1)</f>
        <v>USA</v>
      </c>
      <c r="Q1515" t="str">
        <f>VLOOKUP(C:C,Customer_Dim!B:I,8,1)</f>
        <v>Gold</v>
      </c>
      <c r="S1515">
        <v>1</v>
      </c>
      <c r="T1515">
        <v>372.75</v>
      </c>
      <c r="U1515">
        <v>0.12</v>
      </c>
      <c r="V1515">
        <v>328.02</v>
      </c>
      <c r="X1515" s="4">
        <v>1</v>
      </c>
      <c r="Y1515">
        <v>372.75</v>
      </c>
      <c r="Z1515">
        <v>0.12</v>
      </c>
      <c r="AA1515">
        <v>328.02</v>
      </c>
    </row>
    <row r="1516" spans="1:27" x14ac:dyDescent="0.3">
      <c r="A1516" t="s">
        <v>3323</v>
      </c>
      <c r="B1516" s="2">
        <v>45477</v>
      </c>
      <c r="C1516" t="s">
        <v>1222</v>
      </c>
      <c r="D1516" t="s">
        <v>1653</v>
      </c>
      <c r="E1516" t="s">
        <v>1752</v>
      </c>
      <c r="F1516" s="4">
        <v>1</v>
      </c>
      <c r="G1516">
        <v>994.18</v>
      </c>
      <c r="H1516">
        <v>0.05</v>
      </c>
      <c r="I1516" t="s">
        <v>1809</v>
      </c>
      <c r="J1516">
        <v>944.47099999999989</v>
      </c>
      <c r="K1516" t="s">
        <v>1223</v>
      </c>
      <c r="L1516">
        <v>62</v>
      </c>
      <c r="M1516" t="str">
        <v>Female</v>
      </c>
      <c r="N1516" t="str">
        <f>VLOOKUP(C:C,Customer_Dim!B:I,5,1)</f>
        <v>Parkerview</v>
      </c>
      <c r="O1516" t="str">
        <f>VLOOKUP(C:C,Customer_Dim!B:I,6,1)</f>
        <v>New York</v>
      </c>
      <c r="P1516" t="str">
        <f>VLOOKUP(C:C,Customer_Dim!B:I,7,1)</f>
        <v>USA</v>
      </c>
      <c r="Q1516" t="str">
        <f>VLOOKUP(C:C,Customer_Dim!B:I,8,1)</f>
        <v>Silver</v>
      </c>
      <c r="S1516">
        <v>1</v>
      </c>
      <c r="T1516">
        <v>994.18</v>
      </c>
      <c r="U1516">
        <v>0.05</v>
      </c>
      <c r="V1516">
        <v>944.47099999999989</v>
      </c>
      <c r="X1516" s="4">
        <v>1</v>
      </c>
      <c r="Y1516">
        <v>994.18</v>
      </c>
      <c r="Z1516">
        <v>0.05</v>
      </c>
      <c r="AA1516">
        <v>944.47099999999989</v>
      </c>
    </row>
    <row r="1517" spans="1:27" x14ac:dyDescent="0.3">
      <c r="A1517" t="s">
        <v>3324</v>
      </c>
      <c r="B1517" s="2">
        <v>45504</v>
      </c>
      <c r="C1517" t="s">
        <v>1295</v>
      </c>
      <c r="D1517" t="s">
        <v>1571</v>
      </c>
      <c r="E1517" t="s">
        <v>1780</v>
      </c>
      <c r="F1517" s="4">
        <v>1</v>
      </c>
      <c r="G1517">
        <v>136.12</v>
      </c>
      <c r="H1517">
        <v>7.0000000000000007E-2</v>
      </c>
      <c r="I1517" t="s">
        <v>1807</v>
      </c>
      <c r="J1517">
        <v>126.5916</v>
      </c>
      <c r="K1517" t="s">
        <v>3950</v>
      </c>
      <c r="L1517">
        <v>35</v>
      </c>
      <c r="M1517" t="str">
        <v>Male</v>
      </c>
      <c r="N1517" t="str">
        <f>VLOOKUP(C:C,Customer_Dim!B:I,5,1)</f>
        <v>Aliciahaven</v>
      </c>
      <c r="O1517" t="str">
        <f>VLOOKUP(C:C,Customer_Dim!B:I,6,1)</f>
        <v>Kansas</v>
      </c>
      <c r="P1517" t="str">
        <f>VLOOKUP(C:C,Customer_Dim!B:I,7,1)</f>
        <v>USA</v>
      </c>
      <c r="Q1517" t="str">
        <f>VLOOKUP(C:C,Customer_Dim!B:I,8,1)</f>
        <v>Platinum</v>
      </c>
      <c r="S1517">
        <v>1</v>
      </c>
      <c r="T1517">
        <v>136.12</v>
      </c>
      <c r="U1517">
        <v>7.0000000000000007E-2</v>
      </c>
      <c r="V1517">
        <v>126.5916</v>
      </c>
      <c r="X1517" s="4">
        <v>1</v>
      </c>
      <c r="Y1517">
        <v>136.12</v>
      </c>
      <c r="Z1517">
        <v>7.0000000000000007E-2</v>
      </c>
      <c r="AA1517">
        <v>126.5916</v>
      </c>
    </row>
    <row r="1518" spans="1:27" x14ac:dyDescent="0.3">
      <c r="A1518" t="s">
        <v>3325</v>
      </c>
      <c r="B1518" s="2">
        <v>45862</v>
      </c>
      <c r="C1518" t="s">
        <v>124</v>
      </c>
      <c r="D1518" t="s">
        <v>1635</v>
      </c>
      <c r="E1518" t="s">
        <v>1793</v>
      </c>
      <c r="F1518" s="4">
        <v>3</v>
      </c>
      <c r="G1518">
        <v>634.45000000000005</v>
      </c>
      <c r="H1518">
        <v>0.17</v>
      </c>
      <c r="I1518" t="s">
        <v>1809</v>
      </c>
      <c r="J1518">
        <v>1579.7805000000001</v>
      </c>
      <c r="K1518" t="s">
        <v>125</v>
      </c>
      <c r="L1518">
        <v>41</v>
      </c>
      <c r="M1518" t="str">
        <v>Male</v>
      </c>
      <c r="N1518" t="str">
        <f>VLOOKUP(C:C,Customer_Dim!B:I,5,1)</f>
        <v>Amybury</v>
      </c>
      <c r="O1518" t="str">
        <f>VLOOKUP(C:C,Customer_Dim!B:I,6,1)</f>
        <v>Pennsylvania</v>
      </c>
      <c r="P1518" t="str">
        <f>VLOOKUP(C:C,Customer_Dim!B:I,7,1)</f>
        <v>USA</v>
      </c>
      <c r="Q1518" t="str">
        <f>VLOOKUP(C:C,Customer_Dim!B:I,8,1)</f>
        <v>Bronze</v>
      </c>
      <c r="S1518">
        <v>3</v>
      </c>
      <c r="T1518">
        <v>634.45000000000005</v>
      </c>
      <c r="U1518">
        <v>0.17</v>
      </c>
      <c r="V1518">
        <v>1579.7805000000001</v>
      </c>
      <c r="X1518" s="4">
        <v>3</v>
      </c>
      <c r="Y1518">
        <v>634.45000000000005</v>
      </c>
      <c r="Z1518">
        <v>0.17</v>
      </c>
      <c r="AA1518">
        <v>1579.7805000000001</v>
      </c>
    </row>
    <row r="1519" spans="1:27" x14ac:dyDescent="0.3">
      <c r="A1519" t="s">
        <v>3326</v>
      </c>
      <c r="B1519" s="2">
        <v>45579</v>
      </c>
      <c r="C1519" t="s">
        <v>1024</v>
      </c>
      <c r="D1519" t="s">
        <v>1659</v>
      </c>
      <c r="E1519" t="s">
        <v>1735</v>
      </c>
      <c r="F1519" s="4">
        <v>4</v>
      </c>
      <c r="G1519">
        <v>179.62</v>
      </c>
      <c r="H1519">
        <v>0.05</v>
      </c>
      <c r="I1519" t="s">
        <v>1807</v>
      </c>
      <c r="J1519">
        <v>682.55600000000004</v>
      </c>
      <c r="K1519" t="s">
        <v>1025</v>
      </c>
      <c r="L1519">
        <v>54</v>
      </c>
      <c r="M1519" t="str">
        <v>Male</v>
      </c>
      <c r="N1519" t="str">
        <f>VLOOKUP(C:C,Customer_Dim!B:I,5,1)</f>
        <v>Tiffanyshire</v>
      </c>
      <c r="O1519" t="str">
        <f>VLOOKUP(C:C,Customer_Dim!B:I,6,1)</f>
        <v>Minnesota</v>
      </c>
      <c r="P1519" t="str">
        <f>VLOOKUP(C:C,Customer_Dim!B:I,7,1)</f>
        <v>USA</v>
      </c>
      <c r="Q1519" t="str">
        <f>VLOOKUP(C:C,Customer_Dim!B:I,8,1)</f>
        <v>Bronze</v>
      </c>
      <c r="S1519">
        <v>4</v>
      </c>
      <c r="T1519">
        <v>179.62</v>
      </c>
      <c r="U1519">
        <v>0.05</v>
      </c>
      <c r="V1519">
        <v>682.55600000000004</v>
      </c>
      <c r="X1519" s="4">
        <v>4</v>
      </c>
      <c r="Y1519">
        <v>179.62</v>
      </c>
      <c r="Z1519">
        <v>0.05</v>
      </c>
      <c r="AA1519">
        <v>682.55600000000004</v>
      </c>
    </row>
    <row r="1520" spans="1:27" x14ac:dyDescent="0.3">
      <c r="A1520" t="s">
        <v>3327</v>
      </c>
      <c r="B1520" s="2">
        <v>45658</v>
      </c>
      <c r="C1520" t="s">
        <v>923</v>
      </c>
      <c r="D1520" t="s">
        <v>1571</v>
      </c>
      <c r="E1520" t="s">
        <v>1793</v>
      </c>
      <c r="F1520" s="4">
        <v>4</v>
      </c>
      <c r="G1520">
        <v>558.83000000000004</v>
      </c>
      <c r="H1520">
        <v>0.16</v>
      </c>
      <c r="I1520" t="s">
        <v>1809</v>
      </c>
      <c r="J1520">
        <v>1877.6687999999999</v>
      </c>
      <c r="K1520" t="s">
        <v>924</v>
      </c>
      <c r="L1520">
        <v>19</v>
      </c>
      <c r="M1520" t="str">
        <v>Female</v>
      </c>
      <c r="N1520" t="str">
        <f>VLOOKUP(C:C,Customer_Dim!B:I,5,1)</f>
        <v>Port Richard</v>
      </c>
      <c r="O1520" t="str">
        <f>VLOOKUP(C:C,Customer_Dim!B:I,6,1)</f>
        <v>Montana</v>
      </c>
      <c r="P1520" t="str">
        <f>VLOOKUP(C:C,Customer_Dim!B:I,7,1)</f>
        <v>USA</v>
      </c>
      <c r="Q1520" t="str">
        <f>VLOOKUP(C:C,Customer_Dim!B:I,8,1)</f>
        <v>Platinum</v>
      </c>
      <c r="S1520">
        <v>4</v>
      </c>
      <c r="T1520">
        <v>558.83000000000004</v>
      </c>
      <c r="U1520">
        <v>0.16</v>
      </c>
      <c r="V1520">
        <v>1877.6687999999999</v>
      </c>
      <c r="X1520" s="4">
        <v>4</v>
      </c>
      <c r="Y1520">
        <v>558.83000000000004</v>
      </c>
      <c r="Z1520">
        <v>0.16</v>
      </c>
      <c r="AA1520">
        <v>1877.6687999999999</v>
      </c>
    </row>
    <row r="1521" spans="1:27" x14ac:dyDescent="0.3">
      <c r="A1521" t="s">
        <v>3328</v>
      </c>
      <c r="B1521" s="2">
        <v>45664</v>
      </c>
      <c r="C1521" t="s">
        <v>562</v>
      </c>
      <c r="D1521" t="s">
        <v>1719</v>
      </c>
      <c r="E1521" t="s">
        <v>1759</v>
      </c>
      <c r="F1521" s="4">
        <v>2</v>
      </c>
      <c r="G1521">
        <v>859.74</v>
      </c>
      <c r="H1521">
        <v>0.25</v>
      </c>
      <c r="I1521" t="s">
        <v>1812</v>
      </c>
      <c r="J1521">
        <v>1289.6099999999999</v>
      </c>
      <c r="K1521" t="s">
        <v>563</v>
      </c>
      <c r="L1521">
        <v>41</v>
      </c>
      <c r="M1521" t="str">
        <v>Female</v>
      </c>
      <c r="N1521" t="str">
        <f>VLOOKUP(C:C,Customer_Dim!B:I,5,1)</f>
        <v>Morrisburgh</v>
      </c>
      <c r="O1521" t="str">
        <f>VLOOKUP(C:C,Customer_Dim!B:I,6,1)</f>
        <v>Indiana</v>
      </c>
      <c r="P1521" t="str">
        <f>VLOOKUP(C:C,Customer_Dim!B:I,7,1)</f>
        <v>USA</v>
      </c>
      <c r="Q1521" t="str">
        <f>VLOOKUP(C:C,Customer_Dim!B:I,8,1)</f>
        <v>Platinum</v>
      </c>
      <c r="S1521">
        <v>2</v>
      </c>
      <c r="T1521">
        <v>859.74</v>
      </c>
      <c r="U1521">
        <v>0.25</v>
      </c>
      <c r="V1521">
        <v>1289.6099999999999</v>
      </c>
      <c r="X1521" s="4">
        <v>2</v>
      </c>
      <c r="Y1521">
        <v>859.74</v>
      </c>
      <c r="Z1521">
        <v>0.25</v>
      </c>
      <c r="AA1521">
        <v>1289.6099999999999</v>
      </c>
    </row>
    <row r="1522" spans="1:27" x14ac:dyDescent="0.3">
      <c r="A1522" t="s">
        <v>3329</v>
      </c>
      <c r="B1522" s="2">
        <v>45936</v>
      </c>
      <c r="C1522" t="s">
        <v>370</v>
      </c>
      <c r="D1522" t="s">
        <v>1661</v>
      </c>
      <c r="E1522" t="s">
        <v>1787</v>
      </c>
      <c r="F1522" s="4">
        <v>3</v>
      </c>
      <c r="G1522">
        <v>578.47</v>
      </c>
      <c r="H1522">
        <v>0.06</v>
      </c>
      <c r="I1522" t="s">
        <v>1812</v>
      </c>
      <c r="J1522">
        <v>1631.2854</v>
      </c>
      <c r="K1522" t="s">
        <v>371</v>
      </c>
      <c r="L1522">
        <v>62</v>
      </c>
      <c r="M1522" t="str">
        <v>Female</v>
      </c>
      <c r="N1522" t="str">
        <f>VLOOKUP(C:C,Customer_Dim!B:I,5,1)</f>
        <v>East Linda</v>
      </c>
      <c r="O1522" t="str">
        <f>VLOOKUP(C:C,Customer_Dim!B:I,6,1)</f>
        <v>Rhode Island</v>
      </c>
      <c r="P1522" t="str">
        <f>VLOOKUP(C:C,Customer_Dim!B:I,7,1)</f>
        <v>USA</v>
      </c>
      <c r="Q1522" t="str">
        <f>VLOOKUP(C:C,Customer_Dim!B:I,8,1)</f>
        <v>Bronze</v>
      </c>
      <c r="S1522">
        <v>3</v>
      </c>
      <c r="T1522">
        <v>578.47</v>
      </c>
      <c r="U1522">
        <v>0.06</v>
      </c>
      <c r="V1522">
        <v>1631.2854</v>
      </c>
      <c r="X1522" s="4">
        <v>3</v>
      </c>
      <c r="Y1522">
        <v>578.47</v>
      </c>
      <c r="Z1522">
        <v>0.06</v>
      </c>
      <c r="AA1522">
        <v>1631.2854</v>
      </c>
    </row>
    <row r="1523" spans="1:27" x14ac:dyDescent="0.3">
      <c r="A1523" t="s">
        <v>3330</v>
      </c>
      <c r="B1523" s="2">
        <v>45344</v>
      </c>
      <c r="C1523" t="s">
        <v>205</v>
      </c>
      <c r="D1523" t="s">
        <v>1573</v>
      </c>
      <c r="E1523" t="s">
        <v>1777</v>
      </c>
      <c r="F1523" s="4">
        <v>1</v>
      </c>
      <c r="G1523">
        <v>440.48</v>
      </c>
      <c r="H1523">
        <v>0.11</v>
      </c>
      <c r="I1523" t="s">
        <v>1812</v>
      </c>
      <c r="J1523">
        <v>392.02720000000011</v>
      </c>
      <c r="K1523" t="s">
        <v>206</v>
      </c>
      <c r="L1523">
        <v>49</v>
      </c>
      <c r="M1523" t="str">
        <v>Female</v>
      </c>
      <c r="N1523" t="str">
        <f>VLOOKUP(C:C,Customer_Dim!B:I,5,1)</f>
        <v>Edwardsfort</v>
      </c>
      <c r="O1523" t="str">
        <f>VLOOKUP(C:C,Customer_Dim!B:I,6,1)</f>
        <v>Minnesota</v>
      </c>
      <c r="P1523" t="str">
        <f>VLOOKUP(C:C,Customer_Dim!B:I,7,1)</f>
        <v>USA</v>
      </c>
      <c r="Q1523" t="str">
        <f>VLOOKUP(C:C,Customer_Dim!B:I,8,1)</f>
        <v>Bronze</v>
      </c>
      <c r="S1523">
        <v>1</v>
      </c>
      <c r="T1523">
        <v>440.48</v>
      </c>
      <c r="U1523">
        <v>0.11</v>
      </c>
      <c r="V1523">
        <v>392.02720000000011</v>
      </c>
      <c r="X1523" s="4">
        <v>1</v>
      </c>
      <c r="Y1523">
        <v>440.48</v>
      </c>
      <c r="Z1523">
        <v>0.11</v>
      </c>
      <c r="AA1523">
        <v>392.02720000000011</v>
      </c>
    </row>
    <row r="1524" spans="1:27" x14ac:dyDescent="0.3">
      <c r="A1524" t="s">
        <v>3331</v>
      </c>
      <c r="B1524" s="2">
        <v>45329</v>
      </c>
      <c r="C1524" t="s">
        <v>75</v>
      </c>
      <c r="D1524" t="s">
        <v>1563</v>
      </c>
      <c r="E1524" t="s">
        <v>1796</v>
      </c>
      <c r="F1524" s="4">
        <v>2</v>
      </c>
      <c r="G1524">
        <v>303.67</v>
      </c>
      <c r="H1524">
        <v>0.05</v>
      </c>
      <c r="I1524" t="s">
        <v>1809</v>
      </c>
      <c r="J1524">
        <v>576.97299999999996</v>
      </c>
      <c r="K1524" t="s">
        <v>76</v>
      </c>
      <c r="L1524">
        <v>60</v>
      </c>
      <c r="M1524" t="str">
        <v>Female</v>
      </c>
      <c r="N1524" t="str">
        <f>VLOOKUP(C:C,Customer_Dim!B:I,5,1)</f>
        <v>South Christopher</v>
      </c>
      <c r="O1524" t="str">
        <f>VLOOKUP(C:C,Customer_Dim!B:I,6,1)</f>
        <v>Pennsylvania</v>
      </c>
      <c r="P1524" t="str">
        <f>VLOOKUP(C:C,Customer_Dim!B:I,7,1)</f>
        <v>USA</v>
      </c>
      <c r="Q1524" t="str">
        <f>VLOOKUP(C:C,Customer_Dim!B:I,8,1)</f>
        <v>Bronze</v>
      </c>
      <c r="S1524">
        <v>2</v>
      </c>
      <c r="T1524">
        <v>303.67</v>
      </c>
      <c r="U1524">
        <v>0.05</v>
      </c>
      <c r="V1524">
        <v>576.97299999999996</v>
      </c>
      <c r="X1524" s="4">
        <v>2</v>
      </c>
      <c r="Y1524">
        <v>303.67</v>
      </c>
      <c r="Z1524">
        <v>0.05</v>
      </c>
      <c r="AA1524">
        <v>576.97299999999996</v>
      </c>
    </row>
    <row r="1525" spans="1:27" x14ac:dyDescent="0.3">
      <c r="A1525" t="s">
        <v>3332</v>
      </c>
      <c r="B1525" s="2">
        <v>45895</v>
      </c>
      <c r="C1525" t="s">
        <v>1045</v>
      </c>
      <c r="D1525" t="s">
        <v>1679</v>
      </c>
      <c r="E1525" t="s">
        <v>1782</v>
      </c>
      <c r="F1525" s="4">
        <v>2</v>
      </c>
      <c r="G1525">
        <v>611.21</v>
      </c>
      <c r="H1525">
        <v>0.22</v>
      </c>
      <c r="I1525" t="s">
        <v>1812</v>
      </c>
      <c r="J1525">
        <v>953.48760000000004</v>
      </c>
      <c r="K1525" t="s">
        <v>1046</v>
      </c>
      <c r="L1525">
        <v>40</v>
      </c>
      <c r="M1525" t="str">
        <v>Female</v>
      </c>
      <c r="N1525" t="str">
        <f>VLOOKUP(C:C,Customer_Dim!B:I,5,1)</f>
        <v>North Michaelborough</v>
      </c>
      <c r="O1525" t="str">
        <f>VLOOKUP(C:C,Customer_Dim!B:I,6,1)</f>
        <v>Oregon</v>
      </c>
      <c r="P1525" t="str">
        <f>VLOOKUP(C:C,Customer_Dim!B:I,7,1)</f>
        <v>USA</v>
      </c>
      <c r="Q1525" t="str">
        <f>VLOOKUP(C:C,Customer_Dim!B:I,8,1)</f>
        <v>Silver</v>
      </c>
      <c r="S1525">
        <v>2</v>
      </c>
      <c r="T1525">
        <v>611.21</v>
      </c>
      <c r="U1525">
        <v>0.22</v>
      </c>
      <c r="V1525">
        <v>953.48760000000004</v>
      </c>
      <c r="X1525" s="4">
        <v>2</v>
      </c>
      <c r="Y1525">
        <v>611.21</v>
      </c>
      <c r="Z1525">
        <v>0.22</v>
      </c>
      <c r="AA1525">
        <v>953.48760000000004</v>
      </c>
    </row>
    <row r="1526" spans="1:27" x14ac:dyDescent="0.3">
      <c r="A1526" t="s">
        <v>3333</v>
      </c>
      <c r="B1526" s="2">
        <v>45239</v>
      </c>
      <c r="C1526" t="s">
        <v>654</v>
      </c>
      <c r="D1526" t="s">
        <v>1609</v>
      </c>
      <c r="E1526" t="s">
        <v>1784</v>
      </c>
      <c r="F1526" s="4">
        <v>2</v>
      </c>
      <c r="G1526">
        <v>768.08</v>
      </c>
      <c r="H1526">
        <v>0.26</v>
      </c>
      <c r="I1526" t="s">
        <v>1809</v>
      </c>
      <c r="J1526">
        <v>1136.7583999999999</v>
      </c>
      <c r="K1526" t="s">
        <v>655</v>
      </c>
      <c r="L1526">
        <v>47</v>
      </c>
      <c r="M1526" t="str">
        <v>Male</v>
      </c>
      <c r="N1526" t="str">
        <f>VLOOKUP(C:C,Customer_Dim!B:I,5,1)</f>
        <v>Clarkeside</v>
      </c>
      <c r="O1526" t="str">
        <f>VLOOKUP(C:C,Customer_Dim!B:I,6,1)</f>
        <v>Kansas</v>
      </c>
      <c r="P1526" t="str">
        <f>VLOOKUP(C:C,Customer_Dim!B:I,7,1)</f>
        <v>USA</v>
      </c>
      <c r="Q1526" t="str">
        <f>VLOOKUP(C:C,Customer_Dim!B:I,8,1)</f>
        <v>Platinum</v>
      </c>
      <c r="S1526">
        <v>2</v>
      </c>
      <c r="T1526">
        <v>768.08</v>
      </c>
      <c r="U1526">
        <v>0.26</v>
      </c>
      <c r="V1526">
        <v>1136.7583999999999</v>
      </c>
      <c r="X1526" s="4">
        <v>2</v>
      </c>
      <c r="Y1526">
        <v>768.08</v>
      </c>
      <c r="Z1526">
        <v>0.26</v>
      </c>
      <c r="AA1526">
        <v>1136.7583999999999</v>
      </c>
    </row>
    <row r="1527" spans="1:27" x14ac:dyDescent="0.3">
      <c r="A1527" t="s">
        <v>3334</v>
      </c>
      <c r="B1527" s="2">
        <v>45296</v>
      </c>
      <c r="C1527" t="s">
        <v>928</v>
      </c>
      <c r="D1527" t="s">
        <v>1577</v>
      </c>
      <c r="E1527" t="s">
        <v>1793</v>
      </c>
      <c r="F1527" s="4">
        <v>1</v>
      </c>
      <c r="G1527">
        <v>616.82000000000005</v>
      </c>
      <c r="H1527">
        <v>0.24</v>
      </c>
      <c r="I1527" t="s">
        <v>1807</v>
      </c>
      <c r="J1527">
        <v>468.78320000000002</v>
      </c>
      <c r="K1527" t="s">
        <v>929</v>
      </c>
      <c r="L1527">
        <v>47</v>
      </c>
      <c r="M1527" t="str">
        <v>Female</v>
      </c>
      <c r="N1527" t="str">
        <f>VLOOKUP(C:C,Customer_Dim!B:I,5,1)</f>
        <v>South David</v>
      </c>
      <c r="O1527" t="str">
        <f>VLOOKUP(C:C,Customer_Dim!B:I,6,1)</f>
        <v>West Virginia</v>
      </c>
      <c r="P1527" t="str">
        <f>VLOOKUP(C:C,Customer_Dim!B:I,7,1)</f>
        <v>USA</v>
      </c>
      <c r="Q1527" t="str">
        <f>VLOOKUP(C:C,Customer_Dim!B:I,8,1)</f>
        <v>Bronze</v>
      </c>
      <c r="S1527">
        <v>1</v>
      </c>
      <c r="T1527">
        <v>616.82000000000005</v>
      </c>
      <c r="U1527">
        <v>0.24</v>
      </c>
      <c r="V1527">
        <v>468.78320000000002</v>
      </c>
      <c r="X1527" s="4">
        <v>1</v>
      </c>
      <c r="Y1527">
        <v>616.82000000000005</v>
      </c>
      <c r="Z1527">
        <v>0.24</v>
      </c>
      <c r="AA1527">
        <v>468.78320000000002</v>
      </c>
    </row>
    <row r="1528" spans="1:27" x14ac:dyDescent="0.3">
      <c r="A1528" t="s">
        <v>3335</v>
      </c>
      <c r="B1528" s="2">
        <v>45672</v>
      </c>
      <c r="C1528" t="s">
        <v>598</v>
      </c>
      <c r="D1528" t="s">
        <v>1611</v>
      </c>
      <c r="E1528" t="s">
        <v>1793</v>
      </c>
      <c r="F1528" s="4">
        <v>1</v>
      </c>
      <c r="G1528">
        <v>470.34</v>
      </c>
      <c r="H1528">
        <v>0.18</v>
      </c>
      <c r="I1528" t="s">
        <v>1812</v>
      </c>
      <c r="J1528">
        <v>385.67880000000002</v>
      </c>
      <c r="K1528" t="s">
        <v>599</v>
      </c>
      <c r="L1528">
        <v>46</v>
      </c>
      <c r="M1528" t="str">
        <v>Female</v>
      </c>
      <c r="N1528" t="str">
        <f>VLOOKUP(C:C,Customer_Dim!B:I,5,1)</f>
        <v>Port James</v>
      </c>
      <c r="O1528" t="str">
        <f>VLOOKUP(C:C,Customer_Dim!B:I,6,1)</f>
        <v>New York</v>
      </c>
      <c r="P1528" t="str">
        <f>VLOOKUP(C:C,Customer_Dim!B:I,7,1)</f>
        <v>USA</v>
      </c>
      <c r="Q1528" t="str">
        <f>VLOOKUP(C:C,Customer_Dim!B:I,8,1)</f>
        <v>Platinum</v>
      </c>
      <c r="S1528">
        <v>1</v>
      </c>
      <c r="T1528">
        <v>470.34</v>
      </c>
      <c r="U1528">
        <v>0.18</v>
      </c>
      <c r="V1528">
        <v>385.67880000000002</v>
      </c>
      <c r="X1528" s="4">
        <v>1</v>
      </c>
      <c r="Y1528">
        <v>470.34</v>
      </c>
      <c r="Z1528">
        <v>0.18</v>
      </c>
      <c r="AA1528">
        <v>385.67880000000002</v>
      </c>
    </row>
    <row r="1529" spans="1:27" x14ac:dyDescent="0.3">
      <c r="A1529" t="s">
        <v>3336</v>
      </c>
      <c r="B1529" s="2">
        <v>45499</v>
      </c>
      <c r="C1529" t="s">
        <v>705</v>
      </c>
      <c r="D1529" t="s">
        <v>1637</v>
      </c>
      <c r="E1529" t="s">
        <v>1765</v>
      </c>
      <c r="F1529" s="4">
        <v>2</v>
      </c>
      <c r="G1529">
        <v>616.36</v>
      </c>
      <c r="H1529">
        <v>0.12</v>
      </c>
      <c r="I1529" t="s">
        <v>1809</v>
      </c>
      <c r="J1529">
        <v>1084.7936</v>
      </c>
      <c r="K1529" t="s">
        <v>706</v>
      </c>
      <c r="L1529">
        <v>50</v>
      </c>
      <c r="M1529" t="str">
        <v>Female</v>
      </c>
      <c r="N1529" t="str">
        <f>VLOOKUP(C:C,Customer_Dim!B:I,5,1)</f>
        <v xml:space="preserve">Phillipschester   </v>
      </c>
      <c r="O1529" t="str">
        <f>VLOOKUP(C:C,Customer_Dim!B:I,6,1)</f>
        <v>New Jersey</v>
      </c>
      <c r="P1529" t="str">
        <f>VLOOKUP(C:C,Customer_Dim!B:I,7,1)</f>
        <v>USA</v>
      </c>
      <c r="Q1529" t="str">
        <f>VLOOKUP(C:C,Customer_Dim!B:I,8,1)</f>
        <v>Gold</v>
      </c>
      <c r="S1529">
        <v>2</v>
      </c>
      <c r="T1529">
        <v>616.36</v>
      </c>
      <c r="U1529">
        <v>0.12</v>
      </c>
      <c r="V1529">
        <v>1084.7936</v>
      </c>
      <c r="X1529" s="4">
        <v>2</v>
      </c>
      <c r="Y1529">
        <v>616.36</v>
      </c>
      <c r="Z1529">
        <v>0.12</v>
      </c>
      <c r="AA1529">
        <v>1084.7936</v>
      </c>
    </row>
    <row r="1530" spans="1:27" x14ac:dyDescent="0.3">
      <c r="A1530" t="s">
        <v>3337</v>
      </c>
      <c r="B1530" s="2">
        <v>45434</v>
      </c>
      <c r="C1530" t="s">
        <v>295</v>
      </c>
      <c r="D1530" t="s">
        <v>1534</v>
      </c>
      <c r="E1530" t="s">
        <v>1769</v>
      </c>
      <c r="F1530" s="4">
        <v>3</v>
      </c>
      <c r="G1530">
        <v>657.24</v>
      </c>
      <c r="H1530">
        <v>0.18</v>
      </c>
      <c r="I1530" t="s">
        <v>1809</v>
      </c>
      <c r="J1530">
        <v>1616.8104000000001</v>
      </c>
      <c r="K1530" t="s">
        <v>296</v>
      </c>
      <c r="L1530">
        <v>48</v>
      </c>
      <c r="M1530" t="str">
        <v>Female</v>
      </c>
      <c r="N1530" t="str">
        <f>VLOOKUP(C:C,Customer_Dim!B:I,5,1)</f>
        <v>Leburgh</v>
      </c>
      <c r="O1530" t="str">
        <f>VLOOKUP(C:C,Customer_Dim!B:I,6,1)</f>
        <v>Florida</v>
      </c>
      <c r="P1530" t="str">
        <f>VLOOKUP(C:C,Customer_Dim!B:I,7,1)</f>
        <v>USA</v>
      </c>
      <c r="Q1530" t="str">
        <f>VLOOKUP(C:C,Customer_Dim!B:I,8,1)</f>
        <v>Bronze</v>
      </c>
      <c r="S1530">
        <v>3</v>
      </c>
      <c r="T1530">
        <v>657.24</v>
      </c>
      <c r="U1530">
        <v>0.18</v>
      </c>
      <c r="V1530">
        <v>1616.8104000000001</v>
      </c>
      <c r="X1530" s="4">
        <v>3</v>
      </c>
      <c r="Y1530">
        <v>657.24</v>
      </c>
      <c r="Z1530">
        <v>0.18</v>
      </c>
      <c r="AA1530">
        <v>1616.8104000000001</v>
      </c>
    </row>
    <row r="1531" spans="1:27" x14ac:dyDescent="0.3">
      <c r="A1531" t="s">
        <v>3338</v>
      </c>
      <c r="B1531" s="2">
        <v>45893</v>
      </c>
      <c r="C1531" t="s">
        <v>136</v>
      </c>
      <c r="D1531" t="s">
        <v>1613</v>
      </c>
      <c r="E1531" t="s">
        <v>1796</v>
      </c>
      <c r="F1531" s="4">
        <v>2</v>
      </c>
      <c r="G1531">
        <v>392.45</v>
      </c>
      <c r="H1531">
        <v>0.04</v>
      </c>
      <c r="I1531" t="s">
        <v>1809</v>
      </c>
      <c r="J1531">
        <v>753.50399999999991</v>
      </c>
      <c r="K1531" t="s">
        <v>137</v>
      </c>
      <c r="L1531">
        <v>52</v>
      </c>
      <c r="M1531" t="str">
        <v>Male</v>
      </c>
      <c r="N1531" t="str">
        <f>VLOOKUP(C:C,Customer_Dim!B:I,5,1)</f>
        <v>West Richard</v>
      </c>
      <c r="O1531" t="str">
        <f>VLOOKUP(C:C,Customer_Dim!B:I,6,1)</f>
        <v>Maryland</v>
      </c>
      <c r="P1531" t="str">
        <f>VLOOKUP(C:C,Customer_Dim!B:I,7,1)</f>
        <v>USA</v>
      </c>
      <c r="Q1531" t="str">
        <f>VLOOKUP(C:C,Customer_Dim!B:I,8,1)</f>
        <v>Platinum</v>
      </c>
      <c r="S1531">
        <v>2</v>
      </c>
      <c r="T1531">
        <v>392.45</v>
      </c>
      <c r="U1531">
        <v>0.04</v>
      </c>
      <c r="V1531">
        <v>753.50399999999991</v>
      </c>
      <c r="X1531" s="4">
        <v>2</v>
      </c>
      <c r="Y1531">
        <v>392.45</v>
      </c>
      <c r="Z1531">
        <v>0.04</v>
      </c>
      <c r="AA1531">
        <v>753.50399999999991</v>
      </c>
    </row>
    <row r="1532" spans="1:27" x14ac:dyDescent="0.3">
      <c r="A1532" t="s">
        <v>3339</v>
      </c>
      <c r="B1532" s="2">
        <v>45346</v>
      </c>
      <c r="C1532" t="s">
        <v>779</v>
      </c>
      <c r="D1532" t="s">
        <v>1611</v>
      </c>
      <c r="E1532" t="s">
        <v>1782</v>
      </c>
      <c r="F1532" s="4">
        <v>3</v>
      </c>
      <c r="G1532">
        <v>62.03</v>
      </c>
      <c r="H1532">
        <v>0.01</v>
      </c>
      <c r="I1532" t="s">
        <v>1812</v>
      </c>
      <c r="J1532">
        <v>184.22909999999999</v>
      </c>
      <c r="K1532" t="s">
        <v>780</v>
      </c>
      <c r="L1532">
        <v>58</v>
      </c>
      <c r="M1532" t="str">
        <v>Male</v>
      </c>
      <c r="N1532" t="str">
        <f>VLOOKUP(C:C,Customer_Dim!B:I,5,1)</f>
        <v>Rodriguezton</v>
      </c>
      <c r="O1532" t="str">
        <f>VLOOKUP(C:C,Customer_Dim!B:I,6,1)</f>
        <v>Michigan</v>
      </c>
      <c r="P1532" t="str">
        <f>VLOOKUP(C:C,Customer_Dim!B:I,7,1)</f>
        <v>USA</v>
      </c>
      <c r="Q1532" t="str">
        <f>VLOOKUP(C:C,Customer_Dim!B:I,8,1)</f>
        <v>Platinum</v>
      </c>
      <c r="S1532">
        <v>3</v>
      </c>
      <c r="T1532">
        <v>62.03</v>
      </c>
      <c r="U1532">
        <v>0.01</v>
      </c>
      <c r="V1532">
        <v>184.22909999999999</v>
      </c>
      <c r="X1532" s="4">
        <v>3</v>
      </c>
      <c r="Y1532">
        <v>62.03</v>
      </c>
      <c r="Z1532">
        <v>0.01</v>
      </c>
      <c r="AA1532">
        <v>184.22909999999999</v>
      </c>
    </row>
    <row r="1533" spans="1:27" x14ac:dyDescent="0.3">
      <c r="A1533" t="s">
        <v>3340</v>
      </c>
      <c r="B1533" s="2">
        <v>45613</v>
      </c>
      <c r="C1533" t="s">
        <v>327</v>
      </c>
      <c r="D1533" t="s">
        <v>1723</v>
      </c>
      <c r="E1533" t="s">
        <v>1749</v>
      </c>
      <c r="F1533" s="4">
        <v>4</v>
      </c>
      <c r="G1533">
        <v>933.73</v>
      </c>
      <c r="H1533">
        <v>0.25</v>
      </c>
      <c r="I1533" t="s">
        <v>1809</v>
      </c>
      <c r="J1533">
        <v>2801.19</v>
      </c>
      <c r="K1533" t="s">
        <v>328</v>
      </c>
      <c r="L1533">
        <v>28</v>
      </c>
      <c r="M1533" t="str">
        <v>Female</v>
      </c>
      <c r="N1533" t="str">
        <f>VLOOKUP(C:C,Customer_Dim!B:I,5,1)</f>
        <v>Lake Brandy</v>
      </c>
      <c r="O1533" t="str">
        <f>VLOOKUP(C:C,Customer_Dim!B:I,6,1)</f>
        <v>Tennessee</v>
      </c>
      <c r="P1533" t="str">
        <f>VLOOKUP(C:C,Customer_Dim!B:I,7,1)</f>
        <v>USA</v>
      </c>
      <c r="Q1533" t="str">
        <f>VLOOKUP(C:C,Customer_Dim!B:I,8,1)</f>
        <v>Platinum</v>
      </c>
      <c r="S1533">
        <v>4</v>
      </c>
      <c r="T1533">
        <v>933.73</v>
      </c>
      <c r="U1533">
        <v>0.25</v>
      </c>
      <c r="V1533">
        <v>2801.19</v>
      </c>
      <c r="X1533" s="4">
        <v>4</v>
      </c>
      <c r="Y1533">
        <v>933.73</v>
      </c>
      <c r="Z1533">
        <v>0.25</v>
      </c>
      <c r="AA1533">
        <v>2801.19</v>
      </c>
    </row>
    <row r="1534" spans="1:27" x14ac:dyDescent="0.3">
      <c r="A1534" t="s">
        <v>3341</v>
      </c>
      <c r="B1534" s="2">
        <v>45928</v>
      </c>
      <c r="C1534" t="s">
        <v>515</v>
      </c>
      <c r="D1534" t="s">
        <v>1701</v>
      </c>
      <c r="E1534" t="s">
        <v>1787</v>
      </c>
      <c r="F1534" s="4">
        <v>3</v>
      </c>
      <c r="G1534">
        <v>615.30999999999995</v>
      </c>
      <c r="H1534">
        <v>0.14000000000000001</v>
      </c>
      <c r="I1534" t="s">
        <v>1809</v>
      </c>
      <c r="J1534">
        <v>1587.4998000000001</v>
      </c>
      <c r="K1534" t="s">
        <v>516</v>
      </c>
      <c r="L1534">
        <v>46</v>
      </c>
      <c r="M1534" t="str">
        <v>Male</v>
      </c>
      <c r="N1534" t="str">
        <f>VLOOKUP(C:C,Customer_Dim!B:I,5,1)</f>
        <v>Estradaside</v>
      </c>
      <c r="O1534" t="str">
        <f>VLOOKUP(C:C,Customer_Dim!B:I,6,1)</f>
        <v>Iowa</v>
      </c>
      <c r="P1534" t="str">
        <f>VLOOKUP(C:C,Customer_Dim!B:I,7,1)</f>
        <v>USA</v>
      </c>
      <c r="Q1534" t="str">
        <f>VLOOKUP(C:C,Customer_Dim!B:I,8,1)</f>
        <v>Gold</v>
      </c>
      <c r="S1534">
        <v>3</v>
      </c>
      <c r="T1534">
        <v>615.30999999999995</v>
      </c>
      <c r="U1534">
        <v>0.14000000000000001</v>
      </c>
      <c r="V1534">
        <v>1587.4998000000001</v>
      </c>
      <c r="X1534" s="4">
        <v>3</v>
      </c>
      <c r="Y1534">
        <v>615.30999999999995</v>
      </c>
      <c r="Z1534">
        <v>0.14000000000000001</v>
      </c>
      <c r="AA1534">
        <v>1587.4998000000001</v>
      </c>
    </row>
    <row r="1535" spans="1:27" x14ac:dyDescent="0.3">
      <c r="A1535" t="s">
        <v>3342</v>
      </c>
      <c r="B1535" s="2">
        <v>45619</v>
      </c>
      <c r="C1535" t="s">
        <v>1153</v>
      </c>
      <c r="D1535" t="s">
        <v>1649</v>
      </c>
      <c r="E1535" t="s">
        <v>1793</v>
      </c>
      <c r="F1535" s="4">
        <v>4</v>
      </c>
      <c r="G1535">
        <v>790.38</v>
      </c>
      <c r="H1535">
        <v>0.22</v>
      </c>
      <c r="I1535" t="s">
        <v>1812</v>
      </c>
      <c r="J1535">
        <v>2465.9856</v>
      </c>
      <c r="K1535" t="s">
        <v>1154</v>
      </c>
      <c r="L1535">
        <v>60</v>
      </c>
      <c r="M1535" t="str">
        <v>Male</v>
      </c>
      <c r="N1535" t="str">
        <f>VLOOKUP(C:C,Customer_Dim!B:I,5,1)</f>
        <v>Simpsonfort</v>
      </c>
      <c r="O1535" t="str">
        <f>VLOOKUP(C:C,Customer_Dim!B:I,6,1)</f>
        <v>Maine</v>
      </c>
      <c r="P1535" t="str">
        <f>VLOOKUP(C:C,Customer_Dim!B:I,7,1)</f>
        <v>USA</v>
      </c>
      <c r="Q1535" t="str">
        <f>VLOOKUP(C:C,Customer_Dim!B:I,8,1)</f>
        <v>Gold</v>
      </c>
      <c r="S1535">
        <v>4</v>
      </c>
      <c r="T1535">
        <v>790.38</v>
      </c>
      <c r="U1535">
        <v>0.22</v>
      </c>
      <c r="V1535">
        <v>2465.9856</v>
      </c>
      <c r="X1535" s="4">
        <v>4</v>
      </c>
      <c r="Y1535">
        <v>790.38</v>
      </c>
      <c r="Z1535">
        <v>0.22</v>
      </c>
      <c r="AA1535">
        <v>2465.9856</v>
      </c>
    </row>
    <row r="1536" spans="1:27" x14ac:dyDescent="0.3">
      <c r="A1536" t="s">
        <v>3343</v>
      </c>
      <c r="B1536" s="2">
        <v>45533</v>
      </c>
      <c r="C1536" t="s">
        <v>850</v>
      </c>
      <c r="D1536" t="s">
        <v>1649</v>
      </c>
      <c r="E1536" t="s">
        <v>1790</v>
      </c>
      <c r="F1536" s="4">
        <v>2</v>
      </c>
      <c r="G1536">
        <v>102.85</v>
      </c>
      <c r="H1536">
        <v>0.08</v>
      </c>
      <c r="I1536" t="s">
        <v>1809</v>
      </c>
      <c r="J1536">
        <v>189.244</v>
      </c>
      <c r="K1536" t="s">
        <v>851</v>
      </c>
      <c r="L1536">
        <v>31</v>
      </c>
      <c r="M1536" t="str">
        <v>Female</v>
      </c>
      <c r="N1536" t="str">
        <f>VLOOKUP(C:C,Customer_Dim!B:I,5,1)</f>
        <v>Emilytown</v>
      </c>
      <c r="O1536" t="str">
        <f>VLOOKUP(C:C,Customer_Dim!B:I,6,1)</f>
        <v>California</v>
      </c>
      <c r="P1536" t="str">
        <f>VLOOKUP(C:C,Customer_Dim!B:I,7,1)</f>
        <v>USA</v>
      </c>
      <c r="Q1536" t="str">
        <f>VLOOKUP(C:C,Customer_Dim!B:I,8,1)</f>
        <v>Silver</v>
      </c>
      <c r="S1536">
        <v>2</v>
      </c>
      <c r="T1536">
        <v>102.85</v>
      </c>
      <c r="U1536">
        <v>0.08</v>
      </c>
      <c r="V1536">
        <v>189.244</v>
      </c>
      <c r="X1536" s="4">
        <v>2</v>
      </c>
      <c r="Y1536">
        <v>102.85</v>
      </c>
      <c r="Z1536">
        <v>0.08</v>
      </c>
      <c r="AA1536">
        <v>189.244</v>
      </c>
    </row>
    <row r="1537" spans="1:27" x14ac:dyDescent="0.3">
      <c r="A1537" t="s">
        <v>3344</v>
      </c>
      <c r="B1537" s="2">
        <v>45781</v>
      </c>
      <c r="C1537" t="s">
        <v>152</v>
      </c>
      <c r="D1537" t="s">
        <v>1553</v>
      </c>
      <c r="E1537" t="s">
        <v>1787</v>
      </c>
      <c r="F1537" s="4">
        <v>3</v>
      </c>
      <c r="G1537">
        <v>866.78</v>
      </c>
      <c r="H1537">
        <v>0.27</v>
      </c>
      <c r="I1537" t="s">
        <v>1809</v>
      </c>
      <c r="J1537">
        <v>1898.2482</v>
      </c>
      <c r="K1537" t="s">
        <v>153</v>
      </c>
      <c r="L1537">
        <v>50</v>
      </c>
      <c r="M1537" t="str">
        <v>Male</v>
      </c>
      <c r="N1537" t="str">
        <f>VLOOKUP(C:C,Customer_Dim!B:I,5,1)</f>
        <v>Darleneton</v>
      </c>
      <c r="O1537" t="str">
        <f>VLOOKUP(C:C,Customer_Dim!B:I,6,1)</f>
        <v>Michigan</v>
      </c>
      <c r="P1537" t="str">
        <f>VLOOKUP(C:C,Customer_Dim!B:I,7,1)</f>
        <v>USA</v>
      </c>
      <c r="Q1537" t="str">
        <f>VLOOKUP(C:C,Customer_Dim!B:I,8,1)</f>
        <v>Gold</v>
      </c>
      <c r="S1537">
        <v>3</v>
      </c>
      <c r="T1537">
        <v>866.78</v>
      </c>
      <c r="U1537">
        <v>0.27</v>
      </c>
      <c r="V1537">
        <v>1898.2482</v>
      </c>
      <c r="X1537" s="4">
        <v>3</v>
      </c>
      <c r="Y1537">
        <v>866.78</v>
      </c>
      <c r="Z1537">
        <v>0.27</v>
      </c>
      <c r="AA1537">
        <v>1898.2482</v>
      </c>
    </row>
    <row r="1538" spans="1:27" x14ac:dyDescent="0.3">
      <c r="A1538" t="s">
        <v>3345</v>
      </c>
      <c r="B1538" s="2">
        <v>45378</v>
      </c>
      <c r="C1538" t="s">
        <v>672</v>
      </c>
      <c r="D1538" t="s">
        <v>1687</v>
      </c>
      <c r="E1538" t="s">
        <v>1787</v>
      </c>
      <c r="F1538" s="4">
        <v>3</v>
      </c>
      <c r="G1538">
        <v>392.84</v>
      </c>
      <c r="H1538">
        <v>0.27</v>
      </c>
      <c r="I1538" t="s">
        <v>1809</v>
      </c>
      <c r="J1538">
        <v>860.31959999999992</v>
      </c>
      <c r="K1538" t="s">
        <v>673</v>
      </c>
      <c r="L1538">
        <v>50</v>
      </c>
      <c r="M1538" t="str">
        <v>Female</v>
      </c>
      <c r="N1538" t="str">
        <f>VLOOKUP(C:C,Customer_Dim!B:I,5,1)</f>
        <v>Kathrynview</v>
      </c>
      <c r="O1538" t="str">
        <f>VLOOKUP(C:C,Customer_Dim!B:I,6,1)</f>
        <v>Louisiana</v>
      </c>
      <c r="P1538" t="str">
        <f>VLOOKUP(C:C,Customer_Dim!B:I,7,1)</f>
        <v>USA</v>
      </c>
      <c r="Q1538" t="str">
        <f>VLOOKUP(C:C,Customer_Dim!B:I,8,1)</f>
        <v>Platinum</v>
      </c>
      <c r="S1538">
        <v>3</v>
      </c>
      <c r="T1538">
        <v>392.84</v>
      </c>
      <c r="U1538">
        <v>0.27</v>
      </c>
      <c r="V1538">
        <v>860.31959999999992</v>
      </c>
      <c r="X1538" s="4">
        <v>3</v>
      </c>
      <c r="Y1538">
        <v>392.84</v>
      </c>
      <c r="Z1538">
        <v>0.27</v>
      </c>
      <c r="AA1538">
        <v>860.31959999999992</v>
      </c>
    </row>
    <row r="1539" spans="1:27" x14ac:dyDescent="0.3">
      <c r="A1539" t="s">
        <v>3346</v>
      </c>
      <c r="B1539" s="2">
        <v>45688</v>
      </c>
      <c r="C1539" t="s">
        <v>1007</v>
      </c>
      <c r="D1539" t="s">
        <v>1548</v>
      </c>
      <c r="E1539" t="s">
        <v>1756</v>
      </c>
      <c r="F1539" s="4">
        <v>2</v>
      </c>
      <c r="G1539">
        <v>753.1</v>
      </c>
      <c r="H1539">
        <v>0.19</v>
      </c>
      <c r="I1539" t="s">
        <v>1809</v>
      </c>
      <c r="J1539">
        <v>1220.0219999999999</v>
      </c>
      <c r="K1539" t="s">
        <v>1008</v>
      </c>
      <c r="L1539">
        <v>58</v>
      </c>
      <c r="M1539" t="str">
        <v>Male</v>
      </c>
      <c r="N1539" t="str">
        <f>VLOOKUP(C:C,Customer_Dim!B:I,5,1)</f>
        <v>Whiteport</v>
      </c>
      <c r="O1539" t="str">
        <f>VLOOKUP(C:C,Customer_Dim!B:I,6,1)</f>
        <v>North Carolina</v>
      </c>
      <c r="P1539" t="str">
        <f>VLOOKUP(C:C,Customer_Dim!B:I,7,1)</f>
        <v>USA</v>
      </c>
      <c r="Q1539" t="str">
        <f>VLOOKUP(C:C,Customer_Dim!B:I,8,1)</f>
        <v>Platinum</v>
      </c>
      <c r="S1539">
        <v>2</v>
      </c>
      <c r="T1539">
        <v>753.1</v>
      </c>
      <c r="U1539">
        <v>0.19</v>
      </c>
      <c r="V1539">
        <v>1220.0219999999999</v>
      </c>
      <c r="X1539" s="4">
        <v>2</v>
      </c>
      <c r="Y1539">
        <v>753.1</v>
      </c>
      <c r="Z1539">
        <v>0.19</v>
      </c>
      <c r="AA1539">
        <v>1220.0219999999999</v>
      </c>
    </row>
    <row r="1540" spans="1:27" x14ac:dyDescent="0.3">
      <c r="A1540" t="s">
        <v>3347</v>
      </c>
      <c r="B1540" s="2">
        <v>45927</v>
      </c>
      <c r="C1540" t="s">
        <v>40</v>
      </c>
      <c r="D1540" t="s">
        <v>1639</v>
      </c>
      <c r="E1540" t="s">
        <v>1790</v>
      </c>
      <c r="F1540" s="4">
        <v>2</v>
      </c>
      <c r="G1540">
        <v>700.91</v>
      </c>
      <c r="H1540">
        <v>0.1</v>
      </c>
      <c r="I1540" t="s">
        <v>1809</v>
      </c>
      <c r="J1540">
        <v>1261.6379999999999</v>
      </c>
      <c r="K1540" t="s">
        <v>41</v>
      </c>
      <c r="L1540">
        <v>53</v>
      </c>
      <c r="M1540" t="str">
        <v>Female</v>
      </c>
      <c r="N1540" t="str">
        <f>VLOOKUP(C:C,Customer_Dim!B:I,5,1)</f>
        <v>West Pamelafurt</v>
      </c>
      <c r="O1540" t="str">
        <f>VLOOKUP(C:C,Customer_Dim!B:I,6,1)</f>
        <v>West Virginia</v>
      </c>
      <c r="P1540" t="str">
        <f>VLOOKUP(C:C,Customer_Dim!B:I,7,1)</f>
        <v>USA</v>
      </c>
      <c r="Q1540" t="str">
        <f>VLOOKUP(C:C,Customer_Dim!B:I,8,1)</f>
        <v>Bronze</v>
      </c>
      <c r="S1540">
        <v>2</v>
      </c>
      <c r="T1540">
        <v>700.91</v>
      </c>
      <c r="U1540">
        <v>0.1</v>
      </c>
      <c r="V1540">
        <v>1261.6379999999999</v>
      </c>
      <c r="X1540" s="4">
        <v>2</v>
      </c>
      <c r="Y1540">
        <v>700.91</v>
      </c>
      <c r="Z1540">
        <v>0.1</v>
      </c>
      <c r="AA1540">
        <v>1261.6379999999999</v>
      </c>
    </row>
    <row r="1541" spans="1:27" x14ac:dyDescent="0.3">
      <c r="A1541" t="s">
        <v>3348</v>
      </c>
      <c r="B1541" s="2">
        <v>45775</v>
      </c>
      <c r="C1541" t="s">
        <v>261</v>
      </c>
      <c r="D1541" t="s">
        <v>1561</v>
      </c>
      <c r="E1541" t="s">
        <v>1777</v>
      </c>
      <c r="F1541" s="4">
        <v>4</v>
      </c>
      <c r="G1541">
        <v>935.98</v>
      </c>
      <c r="H1541">
        <v>0.11</v>
      </c>
      <c r="I1541" t="s">
        <v>1809</v>
      </c>
      <c r="J1541">
        <v>3332.0888</v>
      </c>
      <c r="K1541" t="s">
        <v>262</v>
      </c>
      <c r="L1541">
        <v>56</v>
      </c>
      <c r="M1541" t="str">
        <v>Female</v>
      </c>
      <c r="N1541" t="str">
        <f>VLOOKUP(C:C,Customer_Dim!B:I,5,1)</f>
        <v>Olsonhaven</v>
      </c>
      <c r="O1541" t="str">
        <f>VLOOKUP(C:C,Customer_Dim!B:I,6,1)</f>
        <v>Iowa</v>
      </c>
      <c r="P1541" t="str">
        <f>VLOOKUP(C:C,Customer_Dim!B:I,7,1)</f>
        <v>USA</v>
      </c>
      <c r="Q1541" t="str">
        <f>VLOOKUP(C:C,Customer_Dim!B:I,8,1)</f>
        <v>Gold</v>
      </c>
      <c r="S1541">
        <v>4</v>
      </c>
      <c r="T1541">
        <v>935.98</v>
      </c>
      <c r="U1541">
        <v>0.11</v>
      </c>
      <c r="V1541">
        <v>3332.0888</v>
      </c>
      <c r="X1541" s="4">
        <v>4</v>
      </c>
      <c r="Y1541">
        <v>935.98</v>
      </c>
      <c r="Z1541">
        <v>0.11</v>
      </c>
      <c r="AA1541">
        <v>3332.0888</v>
      </c>
    </row>
    <row r="1542" spans="1:27" x14ac:dyDescent="0.3">
      <c r="A1542" t="s">
        <v>3349</v>
      </c>
      <c r="B1542" s="2">
        <v>45849</v>
      </c>
      <c r="C1542" t="s">
        <v>1475</v>
      </c>
      <c r="D1542" t="s">
        <v>1683</v>
      </c>
      <c r="E1542" t="s">
        <v>1787</v>
      </c>
      <c r="F1542" s="4">
        <v>1</v>
      </c>
      <c r="G1542">
        <v>539.9</v>
      </c>
      <c r="H1542">
        <v>7.0000000000000007E-2</v>
      </c>
      <c r="I1542" t="s">
        <v>1807</v>
      </c>
      <c r="J1542">
        <v>502.10700000000003</v>
      </c>
      <c r="K1542" t="s">
        <v>1476</v>
      </c>
      <c r="L1542">
        <v>22</v>
      </c>
      <c r="M1542" t="str">
        <v>Female</v>
      </c>
      <c r="N1542" t="str">
        <f>VLOOKUP(C:C,Customer_Dim!B:I,5,1)</f>
        <v>East Dillonview</v>
      </c>
      <c r="O1542" t="str">
        <f>VLOOKUP(C:C,Customer_Dim!B:I,6,1)</f>
        <v>Virginia</v>
      </c>
      <c r="P1542" t="str">
        <f>VLOOKUP(C:C,Customer_Dim!B:I,7,1)</f>
        <v>USA</v>
      </c>
      <c r="Q1542" t="str">
        <f>VLOOKUP(C:C,Customer_Dim!B:I,8,1)</f>
        <v>Bronze</v>
      </c>
      <c r="S1542">
        <v>1</v>
      </c>
      <c r="T1542">
        <v>539.9</v>
      </c>
      <c r="U1542">
        <v>7.0000000000000007E-2</v>
      </c>
      <c r="V1542">
        <v>502.10700000000003</v>
      </c>
      <c r="X1542" s="4">
        <v>1</v>
      </c>
      <c r="Y1542">
        <v>539.9</v>
      </c>
      <c r="Z1542">
        <v>7.0000000000000007E-2</v>
      </c>
      <c r="AA1542">
        <v>502.10700000000003</v>
      </c>
    </row>
    <row r="1543" spans="1:27" x14ac:dyDescent="0.3">
      <c r="A1543" t="s">
        <v>3350</v>
      </c>
      <c r="B1543" s="2">
        <v>45573</v>
      </c>
      <c r="C1543" t="s">
        <v>562</v>
      </c>
      <c r="D1543" t="s">
        <v>1611</v>
      </c>
      <c r="E1543" t="s">
        <v>1759</v>
      </c>
      <c r="F1543" s="4">
        <v>1</v>
      </c>
      <c r="G1543">
        <v>312.81</v>
      </c>
      <c r="H1543">
        <v>0.14000000000000001</v>
      </c>
      <c r="I1543" t="s">
        <v>1809</v>
      </c>
      <c r="J1543">
        <v>269.01659999999998</v>
      </c>
      <c r="K1543" t="s">
        <v>563</v>
      </c>
      <c r="L1543">
        <v>41</v>
      </c>
      <c r="M1543" t="str">
        <v>Female</v>
      </c>
      <c r="N1543" t="str">
        <f>VLOOKUP(C:C,Customer_Dim!B:I,5,1)</f>
        <v>Morrisburgh</v>
      </c>
      <c r="O1543" t="str">
        <f>VLOOKUP(C:C,Customer_Dim!B:I,6,1)</f>
        <v>Indiana</v>
      </c>
      <c r="P1543" t="str">
        <f>VLOOKUP(C:C,Customer_Dim!B:I,7,1)</f>
        <v>USA</v>
      </c>
      <c r="Q1543" t="str">
        <f>VLOOKUP(C:C,Customer_Dim!B:I,8,1)</f>
        <v>Platinum</v>
      </c>
      <c r="S1543">
        <v>1</v>
      </c>
      <c r="T1543">
        <v>312.81</v>
      </c>
      <c r="U1543">
        <v>0.14000000000000001</v>
      </c>
      <c r="V1543">
        <v>269.01659999999998</v>
      </c>
      <c r="X1543" s="4">
        <v>1</v>
      </c>
      <c r="Y1543">
        <v>312.81</v>
      </c>
      <c r="Z1543">
        <v>0.14000000000000001</v>
      </c>
      <c r="AA1543">
        <v>269.01659999999998</v>
      </c>
    </row>
    <row r="1544" spans="1:27" x14ac:dyDescent="0.3">
      <c r="A1544" t="s">
        <v>3351</v>
      </c>
      <c r="B1544" s="2">
        <v>45356</v>
      </c>
      <c r="C1544" t="s">
        <v>791</v>
      </c>
      <c r="D1544" t="s">
        <v>1627</v>
      </c>
      <c r="E1544" t="s">
        <v>1762</v>
      </c>
      <c r="F1544" s="4">
        <v>3</v>
      </c>
      <c r="G1544">
        <v>855.96</v>
      </c>
      <c r="H1544">
        <v>0.28999999999999998</v>
      </c>
      <c r="I1544" t="s">
        <v>1812</v>
      </c>
      <c r="J1544">
        <v>1823.1948</v>
      </c>
      <c r="K1544" t="s">
        <v>792</v>
      </c>
      <c r="L1544">
        <v>48</v>
      </c>
      <c r="M1544" t="str">
        <v>Male</v>
      </c>
      <c r="N1544" t="str">
        <f>VLOOKUP(C:C,Customer_Dim!B:I,5,1)</f>
        <v>Garciamouth</v>
      </c>
      <c r="O1544" t="str">
        <f>VLOOKUP(C:C,Customer_Dim!B:I,6,1)</f>
        <v>New York</v>
      </c>
      <c r="P1544" t="str">
        <f>VLOOKUP(C:C,Customer_Dim!B:I,7,1)</f>
        <v>USA</v>
      </c>
      <c r="Q1544" t="str">
        <f>VLOOKUP(C:C,Customer_Dim!B:I,8,1)</f>
        <v>Gold</v>
      </c>
      <c r="S1544">
        <v>3</v>
      </c>
      <c r="T1544">
        <v>855.96</v>
      </c>
      <c r="U1544">
        <v>0.28999999999999998</v>
      </c>
      <c r="V1544">
        <v>1823.1948</v>
      </c>
      <c r="X1544" s="4">
        <v>3</v>
      </c>
      <c r="Y1544">
        <v>855.96</v>
      </c>
      <c r="Z1544">
        <v>0.28999999999999998</v>
      </c>
      <c r="AA1544">
        <v>1823.1948</v>
      </c>
    </row>
    <row r="1545" spans="1:27" x14ac:dyDescent="0.3">
      <c r="A1545" t="s">
        <v>3352</v>
      </c>
      <c r="B1545" s="2">
        <v>45326</v>
      </c>
      <c r="C1545" t="s">
        <v>1100</v>
      </c>
      <c r="D1545" t="s">
        <v>1529</v>
      </c>
      <c r="E1545" t="s">
        <v>1775</v>
      </c>
      <c r="F1545" s="4">
        <v>3</v>
      </c>
      <c r="G1545">
        <v>305</v>
      </c>
      <c r="H1545">
        <v>0.01</v>
      </c>
      <c r="I1545" t="s">
        <v>1812</v>
      </c>
      <c r="J1545">
        <v>905.85</v>
      </c>
      <c r="K1545" t="s">
        <v>1101</v>
      </c>
      <c r="L1545">
        <v>54</v>
      </c>
      <c r="M1545" t="str">
        <v>Male</v>
      </c>
      <c r="N1545" t="str">
        <f>VLOOKUP(C:C,Customer_Dim!B:I,5,1)</f>
        <v>North Johnfurt</v>
      </c>
      <c r="O1545" t="str">
        <f>VLOOKUP(C:C,Customer_Dim!B:I,6,1)</f>
        <v>Washington</v>
      </c>
      <c r="P1545" t="str">
        <f>VLOOKUP(C:C,Customer_Dim!B:I,7,1)</f>
        <v>USA</v>
      </c>
      <c r="Q1545" t="str">
        <f>VLOOKUP(C:C,Customer_Dim!B:I,8,1)</f>
        <v>Gold</v>
      </c>
      <c r="S1545">
        <v>3</v>
      </c>
      <c r="T1545">
        <v>305</v>
      </c>
      <c r="U1545">
        <v>0.01</v>
      </c>
      <c r="V1545">
        <v>905.85</v>
      </c>
      <c r="X1545" s="4">
        <v>3</v>
      </c>
      <c r="Y1545">
        <v>305</v>
      </c>
      <c r="Z1545">
        <v>0.01</v>
      </c>
      <c r="AA1545">
        <v>905.85</v>
      </c>
    </row>
    <row r="1546" spans="1:27" x14ac:dyDescent="0.3">
      <c r="A1546" t="s">
        <v>3353</v>
      </c>
      <c r="B1546" s="2">
        <v>45361</v>
      </c>
      <c r="C1546" t="s">
        <v>1427</v>
      </c>
      <c r="D1546" t="s">
        <v>1729</v>
      </c>
      <c r="E1546" t="s">
        <v>1777</v>
      </c>
      <c r="F1546" s="4">
        <v>3</v>
      </c>
      <c r="G1546">
        <v>831.15</v>
      </c>
      <c r="H1546">
        <v>0.19</v>
      </c>
      <c r="I1546" t="s">
        <v>1807</v>
      </c>
      <c r="J1546">
        <v>2019.6945000000001</v>
      </c>
      <c r="K1546" t="s">
        <v>1428</v>
      </c>
      <c r="L1546">
        <v>19</v>
      </c>
      <c r="M1546" t="str">
        <v>Male</v>
      </c>
      <c r="N1546" t="str">
        <f>VLOOKUP(C:C,Customer_Dim!B:I,5,1)</f>
        <v>Bergermouth</v>
      </c>
      <c r="O1546" t="str">
        <f>VLOOKUP(C:C,Customer_Dim!B:I,6,1)</f>
        <v>Vermont</v>
      </c>
      <c r="P1546" t="str">
        <f>VLOOKUP(C:C,Customer_Dim!B:I,7,1)</f>
        <v>USA</v>
      </c>
      <c r="Q1546" t="str">
        <f>VLOOKUP(C:C,Customer_Dim!B:I,8,1)</f>
        <v>Bronze</v>
      </c>
      <c r="S1546">
        <v>3</v>
      </c>
      <c r="T1546">
        <v>831.15</v>
      </c>
      <c r="U1546">
        <v>0.19</v>
      </c>
      <c r="V1546">
        <v>2019.6945000000001</v>
      </c>
      <c r="X1546" s="4">
        <v>3</v>
      </c>
      <c r="Y1546">
        <v>831.15</v>
      </c>
      <c r="Z1546">
        <v>0.19</v>
      </c>
      <c r="AA1546">
        <v>2019.6945000000001</v>
      </c>
    </row>
    <row r="1547" spans="1:27" x14ac:dyDescent="0.3">
      <c r="A1547" t="s">
        <v>3354</v>
      </c>
      <c r="B1547" s="2">
        <v>45926</v>
      </c>
      <c r="C1547" t="s">
        <v>669</v>
      </c>
      <c r="D1547" t="s">
        <v>1723</v>
      </c>
      <c r="E1547" t="s">
        <v>1749</v>
      </c>
      <c r="F1547" s="4">
        <v>2</v>
      </c>
      <c r="G1547">
        <v>644.97</v>
      </c>
      <c r="H1547">
        <v>0.24</v>
      </c>
      <c r="I1547" t="s">
        <v>1812</v>
      </c>
      <c r="J1547">
        <v>980.35440000000006</v>
      </c>
      <c r="K1547" t="s">
        <v>670</v>
      </c>
      <c r="L1547">
        <v>54</v>
      </c>
      <c r="M1547" t="str">
        <v>Male</v>
      </c>
      <c r="N1547" t="str">
        <f>VLOOKUP(C:C,Customer_Dim!B:I,5,1)</f>
        <v>South Emily</v>
      </c>
      <c r="O1547" t="str">
        <f>VLOOKUP(C:C,Customer_Dim!B:I,6,1)</f>
        <v>New Jersey</v>
      </c>
      <c r="P1547" t="str">
        <f>VLOOKUP(C:C,Customer_Dim!B:I,7,1)</f>
        <v>USA</v>
      </c>
      <c r="Q1547" t="str">
        <f>VLOOKUP(C:C,Customer_Dim!B:I,8,1)</f>
        <v>Bronze</v>
      </c>
      <c r="S1547">
        <v>2</v>
      </c>
      <c r="T1547">
        <v>644.97</v>
      </c>
      <c r="U1547">
        <v>0.24</v>
      </c>
      <c r="V1547">
        <v>980.35440000000006</v>
      </c>
      <c r="X1547" s="4">
        <v>2</v>
      </c>
      <c r="Y1547">
        <v>644.97</v>
      </c>
      <c r="Z1547">
        <v>0.24</v>
      </c>
      <c r="AA1547">
        <v>980.35440000000006</v>
      </c>
    </row>
    <row r="1548" spans="1:27" x14ac:dyDescent="0.3">
      <c r="A1548" t="s">
        <v>3355</v>
      </c>
      <c r="B1548" s="2">
        <v>45839</v>
      </c>
      <c r="C1548" t="s">
        <v>336</v>
      </c>
      <c r="D1548" t="s">
        <v>1707</v>
      </c>
      <c r="E1548" t="s">
        <v>1740</v>
      </c>
      <c r="F1548" s="4">
        <v>1</v>
      </c>
      <c r="G1548">
        <v>149.56</v>
      </c>
      <c r="H1548">
        <v>0.09</v>
      </c>
      <c r="I1548" t="s">
        <v>1807</v>
      </c>
      <c r="J1548">
        <v>136.09960000000001</v>
      </c>
      <c r="K1548" t="s">
        <v>337</v>
      </c>
      <c r="L1548">
        <v>30</v>
      </c>
      <c r="M1548" t="str">
        <v>Female</v>
      </c>
      <c r="N1548" t="str">
        <f>VLOOKUP(C:C,Customer_Dim!B:I,5,1)</f>
        <v>West Bobbyshire</v>
      </c>
      <c r="O1548" t="str">
        <f>VLOOKUP(C:C,Customer_Dim!B:I,6,1)</f>
        <v>New York</v>
      </c>
      <c r="P1548" t="str">
        <f>VLOOKUP(C:C,Customer_Dim!B:I,7,1)</f>
        <v>USA</v>
      </c>
      <c r="Q1548" t="str">
        <f>VLOOKUP(C:C,Customer_Dim!B:I,8,1)</f>
        <v>Platinum</v>
      </c>
      <c r="S1548">
        <v>1</v>
      </c>
      <c r="T1548">
        <v>149.56</v>
      </c>
      <c r="U1548">
        <v>0.09</v>
      </c>
      <c r="V1548">
        <v>136.09960000000001</v>
      </c>
      <c r="X1548" s="4">
        <v>1</v>
      </c>
      <c r="Y1548">
        <v>149.56</v>
      </c>
      <c r="Z1548">
        <v>0.09</v>
      </c>
      <c r="AA1548">
        <v>136.09960000000001</v>
      </c>
    </row>
    <row r="1549" spans="1:27" x14ac:dyDescent="0.3">
      <c r="A1549" t="s">
        <v>3356</v>
      </c>
      <c r="B1549" s="2">
        <v>45434</v>
      </c>
      <c r="C1549" t="s">
        <v>699</v>
      </c>
      <c r="D1549" t="s">
        <v>1617</v>
      </c>
      <c r="E1549" t="s">
        <v>1796</v>
      </c>
      <c r="F1549" s="4">
        <v>1</v>
      </c>
      <c r="G1549">
        <v>661.77</v>
      </c>
      <c r="H1549">
        <v>0.03</v>
      </c>
      <c r="I1549" t="s">
        <v>1809</v>
      </c>
      <c r="J1549">
        <v>641.91689999999994</v>
      </c>
      <c r="K1549" t="s">
        <v>700</v>
      </c>
      <c r="L1549">
        <v>46</v>
      </c>
      <c r="M1549" t="str">
        <v>Male</v>
      </c>
      <c r="N1549" t="str">
        <f>VLOOKUP(C:C,Customer_Dim!B:I,5,1)</f>
        <v>North Christinemouth</v>
      </c>
      <c r="O1549" t="str">
        <f>VLOOKUP(C:C,Customer_Dim!B:I,6,1)</f>
        <v>Missouri</v>
      </c>
      <c r="P1549" t="str">
        <f>VLOOKUP(C:C,Customer_Dim!B:I,7,1)</f>
        <v>USA</v>
      </c>
      <c r="Q1549" t="str">
        <f>VLOOKUP(C:C,Customer_Dim!B:I,8,1)</f>
        <v>Silver</v>
      </c>
      <c r="S1549">
        <v>1</v>
      </c>
      <c r="T1549">
        <v>661.77</v>
      </c>
      <c r="U1549">
        <v>0.03</v>
      </c>
      <c r="V1549">
        <v>641.91689999999994</v>
      </c>
      <c r="X1549" s="4">
        <v>1</v>
      </c>
      <c r="Y1549">
        <v>661.77</v>
      </c>
      <c r="Z1549">
        <v>0.03</v>
      </c>
      <c r="AA1549">
        <v>641.91689999999994</v>
      </c>
    </row>
    <row r="1550" spans="1:27" x14ac:dyDescent="0.3">
      <c r="A1550" t="s">
        <v>3357</v>
      </c>
      <c r="B1550" s="2">
        <v>45819</v>
      </c>
      <c r="C1550" t="s">
        <v>376</v>
      </c>
      <c r="D1550" t="s">
        <v>1719</v>
      </c>
      <c r="E1550" t="s">
        <v>1762</v>
      </c>
      <c r="F1550" s="4">
        <v>3</v>
      </c>
      <c r="G1550">
        <v>99.67</v>
      </c>
      <c r="H1550">
        <v>0.17</v>
      </c>
      <c r="I1550" t="s">
        <v>1807</v>
      </c>
      <c r="J1550">
        <v>248.17830000000001</v>
      </c>
      <c r="K1550" t="s">
        <v>377</v>
      </c>
      <c r="L1550">
        <v>27</v>
      </c>
      <c r="M1550" t="str">
        <v>Male</v>
      </c>
      <c r="N1550" t="str">
        <f>VLOOKUP(C:C,Customer_Dim!B:I,5,1)</f>
        <v>Webstermouth</v>
      </c>
      <c r="O1550" t="str">
        <f>VLOOKUP(C:C,Customer_Dim!B:I,6,1)</f>
        <v>New Hampshire</v>
      </c>
      <c r="P1550" t="str">
        <f>VLOOKUP(C:C,Customer_Dim!B:I,7,1)</f>
        <v>USA</v>
      </c>
      <c r="Q1550" t="str">
        <f>VLOOKUP(C:C,Customer_Dim!B:I,8,1)</f>
        <v>Bronze</v>
      </c>
      <c r="S1550">
        <v>3</v>
      </c>
      <c r="T1550">
        <v>99.67</v>
      </c>
      <c r="U1550">
        <v>0.17</v>
      </c>
      <c r="V1550">
        <v>248.17830000000001</v>
      </c>
      <c r="X1550" s="4">
        <v>3</v>
      </c>
      <c r="Y1550">
        <v>99.67</v>
      </c>
      <c r="Z1550">
        <v>0.17</v>
      </c>
      <c r="AA1550">
        <v>248.17830000000001</v>
      </c>
    </row>
    <row r="1551" spans="1:27" x14ac:dyDescent="0.3">
      <c r="A1551" t="s">
        <v>3358</v>
      </c>
      <c r="B1551" s="2">
        <v>45553</v>
      </c>
      <c r="C1551" t="s">
        <v>710</v>
      </c>
      <c r="D1551" t="s">
        <v>1655</v>
      </c>
      <c r="E1551" t="s">
        <v>1740</v>
      </c>
      <c r="F1551" s="4">
        <v>3</v>
      </c>
      <c r="G1551">
        <v>103.66</v>
      </c>
      <c r="H1551">
        <v>0.26</v>
      </c>
      <c r="I1551" t="s">
        <v>1812</v>
      </c>
      <c r="J1551">
        <v>230.12520000000001</v>
      </c>
      <c r="K1551" t="s">
        <v>711</v>
      </c>
      <c r="L1551">
        <v>35</v>
      </c>
      <c r="M1551" t="str">
        <v>Male</v>
      </c>
      <c r="N1551" t="str">
        <f>VLOOKUP(C:C,Customer_Dim!B:I,5,1)</f>
        <v>Maybury</v>
      </c>
      <c r="O1551" t="str">
        <f>VLOOKUP(C:C,Customer_Dim!B:I,6,1)</f>
        <v>Georgia</v>
      </c>
      <c r="P1551" t="str">
        <f>VLOOKUP(C:C,Customer_Dim!B:I,7,1)</f>
        <v>USA</v>
      </c>
      <c r="Q1551" t="str">
        <f>VLOOKUP(C:C,Customer_Dim!B:I,8,1)</f>
        <v>Platinum</v>
      </c>
      <c r="S1551">
        <v>3</v>
      </c>
      <c r="T1551">
        <v>103.66</v>
      </c>
      <c r="U1551">
        <v>0.26</v>
      </c>
      <c r="V1551">
        <v>230.12520000000001</v>
      </c>
      <c r="X1551" s="4">
        <v>3</v>
      </c>
      <c r="Y1551">
        <v>103.66</v>
      </c>
      <c r="Z1551">
        <v>0.26</v>
      </c>
      <c r="AA1551">
        <v>230.12520000000001</v>
      </c>
    </row>
    <row r="1552" spans="1:27" x14ac:dyDescent="0.3">
      <c r="A1552" t="s">
        <v>3359</v>
      </c>
      <c r="B1552" s="2">
        <v>45258</v>
      </c>
      <c r="C1552" t="s">
        <v>1336</v>
      </c>
      <c r="D1552" t="s">
        <v>1611</v>
      </c>
      <c r="E1552" t="s">
        <v>1744</v>
      </c>
      <c r="F1552" s="4">
        <v>4</v>
      </c>
      <c r="G1552">
        <v>54.4</v>
      </c>
      <c r="H1552">
        <v>0.22</v>
      </c>
      <c r="I1552" t="s">
        <v>1807</v>
      </c>
      <c r="J1552">
        <v>169.72800000000001</v>
      </c>
      <c r="K1552" t="s">
        <v>1337</v>
      </c>
      <c r="L1552">
        <v>47</v>
      </c>
      <c r="M1552" t="str">
        <v>Female</v>
      </c>
      <c r="N1552" t="str">
        <f>VLOOKUP(C:C,Customer_Dim!B:I,5,1)</f>
        <v>South Michellebury</v>
      </c>
      <c r="O1552" t="str">
        <f>VLOOKUP(C:C,Customer_Dim!B:I,6,1)</f>
        <v>South Dakota</v>
      </c>
      <c r="P1552" t="str">
        <f>VLOOKUP(C:C,Customer_Dim!B:I,7,1)</f>
        <v>USA</v>
      </c>
      <c r="Q1552" t="str">
        <f>VLOOKUP(C:C,Customer_Dim!B:I,8,1)</f>
        <v>Gold</v>
      </c>
      <c r="S1552">
        <v>4</v>
      </c>
      <c r="T1552">
        <v>54.4</v>
      </c>
      <c r="U1552">
        <v>0.22</v>
      </c>
      <c r="V1552">
        <v>169.72800000000001</v>
      </c>
      <c r="X1552" s="4">
        <v>4</v>
      </c>
      <c r="Y1552">
        <v>54.4</v>
      </c>
      <c r="Z1552">
        <v>0.22</v>
      </c>
      <c r="AA1552">
        <v>169.72800000000001</v>
      </c>
    </row>
    <row r="1553" spans="1:27" x14ac:dyDescent="0.3">
      <c r="A1553" t="s">
        <v>3360</v>
      </c>
      <c r="B1553" s="2">
        <v>45435</v>
      </c>
      <c r="C1553" t="s">
        <v>1490</v>
      </c>
      <c r="D1553" t="s">
        <v>1699</v>
      </c>
      <c r="E1553" t="s">
        <v>1782</v>
      </c>
      <c r="F1553" s="4">
        <v>1</v>
      </c>
      <c r="G1553">
        <v>46.66</v>
      </c>
      <c r="H1553">
        <v>0.2</v>
      </c>
      <c r="I1553" t="s">
        <v>1807</v>
      </c>
      <c r="J1553">
        <v>37.328000000000003</v>
      </c>
      <c r="K1553" t="s">
        <v>1491</v>
      </c>
      <c r="L1553">
        <v>52</v>
      </c>
      <c r="M1553" t="str">
        <v>Female</v>
      </c>
      <c r="N1553" t="str">
        <f>VLOOKUP(C:C,Customer_Dim!B:I,5,1)</f>
        <v>North Nataliemouth</v>
      </c>
      <c r="O1553" t="str">
        <f>VLOOKUP(C:C,Customer_Dim!B:I,6,1)</f>
        <v>Maryland</v>
      </c>
      <c r="P1553" t="str">
        <f>VLOOKUP(C:C,Customer_Dim!B:I,7,1)</f>
        <v>USA</v>
      </c>
      <c r="Q1553" t="str">
        <f>VLOOKUP(C:C,Customer_Dim!B:I,8,1)</f>
        <v>Platinum</v>
      </c>
      <c r="S1553">
        <v>1</v>
      </c>
      <c r="T1553">
        <v>46.66</v>
      </c>
      <c r="U1553">
        <v>0.2</v>
      </c>
      <c r="V1553">
        <v>37.328000000000003</v>
      </c>
      <c r="X1553" s="4">
        <v>1</v>
      </c>
      <c r="Y1553">
        <v>46.66</v>
      </c>
      <c r="Z1553">
        <v>0.2</v>
      </c>
      <c r="AA1553">
        <v>37.328000000000003</v>
      </c>
    </row>
    <row r="1554" spans="1:27" x14ac:dyDescent="0.3">
      <c r="A1554" t="s">
        <v>3361</v>
      </c>
      <c r="B1554" s="2">
        <v>45447</v>
      </c>
      <c r="C1554" t="s">
        <v>40</v>
      </c>
      <c r="D1554" t="s">
        <v>1677</v>
      </c>
      <c r="E1554" t="s">
        <v>1775</v>
      </c>
      <c r="F1554" s="4">
        <v>4</v>
      </c>
      <c r="G1554">
        <v>871.2</v>
      </c>
      <c r="H1554">
        <v>0.28999999999999998</v>
      </c>
      <c r="I1554" t="s">
        <v>1807</v>
      </c>
      <c r="J1554">
        <v>2474.2080000000001</v>
      </c>
      <c r="K1554" t="s">
        <v>41</v>
      </c>
      <c r="L1554">
        <v>53</v>
      </c>
      <c r="M1554" t="str">
        <v>Female</v>
      </c>
      <c r="N1554" t="str">
        <f>VLOOKUP(C:C,Customer_Dim!B:I,5,1)</f>
        <v>West Pamelafurt</v>
      </c>
      <c r="O1554" t="str">
        <f>VLOOKUP(C:C,Customer_Dim!B:I,6,1)</f>
        <v>West Virginia</v>
      </c>
      <c r="P1554" t="str">
        <f>VLOOKUP(C:C,Customer_Dim!B:I,7,1)</f>
        <v>USA</v>
      </c>
      <c r="Q1554" t="str">
        <f>VLOOKUP(C:C,Customer_Dim!B:I,8,1)</f>
        <v>Bronze</v>
      </c>
      <c r="S1554">
        <v>4</v>
      </c>
      <c r="T1554">
        <v>871.2</v>
      </c>
      <c r="U1554">
        <v>0.28999999999999998</v>
      </c>
      <c r="V1554">
        <v>2474.2080000000001</v>
      </c>
      <c r="X1554" s="4">
        <v>4</v>
      </c>
      <c r="Y1554">
        <v>871.2</v>
      </c>
      <c r="Z1554">
        <v>0.28999999999999998</v>
      </c>
      <c r="AA1554">
        <v>2474.2080000000001</v>
      </c>
    </row>
    <row r="1555" spans="1:27" x14ac:dyDescent="0.3">
      <c r="A1555" t="s">
        <v>3362</v>
      </c>
      <c r="B1555" s="2">
        <v>45724</v>
      </c>
      <c r="C1555" t="s">
        <v>1171</v>
      </c>
      <c r="D1555" t="s">
        <v>1567</v>
      </c>
      <c r="E1555" t="s">
        <v>1782</v>
      </c>
      <c r="F1555" s="4">
        <v>4</v>
      </c>
      <c r="G1555">
        <v>317.11</v>
      </c>
      <c r="H1555">
        <v>0.16</v>
      </c>
      <c r="I1555" t="s">
        <v>1809</v>
      </c>
      <c r="J1555">
        <v>1065.4896000000001</v>
      </c>
      <c r="K1555" t="s">
        <v>1172</v>
      </c>
      <c r="L1555">
        <v>23</v>
      </c>
      <c r="M1555" t="str">
        <v>Male</v>
      </c>
      <c r="N1555" t="str">
        <f>VLOOKUP(C:C,Customer_Dim!B:I,5,1)</f>
        <v>West Jeffreyburgh</v>
      </c>
      <c r="O1555" t="str">
        <f>VLOOKUP(C:C,Customer_Dim!B:I,6,1)</f>
        <v>Iowa</v>
      </c>
      <c r="P1555" t="str">
        <f>VLOOKUP(C:C,Customer_Dim!B:I,7,1)</f>
        <v>USA</v>
      </c>
      <c r="Q1555" t="str">
        <f>VLOOKUP(C:C,Customer_Dim!B:I,8,1)</f>
        <v>Gold</v>
      </c>
      <c r="S1555">
        <v>4</v>
      </c>
      <c r="T1555">
        <v>317.11</v>
      </c>
      <c r="U1555">
        <v>0.16</v>
      </c>
      <c r="V1555">
        <v>1065.4896000000001</v>
      </c>
      <c r="X1555" s="4">
        <v>4</v>
      </c>
      <c r="Y1555">
        <v>317.11</v>
      </c>
      <c r="Z1555">
        <v>0.16</v>
      </c>
      <c r="AA1555">
        <v>1065.4896000000001</v>
      </c>
    </row>
    <row r="1556" spans="1:27" x14ac:dyDescent="0.3">
      <c r="A1556" t="s">
        <v>3363</v>
      </c>
      <c r="B1556" s="2">
        <v>45338</v>
      </c>
      <c r="C1556" t="s">
        <v>817</v>
      </c>
      <c r="D1556" t="s">
        <v>1581</v>
      </c>
      <c r="E1556" t="s">
        <v>1780</v>
      </c>
      <c r="F1556" s="4">
        <v>2</v>
      </c>
      <c r="G1556">
        <v>388.34</v>
      </c>
      <c r="H1556">
        <v>0.09</v>
      </c>
      <c r="I1556" t="s">
        <v>1809</v>
      </c>
      <c r="J1556">
        <v>706.77879999999993</v>
      </c>
      <c r="K1556" t="s">
        <v>818</v>
      </c>
      <c r="L1556">
        <v>32</v>
      </c>
      <c r="M1556" t="str">
        <v>Female</v>
      </c>
      <c r="N1556" t="str">
        <f>VLOOKUP(C:C,Customer_Dim!B:I,5,1)</f>
        <v>East Richard</v>
      </c>
      <c r="O1556" t="str">
        <f>VLOOKUP(C:C,Customer_Dim!B:I,6,1)</f>
        <v>Texas</v>
      </c>
      <c r="P1556" t="str">
        <f>VLOOKUP(C:C,Customer_Dim!B:I,7,1)</f>
        <v>USA</v>
      </c>
      <c r="Q1556" t="str">
        <f>VLOOKUP(C:C,Customer_Dim!B:I,8,1)</f>
        <v>Platinum</v>
      </c>
      <c r="S1556">
        <v>2</v>
      </c>
      <c r="T1556">
        <v>388.34</v>
      </c>
      <c r="U1556">
        <v>0.09</v>
      </c>
      <c r="V1556">
        <v>706.77879999999993</v>
      </c>
      <c r="X1556" s="4">
        <v>2</v>
      </c>
      <c r="Y1556">
        <v>388.34</v>
      </c>
      <c r="Z1556">
        <v>0.09</v>
      </c>
      <c r="AA1556">
        <v>706.77879999999993</v>
      </c>
    </row>
    <row r="1557" spans="1:27" x14ac:dyDescent="0.3">
      <c r="A1557" t="s">
        <v>3364</v>
      </c>
      <c r="B1557" s="2">
        <v>45252</v>
      </c>
      <c r="C1557" t="s">
        <v>995</v>
      </c>
      <c r="D1557" t="s">
        <v>1591</v>
      </c>
      <c r="E1557" t="s">
        <v>1759</v>
      </c>
      <c r="F1557" s="4">
        <v>4</v>
      </c>
      <c r="G1557">
        <v>998.2</v>
      </c>
      <c r="H1557">
        <v>0.15</v>
      </c>
      <c r="I1557" t="s">
        <v>1807</v>
      </c>
      <c r="J1557">
        <v>3393.88</v>
      </c>
      <c r="K1557" t="s">
        <v>996</v>
      </c>
      <c r="L1557">
        <v>34</v>
      </c>
      <c r="M1557" t="str">
        <v>Female</v>
      </c>
      <c r="N1557" t="str">
        <f>VLOOKUP(C:C,Customer_Dim!B:I,5,1)</f>
        <v>West Mathewside</v>
      </c>
      <c r="O1557" t="str">
        <f>VLOOKUP(C:C,Customer_Dim!B:I,6,1)</f>
        <v>Mississippi</v>
      </c>
      <c r="P1557" t="str">
        <f>VLOOKUP(C:C,Customer_Dim!B:I,7,1)</f>
        <v>USA</v>
      </c>
      <c r="Q1557" t="str">
        <f>VLOOKUP(C:C,Customer_Dim!B:I,8,1)</f>
        <v>Platinum</v>
      </c>
      <c r="S1557">
        <v>4</v>
      </c>
      <c r="T1557">
        <v>998.2</v>
      </c>
      <c r="U1557">
        <v>0.15</v>
      </c>
      <c r="V1557">
        <v>3393.88</v>
      </c>
      <c r="X1557" s="4">
        <v>4</v>
      </c>
      <c r="Y1557">
        <v>998.2</v>
      </c>
      <c r="Z1557">
        <v>0.15</v>
      </c>
      <c r="AA1557">
        <v>3393.88</v>
      </c>
    </row>
    <row r="1558" spans="1:27" x14ac:dyDescent="0.3">
      <c r="A1558" t="s">
        <v>3365</v>
      </c>
      <c r="B1558" s="2">
        <v>45606</v>
      </c>
      <c r="C1558" t="s">
        <v>1499</v>
      </c>
      <c r="D1558" t="s">
        <v>1603</v>
      </c>
      <c r="E1558" t="s">
        <v>1735</v>
      </c>
      <c r="F1558" s="4">
        <v>1</v>
      </c>
      <c r="G1558">
        <v>887.38</v>
      </c>
      <c r="H1558">
        <v>0.01</v>
      </c>
      <c r="I1558" t="s">
        <v>1812</v>
      </c>
      <c r="J1558">
        <v>878.50620000000004</v>
      </c>
      <c r="K1558" t="s">
        <v>1500</v>
      </c>
      <c r="L1558">
        <v>21</v>
      </c>
      <c r="M1558" t="str">
        <v>Male</v>
      </c>
      <c r="N1558" t="str">
        <f>VLOOKUP(C:C,Customer_Dim!B:I,5,1)</f>
        <v>South William</v>
      </c>
      <c r="O1558" t="str">
        <f>VLOOKUP(C:C,Customer_Dim!B:I,6,1)</f>
        <v>Alabama</v>
      </c>
      <c r="P1558" t="str">
        <f>VLOOKUP(C:C,Customer_Dim!B:I,7,1)</f>
        <v>USA</v>
      </c>
      <c r="Q1558" t="str">
        <f>VLOOKUP(C:C,Customer_Dim!B:I,8,1)</f>
        <v>Silver</v>
      </c>
      <c r="S1558">
        <v>1</v>
      </c>
      <c r="T1558">
        <v>887.38</v>
      </c>
      <c r="U1558">
        <v>0.01</v>
      </c>
      <c r="V1558">
        <v>878.50620000000004</v>
      </c>
      <c r="X1558" s="4">
        <v>1</v>
      </c>
      <c r="Y1558">
        <v>887.38</v>
      </c>
      <c r="Z1558">
        <v>0.01</v>
      </c>
      <c r="AA1558">
        <v>878.50620000000004</v>
      </c>
    </row>
    <row r="1559" spans="1:27" x14ac:dyDescent="0.3">
      <c r="A1559" t="s">
        <v>3366</v>
      </c>
      <c r="B1559" s="2">
        <v>45524</v>
      </c>
      <c r="C1559" t="s">
        <v>974</v>
      </c>
      <c r="D1559" t="s">
        <v>1605</v>
      </c>
      <c r="E1559" t="s">
        <v>1777</v>
      </c>
      <c r="F1559" s="4">
        <v>4</v>
      </c>
      <c r="G1559">
        <v>332.97</v>
      </c>
      <c r="H1559">
        <v>0.28000000000000003</v>
      </c>
      <c r="I1559" t="s">
        <v>1807</v>
      </c>
      <c r="J1559">
        <v>958.95360000000005</v>
      </c>
      <c r="K1559" t="s">
        <v>975</v>
      </c>
      <c r="L1559">
        <v>62</v>
      </c>
      <c r="M1559" t="str">
        <v>Male</v>
      </c>
      <c r="N1559" t="str">
        <f>VLOOKUP(C:C,Customer_Dim!B:I,5,1)</f>
        <v>Brianchester</v>
      </c>
      <c r="O1559" t="str">
        <f>VLOOKUP(C:C,Customer_Dim!B:I,6,1)</f>
        <v>Delaware</v>
      </c>
      <c r="P1559" t="str">
        <f>VLOOKUP(C:C,Customer_Dim!B:I,7,1)</f>
        <v>USA</v>
      </c>
      <c r="Q1559" t="str">
        <f>VLOOKUP(C:C,Customer_Dim!B:I,8,1)</f>
        <v>Silver</v>
      </c>
      <c r="S1559">
        <v>4</v>
      </c>
      <c r="T1559">
        <v>332.97</v>
      </c>
      <c r="U1559">
        <v>0.28000000000000003</v>
      </c>
      <c r="V1559">
        <v>958.95360000000005</v>
      </c>
      <c r="X1559" s="4">
        <v>4</v>
      </c>
      <c r="Y1559">
        <v>332.97</v>
      </c>
      <c r="Z1559">
        <v>0.28000000000000003</v>
      </c>
      <c r="AA1559">
        <v>958.95360000000005</v>
      </c>
    </row>
    <row r="1560" spans="1:27" x14ac:dyDescent="0.3">
      <c r="A1560" t="s">
        <v>3367</v>
      </c>
      <c r="B1560" s="2">
        <v>45934</v>
      </c>
      <c r="C1560" t="s">
        <v>93</v>
      </c>
      <c r="D1560" t="s">
        <v>1623</v>
      </c>
      <c r="E1560" t="s">
        <v>1735</v>
      </c>
      <c r="F1560" s="4">
        <v>2</v>
      </c>
      <c r="G1560">
        <v>157.91</v>
      </c>
      <c r="H1560">
        <v>0.09</v>
      </c>
      <c r="I1560" t="s">
        <v>1812</v>
      </c>
      <c r="J1560">
        <v>287.39620000000002</v>
      </c>
      <c r="K1560" t="s">
        <v>94</v>
      </c>
      <c r="L1560">
        <v>33</v>
      </c>
      <c r="M1560" t="str">
        <v>Female</v>
      </c>
      <c r="N1560" t="str">
        <f>VLOOKUP(C:C,Customer_Dim!B:I,5,1)</f>
        <v>Smithburgh</v>
      </c>
      <c r="O1560" t="str">
        <f>VLOOKUP(C:C,Customer_Dim!B:I,6,1)</f>
        <v>Oklahoma</v>
      </c>
      <c r="P1560" t="str">
        <f>VLOOKUP(C:C,Customer_Dim!B:I,7,1)</f>
        <v>USA</v>
      </c>
      <c r="Q1560" t="str">
        <f>VLOOKUP(C:C,Customer_Dim!B:I,8,1)</f>
        <v>Gold</v>
      </c>
      <c r="S1560">
        <v>2</v>
      </c>
      <c r="T1560">
        <v>157.91</v>
      </c>
      <c r="U1560">
        <v>0.09</v>
      </c>
      <c r="V1560">
        <v>287.39620000000002</v>
      </c>
      <c r="X1560" s="4">
        <v>2</v>
      </c>
      <c r="Y1560">
        <v>157.91</v>
      </c>
      <c r="Z1560">
        <v>0.09</v>
      </c>
      <c r="AA1560">
        <v>287.39620000000002</v>
      </c>
    </row>
    <row r="1561" spans="1:27" x14ac:dyDescent="0.3">
      <c r="A1561" t="s">
        <v>3368</v>
      </c>
      <c r="B1561" s="2">
        <v>45539</v>
      </c>
      <c r="C1561" t="s">
        <v>1103</v>
      </c>
      <c r="D1561" t="s">
        <v>1555</v>
      </c>
      <c r="E1561" t="s">
        <v>1793</v>
      </c>
      <c r="F1561" s="4">
        <v>1</v>
      </c>
      <c r="G1561">
        <v>548.15</v>
      </c>
      <c r="H1561">
        <v>0.11</v>
      </c>
      <c r="I1561" t="s">
        <v>1807</v>
      </c>
      <c r="J1561">
        <v>487.8535</v>
      </c>
      <c r="K1561" t="s">
        <v>1104</v>
      </c>
      <c r="L1561">
        <v>41</v>
      </c>
      <c r="M1561" t="str">
        <v>Male</v>
      </c>
      <c r="N1561" t="str">
        <f>VLOOKUP(C:C,Customer_Dim!B:I,5,1)</f>
        <v>North Richard</v>
      </c>
      <c r="O1561" t="str">
        <f>VLOOKUP(C:C,Customer_Dim!B:I,6,1)</f>
        <v>Virginia</v>
      </c>
      <c r="P1561" t="str">
        <f>VLOOKUP(C:C,Customer_Dim!B:I,7,1)</f>
        <v>USA</v>
      </c>
      <c r="Q1561" t="str">
        <f>VLOOKUP(C:C,Customer_Dim!B:I,8,1)</f>
        <v>Bronze</v>
      </c>
      <c r="S1561">
        <v>1</v>
      </c>
      <c r="T1561">
        <v>548.15</v>
      </c>
      <c r="U1561">
        <v>0.11</v>
      </c>
      <c r="V1561">
        <v>487.8535</v>
      </c>
      <c r="X1561" s="4">
        <v>1</v>
      </c>
      <c r="Y1561">
        <v>548.15</v>
      </c>
      <c r="Z1561">
        <v>0.11</v>
      </c>
      <c r="AA1561">
        <v>487.8535</v>
      </c>
    </row>
    <row r="1562" spans="1:27" x14ac:dyDescent="0.3">
      <c r="A1562" t="s">
        <v>3369</v>
      </c>
      <c r="B1562" s="2">
        <v>45555</v>
      </c>
      <c r="C1562" t="s">
        <v>675</v>
      </c>
      <c r="D1562" t="s">
        <v>1627</v>
      </c>
      <c r="E1562" t="s">
        <v>1784</v>
      </c>
      <c r="F1562" s="4">
        <v>1</v>
      </c>
      <c r="G1562">
        <v>135.13</v>
      </c>
      <c r="H1562">
        <v>0.04</v>
      </c>
      <c r="I1562" t="s">
        <v>1807</v>
      </c>
      <c r="J1562">
        <v>129.72479999999999</v>
      </c>
      <c r="K1562" t="s">
        <v>676</v>
      </c>
      <c r="L1562">
        <v>48</v>
      </c>
      <c r="M1562" t="str">
        <v>Male</v>
      </c>
      <c r="N1562" t="str">
        <f>VLOOKUP(C:C,Customer_Dim!B:I,5,1)</f>
        <v>Lake Josephport</v>
      </c>
      <c r="O1562" t="str">
        <f>VLOOKUP(C:C,Customer_Dim!B:I,6,1)</f>
        <v>Maine</v>
      </c>
      <c r="P1562" t="str">
        <f>VLOOKUP(C:C,Customer_Dim!B:I,7,1)</f>
        <v>USA</v>
      </c>
      <c r="Q1562" t="str">
        <f>VLOOKUP(C:C,Customer_Dim!B:I,8,1)</f>
        <v>Platinum</v>
      </c>
      <c r="S1562">
        <v>1</v>
      </c>
      <c r="T1562">
        <v>135.13</v>
      </c>
      <c r="U1562">
        <v>0.04</v>
      </c>
      <c r="V1562">
        <v>129.72479999999999</v>
      </c>
      <c r="X1562" s="4">
        <v>1</v>
      </c>
      <c r="Y1562">
        <v>135.13</v>
      </c>
      <c r="Z1562">
        <v>0.04</v>
      </c>
      <c r="AA1562">
        <v>129.72479999999999</v>
      </c>
    </row>
    <row r="1563" spans="1:27" x14ac:dyDescent="0.3">
      <c r="A1563" t="s">
        <v>3370</v>
      </c>
      <c r="B1563" s="2">
        <v>45281</v>
      </c>
      <c r="C1563" t="s">
        <v>705</v>
      </c>
      <c r="D1563" t="s">
        <v>1643</v>
      </c>
      <c r="E1563" t="s">
        <v>1749</v>
      </c>
      <c r="F1563" s="4">
        <v>3</v>
      </c>
      <c r="G1563">
        <v>579.26</v>
      </c>
      <c r="H1563">
        <v>0.19</v>
      </c>
      <c r="I1563" t="s">
        <v>1807</v>
      </c>
      <c r="J1563">
        <v>1407.6017999999999</v>
      </c>
      <c r="K1563" t="s">
        <v>706</v>
      </c>
      <c r="L1563">
        <v>50</v>
      </c>
      <c r="M1563" t="str">
        <v>Female</v>
      </c>
      <c r="N1563" t="str">
        <f>VLOOKUP(C:C,Customer_Dim!B:I,5,1)</f>
        <v xml:space="preserve">Phillipschester   </v>
      </c>
      <c r="O1563" t="str">
        <f>VLOOKUP(C:C,Customer_Dim!B:I,6,1)</f>
        <v>New Jersey</v>
      </c>
      <c r="P1563" t="str">
        <f>VLOOKUP(C:C,Customer_Dim!B:I,7,1)</f>
        <v>USA</v>
      </c>
      <c r="Q1563" t="str">
        <f>VLOOKUP(C:C,Customer_Dim!B:I,8,1)</f>
        <v>Gold</v>
      </c>
      <c r="S1563">
        <v>3</v>
      </c>
      <c r="T1563">
        <v>579.26</v>
      </c>
      <c r="U1563">
        <v>0.19</v>
      </c>
      <c r="V1563">
        <v>1407.6017999999999</v>
      </c>
      <c r="X1563" s="4">
        <v>3</v>
      </c>
      <c r="Y1563">
        <v>579.26</v>
      </c>
      <c r="Z1563">
        <v>0.19</v>
      </c>
      <c r="AA1563">
        <v>1407.6017999999999</v>
      </c>
    </row>
    <row r="1564" spans="1:27" x14ac:dyDescent="0.3">
      <c r="A1564" t="s">
        <v>3371</v>
      </c>
      <c r="B1564" s="2">
        <v>45582</v>
      </c>
      <c r="C1564" t="s">
        <v>1201</v>
      </c>
      <c r="D1564" t="s">
        <v>1565</v>
      </c>
      <c r="E1564" t="s">
        <v>1735</v>
      </c>
      <c r="F1564" s="4">
        <v>1</v>
      </c>
      <c r="G1564">
        <v>465.63</v>
      </c>
      <c r="H1564">
        <v>0.25</v>
      </c>
      <c r="I1564" t="s">
        <v>1807</v>
      </c>
      <c r="J1564">
        <v>349.22250000000003</v>
      </c>
      <c r="K1564" t="s">
        <v>1202</v>
      </c>
      <c r="L1564">
        <v>56</v>
      </c>
      <c r="M1564" t="str">
        <v>Male</v>
      </c>
      <c r="N1564" t="str">
        <f>VLOOKUP(C:C,Customer_Dim!B:I,5,1)</f>
        <v>Joseland</v>
      </c>
      <c r="O1564" t="str">
        <f>VLOOKUP(C:C,Customer_Dim!B:I,6,1)</f>
        <v>Nebraska</v>
      </c>
      <c r="P1564" t="str">
        <f>VLOOKUP(C:C,Customer_Dim!B:I,7,1)</f>
        <v>USA</v>
      </c>
      <c r="Q1564" t="str">
        <f>VLOOKUP(C:C,Customer_Dim!B:I,8,1)</f>
        <v>Platinum</v>
      </c>
      <c r="S1564">
        <v>1</v>
      </c>
      <c r="T1564">
        <v>465.63</v>
      </c>
      <c r="U1564">
        <v>0.25</v>
      </c>
      <c r="V1564">
        <v>349.22250000000003</v>
      </c>
      <c r="X1564" s="4">
        <v>1</v>
      </c>
      <c r="Y1564">
        <v>465.63</v>
      </c>
      <c r="Z1564">
        <v>0.25</v>
      </c>
      <c r="AA1564">
        <v>349.22250000000003</v>
      </c>
    </row>
    <row r="1565" spans="1:27" x14ac:dyDescent="0.3">
      <c r="A1565" t="s">
        <v>3372</v>
      </c>
      <c r="B1565" s="2">
        <v>45372</v>
      </c>
      <c r="C1565" t="s">
        <v>178</v>
      </c>
      <c r="D1565" t="s">
        <v>1683</v>
      </c>
      <c r="E1565" t="s">
        <v>1787</v>
      </c>
      <c r="F1565" s="4">
        <v>2</v>
      </c>
      <c r="G1565">
        <v>675.61</v>
      </c>
      <c r="H1565">
        <v>0.08</v>
      </c>
      <c r="I1565" t="s">
        <v>1812</v>
      </c>
      <c r="J1565">
        <v>1243.1224</v>
      </c>
      <c r="K1565" t="s">
        <v>179</v>
      </c>
      <c r="L1565">
        <v>54</v>
      </c>
      <c r="M1565" t="str">
        <v>Male</v>
      </c>
      <c r="N1565" t="str">
        <f>VLOOKUP(C:C,Customer_Dim!B:I,5,1)</f>
        <v>Lake Roberthaven</v>
      </c>
      <c r="O1565" t="str">
        <f>VLOOKUP(C:C,Customer_Dim!B:I,6,1)</f>
        <v>Nevada</v>
      </c>
      <c r="P1565" t="str">
        <f>VLOOKUP(C:C,Customer_Dim!B:I,7,1)</f>
        <v>USA</v>
      </c>
      <c r="Q1565" t="str">
        <f>VLOOKUP(C:C,Customer_Dim!B:I,8,1)</f>
        <v>Silver</v>
      </c>
      <c r="S1565">
        <v>2</v>
      </c>
      <c r="T1565">
        <v>675.61</v>
      </c>
      <c r="U1565">
        <v>0.08</v>
      </c>
      <c r="V1565">
        <v>1243.1224</v>
      </c>
      <c r="X1565" s="4">
        <v>2</v>
      </c>
      <c r="Y1565">
        <v>675.61</v>
      </c>
      <c r="Z1565">
        <v>0.08</v>
      </c>
      <c r="AA1565">
        <v>1243.1224</v>
      </c>
    </row>
    <row r="1566" spans="1:27" x14ac:dyDescent="0.3">
      <c r="A1566" t="s">
        <v>3373</v>
      </c>
      <c r="B1566" s="2">
        <v>45458</v>
      </c>
      <c r="C1566" t="s">
        <v>1278</v>
      </c>
      <c r="D1566" t="s">
        <v>1597</v>
      </c>
      <c r="E1566" t="s">
        <v>1759</v>
      </c>
      <c r="F1566" s="4">
        <v>1</v>
      </c>
      <c r="G1566">
        <v>718.99</v>
      </c>
      <c r="H1566">
        <v>0.08</v>
      </c>
      <c r="I1566" t="s">
        <v>1809</v>
      </c>
      <c r="J1566">
        <v>661.47080000000005</v>
      </c>
      <c r="K1566" t="s">
        <v>1279</v>
      </c>
      <c r="L1566">
        <v>64</v>
      </c>
      <c r="M1566" t="str">
        <v>Female</v>
      </c>
      <c r="N1566" t="str">
        <f>VLOOKUP(C:C,Customer_Dim!B:I,5,1)</f>
        <v>Marthaborough</v>
      </c>
      <c r="O1566" t="str">
        <f>VLOOKUP(C:C,Customer_Dim!B:I,6,1)</f>
        <v>Wisconsin</v>
      </c>
      <c r="P1566" t="str">
        <f>VLOOKUP(C:C,Customer_Dim!B:I,7,1)</f>
        <v>USA</v>
      </c>
      <c r="Q1566" t="str">
        <f>VLOOKUP(C:C,Customer_Dim!B:I,8,1)</f>
        <v>Platinum</v>
      </c>
      <c r="S1566">
        <v>1</v>
      </c>
      <c r="T1566">
        <v>718.99</v>
      </c>
      <c r="U1566">
        <v>0.08</v>
      </c>
      <c r="V1566">
        <v>661.47080000000005</v>
      </c>
      <c r="X1566" s="4">
        <v>1</v>
      </c>
      <c r="Y1566">
        <v>718.99</v>
      </c>
      <c r="Z1566">
        <v>0.08</v>
      </c>
      <c r="AA1566">
        <v>661.47080000000005</v>
      </c>
    </row>
    <row r="1567" spans="1:27" x14ac:dyDescent="0.3">
      <c r="A1567" t="s">
        <v>3374</v>
      </c>
      <c r="B1567" s="2">
        <v>45943</v>
      </c>
      <c r="C1567" t="s">
        <v>1162</v>
      </c>
      <c r="D1567" t="s">
        <v>1559</v>
      </c>
      <c r="E1567" t="s">
        <v>1772</v>
      </c>
      <c r="F1567" s="4">
        <v>2</v>
      </c>
      <c r="G1567">
        <v>675.65</v>
      </c>
      <c r="H1567">
        <v>0.2</v>
      </c>
      <c r="I1567" t="s">
        <v>1812</v>
      </c>
      <c r="J1567">
        <v>1081.04</v>
      </c>
      <c r="K1567" t="s">
        <v>1163</v>
      </c>
      <c r="L1567">
        <v>39</v>
      </c>
      <c r="M1567" t="str">
        <v>Female</v>
      </c>
      <c r="N1567" t="str">
        <f>VLOOKUP(C:C,Customer_Dim!B:I,5,1)</f>
        <v>Chambersberg</v>
      </c>
      <c r="O1567" t="str">
        <f>VLOOKUP(C:C,Customer_Dim!B:I,6,1)</f>
        <v>Connecticut</v>
      </c>
      <c r="P1567" t="str">
        <f>VLOOKUP(C:C,Customer_Dim!B:I,7,1)</f>
        <v>USA</v>
      </c>
      <c r="Q1567" t="str">
        <f>VLOOKUP(C:C,Customer_Dim!B:I,8,1)</f>
        <v>Bronze</v>
      </c>
      <c r="S1567">
        <v>2</v>
      </c>
      <c r="T1567">
        <v>675.65</v>
      </c>
      <c r="U1567">
        <v>0.2</v>
      </c>
      <c r="V1567">
        <v>1081.04</v>
      </c>
      <c r="X1567" s="4">
        <v>2</v>
      </c>
      <c r="Y1567">
        <v>675.65</v>
      </c>
      <c r="Z1567">
        <v>0.2</v>
      </c>
      <c r="AA1567">
        <v>1081.04</v>
      </c>
    </row>
    <row r="1568" spans="1:27" x14ac:dyDescent="0.3">
      <c r="A1568" t="s">
        <v>3375</v>
      </c>
      <c r="B1568" s="2">
        <v>45374</v>
      </c>
      <c r="C1568" t="s">
        <v>1045</v>
      </c>
      <c r="D1568" t="s">
        <v>1721</v>
      </c>
      <c r="E1568" t="s">
        <v>1784</v>
      </c>
      <c r="F1568" s="4">
        <v>4</v>
      </c>
      <c r="G1568">
        <v>284.24</v>
      </c>
      <c r="H1568">
        <v>0.1</v>
      </c>
      <c r="I1568" t="s">
        <v>1807</v>
      </c>
      <c r="J1568">
        <v>1023.264</v>
      </c>
      <c r="K1568" t="s">
        <v>1046</v>
      </c>
      <c r="L1568">
        <v>40</v>
      </c>
      <c r="M1568" t="str">
        <v>Female</v>
      </c>
      <c r="N1568" t="str">
        <f>VLOOKUP(C:C,Customer_Dim!B:I,5,1)</f>
        <v>North Michaelborough</v>
      </c>
      <c r="O1568" t="str">
        <f>VLOOKUP(C:C,Customer_Dim!B:I,6,1)</f>
        <v>Oregon</v>
      </c>
      <c r="P1568" t="str">
        <f>VLOOKUP(C:C,Customer_Dim!B:I,7,1)</f>
        <v>USA</v>
      </c>
      <c r="Q1568" t="str">
        <f>VLOOKUP(C:C,Customer_Dim!B:I,8,1)</f>
        <v>Silver</v>
      </c>
      <c r="S1568">
        <v>4</v>
      </c>
      <c r="T1568">
        <v>284.24</v>
      </c>
      <c r="U1568">
        <v>0.1</v>
      </c>
      <c r="V1568">
        <v>1023.264</v>
      </c>
      <c r="X1568" s="4">
        <v>4</v>
      </c>
      <c r="Y1568">
        <v>284.24</v>
      </c>
      <c r="Z1568">
        <v>0.1</v>
      </c>
      <c r="AA1568">
        <v>1023.264</v>
      </c>
    </row>
    <row r="1569" spans="1:27" x14ac:dyDescent="0.3">
      <c r="A1569" t="s">
        <v>3376</v>
      </c>
      <c r="B1569" s="2">
        <v>45374</v>
      </c>
      <c r="C1569" t="s">
        <v>687</v>
      </c>
      <c r="D1569" t="s">
        <v>1529</v>
      </c>
      <c r="E1569" t="s">
        <v>1749</v>
      </c>
      <c r="F1569" s="4">
        <v>1</v>
      </c>
      <c r="G1569">
        <v>94.26</v>
      </c>
      <c r="H1569">
        <v>0.18</v>
      </c>
      <c r="I1569" t="s">
        <v>1809</v>
      </c>
      <c r="J1569">
        <v>77.293200000000013</v>
      </c>
      <c r="K1569" t="s">
        <v>688</v>
      </c>
      <c r="L1569">
        <v>61</v>
      </c>
      <c r="M1569" t="str">
        <v>Male</v>
      </c>
      <c r="N1569" t="str">
        <f>VLOOKUP(C:C,Customer_Dim!B:I,5,1)</f>
        <v>West Markport</v>
      </c>
      <c r="O1569" t="str">
        <f>VLOOKUP(C:C,Customer_Dim!B:I,6,1)</f>
        <v>North Dakota</v>
      </c>
      <c r="P1569" t="str">
        <f>VLOOKUP(C:C,Customer_Dim!B:I,7,1)</f>
        <v>USA</v>
      </c>
      <c r="Q1569" t="str">
        <f>VLOOKUP(C:C,Customer_Dim!B:I,8,1)</f>
        <v>Platinum</v>
      </c>
      <c r="S1569">
        <v>1</v>
      </c>
      <c r="T1569">
        <v>94.26</v>
      </c>
      <c r="U1569">
        <v>0.18</v>
      </c>
      <c r="V1569">
        <v>77.293200000000013</v>
      </c>
      <c r="X1569" s="4">
        <v>1</v>
      </c>
      <c r="Y1569">
        <v>94.26</v>
      </c>
      <c r="Z1569">
        <v>0.18</v>
      </c>
      <c r="AA1569">
        <v>77.293200000000013</v>
      </c>
    </row>
    <row r="1570" spans="1:27" x14ac:dyDescent="0.3">
      <c r="A1570" t="s">
        <v>3377</v>
      </c>
      <c r="B1570" s="2">
        <v>45789</v>
      </c>
      <c r="C1570" t="s">
        <v>1278</v>
      </c>
      <c r="D1570" t="s">
        <v>1540</v>
      </c>
      <c r="E1570" t="s">
        <v>1772</v>
      </c>
      <c r="F1570" s="4">
        <v>4</v>
      </c>
      <c r="G1570">
        <v>458.58</v>
      </c>
      <c r="H1570">
        <v>0.28999999999999998</v>
      </c>
      <c r="I1570" t="s">
        <v>1812</v>
      </c>
      <c r="J1570">
        <v>1302.3671999999999</v>
      </c>
      <c r="K1570" t="s">
        <v>1279</v>
      </c>
      <c r="L1570">
        <v>64</v>
      </c>
      <c r="M1570" t="str">
        <v>Female</v>
      </c>
      <c r="N1570" t="str">
        <f>VLOOKUP(C:C,Customer_Dim!B:I,5,1)</f>
        <v>Marthaborough</v>
      </c>
      <c r="O1570" t="str">
        <f>VLOOKUP(C:C,Customer_Dim!B:I,6,1)</f>
        <v>Wisconsin</v>
      </c>
      <c r="P1570" t="str">
        <f>VLOOKUP(C:C,Customer_Dim!B:I,7,1)</f>
        <v>USA</v>
      </c>
      <c r="Q1570" t="str">
        <f>VLOOKUP(C:C,Customer_Dim!B:I,8,1)</f>
        <v>Platinum</v>
      </c>
      <c r="S1570">
        <v>4</v>
      </c>
      <c r="T1570">
        <v>458.58</v>
      </c>
      <c r="U1570">
        <v>0.28999999999999998</v>
      </c>
      <c r="V1570">
        <v>1302.3671999999999</v>
      </c>
      <c r="X1570" s="4">
        <v>4</v>
      </c>
      <c r="Y1570">
        <v>458.58</v>
      </c>
      <c r="Z1570">
        <v>0.28999999999999998</v>
      </c>
      <c r="AA1570">
        <v>1302.3671999999999</v>
      </c>
    </row>
    <row r="1571" spans="1:27" x14ac:dyDescent="0.3">
      <c r="A1571" t="s">
        <v>3378</v>
      </c>
      <c r="B1571" s="2">
        <v>45452</v>
      </c>
      <c r="C1571" t="s">
        <v>391</v>
      </c>
      <c r="D1571" t="s">
        <v>1661</v>
      </c>
      <c r="E1571" t="s">
        <v>1772</v>
      </c>
      <c r="F1571" s="4">
        <v>4</v>
      </c>
      <c r="G1571">
        <v>704.49</v>
      </c>
      <c r="H1571">
        <v>0.05</v>
      </c>
      <c r="I1571" t="s">
        <v>1812</v>
      </c>
      <c r="J1571">
        <v>2677.0619999999999</v>
      </c>
      <c r="K1571" t="s">
        <v>392</v>
      </c>
      <c r="L1571">
        <v>30</v>
      </c>
      <c r="M1571" t="str">
        <v>Male</v>
      </c>
      <c r="N1571" t="str">
        <f>VLOOKUP(C:C,Customer_Dim!B:I,5,1)</f>
        <v>New William</v>
      </c>
      <c r="O1571" t="str">
        <f>VLOOKUP(C:C,Customer_Dim!B:I,6,1)</f>
        <v>New Mexico</v>
      </c>
      <c r="P1571" t="str">
        <f>VLOOKUP(C:C,Customer_Dim!B:I,7,1)</f>
        <v>USA</v>
      </c>
      <c r="Q1571" t="str">
        <f>VLOOKUP(C:C,Customer_Dim!B:I,8,1)</f>
        <v>Gold</v>
      </c>
      <c r="S1571">
        <v>4</v>
      </c>
      <c r="T1571">
        <v>704.49</v>
      </c>
      <c r="U1571">
        <v>0.05</v>
      </c>
      <c r="V1571">
        <v>2677.0619999999999</v>
      </c>
      <c r="X1571" s="4">
        <v>4</v>
      </c>
      <c r="Y1571">
        <v>704.49</v>
      </c>
      <c r="Z1571">
        <v>0.05</v>
      </c>
      <c r="AA1571">
        <v>2677.0619999999999</v>
      </c>
    </row>
    <row r="1572" spans="1:27" x14ac:dyDescent="0.3">
      <c r="A1572" t="s">
        <v>3379</v>
      </c>
      <c r="B1572" s="2">
        <v>45284</v>
      </c>
      <c r="C1572" t="s">
        <v>130</v>
      </c>
      <c r="D1572" t="s">
        <v>1585</v>
      </c>
      <c r="E1572" t="s">
        <v>1796</v>
      </c>
      <c r="F1572" s="4">
        <v>4</v>
      </c>
      <c r="G1572">
        <v>822.32</v>
      </c>
      <c r="H1572">
        <v>0.26</v>
      </c>
      <c r="I1572" t="s">
        <v>1809</v>
      </c>
      <c r="J1572">
        <v>2434.0672</v>
      </c>
      <c r="K1572" t="s">
        <v>131</v>
      </c>
      <c r="L1572">
        <v>25</v>
      </c>
      <c r="M1572" t="str">
        <v>Male</v>
      </c>
      <c r="N1572" t="str">
        <f>VLOOKUP(C:C,Customer_Dim!B:I,5,1)</f>
        <v>Fostermouth</v>
      </c>
      <c r="O1572" t="str">
        <f>VLOOKUP(C:C,Customer_Dim!B:I,6,1)</f>
        <v>Arizona</v>
      </c>
      <c r="P1572" t="str">
        <f>VLOOKUP(C:C,Customer_Dim!B:I,7,1)</f>
        <v>USA</v>
      </c>
      <c r="Q1572" t="str">
        <f>VLOOKUP(C:C,Customer_Dim!B:I,8,1)</f>
        <v>Gold</v>
      </c>
      <c r="S1572">
        <v>4</v>
      </c>
      <c r="T1572">
        <v>822.32</v>
      </c>
      <c r="U1572">
        <v>0.26</v>
      </c>
      <c r="V1572">
        <v>2434.0672</v>
      </c>
      <c r="X1572" s="4">
        <v>4</v>
      </c>
      <c r="Y1572">
        <v>822.32</v>
      </c>
      <c r="Z1572">
        <v>0.26</v>
      </c>
      <c r="AA1572">
        <v>2434.0672</v>
      </c>
    </row>
    <row r="1573" spans="1:27" x14ac:dyDescent="0.3">
      <c r="A1573" t="s">
        <v>3380</v>
      </c>
      <c r="B1573" s="2">
        <v>45325</v>
      </c>
      <c r="C1573" t="s">
        <v>779</v>
      </c>
      <c r="D1573" t="s">
        <v>1534</v>
      </c>
      <c r="E1573" t="s">
        <v>1780</v>
      </c>
      <c r="F1573" s="4">
        <v>4</v>
      </c>
      <c r="G1573">
        <v>785.41</v>
      </c>
      <c r="H1573">
        <v>0.13</v>
      </c>
      <c r="I1573" t="s">
        <v>1812</v>
      </c>
      <c r="J1573">
        <v>2733.2267999999999</v>
      </c>
      <c r="K1573" t="s">
        <v>780</v>
      </c>
      <c r="L1573">
        <v>58</v>
      </c>
      <c r="M1573" t="str">
        <v>Male</v>
      </c>
      <c r="N1573" t="str">
        <f>VLOOKUP(C:C,Customer_Dim!B:I,5,1)</f>
        <v>Rodriguezton</v>
      </c>
      <c r="O1573" t="str">
        <f>VLOOKUP(C:C,Customer_Dim!B:I,6,1)</f>
        <v>Michigan</v>
      </c>
      <c r="P1573" t="str">
        <f>VLOOKUP(C:C,Customer_Dim!B:I,7,1)</f>
        <v>USA</v>
      </c>
      <c r="Q1573" t="str">
        <f>VLOOKUP(C:C,Customer_Dim!B:I,8,1)</f>
        <v>Platinum</v>
      </c>
      <c r="S1573">
        <v>4</v>
      </c>
      <c r="T1573">
        <v>785.41</v>
      </c>
      <c r="U1573">
        <v>0.13</v>
      </c>
      <c r="V1573">
        <v>2733.2267999999999</v>
      </c>
      <c r="X1573" s="4">
        <v>4</v>
      </c>
      <c r="Y1573">
        <v>785.41</v>
      </c>
      <c r="Z1573">
        <v>0.13</v>
      </c>
      <c r="AA1573">
        <v>2733.2267999999999</v>
      </c>
    </row>
    <row r="1574" spans="1:27" x14ac:dyDescent="0.3">
      <c r="A1574" t="s">
        <v>3381</v>
      </c>
      <c r="B1574" s="2">
        <v>45465</v>
      </c>
      <c r="C1574" t="s">
        <v>127</v>
      </c>
      <c r="D1574" t="s">
        <v>1609</v>
      </c>
      <c r="E1574" t="s">
        <v>1782</v>
      </c>
      <c r="F1574" s="4">
        <v>1</v>
      </c>
      <c r="G1574">
        <v>405.8</v>
      </c>
      <c r="H1574">
        <v>0.11</v>
      </c>
      <c r="I1574" t="s">
        <v>1809</v>
      </c>
      <c r="J1574">
        <v>361.16199999999998</v>
      </c>
      <c r="K1574" t="s">
        <v>128</v>
      </c>
      <c r="L1574">
        <v>48</v>
      </c>
      <c r="M1574" t="str">
        <v>Female</v>
      </c>
      <c r="N1574" t="str">
        <f>VLOOKUP(C:C,Customer_Dim!B:I,5,1)</f>
        <v>Johnsonville</v>
      </c>
      <c r="O1574" t="str">
        <f>VLOOKUP(C:C,Customer_Dim!B:I,6,1)</f>
        <v>Oregon</v>
      </c>
      <c r="P1574" t="str">
        <f>VLOOKUP(C:C,Customer_Dim!B:I,7,1)</f>
        <v>USA</v>
      </c>
      <c r="Q1574" t="str">
        <f>VLOOKUP(C:C,Customer_Dim!B:I,8,1)</f>
        <v>Silver</v>
      </c>
      <c r="S1574">
        <v>1</v>
      </c>
      <c r="T1574">
        <v>405.8</v>
      </c>
      <c r="U1574">
        <v>0.11</v>
      </c>
      <c r="V1574">
        <v>361.16199999999998</v>
      </c>
      <c r="X1574" s="4">
        <v>1</v>
      </c>
      <c r="Y1574">
        <v>405.8</v>
      </c>
      <c r="Z1574">
        <v>0.11</v>
      </c>
      <c r="AA1574">
        <v>361.16199999999998</v>
      </c>
    </row>
    <row r="1575" spans="1:27" x14ac:dyDescent="0.3">
      <c r="A1575" t="s">
        <v>3382</v>
      </c>
      <c r="B1575" s="2">
        <v>45612</v>
      </c>
      <c r="C1575" t="s">
        <v>1327</v>
      </c>
      <c r="D1575" t="s">
        <v>1713</v>
      </c>
      <c r="E1575" t="s">
        <v>1769</v>
      </c>
      <c r="F1575" s="4">
        <v>2</v>
      </c>
      <c r="G1575">
        <v>976.83</v>
      </c>
      <c r="H1575">
        <v>0.1</v>
      </c>
      <c r="I1575" t="s">
        <v>1809</v>
      </c>
      <c r="J1575">
        <v>1758.2940000000001</v>
      </c>
      <c r="K1575" t="s">
        <v>1328</v>
      </c>
      <c r="L1575">
        <v>48</v>
      </c>
      <c r="M1575" t="str">
        <v>Female</v>
      </c>
      <c r="N1575" t="str">
        <f>VLOOKUP(C:C,Customer_Dim!B:I,5,1)</f>
        <v>Williamsberg</v>
      </c>
      <c r="O1575" t="str">
        <f>VLOOKUP(C:C,Customer_Dim!B:I,6,1)</f>
        <v>New York</v>
      </c>
      <c r="P1575" t="str">
        <f>VLOOKUP(C:C,Customer_Dim!B:I,7,1)</f>
        <v>USA</v>
      </c>
      <c r="Q1575" t="str">
        <f>VLOOKUP(C:C,Customer_Dim!B:I,8,1)</f>
        <v>Silver</v>
      </c>
      <c r="S1575">
        <v>2</v>
      </c>
      <c r="T1575">
        <v>976.83</v>
      </c>
      <c r="U1575">
        <v>0.1</v>
      </c>
      <c r="V1575">
        <v>1758.2940000000001</v>
      </c>
      <c r="X1575" s="4">
        <v>2</v>
      </c>
      <c r="Y1575">
        <v>976.83</v>
      </c>
      <c r="Z1575">
        <v>0.1</v>
      </c>
      <c r="AA1575">
        <v>1758.2940000000001</v>
      </c>
    </row>
    <row r="1576" spans="1:27" x14ac:dyDescent="0.3">
      <c r="A1576" t="s">
        <v>3383</v>
      </c>
      <c r="B1576" s="2">
        <v>45472</v>
      </c>
      <c r="C1576" t="s">
        <v>861</v>
      </c>
      <c r="D1576" t="s">
        <v>1659</v>
      </c>
      <c r="E1576" t="s">
        <v>1744</v>
      </c>
      <c r="F1576" s="4">
        <v>1</v>
      </c>
      <c r="G1576">
        <v>644.15</v>
      </c>
      <c r="H1576">
        <v>0.06</v>
      </c>
      <c r="I1576" t="s">
        <v>1807</v>
      </c>
      <c r="J1576">
        <v>605.50099999999998</v>
      </c>
      <c r="K1576" t="s">
        <v>862</v>
      </c>
      <c r="L1576">
        <v>38</v>
      </c>
      <c r="M1576" t="str">
        <v>Male</v>
      </c>
      <c r="N1576" t="str">
        <f>VLOOKUP(C:C,Customer_Dim!B:I,5,1)</f>
        <v>North Roy</v>
      </c>
      <c r="O1576" t="str">
        <f>VLOOKUP(C:C,Customer_Dim!B:I,6,1)</f>
        <v>Mississippi</v>
      </c>
      <c r="P1576" t="str">
        <f>VLOOKUP(C:C,Customer_Dim!B:I,7,1)</f>
        <v>USA</v>
      </c>
      <c r="Q1576" t="str">
        <f>VLOOKUP(C:C,Customer_Dim!B:I,8,1)</f>
        <v>Bronze</v>
      </c>
      <c r="S1576">
        <v>1</v>
      </c>
      <c r="T1576">
        <v>644.15</v>
      </c>
      <c r="U1576">
        <v>0.06</v>
      </c>
      <c r="V1576">
        <v>605.50099999999998</v>
      </c>
      <c r="X1576" s="4">
        <v>1</v>
      </c>
      <c r="Y1576">
        <v>644.15</v>
      </c>
      <c r="Z1576">
        <v>0.06</v>
      </c>
      <c r="AA1576">
        <v>605.50099999999998</v>
      </c>
    </row>
    <row r="1577" spans="1:27" x14ac:dyDescent="0.3">
      <c r="A1577" t="s">
        <v>3384</v>
      </c>
      <c r="B1577" s="2">
        <v>45897</v>
      </c>
      <c r="C1577" t="s">
        <v>1048</v>
      </c>
      <c r="D1577" t="s">
        <v>1665</v>
      </c>
      <c r="E1577" t="s">
        <v>1780</v>
      </c>
      <c r="F1577" s="4">
        <v>1</v>
      </c>
      <c r="G1577">
        <v>470.55</v>
      </c>
      <c r="H1577">
        <v>0.23</v>
      </c>
      <c r="I1577" t="s">
        <v>1809</v>
      </c>
      <c r="J1577">
        <v>362.32350000000002</v>
      </c>
      <c r="K1577" t="s">
        <v>1049</v>
      </c>
      <c r="L1577">
        <v>46</v>
      </c>
      <c r="M1577" t="str">
        <v>Female</v>
      </c>
      <c r="N1577" t="str">
        <f>VLOOKUP(C:C,Customer_Dim!B:I,5,1)</f>
        <v>Ryanport</v>
      </c>
      <c r="O1577" t="str">
        <f>VLOOKUP(C:C,Customer_Dim!B:I,6,1)</f>
        <v>North Carolina</v>
      </c>
      <c r="P1577" t="str">
        <f>VLOOKUP(C:C,Customer_Dim!B:I,7,1)</f>
        <v>USA</v>
      </c>
      <c r="Q1577" t="str">
        <f>VLOOKUP(C:C,Customer_Dim!B:I,8,1)</f>
        <v>Bronze</v>
      </c>
      <c r="S1577">
        <v>1</v>
      </c>
      <c r="T1577">
        <v>470.55</v>
      </c>
      <c r="U1577">
        <v>0.23</v>
      </c>
      <c r="V1577">
        <v>362.32350000000002</v>
      </c>
      <c r="X1577" s="4">
        <v>1</v>
      </c>
      <c r="Y1577">
        <v>470.55</v>
      </c>
      <c r="Z1577">
        <v>0.23</v>
      </c>
      <c r="AA1577">
        <v>362.32350000000002</v>
      </c>
    </row>
    <row r="1578" spans="1:27" x14ac:dyDescent="0.3">
      <c r="A1578" t="s">
        <v>3385</v>
      </c>
      <c r="B1578" s="2">
        <v>45241</v>
      </c>
      <c r="C1578" t="s">
        <v>1456</v>
      </c>
      <c r="D1578" t="s">
        <v>1543</v>
      </c>
      <c r="E1578" t="s">
        <v>1759</v>
      </c>
      <c r="F1578" s="4">
        <v>3</v>
      </c>
      <c r="G1578">
        <v>598.82000000000005</v>
      </c>
      <c r="H1578">
        <v>0.19</v>
      </c>
      <c r="I1578" t="s">
        <v>1812</v>
      </c>
      <c r="J1578">
        <v>1455.1325999999999</v>
      </c>
      <c r="K1578" t="s">
        <v>3951</v>
      </c>
      <c r="L1578">
        <v>40</v>
      </c>
      <c r="M1578" t="str">
        <v>Male</v>
      </c>
      <c r="N1578" t="str">
        <f>VLOOKUP(C:C,Customer_Dim!B:I,5,1)</f>
        <v>West Sarah</v>
      </c>
      <c r="O1578" t="str">
        <f>VLOOKUP(C:C,Customer_Dim!B:I,6,1)</f>
        <v>South Dakota</v>
      </c>
      <c r="P1578" t="str">
        <f>VLOOKUP(C:C,Customer_Dim!B:I,7,1)</f>
        <v>USA</v>
      </c>
      <c r="Q1578" t="str">
        <f>VLOOKUP(C:C,Customer_Dim!B:I,8,1)</f>
        <v>Gold</v>
      </c>
      <c r="S1578">
        <v>3</v>
      </c>
      <c r="T1578">
        <v>598.82000000000005</v>
      </c>
      <c r="U1578">
        <v>0.19</v>
      </c>
      <c r="V1578">
        <v>1455.1325999999999</v>
      </c>
      <c r="X1578" s="4">
        <v>3</v>
      </c>
      <c r="Y1578">
        <v>598.82000000000005</v>
      </c>
      <c r="Z1578">
        <v>0.19</v>
      </c>
      <c r="AA1578">
        <v>1455.1325999999999</v>
      </c>
    </row>
    <row r="1579" spans="1:27" x14ac:dyDescent="0.3">
      <c r="A1579" t="s">
        <v>3386</v>
      </c>
      <c r="B1579" s="2">
        <v>45851</v>
      </c>
      <c r="C1579" t="s">
        <v>355</v>
      </c>
      <c r="D1579" t="s">
        <v>1571</v>
      </c>
      <c r="E1579" t="s">
        <v>1777</v>
      </c>
      <c r="F1579" s="4">
        <v>4</v>
      </c>
      <c r="G1579">
        <v>659.17</v>
      </c>
      <c r="H1579">
        <v>0.12</v>
      </c>
      <c r="I1579" t="s">
        <v>1807</v>
      </c>
      <c r="J1579">
        <v>2320.2784000000001</v>
      </c>
      <c r="K1579" t="s">
        <v>356</v>
      </c>
      <c r="L1579">
        <v>34</v>
      </c>
      <c r="M1579" t="str">
        <v>Female</v>
      </c>
      <c r="N1579" t="str">
        <f>VLOOKUP(C:C,Customer_Dim!B:I,5,1)</f>
        <v>Singletonmouth</v>
      </c>
      <c r="O1579" t="str">
        <f>VLOOKUP(C:C,Customer_Dim!B:I,6,1)</f>
        <v>Utah</v>
      </c>
      <c r="P1579" t="str">
        <f>VLOOKUP(C:C,Customer_Dim!B:I,7,1)</f>
        <v>USA</v>
      </c>
      <c r="Q1579" t="str">
        <f>VLOOKUP(C:C,Customer_Dim!B:I,8,1)</f>
        <v>Gold</v>
      </c>
      <c r="S1579">
        <v>4</v>
      </c>
      <c r="T1579">
        <v>659.17</v>
      </c>
      <c r="U1579">
        <v>0.12</v>
      </c>
      <c r="V1579">
        <v>2320.2784000000001</v>
      </c>
      <c r="X1579" s="4">
        <v>4</v>
      </c>
      <c r="Y1579">
        <v>659.17</v>
      </c>
      <c r="Z1579">
        <v>0.12</v>
      </c>
      <c r="AA1579">
        <v>2320.2784000000001</v>
      </c>
    </row>
    <row r="1580" spans="1:27" x14ac:dyDescent="0.3">
      <c r="A1580" t="s">
        <v>3387</v>
      </c>
      <c r="B1580" s="2">
        <v>45572</v>
      </c>
      <c r="C1580" t="s">
        <v>364</v>
      </c>
      <c r="D1580" t="s">
        <v>1623</v>
      </c>
      <c r="E1580" t="s">
        <v>1740</v>
      </c>
      <c r="F1580" s="4">
        <v>2</v>
      </c>
      <c r="G1580">
        <v>216.02</v>
      </c>
      <c r="H1580">
        <v>0.25</v>
      </c>
      <c r="I1580" t="s">
        <v>1807</v>
      </c>
      <c r="J1580">
        <v>324.02999999999997</v>
      </c>
      <c r="K1580" t="s">
        <v>365</v>
      </c>
      <c r="L1580">
        <v>50</v>
      </c>
      <c r="M1580" t="str">
        <v>Female</v>
      </c>
      <c r="N1580" t="str">
        <f>VLOOKUP(C:C,Customer_Dim!B:I,5,1)</f>
        <v>South Jenniferville</v>
      </c>
      <c r="O1580" t="str">
        <f>VLOOKUP(C:C,Customer_Dim!B:I,6,1)</f>
        <v>Georgia</v>
      </c>
      <c r="P1580" t="str">
        <f>VLOOKUP(C:C,Customer_Dim!B:I,7,1)</f>
        <v>USA</v>
      </c>
      <c r="Q1580" t="str">
        <f>VLOOKUP(C:C,Customer_Dim!B:I,8,1)</f>
        <v>Silver</v>
      </c>
      <c r="S1580">
        <v>2</v>
      </c>
      <c r="T1580">
        <v>216.02</v>
      </c>
      <c r="U1580">
        <v>0.25</v>
      </c>
      <c r="V1580">
        <v>324.02999999999997</v>
      </c>
      <c r="X1580" s="4">
        <v>2</v>
      </c>
      <c r="Y1580">
        <v>216.02</v>
      </c>
      <c r="Z1580">
        <v>0.25</v>
      </c>
      <c r="AA1580">
        <v>324.02999999999997</v>
      </c>
    </row>
    <row r="1581" spans="1:27" x14ac:dyDescent="0.3">
      <c r="A1581" t="s">
        <v>3388</v>
      </c>
      <c r="B1581" s="2">
        <v>45774</v>
      </c>
      <c r="C1581" t="s">
        <v>124</v>
      </c>
      <c r="D1581" t="s">
        <v>1593</v>
      </c>
      <c r="E1581" t="s">
        <v>1772</v>
      </c>
      <c r="F1581" s="4">
        <v>2</v>
      </c>
      <c r="G1581">
        <v>613.47</v>
      </c>
      <c r="H1581">
        <v>0.02</v>
      </c>
      <c r="I1581" t="s">
        <v>1809</v>
      </c>
      <c r="J1581">
        <v>1202.4012</v>
      </c>
      <c r="K1581" t="s">
        <v>125</v>
      </c>
      <c r="L1581">
        <v>41</v>
      </c>
      <c r="M1581" t="str">
        <v>Male</v>
      </c>
      <c r="N1581" t="str">
        <f>VLOOKUP(C:C,Customer_Dim!B:I,5,1)</f>
        <v>Amybury</v>
      </c>
      <c r="O1581" t="str">
        <f>VLOOKUP(C:C,Customer_Dim!B:I,6,1)</f>
        <v>Pennsylvania</v>
      </c>
      <c r="P1581" t="str">
        <f>VLOOKUP(C:C,Customer_Dim!B:I,7,1)</f>
        <v>USA</v>
      </c>
      <c r="Q1581" t="str">
        <f>VLOOKUP(C:C,Customer_Dim!B:I,8,1)</f>
        <v>Bronze</v>
      </c>
      <c r="S1581">
        <v>2</v>
      </c>
      <c r="T1581">
        <v>613.47</v>
      </c>
      <c r="U1581">
        <v>0.02</v>
      </c>
      <c r="V1581">
        <v>1202.4012</v>
      </c>
      <c r="X1581" s="4">
        <v>2</v>
      </c>
      <c r="Y1581">
        <v>613.47</v>
      </c>
      <c r="Z1581">
        <v>0.02</v>
      </c>
      <c r="AA1581">
        <v>1202.4012</v>
      </c>
    </row>
    <row r="1582" spans="1:27" x14ac:dyDescent="0.3">
      <c r="A1582" t="s">
        <v>3389</v>
      </c>
      <c r="B1582" s="2">
        <v>45921</v>
      </c>
      <c r="C1582" t="s">
        <v>345</v>
      </c>
      <c r="D1582" t="s">
        <v>1647</v>
      </c>
      <c r="E1582" t="s">
        <v>1777</v>
      </c>
      <c r="F1582" s="4">
        <v>2</v>
      </c>
      <c r="G1582">
        <v>485.17</v>
      </c>
      <c r="H1582">
        <v>0.11</v>
      </c>
      <c r="I1582" t="s">
        <v>1809</v>
      </c>
      <c r="J1582">
        <v>863.60260000000005</v>
      </c>
      <c r="K1582" t="s">
        <v>346</v>
      </c>
      <c r="L1582">
        <v>35</v>
      </c>
      <c r="M1582" t="str">
        <v>Male</v>
      </c>
      <c r="N1582" t="str">
        <f>VLOOKUP(C:C,Customer_Dim!B:I,5,1)</f>
        <v>Lake Kaylahaven</v>
      </c>
      <c r="O1582" t="str">
        <f>VLOOKUP(C:C,Customer_Dim!B:I,6,1)</f>
        <v>Alaska</v>
      </c>
      <c r="P1582" t="str">
        <f>VLOOKUP(C:C,Customer_Dim!B:I,7,1)</f>
        <v>USA</v>
      </c>
      <c r="Q1582" t="str">
        <f>VLOOKUP(C:C,Customer_Dim!B:I,8,1)</f>
        <v>Gold</v>
      </c>
      <c r="S1582">
        <v>2</v>
      </c>
      <c r="T1582">
        <v>485.17</v>
      </c>
      <c r="U1582">
        <v>0.11</v>
      </c>
      <c r="V1582">
        <v>863.60260000000005</v>
      </c>
      <c r="X1582" s="4">
        <v>2</v>
      </c>
      <c r="Y1582">
        <v>485.17</v>
      </c>
      <c r="Z1582">
        <v>0.11</v>
      </c>
      <c r="AA1582">
        <v>863.60260000000005</v>
      </c>
    </row>
    <row r="1583" spans="1:27" x14ac:dyDescent="0.3">
      <c r="A1583" t="s">
        <v>3390</v>
      </c>
      <c r="B1583" s="2">
        <v>45268</v>
      </c>
      <c r="C1583" t="s">
        <v>959</v>
      </c>
      <c r="D1583" t="s">
        <v>1623</v>
      </c>
      <c r="E1583" t="s">
        <v>1772</v>
      </c>
      <c r="F1583" s="4">
        <v>1</v>
      </c>
      <c r="G1583">
        <v>209.7</v>
      </c>
      <c r="H1583">
        <v>0.2</v>
      </c>
      <c r="I1583" t="s">
        <v>1809</v>
      </c>
      <c r="J1583">
        <v>167.76</v>
      </c>
      <c r="K1583" t="s">
        <v>960</v>
      </c>
      <c r="L1583">
        <v>60</v>
      </c>
      <c r="M1583" t="str">
        <v>Female</v>
      </c>
      <c r="N1583" t="str">
        <f>VLOOKUP(C:C,Customer_Dim!B:I,5,1)</f>
        <v>West Patriciaview</v>
      </c>
      <c r="O1583" t="str">
        <f>VLOOKUP(C:C,Customer_Dim!B:I,6,1)</f>
        <v>Alabama</v>
      </c>
      <c r="P1583" t="str">
        <f>VLOOKUP(C:C,Customer_Dim!B:I,7,1)</f>
        <v>USA</v>
      </c>
      <c r="Q1583" t="str">
        <f>VLOOKUP(C:C,Customer_Dim!B:I,8,1)</f>
        <v>Bronze</v>
      </c>
      <c r="S1583">
        <v>1</v>
      </c>
      <c r="T1583">
        <v>209.7</v>
      </c>
      <c r="U1583">
        <v>0.2</v>
      </c>
      <c r="V1583">
        <v>167.76</v>
      </c>
      <c r="X1583" s="4">
        <v>1</v>
      </c>
      <c r="Y1583">
        <v>209.7</v>
      </c>
      <c r="Z1583">
        <v>0.2</v>
      </c>
      <c r="AA1583">
        <v>167.76</v>
      </c>
    </row>
    <row r="1584" spans="1:27" x14ac:dyDescent="0.3">
      <c r="A1584" t="s">
        <v>3391</v>
      </c>
      <c r="B1584" s="2">
        <v>45402</v>
      </c>
      <c r="C1584" t="s">
        <v>1015</v>
      </c>
      <c r="D1584" t="s">
        <v>1715</v>
      </c>
      <c r="E1584" t="s">
        <v>1735</v>
      </c>
      <c r="F1584" s="4">
        <v>1</v>
      </c>
      <c r="G1584">
        <v>681.47</v>
      </c>
      <c r="H1584">
        <v>0.15</v>
      </c>
      <c r="I1584" t="s">
        <v>1807</v>
      </c>
      <c r="J1584">
        <v>579.24950000000001</v>
      </c>
      <c r="K1584" t="s">
        <v>1016</v>
      </c>
      <c r="L1584">
        <v>62</v>
      </c>
      <c r="M1584" t="str">
        <v>Female</v>
      </c>
      <c r="N1584" t="str">
        <f>VLOOKUP(C:C,Customer_Dim!B:I,5,1)</f>
        <v>Cindyton</v>
      </c>
      <c r="O1584" t="str">
        <f>VLOOKUP(C:C,Customer_Dim!B:I,6,1)</f>
        <v>Rhode Island</v>
      </c>
      <c r="P1584" t="str">
        <f>VLOOKUP(C:C,Customer_Dim!B:I,7,1)</f>
        <v>USA</v>
      </c>
      <c r="Q1584" t="str">
        <f>VLOOKUP(C:C,Customer_Dim!B:I,8,1)</f>
        <v>Gold</v>
      </c>
      <c r="S1584">
        <v>1</v>
      </c>
      <c r="T1584">
        <v>681.47</v>
      </c>
      <c r="U1584">
        <v>0.15</v>
      </c>
      <c r="V1584">
        <v>579.24950000000001</v>
      </c>
      <c r="X1584" s="4">
        <v>1</v>
      </c>
      <c r="Y1584">
        <v>681.47</v>
      </c>
      <c r="Z1584">
        <v>0.15</v>
      </c>
      <c r="AA1584">
        <v>579.24950000000001</v>
      </c>
    </row>
    <row r="1585" spans="1:27" x14ac:dyDescent="0.3">
      <c r="A1585" t="s">
        <v>3392</v>
      </c>
      <c r="B1585" s="2">
        <v>45667</v>
      </c>
      <c r="C1585" t="s">
        <v>1346</v>
      </c>
      <c r="D1585" t="s">
        <v>1683</v>
      </c>
      <c r="E1585" t="s">
        <v>1790</v>
      </c>
      <c r="F1585" s="4">
        <v>2</v>
      </c>
      <c r="G1585">
        <v>877.21</v>
      </c>
      <c r="H1585">
        <v>0.1</v>
      </c>
      <c r="I1585" t="s">
        <v>1807</v>
      </c>
      <c r="J1585">
        <v>1578.9780000000001</v>
      </c>
      <c r="K1585" t="s">
        <v>1347</v>
      </c>
      <c r="L1585">
        <v>31</v>
      </c>
      <c r="M1585" t="str">
        <v>Male</v>
      </c>
      <c r="N1585" t="str">
        <f>VLOOKUP(C:C,Customer_Dim!B:I,5,1)</f>
        <v>Justinberg</v>
      </c>
      <c r="O1585" t="str">
        <f>VLOOKUP(C:C,Customer_Dim!B:I,6,1)</f>
        <v>North Dakota</v>
      </c>
      <c r="P1585" t="str">
        <f>VLOOKUP(C:C,Customer_Dim!B:I,7,1)</f>
        <v>USA</v>
      </c>
      <c r="Q1585" t="str">
        <f>VLOOKUP(C:C,Customer_Dim!B:I,8,1)</f>
        <v>Silver</v>
      </c>
      <c r="S1585">
        <v>2</v>
      </c>
      <c r="T1585">
        <v>877.21</v>
      </c>
      <c r="U1585">
        <v>0.1</v>
      </c>
      <c r="V1585">
        <v>1578.9780000000001</v>
      </c>
      <c r="X1585" s="4">
        <v>2</v>
      </c>
      <c r="Y1585">
        <v>877.21</v>
      </c>
      <c r="Z1585">
        <v>0.1</v>
      </c>
      <c r="AA1585">
        <v>1578.9780000000001</v>
      </c>
    </row>
    <row r="1586" spans="1:27" x14ac:dyDescent="0.3">
      <c r="A1586" t="s">
        <v>3393</v>
      </c>
      <c r="B1586" s="2">
        <v>45902</v>
      </c>
      <c r="C1586" t="s">
        <v>992</v>
      </c>
      <c r="D1586" t="s">
        <v>1687</v>
      </c>
      <c r="E1586" t="s">
        <v>1756</v>
      </c>
      <c r="F1586" s="4">
        <v>2</v>
      </c>
      <c r="G1586">
        <v>479.77</v>
      </c>
      <c r="H1586">
        <v>0.21</v>
      </c>
      <c r="I1586" t="s">
        <v>1809</v>
      </c>
      <c r="J1586">
        <v>758.03660000000002</v>
      </c>
      <c r="K1586" t="s">
        <v>993</v>
      </c>
      <c r="L1586">
        <v>54</v>
      </c>
      <c r="M1586" t="str">
        <v>Male</v>
      </c>
      <c r="N1586" t="str">
        <f>VLOOKUP(C:C,Customer_Dim!B:I,5,1)</f>
        <v>Monicaview</v>
      </c>
      <c r="O1586" t="str">
        <f>VLOOKUP(C:C,Customer_Dim!B:I,6,1)</f>
        <v>Kansas</v>
      </c>
      <c r="P1586" t="str">
        <f>VLOOKUP(C:C,Customer_Dim!B:I,7,1)</f>
        <v>USA</v>
      </c>
      <c r="Q1586" t="str">
        <f>VLOOKUP(C:C,Customer_Dim!B:I,8,1)</f>
        <v>Platinum</v>
      </c>
      <c r="S1586">
        <v>2</v>
      </c>
      <c r="T1586">
        <v>479.77</v>
      </c>
      <c r="U1586">
        <v>0.21</v>
      </c>
      <c r="V1586">
        <v>758.03660000000002</v>
      </c>
      <c r="X1586" s="4">
        <v>2</v>
      </c>
      <c r="Y1586">
        <v>479.77</v>
      </c>
      <c r="Z1586">
        <v>0.21</v>
      </c>
      <c r="AA1586">
        <v>758.03660000000002</v>
      </c>
    </row>
    <row r="1587" spans="1:27" x14ac:dyDescent="0.3">
      <c r="A1587" t="s">
        <v>3394</v>
      </c>
      <c r="B1587" s="2">
        <v>45589</v>
      </c>
      <c r="C1587" t="s">
        <v>1004</v>
      </c>
      <c r="D1587" t="s">
        <v>1697</v>
      </c>
      <c r="E1587" t="s">
        <v>1784</v>
      </c>
      <c r="F1587" s="4">
        <v>1</v>
      </c>
      <c r="G1587">
        <v>140.72</v>
      </c>
      <c r="H1587">
        <v>0</v>
      </c>
      <c r="I1587" t="s">
        <v>1812</v>
      </c>
      <c r="J1587">
        <v>140.72</v>
      </c>
      <c r="K1587" t="s">
        <v>1005</v>
      </c>
      <c r="L1587">
        <v>64</v>
      </c>
      <c r="M1587" t="str">
        <v>Female</v>
      </c>
      <c r="N1587" t="str">
        <f>VLOOKUP(C:C,Customer_Dim!B:I,5,1)</f>
        <v>North Nicole</v>
      </c>
      <c r="O1587" t="str">
        <f>VLOOKUP(C:C,Customer_Dim!B:I,6,1)</f>
        <v>Wyoming</v>
      </c>
      <c r="P1587" t="str">
        <f>VLOOKUP(C:C,Customer_Dim!B:I,7,1)</f>
        <v>USA</v>
      </c>
      <c r="Q1587" t="str">
        <f>VLOOKUP(C:C,Customer_Dim!B:I,8,1)</f>
        <v>Bronze</v>
      </c>
      <c r="S1587">
        <v>1</v>
      </c>
      <c r="T1587">
        <v>140.72</v>
      </c>
      <c r="U1587">
        <v>0</v>
      </c>
      <c r="V1587">
        <v>140.72</v>
      </c>
      <c r="X1587" s="4">
        <v>1</v>
      </c>
      <c r="Y1587">
        <v>140.72</v>
      </c>
      <c r="Z1587">
        <v>0</v>
      </c>
      <c r="AA1587">
        <v>140.72</v>
      </c>
    </row>
    <row r="1588" spans="1:27" x14ac:dyDescent="0.3">
      <c r="A1588" t="s">
        <v>3395</v>
      </c>
      <c r="B1588" s="2">
        <v>45668</v>
      </c>
      <c r="C1588" t="s">
        <v>114</v>
      </c>
      <c r="D1588" t="s">
        <v>1569</v>
      </c>
      <c r="E1588" t="s">
        <v>1759</v>
      </c>
      <c r="F1588" s="4">
        <v>2</v>
      </c>
      <c r="G1588">
        <v>764.25</v>
      </c>
      <c r="H1588">
        <v>0.23</v>
      </c>
      <c r="I1588" t="s">
        <v>1809</v>
      </c>
      <c r="J1588">
        <v>1176.9449999999999</v>
      </c>
      <c r="K1588" t="s">
        <v>115</v>
      </c>
      <c r="L1588">
        <v>27</v>
      </c>
      <c r="M1588" t="str">
        <v>Female</v>
      </c>
      <c r="N1588" t="str">
        <f>VLOOKUP(C:C,Customer_Dim!B:I,5,1)</f>
        <v>Mollyshire</v>
      </c>
      <c r="O1588" t="str">
        <f>VLOOKUP(C:C,Customer_Dim!B:I,6,1)</f>
        <v>Utah</v>
      </c>
      <c r="P1588" t="str">
        <f>VLOOKUP(C:C,Customer_Dim!B:I,7,1)</f>
        <v>USA</v>
      </c>
      <c r="Q1588" t="str">
        <f>VLOOKUP(C:C,Customer_Dim!B:I,8,1)</f>
        <v>Platinum</v>
      </c>
      <c r="S1588">
        <v>2</v>
      </c>
      <c r="T1588">
        <v>764.25</v>
      </c>
      <c r="U1588">
        <v>0.23</v>
      </c>
      <c r="V1588">
        <v>1176.9449999999999</v>
      </c>
      <c r="X1588" s="4">
        <v>2</v>
      </c>
      <c r="Y1588">
        <v>764.25</v>
      </c>
      <c r="Z1588">
        <v>0.23</v>
      </c>
      <c r="AA1588">
        <v>1176.9449999999999</v>
      </c>
    </row>
    <row r="1589" spans="1:27" x14ac:dyDescent="0.3">
      <c r="A1589" t="s">
        <v>3396</v>
      </c>
      <c r="B1589" s="2">
        <v>45300</v>
      </c>
      <c r="C1589" t="s">
        <v>713</v>
      </c>
      <c r="D1589" t="s">
        <v>1697</v>
      </c>
      <c r="E1589" t="s">
        <v>1756</v>
      </c>
      <c r="F1589" s="4">
        <v>3</v>
      </c>
      <c r="G1589">
        <v>107.8</v>
      </c>
      <c r="H1589">
        <v>0.28999999999999998</v>
      </c>
      <c r="I1589" t="s">
        <v>1809</v>
      </c>
      <c r="J1589">
        <v>229.614</v>
      </c>
      <c r="K1589" t="s">
        <v>714</v>
      </c>
      <c r="L1589">
        <v>50</v>
      </c>
      <c r="M1589" t="str">
        <v>Male</v>
      </c>
      <c r="N1589" t="str">
        <f>VLOOKUP(C:C,Customer_Dim!B:I,5,1)</f>
        <v>East Crystalton</v>
      </c>
      <c r="O1589" t="str">
        <f>VLOOKUP(C:C,Customer_Dim!B:I,6,1)</f>
        <v>New Mexico</v>
      </c>
      <c r="P1589" t="str">
        <f>VLOOKUP(C:C,Customer_Dim!B:I,7,1)</f>
        <v>USA</v>
      </c>
      <c r="Q1589" t="str">
        <f>VLOOKUP(C:C,Customer_Dim!B:I,8,1)</f>
        <v>Platinum</v>
      </c>
      <c r="S1589">
        <v>3</v>
      </c>
      <c r="T1589">
        <v>107.8</v>
      </c>
      <c r="U1589">
        <v>0.28999999999999998</v>
      </c>
      <c r="V1589">
        <v>229.614</v>
      </c>
      <c r="X1589" s="4">
        <v>3</v>
      </c>
      <c r="Y1589">
        <v>107.8</v>
      </c>
      <c r="Z1589">
        <v>0.28999999999999998</v>
      </c>
      <c r="AA1589">
        <v>229.614</v>
      </c>
    </row>
    <row r="1590" spans="1:27" x14ac:dyDescent="0.3">
      <c r="A1590" t="s">
        <v>3397</v>
      </c>
      <c r="B1590" s="2">
        <v>45757</v>
      </c>
      <c r="C1590" t="s">
        <v>491</v>
      </c>
      <c r="D1590" t="s">
        <v>1575</v>
      </c>
      <c r="E1590" t="s">
        <v>1765</v>
      </c>
      <c r="F1590" s="4">
        <v>4</v>
      </c>
      <c r="G1590">
        <v>565.37</v>
      </c>
      <c r="H1590">
        <v>7.0000000000000007E-2</v>
      </c>
      <c r="I1590" t="s">
        <v>1809</v>
      </c>
      <c r="J1590">
        <v>2103.1763999999998</v>
      </c>
      <c r="K1590" t="s">
        <v>492</v>
      </c>
      <c r="L1590">
        <v>42</v>
      </c>
      <c r="M1590" t="str">
        <v>Female</v>
      </c>
      <c r="N1590" t="str">
        <f>VLOOKUP(C:C,Customer_Dim!B:I,5,1)</f>
        <v>Lake Nathanfort</v>
      </c>
      <c r="O1590" t="str">
        <f>VLOOKUP(C:C,Customer_Dim!B:I,6,1)</f>
        <v>Alaska</v>
      </c>
      <c r="P1590" t="str">
        <f>VLOOKUP(C:C,Customer_Dim!B:I,7,1)</f>
        <v>USA</v>
      </c>
      <c r="Q1590" t="str">
        <f>VLOOKUP(C:C,Customer_Dim!B:I,8,1)</f>
        <v>Platinum</v>
      </c>
      <c r="S1590">
        <v>4</v>
      </c>
      <c r="T1590">
        <v>565.37</v>
      </c>
      <c r="U1590">
        <v>7.0000000000000007E-2</v>
      </c>
      <c r="V1590">
        <v>2103.1763999999998</v>
      </c>
      <c r="X1590" s="4">
        <v>4</v>
      </c>
      <c r="Y1590">
        <v>565.37</v>
      </c>
      <c r="Z1590">
        <v>7.0000000000000007E-2</v>
      </c>
      <c r="AA1590">
        <v>2103.1763999999998</v>
      </c>
    </row>
    <row r="1591" spans="1:27" x14ac:dyDescent="0.3">
      <c r="A1591" t="s">
        <v>3398</v>
      </c>
      <c r="B1591" s="2">
        <v>45235</v>
      </c>
      <c r="C1591" t="s">
        <v>136</v>
      </c>
      <c r="D1591" t="s">
        <v>1603</v>
      </c>
      <c r="E1591" t="s">
        <v>1752</v>
      </c>
      <c r="F1591" s="4">
        <v>3</v>
      </c>
      <c r="G1591">
        <v>811.45</v>
      </c>
      <c r="H1591">
        <v>0.26</v>
      </c>
      <c r="I1591" t="s">
        <v>1807</v>
      </c>
      <c r="J1591">
        <v>1801.4190000000001</v>
      </c>
      <c r="K1591" t="s">
        <v>137</v>
      </c>
      <c r="L1591">
        <v>52</v>
      </c>
      <c r="M1591" t="str">
        <v>Male</v>
      </c>
      <c r="N1591" t="str">
        <f>VLOOKUP(C:C,Customer_Dim!B:I,5,1)</f>
        <v>West Richard</v>
      </c>
      <c r="O1591" t="str">
        <f>VLOOKUP(C:C,Customer_Dim!B:I,6,1)</f>
        <v>Maryland</v>
      </c>
      <c r="P1591" t="str">
        <f>VLOOKUP(C:C,Customer_Dim!B:I,7,1)</f>
        <v>USA</v>
      </c>
      <c r="Q1591" t="str">
        <f>VLOOKUP(C:C,Customer_Dim!B:I,8,1)</f>
        <v>Platinum</v>
      </c>
      <c r="S1591">
        <v>3</v>
      </c>
      <c r="T1591">
        <v>811.45</v>
      </c>
      <c r="U1591">
        <v>0.26</v>
      </c>
      <c r="V1591">
        <v>1801.4190000000001</v>
      </c>
      <c r="X1591" s="4">
        <v>3</v>
      </c>
      <c r="Y1591">
        <v>811.45</v>
      </c>
      <c r="Z1591">
        <v>0.26</v>
      </c>
      <c r="AA1591">
        <v>1801.4190000000001</v>
      </c>
    </row>
    <row r="1592" spans="1:27" x14ac:dyDescent="0.3">
      <c r="A1592" t="s">
        <v>3399</v>
      </c>
      <c r="B1592" s="2">
        <v>45749</v>
      </c>
      <c r="C1592" t="s">
        <v>1261</v>
      </c>
      <c r="D1592" t="s">
        <v>1597</v>
      </c>
      <c r="E1592" t="s">
        <v>1796</v>
      </c>
      <c r="F1592" s="4">
        <v>4</v>
      </c>
      <c r="G1592">
        <v>62.25</v>
      </c>
      <c r="H1592">
        <v>0.11</v>
      </c>
      <c r="I1592" t="s">
        <v>1809</v>
      </c>
      <c r="J1592">
        <v>221.61</v>
      </c>
      <c r="K1592" t="s">
        <v>1262</v>
      </c>
      <c r="L1592">
        <v>63</v>
      </c>
      <c r="M1592" t="str">
        <v>Male</v>
      </c>
      <c r="N1592" t="str">
        <f>VLOOKUP(C:C,Customer_Dim!B:I,5,1)</f>
        <v>South Edwin</v>
      </c>
      <c r="O1592" t="str">
        <f>VLOOKUP(C:C,Customer_Dim!B:I,6,1)</f>
        <v>New Jersey</v>
      </c>
      <c r="P1592" t="str">
        <f>VLOOKUP(C:C,Customer_Dim!B:I,7,1)</f>
        <v>USA</v>
      </c>
      <c r="Q1592" t="str">
        <f>VLOOKUP(C:C,Customer_Dim!B:I,8,1)</f>
        <v>Bronze</v>
      </c>
      <c r="S1592">
        <v>4</v>
      </c>
      <c r="T1592">
        <v>62.25</v>
      </c>
      <c r="U1592">
        <v>0.11</v>
      </c>
      <c r="V1592">
        <v>221.61</v>
      </c>
      <c r="X1592" s="4">
        <v>4</v>
      </c>
      <c r="Y1592">
        <v>62.25</v>
      </c>
      <c r="Z1592">
        <v>0.11</v>
      </c>
      <c r="AA1592">
        <v>221.61</v>
      </c>
    </row>
    <row r="1593" spans="1:27" x14ac:dyDescent="0.3">
      <c r="A1593" t="s">
        <v>3400</v>
      </c>
      <c r="B1593" s="2">
        <v>45807</v>
      </c>
      <c r="C1593" t="s">
        <v>107</v>
      </c>
      <c r="D1593" t="s">
        <v>1721</v>
      </c>
      <c r="E1593" t="s">
        <v>1772</v>
      </c>
      <c r="F1593" s="4">
        <v>1</v>
      </c>
      <c r="G1593">
        <v>749.78</v>
      </c>
      <c r="H1593">
        <v>0.03</v>
      </c>
      <c r="I1593" t="s">
        <v>1807</v>
      </c>
      <c r="J1593">
        <v>727.28659999999991</v>
      </c>
      <c r="K1593" t="s">
        <v>108</v>
      </c>
      <c r="L1593">
        <v>18</v>
      </c>
      <c r="M1593" t="str">
        <v>Female</v>
      </c>
      <c r="N1593" t="str">
        <f>VLOOKUP(C:C,Customer_Dim!B:I,5,1)</f>
        <v>Vasqueztown</v>
      </c>
      <c r="O1593" t="str">
        <f>VLOOKUP(C:C,Customer_Dim!B:I,6,1)</f>
        <v>California</v>
      </c>
      <c r="P1593" t="str">
        <f>VLOOKUP(C:C,Customer_Dim!B:I,7,1)</f>
        <v>USA</v>
      </c>
      <c r="Q1593" t="str">
        <f>VLOOKUP(C:C,Customer_Dim!B:I,8,1)</f>
        <v>Bronze</v>
      </c>
      <c r="S1593">
        <v>1</v>
      </c>
      <c r="T1593">
        <v>749.78</v>
      </c>
      <c r="U1593">
        <v>0.03</v>
      </c>
      <c r="V1593">
        <v>727.28659999999991</v>
      </c>
      <c r="X1593" s="4">
        <v>1</v>
      </c>
      <c r="Y1593">
        <v>749.78</v>
      </c>
      <c r="Z1593">
        <v>0.03</v>
      </c>
      <c r="AA1593">
        <v>727.28659999999991</v>
      </c>
    </row>
    <row r="1594" spans="1:27" x14ac:dyDescent="0.3">
      <c r="A1594" t="s">
        <v>3401</v>
      </c>
      <c r="B1594" s="2">
        <v>45496</v>
      </c>
      <c r="C1594" t="s">
        <v>1086</v>
      </c>
      <c r="D1594" t="s">
        <v>1649</v>
      </c>
      <c r="E1594" t="s">
        <v>1756</v>
      </c>
      <c r="F1594" s="4">
        <v>3</v>
      </c>
      <c r="G1594">
        <v>630.28</v>
      </c>
      <c r="H1594">
        <v>7.0000000000000007E-2</v>
      </c>
      <c r="I1594" t="s">
        <v>1812</v>
      </c>
      <c r="J1594">
        <v>1758.4811999999999</v>
      </c>
      <c r="K1594" t="s">
        <v>1087</v>
      </c>
      <c r="L1594">
        <v>25</v>
      </c>
      <c r="M1594" t="str">
        <v>Female</v>
      </c>
      <c r="N1594" t="str">
        <f>VLOOKUP(C:C,Customer_Dim!B:I,5,1)</f>
        <v>Lake Allisonborough</v>
      </c>
      <c r="O1594" t="str">
        <f>VLOOKUP(C:C,Customer_Dim!B:I,6,1)</f>
        <v>Iowa</v>
      </c>
      <c r="P1594" t="str">
        <f>VLOOKUP(C:C,Customer_Dim!B:I,7,1)</f>
        <v>USA</v>
      </c>
      <c r="Q1594" t="str">
        <f>VLOOKUP(C:C,Customer_Dim!B:I,8,1)</f>
        <v>Silver</v>
      </c>
      <c r="S1594">
        <v>3</v>
      </c>
      <c r="T1594">
        <v>630.28</v>
      </c>
      <c r="U1594">
        <v>7.0000000000000007E-2</v>
      </c>
      <c r="V1594">
        <v>1758.4811999999999</v>
      </c>
      <c r="X1594" s="4">
        <v>3</v>
      </c>
      <c r="Y1594">
        <v>630.28</v>
      </c>
      <c r="Z1594">
        <v>7.0000000000000007E-2</v>
      </c>
      <c r="AA1594">
        <v>1758.4811999999999</v>
      </c>
    </row>
    <row r="1595" spans="1:27" x14ac:dyDescent="0.3">
      <c r="A1595" t="s">
        <v>3402</v>
      </c>
      <c r="B1595" s="2">
        <v>45355</v>
      </c>
      <c r="C1595" t="s">
        <v>479</v>
      </c>
      <c r="D1595" t="s">
        <v>1591</v>
      </c>
      <c r="E1595" t="s">
        <v>1787</v>
      </c>
      <c r="F1595" s="4">
        <v>1</v>
      </c>
      <c r="G1595">
        <v>101.84</v>
      </c>
      <c r="H1595">
        <v>0.17</v>
      </c>
      <c r="I1595" t="s">
        <v>1807</v>
      </c>
      <c r="J1595">
        <v>84.527199999999993</v>
      </c>
      <c r="K1595" t="s">
        <v>480</v>
      </c>
      <c r="L1595">
        <v>62</v>
      </c>
      <c r="M1595" t="str">
        <v>Female</v>
      </c>
      <c r="N1595" t="str">
        <f>VLOOKUP(C:C,Customer_Dim!B:I,5,1)</f>
        <v>Dwaynemouth</v>
      </c>
      <c r="O1595" t="str">
        <f>VLOOKUP(C:C,Customer_Dim!B:I,6,1)</f>
        <v>Alabama</v>
      </c>
      <c r="P1595" t="str">
        <f>VLOOKUP(C:C,Customer_Dim!B:I,7,1)</f>
        <v>USA</v>
      </c>
      <c r="Q1595" t="str">
        <f>VLOOKUP(C:C,Customer_Dim!B:I,8,1)</f>
        <v>Bronze</v>
      </c>
      <c r="S1595">
        <v>1</v>
      </c>
      <c r="T1595">
        <v>101.84</v>
      </c>
      <c r="U1595">
        <v>0.17</v>
      </c>
      <c r="V1595">
        <v>84.527199999999993</v>
      </c>
      <c r="X1595" s="4">
        <v>1</v>
      </c>
      <c r="Y1595">
        <v>101.84</v>
      </c>
      <c r="Z1595">
        <v>0.17</v>
      </c>
      <c r="AA1595">
        <v>84.527199999999993</v>
      </c>
    </row>
    <row r="1596" spans="1:27" x14ac:dyDescent="0.3">
      <c r="A1596" t="s">
        <v>3403</v>
      </c>
      <c r="B1596" s="2">
        <v>45256</v>
      </c>
      <c r="C1596" t="s">
        <v>205</v>
      </c>
      <c r="D1596" t="s">
        <v>1579</v>
      </c>
      <c r="E1596" t="s">
        <v>1793</v>
      </c>
      <c r="F1596" s="4">
        <v>4</v>
      </c>
      <c r="G1596">
        <v>641.45000000000005</v>
      </c>
      <c r="H1596">
        <v>0.16</v>
      </c>
      <c r="I1596" t="s">
        <v>1812</v>
      </c>
      <c r="J1596">
        <v>2155.2719999999999</v>
      </c>
      <c r="K1596" t="s">
        <v>206</v>
      </c>
      <c r="L1596">
        <v>49</v>
      </c>
      <c r="M1596" t="str">
        <v>Female</v>
      </c>
      <c r="N1596" t="str">
        <f>VLOOKUP(C:C,Customer_Dim!B:I,5,1)</f>
        <v>Edwardsfort</v>
      </c>
      <c r="O1596" t="str">
        <f>VLOOKUP(C:C,Customer_Dim!B:I,6,1)</f>
        <v>Minnesota</v>
      </c>
      <c r="P1596" t="str">
        <f>VLOOKUP(C:C,Customer_Dim!B:I,7,1)</f>
        <v>USA</v>
      </c>
      <c r="Q1596" t="str">
        <f>VLOOKUP(C:C,Customer_Dim!B:I,8,1)</f>
        <v>Bronze</v>
      </c>
      <c r="S1596">
        <v>4</v>
      </c>
      <c r="T1596">
        <v>641.45000000000005</v>
      </c>
      <c r="U1596">
        <v>0.16</v>
      </c>
      <c r="V1596">
        <v>2155.2719999999999</v>
      </c>
      <c r="X1596" s="4">
        <v>4</v>
      </c>
      <c r="Y1596">
        <v>641.45000000000005</v>
      </c>
      <c r="Z1596">
        <v>0.16</v>
      </c>
      <c r="AA1596">
        <v>2155.2719999999999</v>
      </c>
    </row>
    <row r="1597" spans="1:27" x14ac:dyDescent="0.3">
      <c r="A1597" t="s">
        <v>3404</v>
      </c>
      <c r="B1597" s="2">
        <v>45849</v>
      </c>
      <c r="C1597" t="s">
        <v>1436</v>
      </c>
      <c r="D1597" t="s">
        <v>1617</v>
      </c>
      <c r="E1597" t="s">
        <v>1740</v>
      </c>
      <c r="F1597" s="4">
        <v>1</v>
      </c>
      <c r="G1597">
        <v>135.87</v>
      </c>
      <c r="H1597">
        <v>0.23</v>
      </c>
      <c r="I1597" t="s">
        <v>1809</v>
      </c>
      <c r="J1597">
        <v>104.6199</v>
      </c>
      <c r="K1597" t="s">
        <v>1437</v>
      </c>
      <c r="L1597">
        <v>42</v>
      </c>
      <c r="M1597" t="str">
        <v>Male</v>
      </c>
      <c r="N1597" t="str">
        <f>VLOOKUP(C:C,Customer_Dim!B:I,5,1)</f>
        <v>Mcdanielfurt</v>
      </c>
      <c r="O1597" t="str">
        <f>VLOOKUP(C:C,Customer_Dim!B:I,6,1)</f>
        <v>Montana</v>
      </c>
      <c r="P1597" t="str">
        <f>VLOOKUP(C:C,Customer_Dim!B:I,7,1)</f>
        <v>USA</v>
      </c>
      <c r="Q1597" t="str">
        <f>VLOOKUP(C:C,Customer_Dim!B:I,8,1)</f>
        <v>Platinum</v>
      </c>
      <c r="S1597">
        <v>1</v>
      </c>
      <c r="T1597">
        <v>135.87</v>
      </c>
      <c r="U1597">
        <v>0.23</v>
      </c>
      <c r="V1597">
        <v>104.6199</v>
      </c>
      <c r="X1597" s="4">
        <v>1</v>
      </c>
      <c r="Y1597">
        <v>135.87</v>
      </c>
      <c r="Z1597">
        <v>0.23</v>
      </c>
      <c r="AA1597">
        <v>104.6199</v>
      </c>
    </row>
    <row r="1598" spans="1:27" x14ac:dyDescent="0.3">
      <c r="A1598" t="s">
        <v>3405</v>
      </c>
      <c r="B1598" s="2">
        <v>45344</v>
      </c>
      <c r="C1598" t="s">
        <v>336</v>
      </c>
      <c r="D1598" t="s">
        <v>1573</v>
      </c>
      <c r="E1598" t="s">
        <v>1759</v>
      </c>
      <c r="F1598" s="4">
        <v>1</v>
      </c>
      <c r="G1598">
        <v>388.35</v>
      </c>
      <c r="H1598">
        <v>0.01</v>
      </c>
      <c r="I1598" t="s">
        <v>1809</v>
      </c>
      <c r="J1598">
        <v>384.4665</v>
      </c>
      <c r="K1598" t="s">
        <v>337</v>
      </c>
      <c r="L1598">
        <v>30</v>
      </c>
      <c r="M1598" t="str">
        <v>Female</v>
      </c>
      <c r="N1598" t="str">
        <f>VLOOKUP(C:C,Customer_Dim!B:I,5,1)</f>
        <v>West Bobbyshire</v>
      </c>
      <c r="O1598" t="str">
        <f>VLOOKUP(C:C,Customer_Dim!B:I,6,1)</f>
        <v>New York</v>
      </c>
      <c r="P1598" t="str">
        <f>VLOOKUP(C:C,Customer_Dim!B:I,7,1)</f>
        <v>USA</v>
      </c>
      <c r="Q1598" t="str">
        <f>VLOOKUP(C:C,Customer_Dim!B:I,8,1)</f>
        <v>Platinum</v>
      </c>
      <c r="S1598">
        <v>1</v>
      </c>
      <c r="T1598">
        <v>388.35</v>
      </c>
      <c r="U1598">
        <v>0.01</v>
      </c>
      <c r="V1598">
        <v>384.4665</v>
      </c>
      <c r="X1598" s="4">
        <v>1</v>
      </c>
      <c r="Y1598">
        <v>388.35</v>
      </c>
      <c r="Z1598">
        <v>0.01</v>
      </c>
      <c r="AA1598">
        <v>384.4665</v>
      </c>
    </row>
    <row r="1599" spans="1:27" x14ac:dyDescent="0.3">
      <c r="A1599" t="s">
        <v>3406</v>
      </c>
      <c r="B1599" s="2">
        <v>45367</v>
      </c>
      <c r="C1599" t="s">
        <v>1478</v>
      </c>
      <c r="D1599" t="s">
        <v>1607</v>
      </c>
      <c r="E1599" t="s">
        <v>1769</v>
      </c>
      <c r="F1599" s="4">
        <v>2</v>
      </c>
      <c r="G1599">
        <v>999.08</v>
      </c>
      <c r="H1599">
        <v>0.3</v>
      </c>
      <c r="I1599" t="s">
        <v>1809</v>
      </c>
      <c r="J1599">
        <v>1398.712</v>
      </c>
      <c r="K1599" t="s">
        <v>1479</v>
      </c>
      <c r="L1599">
        <v>36</v>
      </c>
      <c r="M1599" t="str">
        <v>Female</v>
      </c>
      <c r="N1599" t="str">
        <f>VLOOKUP(C:C,Customer_Dim!B:I,5,1)</f>
        <v>Lake April</v>
      </c>
      <c r="O1599" t="str">
        <f>VLOOKUP(C:C,Customer_Dim!B:I,6,1)</f>
        <v>Vermont</v>
      </c>
      <c r="P1599" t="str">
        <f>VLOOKUP(C:C,Customer_Dim!B:I,7,1)</f>
        <v>USA</v>
      </c>
      <c r="Q1599" t="str">
        <f>VLOOKUP(C:C,Customer_Dim!B:I,8,1)</f>
        <v>Bronze</v>
      </c>
      <c r="S1599">
        <v>2</v>
      </c>
      <c r="T1599">
        <v>999.08</v>
      </c>
      <c r="U1599">
        <v>0.3</v>
      </c>
      <c r="V1599">
        <v>1398.712</v>
      </c>
      <c r="X1599" s="4">
        <v>2</v>
      </c>
      <c r="Y1599">
        <v>999.08</v>
      </c>
      <c r="Z1599">
        <v>0.3</v>
      </c>
      <c r="AA1599">
        <v>1398.712</v>
      </c>
    </row>
    <row r="1600" spans="1:27" x14ac:dyDescent="0.3">
      <c r="A1600" t="s">
        <v>3407</v>
      </c>
      <c r="B1600" s="2">
        <v>45887</v>
      </c>
      <c r="C1600" t="s">
        <v>560</v>
      </c>
      <c r="D1600" t="s">
        <v>1607</v>
      </c>
      <c r="E1600" t="s">
        <v>1790</v>
      </c>
      <c r="F1600" s="4">
        <v>3</v>
      </c>
      <c r="G1600">
        <v>453.19</v>
      </c>
      <c r="H1600">
        <v>0.08</v>
      </c>
      <c r="I1600" t="s">
        <v>1812</v>
      </c>
      <c r="J1600">
        <v>1250.8044</v>
      </c>
      <c r="K1600" t="s">
        <v>3940</v>
      </c>
      <c r="L1600">
        <v>44</v>
      </c>
      <c r="M1600" t="str">
        <v>Female</v>
      </c>
      <c r="N1600" t="str">
        <f>VLOOKUP(C:C,Customer_Dim!B:I,5,1)</f>
        <v>New Joseph</v>
      </c>
      <c r="O1600" t="str">
        <f>VLOOKUP(C:C,Customer_Dim!B:I,6,1)</f>
        <v>Missouri</v>
      </c>
      <c r="P1600" t="str">
        <f>VLOOKUP(C:C,Customer_Dim!B:I,7,1)</f>
        <v>USA</v>
      </c>
      <c r="Q1600" t="str">
        <f>VLOOKUP(C:C,Customer_Dim!B:I,8,1)</f>
        <v>Gold</v>
      </c>
      <c r="S1600">
        <v>3</v>
      </c>
      <c r="T1600">
        <v>453.19</v>
      </c>
      <c r="U1600">
        <v>0.08</v>
      </c>
      <c r="V1600">
        <v>1250.8044</v>
      </c>
      <c r="X1600" s="4">
        <v>3</v>
      </c>
      <c r="Y1600">
        <v>453.19</v>
      </c>
      <c r="Z1600">
        <v>0.08</v>
      </c>
      <c r="AA1600">
        <v>1250.8044</v>
      </c>
    </row>
    <row r="1601" spans="1:27" x14ac:dyDescent="0.3">
      <c r="A1601" t="s">
        <v>3408</v>
      </c>
      <c r="B1601" s="2">
        <v>45567</v>
      </c>
      <c r="C1601" t="s">
        <v>749</v>
      </c>
      <c r="D1601" t="s">
        <v>1691</v>
      </c>
      <c r="E1601" t="s">
        <v>1772</v>
      </c>
      <c r="F1601" s="4">
        <v>2</v>
      </c>
      <c r="G1601">
        <v>61.31</v>
      </c>
      <c r="H1601">
        <v>0.15</v>
      </c>
      <c r="I1601" t="s">
        <v>1812</v>
      </c>
      <c r="J1601">
        <v>104.227</v>
      </c>
      <c r="K1601" t="s">
        <v>750</v>
      </c>
      <c r="L1601">
        <v>42</v>
      </c>
      <c r="M1601" t="str">
        <v>Female</v>
      </c>
      <c r="N1601" t="str">
        <f>VLOOKUP(C:C,Customer_Dim!B:I,5,1)</f>
        <v>South Angelaport</v>
      </c>
      <c r="O1601" t="str">
        <f>VLOOKUP(C:C,Customer_Dim!B:I,6,1)</f>
        <v>Delaware</v>
      </c>
      <c r="P1601" t="str">
        <f>VLOOKUP(C:C,Customer_Dim!B:I,7,1)</f>
        <v>USA</v>
      </c>
      <c r="Q1601" t="str">
        <f>VLOOKUP(C:C,Customer_Dim!B:I,8,1)</f>
        <v>Bronze</v>
      </c>
      <c r="S1601">
        <v>2</v>
      </c>
      <c r="T1601">
        <v>61.31</v>
      </c>
      <c r="U1601">
        <v>0.15</v>
      </c>
      <c r="V1601">
        <v>104.227</v>
      </c>
      <c r="X1601" s="4">
        <v>2</v>
      </c>
      <c r="Y1601">
        <v>61.31</v>
      </c>
      <c r="Z1601">
        <v>0.15</v>
      </c>
      <c r="AA1601">
        <v>104.227</v>
      </c>
    </row>
    <row r="1602" spans="1:27" x14ac:dyDescent="0.3">
      <c r="A1602" t="s">
        <v>3409</v>
      </c>
      <c r="B1602" s="2">
        <v>45223</v>
      </c>
      <c r="C1602" t="s">
        <v>1063</v>
      </c>
      <c r="D1602" t="s">
        <v>1693</v>
      </c>
      <c r="E1602" t="s">
        <v>1772</v>
      </c>
      <c r="F1602" s="4">
        <v>2</v>
      </c>
      <c r="G1602">
        <v>870.13</v>
      </c>
      <c r="H1602">
        <v>0.23</v>
      </c>
      <c r="I1602" t="s">
        <v>1807</v>
      </c>
      <c r="J1602">
        <v>1340.0001999999999</v>
      </c>
      <c r="K1602" t="s">
        <v>1064</v>
      </c>
      <c r="L1602">
        <v>38</v>
      </c>
      <c r="M1602" t="str">
        <v>Male</v>
      </c>
      <c r="N1602" t="str">
        <f>VLOOKUP(C:C,Customer_Dim!B:I,5,1)</f>
        <v>Amandaborough</v>
      </c>
      <c r="O1602" t="str">
        <f>VLOOKUP(C:C,Customer_Dim!B:I,6,1)</f>
        <v>Connecticut</v>
      </c>
      <c r="P1602" t="str">
        <f>VLOOKUP(C:C,Customer_Dim!B:I,7,1)</f>
        <v>USA</v>
      </c>
      <c r="Q1602" t="str">
        <f>VLOOKUP(C:C,Customer_Dim!B:I,8,1)</f>
        <v>Bronze</v>
      </c>
      <c r="S1602">
        <v>2</v>
      </c>
      <c r="T1602">
        <v>870.13</v>
      </c>
      <c r="U1602">
        <v>0.23</v>
      </c>
      <c r="V1602">
        <v>1340.0001999999999</v>
      </c>
      <c r="X1602" s="4">
        <v>2</v>
      </c>
      <c r="Y1602">
        <v>870.13</v>
      </c>
      <c r="Z1602">
        <v>0.23</v>
      </c>
      <c r="AA1602">
        <v>1340.0001999999999</v>
      </c>
    </row>
    <row r="1603" spans="1:27" x14ac:dyDescent="0.3">
      <c r="A1603" t="s">
        <v>3410</v>
      </c>
      <c r="B1603" s="2">
        <v>45664</v>
      </c>
      <c r="C1603" t="s">
        <v>244</v>
      </c>
      <c r="D1603" t="s">
        <v>1561</v>
      </c>
      <c r="E1603" t="s">
        <v>1796</v>
      </c>
      <c r="F1603" s="4">
        <v>1</v>
      </c>
      <c r="G1603">
        <v>336.51</v>
      </c>
      <c r="H1603">
        <v>0.11</v>
      </c>
      <c r="I1603" t="s">
        <v>1809</v>
      </c>
      <c r="J1603">
        <v>299.4939</v>
      </c>
      <c r="K1603" t="s">
        <v>245</v>
      </c>
      <c r="L1603">
        <v>24</v>
      </c>
      <c r="M1603" t="str">
        <v>Female</v>
      </c>
      <c r="N1603" t="str">
        <f>VLOOKUP(C:C,Customer_Dim!B:I,5,1)</f>
        <v>Brendaburgh</v>
      </c>
      <c r="O1603" t="str">
        <f>VLOOKUP(C:C,Customer_Dim!B:I,6,1)</f>
        <v>Florida</v>
      </c>
      <c r="P1603" t="str">
        <f>VLOOKUP(C:C,Customer_Dim!B:I,7,1)</f>
        <v>USA</v>
      </c>
      <c r="Q1603" t="str">
        <f>VLOOKUP(C:C,Customer_Dim!B:I,8,1)</f>
        <v>Silver</v>
      </c>
      <c r="S1603">
        <v>1</v>
      </c>
      <c r="T1603">
        <v>336.51</v>
      </c>
      <c r="U1603">
        <v>0.11</v>
      </c>
      <c r="V1603">
        <v>299.4939</v>
      </c>
      <c r="X1603" s="4">
        <v>1</v>
      </c>
      <c r="Y1603">
        <v>336.51</v>
      </c>
      <c r="Z1603">
        <v>0.11</v>
      </c>
      <c r="AA1603">
        <v>299.4939</v>
      </c>
    </row>
    <row r="1604" spans="1:27" x14ac:dyDescent="0.3">
      <c r="A1604" t="s">
        <v>3411</v>
      </c>
      <c r="B1604" s="2">
        <v>45313</v>
      </c>
      <c r="C1604" t="s">
        <v>592</v>
      </c>
      <c r="D1604" t="s">
        <v>1665</v>
      </c>
      <c r="E1604" t="s">
        <v>1735</v>
      </c>
      <c r="F1604" s="4">
        <v>1</v>
      </c>
      <c r="G1604">
        <v>305.70999999999998</v>
      </c>
      <c r="H1604">
        <v>0.26</v>
      </c>
      <c r="I1604" t="s">
        <v>1812</v>
      </c>
      <c r="J1604">
        <v>226.22540000000001</v>
      </c>
      <c r="K1604" t="s">
        <v>593</v>
      </c>
      <c r="L1604">
        <v>23</v>
      </c>
      <c r="M1604" t="str">
        <v>Female</v>
      </c>
      <c r="N1604" t="str">
        <f>VLOOKUP(C:C,Customer_Dim!B:I,5,1)</f>
        <v>New Brianchester</v>
      </c>
      <c r="O1604" t="str">
        <f>VLOOKUP(C:C,Customer_Dim!B:I,6,1)</f>
        <v>New York</v>
      </c>
      <c r="P1604" t="str">
        <f>VLOOKUP(C:C,Customer_Dim!B:I,7,1)</f>
        <v>USA</v>
      </c>
      <c r="Q1604" t="str">
        <f>VLOOKUP(C:C,Customer_Dim!B:I,8,1)</f>
        <v>Bronze</v>
      </c>
      <c r="S1604">
        <v>1</v>
      </c>
      <c r="T1604">
        <v>305.70999999999998</v>
      </c>
      <c r="U1604">
        <v>0.26</v>
      </c>
      <c r="V1604">
        <v>226.22540000000001</v>
      </c>
      <c r="X1604" s="4">
        <v>1</v>
      </c>
      <c r="Y1604">
        <v>305.70999999999998</v>
      </c>
      <c r="Z1604">
        <v>0.26</v>
      </c>
      <c r="AA1604">
        <v>226.22540000000001</v>
      </c>
    </row>
    <row r="1605" spans="1:27" x14ac:dyDescent="0.3">
      <c r="A1605" t="s">
        <v>3412</v>
      </c>
      <c r="B1605" s="2">
        <v>45224</v>
      </c>
      <c r="C1605" t="s">
        <v>414</v>
      </c>
      <c r="D1605" t="s">
        <v>1551</v>
      </c>
      <c r="E1605" t="s">
        <v>1793</v>
      </c>
      <c r="F1605" s="4">
        <v>2</v>
      </c>
      <c r="G1605">
        <v>635.39</v>
      </c>
      <c r="H1605">
        <v>0.28999999999999998</v>
      </c>
      <c r="I1605" t="s">
        <v>1812</v>
      </c>
      <c r="J1605">
        <v>902.25379999999996</v>
      </c>
      <c r="K1605" t="s">
        <v>415</v>
      </c>
      <c r="L1605">
        <v>50</v>
      </c>
      <c r="M1605" t="str">
        <v>Male</v>
      </c>
      <c r="N1605" t="str">
        <f>VLOOKUP(C:C,Customer_Dim!B:I,5,1)</f>
        <v>Lake Danielport</v>
      </c>
      <c r="O1605" t="str">
        <f>VLOOKUP(C:C,Customer_Dim!B:I,6,1)</f>
        <v>Hawaii</v>
      </c>
      <c r="P1605" t="str">
        <f>VLOOKUP(C:C,Customer_Dim!B:I,7,1)</f>
        <v>USA</v>
      </c>
      <c r="Q1605" t="str">
        <f>VLOOKUP(C:C,Customer_Dim!B:I,8,1)</f>
        <v>Platinum</v>
      </c>
      <c r="S1605">
        <v>2</v>
      </c>
      <c r="T1605">
        <v>635.39</v>
      </c>
      <c r="U1605">
        <v>0.28999999999999998</v>
      </c>
      <c r="V1605">
        <v>902.25379999999996</v>
      </c>
      <c r="X1605" s="4">
        <v>2</v>
      </c>
      <c r="Y1605">
        <v>635.39</v>
      </c>
      <c r="Z1605">
        <v>0.28999999999999998</v>
      </c>
      <c r="AA1605">
        <v>902.25379999999996</v>
      </c>
    </row>
    <row r="1606" spans="1:27" x14ac:dyDescent="0.3">
      <c r="A1606" t="s">
        <v>3413</v>
      </c>
      <c r="B1606" s="2">
        <v>45491</v>
      </c>
      <c r="C1606" t="s">
        <v>400</v>
      </c>
      <c r="D1606" t="s">
        <v>1715</v>
      </c>
      <c r="E1606" t="s">
        <v>1796</v>
      </c>
      <c r="F1606" s="4">
        <v>2</v>
      </c>
      <c r="G1606">
        <v>253.87</v>
      </c>
      <c r="H1606">
        <v>0.23</v>
      </c>
      <c r="I1606" t="s">
        <v>1812</v>
      </c>
      <c r="J1606">
        <v>390.95979999999997</v>
      </c>
      <c r="K1606" t="s">
        <v>401</v>
      </c>
      <c r="L1606">
        <v>21</v>
      </c>
      <c r="M1606" t="str">
        <v>Female</v>
      </c>
      <c r="N1606" t="str">
        <f>VLOOKUP(C:C,Customer_Dim!B:I,5,1)</f>
        <v>North Davidport</v>
      </c>
      <c r="O1606" t="str">
        <f>VLOOKUP(C:C,Customer_Dim!B:I,6,1)</f>
        <v>Rhode Island</v>
      </c>
      <c r="P1606" t="str">
        <f>VLOOKUP(C:C,Customer_Dim!B:I,7,1)</f>
        <v>USA</v>
      </c>
      <c r="Q1606" t="str">
        <f>VLOOKUP(C:C,Customer_Dim!B:I,8,1)</f>
        <v>Platinum</v>
      </c>
      <c r="S1606">
        <v>2</v>
      </c>
      <c r="T1606">
        <v>253.87</v>
      </c>
      <c r="U1606">
        <v>0.23</v>
      </c>
      <c r="V1606">
        <v>390.95979999999997</v>
      </c>
      <c r="X1606" s="4">
        <v>2</v>
      </c>
      <c r="Y1606">
        <v>253.87</v>
      </c>
      <c r="Z1606">
        <v>0.23</v>
      </c>
      <c r="AA1606">
        <v>390.95979999999997</v>
      </c>
    </row>
    <row r="1607" spans="1:27" x14ac:dyDescent="0.3">
      <c r="A1607" t="s">
        <v>3414</v>
      </c>
      <c r="B1607" s="2">
        <v>45472</v>
      </c>
      <c r="C1607" t="s">
        <v>1472</v>
      </c>
      <c r="D1607" t="s">
        <v>1683</v>
      </c>
      <c r="E1607" t="s">
        <v>1790</v>
      </c>
      <c r="F1607" s="4">
        <v>3</v>
      </c>
      <c r="G1607">
        <v>915.81</v>
      </c>
      <c r="H1607">
        <v>0.17</v>
      </c>
      <c r="I1607" t="s">
        <v>1812</v>
      </c>
      <c r="J1607">
        <v>2280.3669</v>
      </c>
      <c r="K1607" t="s">
        <v>1473</v>
      </c>
      <c r="L1607">
        <v>46</v>
      </c>
      <c r="M1607" t="str">
        <v>Female</v>
      </c>
      <c r="N1607" t="str">
        <f>VLOOKUP(C:C,Customer_Dim!B:I,5,1)</f>
        <v>West Markton</v>
      </c>
      <c r="O1607" t="str">
        <f>VLOOKUP(C:C,Customer_Dim!B:I,6,1)</f>
        <v>Massachusetts</v>
      </c>
      <c r="P1607" t="str">
        <f>VLOOKUP(C:C,Customer_Dim!B:I,7,1)</f>
        <v>USA</v>
      </c>
      <c r="Q1607" t="str">
        <f>VLOOKUP(C:C,Customer_Dim!B:I,8,1)</f>
        <v>Bronze</v>
      </c>
      <c r="S1607">
        <v>3</v>
      </c>
      <c r="T1607">
        <v>915.81</v>
      </c>
      <c r="U1607">
        <v>0.17</v>
      </c>
      <c r="V1607">
        <v>2280.3669</v>
      </c>
      <c r="X1607" s="4">
        <v>3</v>
      </c>
      <c r="Y1607">
        <v>915.81</v>
      </c>
      <c r="Z1607">
        <v>0.17</v>
      </c>
      <c r="AA1607">
        <v>2280.3669</v>
      </c>
    </row>
    <row r="1608" spans="1:27" x14ac:dyDescent="0.3">
      <c r="A1608" t="s">
        <v>3415</v>
      </c>
      <c r="B1608" s="2">
        <v>45795</v>
      </c>
      <c r="C1608" t="s">
        <v>675</v>
      </c>
      <c r="D1608" t="s">
        <v>1615</v>
      </c>
      <c r="E1608" t="s">
        <v>1765</v>
      </c>
      <c r="F1608" s="4">
        <v>3</v>
      </c>
      <c r="G1608">
        <v>779.5</v>
      </c>
      <c r="H1608">
        <v>0.02</v>
      </c>
      <c r="I1608" t="s">
        <v>1807</v>
      </c>
      <c r="J1608">
        <v>2291.73</v>
      </c>
      <c r="K1608" t="s">
        <v>676</v>
      </c>
      <c r="L1608">
        <v>48</v>
      </c>
      <c r="M1608" t="str">
        <v>Male</v>
      </c>
      <c r="N1608" t="str">
        <f>VLOOKUP(C:C,Customer_Dim!B:I,5,1)</f>
        <v>Lake Josephport</v>
      </c>
      <c r="O1608" t="str">
        <f>VLOOKUP(C:C,Customer_Dim!B:I,6,1)</f>
        <v>Maine</v>
      </c>
      <c r="P1608" t="str">
        <f>VLOOKUP(C:C,Customer_Dim!B:I,7,1)</f>
        <v>USA</v>
      </c>
      <c r="Q1608" t="str">
        <f>VLOOKUP(C:C,Customer_Dim!B:I,8,1)</f>
        <v>Platinum</v>
      </c>
      <c r="S1608">
        <v>3</v>
      </c>
      <c r="T1608">
        <v>779.5</v>
      </c>
      <c r="U1608">
        <v>0.02</v>
      </c>
      <c r="V1608">
        <v>2291.73</v>
      </c>
      <c r="X1608" s="4">
        <v>3</v>
      </c>
      <c r="Y1608">
        <v>779.5</v>
      </c>
      <c r="Z1608">
        <v>0.02</v>
      </c>
      <c r="AA1608">
        <v>2291.73</v>
      </c>
    </row>
    <row r="1609" spans="1:27" x14ac:dyDescent="0.3">
      <c r="A1609" t="s">
        <v>3416</v>
      </c>
      <c r="B1609" s="2">
        <v>45470</v>
      </c>
      <c r="C1609" t="s">
        <v>1430</v>
      </c>
      <c r="D1609" t="s">
        <v>1653</v>
      </c>
      <c r="E1609" t="s">
        <v>1787</v>
      </c>
      <c r="F1609" s="4">
        <v>2</v>
      </c>
      <c r="G1609">
        <v>780.57</v>
      </c>
      <c r="H1609">
        <v>0.26</v>
      </c>
      <c r="I1609" t="s">
        <v>1807</v>
      </c>
      <c r="J1609">
        <v>1155.2436</v>
      </c>
      <c r="K1609" t="s">
        <v>1431</v>
      </c>
      <c r="L1609">
        <v>21</v>
      </c>
      <c r="M1609" t="str">
        <v>Female</v>
      </c>
      <c r="N1609" t="str">
        <f>VLOOKUP(C:C,Customer_Dim!B:I,5,1)</f>
        <v>East Audrey</v>
      </c>
      <c r="O1609" t="str">
        <f>VLOOKUP(C:C,Customer_Dim!B:I,6,1)</f>
        <v>Utah</v>
      </c>
      <c r="P1609" t="str">
        <f>VLOOKUP(C:C,Customer_Dim!B:I,7,1)</f>
        <v>USA</v>
      </c>
      <c r="Q1609" t="str">
        <f>VLOOKUP(C:C,Customer_Dim!B:I,8,1)</f>
        <v>Gold</v>
      </c>
      <c r="S1609">
        <v>2</v>
      </c>
      <c r="T1609">
        <v>780.57</v>
      </c>
      <c r="U1609">
        <v>0.26</v>
      </c>
      <c r="V1609">
        <v>1155.2436</v>
      </c>
      <c r="X1609" s="4">
        <v>2</v>
      </c>
      <c r="Y1609">
        <v>780.57</v>
      </c>
      <c r="Z1609">
        <v>0.26</v>
      </c>
      <c r="AA1609">
        <v>1155.2436</v>
      </c>
    </row>
    <row r="1610" spans="1:27" x14ac:dyDescent="0.3">
      <c r="A1610" t="s">
        <v>3417</v>
      </c>
      <c r="B1610" s="2">
        <v>45390</v>
      </c>
      <c r="C1610" t="s">
        <v>1183</v>
      </c>
      <c r="D1610" t="s">
        <v>1721</v>
      </c>
      <c r="E1610" t="s">
        <v>1796</v>
      </c>
      <c r="F1610" s="4">
        <v>1</v>
      </c>
      <c r="G1610">
        <v>511.35</v>
      </c>
      <c r="H1610">
        <v>0</v>
      </c>
      <c r="I1610" t="s">
        <v>1807</v>
      </c>
      <c r="J1610">
        <v>511.35</v>
      </c>
      <c r="K1610" t="s">
        <v>1184</v>
      </c>
      <c r="L1610">
        <v>52</v>
      </c>
      <c r="M1610" t="str">
        <v>Female</v>
      </c>
      <c r="N1610" t="str">
        <f>VLOOKUP(C:C,Customer_Dim!B:I,5,1)</f>
        <v>Jennifertown</v>
      </c>
      <c r="O1610" t="str">
        <f>VLOOKUP(C:C,Customer_Dim!B:I,6,1)</f>
        <v>South Carolina</v>
      </c>
      <c r="P1610" t="str">
        <f>VLOOKUP(C:C,Customer_Dim!B:I,7,1)</f>
        <v>USA</v>
      </c>
      <c r="Q1610" t="str">
        <f>VLOOKUP(C:C,Customer_Dim!B:I,8,1)</f>
        <v>Silver</v>
      </c>
      <c r="S1610">
        <v>1</v>
      </c>
      <c r="T1610">
        <v>511.35</v>
      </c>
      <c r="U1610">
        <v>0</v>
      </c>
      <c r="V1610">
        <v>511.35</v>
      </c>
      <c r="X1610" s="4">
        <v>1</v>
      </c>
      <c r="Y1610">
        <v>511.35</v>
      </c>
      <c r="Z1610">
        <v>0</v>
      </c>
      <c r="AA1610">
        <v>511.35</v>
      </c>
    </row>
    <row r="1611" spans="1:27" x14ac:dyDescent="0.3">
      <c r="A1611" t="s">
        <v>3418</v>
      </c>
      <c r="B1611" s="2">
        <v>45803</v>
      </c>
      <c r="C1611" t="s">
        <v>75</v>
      </c>
      <c r="D1611" t="s">
        <v>1725</v>
      </c>
      <c r="E1611" t="s">
        <v>1749</v>
      </c>
      <c r="F1611" s="4">
        <v>4</v>
      </c>
      <c r="G1611">
        <v>44.07</v>
      </c>
      <c r="H1611">
        <v>0.28999999999999998</v>
      </c>
      <c r="I1611" t="s">
        <v>1812</v>
      </c>
      <c r="J1611">
        <v>125.1588</v>
      </c>
      <c r="K1611" t="s">
        <v>76</v>
      </c>
      <c r="L1611">
        <v>60</v>
      </c>
      <c r="M1611" t="str">
        <v>Female</v>
      </c>
      <c r="N1611" t="str">
        <f>VLOOKUP(C:C,Customer_Dim!B:I,5,1)</f>
        <v>South Christopher</v>
      </c>
      <c r="O1611" t="str">
        <f>VLOOKUP(C:C,Customer_Dim!B:I,6,1)</f>
        <v>Pennsylvania</v>
      </c>
      <c r="P1611" t="str">
        <f>VLOOKUP(C:C,Customer_Dim!B:I,7,1)</f>
        <v>USA</v>
      </c>
      <c r="Q1611" t="str">
        <f>VLOOKUP(C:C,Customer_Dim!B:I,8,1)</f>
        <v>Bronze</v>
      </c>
      <c r="S1611">
        <v>4</v>
      </c>
      <c r="T1611">
        <v>44.07</v>
      </c>
      <c r="U1611">
        <v>0.28999999999999998</v>
      </c>
      <c r="V1611">
        <v>125.1588</v>
      </c>
      <c r="X1611" s="4">
        <v>4</v>
      </c>
      <c r="Y1611">
        <v>44.07</v>
      </c>
      <c r="Z1611">
        <v>0.28999999999999998</v>
      </c>
      <c r="AA1611">
        <v>125.1588</v>
      </c>
    </row>
    <row r="1612" spans="1:27" x14ac:dyDescent="0.3">
      <c r="A1612" t="s">
        <v>3419</v>
      </c>
      <c r="B1612" s="2">
        <v>45320</v>
      </c>
      <c r="C1612" t="s">
        <v>640</v>
      </c>
      <c r="D1612" t="s">
        <v>1669</v>
      </c>
      <c r="E1612" t="s">
        <v>1775</v>
      </c>
      <c r="F1612" s="4">
        <v>2</v>
      </c>
      <c r="G1612">
        <v>895.92</v>
      </c>
      <c r="H1612">
        <v>0.15</v>
      </c>
      <c r="I1612" t="s">
        <v>1807</v>
      </c>
      <c r="J1612">
        <v>1523.0640000000001</v>
      </c>
      <c r="K1612" t="s">
        <v>641</v>
      </c>
      <c r="L1612">
        <v>54</v>
      </c>
      <c r="M1612" t="str">
        <v>Male</v>
      </c>
      <c r="N1612" t="str">
        <f>VLOOKUP(C:C,Customer_Dim!B:I,5,1)</f>
        <v>Christopherland</v>
      </c>
      <c r="O1612" t="str">
        <f>VLOOKUP(C:C,Customer_Dim!B:I,6,1)</f>
        <v>Minnesota</v>
      </c>
      <c r="P1612" t="str">
        <f>VLOOKUP(C:C,Customer_Dim!B:I,7,1)</f>
        <v>USA</v>
      </c>
      <c r="Q1612" t="str">
        <f>VLOOKUP(C:C,Customer_Dim!B:I,8,1)</f>
        <v>Platinum</v>
      </c>
      <c r="S1612">
        <v>2</v>
      </c>
      <c r="T1612">
        <v>895.92</v>
      </c>
      <c r="U1612">
        <v>0.15</v>
      </c>
      <c r="V1612">
        <v>1523.0640000000001</v>
      </c>
      <c r="X1612" s="4">
        <v>2</v>
      </c>
      <c r="Y1612">
        <v>895.92</v>
      </c>
      <c r="Z1612">
        <v>0.15</v>
      </c>
      <c r="AA1612">
        <v>1523.0640000000001</v>
      </c>
    </row>
    <row r="1613" spans="1:27" x14ac:dyDescent="0.3">
      <c r="A1613" t="s">
        <v>3420</v>
      </c>
      <c r="B1613" s="2">
        <v>45619</v>
      </c>
      <c r="C1613" t="s">
        <v>953</v>
      </c>
      <c r="D1613" t="s">
        <v>1637</v>
      </c>
      <c r="E1613" t="s">
        <v>1744</v>
      </c>
      <c r="F1613" s="4">
        <v>4</v>
      </c>
      <c r="G1613">
        <v>456.32</v>
      </c>
      <c r="H1613">
        <v>0.22</v>
      </c>
      <c r="I1613" t="s">
        <v>1812</v>
      </c>
      <c r="J1613">
        <v>1423.7184</v>
      </c>
      <c r="K1613" t="s">
        <v>954</v>
      </c>
      <c r="L1613">
        <v>44</v>
      </c>
      <c r="M1613" t="str">
        <v>Male</v>
      </c>
      <c r="N1613" t="str">
        <f>VLOOKUP(C:C,Customer_Dim!B:I,5,1)</f>
        <v>West Joseph</v>
      </c>
      <c r="O1613" t="str">
        <f>VLOOKUP(C:C,Customer_Dim!B:I,6,1)</f>
        <v>Washington</v>
      </c>
      <c r="P1613" t="str">
        <f>VLOOKUP(C:C,Customer_Dim!B:I,7,1)</f>
        <v>USA</v>
      </c>
      <c r="Q1613" t="str">
        <f>VLOOKUP(C:C,Customer_Dim!B:I,8,1)</f>
        <v>Platinum</v>
      </c>
      <c r="S1613">
        <v>4</v>
      </c>
      <c r="T1613">
        <v>456.32</v>
      </c>
      <c r="U1613">
        <v>0.22</v>
      </c>
      <c r="V1613">
        <v>1423.7184</v>
      </c>
      <c r="X1613" s="4">
        <v>4</v>
      </c>
      <c r="Y1613">
        <v>456.32</v>
      </c>
      <c r="Z1613">
        <v>0.22</v>
      </c>
      <c r="AA1613">
        <v>1423.7184</v>
      </c>
    </row>
    <row r="1614" spans="1:27" x14ac:dyDescent="0.3">
      <c r="A1614" t="s">
        <v>3421</v>
      </c>
      <c r="B1614" s="2">
        <v>45777</v>
      </c>
      <c r="C1614" t="s">
        <v>1290</v>
      </c>
      <c r="D1614" t="s">
        <v>1599</v>
      </c>
      <c r="E1614" t="s">
        <v>1735</v>
      </c>
      <c r="F1614" s="4">
        <v>1</v>
      </c>
      <c r="G1614">
        <v>905.5</v>
      </c>
      <c r="H1614">
        <v>0.28999999999999998</v>
      </c>
      <c r="I1614" t="s">
        <v>1812</v>
      </c>
      <c r="J1614">
        <v>642.90499999999997</v>
      </c>
      <c r="K1614" t="s">
        <v>3949</v>
      </c>
      <c r="L1614">
        <v>45</v>
      </c>
      <c r="M1614" t="str">
        <v>Female</v>
      </c>
      <c r="N1614" t="str">
        <f>VLOOKUP(C:C,Customer_Dim!B:I,5,1)</f>
        <v>New Benjamin</v>
      </c>
      <c r="O1614" t="str">
        <f>VLOOKUP(C:C,Customer_Dim!B:I,6,1)</f>
        <v>North Carolina</v>
      </c>
      <c r="P1614" t="str">
        <f>VLOOKUP(C:C,Customer_Dim!B:I,7,1)</f>
        <v>USA</v>
      </c>
      <c r="Q1614" t="str">
        <f>VLOOKUP(C:C,Customer_Dim!B:I,8,1)</f>
        <v>Bronze</v>
      </c>
      <c r="S1614">
        <v>1</v>
      </c>
      <c r="T1614">
        <v>905.5</v>
      </c>
      <c r="U1614">
        <v>0.28999999999999998</v>
      </c>
      <c r="V1614">
        <v>642.90499999999997</v>
      </c>
      <c r="X1614" s="4">
        <v>1</v>
      </c>
      <c r="Y1614">
        <v>905.5</v>
      </c>
      <c r="Z1614">
        <v>0.28999999999999998</v>
      </c>
      <c r="AA1614">
        <v>642.90499999999997</v>
      </c>
    </row>
    <row r="1615" spans="1:27" x14ac:dyDescent="0.3">
      <c r="A1615" t="s">
        <v>3422</v>
      </c>
      <c r="B1615" s="2">
        <v>45523</v>
      </c>
      <c r="C1615" t="s">
        <v>660</v>
      </c>
      <c r="D1615" t="s">
        <v>1563</v>
      </c>
      <c r="E1615" t="s">
        <v>1780</v>
      </c>
      <c r="F1615" s="4">
        <v>3</v>
      </c>
      <c r="G1615">
        <v>63.19</v>
      </c>
      <c r="H1615">
        <v>0.08</v>
      </c>
      <c r="I1615" t="s">
        <v>1807</v>
      </c>
      <c r="J1615">
        <v>174.40440000000001</v>
      </c>
      <c r="K1615" t="s">
        <v>661</v>
      </c>
      <c r="L1615">
        <v>44</v>
      </c>
      <c r="M1615" t="str">
        <v>Female</v>
      </c>
      <c r="N1615" t="str">
        <f>VLOOKUP(C:C,Customer_Dim!B:I,5,1)</f>
        <v>New Dianebury</v>
      </c>
      <c r="O1615" t="str">
        <f>VLOOKUP(C:C,Customer_Dim!B:I,6,1)</f>
        <v>Virginia</v>
      </c>
      <c r="P1615" t="str">
        <f>VLOOKUP(C:C,Customer_Dim!B:I,7,1)</f>
        <v>USA</v>
      </c>
      <c r="Q1615" t="str">
        <f>VLOOKUP(C:C,Customer_Dim!B:I,8,1)</f>
        <v>Platinum</v>
      </c>
      <c r="S1615">
        <v>3</v>
      </c>
      <c r="T1615">
        <v>63.19</v>
      </c>
      <c r="U1615">
        <v>0.08</v>
      </c>
      <c r="V1615">
        <v>174.40440000000001</v>
      </c>
      <c r="X1615" s="4">
        <v>3</v>
      </c>
      <c r="Y1615">
        <v>63.19</v>
      </c>
      <c r="Z1615">
        <v>0.08</v>
      </c>
      <c r="AA1615">
        <v>174.40440000000001</v>
      </c>
    </row>
    <row r="1616" spans="1:27" x14ac:dyDescent="0.3">
      <c r="A1616" t="s">
        <v>3423</v>
      </c>
      <c r="B1616" s="2">
        <v>45628</v>
      </c>
      <c r="C1616" t="s">
        <v>188</v>
      </c>
      <c r="D1616" t="s">
        <v>1671</v>
      </c>
      <c r="E1616" t="s">
        <v>1762</v>
      </c>
      <c r="F1616" s="4">
        <v>3</v>
      </c>
      <c r="G1616">
        <v>687.66</v>
      </c>
      <c r="H1616">
        <v>0.06</v>
      </c>
      <c r="I1616" t="s">
        <v>1809</v>
      </c>
      <c r="J1616">
        <v>1939.2012</v>
      </c>
      <c r="K1616" t="s">
        <v>189</v>
      </c>
      <c r="L1616">
        <v>23</v>
      </c>
      <c r="M1616" t="str">
        <v>Female</v>
      </c>
      <c r="N1616" t="str">
        <f>VLOOKUP(C:C,Customer_Dim!B:I,5,1)</f>
        <v>Gregoryview</v>
      </c>
      <c r="O1616" t="str">
        <f>VLOOKUP(C:C,Customer_Dim!B:I,6,1)</f>
        <v>Illinois</v>
      </c>
      <c r="P1616" t="str">
        <f>VLOOKUP(C:C,Customer_Dim!B:I,7,1)</f>
        <v>USA</v>
      </c>
      <c r="Q1616" t="str">
        <f>VLOOKUP(C:C,Customer_Dim!B:I,8,1)</f>
        <v>Gold</v>
      </c>
      <c r="S1616">
        <v>3</v>
      </c>
      <c r="T1616">
        <v>687.66</v>
      </c>
      <c r="U1616">
        <v>0.06</v>
      </c>
      <c r="V1616">
        <v>1939.2012</v>
      </c>
      <c r="X1616" s="4">
        <v>3</v>
      </c>
      <c r="Y1616">
        <v>687.66</v>
      </c>
      <c r="Z1616">
        <v>0.06</v>
      </c>
      <c r="AA1616">
        <v>1939.2012</v>
      </c>
    </row>
    <row r="1617" spans="1:27" x14ac:dyDescent="0.3">
      <c r="A1617" t="s">
        <v>3424</v>
      </c>
      <c r="B1617" s="2">
        <v>45742</v>
      </c>
      <c r="C1617" t="s">
        <v>705</v>
      </c>
      <c r="D1617" t="s">
        <v>1617</v>
      </c>
      <c r="E1617" t="s">
        <v>1769</v>
      </c>
      <c r="F1617" s="4">
        <v>4</v>
      </c>
      <c r="G1617">
        <v>639.05999999999995</v>
      </c>
      <c r="H1617">
        <v>0.12</v>
      </c>
      <c r="I1617" t="s">
        <v>1809</v>
      </c>
      <c r="J1617">
        <v>2249.4911999999999</v>
      </c>
      <c r="K1617" t="s">
        <v>706</v>
      </c>
      <c r="L1617">
        <v>50</v>
      </c>
      <c r="M1617" t="str">
        <v>Female</v>
      </c>
      <c r="N1617" t="str">
        <f>VLOOKUP(C:C,Customer_Dim!B:I,5,1)</f>
        <v xml:space="preserve">Phillipschester   </v>
      </c>
      <c r="O1617" t="str">
        <f>VLOOKUP(C:C,Customer_Dim!B:I,6,1)</f>
        <v>New Jersey</v>
      </c>
      <c r="P1617" t="str">
        <f>VLOOKUP(C:C,Customer_Dim!B:I,7,1)</f>
        <v>USA</v>
      </c>
      <c r="Q1617" t="str">
        <f>VLOOKUP(C:C,Customer_Dim!B:I,8,1)</f>
        <v>Gold</v>
      </c>
      <c r="S1617">
        <v>4</v>
      </c>
      <c r="T1617">
        <v>639.05999999999995</v>
      </c>
      <c r="U1617">
        <v>0.12</v>
      </c>
      <c r="V1617">
        <v>2249.4911999999999</v>
      </c>
      <c r="X1617" s="4">
        <v>4</v>
      </c>
      <c r="Y1617">
        <v>639.05999999999995</v>
      </c>
      <c r="Z1617">
        <v>0.12</v>
      </c>
      <c r="AA1617">
        <v>2249.4911999999999</v>
      </c>
    </row>
    <row r="1618" spans="1:27" x14ac:dyDescent="0.3">
      <c r="A1618" t="s">
        <v>3425</v>
      </c>
      <c r="B1618" s="2">
        <v>45456</v>
      </c>
      <c r="C1618" t="s">
        <v>244</v>
      </c>
      <c r="D1618" t="s">
        <v>1673</v>
      </c>
      <c r="E1618" t="s">
        <v>1762</v>
      </c>
      <c r="F1618" s="4">
        <v>1</v>
      </c>
      <c r="G1618">
        <v>475.15</v>
      </c>
      <c r="H1618">
        <v>0.04</v>
      </c>
      <c r="I1618" t="s">
        <v>1812</v>
      </c>
      <c r="J1618">
        <v>456.14399999999989</v>
      </c>
      <c r="K1618" t="s">
        <v>245</v>
      </c>
      <c r="L1618">
        <v>24</v>
      </c>
      <c r="M1618" t="str">
        <v>Female</v>
      </c>
      <c r="N1618" t="str">
        <f>VLOOKUP(C:C,Customer_Dim!B:I,5,1)</f>
        <v>Brendaburgh</v>
      </c>
      <c r="O1618" t="str">
        <f>VLOOKUP(C:C,Customer_Dim!B:I,6,1)</f>
        <v>Florida</v>
      </c>
      <c r="P1618" t="str">
        <f>VLOOKUP(C:C,Customer_Dim!B:I,7,1)</f>
        <v>USA</v>
      </c>
      <c r="Q1618" t="str">
        <f>VLOOKUP(C:C,Customer_Dim!B:I,8,1)</f>
        <v>Silver</v>
      </c>
      <c r="S1618">
        <v>1</v>
      </c>
      <c r="T1618">
        <v>475.15</v>
      </c>
      <c r="U1618">
        <v>0.04</v>
      </c>
      <c r="V1618">
        <v>456.14399999999989</v>
      </c>
      <c r="X1618" s="4">
        <v>1</v>
      </c>
      <c r="Y1618">
        <v>475.15</v>
      </c>
      <c r="Z1618">
        <v>0.04</v>
      </c>
      <c r="AA1618">
        <v>456.14399999999989</v>
      </c>
    </row>
    <row r="1619" spans="1:27" x14ac:dyDescent="0.3">
      <c r="A1619" t="s">
        <v>3426</v>
      </c>
      <c r="B1619" s="2">
        <v>45534</v>
      </c>
      <c r="C1619" t="s">
        <v>619</v>
      </c>
      <c r="D1619" t="s">
        <v>1619</v>
      </c>
      <c r="E1619" t="s">
        <v>1759</v>
      </c>
      <c r="F1619" s="4">
        <v>1</v>
      </c>
      <c r="G1619">
        <v>62.38</v>
      </c>
      <c r="H1619">
        <v>0.08</v>
      </c>
      <c r="I1619" t="s">
        <v>1812</v>
      </c>
      <c r="J1619">
        <v>57.389600000000002</v>
      </c>
      <c r="K1619" t="s">
        <v>620</v>
      </c>
      <c r="L1619">
        <v>29</v>
      </c>
      <c r="M1619" t="str">
        <v>Female</v>
      </c>
      <c r="N1619" t="str">
        <f>VLOOKUP(C:C,Customer_Dim!B:I,5,1)</f>
        <v>Amandaside</v>
      </c>
      <c r="O1619" t="str">
        <f>VLOOKUP(C:C,Customer_Dim!B:I,6,1)</f>
        <v>New York</v>
      </c>
      <c r="P1619" t="str">
        <f>VLOOKUP(C:C,Customer_Dim!B:I,7,1)</f>
        <v>USA</v>
      </c>
      <c r="Q1619" t="str">
        <f>VLOOKUP(C:C,Customer_Dim!B:I,8,1)</f>
        <v>Bronze</v>
      </c>
      <c r="S1619">
        <v>1</v>
      </c>
      <c r="T1619">
        <v>62.38</v>
      </c>
      <c r="U1619">
        <v>0.08</v>
      </c>
      <c r="V1619">
        <v>57.389600000000002</v>
      </c>
      <c r="X1619" s="4">
        <v>1</v>
      </c>
      <c r="Y1619">
        <v>62.38</v>
      </c>
      <c r="Z1619">
        <v>0.08</v>
      </c>
      <c r="AA1619">
        <v>57.389600000000002</v>
      </c>
    </row>
    <row r="1620" spans="1:27" x14ac:dyDescent="0.3">
      <c r="A1620" t="s">
        <v>3427</v>
      </c>
      <c r="B1620" s="2">
        <v>45375</v>
      </c>
      <c r="C1620" t="s">
        <v>1097</v>
      </c>
      <c r="D1620" t="s">
        <v>1561</v>
      </c>
      <c r="E1620" t="s">
        <v>1762</v>
      </c>
      <c r="F1620" s="4">
        <v>1</v>
      </c>
      <c r="G1620">
        <v>977.02</v>
      </c>
      <c r="H1620">
        <v>0.2</v>
      </c>
      <c r="I1620" t="s">
        <v>1812</v>
      </c>
      <c r="J1620">
        <v>781.61599999999999</v>
      </c>
      <c r="K1620" t="s">
        <v>1098</v>
      </c>
      <c r="L1620">
        <v>20</v>
      </c>
      <c r="M1620" t="str">
        <v>Male</v>
      </c>
      <c r="N1620" t="str">
        <f>VLOOKUP(C:C,Customer_Dim!B:I,5,1)</f>
        <v>Guerreroport</v>
      </c>
      <c r="O1620" t="str">
        <f>VLOOKUP(C:C,Customer_Dim!B:I,6,1)</f>
        <v>Connecticut</v>
      </c>
      <c r="P1620" t="str">
        <f>VLOOKUP(C:C,Customer_Dim!B:I,7,1)</f>
        <v>USA</v>
      </c>
      <c r="Q1620" t="str">
        <f>VLOOKUP(C:C,Customer_Dim!B:I,8,1)</f>
        <v>Silver</v>
      </c>
      <c r="S1620">
        <v>1</v>
      </c>
      <c r="T1620">
        <v>977.02</v>
      </c>
      <c r="U1620">
        <v>0.2</v>
      </c>
      <c r="V1620">
        <v>781.61599999999999</v>
      </c>
      <c r="X1620" s="4">
        <v>1</v>
      </c>
      <c r="Y1620">
        <v>977.02</v>
      </c>
      <c r="Z1620">
        <v>0.2</v>
      </c>
      <c r="AA1620">
        <v>781.61599999999999</v>
      </c>
    </row>
    <row r="1621" spans="1:27" x14ac:dyDescent="0.3">
      <c r="A1621" t="s">
        <v>3428</v>
      </c>
      <c r="B1621" s="2">
        <v>45546</v>
      </c>
      <c r="C1621" t="s">
        <v>268</v>
      </c>
      <c r="D1621" t="s">
        <v>1697</v>
      </c>
      <c r="E1621" t="s">
        <v>1752</v>
      </c>
      <c r="F1621" s="4">
        <v>2</v>
      </c>
      <c r="G1621">
        <v>898.81</v>
      </c>
      <c r="H1621">
        <v>0.25</v>
      </c>
      <c r="I1621" t="s">
        <v>1807</v>
      </c>
      <c r="J1621">
        <v>1348.2149999999999</v>
      </c>
      <c r="K1621" t="s">
        <v>269</v>
      </c>
      <c r="L1621">
        <v>61</v>
      </c>
      <c r="M1621" t="str">
        <v>Female</v>
      </c>
      <c r="N1621" t="str">
        <f>VLOOKUP(C:C,Customer_Dim!B:I,5,1)</f>
        <v>Longport</v>
      </c>
      <c r="O1621" t="str">
        <f>VLOOKUP(C:C,Customer_Dim!B:I,6,1)</f>
        <v>Colorado</v>
      </c>
      <c r="P1621" t="str">
        <f>VLOOKUP(C:C,Customer_Dim!B:I,7,1)</f>
        <v>USA</v>
      </c>
      <c r="Q1621" t="str">
        <f>VLOOKUP(C:C,Customer_Dim!B:I,8,1)</f>
        <v>Bronze</v>
      </c>
      <c r="S1621">
        <v>2</v>
      </c>
      <c r="T1621">
        <v>898.81</v>
      </c>
      <c r="U1621">
        <v>0.25</v>
      </c>
      <c r="V1621">
        <v>1348.2149999999999</v>
      </c>
      <c r="X1621" s="4">
        <v>2</v>
      </c>
      <c r="Y1621">
        <v>898.81</v>
      </c>
      <c r="Z1621">
        <v>0.25</v>
      </c>
      <c r="AA1621">
        <v>1348.2149999999999</v>
      </c>
    </row>
    <row r="1622" spans="1:27" x14ac:dyDescent="0.3">
      <c r="A1622" t="s">
        <v>3429</v>
      </c>
      <c r="B1622" s="2">
        <v>45769</v>
      </c>
      <c r="C1622" t="s">
        <v>1089</v>
      </c>
      <c r="D1622" t="s">
        <v>1645</v>
      </c>
      <c r="E1622" t="s">
        <v>1749</v>
      </c>
      <c r="F1622" s="4">
        <v>2</v>
      </c>
      <c r="G1622">
        <v>422.13</v>
      </c>
      <c r="H1622">
        <v>0.28000000000000003</v>
      </c>
      <c r="I1622" t="s">
        <v>1807</v>
      </c>
      <c r="J1622">
        <v>607.86720000000003</v>
      </c>
      <c r="K1622" t="s">
        <v>1090</v>
      </c>
      <c r="L1622">
        <v>52</v>
      </c>
      <c r="M1622" t="str">
        <v>Female</v>
      </c>
      <c r="N1622" t="str">
        <f>VLOOKUP(C:C,Customer_Dim!B:I,5,1)</f>
        <v>North Samuel</v>
      </c>
      <c r="O1622" t="str">
        <f>VLOOKUP(C:C,Customer_Dim!B:I,6,1)</f>
        <v>Nebraska</v>
      </c>
      <c r="P1622" t="str">
        <f>VLOOKUP(C:C,Customer_Dim!B:I,7,1)</f>
        <v>USA</v>
      </c>
      <c r="Q1622" t="str">
        <f>VLOOKUP(C:C,Customer_Dim!B:I,8,1)</f>
        <v>Bronze</v>
      </c>
      <c r="S1622">
        <v>2</v>
      </c>
      <c r="T1622">
        <v>422.13</v>
      </c>
      <c r="U1622">
        <v>0.28000000000000003</v>
      </c>
      <c r="V1622">
        <v>607.86720000000003</v>
      </c>
      <c r="X1622" s="4">
        <v>2</v>
      </c>
      <c r="Y1622">
        <v>422.13</v>
      </c>
      <c r="Z1622">
        <v>0.28000000000000003</v>
      </c>
      <c r="AA1622">
        <v>607.86720000000003</v>
      </c>
    </row>
    <row r="1623" spans="1:27" x14ac:dyDescent="0.3">
      <c r="A1623" t="s">
        <v>3430</v>
      </c>
      <c r="B1623" s="2">
        <v>45524</v>
      </c>
      <c r="C1623" t="s">
        <v>188</v>
      </c>
      <c r="D1623" t="s">
        <v>1599</v>
      </c>
      <c r="E1623" t="s">
        <v>1775</v>
      </c>
      <c r="F1623" s="4">
        <v>1</v>
      </c>
      <c r="G1623">
        <v>324.56</v>
      </c>
      <c r="H1623">
        <v>0.03</v>
      </c>
      <c r="I1623" t="s">
        <v>1812</v>
      </c>
      <c r="J1623">
        <v>314.82319999999999</v>
      </c>
      <c r="K1623" t="s">
        <v>189</v>
      </c>
      <c r="L1623">
        <v>23</v>
      </c>
      <c r="M1623" t="str">
        <v>Female</v>
      </c>
      <c r="N1623" t="str">
        <f>VLOOKUP(C:C,Customer_Dim!B:I,5,1)</f>
        <v>Gregoryview</v>
      </c>
      <c r="O1623" t="str">
        <f>VLOOKUP(C:C,Customer_Dim!B:I,6,1)</f>
        <v>Illinois</v>
      </c>
      <c r="P1623" t="str">
        <f>VLOOKUP(C:C,Customer_Dim!B:I,7,1)</f>
        <v>USA</v>
      </c>
      <c r="Q1623" t="str">
        <f>VLOOKUP(C:C,Customer_Dim!B:I,8,1)</f>
        <v>Gold</v>
      </c>
      <c r="S1623">
        <v>1</v>
      </c>
      <c r="T1623">
        <v>324.56</v>
      </c>
      <c r="U1623">
        <v>0.03</v>
      </c>
      <c r="V1623">
        <v>314.82319999999999</v>
      </c>
      <c r="X1623" s="4">
        <v>1</v>
      </c>
      <c r="Y1623">
        <v>324.56</v>
      </c>
      <c r="Z1623">
        <v>0.03</v>
      </c>
      <c r="AA1623">
        <v>314.82319999999999</v>
      </c>
    </row>
    <row r="1624" spans="1:27" x14ac:dyDescent="0.3">
      <c r="A1624" t="s">
        <v>3431</v>
      </c>
      <c r="B1624" s="2">
        <v>45531</v>
      </c>
      <c r="C1624" t="s">
        <v>1427</v>
      </c>
      <c r="D1624" t="s">
        <v>1641</v>
      </c>
      <c r="E1624" t="s">
        <v>1787</v>
      </c>
      <c r="F1624" s="4">
        <v>4</v>
      </c>
      <c r="G1624">
        <v>570.38</v>
      </c>
      <c r="H1624">
        <v>0.26</v>
      </c>
      <c r="I1624" t="s">
        <v>1809</v>
      </c>
      <c r="J1624">
        <v>1688.3248000000001</v>
      </c>
      <c r="K1624" t="s">
        <v>1428</v>
      </c>
      <c r="L1624">
        <v>19</v>
      </c>
      <c r="M1624" t="str">
        <v>Male</v>
      </c>
      <c r="N1624" t="str">
        <f>VLOOKUP(C:C,Customer_Dim!B:I,5,1)</f>
        <v>Bergermouth</v>
      </c>
      <c r="O1624" t="str">
        <f>VLOOKUP(C:C,Customer_Dim!B:I,6,1)</f>
        <v>Vermont</v>
      </c>
      <c r="P1624" t="str">
        <f>VLOOKUP(C:C,Customer_Dim!B:I,7,1)</f>
        <v>USA</v>
      </c>
      <c r="Q1624" t="str">
        <f>VLOOKUP(C:C,Customer_Dim!B:I,8,1)</f>
        <v>Bronze</v>
      </c>
      <c r="S1624">
        <v>4</v>
      </c>
      <c r="T1624">
        <v>570.38</v>
      </c>
      <c r="U1624">
        <v>0.26</v>
      </c>
      <c r="V1624">
        <v>1688.3248000000001</v>
      </c>
      <c r="X1624" s="4">
        <v>4</v>
      </c>
      <c r="Y1624">
        <v>570.38</v>
      </c>
      <c r="Z1624">
        <v>0.26</v>
      </c>
      <c r="AA1624">
        <v>1688.3248000000001</v>
      </c>
    </row>
    <row r="1625" spans="1:27" x14ac:dyDescent="0.3">
      <c r="A1625" t="s">
        <v>3432</v>
      </c>
      <c r="B1625" s="2">
        <v>45479</v>
      </c>
      <c r="C1625" t="s">
        <v>1216</v>
      </c>
      <c r="D1625" t="s">
        <v>1599</v>
      </c>
      <c r="E1625" t="s">
        <v>1784</v>
      </c>
      <c r="F1625" s="4">
        <v>2</v>
      </c>
      <c r="G1625">
        <v>223.73</v>
      </c>
      <c r="H1625">
        <v>0.11</v>
      </c>
      <c r="I1625" t="s">
        <v>1809</v>
      </c>
      <c r="J1625">
        <v>398.23939999999999</v>
      </c>
      <c r="K1625" t="s">
        <v>1217</v>
      </c>
      <c r="L1625">
        <v>50</v>
      </c>
      <c r="M1625" t="str">
        <v>Male</v>
      </c>
      <c r="N1625" t="str">
        <f>VLOOKUP(C:C,Customer_Dim!B:I,5,1)</f>
        <v>Cannonberg</v>
      </c>
      <c r="O1625" t="str">
        <f>VLOOKUP(C:C,Customer_Dim!B:I,6,1)</f>
        <v>Connecticut</v>
      </c>
      <c r="P1625" t="str">
        <f>VLOOKUP(C:C,Customer_Dim!B:I,7,1)</f>
        <v>USA</v>
      </c>
      <c r="Q1625" t="str">
        <f>VLOOKUP(C:C,Customer_Dim!B:I,8,1)</f>
        <v>Bronze</v>
      </c>
      <c r="S1625">
        <v>2</v>
      </c>
      <c r="T1625">
        <v>223.73</v>
      </c>
      <c r="U1625">
        <v>0.11</v>
      </c>
      <c r="V1625">
        <v>398.23939999999999</v>
      </c>
      <c r="X1625" s="4">
        <v>2</v>
      </c>
      <c r="Y1625">
        <v>223.73</v>
      </c>
      <c r="Z1625">
        <v>0.11</v>
      </c>
      <c r="AA1625">
        <v>398.23939999999999</v>
      </c>
    </row>
    <row r="1626" spans="1:27" x14ac:dyDescent="0.3">
      <c r="A1626" t="s">
        <v>3433</v>
      </c>
      <c r="B1626" s="2">
        <v>45868</v>
      </c>
      <c r="C1626" t="s">
        <v>1089</v>
      </c>
      <c r="D1626" t="s">
        <v>1703</v>
      </c>
      <c r="E1626" t="s">
        <v>1787</v>
      </c>
      <c r="F1626" s="4">
        <v>4</v>
      </c>
      <c r="G1626">
        <v>164.93</v>
      </c>
      <c r="H1626">
        <v>0.11</v>
      </c>
      <c r="I1626" t="s">
        <v>1807</v>
      </c>
      <c r="J1626">
        <v>587.1508</v>
      </c>
      <c r="K1626" t="s">
        <v>1090</v>
      </c>
      <c r="L1626">
        <v>52</v>
      </c>
      <c r="M1626" t="str">
        <v>Female</v>
      </c>
      <c r="N1626" t="str">
        <f>VLOOKUP(C:C,Customer_Dim!B:I,5,1)</f>
        <v>North Samuel</v>
      </c>
      <c r="O1626" t="str">
        <f>VLOOKUP(C:C,Customer_Dim!B:I,6,1)</f>
        <v>Nebraska</v>
      </c>
      <c r="P1626" t="str">
        <f>VLOOKUP(C:C,Customer_Dim!B:I,7,1)</f>
        <v>USA</v>
      </c>
      <c r="Q1626" t="str">
        <f>VLOOKUP(C:C,Customer_Dim!B:I,8,1)</f>
        <v>Bronze</v>
      </c>
      <c r="S1626">
        <v>4</v>
      </c>
      <c r="T1626">
        <v>164.93</v>
      </c>
      <c r="U1626">
        <v>0.11</v>
      </c>
      <c r="V1626">
        <v>587.1508</v>
      </c>
      <c r="X1626" s="4">
        <v>4</v>
      </c>
      <c r="Y1626">
        <v>164.93</v>
      </c>
      <c r="Z1626">
        <v>0.11</v>
      </c>
      <c r="AA1626">
        <v>587.1508</v>
      </c>
    </row>
    <row r="1627" spans="1:27" x14ac:dyDescent="0.3">
      <c r="A1627" t="s">
        <v>3434</v>
      </c>
      <c r="B1627" s="2">
        <v>45569</v>
      </c>
      <c r="C1627" t="s">
        <v>791</v>
      </c>
      <c r="D1627" t="s">
        <v>1561</v>
      </c>
      <c r="E1627" t="s">
        <v>1762</v>
      </c>
      <c r="F1627" s="4">
        <v>3</v>
      </c>
      <c r="G1627">
        <v>326.66000000000003</v>
      </c>
      <c r="H1627">
        <v>0.28000000000000003</v>
      </c>
      <c r="I1627" t="s">
        <v>1812</v>
      </c>
      <c r="J1627">
        <v>705.5856</v>
      </c>
      <c r="K1627" t="s">
        <v>792</v>
      </c>
      <c r="L1627">
        <v>48</v>
      </c>
      <c r="M1627" t="str">
        <v>Male</v>
      </c>
      <c r="N1627" t="str">
        <f>VLOOKUP(C:C,Customer_Dim!B:I,5,1)</f>
        <v>Garciamouth</v>
      </c>
      <c r="O1627" t="str">
        <f>VLOOKUP(C:C,Customer_Dim!B:I,6,1)</f>
        <v>New York</v>
      </c>
      <c r="P1627" t="str">
        <f>VLOOKUP(C:C,Customer_Dim!B:I,7,1)</f>
        <v>USA</v>
      </c>
      <c r="Q1627" t="str">
        <f>VLOOKUP(C:C,Customer_Dim!B:I,8,1)</f>
        <v>Gold</v>
      </c>
      <c r="S1627">
        <v>3</v>
      </c>
      <c r="T1627">
        <v>326.66000000000003</v>
      </c>
      <c r="U1627">
        <v>0.28000000000000003</v>
      </c>
      <c r="V1627">
        <v>705.5856</v>
      </c>
      <c r="X1627" s="4">
        <v>3</v>
      </c>
      <c r="Y1627">
        <v>326.66000000000003</v>
      </c>
      <c r="Z1627">
        <v>0.28000000000000003</v>
      </c>
      <c r="AA1627">
        <v>705.5856</v>
      </c>
    </row>
    <row r="1628" spans="1:27" x14ac:dyDescent="0.3">
      <c r="A1628" t="s">
        <v>3435</v>
      </c>
      <c r="B1628" s="2">
        <v>45382</v>
      </c>
      <c r="C1628" t="s">
        <v>595</v>
      </c>
      <c r="D1628" t="s">
        <v>1529</v>
      </c>
      <c r="E1628" t="s">
        <v>1784</v>
      </c>
      <c r="F1628" s="4">
        <v>2</v>
      </c>
      <c r="G1628">
        <v>462.93</v>
      </c>
      <c r="H1628">
        <v>0.17</v>
      </c>
      <c r="I1628" t="s">
        <v>1809</v>
      </c>
      <c r="J1628">
        <v>768.46379999999999</v>
      </c>
      <c r="K1628" t="s">
        <v>596</v>
      </c>
      <c r="L1628">
        <v>18</v>
      </c>
      <c r="M1628" t="str">
        <v>Male</v>
      </c>
      <c r="N1628" t="str">
        <f>VLOOKUP(C:C,Customer_Dim!B:I,5,1)</f>
        <v>Hutchinsonville</v>
      </c>
      <c r="O1628" t="str">
        <f>VLOOKUP(C:C,Customer_Dim!B:I,6,1)</f>
        <v>Oklahoma</v>
      </c>
      <c r="P1628" t="str">
        <f>VLOOKUP(C:C,Customer_Dim!B:I,7,1)</f>
        <v>USA</v>
      </c>
      <c r="Q1628" t="str">
        <f>VLOOKUP(C:C,Customer_Dim!B:I,8,1)</f>
        <v>Silver</v>
      </c>
      <c r="S1628">
        <v>2</v>
      </c>
      <c r="T1628">
        <v>462.93</v>
      </c>
      <c r="U1628">
        <v>0.17</v>
      </c>
      <c r="V1628">
        <v>768.46379999999999</v>
      </c>
      <c r="X1628" s="4">
        <v>2</v>
      </c>
      <c r="Y1628">
        <v>462.93</v>
      </c>
      <c r="Z1628">
        <v>0.17</v>
      </c>
      <c r="AA1628">
        <v>768.46379999999999</v>
      </c>
    </row>
    <row r="1629" spans="1:27" x14ac:dyDescent="0.3">
      <c r="A1629" t="s">
        <v>3436</v>
      </c>
      <c r="B1629" s="2">
        <v>45885</v>
      </c>
      <c r="C1629" t="s">
        <v>491</v>
      </c>
      <c r="D1629" t="s">
        <v>1526</v>
      </c>
      <c r="E1629" t="s">
        <v>1787</v>
      </c>
      <c r="F1629" s="4">
        <v>3</v>
      </c>
      <c r="G1629">
        <v>60.26</v>
      </c>
      <c r="H1629">
        <v>0.04</v>
      </c>
      <c r="I1629" t="s">
        <v>1807</v>
      </c>
      <c r="J1629">
        <v>173.5488</v>
      </c>
      <c r="K1629" t="s">
        <v>492</v>
      </c>
      <c r="L1629">
        <v>42</v>
      </c>
      <c r="M1629" t="str">
        <v>Female</v>
      </c>
      <c r="N1629" t="str">
        <f>VLOOKUP(C:C,Customer_Dim!B:I,5,1)</f>
        <v>Lake Nathanfort</v>
      </c>
      <c r="O1629" t="str">
        <f>VLOOKUP(C:C,Customer_Dim!B:I,6,1)</f>
        <v>Alaska</v>
      </c>
      <c r="P1629" t="str">
        <f>VLOOKUP(C:C,Customer_Dim!B:I,7,1)</f>
        <v>USA</v>
      </c>
      <c r="Q1629" t="str">
        <f>VLOOKUP(C:C,Customer_Dim!B:I,8,1)</f>
        <v>Platinum</v>
      </c>
      <c r="S1629">
        <v>3</v>
      </c>
      <c r="T1629">
        <v>60.26</v>
      </c>
      <c r="U1629">
        <v>0.04</v>
      </c>
      <c r="V1629">
        <v>173.5488</v>
      </c>
      <c r="X1629" s="4">
        <v>3</v>
      </c>
      <c r="Y1629">
        <v>60.26</v>
      </c>
      <c r="Z1629">
        <v>0.04</v>
      </c>
      <c r="AA1629">
        <v>173.5488</v>
      </c>
    </row>
    <row r="1630" spans="1:27" x14ac:dyDescent="0.3">
      <c r="A1630" t="s">
        <v>3437</v>
      </c>
      <c r="B1630" s="2">
        <v>45829</v>
      </c>
      <c r="C1630" t="s">
        <v>258</v>
      </c>
      <c r="D1630" t="s">
        <v>1599</v>
      </c>
      <c r="E1630" t="s">
        <v>1769</v>
      </c>
      <c r="F1630" s="4">
        <v>3</v>
      </c>
      <c r="G1630">
        <v>109.5</v>
      </c>
      <c r="H1630">
        <v>0.06</v>
      </c>
      <c r="I1630" t="s">
        <v>1812</v>
      </c>
      <c r="J1630">
        <v>308.79000000000002</v>
      </c>
      <c r="K1630" t="s">
        <v>259</v>
      </c>
      <c r="L1630">
        <v>39</v>
      </c>
      <c r="M1630" t="str">
        <v>Female</v>
      </c>
      <c r="N1630" t="str">
        <f>VLOOKUP(C:C,Customer_Dim!B:I,5,1)</f>
        <v>South Shaun</v>
      </c>
      <c r="O1630" t="str">
        <f>VLOOKUP(C:C,Customer_Dim!B:I,6,1)</f>
        <v>New Mexico</v>
      </c>
      <c r="P1630" t="str">
        <f>VLOOKUP(C:C,Customer_Dim!B:I,7,1)</f>
        <v>USA</v>
      </c>
      <c r="Q1630" t="str">
        <f>VLOOKUP(C:C,Customer_Dim!B:I,8,1)</f>
        <v>Gold</v>
      </c>
      <c r="S1630">
        <v>3</v>
      </c>
      <c r="T1630">
        <v>109.5</v>
      </c>
      <c r="U1630">
        <v>0.06</v>
      </c>
      <c r="V1630">
        <v>308.79000000000002</v>
      </c>
      <c r="X1630" s="4">
        <v>3</v>
      </c>
      <c r="Y1630">
        <v>109.5</v>
      </c>
      <c r="Z1630">
        <v>0.06</v>
      </c>
      <c r="AA1630">
        <v>308.79000000000002</v>
      </c>
    </row>
    <row r="1631" spans="1:27" x14ac:dyDescent="0.3">
      <c r="A1631" t="s">
        <v>3438</v>
      </c>
      <c r="B1631" s="2">
        <v>45721</v>
      </c>
      <c r="C1631" t="s">
        <v>1180</v>
      </c>
      <c r="D1631" t="s">
        <v>1671</v>
      </c>
      <c r="E1631" t="s">
        <v>1787</v>
      </c>
      <c r="F1631" s="4">
        <v>1</v>
      </c>
      <c r="G1631">
        <v>505.83</v>
      </c>
      <c r="H1631">
        <v>0.14000000000000001</v>
      </c>
      <c r="I1631" t="s">
        <v>1812</v>
      </c>
      <c r="J1631">
        <v>435.0138</v>
      </c>
      <c r="K1631" t="s">
        <v>1181</v>
      </c>
      <c r="L1631">
        <v>27</v>
      </c>
      <c r="M1631" t="str">
        <v>Female</v>
      </c>
      <c r="N1631" t="str">
        <f>VLOOKUP(C:C,Customer_Dim!B:I,5,1)</f>
        <v>Novakstad</v>
      </c>
      <c r="O1631" t="str">
        <f>VLOOKUP(C:C,Customer_Dim!B:I,6,1)</f>
        <v>California</v>
      </c>
      <c r="P1631" t="str">
        <f>VLOOKUP(C:C,Customer_Dim!B:I,7,1)</f>
        <v>USA</v>
      </c>
      <c r="Q1631" t="str">
        <f>VLOOKUP(C:C,Customer_Dim!B:I,8,1)</f>
        <v>Gold</v>
      </c>
      <c r="S1631">
        <v>1</v>
      </c>
      <c r="T1631">
        <v>505.83</v>
      </c>
      <c r="U1631">
        <v>0.14000000000000001</v>
      </c>
      <c r="V1631">
        <v>435.0138</v>
      </c>
      <c r="X1631" s="4">
        <v>1</v>
      </c>
      <c r="Y1631">
        <v>505.83</v>
      </c>
      <c r="Z1631">
        <v>0.14000000000000001</v>
      </c>
      <c r="AA1631">
        <v>435.0138</v>
      </c>
    </row>
    <row r="1632" spans="1:27" x14ac:dyDescent="0.3">
      <c r="A1632" t="s">
        <v>3439</v>
      </c>
      <c r="B1632" s="2">
        <v>45511</v>
      </c>
      <c r="C1632" t="s">
        <v>539</v>
      </c>
      <c r="D1632" t="s">
        <v>1727</v>
      </c>
      <c r="E1632" t="s">
        <v>1772</v>
      </c>
      <c r="F1632" s="4">
        <v>2</v>
      </c>
      <c r="G1632">
        <v>443.15</v>
      </c>
      <c r="H1632">
        <v>0.27</v>
      </c>
      <c r="I1632" t="s">
        <v>1809</v>
      </c>
      <c r="J1632">
        <v>646.99899999999991</v>
      </c>
      <c r="K1632" t="s">
        <v>540</v>
      </c>
      <c r="L1632">
        <v>39</v>
      </c>
      <c r="M1632" t="str">
        <v>Female</v>
      </c>
      <c r="N1632" t="str">
        <f>VLOOKUP(C:C,Customer_Dim!B:I,5,1)</f>
        <v>North Matthew</v>
      </c>
      <c r="O1632" t="str">
        <f>VLOOKUP(C:C,Customer_Dim!B:I,6,1)</f>
        <v>Illinois</v>
      </c>
      <c r="P1632" t="str">
        <f>VLOOKUP(C:C,Customer_Dim!B:I,7,1)</f>
        <v>USA</v>
      </c>
      <c r="Q1632" t="str">
        <f>VLOOKUP(C:C,Customer_Dim!B:I,8,1)</f>
        <v>Bronze</v>
      </c>
      <c r="S1632">
        <v>2</v>
      </c>
      <c r="T1632">
        <v>443.15</v>
      </c>
      <c r="U1632">
        <v>0.27</v>
      </c>
      <c r="V1632">
        <v>646.99899999999991</v>
      </c>
      <c r="X1632" s="4">
        <v>2</v>
      </c>
      <c r="Y1632">
        <v>443.15</v>
      </c>
      <c r="Z1632">
        <v>0.27</v>
      </c>
      <c r="AA1632">
        <v>646.99899999999991</v>
      </c>
    </row>
    <row r="1633" spans="1:27" x14ac:dyDescent="0.3">
      <c r="A1633" t="s">
        <v>3440</v>
      </c>
      <c r="B1633" s="2">
        <v>45739</v>
      </c>
      <c r="C1633" t="s">
        <v>1510</v>
      </c>
      <c r="D1633" t="s">
        <v>1543</v>
      </c>
      <c r="E1633" t="s">
        <v>1762</v>
      </c>
      <c r="F1633" s="4">
        <v>2</v>
      </c>
      <c r="G1633">
        <v>784.26</v>
      </c>
      <c r="H1633">
        <v>0.23</v>
      </c>
      <c r="I1633" t="s">
        <v>1809</v>
      </c>
      <c r="J1633">
        <v>1207.7603999999999</v>
      </c>
      <c r="K1633" t="s">
        <v>1511</v>
      </c>
      <c r="L1633">
        <v>35</v>
      </c>
      <c r="M1633" t="str">
        <v>Male</v>
      </c>
      <c r="N1633" t="str">
        <f>VLOOKUP(C:C,Customer_Dim!B:I,5,1)</f>
        <v>Port William</v>
      </c>
      <c r="O1633" t="str">
        <f>VLOOKUP(C:C,Customer_Dim!B:I,6,1)</f>
        <v>New York</v>
      </c>
      <c r="P1633" t="str">
        <f>VLOOKUP(C:C,Customer_Dim!B:I,7,1)</f>
        <v>USA</v>
      </c>
      <c r="Q1633" t="str">
        <f>VLOOKUP(C:C,Customer_Dim!B:I,8,1)</f>
        <v>Gold</v>
      </c>
      <c r="S1633">
        <v>2</v>
      </c>
      <c r="T1633">
        <v>784.26</v>
      </c>
      <c r="U1633">
        <v>0.23</v>
      </c>
      <c r="V1633">
        <v>1207.7603999999999</v>
      </c>
      <c r="X1633" s="4">
        <v>2</v>
      </c>
      <c r="Y1633">
        <v>784.26</v>
      </c>
      <c r="Z1633">
        <v>0.23</v>
      </c>
      <c r="AA1633">
        <v>1207.7603999999999</v>
      </c>
    </row>
    <row r="1634" spans="1:27" x14ac:dyDescent="0.3">
      <c r="A1634" t="s">
        <v>3441</v>
      </c>
      <c r="B1634" s="2">
        <v>45533</v>
      </c>
      <c r="C1634" t="s">
        <v>1389</v>
      </c>
      <c r="D1634" t="s">
        <v>1609</v>
      </c>
      <c r="E1634" t="s">
        <v>1775</v>
      </c>
      <c r="F1634" s="4">
        <v>3</v>
      </c>
      <c r="G1634">
        <v>590.30999999999995</v>
      </c>
      <c r="H1634">
        <v>0.17</v>
      </c>
      <c r="I1634" t="s">
        <v>1809</v>
      </c>
      <c r="J1634">
        <v>1469.8719000000001</v>
      </c>
      <c r="K1634" t="s">
        <v>1390</v>
      </c>
      <c r="L1634">
        <v>59</v>
      </c>
      <c r="M1634" t="str">
        <v>Female</v>
      </c>
      <c r="N1634" t="str">
        <f>VLOOKUP(C:C,Customer_Dim!B:I,5,1)</f>
        <v>East Yvette</v>
      </c>
      <c r="O1634" t="str">
        <f>VLOOKUP(C:C,Customer_Dim!B:I,6,1)</f>
        <v>Illinois</v>
      </c>
      <c r="P1634" t="str">
        <f>VLOOKUP(C:C,Customer_Dim!B:I,7,1)</f>
        <v>USA</v>
      </c>
      <c r="Q1634" t="str">
        <f>VLOOKUP(C:C,Customer_Dim!B:I,8,1)</f>
        <v>Gold</v>
      </c>
      <c r="S1634">
        <v>3</v>
      </c>
      <c r="T1634">
        <v>590.30999999999995</v>
      </c>
      <c r="U1634">
        <v>0.17</v>
      </c>
      <c r="V1634">
        <v>1469.8719000000001</v>
      </c>
      <c r="X1634" s="4">
        <v>3</v>
      </c>
      <c r="Y1634">
        <v>590.30999999999995</v>
      </c>
      <c r="Z1634">
        <v>0.17</v>
      </c>
      <c r="AA1634">
        <v>1469.8719000000001</v>
      </c>
    </row>
    <row r="1635" spans="1:27" x14ac:dyDescent="0.3">
      <c r="A1635" t="s">
        <v>3442</v>
      </c>
      <c r="B1635" s="2">
        <v>45553</v>
      </c>
      <c r="C1635" t="s">
        <v>412</v>
      </c>
      <c r="D1635" t="s">
        <v>1669</v>
      </c>
      <c r="E1635" t="s">
        <v>1787</v>
      </c>
      <c r="F1635" s="4">
        <v>1</v>
      </c>
      <c r="G1635">
        <v>696.13</v>
      </c>
      <c r="H1635">
        <v>0.06</v>
      </c>
      <c r="I1635" t="s">
        <v>1812</v>
      </c>
      <c r="J1635">
        <v>654.36219999999992</v>
      </c>
      <c r="K1635" t="s">
        <v>413</v>
      </c>
      <c r="L1635">
        <v>62</v>
      </c>
      <c r="M1635" t="str">
        <v>Male</v>
      </c>
      <c r="N1635" t="str">
        <f>VLOOKUP(C:C,Customer_Dim!B:I,5,1)</f>
        <v>Lake Tylerfort</v>
      </c>
      <c r="O1635" t="str">
        <f>VLOOKUP(C:C,Customer_Dim!B:I,6,1)</f>
        <v>Pennsylvania</v>
      </c>
      <c r="P1635" t="str">
        <f>VLOOKUP(C:C,Customer_Dim!B:I,7,1)</f>
        <v>USA</v>
      </c>
      <c r="Q1635" t="str">
        <f>VLOOKUP(C:C,Customer_Dim!B:I,8,1)</f>
        <v>Platinum</v>
      </c>
      <c r="S1635">
        <v>1</v>
      </c>
      <c r="T1635">
        <v>696.13</v>
      </c>
      <c r="U1635">
        <v>0.06</v>
      </c>
      <c r="V1635">
        <v>654.36219999999992</v>
      </c>
      <c r="X1635" s="4">
        <v>1</v>
      </c>
      <c r="Y1635">
        <v>696.13</v>
      </c>
      <c r="Z1635">
        <v>0.06</v>
      </c>
      <c r="AA1635">
        <v>654.36219999999992</v>
      </c>
    </row>
    <row r="1636" spans="1:27" x14ac:dyDescent="0.3">
      <c r="A1636" t="s">
        <v>3443</v>
      </c>
      <c r="B1636" s="2">
        <v>45341</v>
      </c>
      <c r="C1636" t="s">
        <v>364</v>
      </c>
      <c r="D1636" t="s">
        <v>1633</v>
      </c>
      <c r="E1636" t="s">
        <v>1759</v>
      </c>
      <c r="F1636" s="4">
        <v>4</v>
      </c>
      <c r="G1636">
        <v>194.39</v>
      </c>
      <c r="H1636">
        <v>0.25</v>
      </c>
      <c r="I1636" t="s">
        <v>1807</v>
      </c>
      <c r="J1636">
        <v>583.16999999999996</v>
      </c>
      <c r="K1636" t="s">
        <v>365</v>
      </c>
      <c r="L1636">
        <v>50</v>
      </c>
      <c r="M1636" t="str">
        <v>Female</v>
      </c>
      <c r="N1636" t="str">
        <f>VLOOKUP(C:C,Customer_Dim!B:I,5,1)</f>
        <v>South Jenniferville</v>
      </c>
      <c r="O1636" t="str">
        <f>VLOOKUP(C:C,Customer_Dim!B:I,6,1)</f>
        <v>Georgia</v>
      </c>
      <c r="P1636" t="str">
        <f>VLOOKUP(C:C,Customer_Dim!B:I,7,1)</f>
        <v>USA</v>
      </c>
      <c r="Q1636" t="str">
        <f>VLOOKUP(C:C,Customer_Dim!B:I,8,1)</f>
        <v>Silver</v>
      </c>
      <c r="S1636">
        <v>4</v>
      </c>
      <c r="T1636">
        <v>194.39</v>
      </c>
      <c r="U1636">
        <v>0.25</v>
      </c>
      <c r="V1636">
        <v>583.16999999999996</v>
      </c>
      <c r="X1636" s="4">
        <v>4</v>
      </c>
      <c r="Y1636">
        <v>194.39</v>
      </c>
      <c r="Z1636">
        <v>0.25</v>
      </c>
      <c r="AA1636">
        <v>583.16999999999996</v>
      </c>
    </row>
    <row r="1637" spans="1:27" x14ac:dyDescent="0.3">
      <c r="A1637" t="s">
        <v>3444</v>
      </c>
      <c r="B1637" s="2">
        <v>45430</v>
      </c>
      <c r="C1637" t="s">
        <v>1027</v>
      </c>
      <c r="D1637" t="s">
        <v>1597</v>
      </c>
      <c r="E1637" t="s">
        <v>1740</v>
      </c>
      <c r="F1637" s="4">
        <v>1</v>
      </c>
      <c r="G1637">
        <v>339.7</v>
      </c>
      <c r="H1637">
        <v>0.1</v>
      </c>
      <c r="I1637" t="s">
        <v>1807</v>
      </c>
      <c r="J1637">
        <v>305.73</v>
      </c>
      <c r="K1637" t="s">
        <v>1028</v>
      </c>
      <c r="L1637">
        <v>38</v>
      </c>
      <c r="M1637" t="str">
        <v>Female</v>
      </c>
      <c r="N1637" t="str">
        <f>VLOOKUP(C:C,Customer_Dim!B:I,5,1)</f>
        <v>South Jasontown</v>
      </c>
      <c r="O1637" t="str">
        <f>VLOOKUP(C:C,Customer_Dim!B:I,6,1)</f>
        <v>Illinois</v>
      </c>
      <c r="P1637" t="str">
        <f>VLOOKUP(C:C,Customer_Dim!B:I,7,1)</f>
        <v>USA</v>
      </c>
      <c r="Q1637" t="str">
        <f>VLOOKUP(C:C,Customer_Dim!B:I,8,1)</f>
        <v>Platinum</v>
      </c>
      <c r="S1637">
        <v>1</v>
      </c>
      <c r="T1637">
        <v>339.7</v>
      </c>
      <c r="U1637">
        <v>0.1</v>
      </c>
      <c r="V1637">
        <v>305.73</v>
      </c>
      <c r="X1637" s="4">
        <v>1</v>
      </c>
      <c r="Y1637">
        <v>339.7</v>
      </c>
      <c r="Z1637">
        <v>0.1</v>
      </c>
      <c r="AA1637">
        <v>305.73</v>
      </c>
    </row>
    <row r="1638" spans="1:27" x14ac:dyDescent="0.3">
      <c r="A1638" t="s">
        <v>3445</v>
      </c>
      <c r="B1638" s="2">
        <v>45912</v>
      </c>
      <c r="C1638" t="s">
        <v>182</v>
      </c>
      <c r="D1638" t="s">
        <v>1667</v>
      </c>
      <c r="E1638" t="s">
        <v>1780</v>
      </c>
      <c r="F1638" s="4">
        <v>4</v>
      </c>
      <c r="G1638">
        <v>463.16</v>
      </c>
      <c r="H1638">
        <v>0.27</v>
      </c>
      <c r="I1638" t="s">
        <v>1809</v>
      </c>
      <c r="J1638">
        <v>1352.4272000000001</v>
      </c>
      <c r="K1638" t="s">
        <v>183</v>
      </c>
      <c r="L1638">
        <v>45</v>
      </c>
      <c r="M1638" t="str">
        <v>Female</v>
      </c>
      <c r="N1638" t="str">
        <f>VLOOKUP(C:C,Customer_Dim!B:I,5,1)</f>
        <v>Dawsonbury</v>
      </c>
      <c r="O1638" t="str">
        <f>VLOOKUP(C:C,Customer_Dim!B:I,6,1)</f>
        <v>North Carolina</v>
      </c>
      <c r="P1638" t="str">
        <f>VLOOKUP(C:C,Customer_Dim!B:I,7,1)</f>
        <v>USA</v>
      </c>
      <c r="Q1638" t="str">
        <f>VLOOKUP(C:C,Customer_Dim!B:I,8,1)</f>
        <v>Platinum</v>
      </c>
      <c r="S1638">
        <v>4</v>
      </c>
      <c r="T1638">
        <v>463.16</v>
      </c>
      <c r="U1638">
        <v>0.27</v>
      </c>
      <c r="V1638">
        <v>1352.4272000000001</v>
      </c>
      <c r="X1638" s="4">
        <v>4</v>
      </c>
      <c r="Y1638">
        <v>463.16</v>
      </c>
      <c r="Z1638">
        <v>0.27</v>
      </c>
      <c r="AA1638">
        <v>1352.4272000000001</v>
      </c>
    </row>
    <row r="1639" spans="1:27" x14ac:dyDescent="0.3">
      <c r="A1639" t="s">
        <v>3446</v>
      </c>
      <c r="B1639" s="2">
        <v>45709</v>
      </c>
      <c r="C1639" t="s">
        <v>373</v>
      </c>
      <c r="D1639" t="s">
        <v>1538</v>
      </c>
      <c r="E1639" t="s">
        <v>1772</v>
      </c>
      <c r="F1639" s="4">
        <v>2</v>
      </c>
      <c r="G1639">
        <v>824.91</v>
      </c>
      <c r="H1639">
        <v>0.09</v>
      </c>
      <c r="I1639" t="s">
        <v>1807</v>
      </c>
      <c r="J1639">
        <v>1501.3362</v>
      </c>
      <c r="K1639" t="s">
        <v>374</v>
      </c>
      <c r="L1639">
        <v>38</v>
      </c>
      <c r="M1639" t="str">
        <v>Male</v>
      </c>
      <c r="N1639" t="str">
        <f>VLOOKUP(C:C,Customer_Dim!B:I,5,1)</f>
        <v>North Justin</v>
      </c>
      <c r="O1639" t="str">
        <f>VLOOKUP(C:C,Customer_Dim!B:I,6,1)</f>
        <v>North Dakota</v>
      </c>
      <c r="P1639" t="str">
        <f>VLOOKUP(C:C,Customer_Dim!B:I,7,1)</f>
        <v>USA</v>
      </c>
      <c r="Q1639" t="str">
        <f>VLOOKUP(C:C,Customer_Dim!B:I,8,1)</f>
        <v>Platinum</v>
      </c>
      <c r="S1639">
        <v>2</v>
      </c>
      <c r="T1639">
        <v>824.91</v>
      </c>
      <c r="U1639">
        <v>0.09</v>
      </c>
      <c r="V1639">
        <v>1501.3362</v>
      </c>
      <c r="X1639" s="4">
        <v>2</v>
      </c>
      <c r="Y1639">
        <v>824.91</v>
      </c>
      <c r="Z1639">
        <v>0.09</v>
      </c>
      <c r="AA1639">
        <v>1501.3362</v>
      </c>
    </row>
    <row r="1640" spans="1:27" x14ac:dyDescent="0.3">
      <c r="A1640" t="s">
        <v>3447</v>
      </c>
      <c r="B1640" s="2">
        <v>45520</v>
      </c>
      <c r="C1640" t="s">
        <v>255</v>
      </c>
      <c r="D1640" t="s">
        <v>1538</v>
      </c>
      <c r="E1640" t="s">
        <v>1744</v>
      </c>
      <c r="F1640" s="4">
        <v>4</v>
      </c>
      <c r="G1640">
        <v>796.89</v>
      </c>
      <c r="H1640">
        <v>0.17</v>
      </c>
      <c r="I1640" t="s">
        <v>1807</v>
      </c>
      <c r="J1640">
        <v>2645.6747999999998</v>
      </c>
      <c r="K1640" t="s">
        <v>256</v>
      </c>
      <c r="L1640">
        <v>61</v>
      </c>
      <c r="M1640" t="str">
        <v>Female</v>
      </c>
      <c r="N1640" t="str">
        <f>VLOOKUP(C:C,Customer_Dim!B:I,5,1)</f>
        <v>Port Lisa</v>
      </c>
      <c r="O1640" t="str">
        <f>VLOOKUP(C:C,Customer_Dim!B:I,6,1)</f>
        <v>New Mexico</v>
      </c>
      <c r="P1640" t="str">
        <f>VLOOKUP(C:C,Customer_Dim!B:I,7,1)</f>
        <v>USA</v>
      </c>
      <c r="Q1640" t="str">
        <f>VLOOKUP(C:C,Customer_Dim!B:I,8,1)</f>
        <v>Gold</v>
      </c>
      <c r="S1640">
        <v>4</v>
      </c>
      <c r="T1640">
        <v>796.89</v>
      </c>
      <c r="U1640">
        <v>0.17</v>
      </c>
      <c r="V1640">
        <v>2645.6747999999998</v>
      </c>
      <c r="X1640" s="4">
        <v>4</v>
      </c>
      <c r="Y1640">
        <v>796.89</v>
      </c>
      <c r="Z1640">
        <v>0.17</v>
      </c>
      <c r="AA1640">
        <v>2645.6747999999998</v>
      </c>
    </row>
    <row r="1641" spans="1:27" x14ac:dyDescent="0.3">
      <c r="A1641" t="s">
        <v>3448</v>
      </c>
      <c r="B1641" s="2">
        <v>45478</v>
      </c>
      <c r="C1641" t="s">
        <v>764</v>
      </c>
      <c r="D1641" t="s">
        <v>1583</v>
      </c>
      <c r="E1641" t="s">
        <v>1790</v>
      </c>
      <c r="F1641" s="4">
        <v>3</v>
      </c>
      <c r="G1641">
        <v>543.92999999999995</v>
      </c>
      <c r="H1641">
        <v>0.3</v>
      </c>
      <c r="I1641" t="s">
        <v>1812</v>
      </c>
      <c r="J1641">
        <v>1142.2529999999999</v>
      </c>
      <c r="K1641" t="s">
        <v>765</v>
      </c>
      <c r="L1641">
        <v>31</v>
      </c>
      <c r="M1641" t="str">
        <v>Male</v>
      </c>
      <c r="N1641" t="str">
        <f>VLOOKUP(C:C,Customer_Dim!B:I,5,1)</f>
        <v>Heathfort</v>
      </c>
      <c r="O1641" t="str">
        <f>VLOOKUP(C:C,Customer_Dim!B:I,6,1)</f>
        <v>Michigan</v>
      </c>
      <c r="P1641" t="str">
        <f>VLOOKUP(C:C,Customer_Dim!B:I,7,1)</f>
        <v>USA</v>
      </c>
      <c r="Q1641" t="str">
        <f>VLOOKUP(C:C,Customer_Dim!B:I,8,1)</f>
        <v>Platinum</v>
      </c>
      <c r="S1641">
        <v>3</v>
      </c>
      <c r="T1641">
        <v>543.92999999999995</v>
      </c>
      <c r="U1641">
        <v>0.3</v>
      </c>
      <c r="V1641">
        <v>1142.2529999999999</v>
      </c>
      <c r="X1641" s="4">
        <v>3</v>
      </c>
      <c r="Y1641">
        <v>543.92999999999995</v>
      </c>
      <c r="Z1641">
        <v>0.3</v>
      </c>
      <c r="AA1641">
        <v>1142.2529999999999</v>
      </c>
    </row>
    <row r="1642" spans="1:27" x14ac:dyDescent="0.3">
      <c r="A1642" t="s">
        <v>3449</v>
      </c>
      <c r="B1642" s="2">
        <v>45496</v>
      </c>
      <c r="C1642" t="s">
        <v>568</v>
      </c>
      <c r="D1642" t="s">
        <v>1559</v>
      </c>
      <c r="E1642" t="s">
        <v>1762</v>
      </c>
      <c r="F1642" s="4">
        <v>2</v>
      </c>
      <c r="G1642">
        <v>44.65</v>
      </c>
      <c r="H1642">
        <v>0.03</v>
      </c>
      <c r="I1642" t="s">
        <v>1809</v>
      </c>
      <c r="J1642">
        <v>86.620999999999995</v>
      </c>
      <c r="K1642" t="s">
        <v>569</v>
      </c>
      <c r="L1642">
        <v>26</v>
      </c>
      <c r="M1642" t="str">
        <v>Female</v>
      </c>
      <c r="N1642" t="str">
        <f>VLOOKUP(C:C,Customer_Dim!B:I,5,1)</f>
        <v>New William</v>
      </c>
      <c r="O1642" t="str">
        <f>VLOOKUP(C:C,Customer_Dim!B:I,6,1)</f>
        <v>Iowa</v>
      </c>
      <c r="P1642" t="str">
        <f>VLOOKUP(C:C,Customer_Dim!B:I,7,1)</f>
        <v>USA</v>
      </c>
      <c r="Q1642" t="str">
        <f>VLOOKUP(C:C,Customer_Dim!B:I,8,1)</f>
        <v>Platinum</v>
      </c>
      <c r="S1642">
        <v>2</v>
      </c>
      <c r="T1642">
        <v>44.65</v>
      </c>
      <c r="U1642">
        <v>0.03</v>
      </c>
      <c r="V1642">
        <v>86.620999999999995</v>
      </c>
      <c r="X1642" s="4">
        <v>2</v>
      </c>
      <c r="Y1642">
        <v>44.65</v>
      </c>
      <c r="Z1642">
        <v>0.03</v>
      </c>
      <c r="AA1642">
        <v>86.620999999999995</v>
      </c>
    </row>
    <row r="1643" spans="1:27" x14ac:dyDescent="0.3">
      <c r="A1643" t="s">
        <v>3450</v>
      </c>
      <c r="B1643" s="2">
        <v>45742</v>
      </c>
      <c r="C1643" t="s">
        <v>794</v>
      </c>
      <c r="D1643" t="s">
        <v>1643</v>
      </c>
      <c r="E1643" t="s">
        <v>1735</v>
      </c>
      <c r="F1643" s="4">
        <v>4</v>
      </c>
      <c r="G1643">
        <v>827.39</v>
      </c>
      <c r="H1643">
        <v>0.06</v>
      </c>
      <c r="I1643" t="s">
        <v>1812</v>
      </c>
      <c r="J1643">
        <v>3110.9863999999998</v>
      </c>
      <c r="K1643" t="s">
        <v>795</v>
      </c>
      <c r="L1643">
        <v>64</v>
      </c>
      <c r="M1643" t="str">
        <v>Male</v>
      </c>
      <c r="N1643" t="str">
        <f>VLOOKUP(C:C,Customer_Dim!B:I,5,1)</f>
        <v>New Daniel</v>
      </c>
      <c r="O1643" t="str">
        <f>VLOOKUP(C:C,Customer_Dim!B:I,6,1)</f>
        <v>Delaware</v>
      </c>
      <c r="P1643" t="str">
        <f>VLOOKUP(C:C,Customer_Dim!B:I,7,1)</f>
        <v>USA</v>
      </c>
      <c r="Q1643" t="str">
        <f>VLOOKUP(C:C,Customer_Dim!B:I,8,1)</f>
        <v>Platinum</v>
      </c>
      <c r="S1643">
        <v>4</v>
      </c>
      <c r="T1643">
        <v>827.39</v>
      </c>
      <c r="U1643">
        <v>0.06</v>
      </c>
      <c r="V1643">
        <v>3110.9863999999998</v>
      </c>
      <c r="X1643" s="4">
        <v>4</v>
      </c>
      <c r="Y1643">
        <v>827.39</v>
      </c>
      <c r="Z1643">
        <v>0.06</v>
      </c>
      <c r="AA1643">
        <v>3110.9863999999998</v>
      </c>
    </row>
    <row r="1644" spans="1:27" x14ac:dyDescent="0.3">
      <c r="A1644" t="s">
        <v>3451</v>
      </c>
      <c r="B1644" s="2">
        <v>45301</v>
      </c>
      <c r="C1644" t="s">
        <v>962</v>
      </c>
      <c r="D1644" t="s">
        <v>1559</v>
      </c>
      <c r="E1644" t="s">
        <v>1777</v>
      </c>
      <c r="F1644" s="4">
        <v>2</v>
      </c>
      <c r="G1644">
        <v>403.2</v>
      </c>
      <c r="H1644">
        <v>0.21</v>
      </c>
      <c r="I1644" t="s">
        <v>1809</v>
      </c>
      <c r="J1644">
        <v>637.05600000000004</v>
      </c>
      <c r="K1644" t="s">
        <v>963</v>
      </c>
      <c r="L1644">
        <v>41</v>
      </c>
      <c r="M1644" t="str">
        <v>Female</v>
      </c>
      <c r="N1644" t="str">
        <f>VLOOKUP(C:C,Customer_Dim!B:I,5,1)</f>
        <v>Sarahland</v>
      </c>
      <c r="O1644" t="str">
        <f>VLOOKUP(C:C,Customer_Dim!B:I,6,1)</f>
        <v>Iowa</v>
      </c>
      <c r="P1644" t="str">
        <f>VLOOKUP(C:C,Customer_Dim!B:I,7,1)</f>
        <v>USA</v>
      </c>
      <c r="Q1644" t="str">
        <f>VLOOKUP(C:C,Customer_Dim!B:I,8,1)</f>
        <v>Gold</v>
      </c>
      <c r="S1644">
        <v>2</v>
      </c>
      <c r="T1644">
        <v>403.2</v>
      </c>
      <c r="U1644">
        <v>0.21</v>
      </c>
      <c r="V1644">
        <v>637.05600000000004</v>
      </c>
      <c r="X1644" s="4">
        <v>2</v>
      </c>
      <c r="Y1644">
        <v>403.2</v>
      </c>
      <c r="Z1644">
        <v>0.21</v>
      </c>
      <c r="AA1644">
        <v>637.05600000000004</v>
      </c>
    </row>
    <row r="1645" spans="1:27" x14ac:dyDescent="0.3">
      <c r="A1645" t="s">
        <v>3452</v>
      </c>
      <c r="B1645" s="2">
        <v>45547</v>
      </c>
      <c r="C1645" t="s">
        <v>78</v>
      </c>
      <c r="D1645" t="s">
        <v>1703</v>
      </c>
      <c r="E1645" t="s">
        <v>1780</v>
      </c>
      <c r="F1645" s="4">
        <v>4</v>
      </c>
      <c r="G1645">
        <v>292.31</v>
      </c>
      <c r="H1645">
        <v>0.27</v>
      </c>
      <c r="I1645" t="s">
        <v>1809</v>
      </c>
      <c r="J1645">
        <v>853.54520000000002</v>
      </c>
      <c r="K1645" t="s">
        <v>79</v>
      </c>
      <c r="L1645">
        <v>43</v>
      </c>
      <c r="M1645" t="str">
        <v>Male</v>
      </c>
      <c r="N1645" t="str">
        <f>VLOOKUP(C:C,Customer_Dim!B:I,5,1)</f>
        <v>Brandonville</v>
      </c>
      <c r="O1645" t="str">
        <f>VLOOKUP(C:C,Customer_Dim!B:I,6,1)</f>
        <v>Georgia</v>
      </c>
      <c r="P1645" t="str">
        <f>VLOOKUP(C:C,Customer_Dim!B:I,7,1)</f>
        <v>USA</v>
      </c>
      <c r="Q1645" t="str">
        <f>VLOOKUP(C:C,Customer_Dim!B:I,8,1)</f>
        <v>Platinum</v>
      </c>
      <c r="S1645">
        <v>4</v>
      </c>
      <c r="T1645">
        <v>292.31</v>
      </c>
      <c r="U1645">
        <v>0.27</v>
      </c>
      <c r="V1645">
        <v>853.54520000000002</v>
      </c>
      <c r="X1645" s="4">
        <v>4</v>
      </c>
      <c r="Y1645">
        <v>292.31</v>
      </c>
      <c r="Z1645">
        <v>0.27</v>
      </c>
      <c r="AA1645">
        <v>853.54520000000002</v>
      </c>
    </row>
    <row r="1646" spans="1:27" x14ac:dyDescent="0.3">
      <c r="A1646" t="s">
        <v>3453</v>
      </c>
      <c r="B1646" s="2">
        <v>45806</v>
      </c>
      <c r="C1646" t="s">
        <v>1496</v>
      </c>
      <c r="D1646" t="s">
        <v>1532</v>
      </c>
      <c r="E1646" t="s">
        <v>1772</v>
      </c>
      <c r="F1646" s="4">
        <v>1</v>
      </c>
      <c r="G1646">
        <v>948.33</v>
      </c>
      <c r="H1646">
        <v>0.11</v>
      </c>
      <c r="I1646" t="s">
        <v>1807</v>
      </c>
      <c r="J1646">
        <v>844.01370000000009</v>
      </c>
      <c r="K1646" t="s">
        <v>1497</v>
      </c>
      <c r="L1646">
        <v>28</v>
      </c>
      <c r="M1646" t="str">
        <v>Male</v>
      </c>
      <c r="N1646" t="str">
        <f>VLOOKUP(C:C,Customer_Dim!B:I,5,1)</f>
        <v>Port Carol</v>
      </c>
      <c r="O1646" t="str">
        <f>VLOOKUP(C:C,Customer_Dim!B:I,6,1)</f>
        <v>Florida</v>
      </c>
      <c r="P1646" t="str">
        <f>VLOOKUP(C:C,Customer_Dim!B:I,7,1)</f>
        <v>USA</v>
      </c>
      <c r="Q1646" t="str">
        <f>VLOOKUP(C:C,Customer_Dim!B:I,8,1)</f>
        <v>Platinum</v>
      </c>
      <c r="S1646">
        <v>1</v>
      </c>
      <c r="T1646">
        <v>948.33</v>
      </c>
      <c r="U1646">
        <v>0.11</v>
      </c>
      <c r="V1646">
        <v>844.01370000000009</v>
      </c>
      <c r="X1646" s="4">
        <v>1</v>
      </c>
      <c r="Y1646">
        <v>948.33</v>
      </c>
      <c r="Z1646">
        <v>0.11</v>
      </c>
      <c r="AA1646">
        <v>844.01370000000009</v>
      </c>
    </row>
    <row r="1647" spans="1:27" x14ac:dyDescent="0.3">
      <c r="A1647" t="s">
        <v>3454</v>
      </c>
      <c r="B1647" s="2">
        <v>45294</v>
      </c>
      <c r="C1647" t="s">
        <v>1066</v>
      </c>
      <c r="D1647" t="s">
        <v>1609</v>
      </c>
      <c r="E1647" t="s">
        <v>1756</v>
      </c>
      <c r="F1647" s="4">
        <v>1</v>
      </c>
      <c r="G1647">
        <v>702.27</v>
      </c>
      <c r="H1647">
        <v>0.17</v>
      </c>
      <c r="I1647" t="s">
        <v>1812</v>
      </c>
      <c r="J1647">
        <v>582.88409999999999</v>
      </c>
      <c r="K1647" t="s">
        <v>1067</v>
      </c>
      <c r="L1647">
        <v>39</v>
      </c>
      <c r="M1647" t="str">
        <v>Male</v>
      </c>
      <c r="N1647" t="str">
        <f>VLOOKUP(C:C,Customer_Dim!B:I,5,1)</f>
        <v>Cartershire</v>
      </c>
      <c r="O1647" t="str">
        <f>VLOOKUP(C:C,Customer_Dim!B:I,6,1)</f>
        <v>Virginia</v>
      </c>
      <c r="P1647" t="str">
        <f>VLOOKUP(C:C,Customer_Dim!B:I,7,1)</f>
        <v>USA</v>
      </c>
      <c r="Q1647" t="str">
        <f>VLOOKUP(C:C,Customer_Dim!B:I,8,1)</f>
        <v>Bronze</v>
      </c>
      <c r="S1647">
        <v>1</v>
      </c>
      <c r="T1647">
        <v>702.27</v>
      </c>
      <c r="U1647">
        <v>0.17</v>
      </c>
      <c r="V1647">
        <v>582.88409999999999</v>
      </c>
      <c r="X1647" s="4">
        <v>1</v>
      </c>
      <c r="Y1647">
        <v>702.27</v>
      </c>
      <c r="Z1647">
        <v>0.17</v>
      </c>
      <c r="AA1647">
        <v>582.88409999999999</v>
      </c>
    </row>
    <row r="1648" spans="1:27" x14ac:dyDescent="0.3">
      <c r="A1648" t="s">
        <v>3455</v>
      </c>
      <c r="B1648" s="2">
        <v>45875</v>
      </c>
      <c r="C1648" t="s">
        <v>159</v>
      </c>
      <c r="D1648" t="s">
        <v>1591</v>
      </c>
      <c r="E1648" t="s">
        <v>1749</v>
      </c>
      <c r="F1648" s="4">
        <v>2</v>
      </c>
      <c r="G1648">
        <v>379.28</v>
      </c>
      <c r="H1648">
        <v>0.26</v>
      </c>
      <c r="I1648" t="s">
        <v>1807</v>
      </c>
      <c r="J1648">
        <v>561.33439999999996</v>
      </c>
      <c r="K1648" t="s">
        <v>160</v>
      </c>
      <c r="L1648">
        <v>19</v>
      </c>
      <c r="M1648" t="str">
        <v>Male</v>
      </c>
      <c r="N1648" t="str">
        <f>VLOOKUP(C:C,Customer_Dim!B:I,5,1)</f>
        <v>Mooneyshire</v>
      </c>
      <c r="O1648" t="str">
        <f>VLOOKUP(C:C,Customer_Dim!B:I,6,1)</f>
        <v>Alaska</v>
      </c>
      <c r="P1648" t="str">
        <f>VLOOKUP(C:C,Customer_Dim!B:I,7,1)</f>
        <v>USA</v>
      </c>
      <c r="Q1648" t="str">
        <f>VLOOKUP(C:C,Customer_Dim!B:I,8,1)</f>
        <v>Platinum</v>
      </c>
      <c r="S1648">
        <v>2</v>
      </c>
      <c r="T1648">
        <v>379.28</v>
      </c>
      <c r="U1648">
        <v>0.26</v>
      </c>
      <c r="V1648">
        <v>561.33439999999996</v>
      </c>
      <c r="X1648" s="4">
        <v>2</v>
      </c>
      <c r="Y1648">
        <v>379.28</v>
      </c>
      <c r="Z1648">
        <v>0.26</v>
      </c>
      <c r="AA1648">
        <v>561.33439999999996</v>
      </c>
    </row>
    <row r="1649" spans="1:27" x14ac:dyDescent="0.3">
      <c r="A1649" t="s">
        <v>3456</v>
      </c>
      <c r="B1649" s="2">
        <v>45669</v>
      </c>
      <c r="C1649" t="s">
        <v>447</v>
      </c>
      <c r="D1649" t="s">
        <v>1625</v>
      </c>
      <c r="E1649" t="s">
        <v>1735</v>
      </c>
      <c r="F1649" s="4">
        <v>4</v>
      </c>
      <c r="G1649">
        <v>92.35</v>
      </c>
      <c r="H1649">
        <v>0.15</v>
      </c>
      <c r="I1649" t="s">
        <v>1807</v>
      </c>
      <c r="J1649">
        <v>313.99</v>
      </c>
      <c r="K1649" t="s">
        <v>448</v>
      </c>
      <c r="L1649">
        <v>62</v>
      </c>
      <c r="M1649" t="str">
        <v>Female</v>
      </c>
      <c r="N1649" t="str">
        <f>VLOOKUP(C:C,Customer_Dim!B:I,5,1)</f>
        <v>Taylorberg</v>
      </c>
      <c r="O1649" t="str">
        <f>VLOOKUP(C:C,Customer_Dim!B:I,6,1)</f>
        <v>Ohio</v>
      </c>
      <c r="P1649" t="str">
        <f>VLOOKUP(C:C,Customer_Dim!B:I,7,1)</f>
        <v>USA</v>
      </c>
      <c r="Q1649" t="str">
        <f>VLOOKUP(C:C,Customer_Dim!B:I,8,1)</f>
        <v>Gold</v>
      </c>
      <c r="S1649">
        <v>4</v>
      </c>
      <c r="T1649">
        <v>92.35</v>
      </c>
      <c r="U1649">
        <v>0.15</v>
      </c>
      <c r="V1649">
        <v>313.99</v>
      </c>
      <c r="X1649" s="4">
        <v>4</v>
      </c>
      <c r="Y1649">
        <v>92.35</v>
      </c>
      <c r="Z1649">
        <v>0.15</v>
      </c>
      <c r="AA1649">
        <v>313.99</v>
      </c>
    </row>
    <row r="1650" spans="1:27" x14ac:dyDescent="0.3">
      <c r="A1650" t="s">
        <v>3457</v>
      </c>
      <c r="B1650" s="2">
        <v>45606</v>
      </c>
      <c r="C1650" t="s">
        <v>705</v>
      </c>
      <c r="D1650" t="s">
        <v>1609</v>
      </c>
      <c r="E1650" t="s">
        <v>1777</v>
      </c>
      <c r="F1650" s="4">
        <v>4</v>
      </c>
      <c r="G1650">
        <v>721.54</v>
      </c>
      <c r="H1650">
        <v>0.21</v>
      </c>
      <c r="I1650" t="s">
        <v>1807</v>
      </c>
      <c r="J1650">
        <v>2280.0664000000002</v>
      </c>
      <c r="K1650" t="s">
        <v>706</v>
      </c>
      <c r="L1650">
        <v>50</v>
      </c>
      <c r="M1650" t="str">
        <v>Female</v>
      </c>
      <c r="N1650" t="str">
        <f>VLOOKUP(C:C,Customer_Dim!B:I,5,1)</f>
        <v xml:space="preserve">Phillipschester   </v>
      </c>
      <c r="O1650" t="str">
        <f>VLOOKUP(C:C,Customer_Dim!B:I,6,1)</f>
        <v>New Jersey</v>
      </c>
      <c r="P1650" t="str">
        <f>VLOOKUP(C:C,Customer_Dim!B:I,7,1)</f>
        <v>USA</v>
      </c>
      <c r="Q1650" t="str">
        <f>VLOOKUP(C:C,Customer_Dim!B:I,8,1)</f>
        <v>Gold</v>
      </c>
      <c r="S1650">
        <v>4</v>
      </c>
      <c r="T1650">
        <v>721.54</v>
      </c>
      <c r="U1650">
        <v>0.21</v>
      </c>
      <c r="V1650">
        <v>2280.0664000000002</v>
      </c>
      <c r="X1650" s="4">
        <v>4</v>
      </c>
      <c r="Y1650">
        <v>721.54</v>
      </c>
      <c r="Z1650">
        <v>0.21</v>
      </c>
      <c r="AA1650">
        <v>2280.0664000000002</v>
      </c>
    </row>
    <row r="1651" spans="1:27" x14ac:dyDescent="0.3">
      <c r="A1651" t="s">
        <v>3458</v>
      </c>
      <c r="B1651" s="2">
        <v>45787</v>
      </c>
      <c r="C1651" t="s">
        <v>199</v>
      </c>
      <c r="D1651" t="s">
        <v>1607</v>
      </c>
      <c r="E1651" t="s">
        <v>1769</v>
      </c>
      <c r="F1651" s="4">
        <v>1</v>
      </c>
      <c r="G1651">
        <v>228.69</v>
      </c>
      <c r="H1651">
        <v>0.14000000000000001</v>
      </c>
      <c r="I1651" t="s">
        <v>1807</v>
      </c>
      <c r="J1651">
        <v>196.67339999999999</v>
      </c>
      <c r="K1651" t="s">
        <v>200</v>
      </c>
      <c r="L1651">
        <v>24</v>
      </c>
      <c r="M1651" t="str">
        <v>Male</v>
      </c>
      <c r="N1651" t="str">
        <f>VLOOKUP(C:C,Customer_Dim!B:I,5,1)</f>
        <v>East Andrea</v>
      </c>
      <c r="O1651" t="str">
        <f>VLOOKUP(C:C,Customer_Dim!B:I,6,1)</f>
        <v>Michigan</v>
      </c>
      <c r="P1651" t="str">
        <f>VLOOKUP(C:C,Customer_Dim!B:I,7,1)</f>
        <v>USA</v>
      </c>
      <c r="Q1651" t="str">
        <f>VLOOKUP(C:C,Customer_Dim!B:I,8,1)</f>
        <v>Gold</v>
      </c>
      <c r="S1651">
        <v>1</v>
      </c>
      <c r="T1651">
        <v>228.69</v>
      </c>
      <c r="U1651">
        <v>0.14000000000000001</v>
      </c>
      <c r="V1651">
        <v>196.67339999999999</v>
      </c>
      <c r="X1651" s="4">
        <v>1</v>
      </c>
      <c r="Y1651">
        <v>228.69</v>
      </c>
      <c r="Z1651">
        <v>0.14000000000000001</v>
      </c>
      <c r="AA1651">
        <v>196.67339999999999</v>
      </c>
    </row>
    <row r="1652" spans="1:27" x14ac:dyDescent="0.3">
      <c r="A1652" t="s">
        <v>3459</v>
      </c>
      <c r="B1652" s="2">
        <v>45929</v>
      </c>
      <c r="C1652" t="s">
        <v>1100</v>
      </c>
      <c r="D1652" t="s">
        <v>1637</v>
      </c>
      <c r="E1652" t="s">
        <v>1772</v>
      </c>
      <c r="F1652" s="4">
        <v>1</v>
      </c>
      <c r="G1652">
        <v>899.09</v>
      </c>
      <c r="H1652">
        <v>0.2</v>
      </c>
      <c r="I1652" t="s">
        <v>1809</v>
      </c>
      <c r="J1652">
        <v>719.27200000000005</v>
      </c>
      <c r="K1652" t="s">
        <v>1101</v>
      </c>
      <c r="L1652">
        <v>54</v>
      </c>
      <c r="M1652" t="str">
        <v>Male</v>
      </c>
      <c r="N1652" t="str">
        <f>VLOOKUP(C:C,Customer_Dim!B:I,5,1)</f>
        <v>North Johnfurt</v>
      </c>
      <c r="O1652" t="str">
        <f>VLOOKUP(C:C,Customer_Dim!B:I,6,1)</f>
        <v>Washington</v>
      </c>
      <c r="P1652" t="str">
        <f>VLOOKUP(C:C,Customer_Dim!B:I,7,1)</f>
        <v>USA</v>
      </c>
      <c r="Q1652" t="str">
        <f>VLOOKUP(C:C,Customer_Dim!B:I,8,1)</f>
        <v>Gold</v>
      </c>
      <c r="S1652">
        <v>1</v>
      </c>
      <c r="T1652">
        <v>899.09</v>
      </c>
      <c r="U1652">
        <v>0.2</v>
      </c>
      <c r="V1652">
        <v>719.27200000000005</v>
      </c>
      <c r="X1652" s="4">
        <v>1</v>
      </c>
      <c r="Y1652">
        <v>899.09</v>
      </c>
      <c r="Z1652">
        <v>0.2</v>
      </c>
      <c r="AA1652">
        <v>719.27200000000005</v>
      </c>
    </row>
    <row r="1653" spans="1:27" x14ac:dyDescent="0.3">
      <c r="A1653" t="s">
        <v>3460</v>
      </c>
      <c r="B1653" s="2">
        <v>45379</v>
      </c>
      <c r="C1653" t="s">
        <v>1186</v>
      </c>
      <c r="D1653" t="s">
        <v>1545</v>
      </c>
      <c r="E1653" t="s">
        <v>1765</v>
      </c>
      <c r="F1653" s="4">
        <v>4</v>
      </c>
      <c r="G1653">
        <v>195.75</v>
      </c>
      <c r="H1653">
        <v>0.17</v>
      </c>
      <c r="I1653" t="s">
        <v>1807</v>
      </c>
      <c r="J1653">
        <v>649.89</v>
      </c>
      <c r="K1653" t="s">
        <v>1187</v>
      </c>
      <c r="L1653">
        <v>60</v>
      </c>
      <c r="M1653" t="str">
        <v>Male</v>
      </c>
      <c r="N1653" t="str">
        <f>VLOOKUP(C:C,Customer_Dim!B:I,5,1)</f>
        <v>North Michael</v>
      </c>
      <c r="O1653" t="str">
        <f>VLOOKUP(C:C,Customer_Dim!B:I,6,1)</f>
        <v>Iowa</v>
      </c>
      <c r="P1653" t="str">
        <f>VLOOKUP(C:C,Customer_Dim!B:I,7,1)</f>
        <v>USA</v>
      </c>
      <c r="Q1653" t="str">
        <f>VLOOKUP(C:C,Customer_Dim!B:I,8,1)</f>
        <v>Bronze</v>
      </c>
      <c r="S1653">
        <v>4</v>
      </c>
      <c r="T1653">
        <v>195.75</v>
      </c>
      <c r="U1653">
        <v>0.17</v>
      </c>
      <c r="V1653">
        <v>649.89</v>
      </c>
      <c r="X1653" s="4">
        <v>4</v>
      </c>
      <c r="Y1653">
        <v>195.75</v>
      </c>
      <c r="Z1653">
        <v>0.17</v>
      </c>
      <c r="AA1653">
        <v>649.89</v>
      </c>
    </row>
    <row r="1654" spans="1:27" x14ac:dyDescent="0.3">
      <c r="A1654" t="s">
        <v>3461</v>
      </c>
      <c r="B1654" s="2">
        <v>45532</v>
      </c>
      <c r="C1654" t="s">
        <v>1306</v>
      </c>
      <c r="D1654" t="s">
        <v>1717</v>
      </c>
      <c r="E1654" t="s">
        <v>1784</v>
      </c>
      <c r="F1654" s="4">
        <v>3</v>
      </c>
      <c r="G1654">
        <v>199.13</v>
      </c>
      <c r="H1654">
        <v>0.24</v>
      </c>
      <c r="I1654" t="s">
        <v>1807</v>
      </c>
      <c r="J1654">
        <v>454.01639999999998</v>
      </c>
      <c r="K1654" t="s">
        <v>1307</v>
      </c>
      <c r="L1654">
        <v>18</v>
      </c>
      <c r="M1654" t="str">
        <v>Female</v>
      </c>
      <c r="N1654" t="str">
        <f>VLOOKUP(C:C,Customer_Dim!B:I,5,1)</f>
        <v>Aguilarland</v>
      </c>
      <c r="O1654" t="str">
        <f>VLOOKUP(C:C,Customer_Dim!B:I,6,1)</f>
        <v>North Carolina</v>
      </c>
      <c r="P1654" t="str">
        <f>VLOOKUP(C:C,Customer_Dim!B:I,7,1)</f>
        <v>USA</v>
      </c>
      <c r="Q1654" t="str">
        <f>VLOOKUP(C:C,Customer_Dim!B:I,8,1)</f>
        <v>Platinum</v>
      </c>
      <c r="S1654">
        <v>3</v>
      </c>
      <c r="T1654">
        <v>199.13</v>
      </c>
      <c r="U1654">
        <v>0.24</v>
      </c>
      <c r="V1654">
        <v>454.01639999999998</v>
      </c>
      <c r="X1654" s="4">
        <v>3</v>
      </c>
      <c r="Y1654">
        <v>199.13</v>
      </c>
      <c r="Z1654">
        <v>0.24</v>
      </c>
      <c r="AA1654">
        <v>454.01639999999998</v>
      </c>
    </row>
    <row r="1655" spans="1:27" x14ac:dyDescent="0.3">
      <c r="A1655" t="s">
        <v>3462</v>
      </c>
      <c r="B1655" s="2">
        <v>45466</v>
      </c>
      <c r="C1655" t="s">
        <v>530</v>
      </c>
      <c r="D1655" t="s">
        <v>1575</v>
      </c>
      <c r="E1655" t="s">
        <v>1782</v>
      </c>
      <c r="F1655" s="4">
        <v>2</v>
      </c>
      <c r="G1655">
        <v>833.62</v>
      </c>
      <c r="H1655">
        <v>0.18</v>
      </c>
      <c r="I1655" t="s">
        <v>1807</v>
      </c>
      <c r="J1655">
        <v>1367.1368</v>
      </c>
      <c r="K1655" t="s">
        <v>531</v>
      </c>
      <c r="L1655">
        <v>18</v>
      </c>
      <c r="M1655" t="str">
        <v>Female</v>
      </c>
      <c r="N1655" t="str">
        <f>VLOOKUP(C:C,Customer_Dim!B:I,5,1)</f>
        <v>New Juliemouth</v>
      </c>
      <c r="O1655" t="str">
        <f>VLOOKUP(C:C,Customer_Dim!B:I,6,1)</f>
        <v>North Carolina</v>
      </c>
      <c r="P1655" t="str">
        <f>VLOOKUP(C:C,Customer_Dim!B:I,7,1)</f>
        <v>USA</v>
      </c>
      <c r="Q1655" t="str">
        <f>VLOOKUP(C:C,Customer_Dim!B:I,8,1)</f>
        <v>Platinum</v>
      </c>
      <c r="S1655">
        <v>2</v>
      </c>
      <c r="T1655">
        <v>833.62</v>
      </c>
      <c r="U1655">
        <v>0.18</v>
      </c>
      <c r="V1655">
        <v>1367.1368</v>
      </c>
      <c r="X1655" s="4">
        <v>2</v>
      </c>
      <c r="Y1655">
        <v>833.62</v>
      </c>
      <c r="Z1655">
        <v>0.18</v>
      </c>
      <c r="AA1655">
        <v>1367.1368</v>
      </c>
    </row>
    <row r="1656" spans="1:27" x14ac:dyDescent="0.3">
      <c r="A1656" t="s">
        <v>3463</v>
      </c>
      <c r="B1656" s="2">
        <v>45395</v>
      </c>
      <c r="C1656" t="s">
        <v>1472</v>
      </c>
      <c r="D1656" t="s">
        <v>1681</v>
      </c>
      <c r="E1656" t="s">
        <v>1735</v>
      </c>
      <c r="F1656" s="4">
        <v>1</v>
      </c>
      <c r="G1656">
        <v>676.26</v>
      </c>
      <c r="H1656">
        <v>0.14000000000000001</v>
      </c>
      <c r="I1656" t="s">
        <v>1807</v>
      </c>
      <c r="J1656">
        <v>581.58359999999993</v>
      </c>
      <c r="K1656" t="s">
        <v>1473</v>
      </c>
      <c r="L1656">
        <v>46</v>
      </c>
      <c r="M1656" t="str">
        <v>Female</v>
      </c>
      <c r="N1656" t="str">
        <f>VLOOKUP(C:C,Customer_Dim!B:I,5,1)</f>
        <v>West Markton</v>
      </c>
      <c r="O1656" t="str">
        <f>VLOOKUP(C:C,Customer_Dim!B:I,6,1)</f>
        <v>Massachusetts</v>
      </c>
      <c r="P1656" t="str">
        <f>VLOOKUP(C:C,Customer_Dim!B:I,7,1)</f>
        <v>USA</v>
      </c>
      <c r="Q1656" t="str">
        <f>VLOOKUP(C:C,Customer_Dim!B:I,8,1)</f>
        <v>Bronze</v>
      </c>
      <c r="S1656">
        <v>1</v>
      </c>
      <c r="T1656">
        <v>676.26</v>
      </c>
      <c r="U1656">
        <v>0.14000000000000001</v>
      </c>
      <c r="V1656">
        <v>581.58359999999993</v>
      </c>
      <c r="X1656" s="4">
        <v>1</v>
      </c>
      <c r="Y1656">
        <v>676.26</v>
      </c>
      <c r="Z1656">
        <v>0.14000000000000001</v>
      </c>
      <c r="AA1656">
        <v>581.58359999999993</v>
      </c>
    </row>
    <row r="1657" spans="1:27" x14ac:dyDescent="0.3">
      <c r="A1657" t="s">
        <v>3464</v>
      </c>
      <c r="B1657" s="2">
        <v>45708</v>
      </c>
      <c r="C1657" t="s">
        <v>130</v>
      </c>
      <c r="D1657" t="s">
        <v>1651</v>
      </c>
      <c r="E1657" t="s">
        <v>1769</v>
      </c>
      <c r="F1657" s="4">
        <v>2</v>
      </c>
      <c r="G1657">
        <v>666.49</v>
      </c>
      <c r="H1657">
        <v>0.06</v>
      </c>
      <c r="I1657" t="s">
        <v>1807</v>
      </c>
      <c r="J1657">
        <v>1253.0011999999999</v>
      </c>
      <c r="K1657" t="s">
        <v>131</v>
      </c>
      <c r="L1657">
        <v>25</v>
      </c>
      <c r="M1657" t="str">
        <v>Male</v>
      </c>
      <c r="N1657" t="str">
        <f>VLOOKUP(C:C,Customer_Dim!B:I,5,1)</f>
        <v>Fostermouth</v>
      </c>
      <c r="O1657" t="str">
        <f>VLOOKUP(C:C,Customer_Dim!B:I,6,1)</f>
        <v>Arizona</v>
      </c>
      <c r="P1657" t="str">
        <f>VLOOKUP(C:C,Customer_Dim!B:I,7,1)</f>
        <v>USA</v>
      </c>
      <c r="Q1657" t="str">
        <f>VLOOKUP(C:C,Customer_Dim!B:I,8,1)</f>
        <v>Gold</v>
      </c>
      <c r="S1657">
        <v>2</v>
      </c>
      <c r="T1657">
        <v>666.49</v>
      </c>
      <c r="U1657">
        <v>0.06</v>
      </c>
      <c r="V1657">
        <v>1253.0011999999999</v>
      </c>
      <c r="X1657" s="4">
        <v>2</v>
      </c>
      <c r="Y1657">
        <v>666.49</v>
      </c>
      <c r="Z1657">
        <v>0.06</v>
      </c>
      <c r="AA1657">
        <v>1253.0011999999999</v>
      </c>
    </row>
    <row r="1658" spans="1:27" x14ac:dyDescent="0.3">
      <c r="A1658" t="s">
        <v>3465</v>
      </c>
      <c r="B1658" s="2">
        <v>45735</v>
      </c>
      <c r="C1658" t="s">
        <v>1403</v>
      </c>
      <c r="D1658" t="s">
        <v>1561</v>
      </c>
      <c r="E1658" t="s">
        <v>1752</v>
      </c>
      <c r="F1658" s="4">
        <v>3</v>
      </c>
      <c r="G1658">
        <v>471.19</v>
      </c>
      <c r="H1658">
        <v>0.28000000000000003</v>
      </c>
      <c r="I1658" t="s">
        <v>1812</v>
      </c>
      <c r="J1658">
        <v>1017.7704</v>
      </c>
      <c r="K1658" t="s">
        <v>1404</v>
      </c>
      <c r="L1658">
        <v>60</v>
      </c>
      <c r="M1658" t="str">
        <v>Female</v>
      </c>
      <c r="N1658" t="str">
        <f>VLOOKUP(C:C,Customer_Dim!B:I,5,1)</f>
        <v>Hughesview</v>
      </c>
      <c r="O1658" t="str">
        <f>VLOOKUP(C:C,Customer_Dim!B:I,6,1)</f>
        <v>Iowa</v>
      </c>
      <c r="P1658" t="str">
        <f>VLOOKUP(C:C,Customer_Dim!B:I,7,1)</f>
        <v>USA</v>
      </c>
      <c r="Q1658" t="str">
        <f>VLOOKUP(C:C,Customer_Dim!B:I,8,1)</f>
        <v>Gold</v>
      </c>
      <c r="S1658">
        <v>3</v>
      </c>
      <c r="T1658">
        <v>471.19</v>
      </c>
      <c r="U1658">
        <v>0.28000000000000003</v>
      </c>
      <c r="V1658">
        <v>1017.7704</v>
      </c>
      <c r="X1658" s="4">
        <v>3</v>
      </c>
      <c r="Y1658">
        <v>471.19</v>
      </c>
      <c r="Z1658">
        <v>0.28000000000000003</v>
      </c>
      <c r="AA1658">
        <v>1017.7704</v>
      </c>
    </row>
    <row r="1659" spans="1:27" x14ac:dyDescent="0.3">
      <c r="A1659" t="s">
        <v>3466</v>
      </c>
      <c r="B1659" s="2">
        <v>45237</v>
      </c>
      <c r="C1659" t="s">
        <v>409</v>
      </c>
      <c r="D1659" t="s">
        <v>1545</v>
      </c>
      <c r="E1659" t="s">
        <v>1749</v>
      </c>
      <c r="F1659" s="4">
        <v>4</v>
      </c>
      <c r="G1659">
        <v>555.65</v>
      </c>
      <c r="H1659">
        <v>0.25</v>
      </c>
      <c r="I1659" t="s">
        <v>1812</v>
      </c>
      <c r="J1659">
        <v>1666.95</v>
      </c>
      <c r="K1659" t="s">
        <v>410</v>
      </c>
      <c r="L1659">
        <v>44</v>
      </c>
      <c r="M1659" t="str">
        <v>Female</v>
      </c>
      <c r="N1659" t="str">
        <f>VLOOKUP(C:C,Customer_Dim!B:I,5,1)</f>
        <v>North Edwardton</v>
      </c>
      <c r="O1659" t="str">
        <f>VLOOKUP(C:C,Customer_Dim!B:I,6,1)</f>
        <v>Tennessee</v>
      </c>
      <c r="P1659" t="str">
        <f>VLOOKUP(C:C,Customer_Dim!B:I,7,1)</f>
        <v>USA</v>
      </c>
      <c r="Q1659" t="str">
        <f>VLOOKUP(C:C,Customer_Dim!B:I,8,1)</f>
        <v>Bronze</v>
      </c>
      <c r="S1659">
        <v>4</v>
      </c>
      <c r="T1659">
        <v>555.65</v>
      </c>
      <c r="U1659">
        <v>0.25</v>
      </c>
      <c r="V1659">
        <v>1666.95</v>
      </c>
      <c r="X1659" s="4">
        <v>4</v>
      </c>
      <c r="Y1659">
        <v>555.65</v>
      </c>
      <c r="Z1659">
        <v>0.25</v>
      </c>
      <c r="AA1659">
        <v>1666.95</v>
      </c>
    </row>
    <row r="1660" spans="1:27" x14ac:dyDescent="0.3">
      <c r="A1660" t="s">
        <v>3467</v>
      </c>
      <c r="B1660" s="2">
        <v>45282</v>
      </c>
      <c r="C1660" t="s">
        <v>140</v>
      </c>
      <c r="D1660" t="s">
        <v>1721</v>
      </c>
      <c r="E1660" t="s">
        <v>1782</v>
      </c>
      <c r="F1660" s="4">
        <v>2</v>
      </c>
      <c r="G1660">
        <v>100.42</v>
      </c>
      <c r="H1660">
        <v>0.06</v>
      </c>
      <c r="I1660" t="s">
        <v>1807</v>
      </c>
      <c r="J1660">
        <v>188.78960000000001</v>
      </c>
      <c r="K1660" t="s">
        <v>141</v>
      </c>
      <c r="L1660">
        <v>20</v>
      </c>
      <c r="M1660" t="str">
        <v>Female</v>
      </c>
      <c r="N1660" t="str">
        <f>VLOOKUP(C:C,Customer_Dim!B:I,5,1)</f>
        <v>Robertberg</v>
      </c>
      <c r="O1660" t="str">
        <f>VLOOKUP(C:C,Customer_Dim!B:I,6,1)</f>
        <v>North Dakota</v>
      </c>
      <c r="P1660" t="str">
        <f>VLOOKUP(C:C,Customer_Dim!B:I,7,1)</f>
        <v>USA</v>
      </c>
      <c r="Q1660" t="str">
        <f>VLOOKUP(C:C,Customer_Dim!B:I,8,1)</f>
        <v>Silver</v>
      </c>
      <c r="S1660">
        <v>2</v>
      </c>
      <c r="T1660">
        <v>100.42</v>
      </c>
      <c r="U1660">
        <v>0.06</v>
      </c>
      <c r="V1660">
        <v>188.78960000000001</v>
      </c>
      <c r="X1660" s="4">
        <v>2</v>
      </c>
      <c r="Y1660">
        <v>100.42</v>
      </c>
      <c r="Z1660">
        <v>0.06</v>
      </c>
      <c r="AA1660">
        <v>188.78960000000001</v>
      </c>
    </row>
    <row r="1661" spans="1:27" x14ac:dyDescent="0.3">
      <c r="A1661" t="s">
        <v>3468</v>
      </c>
      <c r="B1661" s="2">
        <v>45337</v>
      </c>
      <c r="C1661" t="s">
        <v>188</v>
      </c>
      <c r="D1661" t="s">
        <v>1727</v>
      </c>
      <c r="E1661" t="s">
        <v>1793</v>
      </c>
      <c r="F1661" s="4">
        <v>3</v>
      </c>
      <c r="G1661">
        <v>981.69</v>
      </c>
      <c r="H1661">
        <v>0.05</v>
      </c>
      <c r="I1661" t="s">
        <v>1812</v>
      </c>
      <c r="J1661">
        <v>2797.8164999999999</v>
      </c>
      <c r="K1661" t="s">
        <v>189</v>
      </c>
      <c r="L1661">
        <v>23</v>
      </c>
      <c r="M1661" t="str">
        <v>Female</v>
      </c>
      <c r="N1661" t="str">
        <f>VLOOKUP(C:C,Customer_Dim!B:I,5,1)</f>
        <v>Gregoryview</v>
      </c>
      <c r="O1661" t="str">
        <f>VLOOKUP(C:C,Customer_Dim!B:I,6,1)</f>
        <v>Illinois</v>
      </c>
      <c r="P1661" t="str">
        <f>VLOOKUP(C:C,Customer_Dim!B:I,7,1)</f>
        <v>USA</v>
      </c>
      <c r="Q1661" t="str">
        <f>VLOOKUP(C:C,Customer_Dim!B:I,8,1)</f>
        <v>Gold</v>
      </c>
      <c r="S1661">
        <v>3</v>
      </c>
      <c r="T1661">
        <v>981.69</v>
      </c>
      <c r="U1661">
        <v>0.05</v>
      </c>
      <c r="V1661">
        <v>2797.8164999999999</v>
      </c>
      <c r="X1661" s="4">
        <v>3</v>
      </c>
      <c r="Y1661">
        <v>981.69</v>
      </c>
      <c r="Z1661">
        <v>0.05</v>
      </c>
      <c r="AA1661">
        <v>2797.8164999999999</v>
      </c>
    </row>
    <row r="1662" spans="1:27" x14ac:dyDescent="0.3">
      <c r="A1662" t="s">
        <v>3469</v>
      </c>
      <c r="B1662" s="2">
        <v>45310</v>
      </c>
      <c r="C1662" t="s">
        <v>1018</v>
      </c>
      <c r="D1662" t="s">
        <v>1551</v>
      </c>
      <c r="E1662" t="s">
        <v>1787</v>
      </c>
      <c r="F1662" s="4">
        <v>2</v>
      </c>
      <c r="G1662">
        <v>848.87</v>
      </c>
      <c r="H1662">
        <v>0.09</v>
      </c>
      <c r="I1662" t="s">
        <v>1812</v>
      </c>
      <c r="J1662">
        <v>1544.9434000000001</v>
      </c>
      <c r="K1662" t="s">
        <v>1019</v>
      </c>
      <c r="L1662">
        <v>46</v>
      </c>
      <c r="M1662" t="str">
        <v>Male</v>
      </c>
      <c r="N1662" t="str">
        <f>VLOOKUP(C:C,Customer_Dim!B:I,5,1)</f>
        <v>Kellybury</v>
      </c>
      <c r="O1662" t="str">
        <f>VLOOKUP(C:C,Customer_Dim!B:I,6,1)</f>
        <v>New York</v>
      </c>
      <c r="P1662" t="str">
        <f>VLOOKUP(C:C,Customer_Dim!B:I,7,1)</f>
        <v>USA</v>
      </c>
      <c r="Q1662" t="str">
        <f>VLOOKUP(C:C,Customer_Dim!B:I,8,1)</f>
        <v>Bronze</v>
      </c>
      <c r="S1662">
        <v>2</v>
      </c>
      <c r="T1662">
        <v>848.87</v>
      </c>
      <c r="U1662">
        <v>0.09</v>
      </c>
      <c r="V1662">
        <v>1544.9434000000001</v>
      </c>
      <c r="X1662" s="4">
        <v>2</v>
      </c>
      <c r="Y1662">
        <v>848.87</v>
      </c>
      <c r="Z1662">
        <v>0.09</v>
      </c>
      <c r="AA1662">
        <v>1544.9434000000001</v>
      </c>
    </row>
    <row r="1663" spans="1:27" x14ac:dyDescent="0.3">
      <c r="A1663" t="s">
        <v>3470</v>
      </c>
      <c r="B1663" s="2">
        <v>45230</v>
      </c>
      <c r="C1663" t="s">
        <v>1159</v>
      </c>
      <c r="D1663" t="s">
        <v>1723</v>
      </c>
      <c r="E1663" t="s">
        <v>1772</v>
      </c>
      <c r="F1663" s="4">
        <v>3</v>
      </c>
      <c r="G1663">
        <v>582.32000000000005</v>
      </c>
      <c r="H1663">
        <v>0</v>
      </c>
      <c r="I1663" t="s">
        <v>1809</v>
      </c>
      <c r="J1663">
        <v>1746.96</v>
      </c>
      <c r="K1663" t="s">
        <v>1160</v>
      </c>
      <c r="L1663">
        <v>30</v>
      </c>
      <c r="M1663" t="str">
        <v>Male</v>
      </c>
      <c r="N1663" t="str">
        <f>VLOOKUP(C:C,Customer_Dim!B:I,5,1)</f>
        <v>Port Richardshire</v>
      </c>
      <c r="O1663" t="str">
        <f>VLOOKUP(C:C,Customer_Dim!B:I,6,1)</f>
        <v>Minnesota</v>
      </c>
      <c r="P1663" t="str">
        <f>VLOOKUP(C:C,Customer_Dim!B:I,7,1)</f>
        <v>USA</v>
      </c>
      <c r="Q1663" t="str">
        <f>VLOOKUP(C:C,Customer_Dim!B:I,8,1)</f>
        <v>Platinum</v>
      </c>
      <c r="S1663">
        <v>3</v>
      </c>
      <c r="T1663">
        <v>582.32000000000005</v>
      </c>
      <c r="U1663">
        <v>0</v>
      </c>
      <c r="V1663">
        <v>1746.96</v>
      </c>
      <c r="X1663" s="4">
        <v>3</v>
      </c>
      <c r="Y1663">
        <v>582.32000000000005</v>
      </c>
      <c r="Z1663">
        <v>0</v>
      </c>
      <c r="AA1663">
        <v>1746.96</v>
      </c>
    </row>
    <row r="1664" spans="1:27" x14ac:dyDescent="0.3">
      <c r="A1664" t="s">
        <v>3471</v>
      </c>
      <c r="B1664" s="2">
        <v>45341</v>
      </c>
      <c r="C1664" t="s">
        <v>562</v>
      </c>
      <c r="D1664" t="s">
        <v>1629</v>
      </c>
      <c r="E1664" t="s">
        <v>1790</v>
      </c>
      <c r="F1664" s="4">
        <v>2</v>
      </c>
      <c r="G1664">
        <v>869.43</v>
      </c>
      <c r="H1664">
        <v>0.24</v>
      </c>
      <c r="I1664" t="s">
        <v>1812</v>
      </c>
      <c r="J1664">
        <v>1321.5336</v>
      </c>
      <c r="K1664" t="s">
        <v>563</v>
      </c>
      <c r="L1664">
        <v>41</v>
      </c>
      <c r="M1664" t="str">
        <v>Female</v>
      </c>
      <c r="N1664" t="str">
        <f>VLOOKUP(C:C,Customer_Dim!B:I,5,1)</f>
        <v>Morrisburgh</v>
      </c>
      <c r="O1664" t="str">
        <f>VLOOKUP(C:C,Customer_Dim!B:I,6,1)</f>
        <v>Indiana</v>
      </c>
      <c r="P1664" t="str">
        <f>VLOOKUP(C:C,Customer_Dim!B:I,7,1)</f>
        <v>USA</v>
      </c>
      <c r="Q1664" t="str">
        <f>VLOOKUP(C:C,Customer_Dim!B:I,8,1)</f>
        <v>Platinum</v>
      </c>
      <c r="S1664">
        <v>2</v>
      </c>
      <c r="T1664">
        <v>869.43</v>
      </c>
      <c r="U1664">
        <v>0.24</v>
      </c>
      <c r="V1664">
        <v>1321.5336</v>
      </c>
      <c r="X1664" s="4">
        <v>2</v>
      </c>
      <c r="Y1664">
        <v>869.43</v>
      </c>
      <c r="Z1664">
        <v>0.24</v>
      </c>
      <c r="AA1664">
        <v>1321.5336</v>
      </c>
    </row>
    <row r="1665" spans="1:27" x14ac:dyDescent="0.3">
      <c r="A1665" t="s">
        <v>3472</v>
      </c>
      <c r="B1665" s="2">
        <v>45440</v>
      </c>
      <c r="C1665" t="s">
        <v>93</v>
      </c>
      <c r="D1665" t="s">
        <v>1639</v>
      </c>
      <c r="E1665" t="s">
        <v>1752</v>
      </c>
      <c r="F1665" s="4">
        <v>1</v>
      </c>
      <c r="G1665">
        <v>62.26</v>
      </c>
      <c r="H1665">
        <v>0.03</v>
      </c>
      <c r="I1665" t="s">
        <v>1812</v>
      </c>
      <c r="J1665">
        <v>60.392200000000003</v>
      </c>
      <c r="K1665" t="s">
        <v>94</v>
      </c>
      <c r="L1665">
        <v>33</v>
      </c>
      <c r="M1665" t="str">
        <v>Female</v>
      </c>
      <c r="N1665" t="str">
        <f>VLOOKUP(C:C,Customer_Dim!B:I,5,1)</f>
        <v>Smithburgh</v>
      </c>
      <c r="O1665" t="str">
        <f>VLOOKUP(C:C,Customer_Dim!B:I,6,1)</f>
        <v>Oklahoma</v>
      </c>
      <c r="P1665" t="str">
        <f>VLOOKUP(C:C,Customer_Dim!B:I,7,1)</f>
        <v>USA</v>
      </c>
      <c r="Q1665" t="str">
        <f>VLOOKUP(C:C,Customer_Dim!B:I,8,1)</f>
        <v>Gold</v>
      </c>
      <c r="S1665">
        <v>1</v>
      </c>
      <c r="T1665">
        <v>62.26</v>
      </c>
      <c r="U1665">
        <v>0.03</v>
      </c>
      <c r="V1665">
        <v>60.392200000000003</v>
      </c>
      <c r="X1665" s="4">
        <v>1</v>
      </c>
      <c r="Y1665">
        <v>62.26</v>
      </c>
      <c r="Z1665">
        <v>0.03</v>
      </c>
      <c r="AA1665">
        <v>60.392200000000003</v>
      </c>
    </row>
    <row r="1666" spans="1:27" x14ac:dyDescent="0.3">
      <c r="A1666" t="s">
        <v>3473</v>
      </c>
      <c r="B1666" s="2">
        <v>45798</v>
      </c>
      <c r="C1666" t="s">
        <v>506</v>
      </c>
      <c r="D1666" t="s">
        <v>1609</v>
      </c>
      <c r="E1666" t="s">
        <v>1782</v>
      </c>
      <c r="F1666" s="4">
        <v>3</v>
      </c>
      <c r="G1666">
        <v>343.97</v>
      </c>
      <c r="H1666">
        <v>0.04</v>
      </c>
      <c r="I1666" t="s">
        <v>1812</v>
      </c>
      <c r="J1666">
        <v>990.6336</v>
      </c>
      <c r="K1666" t="s">
        <v>507</v>
      </c>
      <c r="L1666">
        <v>31</v>
      </c>
      <c r="M1666" t="str">
        <v>Male</v>
      </c>
      <c r="N1666" t="str">
        <f>VLOOKUP(C:C,Customer_Dim!B:I,5,1)</f>
        <v>Jaredville</v>
      </c>
      <c r="O1666" t="str">
        <f>VLOOKUP(C:C,Customer_Dim!B:I,6,1)</f>
        <v>Missouri</v>
      </c>
      <c r="P1666" t="str">
        <f>VLOOKUP(C:C,Customer_Dim!B:I,7,1)</f>
        <v>USA</v>
      </c>
      <c r="Q1666" t="str">
        <f>VLOOKUP(C:C,Customer_Dim!B:I,8,1)</f>
        <v>Platinum</v>
      </c>
      <c r="S1666">
        <v>3</v>
      </c>
      <c r="T1666">
        <v>343.97</v>
      </c>
      <c r="U1666">
        <v>0.04</v>
      </c>
      <c r="V1666">
        <v>990.6336</v>
      </c>
      <c r="X1666" s="4">
        <v>3</v>
      </c>
      <c r="Y1666">
        <v>343.97</v>
      </c>
      <c r="Z1666">
        <v>0.04</v>
      </c>
      <c r="AA1666">
        <v>990.6336</v>
      </c>
    </row>
    <row r="1667" spans="1:27" x14ac:dyDescent="0.3">
      <c r="A1667" t="s">
        <v>3474</v>
      </c>
      <c r="B1667" s="2">
        <v>45293</v>
      </c>
      <c r="C1667" t="s">
        <v>948</v>
      </c>
      <c r="D1667" t="s">
        <v>1579</v>
      </c>
      <c r="E1667" t="s">
        <v>1777</v>
      </c>
      <c r="F1667" s="4">
        <v>3</v>
      </c>
      <c r="G1667">
        <v>304.67</v>
      </c>
      <c r="H1667">
        <v>0.11</v>
      </c>
      <c r="I1667" t="s">
        <v>1807</v>
      </c>
      <c r="J1667">
        <v>813.46889999999996</v>
      </c>
      <c r="K1667" t="s">
        <v>949</v>
      </c>
      <c r="L1667">
        <v>41</v>
      </c>
      <c r="M1667" t="str">
        <v>Male</v>
      </c>
      <c r="N1667" t="str">
        <f>VLOOKUP(C:C,Customer_Dim!B:I,5,1)</f>
        <v>East Johntown</v>
      </c>
      <c r="O1667" t="str">
        <f>VLOOKUP(C:C,Customer_Dim!B:I,6,1)</f>
        <v>Delaware</v>
      </c>
      <c r="P1667" t="str">
        <f>VLOOKUP(C:C,Customer_Dim!B:I,7,1)</f>
        <v>USA</v>
      </c>
      <c r="Q1667" t="str">
        <f>VLOOKUP(C:C,Customer_Dim!B:I,8,1)</f>
        <v>Platinum</v>
      </c>
      <c r="S1667">
        <v>3</v>
      </c>
      <c r="T1667">
        <v>304.67</v>
      </c>
      <c r="U1667">
        <v>0.11</v>
      </c>
      <c r="V1667">
        <v>813.46889999999996</v>
      </c>
      <c r="X1667" s="4">
        <v>3</v>
      </c>
      <c r="Y1667">
        <v>304.67</v>
      </c>
      <c r="Z1667">
        <v>0.11</v>
      </c>
      <c r="AA1667">
        <v>813.46889999999996</v>
      </c>
    </row>
    <row r="1668" spans="1:27" x14ac:dyDescent="0.3">
      <c r="A1668" t="s">
        <v>3475</v>
      </c>
      <c r="B1668" s="2">
        <v>45296</v>
      </c>
      <c r="C1668" t="s">
        <v>1129</v>
      </c>
      <c r="D1668" t="s">
        <v>1585</v>
      </c>
      <c r="E1668" t="s">
        <v>1769</v>
      </c>
      <c r="F1668" s="4">
        <v>4</v>
      </c>
      <c r="G1668">
        <v>208.34</v>
      </c>
      <c r="H1668">
        <v>0.01</v>
      </c>
      <c r="I1668" t="s">
        <v>1809</v>
      </c>
      <c r="J1668">
        <v>825.02639999999997</v>
      </c>
      <c r="K1668" t="s">
        <v>1130</v>
      </c>
      <c r="L1668">
        <v>40</v>
      </c>
      <c r="M1668" t="str">
        <v>Female</v>
      </c>
      <c r="N1668" t="str">
        <f>VLOOKUP(C:C,Customer_Dim!B:I,5,1)</f>
        <v>Kellyside</v>
      </c>
      <c r="O1668" t="str">
        <f>VLOOKUP(C:C,Customer_Dim!B:I,6,1)</f>
        <v>Alaska</v>
      </c>
      <c r="P1668" t="str">
        <f>VLOOKUP(C:C,Customer_Dim!B:I,7,1)</f>
        <v>USA</v>
      </c>
      <c r="Q1668" t="str">
        <f>VLOOKUP(C:C,Customer_Dim!B:I,8,1)</f>
        <v>Platinum</v>
      </c>
      <c r="S1668">
        <v>4</v>
      </c>
      <c r="T1668">
        <v>208.34</v>
      </c>
      <c r="U1668">
        <v>0.01</v>
      </c>
      <c r="V1668">
        <v>825.02639999999997</v>
      </c>
      <c r="X1668" s="4">
        <v>4</v>
      </c>
      <c r="Y1668">
        <v>208.34</v>
      </c>
      <c r="Z1668">
        <v>0.01</v>
      </c>
      <c r="AA1668">
        <v>825.02639999999997</v>
      </c>
    </row>
    <row r="1669" spans="1:27" x14ac:dyDescent="0.3">
      <c r="A1669" t="s">
        <v>3476</v>
      </c>
      <c r="B1669" s="2">
        <v>45860</v>
      </c>
      <c r="C1669" t="s">
        <v>974</v>
      </c>
      <c r="D1669" t="s">
        <v>1703</v>
      </c>
      <c r="E1669" t="s">
        <v>1740</v>
      </c>
      <c r="F1669" s="4">
        <v>1</v>
      </c>
      <c r="G1669">
        <v>119.04</v>
      </c>
      <c r="H1669">
        <v>0.13</v>
      </c>
      <c r="I1669" t="s">
        <v>1812</v>
      </c>
      <c r="J1669">
        <v>103.56480000000001</v>
      </c>
      <c r="K1669" t="s">
        <v>975</v>
      </c>
      <c r="L1669">
        <v>62</v>
      </c>
      <c r="M1669" t="str">
        <v>Male</v>
      </c>
      <c r="N1669" t="str">
        <f>VLOOKUP(C:C,Customer_Dim!B:I,5,1)</f>
        <v>Brianchester</v>
      </c>
      <c r="O1669" t="str">
        <f>VLOOKUP(C:C,Customer_Dim!B:I,6,1)</f>
        <v>Delaware</v>
      </c>
      <c r="P1669" t="str">
        <f>VLOOKUP(C:C,Customer_Dim!B:I,7,1)</f>
        <v>USA</v>
      </c>
      <c r="Q1669" t="str">
        <f>VLOOKUP(C:C,Customer_Dim!B:I,8,1)</f>
        <v>Silver</v>
      </c>
      <c r="S1669">
        <v>1</v>
      </c>
      <c r="T1669">
        <v>119.04</v>
      </c>
      <c r="U1669">
        <v>0.13</v>
      </c>
      <c r="V1669">
        <v>103.56480000000001</v>
      </c>
      <c r="X1669" s="4">
        <v>1</v>
      </c>
      <c r="Y1669">
        <v>119.04</v>
      </c>
      <c r="Z1669">
        <v>0.13</v>
      </c>
      <c r="AA1669">
        <v>103.56480000000001</v>
      </c>
    </row>
    <row r="1670" spans="1:27" x14ac:dyDescent="0.3">
      <c r="A1670" t="s">
        <v>3477</v>
      </c>
      <c r="B1670" s="2">
        <v>45843</v>
      </c>
      <c r="C1670" t="s">
        <v>1001</v>
      </c>
      <c r="D1670" t="s">
        <v>1619</v>
      </c>
      <c r="E1670" t="s">
        <v>1769</v>
      </c>
      <c r="F1670" s="4">
        <v>4</v>
      </c>
      <c r="G1670">
        <v>791.65</v>
      </c>
      <c r="H1670">
        <v>0.06</v>
      </c>
      <c r="I1670" t="s">
        <v>1812</v>
      </c>
      <c r="J1670">
        <v>2976.6039999999998</v>
      </c>
      <c r="K1670" t="s">
        <v>1002</v>
      </c>
      <c r="L1670">
        <v>54</v>
      </c>
      <c r="M1670" t="str">
        <v>Male</v>
      </c>
      <c r="N1670" t="str">
        <f>VLOOKUP(C:C,Customer_Dim!B:I,5,1)</f>
        <v>Lake Alice</v>
      </c>
      <c r="O1670" t="str">
        <f>VLOOKUP(C:C,Customer_Dim!B:I,6,1)</f>
        <v>Tennessee</v>
      </c>
      <c r="P1670" t="str">
        <f>VLOOKUP(C:C,Customer_Dim!B:I,7,1)</f>
        <v>USA</v>
      </c>
      <c r="Q1670" t="str">
        <f>VLOOKUP(C:C,Customer_Dim!B:I,8,1)</f>
        <v>Bronze</v>
      </c>
      <c r="S1670">
        <v>4</v>
      </c>
      <c r="T1670">
        <v>791.65</v>
      </c>
      <c r="U1670">
        <v>0.06</v>
      </c>
      <c r="V1670">
        <v>2976.6039999999998</v>
      </c>
      <c r="X1670" s="4">
        <v>4</v>
      </c>
      <c r="Y1670">
        <v>791.65</v>
      </c>
      <c r="Z1670">
        <v>0.06</v>
      </c>
      <c r="AA1670">
        <v>2976.6039999999998</v>
      </c>
    </row>
    <row r="1671" spans="1:27" x14ac:dyDescent="0.3">
      <c r="A1671" t="s">
        <v>3478</v>
      </c>
      <c r="B1671" s="2">
        <v>45862</v>
      </c>
      <c r="C1671" t="s">
        <v>195</v>
      </c>
      <c r="D1671" t="s">
        <v>1559</v>
      </c>
      <c r="E1671" t="s">
        <v>1744</v>
      </c>
      <c r="F1671" s="4">
        <v>2</v>
      </c>
      <c r="G1671">
        <v>414.86</v>
      </c>
      <c r="H1671">
        <v>0.23</v>
      </c>
      <c r="I1671" t="s">
        <v>1807</v>
      </c>
      <c r="J1671">
        <v>638.88440000000003</v>
      </c>
      <c r="K1671" t="s">
        <v>196</v>
      </c>
      <c r="L1671">
        <v>37</v>
      </c>
      <c r="M1671" t="str">
        <v>Female</v>
      </c>
      <c r="N1671" t="str">
        <f>VLOOKUP(C:C,Customer_Dim!B:I,5,1)</f>
        <v>South Timtown</v>
      </c>
      <c r="O1671" t="str">
        <f>VLOOKUP(C:C,Customer_Dim!B:I,6,1)</f>
        <v>Minnesota</v>
      </c>
      <c r="P1671" t="str">
        <f>VLOOKUP(C:C,Customer_Dim!B:I,7,1)</f>
        <v>USA</v>
      </c>
      <c r="Q1671" t="str">
        <f>VLOOKUP(C:C,Customer_Dim!B:I,8,1)</f>
        <v>Bronze</v>
      </c>
      <c r="S1671">
        <v>2</v>
      </c>
      <c r="T1671">
        <v>414.86</v>
      </c>
      <c r="U1671">
        <v>0.23</v>
      </c>
      <c r="V1671">
        <v>638.88440000000003</v>
      </c>
      <c r="X1671" s="4">
        <v>2</v>
      </c>
      <c r="Y1671">
        <v>414.86</v>
      </c>
      <c r="Z1671">
        <v>0.23</v>
      </c>
      <c r="AA1671">
        <v>638.88440000000003</v>
      </c>
    </row>
    <row r="1672" spans="1:27" x14ac:dyDescent="0.3">
      <c r="A1672" t="s">
        <v>3479</v>
      </c>
      <c r="B1672" s="2">
        <v>45385</v>
      </c>
      <c r="C1672" t="s">
        <v>1456</v>
      </c>
      <c r="D1672" t="s">
        <v>1607</v>
      </c>
      <c r="E1672" t="s">
        <v>1777</v>
      </c>
      <c r="F1672" s="4">
        <v>2</v>
      </c>
      <c r="G1672">
        <v>960.81</v>
      </c>
      <c r="H1672">
        <v>0.28000000000000003</v>
      </c>
      <c r="I1672" t="s">
        <v>1809</v>
      </c>
      <c r="J1672">
        <v>1383.5663999999999</v>
      </c>
      <c r="K1672" t="s">
        <v>3951</v>
      </c>
      <c r="L1672">
        <v>40</v>
      </c>
      <c r="M1672" t="str">
        <v>Male</v>
      </c>
      <c r="N1672" t="str">
        <f>VLOOKUP(C:C,Customer_Dim!B:I,5,1)</f>
        <v>West Sarah</v>
      </c>
      <c r="O1672" t="str">
        <f>VLOOKUP(C:C,Customer_Dim!B:I,6,1)</f>
        <v>South Dakota</v>
      </c>
      <c r="P1672" t="str">
        <f>VLOOKUP(C:C,Customer_Dim!B:I,7,1)</f>
        <v>USA</v>
      </c>
      <c r="Q1672" t="str">
        <f>VLOOKUP(C:C,Customer_Dim!B:I,8,1)</f>
        <v>Gold</v>
      </c>
      <c r="S1672">
        <v>2</v>
      </c>
      <c r="T1672">
        <v>960.81</v>
      </c>
      <c r="U1672">
        <v>0.28000000000000003</v>
      </c>
      <c r="V1672">
        <v>1383.5663999999999</v>
      </c>
      <c r="X1672" s="4">
        <v>2</v>
      </c>
      <c r="Y1672">
        <v>960.81</v>
      </c>
      <c r="Z1672">
        <v>0.28000000000000003</v>
      </c>
      <c r="AA1672">
        <v>1383.5663999999999</v>
      </c>
    </row>
    <row r="1673" spans="1:27" x14ac:dyDescent="0.3">
      <c r="A1673" t="s">
        <v>3480</v>
      </c>
      <c r="B1673" s="2">
        <v>45668</v>
      </c>
      <c r="C1673" t="s">
        <v>684</v>
      </c>
      <c r="D1673" t="s">
        <v>1631</v>
      </c>
      <c r="E1673" t="s">
        <v>1752</v>
      </c>
      <c r="F1673" s="4">
        <v>4</v>
      </c>
      <c r="G1673">
        <v>943.36</v>
      </c>
      <c r="H1673">
        <v>0.18</v>
      </c>
      <c r="I1673" t="s">
        <v>1809</v>
      </c>
      <c r="J1673">
        <v>3094.2208000000001</v>
      </c>
      <c r="K1673" t="s">
        <v>685</v>
      </c>
      <c r="L1673">
        <v>42</v>
      </c>
      <c r="M1673" t="str">
        <v>Female</v>
      </c>
      <c r="N1673" t="str">
        <f>VLOOKUP(C:C,Customer_Dim!B:I,5,1)</f>
        <v>Lyonsfort</v>
      </c>
      <c r="O1673" t="str">
        <f>VLOOKUP(C:C,Customer_Dim!B:I,6,1)</f>
        <v>Washington</v>
      </c>
      <c r="P1673" t="str">
        <f>VLOOKUP(C:C,Customer_Dim!B:I,7,1)</f>
        <v>USA</v>
      </c>
      <c r="Q1673" t="str">
        <f>VLOOKUP(C:C,Customer_Dim!B:I,8,1)</f>
        <v>Platinum</v>
      </c>
      <c r="S1673">
        <v>4</v>
      </c>
      <c r="T1673">
        <v>943.36</v>
      </c>
      <c r="U1673">
        <v>0.18</v>
      </c>
      <c r="V1673">
        <v>3094.2208000000001</v>
      </c>
      <c r="X1673" s="4">
        <v>4</v>
      </c>
      <c r="Y1673">
        <v>943.36</v>
      </c>
      <c r="Z1673">
        <v>0.18</v>
      </c>
      <c r="AA1673">
        <v>3094.2208000000001</v>
      </c>
    </row>
    <row r="1674" spans="1:27" x14ac:dyDescent="0.3">
      <c r="A1674" t="s">
        <v>3481</v>
      </c>
      <c r="B1674" s="2">
        <v>45561</v>
      </c>
      <c r="C1674" t="s">
        <v>687</v>
      </c>
      <c r="D1674" t="s">
        <v>1534</v>
      </c>
      <c r="E1674" t="s">
        <v>1780</v>
      </c>
      <c r="F1674" s="4">
        <v>1</v>
      </c>
      <c r="G1674">
        <v>830.42</v>
      </c>
      <c r="H1674">
        <v>0.26</v>
      </c>
      <c r="I1674" t="s">
        <v>1812</v>
      </c>
      <c r="J1674">
        <v>614.51080000000002</v>
      </c>
      <c r="K1674" t="s">
        <v>688</v>
      </c>
      <c r="L1674">
        <v>61</v>
      </c>
      <c r="M1674" t="str">
        <v>Male</v>
      </c>
      <c r="N1674" t="str">
        <f>VLOOKUP(C:C,Customer_Dim!B:I,5,1)</f>
        <v>West Markport</v>
      </c>
      <c r="O1674" t="str">
        <f>VLOOKUP(C:C,Customer_Dim!B:I,6,1)</f>
        <v>North Dakota</v>
      </c>
      <c r="P1674" t="str">
        <f>VLOOKUP(C:C,Customer_Dim!B:I,7,1)</f>
        <v>USA</v>
      </c>
      <c r="Q1674" t="str">
        <f>VLOOKUP(C:C,Customer_Dim!B:I,8,1)</f>
        <v>Platinum</v>
      </c>
      <c r="S1674">
        <v>1</v>
      </c>
      <c r="T1674">
        <v>830.42</v>
      </c>
      <c r="U1674">
        <v>0.26</v>
      </c>
      <c r="V1674">
        <v>614.51080000000002</v>
      </c>
      <c r="X1674" s="4">
        <v>1</v>
      </c>
      <c r="Y1674">
        <v>830.42</v>
      </c>
      <c r="Z1674">
        <v>0.26</v>
      </c>
      <c r="AA1674">
        <v>614.51080000000002</v>
      </c>
    </row>
    <row r="1675" spans="1:27" x14ac:dyDescent="0.3">
      <c r="A1675" t="s">
        <v>3482</v>
      </c>
      <c r="B1675" s="2">
        <v>45637</v>
      </c>
      <c r="C1675" t="s">
        <v>1095</v>
      </c>
      <c r="D1675" t="s">
        <v>1665</v>
      </c>
      <c r="E1675" t="s">
        <v>1790</v>
      </c>
      <c r="F1675" s="4">
        <v>1</v>
      </c>
      <c r="G1675">
        <v>762.55</v>
      </c>
      <c r="H1675">
        <v>0.19</v>
      </c>
      <c r="I1675" t="s">
        <v>1807</v>
      </c>
      <c r="J1675">
        <v>617.66549999999995</v>
      </c>
      <c r="K1675" t="s">
        <v>3954</v>
      </c>
      <c r="L1675">
        <v>38</v>
      </c>
      <c r="M1675" t="str">
        <v>Male</v>
      </c>
      <c r="N1675" t="str">
        <f>VLOOKUP(C:C,Customer_Dim!B:I,5,1)</f>
        <v>Westbury</v>
      </c>
      <c r="O1675" t="str">
        <f>VLOOKUP(C:C,Customer_Dim!B:I,6,1)</f>
        <v>Oregon</v>
      </c>
      <c r="P1675" t="str">
        <f>VLOOKUP(C:C,Customer_Dim!B:I,7,1)</f>
        <v>USA</v>
      </c>
      <c r="Q1675" t="str">
        <f>VLOOKUP(C:C,Customer_Dim!B:I,8,1)</f>
        <v>Platinum</v>
      </c>
      <c r="S1675">
        <v>1</v>
      </c>
      <c r="T1675">
        <v>762.55</v>
      </c>
      <c r="U1675">
        <v>0.19</v>
      </c>
      <c r="V1675">
        <v>617.66549999999995</v>
      </c>
      <c r="X1675" s="4">
        <v>1</v>
      </c>
      <c r="Y1675">
        <v>762.55</v>
      </c>
      <c r="Z1675">
        <v>0.19</v>
      </c>
      <c r="AA1675">
        <v>617.66549999999995</v>
      </c>
    </row>
    <row r="1676" spans="1:27" x14ac:dyDescent="0.3">
      <c r="A1676" t="s">
        <v>3483</v>
      </c>
      <c r="B1676" s="2">
        <v>45839</v>
      </c>
      <c r="C1676" t="s">
        <v>1066</v>
      </c>
      <c r="D1676" t="s">
        <v>1679</v>
      </c>
      <c r="E1676" t="s">
        <v>1793</v>
      </c>
      <c r="F1676" s="4">
        <v>2</v>
      </c>
      <c r="G1676">
        <v>464.43</v>
      </c>
      <c r="H1676">
        <v>0.24</v>
      </c>
      <c r="I1676" t="s">
        <v>1812</v>
      </c>
      <c r="J1676">
        <v>705.93360000000007</v>
      </c>
      <c r="K1676" t="s">
        <v>1067</v>
      </c>
      <c r="L1676">
        <v>39</v>
      </c>
      <c r="M1676" t="str">
        <v>Male</v>
      </c>
      <c r="N1676" t="str">
        <f>VLOOKUP(C:C,Customer_Dim!B:I,5,1)</f>
        <v>Cartershire</v>
      </c>
      <c r="O1676" t="str">
        <f>VLOOKUP(C:C,Customer_Dim!B:I,6,1)</f>
        <v>Virginia</v>
      </c>
      <c r="P1676" t="str">
        <f>VLOOKUP(C:C,Customer_Dim!B:I,7,1)</f>
        <v>USA</v>
      </c>
      <c r="Q1676" t="str">
        <f>VLOOKUP(C:C,Customer_Dim!B:I,8,1)</f>
        <v>Bronze</v>
      </c>
      <c r="S1676">
        <v>2</v>
      </c>
      <c r="T1676">
        <v>464.43</v>
      </c>
      <c r="U1676">
        <v>0.24</v>
      </c>
      <c r="V1676">
        <v>705.93360000000007</v>
      </c>
      <c r="X1676" s="4">
        <v>2</v>
      </c>
      <c r="Y1676">
        <v>464.43</v>
      </c>
      <c r="Z1676">
        <v>0.24</v>
      </c>
      <c r="AA1676">
        <v>705.93360000000007</v>
      </c>
    </row>
    <row r="1677" spans="1:27" x14ac:dyDescent="0.3">
      <c r="A1677" t="s">
        <v>3484</v>
      </c>
      <c r="B1677" s="2">
        <v>45851</v>
      </c>
      <c r="C1677" t="s">
        <v>75</v>
      </c>
      <c r="D1677" t="s">
        <v>1659</v>
      </c>
      <c r="E1677" t="s">
        <v>1793</v>
      </c>
      <c r="F1677" s="4">
        <v>1</v>
      </c>
      <c r="G1677">
        <v>711.08</v>
      </c>
      <c r="H1677">
        <v>0.24</v>
      </c>
      <c r="I1677" t="s">
        <v>1809</v>
      </c>
      <c r="J1677">
        <v>540.42079999999999</v>
      </c>
      <c r="K1677" t="s">
        <v>76</v>
      </c>
      <c r="L1677">
        <v>60</v>
      </c>
      <c r="M1677" t="str">
        <v>Female</v>
      </c>
      <c r="N1677" t="str">
        <f>VLOOKUP(C:C,Customer_Dim!B:I,5,1)</f>
        <v>South Christopher</v>
      </c>
      <c r="O1677" t="str">
        <f>VLOOKUP(C:C,Customer_Dim!B:I,6,1)</f>
        <v>Pennsylvania</v>
      </c>
      <c r="P1677" t="str">
        <f>VLOOKUP(C:C,Customer_Dim!B:I,7,1)</f>
        <v>USA</v>
      </c>
      <c r="Q1677" t="str">
        <f>VLOOKUP(C:C,Customer_Dim!B:I,8,1)</f>
        <v>Bronze</v>
      </c>
      <c r="S1677">
        <v>1</v>
      </c>
      <c r="T1677">
        <v>711.08</v>
      </c>
      <c r="U1677">
        <v>0.24</v>
      </c>
      <c r="V1677">
        <v>540.42079999999999</v>
      </c>
      <c r="X1677" s="4">
        <v>1</v>
      </c>
      <c r="Y1677">
        <v>711.08</v>
      </c>
      <c r="Z1677">
        <v>0.24</v>
      </c>
      <c r="AA1677">
        <v>540.42079999999999</v>
      </c>
    </row>
    <row r="1678" spans="1:27" x14ac:dyDescent="0.3">
      <c r="A1678" t="s">
        <v>3485</v>
      </c>
      <c r="B1678" s="2">
        <v>45656</v>
      </c>
      <c r="C1678" t="s">
        <v>797</v>
      </c>
      <c r="D1678" t="s">
        <v>1621</v>
      </c>
      <c r="E1678" t="s">
        <v>1782</v>
      </c>
      <c r="F1678" s="4">
        <v>2</v>
      </c>
      <c r="G1678">
        <v>984.96</v>
      </c>
      <c r="H1678">
        <v>0.16</v>
      </c>
      <c r="I1678" t="s">
        <v>1809</v>
      </c>
      <c r="J1678">
        <v>1654.7328</v>
      </c>
      <c r="K1678" t="s">
        <v>798</v>
      </c>
      <c r="L1678">
        <v>26</v>
      </c>
      <c r="M1678" t="str">
        <v>Male</v>
      </c>
      <c r="N1678" t="str">
        <f>VLOOKUP(C:C,Customer_Dim!B:I,5,1)</f>
        <v>Port Coreyfort</v>
      </c>
      <c r="O1678" t="str">
        <f>VLOOKUP(C:C,Customer_Dim!B:I,6,1)</f>
        <v>Alabama</v>
      </c>
      <c r="P1678" t="str">
        <f>VLOOKUP(C:C,Customer_Dim!B:I,7,1)</f>
        <v>USA</v>
      </c>
      <c r="Q1678" t="str">
        <f>VLOOKUP(C:C,Customer_Dim!B:I,8,1)</f>
        <v>Silver</v>
      </c>
      <c r="S1678">
        <v>2</v>
      </c>
      <c r="T1678">
        <v>984.96</v>
      </c>
      <c r="U1678">
        <v>0.16</v>
      </c>
      <c r="V1678">
        <v>1654.7328</v>
      </c>
      <c r="X1678" s="4">
        <v>2</v>
      </c>
      <c r="Y1678">
        <v>984.96</v>
      </c>
      <c r="Z1678">
        <v>0.16</v>
      </c>
      <c r="AA1678">
        <v>1654.7328</v>
      </c>
    </row>
    <row r="1679" spans="1:27" x14ac:dyDescent="0.3">
      <c r="A1679" t="s">
        <v>3486</v>
      </c>
      <c r="B1679" s="2">
        <v>45759</v>
      </c>
      <c r="C1679" t="s">
        <v>1066</v>
      </c>
      <c r="D1679" t="s">
        <v>1607</v>
      </c>
      <c r="E1679" t="s">
        <v>1777</v>
      </c>
      <c r="F1679" s="4">
        <v>1</v>
      </c>
      <c r="G1679">
        <v>21.14</v>
      </c>
      <c r="H1679">
        <v>0.06</v>
      </c>
      <c r="I1679" t="s">
        <v>1812</v>
      </c>
      <c r="J1679">
        <v>19.871600000000001</v>
      </c>
      <c r="K1679" t="s">
        <v>1067</v>
      </c>
      <c r="L1679">
        <v>39</v>
      </c>
      <c r="M1679" t="str">
        <v>Male</v>
      </c>
      <c r="N1679" t="str">
        <f>VLOOKUP(C:C,Customer_Dim!B:I,5,1)</f>
        <v>Cartershire</v>
      </c>
      <c r="O1679" t="str">
        <f>VLOOKUP(C:C,Customer_Dim!B:I,6,1)</f>
        <v>Virginia</v>
      </c>
      <c r="P1679" t="str">
        <f>VLOOKUP(C:C,Customer_Dim!B:I,7,1)</f>
        <v>USA</v>
      </c>
      <c r="Q1679" t="str">
        <f>VLOOKUP(C:C,Customer_Dim!B:I,8,1)</f>
        <v>Bronze</v>
      </c>
      <c r="S1679">
        <v>1</v>
      </c>
      <c r="T1679">
        <v>21.14</v>
      </c>
      <c r="U1679">
        <v>0.06</v>
      </c>
      <c r="V1679">
        <v>19.871600000000001</v>
      </c>
      <c r="X1679" s="4">
        <v>1</v>
      </c>
      <c r="Y1679">
        <v>21.14</v>
      </c>
      <c r="Z1679">
        <v>0.06</v>
      </c>
      <c r="AA1679">
        <v>19.871600000000001</v>
      </c>
    </row>
    <row r="1680" spans="1:27" x14ac:dyDescent="0.3">
      <c r="A1680" t="s">
        <v>3487</v>
      </c>
      <c r="B1680" s="2">
        <v>45679</v>
      </c>
      <c r="C1680" t="s">
        <v>370</v>
      </c>
      <c r="D1680" t="s">
        <v>1727</v>
      </c>
      <c r="E1680" t="s">
        <v>1765</v>
      </c>
      <c r="F1680" s="4">
        <v>1</v>
      </c>
      <c r="G1680">
        <v>343.03</v>
      </c>
      <c r="H1680">
        <v>0.16</v>
      </c>
      <c r="I1680" t="s">
        <v>1807</v>
      </c>
      <c r="J1680">
        <v>288.14519999999999</v>
      </c>
      <c r="K1680" t="s">
        <v>371</v>
      </c>
      <c r="L1680">
        <v>62</v>
      </c>
      <c r="M1680" t="str">
        <v>Female</v>
      </c>
      <c r="N1680" t="str">
        <f>VLOOKUP(C:C,Customer_Dim!B:I,5,1)</f>
        <v>East Linda</v>
      </c>
      <c r="O1680" t="str">
        <f>VLOOKUP(C:C,Customer_Dim!B:I,6,1)</f>
        <v>Rhode Island</v>
      </c>
      <c r="P1680" t="str">
        <f>VLOOKUP(C:C,Customer_Dim!B:I,7,1)</f>
        <v>USA</v>
      </c>
      <c r="Q1680" t="str">
        <f>VLOOKUP(C:C,Customer_Dim!B:I,8,1)</f>
        <v>Bronze</v>
      </c>
      <c r="S1680">
        <v>1</v>
      </c>
      <c r="T1680">
        <v>343.03</v>
      </c>
      <c r="U1680">
        <v>0.16</v>
      </c>
      <c r="V1680">
        <v>288.14519999999999</v>
      </c>
      <c r="X1680" s="4">
        <v>1</v>
      </c>
      <c r="Y1680">
        <v>343.03</v>
      </c>
      <c r="Z1680">
        <v>0.16</v>
      </c>
      <c r="AA1680">
        <v>288.14519999999999</v>
      </c>
    </row>
    <row r="1681" spans="1:27" x14ac:dyDescent="0.3">
      <c r="A1681" t="s">
        <v>3488</v>
      </c>
      <c r="B1681" s="2">
        <v>45237</v>
      </c>
      <c r="C1681" t="s">
        <v>785</v>
      </c>
      <c r="D1681" t="s">
        <v>1571</v>
      </c>
      <c r="E1681" t="s">
        <v>1793</v>
      </c>
      <c r="F1681" s="4">
        <v>3</v>
      </c>
      <c r="G1681">
        <v>94.83</v>
      </c>
      <c r="H1681">
        <v>0.16</v>
      </c>
      <c r="I1681" t="s">
        <v>1812</v>
      </c>
      <c r="J1681">
        <v>238.9716</v>
      </c>
      <c r="K1681" t="s">
        <v>786</v>
      </c>
      <c r="L1681">
        <v>19</v>
      </c>
      <c r="M1681" t="str">
        <v>Male</v>
      </c>
      <c r="N1681" t="str">
        <f>VLOOKUP(C:C,Customer_Dim!B:I,5,1)</f>
        <v>Mikehaven</v>
      </c>
      <c r="O1681" t="str">
        <f>VLOOKUP(C:C,Customer_Dim!B:I,6,1)</f>
        <v>New Hampshire</v>
      </c>
      <c r="P1681" t="str">
        <f>VLOOKUP(C:C,Customer_Dim!B:I,7,1)</f>
        <v>USA</v>
      </c>
      <c r="Q1681" t="str">
        <f>VLOOKUP(C:C,Customer_Dim!B:I,8,1)</f>
        <v>Platinum</v>
      </c>
      <c r="S1681">
        <v>3</v>
      </c>
      <c r="T1681">
        <v>94.83</v>
      </c>
      <c r="U1681">
        <v>0.16</v>
      </c>
      <c r="V1681">
        <v>238.9716</v>
      </c>
      <c r="X1681" s="4">
        <v>3</v>
      </c>
      <c r="Y1681">
        <v>94.83</v>
      </c>
      <c r="Z1681">
        <v>0.16</v>
      </c>
      <c r="AA1681">
        <v>238.9716</v>
      </c>
    </row>
    <row r="1682" spans="1:27" x14ac:dyDescent="0.3">
      <c r="A1682" t="s">
        <v>3489</v>
      </c>
      <c r="B1682" s="2">
        <v>45790</v>
      </c>
      <c r="C1682" t="s">
        <v>82</v>
      </c>
      <c r="D1682" t="s">
        <v>1669</v>
      </c>
      <c r="E1682" t="s">
        <v>1796</v>
      </c>
      <c r="F1682" s="4">
        <v>3</v>
      </c>
      <c r="G1682">
        <v>74.66</v>
      </c>
      <c r="H1682">
        <v>0.03</v>
      </c>
      <c r="I1682" t="s">
        <v>1809</v>
      </c>
      <c r="J1682">
        <v>217.26060000000001</v>
      </c>
      <c r="K1682" t="s">
        <v>83</v>
      </c>
      <c r="L1682">
        <v>46</v>
      </c>
      <c r="M1682" t="str">
        <v>Female</v>
      </c>
      <c r="N1682" t="str">
        <f>VLOOKUP(C:C,Customer_Dim!B:I,5,1)</f>
        <v>South William</v>
      </c>
      <c r="O1682" t="str">
        <f>VLOOKUP(C:C,Customer_Dim!B:I,6,1)</f>
        <v>Kansas</v>
      </c>
      <c r="P1682" t="str">
        <f>VLOOKUP(C:C,Customer_Dim!B:I,7,1)</f>
        <v>USA</v>
      </c>
      <c r="Q1682" t="str">
        <f>VLOOKUP(C:C,Customer_Dim!B:I,8,1)</f>
        <v>Platinum</v>
      </c>
      <c r="S1682">
        <v>3</v>
      </c>
      <c r="T1682">
        <v>74.66</v>
      </c>
      <c r="U1682">
        <v>0.03</v>
      </c>
      <c r="V1682">
        <v>217.26060000000001</v>
      </c>
      <c r="X1682" s="4">
        <v>3</v>
      </c>
      <c r="Y1682">
        <v>74.66</v>
      </c>
      <c r="Z1682">
        <v>0.03</v>
      </c>
      <c r="AA1682">
        <v>217.26060000000001</v>
      </c>
    </row>
    <row r="1683" spans="1:27" x14ac:dyDescent="0.3">
      <c r="A1683" t="s">
        <v>3490</v>
      </c>
      <c r="B1683" s="2">
        <v>45268</v>
      </c>
      <c r="C1683" t="s">
        <v>459</v>
      </c>
      <c r="D1683" t="s">
        <v>1605</v>
      </c>
      <c r="E1683" t="s">
        <v>1784</v>
      </c>
      <c r="F1683" s="4">
        <v>3</v>
      </c>
      <c r="G1683">
        <v>281.95999999999998</v>
      </c>
      <c r="H1683">
        <v>0.01</v>
      </c>
      <c r="I1683" t="s">
        <v>1812</v>
      </c>
      <c r="J1683">
        <v>837.42119999999989</v>
      </c>
      <c r="K1683" t="s">
        <v>460</v>
      </c>
      <c r="L1683">
        <v>55</v>
      </c>
      <c r="M1683" t="str">
        <v>Female</v>
      </c>
      <c r="N1683" t="str">
        <f>VLOOKUP(C:C,Customer_Dim!B:I,5,1)</f>
        <v>New Jeffrey</v>
      </c>
      <c r="O1683" t="str">
        <f>VLOOKUP(C:C,Customer_Dim!B:I,6,1)</f>
        <v>Nebraska</v>
      </c>
      <c r="P1683" t="str">
        <f>VLOOKUP(C:C,Customer_Dim!B:I,7,1)</f>
        <v>USA</v>
      </c>
      <c r="Q1683" t="str">
        <f>VLOOKUP(C:C,Customer_Dim!B:I,8,1)</f>
        <v>Silver</v>
      </c>
      <c r="S1683">
        <v>3</v>
      </c>
      <c r="T1683">
        <v>281.95999999999998</v>
      </c>
      <c r="U1683">
        <v>0.01</v>
      </c>
      <c r="V1683">
        <v>837.42119999999989</v>
      </c>
      <c r="X1683" s="4">
        <v>3</v>
      </c>
      <c r="Y1683">
        <v>281.95999999999998</v>
      </c>
      <c r="Z1683">
        <v>0.01</v>
      </c>
      <c r="AA1683">
        <v>837.42119999999989</v>
      </c>
    </row>
    <row r="1684" spans="1:27" x14ac:dyDescent="0.3">
      <c r="A1684" t="s">
        <v>3491</v>
      </c>
      <c r="B1684" s="2">
        <v>45664</v>
      </c>
      <c r="C1684" t="s">
        <v>752</v>
      </c>
      <c r="D1684" t="s">
        <v>1673</v>
      </c>
      <c r="E1684" t="s">
        <v>1793</v>
      </c>
      <c r="F1684" s="4">
        <v>4</v>
      </c>
      <c r="G1684">
        <v>622.27</v>
      </c>
      <c r="H1684">
        <v>0.02</v>
      </c>
      <c r="I1684" t="s">
        <v>1809</v>
      </c>
      <c r="J1684">
        <v>2439.2984000000001</v>
      </c>
      <c r="K1684" t="s">
        <v>753</v>
      </c>
      <c r="L1684">
        <v>41</v>
      </c>
      <c r="M1684" t="str">
        <v>Female</v>
      </c>
      <c r="N1684" t="str">
        <f>VLOOKUP(C:C,Customer_Dim!B:I,5,1)</f>
        <v>North Larryport</v>
      </c>
      <c r="O1684" t="str">
        <f>VLOOKUP(C:C,Customer_Dim!B:I,6,1)</f>
        <v>Virginia</v>
      </c>
      <c r="P1684" t="str">
        <f>VLOOKUP(C:C,Customer_Dim!B:I,7,1)</f>
        <v>USA</v>
      </c>
      <c r="Q1684" t="str">
        <f>VLOOKUP(C:C,Customer_Dim!B:I,8,1)</f>
        <v>Bronze</v>
      </c>
      <c r="S1684">
        <v>4</v>
      </c>
      <c r="T1684">
        <v>622.27</v>
      </c>
      <c r="U1684">
        <v>0.02</v>
      </c>
      <c r="V1684">
        <v>2439.2984000000001</v>
      </c>
      <c r="X1684" s="4">
        <v>4</v>
      </c>
      <c r="Y1684">
        <v>622.27</v>
      </c>
      <c r="Z1684">
        <v>0.02</v>
      </c>
      <c r="AA1684">
        <v>2439.2984000000001</v>
      </c>
    </row>
    <row r="1685" spans="1:27" x14ac:dyDescent="0.3">
      <c r="A1685" t="s">
        <v>3492</v>
      </c>
      <c r="B1685" s="2">
        <v>45475</v>
      </c>
      <c r="C1685" t="s">
        <v>358</v>
      </c>
      <c r="D1685" t="s">
        <v>1605</v>
      </c>
      <c r="E1685" t="s">
        <v>1762</v>
      </c>
      <c r="F1685" s="4">
        <v>2</v>
      </c>
      <c r="G1685">
        <v>78.27</v>
      </c>
      <c r="H1685">
        <v>0.28999999999999998</v>
      </c>
      <c r="I1685" t="s">
        <v>1812</v>
      </c>
      <c r="J1685">
        <v>111.1434</v>
      </c>
      <c r="K1685" t="s">
        <v>359</v>
      </c>
      <c r="L1685">
        <v>21</v>
      </c>
      <c r="M1685" t="str">
        <v>Male</v>
      </c>
      <c r="N1685" t="str">
        <f>VLOOKUP(C:C,Customer_Dim!B:I,5,1)</f>
        <v>Port Joshuachester</v>
      </c>
      <c r="O1685" t="str">
        <f>VLOOKUP(C:C,Customer_Dim!B:I,6,1)</f>
        <v>Pennsylvania</v>
      </c>
      <c r="P1685" t="str">
        <f>VLOOKUP(C:C,Customer_Dim!B:I,7,1)</f>
        <v>USA</v>
      </c>
      <c r="Q1685" t="str">
        <f>VLOOKUP(C:C,Customer_Dim!B:I,8,1)</f>
        <v>Bronze</v>
      </c>
      <c r="S1685">
        <v>2</v>
      </c>
      <c r="T1685">
        <v>78.27</v>
      </c>
      <c r="U1685">
        <v>0.28999999999999998</v>
      </c>
      <c r="V1685">
        <v>111.1434</v>
      </c>
      <c r="X1685" s="4">
        <v>2</v>
      </c>
      <c r="Y1685">
        <v>78.27</v>
      </c>
      <c r="Z1685">
        <v>0.28999999999999998</v>
      </c>
      <c r="AA1685">
        <v>111.1434</v>
      </c>
    </row>
    <row r="1686" spans="1:27" x14ac:dyDescent="0.3">
      <c r="A1686" t="s">
        <v>3493</v>
      </c>
      <c r="B1686" s="2">
        <v>45845</v>
      </c>
      <c r="C1686" t="s">
        <v>59</v>
      </c>
      <c r="D1686" t="s">
        <v>1655</v>
      </c>
      <c r="E1686" t="s">
        <v>1780</v>
      </c>
      <c r="F1686" s="4">
        <v>4</v>
      </c>
      <c r="G1686">
        <v>676.58</v>
      </c>
      <c r="H1686">
        <v>0.23</v>
      </c>
      <c r="I1686" t="s">
        <v>1812</v>
      </c>
      <c r="J1686">
        <v>2083.8663999999999</v>
      </c>
      <c r="K1686" t="s">
        <v>60</v>
      </c>
      <c r="L1686">
        <v>32</v>
      </c>
      <c r="M1686" t="str">
        <v>Female</v>
      </c>
      <c r="N1686" t="str">
        <f>VLOOKUP(C:C,Customer_Dim!B:I,5,1)</f>
        <v>North Kathryn</v>
      </c>
      <c r="O1686" t="str">
        <f>VLOOKUP(C:C,Customer_Dim!B:I,6,1)</f>
        <v>Kansas</v>
      </c>
      <c r="P1686" t="str">
        <f>VLOOKUP(C:C,Customer_Dim!B:I,7,1)</f>
        <v>USA</v>
      </c>
      <c r="Q1686" t="str">
        <f>VLOOKUP(C:C,Customer_Dim!B:I,8,1)</f>
        <v>Platinum</v>
      </c>
      <c r="S1686">
        <v>4</v>
      </c>
      <c r="T1686">
        <v>676.58</v>
      </c>
      <c r="U1686">
        <v>0.23</v>
      </c>
      <c r="V1686">
        <v>2083.8663999999999</v>
      </c>
      <c r="X1686" s="4">
        <v>4</v>
      </c>
      <c r="Y1686">
        <v>676.58</v>
      </c>
      <c r="Z1686">
        <v>0.23</v>
      </c>
      <c r="AA1686">
        <v>2083.8663999999999</v>
      </c>
    </row>
    <row r="1687" spans="1:27" x14ac:dyDescent="0.3">
      <c r="A1687" t="s">
        <v>3494</v>
      </c>
      <c r="B1687" s="2">
        <v>45446</v>
      </c>
      <c r="C1687" t="s">
        <v>1478</v>
      </c>
      <c r="D1687" t="s">
        <v>1593</v>
      </c>
      <c r="E1687" t="s">
        <v>1740</v>
      </c>
      <c r="F1687" s="4">
        <v>2</v>
      </c>
      <c r="G1687">
        <v>938.6</v>
      </c>
      <c r="H1687">
        <v>0.04</v>
      </c>
      <c r="I1687" t="s">
        <v>1809</v>
      </c>
      <c r="J1687">
        <v>1802.1120000000001</v>
      </c>
      <c r="K1687" t="s">
        <v>1479</v>
      </c>
      <c r="L1687">
        <v>36</v>
      </c>
      <c r="M1687" t="str">
        <v>Female</v>
      </c>
      <c r="N1687" t="str">
        <f>VLOOKUP(C:C,Customer_Dim!B:I,5,1)</f>
        <v>Lake April</v>
      </c>
      <c r="O1687" t="str">
        <f>VLOOKUP(C:C,Customer_Dim!B:I,6,1)</f>
        <v>Vermont</v>
      </c>
      <c r="P1687" t="str">
        <f>VLOOKUP(C:C,Customer_Dim!B:I,7,1)</f>
        <v>USA</v>
      </c>
      <c r="Q1687" t="str">
        <f>VLOOKUP(C:C,Customer_Dim!B:I,8,1)</f>
        <v>Bronze</v>
      </c>
      <c r="S1687">
        <v>2</v>
      </c>
      <c r="T1687">
        <v>938.6</v>
      </c>
      <c r="U1687">
        <v>0.04</v>
      </c>
      <c r="V1687">
        <v>1802.1120000000001</v>
      </c>
      <c r="X1687" s="4">
        <v>2</v>
      </c>
      <c r="Y1687">
        <v>938.6</v>
      </c>
      <c r="Z1687">
        <v>0.04</v>
      </c>
      <c r="AA1687">
        <v>1802.1120000000001</v>
      </c>
    </row>
    <row r="1688" spans="1:27" x14ac:dyDescent="0.3">
      <c r="A1688" t="s">
        <v>3495</v>
      </c>
      <c r="B1688" s="2">
        <v>45761</v>
      </c>
      <c r="C1688" t="s">
        <v>1100</v>
      </c>
      <c r="D1688" t="s">
        <v>1557</v>
      </c>
      <c r="E1688" t="s">
        <v>1782</v>
      </c>
      <c r="F1688" s="4">
        <v>2</v>
      </c>
      <c r="G1688">
        <v>859.47</v>
      </c>
      <c r="H1688">
        <v>0.01</v>
      </c>
      <c r="I1688" t="s">
        <v>1807</v>
      </c>
      <c r="J1688">
        <v>1701.7506000000001</v>
      </c>
      <c r="K1688" t="s">
        <v>1101</v>
      </c>
      <c r="L1688">
        <v>54</v>
      </c>
      <c r="M1688" t="str">
        <v>Male</v>
      </c>
      <c r="N1688" t="str">
        <f>VLOOKUP(C:C,Customer_Dim!B:I,5,1)</f>
        <v>North Johnfurt</v>
      </c>
      <c r="O1688" t="str">
        <f>VLOOKUP(C:C,Customer_Dim!B:I,6,1)</f>
        <v>Washington</v>
      </c>
      <c r="P1688" t="str">
        <f>VLOOKUP(C:C,Customer_Dim!B:I,7,1)</f>
        <v>USA</v>
      </c>
      <c r="Q1688" t="str">
        <f>VLOOKUP(C:C,Customer_Dim!B:I,8,1)</f>
        <v>Gold</v>
      </c>
      <c r="S1688">
        <v>2</v>
      </c>
      <c r="T1688">
        <v>859.47</v>
      </c>
      <c r="U1688">
        <v>0.01</v>
      </c>
      <c r="V1688">
        <v>1701.7506000000001</v>
      </c>
      <c r="X1688" s="4">
        <v>2</v>
      </c>
      <c r="Y1688">
        <v>859.47</v>
      </c>
      <c r="Z1688">
        <v>0.01</v>
      </c>
      <c r="AA1688">
        <v>1701.7506000000001</v>
      </c>
    </row>
    <row r="1689" spans="1:27" x14ac:dyDescent="0.3">
      <c r="A1689" t="s">
        <v>3496</v>
      </c>
      <c r="B1689" s="2">
        <v>45363</v>
      </c>
      <c r="C1689" t="s">
        <v>211</v>
      </c>
      <c r="D1689" t="s">
        <v>1585</v>
      </c>
      <c r="E1689" t="s">
        <v>1782</v>
      </c>
      <c r="F1689" s="4">
        <v>3</v>
      </c>
      <c r="G1689">
        <v>672.98</v>
      </c>
      <c r="H1689">
        <v>0.23</v>
      </c>
      <c r="I1689" t="s">
        <v>1809</v>
      </c>
      <c r="J1689">
        <v>1554.5838000000001</v>
      </c>
      <c r="K1689" t="s">
        <v>212</v>
      </c>
      <c r="L1689">
        <v>51</v>
      </c>
      <c r="M1689" t="str">
        <v>Male</v>
      </c>
      <c r="N1689" t="str">
        <f>VLOOKUP(C:C,Customer_Dim!B:I,5,1)</f>
        <v>Morrisbury</v>
      </c>
      <c r="O1689" t="str">
        <f>VLOOKUP(C:C,Customer_Dim!B:I,6,1)</f>
        <v>Rhode Island</v>
      </c>
      <c r="P1689" t="str">
        <f>VLOOKUP(C:C,Customer_Dim!B:I,7,1)</f>
        <v>USA</v>
      </c>
      <c r="Q1689" t="str">
        <f>VLOOKUP(C:C,Customer_Dim!B:I,8,1)</f>
        <v>Platinum</v>
      </c>
      <c r="S1689">
        <v>3</v>
      </c>
      <c r="T1689">
        <v>672.98</v>
      </c>
      <c r="U1689">
        <v>0.23</v>
      </c>
      <c r="V1689">
        <v>1554.5838000000001</v>
      </c>
      <c r="X1689" s="4">
        <v>3</v>
      </c>
      <c r="Y1689">
        <v>672.98</v>
      </c>
      <c r="Z1689">
        <v>0.23</v>
      </c>
      <c r="AA1689">
        <v>1554.5838000000001</v>
      </c>
    </row>
    <row r="1690" spans="1:27" x14ac:dyDescent="0.3">
      <c r="A1690" t="s">
        <v>3497</v>
      </c>
      <c r="B1690" s="2">
        <v>45420</v>
      </c>
      <c r="C1690" t="s">
        <v>666</v>
      </c>
      <c r="D1690" t="s">
        <v>1643</v>
      </c>
      <c r="E1690" t="s">
        <v>1793</v>
      </c>
      <c r="F1690" s="4">
        <v>1</v>
      </c>
      <c r="G1690">
        <v>75.8</v>
      </c>
      <c r="H1690">
        <v>0.28999999999999998</v>
      </c>
      <c r="I1690" t="s">
        <v>1809</v>
      </c>
      <c r="J1690">
        <v>53.817999999999998</v>
      </c>
      <c r="K1690" t="s">
        <v>667</v>
      </c>
      <c r="L1690">
        <v>28</v>
      </c>
      <c r="M1690" t="str">
        <v>Female</v>
      </c>
      <c r="N1690" t="str">
        <f>VLOOKUP(C:C,Customer_Dim!B:I,5,1)</f>
        <v>Brownshire</v>
      </c>
      <c r="O1690" t="str">
        <f>VLOOKUP(C:C,Customer_Dim!B:I,6,1)</f>
        <v>Tennessee</v>
      </c>
      <c r="P1690" t="str">
        <f>VLOOKUP(C:C,Customer_Dim!B:I,7,1)</f>
        <v>USA</v>
      </c>
      <c r="Q1690" t="str">
        <f>VLOOKUP(C:C,Customer_Dim!B:I,8,1)</f>
        <v>Silver</v>
      </c>
      <c r="S1690">
        <v>1</v>
      </c>
      <c r="T1690">
        <v>75.8</v>
      </c>
      <c r="U1690">
        <v>0.28999999999999998</v>
      </c>
      <c r="V1690">
        <v>53.817999999999998</v>
      </c>
      <c r="X1690" s="4">
        <v>1</v>
      </c>
      <c r="Y1690">
        <v>75.8</v>
      </c>
      <c r="Z1690">
        <v>0.28999999999999998</v>
      </c>
      <c r="AA1690">
        <v>53.817999999999998</v>
      </c>
    </row>
    <row r="1691" spans="1:27" x14ac:dyDescent="0.3">
      <c r="A1691" t="s">
        <v>3498</v>
      </c>
      <c r="B1691" s="2">
        <v>45536</v>
      </c>
      <c r="C1691" t="s">
        <v>136</v>
      </c>
      <c r="D1691" t="s">
        <v>1565</v>
      </c>
      <c r="E1691" t="s">
        <v>1784</v>
      </c>
      <c r="F1691" s="4">
        <v>4</v>
      </c>
      <c r="G1691">
        <v>742.15</v>
      </c>
      <c r="H1691">
        <v>0.1</v>
      </c>
      <c r="I1691" t="s">
        <v>1812</v>
      </c>
      <c r="J1691">
        <v>2671.74</v>
      </c>
      <c r="K1691" t="s">
        <v>137</v>
      </c>
      <c r="L1691">
        <v>52</v>
      </c>
      <c r="M1691" t="str">
        <v>Male</v>
      </c>
      <c r="N1691" t="str">
        <f>VLOOKUP(C:C,Customer_Dim!B:I,5,1)</f>
        <v>West Richard</v>
      </c>
      <c r="O1691" t="str">
        <f>VLOOKUP(C:C,Customer_Dim!B:I,6,1)</f>
        <v>Maryland</v>
      </c>
      <c r="P1691" t="str">
        <f>VLOOKUP(C:C,Customer_Dim!B:I,7,1)</f>
        <v>USA</v>
      </c>
      <c r="Q1691" t="str">
        <f>VLOOKUP(C:C,Customer_Dim!B:I,8,1)</f>
        <v>Platinum</v>
      </c>
      <c r="S1691">
        <v>4</v>
      </c>
      <c r="T1691">
        <v>742.15</v>
      </c>
      <c r="U1691">
        <v>0.1</v>
      </c>
      <c r="V1691">
        <v>2671.74</v>
      </c>
      <c r="X1691" s="4">
        <v>4</v>
      </c>
      <c r="Y1691">
        <v>742.15</v>
      </c>
      <c r="Z1691">
        <v>0.1</v>
      </c>
      <c r="AA1691">
        <v>2671.74</v>
      </c>
    </row>
    <row r="1692" spans="1:27" x14ac:dyDescent="0.3">
      <c r="A1692" t="s">
        <v>3499</v>
      </c>
      <c r="B1692" s="2">
        <v>45445</v>
      </c>
      <c r="C1692" t="s">
        <v>261</v>
      </c>
      <c r="D1692" t="s">
        <v>1591</v>
      </c>
      <c r="E1692" t="s">
        <v>1762</v>
      </c>
      <c r="F1692" s="4">
        <v>1</v>
      </c>
      <c r="G1692">
        <v>637.39</v>
      </c>
      <c r="H1692">
        <v>0.22</v>
      </c>
      <c r="I1692" t="s">
        <v>1809</v>
      </c>
      <c r="J1692">
        <v>497.16419999999999</v>
      </c>
      <c r="K1692" t="s">
        <v>262</v>
      </c>
      <c r="L1692">
        <v>56</v>
      </c>
      <c r="M1692" t="str">
        <v>Female</v>
      </c>
      <c r="N1692" t="str">
        <f>VLOOKUP(C:C,Customer_Dim!B:I,5,1)</f>
        <v>Olsonhaven</v>
      </c>
      <c r="O1692" t="str">
        <f>VLOOKUP(C:C,Customer_Dim!B:I,6,1)</f>
        <v>Iowa</v>
      </c>
      <c r="P1692" t="str">
        <f>VLOOKUP(C:C,Customer_Dim!B:I,7,1)</f>
        <v>USA</v>
      </c>
      <c r="Q1692" t="str">
        <f>VLOOKUP(C:C,Customer_Dim!B:I,8,1)</f>
        <v>Gold</v>
      </c>
      <c r="S1692">
        <v>1</v>
      </c>
      <c r="T1692">
        <v>637.39</v>
      </c>
      <c r="U1692">
        <v>0.22</v>
      </c>
      <c r="V1692">
        <v>497.16419999999999</v>
      </c>
      <c r="X1692" s="4">
        <v>1</v>
      </c>
      <c r="Y1692">
        <v>637.39</v>
      </c>
      <c r="Z1692">
        <v>0.22</v>
      </c>
      <c r="AA1692">
        <v>497.16419999999999</v>
      </c>
    </row>
    <row r="1693" spans="1:27" x14ac:dyDescent="0.3">
      <c r="A1693" t="s">
        <v>3500</v>
      </c>
      <c r="B1693" s="2">
        <v>45230</v>
      </c>
      <c r="C1693" t="s">
        <v>1207</v>
      </c>
      <c r="D1693" t="s">
        <v>1540</v>
      </c>
      <c r="E1693" t="s">
        <v>1790</v>
      </c>
      <c r="F1693" s="4">
        <v>1</v>
      </c>
      <c r="G1693">
        <v>631</v>
      </c>
      <c r="H1693">
        <v>0.04</v>
      </c>
      <c r="I1693" t="s">
        <v>1807</v>
      </c>
      <c r="J1693">
        <v>605.76</v>
      </c>
      <c r="K1693" t="s">
        <v>1208</v>
      </c>
      <c r="L1693">
        <v>46</v>
      </c>
      <c r="M1693" t="str">
        <v>Male</v>
      </c>
      <c r="N1693" t="str">
        <f>VLOOKUP(C:C,Customer_Dim!B:I,5,1)</f>
        <v>Dawnstad</v>
      </c>
      <c r="O1693" t="str">
        <f>VLOOKUP(C:C,Customer_Dim!B:I,6,1)</f>
        <v>Oregon</v>
      </c>
      <c r="P1693" t="str">
        <f>VLOOKUP(C:C,Customer_Dim!B:I,7,1)</f>
        <v>USA</v>
      </c>
      <c r="Q1693" t="str">
        <f>VLOOKUP(C:C,Customer_Dim!B:I,8,1)</f>
        <v>Bronze</v>
      </c>
      <c r="S1693">
        <v>1</v>
      </c>
      <c r="T1693">
        <v>631</v>
      </c>
      <c r="U1693">
        <v>0.04</v>
      </c>
      <c r="V1693">
        <v>605.76</v>
      </c>
      <c r="X1693" s="4">
        <v>1</v>
      </c>
      <c r="Y1693">
        <v>631</v>
      </c>
      <c r="Z1693">
        <v>0.04</v>
      </c>
      <c r="AA1693">
        <v>605.76</v>
      </c>
    </row>
    <row r="1694" spans="1:27" x14ac:dyDescent="0.3">
      <c r="A1694" t="s">
        <v>3501</v>
      </c>
      <c r="B1694" s="2">
        <v>45916</v>
      </c>
      <c r="C1694" t="s">
        <v>1213</v>
      </c>
      <c r="D1694" t="s">
        <v>1691</v>
      </c>
      <c r="E1694" t="s">
        <v>1749</v>
      </c>
      <c r="F1694" s="4">
        <v>4</v>
      </c>
      <c r="G1694">
        <v>983.98</v>
      </c>
      <c r="H1694">
        <v>0.11</v>
      </c>
      <c r="I1694" t="s">
        <v>1812</v>
      </c>
      <c r="J1694">
        <v>3502.9688000000001</v>
      </c>
      <c r="K1694" t="s">
        <v>1214</v>
      </c>
      <c r="L1694">
        <v>43</v>
      </c>
      <c r="M1694" t="str">
        <v>Female</v>
      </c>
      <c r="N1694" t="str">
        <f>VLOOKUP(C:C,Customer_Dim!B:I,5,1)</f>
        <v>Stewartchester</v>
      </c>
      <c r="O1694" t="str">
        <f>VLOOKUP(C:C,Customer_Dim!B:I,6,1)</f>
        <v>Utah</v>
      </c>
      <c r="P1694" t="str">
        <f>VLOOKUP(C:C,Customer_Dim!B:I,7,1)</f>
        <v>USA</v>
      </c>
      <c r="Q1694" t="str">
        <f>VLOOKUP(C:C,Customer_Dim!B:I,8,1)</f>
        <v>Bronze</v>
      </c>
      <c r="S1694">
        <v>4</v>
      </c>
      <c r="T1694">
        <v>983.98</v>
      </c>
      <c r="U1694">
        <v>0.11</v>
      </c>
      <c r="V1694">
        <v>3502.9688000000001</v>
      </c>
      <c r="X1694" s="4">
        <v>4</v>
      </c>
      <c r="Y1694">
        <v>983.98</v>
      </c>
      <c r="Z1694">
        <v>0.11</v>
      </c>
      <c r="AA1694">
        <v>3502.9688000000001</v>
      </c>
    </row>
    <row r="1695" spans="1:27" x14ac:dyDescent="0.3">
      <c r="A1695" t="s">
        <v>3502</v>
      </c>
      <c r="B1695" s="2">
        <v>45353</v>
      </c>
      <c r="C1695" t="s">
        <v>202</v>
      </c>
      <c r="D1695" t="s">
        <v>1641</v>
      </c>
      <c r="E1695" t="s">
        <v>1775</v>
      </c>
      <c r="F1695" s="4">
        <v>4</v>
      </c>
      <c r="G1695">
        <v>73.69</v>
      </c>
      <c r="H1695">
        <v>0.08</v>
      </c>
      <c r="I1695" t="s">
        <v>1807</v>
      </c>
      <c r="J1695">
        <v>271.17919999999998</v>
      </c>
      <c r="K1695" t="s">
        <v>203</v>
      </c>
      <c r="L1695">
        <v>56</v>
      </c>
      <c r="M1695" t="str">
        <v>Female</v>
      </c>
      <c r="N1695" t="str">
        <f>VLOOKUP(C:C,Customer_Dim!B:I,5,1)</f>
        <v>Christopherland</v>
      </c>
      <c r="O1695" t="str">
        <f>VLOOKUP(C:C,Customer_Dim!B:I,6,1)</f>
        <v>Oklahoma</v>
      </c>
      <c r="P1695" t="str">
        <f>VLOOKUP(C:C,Customer_Dim!B:I,7,1)</f>
        <v>USA</v>
      </c>
      <c r="Q1695" t="str">
        <f>VLOOKUP(C:C,Customer_Dim!B:I,8,1)</f>
        <v>Platinum</v>
      </c>
      <c r="S1695">
        <v>4</v>
      </c>
      <c r="T1695">
        <v>73.69</v>
      </c>
      <c r="U1695">
        <v>0.08</v>
      </c>
      <c r="V1695">
        <v>271.17919999999998</v>
      </c>
      <c r="X1695" s="4">
        <v>4</v>
      </c>
      <c r="Y1695">
        <v>73.69</v>
      </c>
      <c r="Z1695">
        <v>0.08</v>
      </c>
      <c r="AA1695">
        <v>271.17919999999998</v>
      </c>
    </row>
    <row r="1696" spans="1:27" x14ac:dyDescent="0.3">
      <c r="A1696" t="s">
        <v>3503</v>
      </c>
      <c r="B1696" s="2">
        <v>45490</v>
      </c>
      <c r="C1696" t="s">
        <v>1327</v>
      </c>
      <c r="D1696" t="s">
        <v>1553</v>
      </c>
      <c r="E1696" t="s">
        <v>1762</v>
      </c>
      <c r="F1696" s="4">
        <v>3</v>
      </c>
      <c r="G1696">
        <v>110.99</v>
      </c>
      <c r="H1696">
        <v>0.21</v>
      </c>
      <c r="I1696" t="s">
        <v>1807</v>
      </c>
      <c r="J1696">
        <v>263.04629999999997</v>
      </c>
      <c r="K1696" t="s">
        <v>1328</v>
      </c>
      <c r="L1696">
        <v>48</v>
      </c>
      <c r="M1696" t="str">
        <v>Female</v>
      </c>
      <c r="N1696" t="str">
        <f>VLOOKUP(C:C,Customer_Dim!B:I,5,1)</f>
        <v>Williamsberg</v>
      </c>
      <c r="O1696" t="str">
        <f>VLOOKUP(C:C,Customer_Dim!B:I,6,1)</f>
        <v>New York</v>
      </c>
      <c r="P1696" t="str">
        <f>VLOOKUP(C:C,Customer_Dim!B:I,7,1)</f>
        <v>USA</v>
      </c>
      <c r="Q1696" t="str">
        <f>VLOOKUP(C:C,Customer_Dim!B:I,8,1)</f>
        <v>Silver</v>
      </c>
      <c r="S1696">
        <v>3</v>
      </c>
      <c r="T1696">
        <v>110.99</v>
      </c>
      <c r="U1696">
        <v>0.21</v>
      </c>
      <c r="V1696">
        <v>263.04629999999997</v>
      </c>
      <c r="X1696" s="4">
        <v>3</v>
      </c>
      <c r="Y1696">
        <v>110.99</v>
      </c>
      <c r="Z1696">
        <v>0.21</v>
      </c>
      <c r="AA1696">
        <v>263.04629999999997</v>
      </c>
    </row>
    <row r="1697" spans="1:27" x14ac:dyDescent="0.3">
      <c r="A1697" t="s">
        <v>3504</v>
      </c>
      <c r="B1697" s="2">
        <v>45850</v>
      </c>
      <c r="C1697" t="s">
        <v>298</v>
      </c>
      <c r="D1697" t="s">
        <v>1551</v>
      </c>
      <c r="E1697" t="s">
        <v>1762</v>
      </c>
      <c r="F1697" s="4">
        <v>1</v>
      </c>
      <c r="G1697">
        <v>66.86</v>
      </c>
      <c r="H1697">
        <v>0.22</v>
      </c>
      <c r="I1697" t="s">
        <v>1812</v>
      </c>
      <c r="J1697">
        <v>52.150799999999997</v>
      </c>
      <c r="K1697" t="s">
        <v>299</v>
      </c>
      <c r="L1697">
        <v>26</v>
      </c>
      <c r="M1697" t="str">
        <v>Female</v>
      </c>
      <c r="N1697" t="str">
        <f>VLOOKUP(C:C,Customer_Dim!B:I,5,1)</f>
        <v>Nicholastown</v>
      </c>
      <c r="O1697" t="str">
        <f>VLOOKUP(C:C,Customer_Dim!B:I,6,1)</f>
        <v>Georgia</v>
      </c>
      <c r="P1697" t="str">
        <f>VLOOKUP(C:C,Customer_Dim!B:I,7,1)</f>
        <v>USA</v>
      </c>
      <c r="Q1697" t="str">
        <f>VLOOKUP(C:C,Customer_Dim!B:I,8,1)</f>
        <v>Bronze</v>
      </c>
      <c r="S1697">
        <v>1</v>
      </c>
      <c r="T1697">
        <v>66.86</v>
      </c>
      <c r="U1697">
        <v>0.22</v>
      </c>
      <c r="V1697">
        <v>52.150799999999997</v>
      </c>
      <c r="X1697" s="4">
        <v>1</v>
      </c>
      <c r="Y1697">
        <v>66.86</v>
      </c>
      <c r="Z1697">
        <v>0.22</v>
      </c>
      <c r="AA1697">
        <v>52.150799999999997</v>
      </c>
    </row>
    <row r="1698" spans="1:27" x14ac:dyDescent="0.3">
      <c r="A1698" t="s">
        <v>3505</v>
      </c>
      <c r="B1698" s="2">
        <v>45515</v>
      </c>
      <c r="C1698" t="s">
        <v>1281</v>
      </c>
      <c r="D1698" t="s">
        <v>1665</v>
      </c>
      <c r="E1698" t="s">
        <v>1793</v>
      </c>
      <c r="F1698" s="4">
        <v>1</v>
      </c>
      <c r="G1698">
        <v>980.26</v>
      </c>
      <c r="H1698">
        <v>0.14000000000000001</v>
      </c>
      <c r="I1698" t="s">
        <v>1809</v>
      </c>
      <c r="J1698">
        <v>843.02359999999999</v>
      </c>
      <c r="K1698" t="s">
        <v>1282</v>
      </c>
      <c r="L1698">
        <v>60</v>
      </c>
      <c r="M1698" t="str">
        <v>Female</v>
      </c>
      <c r="N1698" t="str">
        <f>VLOOKUP(C:C,Customer_Dim!B:I,5,1)</f>
        <v>Kimburgh</v>
      </c>
      <c r="O1698" t="str">
        <f>VLOOKUP(C:C,Customer_Dim!B:I,6,1)</f>
        <v>North Carolina</v>
      </c>
      <c r="P1698" t="str">
        <f>VLOOKUP(C:C,Customer_Dim!B:I,7,1)</f>
        <v>USA</v>
      </c>
      <c r="Q1698" t="str">
        <f>VLOOKUP(C:C,Customer_Dim!B:I,8,1)</f>
        <v>Bronze</v>
      </c>
      <c r="S1698">
        <v>1</v>
      </c>
      <c r="T1698">
        <v>980.26</v>
      </c>
      <c r="U1698">
        <v>0.14000000000000001</v>
      </c>
      <c r="V1698">
        <v>843.02359999999999</v>
      </c>
      <c r="X1698" s="4">
        <v>1</v>
      </c>
      <c r="Y1698">
        <v>980.26</v>
      </c>
      <c r="Z1698">
        <v>0.14000000000000001</v>
      </c>
      <c r="AA1698">
        <v>843.02359999999999</v>
      </c>
    </row>
    <row r="1699" spans="1:27" x14ac:dyDescent="0.3">
      <c r="A1699" t="s">
        <v>3506</v>
      </c>
      <c r="B1699" s="2">
        <v>45322</v>
      </c>
      <c r="C1699" t="s">
        <v>146</v>
      </c>
      <c r="D1699" t="s">
        <v>1567</v>
      </c>
      <c r="E1699" t="s">
        <v>1793</v>
      </c>
      <c r="F1699" s="4">
        <v>1</v>
      </c>
      <c r="G1699">
        <v>235.28</v>
      </c>
      <c r="H1699">
        <v>0.05</v>
      </c>
      <c r="I1699" t="s">
        <v>1809</v>
      </c>
      <c r="J1699">
        <v>223.51599999999999</v>
      </c>
      <c r="K1699" t="s">
        <v>147</v>
      </c>
      <c r="L1699">
        <v>35</v>
      </c>
      <c r="M1699" t="str">
        <v>Female</v>
      </c>
      <c r="N1699" t="str">
        <f>VLOOKUP(C:C,Customer_Dim!B:I,5,1)</f>
        <v>Brendastad</v>
      </c>
      <c r="O1699" t="str">
        <f>VLOOKUP(C:C,Customer_Dim!B:I,6,1)</f>
        <v>South Dakota</v>
      </c>
      <c r="P1699" t="str">
        <f>VLOOKUP(C:C,Customer_Dim!B:I,7,1)</f>
        <v>USA</v>
      </c>
      <c r="Q1699" t="str">
        <f>VLOOKUP(C:C,Customer_Dim!B:I,8,1)</f>
        <v>Platinum</v>
      </c>
      <c r="S1699">
        <v>1</v>
      </c>
      <c r="T1699">
        <v>235.28</v>
      </c>
      <c r="U1699">
        <v>0.05</v>
      </c>
      <c r="V1699">
        <v>223.51599999999999</v>
      </c>
      <c r="X1699" s="4">
        <v>1</v>
      </c>
      <c r="Y1699">
        <v>235.28</v>
      </c>
      <c r="Z1699">
        <v>0.05</v>
      </c>
      <c r="AA1699">
        <v>223.51599999999999</v>
      </c>
    </row>
    <row r="1700" spans="1:27" x14ac:dyDescent="0.3">
      <c r="A1700" t="s">
        <v>3507</v>
      </c>
      <c r="B1700" s="2">
        <v>45542</v>
      </c>
      <c r="C1700" t="s">
        <v>1278</v>
      </c>
      <c r="D1700" t="s">
        <v>1526</v>
      </c>
      <c r="E1700" t="s">
        <v>1784</v>
      </c>
      <c r="F1700" s="4">
        <v>3</v>
      </c>
      <c r="G1700">
        <v>407.39</v>
      </c>
      <c r="H1700">
        <v>0.08</v>
      </c>
      <c r="I1700" t="s">
        <v>1809</v>
      </c>
      <c r="J1700">
        <v>1124.3964000000001</v>
      </c>
      <c r="K1700" t="s">
        <v>1279</v>
      </c>
      <c r="L1700">
        <v>64</v>
      </c>
      <c r="M1700" t="str">
        <v>Female</v>
      </c>
      <c r="N1700" t="str">
        <f>VLOOKUP(C:C,Customer_Dim!B:I,5,1)</f>
        <v>Marthaborough</v>
      </c>
      <c r="O1700" t="str">
        <f>VLOOKUP(C:C,Customer_Dim!B:I,6,1)</f>
        <v>Wisconsin</v>
      </c>
      <c r="P1700" t="str">
        <f>VLOOKUP(C:C,Customer_Dim!B:I,7,1)</f>
        <v>USA</v>
      </c>
      <c r="Q1700" t="str">
        <f>VLOOKUP(C:C,Customer_Dim!B:I,8,1)</f>
        <v>Platinum</v>
      </c>
      <c r="S1700">
        <v>3</v>
      </c>
      <c r="T1700">
        <v>407.39</v>
      </c>
      <c r="U1700">
        <v>0.08</v>
      </c>
      <c r="V1700">
        <v>1124.3964000000001</v>
      </c>
      <c r="X1700" s="4">
        <v>3</v>
      </c>
      <c r="Y1700">
        <v>407.39</v>
      </c>
      <c r="Z1700">
        <v>0.08</v>
      </c>
      <c r="AA1700">
        <v>1124.3964000000001</v>
      </c>
    </row>
    <row r="1701" spans="1:27" x14ac:dyDescent="0.3">
      <c r="A1701" t="s">
        <v>3508</v>
      </c>
      <c r="B1701" s="2">
        <v>45675</v>
      </c>
      <c r="C1701" t="s">
        <v>248</v>
      </c>
      <c r="D1701" t="s">
        <v>1585</v>
      </c>
      <c r="E1701" t="s">
        <v>1782</v>
      </c>
      <c r="F1701" s="4">
        <v>4</v>
      </c>
      <c r="G1701">
        <v>459.83</v>
      </c>
      <c r="H1701">
        <v>0.12</v>
      </c>
      <c r="I1701" t="s">
        <v>1812</v>
      </c>
      <c r="J1701">
        <v>1618.6016</v>
      </c>
      <c r="K1701" t="s">
        <v>249</v>
      </c>
      <c r="L1701">
        <v>24</v>
      </c>
      <c r="M1701" t="str">
        <v>Female</v>
      </c>
      <c r="N1701" t="str">
        <f>VLOOKUP(C:C,Customer_Dim!B:I,5,1)</f>
        <v>West Johnchester</v>
      </c>
      <c r="O1701" t="str">
        <f>VLOOKUP(C:C,Customer_Dim!B:I,6,1)</f>
        <v>Indiana</v>
      </c>
      <c r="P1701" t="str">
        <f>VLOOKUP(C:C,Customer_Dim!B:I,7,1)</f>
        <v>USA</v>
      </c>
      <c r="Q1701" t="str">
        <f>VLOOKUP(C:C,Customer_Dim!B:I,8,1)</f>
        <v>Silver</v>
      </c>
      <c r="S1701">
        <v>4</v>
      </c>
      <c r="T1701">
        <v>459.83</v>
      </c>
      <c r="U1701">
        <v>0.12</v>
      </c>
      <c r="V1701">
        <v>1618.6016</v>
      </c>
      <c r="X1701" s="4">
        <v>4</v>
      </c>
      <c r="Y1701">
        <v>459.83</v>
      </c>
      <c r="Z1701">
        <v>0.12</v>
      </c>
      <c r="AA1701">
        <v>1618.6016</v>
      </c>
    </row>
    <row r="1702" spans="1:27" x14ac:dyDescent="0.3">
      <c r="A1702" t="s">
        <v>3509</v>
      </c>
      <c r="B1702" s="2">
        <v>45333</v>
      </c>
      <c r="C1702" t="s">
        <v>491</v>
      </c>
      <c r="D1702" t="s">
        <v>1717</v>
      </c>
      <c r="E1702" t="s">
        <v>1752</v>
      </c>
      <c r="F1702" s="4">
        <v>3</v>
      </c>
      <c r="G1702">
        <v>706.6</v>
      </c>
      <c r="H1702">
        <v>0.17</v>
      </c>
      <c r="I1702" t="s">
        <v>1809</v>
      </c>
      <c r="J1702">
        <v>1759.434</v>
      </c>
      <c r="K1702" t="s">
        <v>492</v>
      </c>
      <c r="L1702">
        <v>42</v>
      </c>
      <c r="M1702" t="str">
        <v>Female</v>
      </c>
      <c r="N1702" t="str">
        <f>VLOOKUP(C:C,Customer_Dim!B:I,5,1)</f>
        <v>Lake Nathanfort</v>
      </c>
      <c r="O1702" t="str">
        <f>VLOOKUP(C:C,Customer_Dim!B:I,6,1)</f>
        <v>Alaska</v>
      </c>
      <c r="P1702" t="str">
        <f>VLOOKUP(C:C,Customer_Dim!B:I,7,1)</f>
        <v>USA</v>
      </c>
      <c r="Q1702" t="str">
        <f>VLOOKUP(C:C,Customer_Dim!B:I,8,1)</f>
        <v>Platinum</v>
      </c>
      <c r="S1702">
        <v>3</v>
      </c>
      <c r="T1702">
        <v>706.6</v>
      </c>
      <c r="U1702">
        <v>0.17</v>
      </c>
      <c r="V1702">
        <v>1759.434</v>
      </c>
      <c r="X1702" s="4">
        <v>3</v>
      </c>
      <c r="Y1702">
        <v>706.6</v>
      </c>
      <c r="Z1702">
        <v>0.17</v>
      </c>
      <c r="AA1702">
        <v>1759.434</v>
      </c>
    </row>
    <row r="1703" spans="1:27" x14ac:dyDescent="0.3">
      <c r="A1703" t="s">
        <v>3510</v>
      </c>
      <c r="B1703" s="2">
        <v>45819</v>
      </c>
      <c r="C1703" t="s">
        <v>1409</v>
      </c>
      <c r="D1703" t="s">
        <v>1713</v>
      </c>
      <c r="E1703" t="s">
        <v>1796</v>
      </c>
      <c r="F1703" s="4">
        <v>3</v>
      </c>
      <c r="G1703">
        <v>811.16</v>
      </c>
      <c r="H1703">
        <v>0.1</v>
      </c>
      <c r="I1703" t="s">
        <v>1812</v>
      </c>
      <c r="J1703">
        <v>2190.1320000000001</v>
      </c>
      <c r="K1703" t="s">
        <v>1410</v>
      </c>
      <c r="L1703">
        <v>36</v>
      </c>
      <c r="M1703" t="str">
        <v>Female</v>
      </c>
      <c r="N1703" t="str">
        <f>VLOOKUP(C:C,Customer_Dim!B:I,5,1)</f>
        <v>Burkefurt</v>
      </c>
      <c r="O1703" t="str">
        <f>VLOOKUP(C:C,Customer_Dim!B:I,6,1)</f>
        <v>West Virginia</v>
      </c>
      <c r="P1703" t="str">
        <f>VLOOKUP(C:C,Customer_Dim!B:I,7,1)</f>
        <v>USA</v>
      </c>
      <c r="Q1703" t="str">
        <f>VLOOKUP(C:C,Customer_Dim!B:I,8,1)</f>
        <v>Silver</v>
      </c>
      <c r="S1703">
        <v>3</v>
      </c>
      <c r="T1703">
        <v>811.16</v>
      </c>
      <c r="U1703">
        <v>0.1</v>
      </c>
      <c r="V1703">
        <v>2190.1320000000001</v>
      </c>
      <c r="X1703" s="4">
        <v>3</v>
      </c>
      <c r="Y1703">
        <v>811.16</v>
      </c>
      <c r="Z1703">
        <v>0.1</v>
      </c>
      <c r="AA1703">
        <v>2190.1320000000001</v>
      </c>
    </row>
    <row r="1704" spans="1:27" x14ac:dyDescent="0.3">
      <c r="A1704" t="s">
        <v>3511</v>
      </c>
      <c r="B1704" s="2">
        <v>45268</v>
      </c>
      <c r="C1704" t="s">
        <v>699</v>
      </c>
      <c r="D1704" t="s">
        <v>1605</v>
      </c>
      <c r="E1704" t="s">
        <v>1762</v>
      </c>
      <c r="F1704" s="4">
        <v>2</v>
      </c>
      <c r="G1704">
        <v>985.79</v>
      </c>
      <c r="H1704">
        <v>0.04</v>
      </c>
      <c r="I1704" t="s">
        <v>1809</v>
      </c>
      <c r="J1704">
        <v>1892.7167999999999</v>
      </c>
      <c r="K1704" t="s">
        <v>700</v>
      </c>
      <c r="L1704">
        <v>46</v>
      </c>
      <c r="M1704" t="str">
        <v>Male</v>
      </c>
      <c r="N1704" t="str">
        <f>VLOOKUP(C:C,Customer_Dim!B:I,5,1)</f>
        <v>North Christinemouth</v>
      </c>
      <c r="O1704" t="str">
        <f>VLOOKUP(C:C,Customer_Dim!B:I,6,1)</f>
        <v>Missouri</v>
      </c>
      <c r="P1704" t="str">
        <f>VLOOKUP(C:C,Customer_Dim!B:I,7,1)</f>
        <v>USA</v>
      </c>
      <c r="Q1704" t="str">
        <f>VLOOKUP(C:C,Customer_Dim!B:I,8,1)</f>
        <v>Silver</v>
      </c>
      <c r="S1704">
        <v>2</v>
      </c>
      <c r="T1704">
        <v>985.79</v>
      </c>
      <c r="U1704">
        <v>0.04</v>
      </c>
      <c r="V1704">
        <v>1892.7167999999999</v>
      </c>
      <c r="X1704" s="4">
        <v>2</v>
      </c>
      <c r="Y1704">
        <v>985.79</v>
      </c>
      <c r="Z1704">
        <v>0.04</v>
      </c>
      <c r="AA1704">
        <v>1892.7167999999999</v>
      </c>
    </row>
    <row r="1705" spans="1:27" x14ac:dyDescent="0.3">
      <c r="A1705" t="s">
        <v>3512</v>
      </c>
      <c r="B1705" s="2">
        <v>45521</v>
      </c>
      <c r="C1705" t="s">
        <v>610</v>
      </c>
      <c r="D1705" t="s">
        <v>1597</v>
      </c>
      <c r="E1705" t="s">
        <v>1782</v>
      </c>
      <c r="F1705" s="4">
        <v>1</v>
      </c>
      <c r="G1705">
        <v>255.02</v>
      </c>
      <c r="H1705">
        <v>0.3</v>
      </c>
      <c r="I1705" t="s">
        <v>1807</v>
      </c>
      <c r="J1705">
        <v>178.51400000000001</v>
      </c>
      <c r="K1705" t="s">
        <v>611</v>
      </c>
      <c r="L1705">
        <v>42</v>
      </c>
      <c r="M1705" t="str">
        <v>Male</v>
      </c>
      <c r="N1705" t="str">
        <f>VLOOKUP(C:C,Customer_Dim!B:I,5,1)</f>
        <v>Lake Blaketon</v>
      </c>
      <c r="O1705" t="str">
        <f>VLOOKUP(C:C,Customer_Dim!B:I,6,1)</f>
        <v>Alabama</v>
      </c>
      <c r="P1705" t="str">
        <f>VLOOKUP(C:C,Customer_Dim!B:I,7,1)</f>
        <v>USA</v>
      </c>
      <c r="Q1705" t="str">
        <f>VLOOKUP(C:C,Customer_Dim!B:I,8,1)</f>
        <v>Platinum</v>
      </c>
      <c r="S1705">
        <v>1</v>
      </c>
      <c r="T1705">
        <v>255.02</v>
      </c>
      <c r="U1705">
        <v>0.3</v>
      </c>
      <c r="V1705">
        <v>178.51400000000001</v>
      </c>
      <c r="X1705" s="4">
        <v>1</v>
      </c>
      <c r="Y1705">
        <v>255.02</v>
      </c>
      <c r="Z1705">
        <v>0.3</v>
      </c>
      <c r="AA1705">
        <v>178.51400000000001</v>
      </c>
    </row>
    <row r="1706" spans="1:27" x14ac:dyDescent="0.3">
      <c r="A1706" t="s">
        <v>3513</v>
      </c>
      <c r="B1706" s="2">
        <v>45693</v>
      </c>
      <c r="C1706" t="s">
        <v>336</v>
      </c>
      <c r="D1706" t="s">
        <v>1569</v>
      </c>
      <c r="E1706" t="s">
        <v>1765</v>
      </c>
      <c r="F1706" s="4">
        <v>1</v>
      </c>
      <c r="G1706">
        <v>153.57</v>
      </c>
      <c r="H1706">
        <v>0.01</v>
      </c>
      <c r="I1706" t="s">
        <v>1809</v>
      </c>
      <c r="J1706">
        <v>152.0343</v>
      </c>
      <c r="K1706" t="s">
        <v>337</v>
      </c>
      <c r="L1706">
        <v>30</v>
      </c>
      <c r="M1706" t="str">
        <v>Female</v>
      </c>
      <c r="N1706" t="str">
        <f>VLOOKUP(C:C,Customer_Dim!B:I,5,1)</f>
        <v>West Bobbyshire</v>
      </c>
      <c r="O1706" t="str">
        <f>VLOOKUP(C:C,Customer_Dim!B:I,6,1)</f>
        <v>New York</v>
      </c>
      <c r="P1706" t="str">
        <f>VLOOKUP(C:C,Customer_Dim!B:I,7,1)</f>
        <v>USA</v>
      </c>
      <c r="Q1706" t="str">
        <f>VLOOKUP(C:C,Customer_Dim!B:I,8,1)</f>
        <v>Platinum</v>
      </c>
      <c r="S1706">
        <v>1</v>
      </c>
      <c r="T1706">
        <v>153.57</v>
      </c>
      <c r="U1706">
        <v>0.01</v>
      </c>
      <c r="V1706">
        <v>152.0343</v>
      </c>
      <c r="X1706" s="4">
        <v>1</v>
      </c>
      <c r="Y1706">
        <v>153.57</v>
      </c>
      <c r="Z1706">
        <v>0.01</v>
      </c>
      <c r="AA1706">
        <v>152.0343</v>
      </c>
    </row>
    <row r="1707" spans="1:27" x14ac:dyDescent="0.3">
      <c r="A1707" t="s">
        <v>3514</v>
      </c>
      <c r="B1707" s="2">
        <v>45734</v>
      </c>
      <c r="C1707" t="s">
        <v>803</v>
      </c>
      <c r="D1707" t="s">
        <v>1617</v>
      </c>
      <c r="E1707" t="s">
        <v>1793</v>
      </c>
      <c r="F1707" s="4">
        <v>3</v>
      </c>
      <c r="G1707">
        <v>962.98</v>
      </c>
      <c r="H1707">
        <v>0.21</v>
      </c>
      <c r="I1707" t="s">
        <v>1807</v>
      </c>
      <c r="J1707">
        <v>2282.2626</v>
      </c>
      <c r="K1707" t="s">
        <v>3941</v>
      </c>
      <c r="L1707">
        <v>34</v>
      </c>
      <c r="M1707" t="str">
        <v>Male</v>
      </c>
      <c r="N1707" t="str">
        <f>VLOOKUP(C:C,Customer_Dim!B:I,5,1)</f>
        <v>New Maria</v>
      </c>
      <c r="O1707" t="str">
        <f>VLOOKUP(C:C,Customer_Dim!B:I,6,1)</f>
        <v>Wisconsin</v>
      </c>
      <c r="P1707" t="str">
        <f>VLOOKUP(C:C,Customer_Dim!B:I,7,1)</f>
        <v>USA</v>
      </c>
      <c r="Q1707" t="str">
        <f>VLOOKUP(C:C,Customer_Dim!B:I,8,1)</f>
        <v>Bronze</v>
      </c>
      <c r="S1707">
        <v>3</v>
      </c>
      <c r="T1707">
        <v>962.98</v>
      </c>
      <c r="U1707">
        <v>0.21</v>
      </c>
      <c r="V1707">
        <v>2282.2626</v>
      </c>
      <c r="X1707" s="4">
        <v>3</v>
      </c>
      <c r="Y1707">
        <v>962.98</v>
      </c>
      <c r="Z1707">
        <v>0.21</v>
      </c>
      <c r="AA1707">
        <v>2282.2626</v>
      </c>
    </row>
    <row r="1708" spans="1:27" x14ac:dyDescent="0.3">
      <c r="A1708" t="s">
        <v>3515</v>
      </c>
      <c r="B1708" s="2">
        <v>45377</v>
      </c>
      <c r="C1708" t="s">
        <v>211</v>
      </c>
      <c r="D1708" t="s">
        <v>1619</v>
      </c>
      <c r="E1708" t="s">
        <v>1765</v>
      </c>
      <c r="F1708" s="4">
        <v>3</v>
      </c>
      <c r="G1708">
        <v>884.46</v>
      </c>
      <c r="H1708">
        <v>0.25</v>
      </c>
      <c r="I1708" t="s">
        <v>1807</v>
      </c>
      <c r="J1708">
        <v>1990.0350000000001</v>
      </c>
      <c r="K1708" t="s">
        <v>212</v>
      </c>
      <c r="L1708">
        <v>51</v>
      </c>
      <c r="M1708" t="str">
        <v>Male</v>
      </c>
      <c r="N1708" t="str">
        <f>VLOOKUP(C:C,Customer_Dim!B:I,5,1)</f>
        <v>Morrisbury</v>
      </c>
      <c r="O1708" t="str">
        <f>VLOOKUP(C:C,Customer_Dim!B:I,6,1)</f>
        <v>Rhode Island</v>
      </c>
      <c r="P1708" t="str">
        <f>VLOOKUP(C:C,Customer_Dim!B:I,7,1)</f>
        <v>USA</v>
      </c>
      <c r="Q1708" t="str">
        <f>VLOOKUP(C:C,Customer_Dim!B:I,8,1)</f>
        <v>Platinum</v>
      </c>
      <c r="S1708">
        <v>3</v>
      </c>
      <c r="T1708">
        <v>884.46</v>
      </c>
      <c r="U1708">
        <v>0.25</v>
      </c>
      <c r="V1708">
        <v>1990.0350000000001</v>
      </c>
      <c r="X1708" s="4">
        <v>3</v>
      </c>
      <c r="Y1708">
        <v>884.46</v>
      </c>
      <c r="Z1708">
        <v>0.25</v>
      </c>
      <c r="AA1708">
        <v>1990.0350000000001</v>
      </c>
    </row>
    <row r="1709" spans="1:27" x14ac:dyDescent="0.3">
      <c r="A1709" t="s">
        <v>3516</v>
      </c>
      <c r="B1709" s="2">
        <v>45778</v>
      </c>
      <c r="C1709" t="s">
        <v>1339</v>
      </c>
      <c r="D1709" t="s">
        <v>1665</v>
      </c>
      <c r="E1709" t="s">
        <v>1772</v>
      </c>
      <c r="F1709" s="4">
        <v>4</v>
      </c>
      <c r="G1709">
        <v>359.71</v>
      </c>
      <c r="H1709">
        <v>0.05</v>
      </c>
      <c r="I1709" t="s">
        <v>1809</v>
      </c>
      <c r="J1709">
        <v>1366.8979999999999</v>
      </c>
      <c r="K1709" t="s">
        <v>1340</v>
      </c>
      <c r="L1709">
        <v>59</v>
      </c>
      <c r="M1709" t="str">
        <v>Female</v>
      </c>
      <c r="N1709" t="str">
        <f>VLOOKUP(C:C,Customer_Dim!B:I,5,1)</f>
        <v>East Davidmouth</v>
      </c>
      <c r="O1709" t="str">
        <f>VLOOKUP(C:C,Customer_Dim!B:I,6,1)</f>
        <v>New Hampshire</v>
      </c>
      <c r="P1709" t="str">
        <f>VLOOKUP(C:C,Customer_Dim!B:I,7,1)</f>
        <v>USA</v>
      </c>
      <c r="Q1709" t="str">
        <f>VLOOKUP(C:C,Customer_Dim!B:I,8,1)</f>
        <v>Platinum</v>
      </c>
      <c r="S1709">
        <v>4</v>
      </c>
      <c r="T1709">
        <v>359.71</v>
      </c>
      <c r="U1709">
        <v>0.05</v>
      </c>
      <c r="V1709">
        <v>1366.8979999999999</v>
      </c>
      <c r="X1709" s="4">
        <v>4</v>
      </c>
      <c r="Y1709">
        <v>359.71</v>
      </c>
      <c r="Z1709">
        <v>0.05</v>
      </c>
      <c r="AA1709">
        <v>1366.8979999999999</v>
      </c>
    </row>
    <row r="1710" spans="1:27" x14ac:dyDescent="0.3">
      <c r="A1710" t="s">
        <v>3517</v>
      </c>
      <c r="B1710" s="2">
        <v>45715</v>
      </c>
      <c r="C1710" t="s">
        <v>192</v>
      </c>
      <c r="D1710" t="s">
        <v>1631</v>
      </c>
      <c r="E1710" t="s">
        <v>1752</v>
      </c>
      <c r="F1710" s="4">
        <v>3</v>
      </c>
      <c r="G1710">
        <v>766.47</v>
      </c>
      <c r="H1710">
        <v>0.18</v>
      </c>
      <c r="I1710" t="s">
        <v>1807</v>
      </c>
      <c r="J1710">
        <v>1885.5162</v>
      </c>
      <c r="K1710" t="s">
        <v>193</v>
      </c>
      <c r="L1710">
        <v>55</v>
      </c>
      <c r="M1710" t="str">
        <v>Male</v>
      </c>
      <c r="N1710" t="str">
        <f>VLOOKUP(C:C,Customer_Dim!B:I,5,1)</f>
        <v>New Julia</v>
      </c>
      <c r="O1710" t="str">
        <f>VLOOKUP(C:C,Customer_Dim!B:I,6,1)</f>
        <v>West Virginia</v>
      </c>
      <c r="P1710" t="str">
        <f>VLOOKUP(C:C,Customer_Dim!B:I,7,1)</f>
        <v>USA</v>
      </c>
      <c r="Q1710" t="str">
        <f>VLOOKUP(C:C,Customer_Dim!B:I,8,1)</f>
        <v>Gold</v>
      </c>
      <c r="S1710">
        <v>3</v>
      </c>
      <c r="T1710">
        <v>766.47</v>
      </c>
      <c r="U1710">
        <v>0.18</v>
      </c>
      <c r="V1710">
        <v>1885.5162</v>
      </c>
      <c r="X1710" s="4">
        <v>3</v>
      </c>
      <c r="Y1710">
        <v>766.47</v>
      </c>
      <c r="Z1710">
        <v>0.18</v>
      </c>
      <c r="AA1710">
        <v>1885.5162</v>
      </c>
    </row>
    <row r="1711" spans="1:27" x14ac:dyDescent="0.3">
      <c r="A1711" t="s">
        <v>3518</v>
      </c>
      <c r="B1711" s="2">
        <v>45492</v>
      </c>
      <c r="C1711" t="s">
        <v>716</v>
      </c>
      <c r="D1711" t="s">
        <v>1643</v>
      </c>
      <c r="E1711" t="s">
        <v>1793</v>
      </c>
      <c r="F1711" s="4">
        <v>1</v>
      </c>
      <c r="G1711">
        <v>772.07</v>
      </c>
      <c r="H1711">
        <v>0.26</v>
      </c>
      <c r="I1711" t="s">
        <v>1809</v>
      </c>
      <c r="J1711">
        <v>571.33180000000004</v>
      </c>
      <c r="K1711" t="s">
        <v>717</v>
      </c>
      <c r="L1711">
        <v>29</v>
      </c>
      <c r="M1711" t="str">
        <v>Male</v>
      </c>
      <c r="N1711" t="str">
        <f>VLOOKUP(C:C,Customer_Dim!B:I,5,1)</f>
        <v>East Jeremy</v>
      </c>
      <c r="O1711" t="str">
        <f>VLOOKUP(C:C,Customer_Dim!B:I,6,1)</f>
        <v>Iowa</v>
      </c>
      <c r="P1711" t="str">
        <f>VLOOKUP(C:C,Customer_Dim!B:I,7,1)</f>
        <v>USA</v>
      </c>
      <c r="Q1711" t="str">
        <f>VLOOKUP(C:C,Customer_Dim!B:I,8,1)</f>
        <v>Platinum</v>
      </c>
      <c r="S1711">
        <v>1</v>
      </c>
      <c r="T1711">
        <v>772.07</v>
      </c>
      <c r="U1711">
        <v>0.26</v>
      </c>
      <c r="V1711">
        <v>571.33180000000004</v>
      </c>
      <c r="X1711" s="4">
        <v>1</v>
      </c>
      <c r="Y1711">
        <v>772.07</v>
      </c>
      <c r="Z1711">
        <v>0.26</v>
      </c>
      <c r="AA1711">
        <v>571.33180000000004</v>
      </c>
    </row>
    <row r="1712" spans="1:27" x14ac:dyDescent="0.3">
      <c r="A1712" t="s">
        <v>3519</v>
      </c>
      <c r="B1712" s="2">
        <v>45292</v>
      </c>
      <c r="C1712" t="s">
        <v>873</v>
      </c>
      <c r="D1712" t="s">
        <v>1569</v>
      </c>
      <c r="E1712" t="s">
        <v>1756</v>
      </c>
      <c r="F1712" s="4">
        <v>3</v>
      </c>
      <c r="G1712">
        <v>108.31</v>
      </c>
      <c r="H1712">
        <v>0.26</v>
      </c>
      <c r="I1712" t="s">
        <v>1812</v>
      </c>
      <c r="J1712">
        <v>240.44820000000001</v>
      </c>
      <c r="K1712" t="s">
        <v>874</v>
      </c>
      <c r="L1712">
        <v>42</v>
      </c>
      <c r="M1712" t="str">
        <v>Female</v>
      </c>
      <c r="N1712" t="str">
        <f>VLOOKUP(C:C,Customer_Dim!B:I,5,1)</f>
        <v>Lake Nicole</v>
      </c>
      <c r="O1712" t="str">
        <f>VLOOKUP(C:C,Customer_Dim!B:I,6,1)</f>
        <v>Colorado</v>
      </c>
      <c r="P1712" t="str">
        <f>VLOOKUP(C:C,Customer_Dim!B:I,7,1)</f>
        <v>USA</v>
      </c>
      <c r="Q1712" t="str">
        <f>VLOOKUP(C:C,Customer_Dim!B:I,8,1)</f>
        <v>Platinum</v>
      </c>
      <c r="S1712">
        <v>3</v>
      </c>
      <c r="T1712">
        <v>108.31</v>
      </c>
      <c r="U1712">
        <v>0.26</v>
      </c>
      <c r="V1712">
        <v>240.44820000000001</v>
      </c>
      <c r="X1712" s="4">
        <v>3</v>
      </c>
      <c r="Y1712">
        <v>108.31</v>
      </c>
      <c r="Z1712">
        <v>0.26</v>
      </c>
      <c r="AA1712">
        <v>240.44820000000001</v>
      </c>
    </row>
    <row r="1713" spans="1:27" x14ac:dyDescent="0.3">
      <c r="A1713" t="s">
        <v>3520</v>
      </c>
      <c r="B1713" s="2">
        <v>45316</v>
      </c>
      <c r="C1713" t="s">
        <v>702</v>
      </c>
      <c r="D1713" t="s">
        <v>1689</v>
      </c>
      <c r="E1713" t="s">
        <v>1759</v>
      </c>
      <c r="F1713" s="4">
        <v>1</v>
      </c>
      <c r="G1713">
        <v>502.53</v>
      </c>
      <c r="H1713">
        <v>0</v>
      </c>
      <c r="I1713" t="s">
        <v>1809</v>
      </c>
      <c r="J1713">
        <v>502.53</v>
      </c>
      <c r="K1713" t="s">
        <v>703</v>
      </c>
      <c r="L1713">
        <v>47</v>
      </c>
      <c r="M1713" t="str">
        <v>Female</v>
      </c>
      <c r="N1713" t="str">
        <f>VLOOKUP(C:C,Customer_Dim!B:I,5,1)</f>
        <v>Edwardland</v>
      </c>
      <c r="O1713" t="str">
        <f>VLOOKUP(C:C,Customer_Dim!B:I,6,1)</f>
        <v>California</v>
      </c>
      <c r="P1713" t="str">
        <f>VLOOKUP(C:C,Customer_Dim!B:I,7,1)</f>
        <v>USA</v>
      </c>
      <c r="Q1713" t="str">
        <f>VLOOKUP(C:C,Customer_Dim!B:I,8,1)</f>
        <v>Platinum</v>
      </c>
      <c r="S1713">
        <v>1</v>
      </c>
      <c r="T1713">
        <v>502.53</v>
      </c>
      <c r="U1713">
        <v>0</v>
      </c>
      <c r="V1713">
        <v>502.53</v>
      </c>
      <c r="X1713" s="4">
        <v>1</v>
      </c>
      <c r="Y1713">
        <v>502.53</v>
      </c>
      <c r="Z1713">
        <v>0</v>
      </c>
      <c r="AA1713">
        <v>502.53</v>
      </c>
    </row>
    <row r="1714" spans="1:27" x14ac:dyDescent="0.3">
      <c r="A1714" t="s">
        <v>3521</v>
      </c>
      <c r="B1714" s="2">
        <v>45548</v>
      </c>
      <c r="C1714" t="s">
        <v>275</v>
      </c>
      <c r="D1714" t="s">
        <v>1529</v>
      </c>
      <c r="E1714" t="s">
        <v>1787</v>
      </c>
      <c r="F1714" s="4">
        <v>2</v>
      </c>
      <c r="G1714">
        <v>508.52</v>
      </c>
      <c r="H1714">
        <v>0.11</v>
      </c>
      <c r="I1714" t="s">
        <v>1812</v>
      </c>
      <c r="J1714">
        <v>905.16559999999993</v>
      </c>
      <c r="K1714" t="s">
        <v>276</v>
      </c>
      <c r="L1714">
        <v>29</v>
      </c>
      <c r="M1714" t="str">
        <v>Male</v>
      </c>
      <c r="N1714" t="str">
        <f>VLOOKUP(C:C,Customer_Dim!B:I,5,1)</f>
        <v>Rodrigueztown</v>
      </c>
      <c r="O1714" t="str">
        <f>VLOOKUP(C:C,Customer_Dim!B:I,6,1)</f>
        <v>Oklahoma</v>
      </c>
      <c r="P1714" t="str">
        <f>VLOOKUP(C:C,Customer_Dim!B:I,7,1)</f>
        <v>USA</v>
      </c>
      <c r="Q1714" t="str">
        <f>VLOOKUP(C:C,Customer_Dim!B:I,8,1)</f>
        <v>Gold</v>
      </c>
      <c r="S1714">
        <v>2</v>
      </c>
      <c r="T1714">
        <v>508.52</v>
      </c>
      <c r="U1714">
        <v>0.11</v>
      </c>
      <c r="V1714">
        <v>905.16559999999993</v>
      </c>
      <c r="X1714" s="4">
        <v>2</v>
      </c>
      <c r="Y1714">
        <v>508.52</v>
      </c>
      <c r="Z1714">
        <v>0.11</v>
      </c>
      <c r="AA1714">
        <v>905.16559999999993</v>
      </c>
    </row>
    <row r="1715" spans="1:27" x14ac:dyDescent="0.3">
      <c r="A1715" t="s">
        <v>3522</v>
      </c>
      <c r="B1715" s="2">
        <v>45572</v>
      </c>
      <c r="C1715" t="s">
        <v>1427</v>
      </c>
      <c r="D1715" t="s">
        <v>1679</v>
      </c>
      <c r="E1715" t="s">
        <v>1749</v>
      </c>
      <c r="F1715" s="4">
        <v>1</v>
      </c>
      <c r="G1715">
        <v>492</v>
      </c>
      <c r="H1715">
        <v>0.26</v>
      </c>
      <c r="I1715" t="s">
        <v>1809</v>
      </c>
      <c r="J1715">
        <v>364.08</v>
      </c>
      <c r="K1715" t="s">
        <v>1428</v>
      </c>
      <c r="L1715">
        <v>19</v>
      </c>
      <c r="M1715" t="str">
        <v>Male</v>
      </c>
      <c r="N1715" t="str">
        <f>VLOOKUP(C:C,Customer_Dim!B:I,5,1)</f>
        <v>Bergermouth</v>
      </c>
      <c r="O1715" t="str">
        <f>VLOOKUP(C:C,Customer_Dim!B:I,6,1)</f>
        <v>Vermont</v>
      </c>
      <c r="P1715" t="str">
        <f>VLOOKUP(C:C,Customer_Dim!B:I,7,1)</f>
        <v>USA</v>
      </c>
      <c r="Q1715" t="str">
        <f>VLOOKUP(C:C,Customer_Dim!B:I,8,1)</f>
        <v>Bronze</v>
      </c>
      <c r="S1715">
        <v>1</v>
      </c>
      <c r="T1715">
        <v>492</v>
      </c>
      <c r="U1715">
        <v>0.26</v>
      </c>
      <c r="V1715">
        <v>364.08</v>
      </c>
      <c r="X1715" s="4">
        <v>1</v>
      </c>
      <c r="Y1715">
        <v>492</v>
      </c>
      <c r="Z1715">
        <v>0.26</v>
      </c>
      <c r="AA1715">
        <v>364.08</v>
      </c>
    </row>
    <row r="1716" spans="1:27" x14ac:dyDescent="0.3">
      <c r="A1716" t="s">
        <v>3523</v>
      </c>
      <c r="B1716" s="2">
        <v>45347</v>
      </c>
      <c r="C1716" t="s">
        <v>1475</v>
      </c>
      <c r="D1716" t="s">
        <v>1605</v>
      </c>
      <c r="E1716" t="s">
        <v>1782</v>
      </c>
      <c r="F1716" s="4">
        <v>4</v>
      </c>
      <c r="G1716">
        <v>746.36</v>
      </c>
      <c r="H1716">
        <v>0.02</v>
      </c>
      <c r="I1716" t="s">
        <v>1807</v>
      </c>
      <c r="J1716">
        <v>2925.7312000000002</v>
      </c>
      <c r="K1716" t="s">
        <v>1476</v>
      </c>
      <c r="L1716">
        <v>22</v>
      </c>
      <c r="M1716" t="str">
        <v>Female</v>
      </c>
      <c r="N1716" t="str">
        <f>VLOOKUP(C:C,Customer_Dim!B:I,5,1)</f>
        <v>East Dillonview</v>
      </c>
      <c r="O1716" t="str">
        <f>VLOOKUP(C:C,Customer_Dim!B:I,6,1)</f>
        <v>Virginia</v>
      </c>
      <c r="P1716" t="str">
        <f>VLOOKUP(C:C,Customer_Dim!B:I,7,1)</f>
        <v>USA</v>
      </c>
      <c r="Q1716" t="str">
        <f>VLOOKUP(C:C,Customer_Dim!B:I,8,1)</f>
        <v>Bronze</v>
      </c>
      <c r="S1716">
        <v>4</v>
      </c>
      <c r="T1716">
        <v>746.36</v>
      </c>
      <c r="U1716">
        <v>0.02</v>
      </c>
      <c r="V1716">
        <v>2925.7312000000002</v>
      </c>
      <c r="X1716" s="4">
        <v>4</v>
      </c>
      <c r="Y1716">
        <v>746.36</v>
      </c>
      <c r="Z1716">
        <v>0.02</v>
      </c>
      <c r="AA1716">
        <v>2925.7312000000002</v>
      </c>
    </row>
    <row r="1717" spans="1:27" x14ac:dyDescent="0.3">
      <c r="A1717" t="s">
        <v>3524</v>
      </c>
      <c r="B1717" s="2">
        <v>45823</v>
      </c>
      <c r="C1717" t="s">
        <v>1327</v>
      </c>
      <c r="D1717" t="s">
        <v>1555</v>
      </c>
      <c r="E1717" t="s">
        <v>1740</v>
      </c>
      <c r="F1717" s="4">
        <v>1</v>
      </c>
      <c r="G1717">
        <v>120.83</v>
      </c>
      <c r="H1717">
        <v>0.08</v>
      </c>
      <c r="I1717" t="s">
        <v>1807</v>
      </c>
      <c r="J1717">
        <v>111.1636</v>
      </c>
      <c r="K1717" t="s">
        <v>1328</v>
      </c>
      <c r="L1717">
        <v>48</v>
      </c>
      <c r="M1717" t="str">
        <v>Female</v>
      </c>
      <c r="N1717" t="str">
        <f>VLOOKUP(C:C,Customer_Dim!B:I,5,1)</f>
        <v>Williamsberg</v>
      </c>
      <c r="O1717" t="str">
        <f>VLOOKUP(C:C,Customer_Dim!B:I,6,1)</f>
        <v>New York</v>
      </c>
      <c r="P1717" t="str">
        <f>VLOOKUP(C:C,Customer_Dim!B:I,7,1)</f>
        <v>USA</v>
      </c>
      <c r="Q1717" t="str">
        <f>VLOOKUP(C:C,Customer_Dim!B:I,8,1)</f>
        <v>Silver</v>
      </c>
      <c r="S1717">
        <v>1</v>
      </c>
      <c r="T1717">
        <v>120.83</v>
      </c>
      <c r="U1717">
        <v>0.08</v>
      </c>
      <c r="V1717">
        <v>111.1636</v>
      </c>
      <c r="X1717" s="4">
        <v>1</v>
      </c>
      <c r="Y1717">
        <v>120.83</v>
      </c>
      <c r="Z1717">
        <v>0.08</v>
      </c>
      <c r="AA1717">
        <v>111.1636</v>
      </c>
    </row>
    <row r="1718" spans="1:27" x14ac:dyDescent="0.3">
      <c r="A1718" t="s">
        <v>3525</v>
      </c>
      <c r="B1718" s="2">
        <v>45394</v>
      </c>
      <c r="C1718" t="s">
        <v>1229</v>
      </c>
      <c r="D1718" t="s">
        <v>1685</v>
      </c>
      <c r="E1718" t="s">
        <v>1793</v>
      </c>
      <c r="F1718" s="4">
        <v>2</v>
      </c>
      <c r="G1718">
        <v>68.31</v>
      </c>
      <c r="H1718">
        <v>0.28999999999999998</v>
      </c>
      <c r="I1718" t="s">
        <v>1812</v>
      </c>
      <c r="J1718">
        <v>97.000199999999992</v>
      </c>
      <c r="K1718" t="s">
        <v>1230</v>
      </c>
      <c r="L1718">
        <v>57</v>
      </c>
      <c r="M1718" t="str">
        <v>Female</v>
      </c>
      <c r="N1718" t="str">
        <f>VLOOKUP(C:C,Customer_Dim!B:I,5,1)</f>
        <v>New Edward</v>
      </c>
      <c r="O1718" t="str">
        <f>VLOOKUP(C:C,Customer_Dim!B:I,6,1)</f>
        <v>Maine</v>
      </c>
      <c r="P1718" t="str">
        <f>VLOOKUP(C:C,Customer_Dim!B:I,7,1)</f>
        <v>USA</v>
      </c>
      <c r="Q1718" t="str">
        <f>VLOOKUP(C:C,Customer_Dim!B:I,8,1)</f>
        <v>Bronze</v>
      </c>
      <c r="S1718">
        <v>2</v>
      </c>
      <c r="T1718">
        <v>68.31</v>
      </c>
      <c r="U1718">
        <v>0.28999999999999998</v>
      </c>
      <c r="V1718">
        <v>97.000199999999992</v>
      </c>
      <c r="X1718" s="4">
        <v>2</v>
      </c>
      <c r="Y1718">
        <v>68.31</v>
      </c>
      <c r="Z1718">
        <v>0.28999999999999998</v>
      </c>
      <c r="AA1718">
        <v>97.000199999999992</v>
      </c>
    </row>
    <row r="1719" spans="1:27" x14ac:dyDescent="0.3">
      <c r="A1719" t="s">
        <v>3526</v>
      </c>
      <c r="B1719" s="2">
        <v>45265</v>
      </c>
      <c r="C1719" t="s">
        <v>227</v>
      </c>
      <c r="D1719" t="s">
        <v>1575</v>
      </c>
      <c r="E1719" t="s">
        <v>1793</v>
      </c>
      <c r="F1719" s="4">
        <v>2</v>
      </c>
      <c r="G1719">
        <v>761.71</v>
      </c>
      <c r="H1719">
        <v>0.02</v>
      </c>
      <c r="I1719" t="s">
        <v>1809</v>
      </c>
      <c r="J1719">
        <v>1492.9516000000001</v>
      </c>
      <c r="K1719" t="s">
        <v>228</v>
      </c>
      <c r="L1719">
        <v>51</v>
      </c>
      <c r="M1719" t="str">
        <v>Male</v>
      </c>
      <c r="N1719" t="str">
        <f>VLOOKUP(C:C,Customer_Dim!B:I,5,1)</f>
        <v>Stevensonton</v>
      </c>
      <c r="O1719" t="str">
        <f>VLOOKUP(C:C,Customer_Dim!B:I,6,1)</f>
        <v>New Mexico</v>
      </c>
      <c r="P1719" t="str">
        <f>VLOOKUP(C:C,Customer_Dim!B:I,7,1)</f>
        <v>USA</v>
      </c>
      <c r="Q1719" t="str">
        <f>VLOOKUP(C:C,Customer_Dim!B:I,8,1)</f>
        <v>Bronze</v>
      </c>
      <c r="S1719">
        <v>2</v>
      </c>
      <c r="T1719">
        <v>761.71</v>
      </c>
      <c r="U1719">
        <v>0.02</v>
      </c>
      <c r="V1719">
        <v>1492.9516000000001</v>
      </c>
      <c r="X1719" s="4">
        <v>2</v>
      </c>
      <c r="Y1719">
        <v>761.71</v>
      </c>
      <c r="Z1719">
        <v>0.02</v>
      </c>
      <c r="AA1719">
        <v>1492.9516000000001</v>
      </c>
    </row>
    <row r="1720" spans="1:27" x14ac:dyDescent="0.3">
      <c r="A1720" t="s">
        <v>3527</v>
      </c>
      <c r="B1720" s="2">
        <v>45261</v>
      </c>
      <c r="C1720" t="s">
        <v>241</v>
      </c>
      <c r="D1720" t="s">
        <v>1687</v>
      </c>
      <c r="E1720" t="s">
        <v>1749</v>
      </c>
      <c r="F1720" s="4">
        <v>4</v>
      </c>
      <c r="G1720">
        <v>346.37</v>
      </c>
      <c r="H1720">
        <v>0.18</v>
      </c>
      <c r="I1720" t="s">
        <v>1812</v>
      </c>
      <c r="J1720">
        <v>1136.0935999999999</v>
      </c>
      <c r="K1720" t="s">
        <v>242</v>
      </c>
      <c r="L1720">
        <v>58</v>
      </c>
      <c r="M1720" t="str">
        <v>Male</v>
      </c>
      <c r="N1720" t="str">
        <f>VLOOKUP(C:C,Customer_Dim!B:I,5,1)</f>
        <v>South Aaronside</v>
      </c>
      <c r="O1720" t="str">
        <f>VLOOKUP(C:C,Customer_Dim!B:I,6,1)</f>
        <v>New Hampshire</v>
      </c>
      <c r="P1720" t="str">
        <f>VLOOKUP(C:C,Customer_Dim!B:I,7,1)</f>
        <v>USA</v>
      </c>
      <c r="Q1720" t="str">
        <f>VLOOKUP(C:C,Customer_Dim!B:I,8,1)</f>
        <v>Silver</v>
      </c>
      <c r="S1720">
        <v>4</v>
      </c>
      <c r="T1720">
        <v>346.37</v>
      </c>
      <c r="U1720">
        <v>0.18</v>
      </c>
      <c r="V1720">
        <v>1136.0935999999999</v>
      </c>
      <c r="X1720" s="4">
        <v>4</v>
      </c>
      <c r="Y1720">
        <v>346.37</v>
      </c>
      <c r="Z1720">
        <v>0.18</v>
      </c>
      <c r="AA1720">
        <v>1136.0935999999999</v>
      </c>
    </row>
    <row r="1721" spans="1:27" x14ac:dyDescent="0.3">
      <c r="A1721" t="s">
        <v>3528</v>
      </c>
      <c r="B1721" s="2">
        <v>45702</v>
      </c>
      <c r="C1721" t="s">
        <v>40</v>
      </c>
      <c r="D1721" t="s">
        <v>1641</v>
      </c>
      <c r="E1721" t="s">
        <v>1777</v>
      </c>
      <c r="F1721" s="4">
        <v>1</v>
      </c>
      <c r="G1721">
        <v>846.3</v>
      </c>
      <c r="H1721">
        <v>0.14000000000000001</v>
      </c>
      <c r="I1721" t="s">
        <v>1809</v>
      </c>
      <c r="J1721">
        <v>727.81799999999998</v>
      </c>
      <c r="K1721" t="s">
        <v>41</v>
      </c>
      <c r="L1721">
        <v>53</v>
      </c>
      <c r="M1721" t="str">
        <v>Female</v>
      </c>
      <c r="N1721" t="str">
        <f>VLOOKUP(C:C,Customer_Dim!B:I,5,1)</f>
        <v>West Pamelafurt</v>
      </c>
      <c r="O1721" t="str">
        <f>VLOOKUP(C:C,Customer_Dim!B:I,6,1)</f>
        <v>West Virginia</v>
      </c>
      <c r="P1721" t="str">
        <f>VLOOKUP(C:C,Customer_Dim!B:I,7,1)</f>
        <v>USA</v>
      </c>
      <c r="Q1721" t="str">
        <f>VLOOKUP(C:C,Customer_Dim!B:I,8,1)</f>
        <v>Bronze</v>
      </c>
      <c r="S1721">
        <v>1</v>
      </c>
      <c r="T1721">
        <v>846.3</v>
      </c>
      <c r="U1721">
        <v>0.14000000000000001</v>
      </c>
      <c r="V1721">
        <v>727.81799999999998</v>
      </c>
      <c r="X1721" s="4">
        <v>1</v>
      </c>
      <c r="Y1721">
        <v>846.3</v>
      </c>
      <c r="Z1721">
        <v>0.14000000000000001</v>
      </c>
      <c r="AA1721">
        <v>727.81799999999998</v>
      </c>
    </row>
    <row r="1722" spans="1:27" x14ac:dyDescent="0.3">
      <c r="A1722" t="s">
        <v>3529</v>
      </c>
      <c r="B1722" s="2">
        <v>45624</v>
      </c>
      <c r="C1722" t="s">
        <v>1324</v>
      </c>
      <c r="D1722" t="s">
        <v>1526</v>
      </c>
      <c r="E1722" t="s">
        <v>1796</v>
      </c>
      <c r="F1722" s="4">
        <v>1</v>
      </c>
      <c r="G1722">
        <v>458.97</v>
      </c>
      <c r="H1722">
        <v>0.1</v>
      </c>
      <c r="I1722" t="s">
        <v>1809</v>
      </c>
      <c r="J1722">
        <v>413.07299999999998</v>
      </c>
      <c r="K1722" t="s">
        <v>1325</v>
      </c>
      <c r="L1722">
        <v>51</v>
      </c>
      <c r="M1722" t="str">
        <v>Female</v>
      </c>
      <c r="N1722" t="str">
        <f>VLOOKUP(C:C,Customer_Dim!B:I,5,1)</f>
        <v>Phyllisport</v>
      </c>
      <c r="O1722" t="str">
        <f>VLOOKUP(C:C,Customer_Dim!B:I,6,1)</f>
        <v>New Jersey</v>
      </c>
      <c r="P1722" t="str">
        <f>VLOOKUP(C:C,Customer_Dim!B:I,7,1)</f>
        <v>USA</v>
      </c>
      <c r="Q1722" t="str">
        <f>VLOOKUP(C:C,Customer_Dim!B:I,8,1)</f>
        <v>Bronze</v>
      </c>
      <c r="S1722">
        <v>1</v>
      </c>
      <c r="T1722">
        <v>458.97</v>
      </c>
      <c r="U1722">
        <v>0.1</v>
      </c>
      <c r="V1722">
        <v>413.07299999999998</v>
      </c>
      <c r="X1722" s="4">
        <v>1</v>
      </c>
      <c r="Y1722">
        <v>458.97</v>
      </c>
      <c r="Z1722">
        <v>0.1</v>
      </c>
      <c r="AA1722">
        <v>413.07299999999998</v>
      </c>
    </row>
    <row r="1723" spans="1:27" x14ac:dyDescent="0.3">
      <c r="A1723" t="s">
        <v>3530</v>
      </c>
      <c r="B1723" s="2">
        <v>45736</v>
      </c>
      <c r="C1723" t="s">
        <v>909</v>
      </c>
      <c r="D1723" t="s">
        <v>1617</v>
      </c>
      <c r="E1723" t="s">
        <v>1762</v>
      </c>
      <c r="F1723" s="4">
        <v>2</v>
      </c>
      <c r="G1723">
        <v>536.61</v>
      </c>
      <c r="H1723">
        <v>0.14000000000000001</v>
      </c>
      <c r="I1723" t="s">
        <v>1807</v>
      </c>
      <c r="J1723">
        <v>922.9692</v>
      </c>
      <c r="K1723" t="s">
        <v>910</v>
      </c>
      <c r="L1723">
        <v>52</v>
      </c>
      <c r="M1723" t="str">
        <v>Female</v>
      </c>
      <c r="N1723" t="str">
        <f>VLOOKUP(C:C,Customer_Dim!B:I,5,1)</f>
        <v>North Brookestad</v>
      </c>
      <c r="O1723" t="str">
        <f>VLOOKUP(C:C,Customer_Dim!B:I,6,1)</f>
        <v>Ohio</v>
      </c>
      <c r="P1723" t="str">
        <f>VLOOKUP(C:C,Customer_Dim!B:I,7,1)</f>
        <v>USA</v>
      </c>
      <c r="Q1723" t="str">
        <f>VLOOKUP(C:C,Customer_Dim!B:I,8,1)</f>
        <v>Bronze</v>
      </c>
      <c r="S1723">
        <v>2</v>
      </c>
      <c r="T1723">
        <v>536.61</v>
      </c>
      <c r="U1723">
        <v>0.14000000000000001</v>
      </c>
      <c r="V1723">
        <v>922.9692</v>
      </c>
      <c r="X1723" s="4">
        <v>2</v>
      </c>
      <c r="Y1723">
        <v>536.61</v>
      </c>
      <c r="Z1723">
        <v>0.14000000000000001</v>
      </c>
      <c r="AA1723">
        <v>922.9692</v>
      </c>
    </row>
    <row r="1724" spans="1:27" x14ac:dyDescent="0.3">
      <c r="A1724" t="s">
        <v>3531</v>
      </c>
      <c r="B1724" s="2">
        <v>45709</v>
      </c>
      <c r="C1724" t="s">
        <v>1290</v>
      </c>
      <c r="D1724" t="s">
        <v>1647</v>
      </c>
      <c r="E1724" t="s">
        <v>1735</v>
      </c>
      <c r="F1724" s="4">
        <v>3</v>
      </c>
      <c r="G1724">
        <v>130.41</v>
      </c>
      <c r="H1724">
        <v>0.14000000000000001</v>
      </c>
      <c r="I1724" t="s">
        <v>1809</v>
      </c>
      <c r="J1724">
        <v>336.45780000000002</v>
      </c>
      <c r="K1724" t="s">
        <v>3949</v>
      </c>
      <c r="L1724">
        <v>45</v>
      </c>
      <c r="M1724" t="str">
        <v>Female</v>
      </c>
      <c r="N1724" t="str">
        <f>VLOOKUP(C:C,Customer_Dim!B:I,5,1)</f>
        <v>New Benjamin</v>
      </c>
      <c r="O1724" t="str">
        <f>VLOOKUP(C:C,Customer_Dim!B:I,6,1)</f>
        <v>North Carolina</v>
      </c>
      <c r="P1724" t="str">
        <f>VLOOKUP(C:C,Customer_Dim!B:I,7,1)</f>
        <v>USA</v>
      </c>
      <c r="Q1724" t="str">
        <f>VLOOKUP(C:C,Customer_Dim!B:I,8,1)</f>
        <v>Bronze</v>
      </c>
      <c r="S1724">
        <v>3</v>
      </c>
      <c r="T1724">
        <v>130.41</v>
      </c>
      <c r="U1724">
        <v>0.14000000000000001</v>
      </c>
      <c r="V1724">
        <v>336.45780000000002</v>
      </c>
      <c r="X1724" s="4">
        <v>3</v>
      </c>
      <c r="Y1724">
        <v>130.41</v>
      </c>
      <c r="Z1724">
        <v>0.14000000000000001</v>
      </c>
      <c r="AA1724">
        <v>336.45780000000002</v>
      </c>
    </row>
    <row r="1725" spans="1:27" x14ac:dyDescent="0.3">
      <c r="A1725" t="s">
        <v>3532</v>
      </c>
      <c r="B1725" s="2">
        <v>45738</v>
      </c>
      <c r="C1725" t="s">
        <v>1507</v>
      </c>
      <c r="D1725" t="s">
        <v>1709</v>
      </c>
      <c r="E1725" t="s">
        <v>1777</v>
      </c>
      <c r="F1725" s="4">
        <v>4</v>
      </c>
      <c r="G1725">
        <v>706.67</v>
      </c>
      <c r="H1725">
        <v>0.01</v>
      </c>
      <c r="I1725" t="s">
        <v>1807</v>
      </c>
      <c r="J1725">
        <v>2798.4132</v>
      </c>
      <c r="K1725" t="s">
        <v>1508</v>
      </c>
      <c r="L1725">
        <v>47</v>
      </c>
      <c r="M1725" t="str">
        <v>Female</v>
      </c>
      <c r="N1725" t="str">
        <f>VLOOKUP(C:C,Customer_Dim!B:I,5,1)</f>
        <v>North Seanfurt</v>
      </c>
      <c r="O1725" t="str">
        <f>VLOOKUP(C:C,Customer_Dim!B:I,6,1)</f>
        <v>Ohio</v>
      </c>
      <c r="P1725" t="str">
        <f>VLOOKUP(C:C,Customer_Dim!B:I,7,1)</f>
        <v>USA</v>
      </c>
      <c r="Q1725" t="str">
        <f>VLOOKUP(C:C,Customer_Dim!B:I,8,1)</f>
        <v>Bronze</v>
      </c>
      <c r="S1725">
        <v>4</v>
      </c>
      <c r="T1725">
        <v>706.67</v>
      </c>
      <c r="U1725">
        <v>0.01</v>
      </c>
      <c r="V1725">
        <v>2798.4132</v>
      </c>
      <c r="X1725" s="4">
        <v>4</v>
      </c>
      <c r="Y1725">
        <v>706.67</v>
      </c>
      <c r="Z1725">
        <v>0.01</v>
      </c>
      <c r="AA1725">
        <v>2798.4132</v>
      </c>
    </row>
    <row r="1726" spans="1:27" x14ac:dyDescent="0.3">
      <c r="A1726" t="s">
        <v>3533</v>
      </c>
      <c r="B1726" s="2">
        <v>45685</v>
      </c>
      <c r="C1726" t="s">
        <v>1210</v>
      </c>
      <c r="D1726" t="s">
        <v>1585</v>
      </c>
      <c r="E1726" t="s">
        <v>1749</v>
      </c>
      <c r="F1726" s="4">
        <v>3</v>
      </c>
      <c r="G1726">
        <v>523.45000000000005</v>
      </c>
      <c r="H1726">
        <v>0.17</v>
      </c>
      <c r="I1726" t="s">
        <v>1807</v>
      </c>
      <c r="J1726">
        <v>1303.3905</v>
      </c>
      <c r="K1726" t="s">
        <v>1211</v>
      </c>
      <c r="L1726">
        <v>46</v>
      </c>
      <c r="M1726" t="str">
        <v>Male</v>
      </c>
      <c r="N1726" t="str">
        <f>VLOOKUP(C:C,Customer_Dim!B:I,5,1)</f>
        <v>Gutierrezstad</v>
      </c>
      <c r="O1726" t="str">
        <f>VLOOKUP(C:C,Customer_Dim!B:I,6,1)</f>
        <v>Missouri</v>
      </c>
      <c r="P1726" t="str">
        <f>VLOOKUP(C:C,Customer_Dim!B:I,7,1)</f>
        <v>USA</v>
      </c>
      <c r="Q1726" t="str">
        <f>VLOOKUP(C:C,Customer_Dim!B:I,8,1)</f>
        <v>Gold</v>
      </c>
      <c r="S1726">
        <v>3</v>
      </c>
      <c r="T1726">
        <v>523.45000000000005</v>
      </c>
      <c r="U1726">
        <v>0.17</v>
      </c>
      <c r="V1726">
        <v>1303.3905</v>
      </c>
      <c r="X1726" s="4">
        <v>3</v>
      </c>
      <c r="Y1726">
        <v>523.45000000000005</v>
      </c>
      <c r="Z1726">
        <v>0.17</v>
      </c>
      <c r="AA1726">
        <v>1303.3905</v>
      </c>
    </row>
    <row r="1727" spans="1:27" x14ac:dyDescent="0.3">
      <c r="A1727" t="s">
        <v>3534</v>
      </c>
      <c r="B1727" s="2">
        <v>45701</v>
      </c>
      <c r="C1727" t="s">
        <v>48</v>
      </c>
      <c r="D1727" t="s">
        <v>1713</v>
      </c>
      <c r="E1727" t="s">
        <v>1793</v>
      </c>
      <c r="F1727" s="4">
        <v>3</v>
      </c>
      <c r="G1727">
        <v>482.2</v>
      </c>
      <c r="H1727">
        <v>0.23</v>
      </c>
      <c r="I1727" t="s">
        <v>1812</v>
      </c>
      <c r="J1727">
        <v>1113.8820000000001</v>
      </c>
      <c r="K1727" t="s">
        <v>49</v>
      </c>
      <c r="L1727">
        <v>53</v>
      </c>
      <c r="M1727" t="str">
        <v>Male</v>
      </c>
      <c r="N1727" t="str">
        <f>VLOOKUP(C:C,Customer_Dim!B:I,5,1)</f>
        <v>Melissashire</v>
      </c>
      <c r="O1727" t="str">
        <f>VLOOKUP(C:C,Customer_Dim!B:I,6,1)</f>
        <v>Pennsylvania</v>
      </c>
      <c r="P1727" t="str">
        <f>VLOOKUP(C:C,Customer_Dim!B:I,7,1)</f>
        <v>USA</v>
      </c>
      <c r="Q1727" t="str">
        <f>VLOOKUP(C:C,Customer_Dim!B:I,8,1)</f>
        <v>Platinum</v>
      </c>
      <c r="S1727">
        <v>3</v>
      </c>
      <c r="T1727">
        <v>482.2</v>
      </c>
      <c r="U1727">
        <v>0.23</v>
      </c>
      <c r="V1727">
        <v>1113.8820000000001</v>
      </c>
      <c r="X1727" s="4">
        <v>3</v>
      </c>
      <c r="Y1727">
        <v>482.2</v>
      </c>
      <c r="Z1727">
        <v>0.23</v>
      </c>
      <c r="AA1727">
        <v>1113.8820000000001</v>
      </c>
    </row>
    <row r="1728" spans="1:27" x14ac:dyDescent="0.3">
      <c r="A1728" t="s">
        <v>3535</v>
      </c>
      <c r="B1728" s="2">
        <v>45745</v>
      </c>
      <c r="C1728" t="s">
        <v>423</v>
      </c>
      <c r="D1728" t="s">
        <v>1657</v>
      </c>
      <c r="E1728" t="s">
        <v>1756</v>
      </c>
      <c r="F1728" s="4">
        <v>4</v>
      </c>
      <c r="G1728">
        <v>688.86</v>
      </c>
      <c r="H1728">
        <v>0.02</v>
      </c>
      <c r="I1728" t="s">
        <v>1812</v>
      </c>
      <c r="J1728">
        <v>2700.3312000000001</v>
      </c>
      <c r="K1728" t="s">
        <v>424</v>
      </c>
      <c r="L1728">
        <v>64</v>
      </c>
      <c r="M1728" t="str">
        <v>Female</v>
      </c>
      <c r="N1728" t="str">
        <f>VLOOKUP(C:C,Customer_Dim!B:I,5,1)</f>
        <v>Wongberg</v>
      </c>
      <c r="O1728" t="str">
        <f>VLOOKUP(C:C,Customer_Dim!B:I,6,1)</f>
        <v>Illinois</v>
      </c>
      <c r="P1728" t="str">
        <f>VLOOKUP(C:C,Customer_Dim!B:I,7,1)</f>
        <v>USA</v>
      </c>
      <c r="Q1728" t="str">
        <f>VLOOKUP(C:C,Customer_Dim!B:I,8,1)</f>
        <v>Bronze</v>
      </c>
      <c r="S1728">
        <v>4</v>
      </c>
      <c r="T1728">
        <v>688.86</v>
      </c>
      <c r="U1728">
        <v>0.02</v>
      </c>
      <c r="V1728">
        <v>2700.3312000000001</v>
      </c>
      <c r="X1728" s="4">
        <v>4</v>
      </c>
      <c r="Y1728">
        <v>688.86</v>
      </c>
      <c r="Z1728">
        <v>0.02</v>
      </c>
      <c r="AA1728">
        <v>2700.3312000000001</v>
      </c>
    </row>
    <row r="1729" spans="1:27" x14ac:dyDescent="0.3">
      <c r="A1729" t="s">
        <v>3536</v>
      </c>
      <c r="B1729" s="2">
        <v>45214</v>
      </c>
      <c r="C1729" t="s">
        <v>100</v>
      </c>
      <c r="D1729" t="s">
        <v>1555</v>
      </c>
      <c r="E1729" t="s">
        <v>1735</v>
      </c>
      <c r="F1729" s="4">
        <v>1</v>
      </c>
      <c r="G1729">
        <v>145.47999999999999</v>
      </c>
      <c r="H1729">
        <v>0.1</v>
      </c>
      <c r="I1729" t="s">
        <v>1812</v>
      </c>
      <c r="J1729">
        <v>130.93199999999999</v>
      </c>
      <c r="K1729" t="s">
        <v>101</v>
      </c>
      <c r="L1729">
        <v>40</v>
      </c>
      <c r="M1729" t="str">
        <v>Male</v>
      </c>
      <c r="N1729" t="str">
        <f>VLOOKUP(C:C,Customer_Dim!B:I,5,1)</f>
        <v>Molinabury</v>
      </c>
      <c r="O1729" t="str">
        <f>VLOOKUP(C:C,Customer_Dim!B:I,6,1)</f>
        <v>Oregon</v>
      </c>
      <c r="P1729" t="str">
        <f>VLOOKUP(C:C,Customer_Dim!B:I,7,1)</f>
        <v>USA</v>
      </c>
      <c r="Q1729" t="str">
        <f>VLOOKUP(C:C,Customer_Dim!B:I,8,1)</f>
        <v>Silver</v>
      </c>
      <c r="S1729">
        <v>1</v>
      </c>
      <c r="T1729">
        <v>145.47999999999999</v>
      </c>
      <c r="U1729">
        <v>0.1</v>
      </c>
      <c r="V1729">
        <v>130.93199999999999</v>
      </c>
      <c r="X1729" s="4">
        <v>1</v>
      </c>
      <c r="Y1729">
        <v>145.47999999999999</v>
      </c>
      <c r="Z1729">
        <v>0.1</v>
      </c>
      <c r="AA1729">
        <v>130.93199999999999</v>
      </c>
    </row>
    <row r="1730" spans="1:27" x14ac:dyDescent="0.3">
      <c r="A1730" t="s">
        <v>3537</v>
      </c>
      <c r="B1730" s="2">
        <v>45547</v>
      </c>
      <c r="C1730" t="s">
        <v>195</v>
      </c>
      <c r="D1730" t="s">
        <v>1593</v>
      </c>
      <c r="E1730" t="s">
        <v>1775</v>
      </c>
      <c r="F1730" s="4">
        <v>4</v>
      </c>
      <c r="G1730">
        <v>862.25</v>
      </c>
      <c r="H1730">
        <v>0.28000000000000003</v>
      </c>
      <c r="I1730" t="s">
        <v>1809</v>
      </c>
      <c r="J1730">
        <v>2483.2800000000002</v>
      </c>
      <c r="K1730" t="s">
        <v>196</v>
      </c>
      <c r="L1730">
        <v>37</v>
      </c>
      <c r="M1730" t="str">
        <v>Female</v>
      </c>
      <c r="N1730" t="str">
        <f>VLOOKUP(C:C,Customer_Dim!B:I,5,1)</f>
        <v>South Timtown</v>
      </c>
      <c r="O1730" t="str">
        <f>VLOOKUP(C:C,Customer_Dim!B:I,6,1)</f>
        <v>Minnesota</v>
      </c>
      <c r="P1730" t="str">
        <f>VLOOKUP(C:C,Customer_Dim!B:I,7,1)</f>
        <v>USA</v>
      </c>
      <c r="Q1730" t="str">
        <f>VLOOKUP(C:C,Customer_Dim!B:I,8,1)</f>
        <v>Bronze</v>
      </c>
      <c r="S1730">
        <v>4</v>
      </c>
      <c r="T1730">
        <v>862.25</v>
      </c>
      <c r="U1730">
        <v>0.28000000000000003</v>
      </c>
      <c r="V1730">
        <v>2483.2800000000002</v>
      </c>
      <c r="X1730" s="4">
        <v>4</v>
      </c>
      <c r="Y1730">
        <v>862.25</v>
      </c>
      <c r="Z1730">
        <v>0.28000000000000003</v>
      </c>
      <c r="AA1730">
        <v>2483.2800000000002</v>
      </c>
    </row>
    <row r="1731" spans="1:27" x14ac:dyDescent="0.3">
      <c r="A1731" t="s">
        <v>3538</v>
      </c>
      <c r="B1731" s="2">
        <v>45296</v>
      </c>
      <c r="C1731" t="s">
        <v>917</v>
      </c>
      <c r="D1731" t="s">
        <v>1529</v>
      </c>
      <c r="E1731" t="s">
        <v>1782</v>
      </c>
      <c r="F1731" s="4">
        <v>4</v>
      </c>
      <c r="G1731">
        <v>146.12</v>
      </c>
      <c r="H1731">
        <v>0.12</v>
      </c>
      <c r="I1731" t="s">
        <v>1812</v>
      </c>
      <c r="J1731">
        <v>514.3424</v>
      </c>
      <c r="K1731" t="s">
        <v>918</v>
      </c>
      <c r="L1731">
        <v>56</v>
      </c>
      <c r="M1731" t="str">
        <v>Female</v>
      </c>
      <c r="N1731" t="str">
        <f>VLOOKUP(C:C,Customer_Dim!B:I,5,1)</f>
        <v>Danielland</v>
      </c>
      <c r="O1731" t="str">
        <f>VLOOKUP(C:C,Customer_Dim!B:I,6,1)</f>
        <v>Minnesota</v>
      </c>
      <c r="P1731" t="str">
        <f>VLOOKUP(C:C,Customer_Dim!B:I,7,1)</f>
        <v>USA</v>
      </c>
      <c r="Q1731" t="str">
        <f>VLOOKUP(C:C,Customer_Dim!B:I,8,1)</f>
        <v>Silver</v>
      </c>
      <c r="S1731">
        <v>4</v>
      </c>
      <c r="T1731">
        <v>146.12</v>
      </c>
      <c r="U1731">
        <v>0.12</v>
      </c>
      <c r="V1731">
        <v>514.3424</v>
      </c>
      <c r="X1731" s="4">
        <v>4</v>
      </c>
      <c r="Y1731">
        <v>146.12</v>
      </c>
      <c r="Z1731">
        <v>0.12</v>
      </c>
      <c r="AA1731">
        <v>514.3424</v>
      </c>
    </row>
    <row r="1732" spans="1:27" x14ac:dyDescent="0.3">
      <c r="A1732" t="s">
        <v>3539</v>
      </c>
      <c r="B1732" s="2">
        <v>45549</v>
      </c>
      <c r="C1732" t="s">
        <v>1456</v>
      </c>
      <c r="D1732" t="s">
        <v>1593</v>
      </c>
      <c r="E1732" t="s">
        <v>1793</v>
      </c>
      <c r="F1732" s="4">
        <v>2</v>
      </c>
      <c r="G1732">
        <v>695.02</v>
      </c>
      <c r="H1732">
        <v>0.3</v>
      </c>
      <c r="I1732" t="s">
        <v>1812</v>
      </c>
      <c r="J1732">
        <v>973.02799999999991</v>
      </c>
      <c r="K1732" t="s">
        <v>3951</v>
      </c>
      <c r="L1732">
        <v>40</v>
      </c>
      <c r="M1732" t="str">
        <v>Male</v>
      </c>
      <c r="N1732" t="str">
        <f>VLOOKUP(C:C,Customer_Dim!B:I,5,1)</f>
        <v>West Sarah</v>
      </c>
      <c r="O1732" t="str">
        <f>VLOOKUP(C:C,Customer_Dim!B:I,6,1)</f>
        <v>South Dakota</v>
      </c>
      <c r="P1732" t="str">
        <f>VLOOKUP(C:C,Customer_Dim!B:I,7,1)</f>
        <v>USA</v>
      </c>
      <c r="Q1732" t="str">
        <f>VLOOKUP(C:C,Customer_Dim!B:I,8,1)</f>
        <v>Gold</v>
      </c>
      <c r="S1732">
        <v>2</v>
      </c>
      <c r="T1732">
        <v>695.02</v>
      </c>
      <c r="U1732">
        <v>0.3</v>
      </c>
      <c r="V1732">
        <v>973.02799999999991</v>
      </c>
      <c r="X1732" s="4">
        <v>2</v>
      </c>
      <c r="Y1732">
        <v>695.02</v>
      </c>
      <c r="Z1732">
        <v>0.3</v>
      </c>
      <c r="AA1732">
        <v>973.02799999999991</v>
      </c>
    </row>
    <row r="1733" spans="1:27" x14ac:dyDescent="0.3">
      <c r="A1733" t="s">
        <v>3540</v>
      </c>
      <c r="B1733" s="2">
        <v>45231</v>
      </c>
      <c r="C1733" t="s">
        <v>705</v>
      </c>
      <c r="D1733" t="s">
        <v>1719</v>
      </c>
      <c r="E1733" t="s">
        <v>1772</v>
      </c>
      <c r="F1733" s="4">
        <v>2</v>
      </c>
      <c r="G1733">
        <v>886.67</v>
      </c>
      <c r="H1733">
        <v>0.24</v>
      </c>
      <c r="I1733" t="s">
        <v>1809</v>
      </c>
      <c r="J1733">
        <v>1347.7384</v>
      </c>
      <c r="K1733" t="s">
        <v>706</v>
      </c>
      <c r="L1733">
        <v>50</v>
      </c>
      <c r="M1733" t="str">
        <v>Female</v>
      </c>
      <c r="N1733" t="str">
        <f>VLOOKUP(C:C,Customer_Dim!B:I,5,1)</f>
        <v xml:space="preserve">Phillipschester   </v>
      </c>
      <c r="O1733" t="str">
        <f>VLOOKUP(C:C,Customer_Dim!B:I,6,1)</f>
        <v>New Jersey</v>
      </c>
      <c r="P1733" t="str">
        <f>VLOOKUP(C:C,Customer_Dim!B:I,7,1)</f>
        <v>USA</v>
      </c>
      <c r="Q1733" t="str">
        <f>VLOOKUP(C:C,Customer_Dim!B:I,8,1)</f>
        <v>Gold</v>
      </c>
      <c r="S1733">
        <v>2</v>
      </c>
      <c r="T1733">
        <v>886.67</v>
      </c>
      <c r="U1733">
        <v>0.24</v>
      </c>
      <c r="V1733">
        <v>1347.7384</v>
      </c>
      <c r="X1733" s="4">
        <v>2</v>
      </c>
      <c r="Y1733">
        <v>886.67</v>
      </c>
      <c r="Z1733">
        <v>0.24</v>
      </c>
      <c r="AA1733">
        <v>1347.7384</v>
      </c>
    </row>
    <row r="1734" spans="1:27" x14ac:dyDescent="0.3">
      <c r="A1734" t="s">
        <v>3541</v>
      </c>
      <c r="B1734" s="2">
        <v>45628</v>
      </c>
      <c r="C1734" t="s">
        <v>202</v>
      </c>
      <c r="D1734" t="s">
        <v>1663</v>
      </c>
      <c r="E1734" t="s">
        <v>1793</v>
      </c>
      <c r="F1734" s="4">
        <v>2</v>
      </c>
      <c r="G1734">
        <v>864.09</v>
      </c>
      <c r="H1734">
        <v>0.06</v>
      </c>
      <c r="I1734" t="s">
        <v>1812</v>
      </c>
      <c r="J1734">
        <v>1624.4892</v>
      </c>
      <c r="K1734" t="s">
        <v>203</v>
      </c>
      <c r="L1734">
        <v>56</v>
      </c>
      <c r="M1734" t="str">
        <v>Female</v>
      </c>
      <c r="N1734" t="str">
        <f>VLOOKUP(C:C,Customer_Dim!B:I,5,1)</f>
        <v>Christopherland</v>
      </c>
      <c r="O1734" t="str">
        <f>VLOOKUP(C:C,Customer_Dim!B:I,6,1)</f>
        <v>Oklahoma</v>
      </c>
      <c r="P1734" t="str">
        <f>VLOOKUP(C:C,Customer_Dim!B:I,7,1)</f>
        <v>USA</v>
      </c>
      <c r="Q1734" t="str">
        <f>VLOOKUP(C:C,Customer_Dim!B:I,8,1)</f>
        <v>Platinum</v>
      </c>
      <c r="S1734">
        <v>2</v>
      </c>
      <c r="T1734">
        <v>864.09</v>
      </c>
      <c r="U1734">
        <v>0.06</v>
      </c>
      <c r="V1734">
        <v>1624.4892</v>
      </c>
      <c r="X1734" s="4">
        <v>2</v>
      </c>
      <c r="Y1734">
        <v>864.09</v>
      </c>
      <c r="Z1734">
        <v>0.06</v>
      </c>
      <c r="AA1734">
        <v>1624.4892</v>
      </c>
    </row>
    <row r="1735" spans="1:27" x14ac:dyDescent="0.3">
      <c r="A1735" t="s">
        <v>3542</v>
      </c>
      <c r="B1735" s="2">
        <v>45862</v>
      </c>
      <c r="C1735" t="s">
        <v>23</v>
      </c>
      <c r="D1735" t="s">
        <v>1555</v>
      </c>
      <c r="E1735" t="s">
        <v>1769</v>
      </c>
      <c r="F1735" s="4">
        <v>1</v>
      </c>
      <c r="G1735">
        <v>437.65</v>
      </c>
      <c r="H1735">
        <v>0.02</v>
      </c>
      <c r="I1735" t="s">
        <v>1809</v>
      </c>
      <c r="J1735">
        <v>428.89699999999999</v>
      </c>
      <c r="K1735" t="s">
        <v>3934</v>
      </c>
      <c r="L1735">
        <v>64</v>
      </c>
      <c r="M1735" t="str">
        <v>Female</v>
      </c>
      <c r="N1735" t="str">
        <f>VLOOKUP(C:C,Customer_Dim!B:I,5,1)</f>
        <v>Thomastown</v>
      </c>
      <c r="O1735" t="str">
        <f>VLOOKUP(C:C,Customer_Dim!B:I,6,1)</f>
        <v>Ohio</v>
      </c>
      <c r="P1735" t="str">
        <f>VLOOKUP(C:C,Customer_Dim!B:I,7,1)</f>
        <v>USA</v>
      </c>
      <c r="Q1735" t="str">
        <f>VLOOKUP(C:C,Customer_Dim!B:I,8,1)</f>
        <v>Bronze</v>
      </c>
      <c r="S1735">
        <v>1</v>
      </c>
      <c r="T1735">
        <v>437.65</v>
      </c>
      <c r="U1735">
        <v>0.02</v>
      </c>
      <c r="V1735">
        <v>428.89699999999999</v>
      </c>
      <c r="X1735" s="4">
        <v>1</v>
      </c>
      <c r="Y1735">
        <v>437.65</v>
      </c>
      <c r="Z1735">
        <v>0.02</v>
      </c>
      <c r="AA1735">
        <v>428.89699999999999</v>
      </c>
    </row>
    <row r="1736" spans="1:27" x14ac:dyDescent="0.3">
      <c r="A1736" t="s">
        <v>3543</v>
      </c>
      <c r="B1736" s="2">
        <v>45843</v>
      </c>
      <c r="C1736" t="s">
        <v>654</v>
      </c>
      <c r="D1736" t="s">
        <v>1603</v>
      </c>
      <c r="E1736" t="s">
        <v>1780</v>
      </c>
      <c r="F1736" s="4">
        <v>2</v>
      </c>
      <c r="G1736">
        <v>208.09</v>
      </c>
      <c r="H1736">
        <v>0.27</v>
      </c>
      <c r="I1736" t="s">
        <v>1807</v>
      </c>
      <c r="J1736">
        <v>303.81139999999999</v>
      </c>
      <c r="K1736" t="s">
        <v>655</v>
      </c>
      <c r="L1736">
        <v>47</v>
      </c>
      <c r="M1736" t="str">
        <v>Male</v>
      </c>
      <c r="N1736" t="str">
        <f>VLOOKUP(C:C,Customer_Dim!B:I,5,1)</f>
        <v>Clarkeside</v>
      </c>
      <c r="O1736" t="str">
        <f>VLOOKUP(C:C,Customer_Dim!B:I,6,1)</f>
        <v>Kansas</v>
      </c>
      <c r="P1736" t="str">
        <f>VLOOKUP(C:C,Customer_Dim!B:I,7,1)</f>
        <v>USA</v>
      </c>
      <c r="Q1736" t="str">
        <f>VLOOKUP(C:C,Customer_Dim!B:I,8,1)</f>
        <v>Platinum</v>
      </c>
      <c r="S1736">
        <v>2</v>
      </c>
      <c r="T1736">
        <v>208.09</v>
      </c>
      <c r="U1736">
        <v>0.27</v>
      </c>
      <c r="V1736">
        <v>303.81139999999999</v>
      </c>
      <c r="X1736" s="4">
        <v>2</v>
      </c>
      <c r="Y1736">
        <v>208.09</v>
      </c>
      <c r="Z1736">
        <v>0.27</v>
      </c>
      <c r="AA1736">
        <v>303.81139999999999</v>
      </c>
    </row>
    <row r="1737" spans="1:27" x14ac:dyDescent="0.3">
      <c r="A1737" t="s">
        <v>3544</v>
      </c>
      <c r="B1737" s="2">
        <v>45482</v>
      </c>
      <c r="C1737" t="s">
        <v>202</v>
      </c>
      <c r="D1737" t="s">
        <v>1717</v>
      </c>
      <c r="E1737" t="s">
        <v>1790</v>
      </c>
      <c r="F1737" s="4">
        <v>4</v>
      </c>
      <c r="G1737">
        <v>825.78</v>
      </c>
      <c r="H1737">
        <v>0.02</v>
      </c>
      <c r="I1737" t="s">
        <v>1807</v>
      </c>
      <c r="J1737">
        <v>3237.0576000000001</v>
      </c>
      <c r="K1737" t="s">
        <v>203</v>
      </c>
      <c r="L1737">
        <v>56</v>
      </c>
      <c r="M1737" t="str">
        <v>Female</v>
      </c>
      <c r="N1737" t="str">
        <f>VLOOKUP(C:C,Customer_Dim!B:I,5,1)</f>
        <v>Christopherland</v>
      </c>
      <c r="O1737" t="str">
        <f>VLOOKUP(C:C,Customer_Dim!B:I,6,1)</f>
        <v>Oklahoma</v>
      </c>
      <c r="P1737" t="str">
        <f>VLOOKUP(C:C,Customer_Dim!B:I,7,1)</f>
        <v>USA</v>
      </c>
      <c r="Q1737" t="str">
        <f>VLOOKUP(C:C,Customer_Dim!B:I,8,1)</f>
        <v>Platinum</v>
      </c>
      <c r="S1737">
        <v>4</v>
      </c>
      <c r="T1737">
        <v>825.78</v>
      </c>
      <c r="U1737">
        <v>0.02</v>
      </c>
      <c r="V1737">
        <v>3237.0576000000001</v>
      </c>
      <c r="X1737" s="4">
        <v>4</v>
      </c>
      <c r="Y1737">
        <v>825.78</v>
      </c>
      <c r="Z1737">
        <v>0.02</v>
      </c>
      <c r="AA1737">
        <v>3237.0576000000001</v>
      </c>
    </row>
    <row r="1738" spans="1:27" x14ac:dyDescent="0.3">
      <c r="A1738" t="s">
        <v>3545</v>
      </c>
      <c r="B1738" s="2">
        <v>45313</v>
      </c>
      <c r="C1738" t="s">
        <v>400</v>
      </c>
      <c r="D1738" t="s">
        <v>1581</v>
      </c>
      <c r="E1738" t="s">
        <v>1790</v>
      </c>
      <c r="F1738" s="4">
        <v>3</v>
      </c>
      <c r="G1738">
        <v>849.77</v>
      </c>
      <c r="H1738">
        <v>0.12</v>
      </c>
      <c r="I1738" t="s">
        <v>1809</v>
      </c>
      <c r="J1738">
        <v>2243.3928000000001</v>
      </c>
      <c r="K1738" t="s">
        <v>401</v>
      </c>
      <c r="L1738">
        <v>21</v>
      </c>
      <c r="M1738" t="str">
        <v>Female</v>
      </c>
      <c r="N1738" t="str">
        <f>VLOOKUP(C:C,Customer_Dim!B:I,5,1)</f>
        <v>North Davidport</v>
      </c>
      <c r="O1738" t="str">
        <f>VLOOKUP(C:C,Customer_Dim!B:I,6,1)</f>
        <v>Rhode Island</v>
      </c>
      <c r="P1738" t="str">
        <f>VLOOKUP(C:C,Customer_Dim!B:I,7,1)</f>
        <v>USA</v>
      </c>
      <c r="Q1738" t="str">
        <f>VLOOKUP(C:C,Customer_Dim!B:I,8,1)</f>
        <v>Platinum</v>
      </c>
      <c r="S1738">
        <v>3</v>
      </c>
      <c r="T1738">
        <v>849.77</v>
      </c>
      <c r="U1738">
        <v>0.12</v>
      </c>
      <c r="V1738">
        <v>2243.3928000000001</v>
      </c>
      <c r="X1738" s="4">
        <v>3</v>
      </c>
      <c r="Y1738">
        <v>849.77</v>
      </c>
      <c r="Z1738">
        <v>0.12</v>
      </c>
      <c r="AA1738">
        <v>2243.3928000000001</v>
      </c>
    </row>
    <row r="1739" spans="1:27" x14ac:dyDescent="0.3">
      <c r="A1739" t="s">
        <v>3546</v>
      </c>
      <c r="B1739" s="2">
        <v>45314</v>
      </c>
      <c r="C1739" t="s">
        <v>1069</v>
      </c>
      <c r="D1739" t="s">
        <v>1651</v>
      </c>
      <c r="E1739" t="s">
        <v>1752</v>
      </c>
      <c r="F1739" s="4">
        <v>1</v>
      </c>
      <c r="G1739">
        <v>88.78</v>
      </c>
      <c r="H1739">
        <v>0.18</v>
      </c>
      <c r="I1739" t="s">
        <v>1807</v>
      </c>
      <c r="J1739">
        <v>72.799600000000012</v>
      </c>
      <c r="K1739" t="s">
        <v>1070</v>
      </c>
      <c r="L1739">
        <v>33</v>
      </c>
      <c r="M1739" t="str">
        <v>Male</v>
      </c>
      <c r="N1739" t="str">
        <f>VLOOKUP(C:C,Customer_Dim!B:I,5,1)</f>
        <v>West Victoriaborough</v>
      </c>
      <c r="O1739" t="str">
        <f>VLOOKUP(C:C,Customer_Dim!B:I,6,1)</f>
        <v>New Mexico</v>
      </c>
      <c r="P1739" t="str">
        <f>VLOOKUP(C:C,Customer_Dim!B:I,7,1)</f>
        <v>USA</v>
      </c>
      <c r="Q1739" t="str">
        <f>VLOOKUP(C:C,Customer_Dim!B:I,8,1)</f>
        <v>Gold</v>
      </c>
      <c r="S1739">
        <v>1</v>
      </c>
      <c r="T1739">
        <v>88.78</v>
      </c>
      <c r="U1739">
        <v>0.18</v>
      </c>
      <c r="V1739">
        <v>72.799600000000012</v>
      </c>
      <c r="X1739" s="4">
        <v>1</v>
      </c>
      <c r="Y1739">
        <v>88.78</v>
      </c>
      <c r="Z1739">
        <v>0.18</v>
      </c>
      <c r="AA1739">
        <v>72.799600000000012</v>
      </c>
    </row>
    <row r="1740" spans="1:27" x14ac:dyDescent="0.3">
      <c r="A1740" t="s">
        <v>3547</v>
      </c>
      <c r="B1740" s="2">
        <v>45526</v>
      </c>
      <c r="C1740" t="s">
        <v>622</v>
      </c>
      <c r="D1740" t="s">
        <v>1687</v>
      </c>
      <c r="E1740" t="s">
        <v>1752</v>
      </c>
      <c r="F1740" s="4">
        <v>4</v>
      </c>
      <c r="G1740">
        <v>507.22</v>
      </c>
      <c r="H1740">
        <v>0.14000000000000001</v>
      </c>
      <c r="I1740" t="s">
        <v>1809</v>
      </c>
      <c r="J1740">
        <v>1744.8368</v>
      </c>
      <c r="K1740" t="s">
        <v>623</v>
      </c>
      <c r="L1740">
        <v>26</v>
      </c>
      <c r="M1740" t="str">
        <v>Male</v>
      </c>
      <c r="N1740" t="str">
        <f>VLOOKUP(C:C,Customer_Dim!B:I,5,1)</f>
        <v>Johnsonshire</v>
      </c>
      <c r="O1740" t="str">
        <f>VLOOKUP(C:C,Customer_Dim!B:I,6,1)</f>
        <v>Ohio</v>
      </c>
      <c r="P1740" t="str">
        <f>VLOOKUP(C:C,Customer_Dim!B:I,7,1)</f>
        <v>USA</v>
      </c>
      <c r="Q1740" t="str">
        <f>VLOOKUP(C:C,Customer_Dim!B:I,8,1)</f>
        <v>Bronze</v>
      </c>
      <c r="S1740">
        <v>4</v>
      </c>
      <c r="T1740">
        <v>507.22</v>
      </c>
      <c r="U1740">
        <v>0.14000000000000001</v>
      </c>
      <c r="V1740">
        <v>1744.8368</v>
      </c>
      <c r="X1740" s="4">
        <v>4</v>
      </c>
      <c r="Y1740">
        <v>507.22</v>
      </c>
      <c r="Z1740">
        <v>0.14000000000000001</v>
      </c>
      <c r="AA1740">
        <v>1744.8368</v>
      </c>
    </row>
    <row r="1741" spans="1:27" x14ac:dyDescent="0.3">
      <c r="A1741" t="s">
        <v>3548</v>
      </c>
      <c r="B1741" s="2">
        <v>45887</v>
      </c>
      <c r="C1741" t="s">
        <v>986</v>
      </c>
      <c r="D1741" t="s">
        <v>1723</v>
      </c>
      <c r="E1741" t="s">
        <v>1735</v>
      </c>
      <c r="F1741" s="4">
        <v>3</v>
      </c>
      <c r="G1741">
        <v>330.98</v>
      </c>
      <c r="H1741">
        <v>0.11</v>
      </c>
      <c r="I1741" t="s">
        <v>1807</v>
      </c>
      <c r="J1741">
        <v>883.71660000000008</v>
      </c>
      <c r="K1741" t="s">
        <v>987</v>
      </c>
      <c r="L1741">
        <v>64</v>
      </c>
      <c r="M1741" t="str">
        <v>Female</v>
      </c>
      <c r="N1741" t="str">
        <f>VLOOKUP(C:C,Customer_Dim!B:I,5,1)</f>
        <v>Lake James</v>
      </c>
      <c r="O1741" t="str">
        <f>VLOOKUP(C:C,Customer_Dim!B:I,6,1)</f>
        <v>Maryland</v>
      </c>
      <c r="P1741" t="str">
        <f>VLOOKUP(C:C,Customer_Dim!B:I,7,1)</f>
        <v>USA</v>
      </c>
      <c r="Q1741" t="str">
        <f>VLOOKUP(C:C,Customer_Dim!B:I,8,1)</f>
        <v>Gold</v>
      </c>
      <c r="S1741">
        <v>3</v>
      </c>
      <c r="T1741">
        <v>330.98</v>
      </c>
      <c r="U1741">
        <v>0.11</v>
      </c>
      <c r="V1741">
        <v>883.71660000000008</v>
      </c>
      <c r="X1741" s="4">
        <v>3</v>
      </c>
      <c r="Y1741">
        <v>330.98</v>
      </c>
      <c r="Z1741">
        <v>0.11</v>
      </c>
      <c r="AA1741">
        <v>883.71660000000008</v>
      </c>
    </row>
    <row r="1742" spans="1:27" x14ac:dyDescent="0.3">
      <c r="A1742" t="s">
        <v>3549</v>
      </c>
      <c r="B1742" s="2">
        <v>45562</v>
      </c>
      <c r="C1742" t="s">
        <v>192</v>
      </c>
      <c r="D1742" t="s">
        <v>1605</v>
      </c>
      <c r="E1742" t="s">
        <v>1796</v>
      </c>
      <c r="F1742" s="4">
        <v>4</v>
      </c>
      <c r="G1742">
        <v>442.87</v>
      </c>
      <c r="H1742">
        <v>0.08</v>
      </c>
      <c r="I1742" t="s">
        <v>1807</v>
      </c>
      <c r="J1742">
        <v>1629.7616</v>
      </c>
      <c r="K1742" t="s">
        <v>193</v>
      </c>
      <c r="L1742">
        <v>55</v>
      </c>
      <c r="M1742" t="str">
        <v>Male</v>
      </c>
      <c r="N1742" t="str">
        <f>VLOOKUP(C:C,Customer_Dim!B:I,5,1)</f>
        <v>New Julia</v>
      </c>
      <c r="O1742" t="str">
        <f>VLOOKUP(C:C,Customer_Dim!B:I,6,1)</f>
        <v>West Virginia</v>
      </c>
      <c r="P1742" t="str">
        <f>VLOOKUP(C:C,Customer_Dim!B:I,7,1)</f>
        <v>USA</v>
      </c>
      <c r="Q1742" t="str">
        <f>VLOOKUP(C:C,Customer_Dim!B:I,8,1)</f>
        <v>Gold</v>
      </c>
      <c r="S1742">
        <v>4</v>
      </c>
      <c r="T1742">
        <v>442.87</v>
      </c>
      <c r="U1742">
        <v>0.08</v>
      </c>
      <c r="V1742">
        <v>1629.7616</v>
      </c>
      <c r="X1742" s="4">
        <v>4</v>
      </c>
      <c r="Y1742">
        <v>442.87</v>
      </c>
      <c r="Z1742">
        <v>0.08</v>
      </c>
      <c r="AA1742">
        <v>1629.7616</v>
      </c>
    </row>
    <row r="1743" spans="1:27" x14ac:dyDescent="0.3">
      <c r="A1743" t="s">
        <v>3550</v>
      </c>
      <c r="B1743" s="2">
        <v>45880</v>
      </c>
      <c r="C1743" t="s">
        <v>48</v>
      </c>
      <c r="D1743" t="s">
        <v>1723</v>
      </c>
      <c r="E1743" t="s">
        <v>1744</v>
      </c>
      <c r="F1743" s="4">
        <v>2</v>
      </c>
      <c r="G1743">
        <v>939.66</v>
      </c>
      <c r="H1743">
        <v>0.14000000000000001</v>
      </c>
      <c r="I1743" t="s">
        <v>1809</v>
      </c>
      <c r="J1743">
        <v>1616.2152000000001</v>
      </c>
      <c r="K1743" t="s">
        <v>49</v>
      </c>
      <c r="L1743">
        <v>53</v>
      </c>
      <c r="M1743" t="str">
        <v>Male</v>
      </c>
      <c r="N1743" t="str">
        <f>VLOOKUP(C:C,Customer_Dim!B:I,5,1)</f>
        <v>Melissashire</v>
      </c>
      <c r="O1743" t="str">
        <f>VLOOKUP(C:C,Customer_Dim!B:I,6,1)</f>
        <v>Pennsylvania</v>
      </c>
      <c r="P1743" t="str">
        <f>VLOOKUP(C:C,Customer_Dim!B:I,7,1)</f>
        <v>USA</v>
      </c>
      <c r="Q1743" t="str">
        <f>VLOOKUP(C:C,Customer_Dim!B:I,8,1)</f>
        <v>Platinum</v>
      </c>
      <c r="S1743">
        <v>2</v>
      </c>
      <c r="T1743">
        <v>939.66</v>
      </c>
      <c r="U1743">
        <v>0.14000000000000001</v>
      </c>
      <c r="V1743">
        <v>1616.2152000000001</v>
      </c>
      <c r="X1743" s="4">
        <v>2</v>
      </c>
      <c r="Y1743">
        <v>939.66</v>
      </c>
      <c r="Z1743">
        <v>0.14000000000000001</v>
      </c>
      <c r="AA1743">
        <v>1616.2152000000001</v>
      </c>
    </row>
    <row r="1744" spans="1:27" x14ac:dyDescent="0.3">
      <c r="A1744" t="s">
        <v>3551</v>
      </c>
      <c r="B1744" s="2">
        <v>45556</v>
      </c>
      <c r="C1744" t="s">
        <v>920</v>
      </c>
      <c r="D1744" t="s">
        <v>1677</v>
      </c>
      <c r="E1744" t="s">
        <v>1749</v>
      </c>
      <c r="F1744" s="4">
        <v>1</v>
      </c>
      <c r="G1744">
        <v>24.13</v>
      </c>
      <c r="H1744">
        <v>0</v>
      </c>
      <c r="I1744" t="s">
        <v>1807</v>
      </c>
      <c r="J1744">
        <v>24.13</v>
      </c>
      <c r="K1744" t="s">
        <v>921</v>
      </c>
      <c r="L1744">
        <v>29</v>
      </c>
      <c r="M1744" t="str">
        <v>Male</v>
      </c>
      <c r="N1744" t="str">
        <f>VLOOKUP(C:C,Customer_Dim!B:I,5,1)</f>
        <v>North Daniel</v>
      </c>
      <c r="O1744" t="str">
        <f>VLOOKUP(C:C,Customer_Dim!B:I,6,1)</f>
        <v>Louisiana</v>
      </c>
      <c r="P1744" t="str">
        <f>VLOOKUP(C:C,Customer_Dim!B:I,7,1)</f>
        <v>USA</v>
      </c>
      <c r="Q1744" t="str">
        <f>VLOOKUP(C:C,Customer_Dim!B:I,8,1)</f>
        <v>Platinum</v>
      </c>
      <c r="S1744">
        <v>1</v>
      </c>
      <c r="T1744">
        <v>24.13</v>
      </c>
      <c r="U1744">
        <v>0</v>
      </c>
      <c r="V1744">
        <v>24.13</v>
      </c>
      <c r="X1744" s="4">
        <v>1</v>
      </c>
      <c r="Y1744">
        <v>24.13</v>
      </c>
      <c r="Z1744">
        <v>0</v>
      </c>
      <c r="AA1744">
        <v>24.13</v>
      </c>
    </row>
    <row r="1745" spans="1:27" x14ac:dyDescent="0.3">
      <c r="A1745" t="s">
        <v>3552</v>
      </c>
      <c r="B1745" s="2">
        <v>45355</v>
      </c>
      <c r="C1745" t="s">
        <v>1126</v>
      </c>
      <c r="D1745" t="s">
        <v>1613</v>
      </c>
      <c r="E1745" t="s">
        <v>1749</v>
      </c>
      <c r="F1745" s="4">
        <v>3</v>
      </c>
      <c r="G1745">
        <v>239.54</v>
      </c>
      <c r="H1745">
        <v>0.28999999999999998</v>
      </c>
      <c r="I1745" t="s">
        <v>1812</v>
      </c>
      <c r="J1745">
        <v>510.22019999999998</v>
      </c>
      <c r="K1745" t="s">
        <v>1127</v>
      </c>
      <c r="L1745">
        <v>63</v>
      </c>
      <c r="M1745" t="str">
        <v>Female</v>
      </c>
      <c r="N1745" t="str">
        <f>VLOOKUP(C:C,Customer_Dim!B:I,5,1)</f>
        <v>Lake Johnside</v>
      </c>
      <c r="O1745" t="str">
        <f>VLOOKUP(C:C,Customer_Dim!B:I,6,1)</f>
        <v>Arizona</v>
      </c>
      <c r="P1745" t="str">
        <f>VLOOKUP(C:C,Customer_Dim!B:I,7,1)</f>
        <v>USA</v>
      </c>
      <c r="Q1745" t="str">
        <f>VLOOKUP(C:C,Customer_Dim!B:I,8,1)</f>
        <v>Bronze</v>
      </c>
      <c r="S1745">
        <v>3</v>
      </c>
      <c r="T1745">
        <v>239.54</v>
      </c>
      <c r="U1745">
        <v>0.28999999999999998</v>
      </c>
      <c r="V1745">
        <v>510.22019999999998</v>
      </c>
      <c r="X1745" s="4">
        <v>3</v>
      </c>
      <c r="Y1745">
        <v>239.54</v>
      </c>
      <c r="Z1745">
        <v>0.28999999999999998</v>
      </c>
      <c r="AA1745">
        <v>510.22019999999998</v>
      </c>
    </row>
    <row r="1746" spans="1:27" x14ac:dyDescent="0.3">
      <c r="A1746" t="s">
        <v>3553</v>
      </c>
      <c r="B1746" s="2">
        <v>45244</v>
      </c>
      <c r="C1746" t="s">
        <v>1467</v>
      </c>
      <c r="D1746" t="s">
        <v>1623</v>
      </c>
      <c r="E1746" t="s">
        <v>1782</v>
      </c>
      <c r="F1746" s="4">
        <v>1</v>
      </c>
      <c r="G1746">
        <v>588.53</v>
      </c>
      <c r="H1746">
        <v>0.1</v>
      </c>
      <c r="I1746" t="s">
        <v>1807</v>
      </c>
      <c r="J1746">
        <v>529.67700000000002</v>
      </c>
      <c r="K1746" t="s">
        <v>1468</v>
      </c>
      <c r="L1746">
        <v>48</v>
      </c>
      <c r="M1746" t="str">
        <v>Male</v>
      </c>
      <c r="N1746" t="str">
        <f>VLOOKUP(C:C,Customer_Dim!B:I,5,1)</f>
        <v>West Tylerfort</v>
      </c>
      <c r="O1746" t="str">
        <f>VLOOKUP(C:C,Customer_Dim!B:I,6,1)</f>
        <v>Kentucky</v>
      </c>
      <c r="P1746" t="str">
        <f>VLOOKUP(C:C,Customer_Dim!B:I,7,1)</f>
        <v>USA</v>
      </c>
      <c r="Q1746" t="str">
        <f>VLOOKUP(C:C,Customer_Dim!B:I,8,1)</f>
        <v>Platinum</v>
      </c>
      <c r="S1746">
        <v>1</v>
      </c>
      <c r="T1746">
        <v>588.53</v>
      </c>
      <c r="U1746">
        <v>0.1</v>
      </c>
      <c r="V1746">
        <v>529.67700000000002</v>
      </c>
      <c r="X1746" s="4">
        <v>1</v>
      </c>
      <c r="Y1746">
        <v>588.53</v>
      </c>
      <c r="Z1746">
        <v>0.1</v>
      </c>
      <c r="AA1746">
        <v>529.67700000000002</v>
      </c>
    </row>
    <row r="1747" spans="1:27" x14ac:dyDescent="0.3">
      <c r="A1747" t="s">
        <v>3554</v>
      </c>
      <c r="B1747" s="2">
        <v>45863</v>
      </c>
      <c r="C1747" t="s">
        <v>906</v>
      </c>
      <c r="D1747" t="s">
        <v>1651</v>
      </c>
      <c r="E1747" t="s">
        <v>1784</v>
      </c>
      <c r="F1747" s="4">
        <v>1</v>
      </c>
      <c r="G1747">
        <v>145.96</v>
      </c>
      <c r="H1747">
        <v>0.3</v>
      </c>
      <c r="I1747" t="s">
        <v>1807</v>
      </c>
      <c r="J1747">
        <v>102.172</v>
      </c>
      <c r="K1747" t="s">
        <v>907</v>
      </c>
      <c r="L1747">
        <v>45</v>
      </c>
      <c r="M1747" t="str">
        <v>Male</v>
      </c>
      <c r="N1747" t="str">
        <f>VLOOKUP(C:C,Customer_Dim!B:I,5,1)</f>
        <v>North Joseside</v>
      </c>
      <c r="O1747" t="str">
        <f>VLOOKUP(C:C,Customer_Dim!B:I,6,1)</f>
        <v>Connecticut</v>
      </c>
      <c r="P1747" t="str">
        <f>VLOOKUP(C:C,Customer_Dim!B:I,7,1)</f>
        <v>USA</v>
      </c>
      <c r="Q1747" t="str">
        <f>VLOOKUP(C:C,Customer_Dim!B:I,8,1)</f>
        <v>Gold</v>
      </c>
      <c r="S1747">
        <v>1</v>
      </c>
      <c r="T1747">
        <v>145.96</v>
      </c>
      <c r="U1747">
        <v>0.3</v>
      </c>
      <c r="V1747">
        <v>102.172</v>
      </c>
      <c r="X1747" s="4">
        <v>1</v>
      </c>
      <c r="Y1747">
        <v>145.96</v>
      </c>
      <c r="Z1747">
        <v>0.3</v>
      </c>
      <c r="AA1747">
        <v>102.172</v>
      </c>
    </row>
    <row r="1748" spans="1:27" x14ac:dyDescent="0.3">
      <c r="A1748" t="s">
        <v>3555</v>
      </c>
      <c r="B1748" s="2">
        <v>45573</v>
      </c>
      <c r="C1748" t="s">
        <v>355</v>
      </c>
      <c r="D1748" t="s">
        <v>1671</v>
      </c>
      <c r="E1748" t="s">
        <v>1752</v>
      </c>
      <c r="F1748" s="4">
        <v>4</v>
      </c>
      <c r="G1748">
        <v>640.91</v>
      </c>
      <c r="H1748">
        <v>0.06</v>
      </c>
      <c r="I1748" t="s">
        <v>1807</v>
      </c>
      <c r="J1748">
        <v>2409.8216000000002</v>
      </c>
      <c r="K1748" t="s">
        <v>356</v>
      </c>
      <c r="L1748">
        <v>34</v>
      </c>
      <c r="M1748" t="str">
        <v>Female</v>
      </c>
      <c r="N1748" t="str">
        <f>VLOOKUP(C:C,Customer_Dim!B:I,5,1)</f>
        <v>Singletonmouth</v>
      </c>
      <c r="O1748" t="str">
        <f>VLOOKUP(C:C,Customer_Dim!B:I,6,1)</f>
        <v>Utah</v>
      </c>
      <c r="P1748" t="str">
        <f>VLOOKUP(C:C,Customer_Dim!B:I,7,1)</f>
        <v>USA</v>
      </c>
      <c r="Q1748" t="str">
        <f>VLOOKUP(C:C,Customer_Dim!B:I,8,1)</f>
        <v>Gold</v>
      </c>
      <c r="S1748">
        <v>4</v>
      </c>
      <c r="T1748">
        <v>640.91</v>
      </c>
      <c r="U1748">
        <v>0.06</v>
      </c>
      <c r="V1748">
        <v>2409.8216000000002</v>
      </c>
      <c r="X1748" s="4">
        <v>4</v>
      </c>
      <c r="Y1748">
        <v>640.91</v>
      </c>
      <c r="Z1748">
        <v>0.06</v>
      </c>
      <c r="AA1748">
        <v>2409.8216000000002</v>
      </c>
    </row>
    <row r="1749" spans="1:27" x14ac:dyDescent="0.3">
      <c r="A1749" t="s">
        <v>3556</v>
      </c>
      <c r="B1749" s="2">
        <v>45792</v>
      </c>
      <c r="C1749" t="s">
        <v>163</v>
      </c>
      <c r="D1749" t="s">
        <v>1659</v>
      </c>
      <c r="E1749" t="s">
        <v>1775</v>
      </c>
      <c r="F1749" s="4">
        <v>3</v>
      </c>
      <c r="G1749">
        <v>773.86</v>
      </c>
      <c r="H1749">
        <v>0.22</v>
      </c>
      <c r="I1749" t="s">
        <v>1807</v>
      </c>
      <c r="J1749">
        <v>1810.8324</v>
      </c>
      <c r="K1749" t="s">
        <v>164</v>
      </c>
      <c r="L1749">
        <v>45</v>
      </c>
      <c r="M1749" t="str">
        <v>Male</v>
      </c>
      <c r="N1749" t="str">
        <f>VLOOKUP(C:C,Customer_Dim!B:I,5,1)</f>
        <v>Ryanburgh</v>
      </c>
      <c r="O1749" t="str">
        <f>VLOOKUP(C:C,Customer_Dim!B:I,6,1)</f>
        <v>Connecticut</v>
      </c>
      <c r="P1749" t="str">
        <f>VLOOKUP(C:C,Customer_Dim!B:I,7,1)</f>
        <v>USA</v>
      </c>
      <c r="Q1749" t="str">
        <f>VLOOKUP(C:C,Customer_Dim!B:I,8,1)</f>
        <v>Platinum</v>
      </c>
      <c r="S1749">
        <v>3</v>
      </c>
      <c r="T1749">
        <v>773.86</v>
      </c>
      <c r="U1749">
        <v>0.22</v>
      </c>
      <c r="V1749">
        <v>1810.8324</v>
      </c>
      <c r="X1749" s="4">
        <v>3</v>
      </c>
      <c r="Y1749">
        <v>773.86</v>
      </c>
      <c r="Z1749">
        <v>0.22</v>
      </c>
      <c r="AA1749">
        <v>1810.8324</v>
      </c>
    </row>
    <row r="1750" spans="1:27" x14ac:dyDescent="0.3">
      <c r="A1750" t="s">
        <v>3557</v>
      </c>
      <c r="B1750" s="2">
        <v>45744</v>
      </c>
      <c r="C1750" t="s">
        <v>1412</v>
      </c>
      <c r="D1750" t="s">
        <v>1593</v>
      </c>
      <c r="E1750" t="s">
        <v>1784</v>
      </c>
      <c r="F1750" s="4">
        <v>2</v>
      </c>
      <c r="G1750">
        <v>31.28</v>
      </c>
      <c r="H1750">
        <v>0.2</v>
      </c>
      <c r="I1750" t="s">
        <v>1812</v>
      </c>
      <c r="J1750">
        <v>50.048000000000002</v>
      </c>
      <c r="K1750" t="s">
        <v>1413</v>
      </c>
      <c r="L1750">
        <v>45</v>
      </c>
      <c r="M1750" t="str">
        <v>Female</v>
      </c>
      <c r="N1750" t="str">
        <f>VLOOKUP(C:C,Customer_Dim!B:I,5,1)</f>
        <v>Port Anthony</v>
      </c>
      <c r="O1750" t="str">
        <f>VLOOKUP(C:C,Customer_Dim!B:I,6,1)</f>
        <v>Connecticut</v>
      </c>
      <c r="P1750" t="str">
        <f>VLOOKUP(C:C,Customer_Dim!B:I,7,1)</f>
        <v>USA</v>
      </c>
      <c r="Q1750" t="str">
        <f>VLOOKUP(C:C,Customer_Dim!B:I,8,1)</f>
        <v>Bronze</v>
      </c>
      <c r="S1750">
        <v>2</v>
      </c>
      <c r="T1750">
        <v>31.28</v>
      </c>
      <c r="U1750">
        <v>0.2</v>
      </c>
      <c r="V1750">
        <v>50.048000000000002</v>
      </c>
      <c r="X1750" s="4">
        <v>2</v>
      </c>
      <c r="Y1750">
        <v>31.28</v>
      </c>
      <c r="Z1750">
        <v>0.2</v>
      </c>
      <c r="AA1750">
        <v>50.048000000000002</v>
      </c>
    </row>
    <row r="1751" spans="1:27" x14ac:dyDescent="0.3">
      <c r="A1751" t="s">
        <v>3558</v>
      </c>
      <c r="B1751" s="2">
        <v>45842</v>
      </c>
      <c r="C1751" t="s">
        <v>1153</v>
      </c>
      <c r="D1751" t="s">
        <v>1695</v>
      </c>
      <c r="E1751" t="s">
        <v>1759</v>
      </c>
      <c r="F1751" s="4">
        <v>4</v>
      </c>
      <c r="G1751">
        <v>389.22</v>
      </c>
      <c r="H1751">
        <v>0.18</v>
      </c>
      <c r="I1751" t="s">
        <v>1807</v>
      </c>
      <c r="J1751">
        <v>1276.6415999999999</v>
      </c>
      <c r="K1751" t="s">
        <v>1154</v>
      </c>
      <c r="L1751">
        <v>60</v>
      </c>
      <c r="M1751" t="str">
        <v>Male</v>
      </c>
      <c r="N1751" t="str">
        <f>VLOOKUP(C:C,Customer_Dim!B:I,5,1)</f>
        <v>Simpsonfort</v>
      </c>
      <c r="O1751" t="str">
        <f>VLOOKUP(C:C,Customer_Dim!B:I,6,1)</f>
        <v>Maine</v>
      </c>
      <c r="P1751" t="str">
        <f>VLOOKUP(C:C,Customer_Dim!B:I,7,1)</f>
        <v>USA</v>
      </c>
      <c r="Q1751" t="str">
        <f>VLOOKUP(C:C,Customer_Dim!B:I,8,1)</f>
        <v>Gold</v>
      </c>
      <c r="S1751">
        <v>4</v>
      </c>
      <c r="T1751">
        <v>389.22</v>
      </c>
      <c r="U1751">
        <v>0.18</v>
      </c>
      <c r="V1751">
        <v>1276.6415999999999</v>
      </c>
      <c r="X1751" s="4">
        <v>4</v>
      </c>
      <c r="Y1751">
        <v>389.22</v>
      </c>
      <c r="Z1751">
        <v>0.18</v>
      </c>
      <c r="AA1751">
        <v>1276.6415999999999</v>
      </c>
    </row>
    <row r="1752" spans="1:27" x14ac:dyDescent="0.3">
      <c r="A1752" t="s">
        <v>3559</v>
      </c>
      <c r="B1752" s="2">
        <v>45502</v>
      </c>
      <c r="C1752" t="s">
        <v>71</v>
      </c>
      <c r="D1752" t="s">
        <v>1659</v>
      </c>
      <c r="E1752" t="s">
        <v>1784</v>
      </c>
      <c r="F1752" s="4">
        <v>3</v>
      </c>
      <c r="G1752">
        <v>543.44000000000005</v>
      </c>
      <c r="H1752">
        <v>0.13</v>
      </c>
      <c r="I1752" t="s">
        <v>1809</v>
      </c>
      <c r="J1752">
        <v>1418.3784000000001</v>
      </c>
      <c r="K1752" t="s">
        <v>72</v>
      </c>
      <c r="L1752">
        <v>24</v>
      </c>
      <c r="M1752" t="str">
        <v>Female</v>
      </c>
      <c r="N1752" t="str">
        <f>VLOOKUP(C:C,Customer_Dim!B:I,5,1)</f>
        <v>Lawsonhaven</v>
      </c>
      <c r="O1752" t="str">
        <f>VLOOKUP(C:C,Customer_Dim!B:I,6,1)</f>
        <v>Washington</v>
      </c>
      <c r="P1752" t="str">
        <f>VLOOKUP(C:C,Customer_Dim!B:I,7,1)</f>
        <v>USA</v>
      </c>
      <c r="Q1752" t="str">
        <f>VLOOKUP(C:C,Customer_Dim!B:I,8,1)</f>
        <v>Platinum</v>
      </c>
      <c r="S1752">
        <v>3</v>
      </c>
      <c r="T1752">
        <v>543.44000000000005</v>
      </c>
      <c r="U1752">
        <v>0.13</v>
      </c>
      <c r="V1752">
        <v>1418.3784000000001</v>
      </c>
      <c r="X1752" s="4">
        <v>3</v>
      </c>
      <c r="Y1752">
        <v>543.44000000000005</v>
      </c>
      <c r="Z1752">
        <v>0.13</v>
      </c>
      <c r="AA1752">
        <v>1418.3784000000001</v>
      </c>
    </row>
    <row r="1753" spans="1:27" x14ac:dyDescent="0.3">
      <c r="A1753" t="s">
        <v>3560</v>
      </c>
      <c r="B1753" s="2">
        <v>45296</v>
      </c>
      <c r="C1753" t="s">
        <v>814</v>
      </c>
      <c r="D1753" t="s">
        <v>1725</v>
      </c>
      <c r="E1753" t="s">
        <v>1796</v>
      </c>
      <c r="F1753" s="4">
        <v>4</v>
      </c>
      <c r="G1753">
        <v>715.42</v>
      </c>
      <c r="H1753">
        <v>0.28999999999999998</v>
      </c>
      <c r="I1753" t="s">
        <v>1809</v>
      </c>
      <c r="J1753">
        <v>2031.7927999999999</v>
      </c>
      <c r="K1753" t="s">
        <v>815</v>
      </c>
      <c r="L1753">
        <v>24</v>
      </c>
      <c r="M1753" t="str">
        <v>Female</v>
      </c>
      <c r="N1753" t="str">
        <f>VLOOKUP(C:C,Customer_Dim!B:I,5,1)</f>
        <v>Karenmouth</v>
      </c>
      <c r="O1753" t="str">
        <f>VLOOKUP(C:C,Customer_Dim!B:I,6,1)</f>
        <v>Massachusetts</v>
      </c>
      <c r="P1753" t="str">
        <f>VLOOKUP(C:C,Customer_Dim!B:I,7,1)</f>
        <v>USA</v>
      </c>
      <c r="Q1753" t="str">
        <f>VLOOKUP(C:C,Customer_Dim!B:I,8,1)</f>
        <v>Silver</v>
      </c>
      <c r="S1753">
        <v>4</v>
      </c>
      <c r="T1753">
        <v>715.42</v>
      </c>
      <c r="U1753">
        <v>0.28999999999999998</v>
      </c>
      <c r="V1753">
        <v>2031.7927999999999</v>
      </c>
      <c r="X1753" s="4">
        <v>4</v>
      </c>
      <c r="Y1753">
        <v>715.42</v>
      </c>
      <c r="Z1753">
        <v>0.28999999999999998</v>
      </c>
      <c r="AA1753">
        <v>2031.7927999999999</v>
      </c>
    </row>
    <row r="1754" spans="1:27" x14ac:dyDescent="0.3">
      <c r="A1754" t="s">
        <v>3561</v>
      </c>
      <c r="B1754" s="2">
        <v>45886</v>
      </c>
      <c r="C1754" t="s">
        <v>192</v>
      </c>
      <c r="D1754" t="s">
        <v>1555</v>
      </c>
      <c r="E1754" t="s">
        <v>1752</v>
      </c>
      <c r="F1754" s="4">
        <v>4</v>
      </c>
      <c r="G1754">
        <v>676.14</v>
      </c>
      <c r="H1754">
        <v>0.11</v>
      </c>
      <c r="I1754" t="s">
        <v>1812</v>
      </c>
      <c r="J1754">
        <v>2407.0583999999999</v>
      </c>
      <c r="K1754" t="s">
        <v>193</v>
      </c>
      <c r="L1754">
        <v>55</v>
      </c>
      <c r="M1754" t="str">
        <v>Male</v>
      </c>
      <c r="N1754" t="str">
        <f>VLOOKUP(C:C,Customer_Dim!B:I,5,1)</f>
        <v>New Julia</v>
      </c>
      <c r="O1754" t="str">
        <f>VLOOKUP(C:C,Customer_Dim!B:I,6,1)</f>
        <v>West Virginia</v>
      </c>
      <c r="P1754" t="str">
        <f>VLOOKUP(C:C,Customer_Dim!B:I,7,1)</f>
        <v>USA</v>
      </c>
      <c r="Q1754" t="str">
        <f>VLOOKUP(C:C,Customer_Dim!B:I,8,1)</f>
        <v>Gold</v>
      </c>
      <c r="S1754">
        <v>4</v>
      </c>
      <c r="T1754">
        <v>676.14</v>
      </c>
      <c r="U1754">
        <v>0.11</v>
      </c>
      <c r="V1754">
        <v>2407.0583999999999</v>
      </c>
      <c r="X1754" s="4">
        <v>4</v>
      </c>
      <c r="Y1754">
        <v>676.14</v>
      </c>
      <c r="Z1754">
        <v>0.11</v>
      </c>
      <c r="AA1754">
        <v>2407.0583999999999</v>
      </c>
    </row>
    <row r="1755" spans="1:27" x14ac:dyDescent="0.3">
      <c r="A1755" t="s">
        <v>3562</v>
      </c>
      <c r="B1755" s="2">
        <v>45425</v>
      </c>
      <c r="C1755" t="s">
        <v>316</v>
      </c>
      <c r="D1755" t="s">
        <v>1609</v>
      </c>
      <c r="E1755" t="s">
        <v>1740</v>
      </c>
      <c r="F1755" s="4">
        <v>4</v>
      </c>
      <c r="G1755">
        <v>352.72</v>
      </c>
      <c r="H1755">
        <v>0.25</v>
      </c>
      <c r="I1755" t="s">
        <v>1807</v>
      </c>
      <c r="J1755">
        <v>1058.1600000000001</v>
      </c>
      <c r="K1755" t="s">
        <v>317</v>
      </c>
      <c r="L1755">
        <v>58</v>
      </c>
      <c r="M1755" t="str">
        <v>Female</v>
      </c>
      <c r="N1755" t="str">
        <f>VLOOKUP(C:C,Customer_Dim!B:I,5,1)</f>
        <v>New Gabrielleville</v>
      </c>
      <c r="O1755" t="str">
        <f>VLOOKUP(C:C,Customer_Dim!B:I,6,1)</f>
        <v>Wisconsin</v>
      </c>
      <c r="P1755" t="str">
        <f>VLOOKUP(C:C,Customer_Dim!B:I,7,1)</f>
        <v>USA</v>
      </c>
      <c r="Q1755" t="str">
        <f>VLOOKUP(C:C,Customer_Dim!B:I,8,1)</f>
        <v>Platinum</v>
      </c>
      <c r="S1755">
        <v>4</v>
      </c>
      <c r="T1755">
        <v>352.72</v>
      </c>
      <c r="U1755">
        <v>0.25</v>
      </c>
      <c r="V1755">
        <v>1058.1600000000001</v>
      </c>
      <c r="X1755" s="4">
        <v>4</v>
      </c>
      <c r="Y1755">
        <v>352.72</v>
      </c>
      <c r="Z1755">
        <v>0.25</v>
      </c>
      <c r="AA1755">
        <v>1058.1600000000001</v>
      </c>
    </row>
    <row r="1756" spans="1:27" x14ac:dyDescent="0.3">
      <c r="A1756" t="s">
        <v>3563</v>
      </c>
      <c r="B1756" s="2">
        <v>45797</v>
      </c>
      <c r="C1756" t="s">
        <v>568</v>
      </c>
      <c r="D1756" t="s">
        <v>1553</v>
      </c>
      <c r="E1756" t="s">
        <v>1777</v>
      </c>
      <c r="F1756" s="4">
        <v>1</v>
      </c>
      <c r="G1756">
        <v>470.18</v>
      </c>
      <c r="H1756">
        <v>0.19</v>
      </c>
      <c r="I1756" t="s">
        <v>1809</v>
      </c>
      <c r="J1756">
        <v>380.84580000000011</v>
      </c>
      <c r="K1756" t="s">
        <v>569</v>
      </c>
      <c r="L1756">
        <v>26</v>
      </c>
      <c r="M1756" t="str">
        <v>Female</v>
      </c>
      <c r="N1756" t="str">
        <f>VLOOKUP(C:C,Customer_Dim!B:I,5,1)</f>
        <v>New William</v>
      </c>
      <c r="O1756" t="str">
        <f>VLOOKUP(C:C,Customer_Dim!B:I,6,1)</f>
        <v>Iowa</v>
      </c>
      <c r="P1756" t="str">
        <f>VLOOKUP(C:C,Customer_Dim!B:I,7,1)</f>
        <v>USA</v>
      </c>
      <c r="Q1756" t="str">
        <f>VLOOKUP(C:C,Customer_Dim!B:I,8,1)</f>
        <v>Platinum</v>
      </c>
      <c r="S1756">
        <v>1</v>
      </c>
      <c r="T1756">
        <v>470.18</v>
      </c>
      <c r="U1756">
        <v>0.19</v>
      </c>
      <c r="V1756">
        <v>380.84580000000011</v>
      </c>
      <c r="X1756" s="4">
        <v>1</v>
      </c>
      <c r="Y1756">
        <v>470.18</v>
      </c>
      <c r="Z1756">
        <v>0.19</v>
      </c>
      <c r="AA1756">
        <v>380.84580000000011</v>
      </c>
    </row>
    <row r="1757" spans="1:27" x14ac:dyDescent="0.3">
      <c r="A1757" t="s">
        <v>3564</v>
      </c>
      <c r="B1757" s="2">
        <v>45898</v>
      </c>
      <c r="C1757" t="s">
        <v>734</v>
      </c>
      <c r="D1757" t="s">
        <v>1663</v>
      </c>
      <c r="E1757" t="s">
        <v>1775</v>
      </c>
      <c r="F1757" s="4">
        <v>1</v>
      </c>
      <c r="G1757">
        <v>891.79</v>
      </c>
      <c r="H1757">
        <v>0.03</v>
      </c>
      <c r="I1757" t="s">
        <v>1807</v>
      </c>
      <c r="J1757">
        <v>865.03629999999998</v>
      </c>
      <c r="K1757" t="s">
        <v>735</v>
      </c>
      <c r="L1757">
        <v>22</v>
      </c>
      <c r="M1757" t="str">
        <v>Female</v>
      </c>
      <c r="N1757" t="str">
        <f>VLOOKUP(C:C,Customer_Dim!B:I,5,1)</f>
        <v>Aaronmouth</v>
      </c>
      <c r="O1757" t="str">
        <f>VLOOKUP(C:C,Customer_Dim!B:I,6,1)</f>
        <v>Florida</v>
      </c>
      <c r="P1757" t="str">
        <f>VLOOKUP(C:C,Customer_Dim!B:I,7,1)</f>
        <v>USA</v>
      </c>
      <c r="Q1757" t="str">
        <f>VLOOKUP(C:C,Customer_Dim!B:I,8,1)</f>
        <v>Bronze</v>
      </c>
      <c r="S1757">
        <v>1</v>
      </c>
      <c r="T1757">
        <v>891.79</v>
      </c>
      <c r="U1757">
        <v>0.03</v>
      </c>
      <c r="V1757">
        <v>865.03629999999998</v>
      </c>
      <c r="X1757" s="4">
        <v>1</v>
      </c>
      <c r="Y1757">
        <v>891.79</v>
      </c>
      <c r="Z1757">
        <v>0.03</v>
      </c>
      <c r="AA1757">
        <v>865.03629999999998</v>
      </c>
    </row>
    <row r="1758" spans="1:27" x14ac:dyDescent="0.3">
      <c r="A1758" t="s">
        <v>3565</v>
      </c>
      <c r="B1758" s="2">
        <v>45390</v>
      </c>
      <c r="C1758" t="s">
        <v>1080</v>
      </c>
      <c r="D1758" t="s">
        <v>1709</v>
      </c>
      <c r="E1758" t="s">
        <v>1790</v>
      </c>
      <c r="F1758" s="4">
        <v>2</v>
      </c>
      <c r="G1758">
        <v>433.07</v>
      </c>
      <c r="H1758">
        <v>0.25</v>
      </c>
      <c r="I1758" t="s">
        <v>1812</v>
      </c>
      <c r="J1758">
        <v>649.60500000000002</v>
      </c>
      <c r="K1758" t="s">
        <v>1081</v>
      </c>
      <c r="L1758">
        <v>31</v>
      </c>
      <c r="M1758" t="str">
        <v>Male</v>
      </c>
      <c r="N1758" t="str">
        <f>VLOOKUP(C:C,Customer_Dim!B:I,5,1)</f>
        <v>Shannonview</v>
      </c>
      <c r="O1758" t="str">
        <f>VLOOKUP(C:C,Customer_Dim!B:I,6,1)</f>
        <v>Pennsylvania</v>
      </c>
      <c r="P1758" t="str">
        <f>VLOOKUP(C:C,Customer_Dim!B:I,7,1)</f>
        <v>USA</v>
      </c>
      <c r="Q1758" t="str">
        <f>VLOOKUP(C:C,Customer_Dim!B:I,8,1)</f>
        <v>Silver</v>
      </c>
      <c r="S1758">
        <v>2</v>
      </c>
      <c r="T1758">
        <v>433.07</v>
      </c>
      <c r="U1758">
        <v>0.25</v>
      </c>
      <c r="V1758">
        <v>649.60500000000002</v>
      </c>
      <c r="X1758" s="4">
        <v>2</v>
      </c>
      <c r="Y1758">
        <v>433.07</v>
      </c>
      <c r="Z1758">
        <v>0.25</v>
      </c>
      <c r="AA1758">
        <v>649.60500000000002</v>
      </c>
    </row>
    <row r="1759" spans="1:27" x14ac:dyDescent="0.3">
      <c r="A1759" t="s">
        <v>3566</v>
      </c>
      <c r="B1759" s="2">
        <v>45355</v>
      </c>
      <c r="C1759" t="s">
        <v>59</v>
      </c>
      <c r="D1759" t="s">
        <v>1663</v>
      </c>
      <c r="E1759" t="s">
        <v>1796</v>
      </c>
      <c r="F1759" s="4">
        <v>3</v>
      </c>
      <c r="G1759">
        <v>626.71</v>
      </c>
      <c r="H1759">
        <v>7.0000000000000007E-2</v>
      </c>
      <c r="I1759" t="s">
        <v>1812</v>
      </c>
      <c r="J1759">
        <v>1748.5209</v>
      </c>
      <c r="K1759" t="s">
        <v>60</v>
      </c>
      <c r="L1759">
        <v>32</v>
      </c>
      <c r="M1759" t="str">
        <v>Female</v>
      </c>
      <c r="N1759" t="str">
        <f>VLOOKUP(C:C,Customer_Dim!B:I,5,1)</f>
        <v>North Kathryn</v>
      </c>
      <c r="O1759" t="str">
        <f>VLOOKUP(C:C,Customer_Dim!B:I,6,1)</f>
        <v>Kansas</v>
      </c>
      <c r="P1759" t="str">
        <f>VLOOKUP(C:C,Customer_Dim!B:I,7,1)</f>
        <v>USA</v>
      </c>
      <c r="Q1759" t="str">
        <f>VLOOKUP(C:C,Customer_Dim!B:I,8,1)</f>
        <v>Platinum</v>
      </c>
      <c r="S1759">
        <v>3</v>
      </c>
      <c r="T1759">
        <v>626.71</v>
      </c>
      <c r="U1759">
        <v>7.0000000000000007E-2</v>
      </c>
      <c r="V1759">
        <v>1748.5209</v>
      </c>
      <c r="X1759" s="4">
        <v>3</v>
      </c>
      <c r="Y1759">
        <v>626.71</v>
      </c>
      <c r="Z1759">
        <v>7.0000000000000007E-2</v>
      </c>
      <c r="AA1759">
        <v>1748.5209</v>
      </c>
    </row>
    <row r="1760" spans="1:27" x14ac:dyDescent="0.3">
      <c r="A1760" t="s">
        <v>3567</v>
      </c>
      <c r="B1760" s="2">
        <v>45916</v>
      </c>
      <c r="C1760" t="s">
        <v>275</v>
      </c>
      <c r="D1760" t="s">
        <v>1603</v>
      </c>
      <c r="E1760" t="s">
        <v>1735</v>
      </c>
      <c r="F1760" s="4">
        <v>2</v>
      </c>
      <c r="G1760">
        <v>324.18</v>
      </c>
      <c r="H1760">
        <v>0.06</v>
      </c>
      <c r="I1760" t="s">
        <v>1812</v>
      </c>
      <c r="J1760">
        <v>609.45839999999998</v>
      </c>
      <c r="K1760" t="s">
        <v>276</v>
      </c>
      <c r="L1760">
        <v>29</v>
      </c>
      <c r="M1760" t="str">
        <v>Male</v>
      </c>
      <c r="N1760" t="str">
        <f>VLOOKUP(C:C,Customer_Dim!B:I,5,1)</f>
        <v>Rodrigueztown</v>
      </c>
      <c r="O1760" t="str">
        <f>VLOOKUP(C:C,Customer_Dim!B:I,6,1)</f>
        <v>Oklahoma</v>
      </c>
      <c r="P1760" t="str">
        <f>VLOOKUP(C:C,Customer_Dim!B:I,7,1)</f>
        <v>USA</v>
      </c>
      <c r="Q1760" t="str">
        <f>VLOOKUP(C:C,Customer_Dim!B:I,8,1)</f>
        <v>Gold</v>
      </c>
      <c r="S1760">
        <v>2</v>
      </c>
      <c r="T1760">
        <v>324.18</v>
      </c>
      <c r="U1760">
        <v>0.06</v>
      </c>
      <c r="V1760">
        <v>609.45839999999998</v>
      </c>
      <c r="X1760" s="4">
        <v>2</v>
      </c>
      <c r="Y1760">
        <v>324.18</v>
      </c>
      <c r="Z1760">
        <v>0.06</v>
      </c>
      <c r="AA1760">
        <v>609.45839999999998</v>
      </c>
    </row>
    <row r="1761" spans="1:27" x14ac:dyDescent="0.3">
      <c r="A1761" t="s">
        <v>3568</v>
      </c>
      <c r="B1761" s="2">
        <v>45448</v>
      </c>
      <c r="C1761" t="s">
        <v>63</v>
      </c>
      <c r="D1761" t="s">
        <v>1559</v>
      </c>
      <c r="E1761" t="s">
        <v>1790</v>
      </c>
      <c r="F1761" s="4">
        <v>4</v>
      </c>
      <c r="G1761">
        <v>839.74</v>
      </c>
      <c r="H1761">
        <v>0.13</v>
      </c>
      <c r="I1761" t="s">
        <v>1809</v>
      </c>
      <c r="J1761">
        <v>2922.2952</v>
      </c>
      <c r="K1761" t="s">
        <v>64</v>
      </c>
      <c r="L1761">
        <v>53</v>
      </c>
      <c r="M1761" t="str">
        <v>Female</v>
      </c>
      <c r="N1761" t="str">
        <f>VLOOKUP(C:C,Customer_Dim!B:I,5,1)</f>
        <v>New Becky</v>
      </c>
      <c r="O1761" t="str">
        <f>VLOOKUP(C:C,Customer_Dim!B:I,6,1)</f>
        <v>Montana</v>
      </c>
      <c r="P1761" t="str">
        <f>VLOOKUP(C:C,Customer_Dim!B:I,7,1)</f>
        <v>USA</v>
      </c>
      <c r="Q1761" t="str">
        <f>VLOOKUP(C:C,Customer_Dim!B:I,8,1)</f>
        <v>Silver</v>
      </c>
      <c r="S1761">
        <v>4</v>
      </c>
      <c r="T1761">
        <v>839.74</v>
      </c>
      <c r="U1761">
        <v>0.13</v>
      </c>
      <c r="V1761">
        <v>2922.2952</v>
      </c>
      <c r="X1761" s="4">
        <v>4</v>
      </c>
      <c r="Y1761">
        <v>839.74</v>
      </c>
      <c r="Z1761">
        <v>0.13</v>
      </c>
      <c r="AA1761">
        <v>2922.2952</v>
      </c>
    </row>
    <row r="1762" spans="1:27" x14ac:dyDescent="0.3">
      <c r="A1762" t="s">
        <v>3569</v>
      </c>
      <c r="B1762" s="2">
        <v>45402</v>
      </c>
      <c r="C1762" t="s">
        <v>518</v>
      </c>
      <c r="D1762" t="s">
        <v>1655</v>
      </c>
      <c r="E1762" t="s">
        <v>1784</v>
      </c>
      <c r="F1762" s="4">
        <v>3</v>
      </c>
      <c r="G1762">
        <v>252.63</v>
      </c>
      <c r="H1762">
        <v>0.28000000000000003</v>
      </c>
      <c r="I1762" t="s">
        <v>1807</v>
      </c>
      <c r="J1762">
        <v>545.68079999999998</v>
      </c>
      <c r="K1762" t="s">
        <v>519</v>
      </c>
      <c r="L1762">
        <v>59</v>
      </c>
      <c r="M1762" t="str">
        <v>Male</v>
      </c>
      <c r="N1762" t="str">
        <f>VLOOKUP(C:C,Customer_Dim!B:I,5,1)</f>
        <v>East Peterbury</v>
      </c>
      <c r="O1762" t="str">
        <f>VLOOKUP(C:C,Customer_Dim!B:I,6,1)</f>
        <v>North Dakota</v>
      </c>
      <c r="P1762" t="str">
        <f>VLOOKUP(C:C,Customer_Dim!B:I,7,1)</f>
        <v>USA</v>
      </c>
      <c r="Q1762" t="str">
        <f>VLOOKUP(C:C,Customer_Dim!B:I,8,1)</f>
        <v>Bronze</v>
      </c>
      <c r="S1762">
        <v>3</v>
      </c>
      <c r="T1762">
        <v>252.63</v>
      </c>
      <c r="U1762">
        <v>0.28000000000000003</v>
      </c>
      <c r="V1762">
        <v>545.68079999999998</v>
      </c>
      <c r="X1762" s="4">
        <v>3</v>
      </c>
      <c r="Y1762">
        <v>252.63</v>
      </c>
      <c r="Z1762">
        <v>0.28000000000000003</v>
      </c>
      <c r="AA1762">
        <v>545.68079999999998</v>
      </c>
    </row>
    <row r="1763" spans="1:27" x14ac:dyDescent="0.3">
      <c r="A1763" t="s">
        <v>3570</v>
      </c>
      <c r="B1763" s="2">
        <v>45581</v>
      </c>
      <c r="C1763" t="s">
        <v>808</v>
      </c>
      <c r="D1763" t="s">
        <v>1689</v>
      </c>
      <c r="E1763" t="s">
        <v>1796</v>
      </c>
      <c r="F1763" s="4">
        <v>2</v>
      </c>
      <c r="G1763">
        <v>60.53</v>
      </c>
      <c r="H1763">
        <v>0.18</v>
      </c>
      <c r="I1763" t="s">
        <v>1807</v>
      </c>
      <c r="J1763">
        <v>99.269200000000012</v>
      </c>
      <c r="K1763" t="s">
        <v>809</v>
      </c>
      <c r="L1763">
        <v>57</v>
      </c>
      <c r="M1763" t="str">
        <v>Male</v>
      </c>
      <c r="N1763" t="str">
        <f>VLOOKUP(C:C,Customer_Dim!B:I,5,1)</f>
        <v>Jasonton</v>
      </c>
      <c r="O1763" t="str">
        <f>VLOOKUP(C:C,Customer_Dim!B:I,6,1)</f>
        <v>Ohio</v>
      </c>
      <c r="P1763" t="str">
        <f>VLOOKUP(C:C,Customer_Dim!B:I,7,1)</f>
        <v>USA</v>
      </c>
      <c r="Q1763" t="str">
        <f>VLOOKUP(C:C,Customer_Dim!B:I,8,1)</f>
        <v>Gold</v>
      </c>
      <c r="S1763">
        <v>2</v>
      </c>
      <c r="T1763">
        <v>60.53</v>
      </c>
      <c r="U1763">
        <v>0.18</v>
      </c>
      <c r="V1763">
        <v>99.269200000000012</v>
      </c>
      <c r="X1763" s="4">
        <v>2</v>
      </c>
      <c r="Y1763">
        <v>60.53</v>
      </c>
      <c r="Z1763">
        <v>0.18</v>
      </c>
      <c r="AA1763">
        <v>99.269200000000012</v>
      </c>
    </row>
    <row r="1764" spans="1:27" x14ac:dyDescent="0.3">
      <c r="A1764" t="s">
        <v>3571</v>
      </c>
      <c r="B1764" s="2">
        <v>45610</v>
      </c>
      <c r="C1764" t="s">
        <v>202</v>
      </c>
      <c r="D1764" t="s">
        <v>1699</v>
      </c>
      <c r="E1764" t="s">
        <v>1780</v>
      </c>
      <c r="F1764" s="4">
        <v>4</v>
      </c>
      <c r="G1764">
        <v>341.95</v>
      </c>
      <c r="H1764">
        <v>0.25</v>
      </c>
      <c r="I1764" t="s">
        <v>1807</v>
      </c>
      <c r="J1764">
        <v>1025.8499999999999</v>
      </c>
      <c r="K1764" t="s">
        <v>203</v>
      </c>
      <c r="L1764">
        <v>56</v>
      </c>
      <c r="M1764" t="str">
        <v>Female</v>
      </c>
      <c r="N1764" t="str">
        <f>VLOOKUP(C:C,Customer_Dim!B:I,5,1)</f>
        <v>Christopherland</v>
      </c>
      <c r="O1764" t="str">
        <f>VLOOKUP(C:C,Customer_Dim!B:I,6,1)</f>
        <v>Oklahoma</v>
      </c>
      <c r="P1764" t="str">
        <f>VLOOKUP(C:C,Customer_Dim!B:I,7,1)</f>
        <v>USA</v>
      </c>
      <c r="Q1764" t="str">
        <f>VLOOKUP(C:C,Customer_Dim!B:I,8,1)</f>
        <v>Platinum</v>
      </c>
      <c r="S1764">
        <v>4</v>
      </c>
      <c r="T1764">
        <v>341.95</v>
      </c>
      <c r="U1764">
        <v>0.25</v>
      </c>
      <c r="V1764">
        <v>1025.8499999999999</v>
      </c>
      <c r="X1764" s="4">
        <v>4</v>
      </c>
      <c r="Y1764">
        <v>341.95</v>
      </c>
      <c r="Z1764">
        <v>0.25</v>
      </c>
      <c r="AA1764">
        <v>1025.8499999999999</v>
      </c>
    </row>
    <row r="1765" spans="1:27" x14ac:dyDescent="0.3">
      <c r="A1765" t="s">
        <v>3572</v>
      </c>
      <c r="B1765" s="2">
        <v>45438</v>
      </c>
      <c r="C1765" t="s">
        <v>891</v>
      </c>
      <c r="D1765" t="s">
        <v>1575</v>
      </c>
      <c r="E1765" t="s">
        <v>1787</v>
      </c>
      <c r="F1765" s="4">
        <v>4</v>
      </c>
      <c r="G1765">
        <v>300.12</v>
      </c>
      <c r="H1765">
        <v>0.05</v>
      </c>
      <c r="I1765" t="s">
        <v>1809</v>
      </c>
      <c r="J1765">
        <v>1140.4559999999999</v>
      </c>
      <c r="K1765" t="s">
        <v>892</v>
      </c>
      <c r="L1765">
        <v>54</v>
      </c>
      <c r="M1765" t="str">
        <v>Male</v>
      </c>
      <c r="N1765" t="str">
        <f>VLOOKUP(C:C,Customer_Dim!B:I,5,1)</f>
        <v>Garciaborough</v>
      </c>
      <c r="O1765" t="str">
        <f>VLOOKUP(C:C,Customer_Dim!B:I,6,1)</f>
        <v>Wyoming</v>
      </c>
      <c r="P1765" t="str">
        <f>VLOOKUP(C:C,Customer_Dim!B:I,7,1)</f>
        <v>USA</v>
      </c>
      <c r="Q1765" t="str">
        <f>VLOOKUP(C:C,Customer_Dim!B:I,8,1)</f>
        <v>Silver</v>
      </c>
      <c r="S1765">
        <v>4</v>
      </c>
      <c r="T1765">
        <v>300.12</v>
      </c>
      <c r="U1765">
        <v>0.05</v>
      </c>
      <c r="V1765">
        <v>1140.4559999999999</v>
      </c>
      <c r="X1765" s="4">
        <v>4</v>
      </c>
      <c r="Y1765">
        <v>300.12</v>
      </c>
      <c r="Z1765">
        <v>0.05</v>
      </c>
      <c r="AA1765">
        <v>1140.4559999999999</v>
      </c>
    </row>
    <row r="1766" spans="1:27" x14ac:dyDescent="0.3">
      <c r="A1766" t="s">
        <v>3573</v>
      </c>
      <c r="B1766" s="2">
        <v>45705</v>
      </c>
      <c r="C1766" t="s">
        <v>397</v>
      </c>
      <c r="D1766" t="s">
        <v>1587</v>
      </c>
      <c r="E1766" t="s">
        <v>1790</v>
      </c>
      <c r="F1766" s="4">
        <v>2</v>
      </c>
      <c r="G1766">
        <v>289.14</v>
      </c>
      <c r="H1766">
        <v>0.12</v>
      </c>
      <c r="I1766" t="s">
        <v>1812</v>
      </c>
      <c r="J1766">
        <v>508.88639999999998</v>
      </c>
      <c r="K1766" t="s">
        <v>398</v>
      </c>
      <c r="L1766">
        <v>18</v>
      </c>
      <c r="M1766" t="str">
        <v>Female</v>
      </c>
      <c r="N1766" t="str">
        <f>VLOOKUP(C:C,Customer_Dim!B:I,5,1)</f>
        <v>North Curtischester</v>
      </c>
      <c r="O1766" t="str">
        <f>VLOOKUP(C:C,Customer_Dim!B:I,6,1)</f>
        <v>North Dakota</v>
      </c>
      <c r="P1766" t="str">
        <f>VLOOKUP(C:C,Customer_Dim!B:I,7,1)</f>
        <v>USA</v>
      </c>
      <c r="Q1766" t="str">
        <f>VLOOKUP(C:C,Customer_Dim!B:I,8,1)</f>
        <v>Platinum</v>
      </c>
      <c r="S1766">
        <v>2</v>
      </c>
      <c r="T1766">
        <v>289.14</v>
      </c>
      <c r="U1766">
        <v>0.12</v>
      </c>
      <c r="V1766">
        <v>508.88639999999998</v>
      </c>
      <c r="X1766" s="4">
        <v>2</v>
      </c>
      <c r="Y1766">
        <v>289.14</v>
      </c>
      <c r="Z1766">
        <v>0.12</v>
      </c>
      <c r="AA1766">
        <v>508.88639999999998</v>
      </c>
    </row>
    <row r="1767" spans="1:27" x14ac:dyDescent="0.3">
      <c r="A1767" t="s">
        <v>3574</v>
      </c>
      <c r="B1767" s="2">
        <v>45695</v>
      </c>
      <c r="C1767" t="s">
        <v>174</v>
      </c>
      <c r="D1767" t="s">
        <v>1581</v>
      </c>
      <c r="E1767" t="s">
        <v>1735</v>
      </c>
      <c r="F1767" s="4">
        <v>2</v>
      </c>
      <c r="G1767">
        <v>596.84</v>
      </c>
      <c r="H1767">
        <v>0.01</v>
      </c>
      <c r="I1767" t="s">
        <v>1809</v>
      </c>
      <c r="J1767">
        <v>1181.7431999999999</v>
      </c>
      <c r="K1767" t="s">
        <v>3936</v>
      </c>
      <c r="L1767">
        <v>55</v>
      </c>
      <c r="M1767" t="str">
        <v>Female</v>
      </c>
      <c r="N1767" t="str">
        <f>VLOOKUP(C:C,Customer_Dim!B:I,5,1)</f>
        <v>North Johnview</v>
      </c>
      <c r="O1767" t="str">
        <f>VLOOKUP(C:C,Customer_Dim!B:I,6,1)</f>
        <v>Arizona</v>
      </c>
      <c r="P1767" t="str">
        <f>VLOOKUP(C:C,Customer_Dim!B:I,7,1)</f>
        <v>USA</v>
      </c>
      <c r="Q1767" t="str">
        <f>VLOOKUP(C:C,Customer_Dim!B:I,8,1)</f>
        <v>Gold</v>
      </c>
      <c r="S1767">
        <v>2</v>
      </c>
      <c r="T1767">
        <v>596.84</v>
      </c>
      <c r="U1767">
        <v>0.01</v>
      </c>
      <c r="V1767">
        <v>1181.7431999999999</v>
      </c>
      <c r="X1767" s="4">
        <v>2</v>
      </c>
      <c r="Y1767">
        <v>596.84</v>
      </c>
      <c r="Z1767">
        <v>0.01</v>
      </c>
      <c r="AA1767">
        <v>1181.7431999999999</v>
      </c>
    </row>
    <row r="1768" spans="1:27" x14ac:dyDescent="0.3">
      <c r="A1768" t="s">
        <v>3575</v>
      </c>
      <c r="B1768" s="2">
        <v>45571</v>
      </c>
      <c r="C1768" t="s">
        <v>1336</v>
      </c>
      <c r="D1768" t="s">
        <v>1569</v>
      </c>
      <c r="E1768" t="s">
        <v>1765</v>
      </c>
      <c r="F1768" s="4">
        <v>4</v>
      </c>
      <c r="G1768">
        <v>466.24</v>
      </c>
      <c r="H1768">
        <v>0.16</v>
      </c>
      <c r="I1768" t="s">
        <v>1807</v>
      </c>
      <c r="J1768">
        <v>1566.5663999999999</v>
      </c>
      <c r="K1768" t="s">
        <v>1337</v>
      </c>
      <c r="L1768">
        <v>47</v>
      </c>
      <c r="M1768" t="str">
        <v>Female</v>
      </c>
      <c r="N1768" t="str">
        <f>VLOOKUP(C:C,Customer_Dim!B:I,5,1)</f>
        <v>South Michellebury</v>
      </c>
      <c r="O1768" t="str">
        <f>VLOOKUP(C:C,Customer_Dim!B:I,6,1)</f>
        <v>South Dakota</v>
      </c>
      <c r="P1768" t="str">
        <f>VLOOKUP(C:C,Customer_Dim!B:I,7,1)</f>
        <v>USA</v>
      </c>
      <c r="Q1768" t="str">
        <f>VLOOKUP(C:C,Customer_Dim!B:I,8,1)</f>
        <v>Gold</v>
      </c>
      <c r="S1768">
        <v>4</v>
      </c>
      <c r="T1768">
        <v>466.24</v>
      </c>
      <c r="U1768">
        <v>0.16</v>
      </c>
      <c r="V1768">
        <v>1566.5663999999999</v>
      </c>
      <c r="X1768" s="4">
        <v>4</v>
      </c>
      <c r="Y1768">
        <v>466.24</v>
      </c>
      <c r="Z1768">
        <v>0.16</v>
      </c>
      <c r="AA1768">
        <v>1566.5663999999999</v>
      </c>
    </row>
    <row r="1769" spans="1:27" x14ac:dyDescent="0.3">
      <c r="A1769" t="s">
        <v>3576</v>
      </c>
      <c r="B1769" s="2">
        <v>45544</v>
      </c>
      <c r="C1769" t="s">
        <v>800</v>
      </c>
      <c r="D1769" t="s">
        <v>1557</v>
      </c>
      <c r="E1769" t="s">
        <v>1787</v>
      </c>
      <c r="F1769" s="4">
        <v>2</v>
      </c>
      <c r="G1769">
        <v>330.59</v>
      </c>
      <c r="H1769">
        <v>0.14000000000000001</v>
      </c>
      <c r="I1769" t="s">
        <v>1807</v>
      </c>
      <c r="J1769">
        <v>568.61479999999995</v>
      </c>
      <c r="K1769" t="s">
        <v>801</v>
      </c>
      <c r="L1769">
        <v>32</v>
      </c>
      <c r="M1769" t="str">
        <v>Male</v>
      </c>
      <c r="N1769" t="str">
        <f>VLOOKUP(C:C,Customer_Dim!B:I,5,1)</f>
        <v>Robinborough</v>
      </c>
      <c r="O1769" t="str">
        <f>VLOOKUP(C:C,Customer_Dim!B:I,6,1)</f>
        <v>South Dakota</v>
      </c>
      <c r="P1769" t="str">
        <f>VLOOKUP(C:C,Customer_Dim!B:I,7,1)</f>
        <v>USA</v>
      </c>
      <c r="Q1769" t="str">
        <f>VLOOKUP(C:C,Customer_Dim!B:I,8,1)</f>
        <v>Silver</v>
      </c>
      <c r="S1769">
        <v>2</v>
      </c>
      <c r="T1769">
        <v>330.59</v>
      </c>
      <c r="U1769">
        <v>0.14000000000000001</v>
      </c>
      <c r="V1769">
        <v>568.61479999999995</v>
      </c>
      <c r="X1769" s="4">
        <v>2</v>
      </c>
      <c r="Y1769">
        <v>330.59</v>
      </c>
      <c r="Z1769">
        <v>0.14000000000000001</v>
      </c>
      <c r="AA1769">
        <v>568.61479999999995</v>
      </c>
    </row>
    <row r="1770" spans="1:27" x14ac:dyDescent="0.3">
      <c r="A1770" t="s">
        <v>3577</v>
      </c>
      <c r="B1770" s="2">
        <v>45654</v>
      </c>
      <c r="C1770" t="s">
        <v>1499</v>
      </c>
      <c r="D1770" t="s">
        <v>1575</v>
      </c>
      <c r="E1770" t="s">
        <v>1759</v>
      </c>
      <c r="F1770" s="4">
        <v>2</v>
      </c>
      <c r="G1770">
        <v>616.42999999999995</v>
      </c>
      <c r="H1770">
        <v>0.02</v>
      </c>
      <c r="I1770" t="s">
        <v>1812</v>
      </c>
      <c r="J1770">
        <v>1208.2028</v>
      </c>
      <c r="K1770" t="s">
        <v>1500</v>
      </c>
      <c r="L1770">
        <v>21</v>
      </c>
      <c r="M1770" t="str">
        <v>Male</v>
      </c>
      <c r="N1770" t="str">
        <f>VLOOKUP(C:C,Customer_Dim!B:I,5,1)</f>
        <v>South William</v>
      </c>
      <c r="O1770" t="str">
        <f>VLOOKUP(C:C,Customer_Dim!B:I,6,1)</f>
        <v>Alabama</v>
      </c>
      <c r="P1770" t="str">
        <f>VLOOKUP(C:C,Customer_Dim!B:I,7,1)</f>
        <v>USA</v>
      </c>
      <c r="Q1770" t="str">
        <f>VLOOKUP(C:C,Customer_Dim!B:I,8,1)</f>
        <v>Silver</v>
      </c>
      <c r="S1770">
        <v>2</v>
      </c>
      <c r="T1770">
        <v>616.42999999999995</v>
      </c>
      <c r="U1770">
        <v>0.02</v>
      </c>
      <c r="V1770">
        <v>1208.2028</v>
      </c>
      <c r="X1770" s="4">
        <v>2</v>
      </c>
      <c r="Y1770">
        <v>616.42999999999995</v>
      </c>
      <c r="Z1770">
        <v>0.02</v>
      </c>
      <c r="AA1770">
        <v>1208.2028</v>
      </c>
    </row>
    <row r="1771" spans="1:27" x14ac:dyDescent="0.3">
      <c r="A1771" t="s">
        <v>3578</v>
      </c>
      <c r="B1771" s="2">
        <v>45589</v>
      </c>
      <c r="C1771" t="s">
        <v>1240</v>
      </c>
      <c r="D1771" t="s">
        <v>1657</v>
      </c>
      <c r="E1771" t="s">
        <v>1759</v>
      </c>
      <c r="F1771" s="4">
        <v>3</v>
      </c>
      <c r="G1771">
        <v>195.89</v>
      </c>
      <c r="H1771">
        <v>0.16</v>
      </c>
      <c r="I1771" t="s">
        <v>1809</v>
      </c>
      <c r="J1771">
        <v>493.64280000000002</v>
      </c>
      <c r="K1771" t="s">
        <v>1241</v>
      </c>
      <c r="L1771">
        <v>22</v>
      </c>
      <c r="M1771" t="str">
        <v>Female</v>
      </c>
      <c r="N1771" t="str">
        <f>VLOOKUP(C:C,Customer_Dim!B:I,5,1)</f>
        <v>Lake Lisaland</v>
      </c>
      <c r="O1771" t="str">
        <f>VLOOKUP(C:C,Customer_Dim!B:I,6,1)</f>
        <v>Louisiana</v>
      </c>
      <c r="P1771" t="str">
        <f>VLOOKUP(C:C,Customer_Dim!B:I,7,1)</f>
        <v>USA</v>
      </c>
      <c r="Q1771" t="str">
        <f>VLOOKUP(C:C,Customer_Dim!B:I,8,1)</f>
        <v>Bronze</v>
      </c>
      <c r="S1771">
        <v>3</v>
      </c>
      <c r="T1771">
        <v>195.89</v>
      </c>
      <c r="U1771">
        <v>0.16</v>
      </c>
      <c r="V1771">
        <v>493.64280000000002</v>
      </c>
      <c r="X1771" s="4">
        <v>3</v>
      </c>
      <c r="Y1771">
        <v>195.89</v>
      </c>
      <c r="Z1771">
        <v>0.16</v>
      </c>
      <c r="AA1771">
        <v>493.64280000000002</v>
      </c>
    </row>
    <row r="1772" spans="1:27" x14ac:dyDescent="0.3">
      <c r="A1772" t="s">
        <v>3579</v>
      </c>
      <c r="B1772" s="2">
        <v>45487</v>
      </c>
      <c r="C1772" t="s">
        <v>1066</v>
      </c>
      <c r="D1772" t="s">
        <v>1543</v>
      </c>
      <c r="E1772" t="s">
        <v>1772</v>
      </c>
      <c r="F1772" s="4">
        <v>4</v>
      </c>
      <c r="G1772">
        <v>614.76</v>
      </c>
      <c r="H1772">
        <v>0.16</v>
      </c>
      <c r="I1772" t="s">
        <v>1807</v>
      </c>
      <c r="J1772">
        <v>2065.5936000000002</v>
      </c>
      <c r="K1772" t="s">
        <v>1067</v>
      </c>
      <c r="L1772">
        <v>39</v>
      </c>
      <c r="M1772" t="str">
        <v>Male</v>
      </c>
      <c r="N1772" t="str">
        <f>VLOOKUP(C:C,Customer_Dim!B:I,5,1)</f>
        <v>Cartershire</v>
      </c>
      <c r="O1772" t="str">
        <f>VLOOKUP(C:C,Customer_Dim!B:I,6,1)</f>
        <v>Virginia</v>
      </c>
      <c r="P1772" t="str">
        <f>VLOOKUP(C:C,Customer_Dim!B:I,7,1)</f>
        <v>USA</v>
      </c>
      <c r="Q1772" t="str">
        <f>VLOOKUP(C:C,Customer_Dim!B:I,8,1)</f>
        <v>Bronze</v>
      </c>
      <c r="S1772">
        <v>4</v>
      </c>
      <c r="T1772">
        <v>614.76</v>
      </c>
      <c r="U1772">
        <v>0.16</v>
      </c>
      <c r="V1772">
        <v>2065.5936000000002</v>
      </c>
      <c r="X1772" s="4">
        <v>4</v>
      </c>
      <c r="Y1772">
        <v>614.76</v>
      </c>
      <c r="Z1772">
        <v>0.16</v>
      </c>
      <c r="AA1772">
        <v>2065.5936000000002</v>
      </c>
    </row>
    <row r="1773" spans="1:27" x14ac:dyDescent="0.3">
      <c r="A1773" t="s">
        <v>3580</v>
      </c>
      <c r="B1773" s="2">
        <v>45418</v>
      </c>
      <c r="C1773" t="s">
        <v>1243</v>
      </c>
      <c r="D1773" t="s">
        <v>1689</v>
      </c>
      <c r="E1773" t="s">
        <v>1762</v>
      </c>
      <c r="F1773" s="4">
        <v>1</v>
      </c>
      <c r="G1773">
        <v>224.49</v>
      </c>
      <c r="H1773">
        <v>0.11</v>
      </c>
      <c r="I1773" t="s">
        <v>1809</v>
      </c>
      <c r="J1773">
        <v>199.7961</v>
      </c>
      <c r="K1773" t="s">
        <v>1244</v>
      </c>
      <c r="L1773">
        <v>18</v>
      </c>
      <c r="M1773" t="str">
        <v>Female</v>
      </c>
      <c r="N1773" t="str">
        <f>VLOOKUP(C:C,Customer_Dim!B:I,5,1)</f>
        <v>South Angela</v>
      </c>
      <c r="O1773" t="str">
        <f>VLOOKUP(C:C,Customer_Dim!B:I,6,1)</f>
        <v>Arkansas</v>
      </c>
      <c r="P1773" t="str">
        <f>VLOOKUP(C:C,Customer_Dim!B:I,7,1)</f>
        <v>USA</v>
      </c>
      <c r="Q1773" t="str">
        <f>VLOOKUP(C:C,Customer_Dim!B:I,8,1)</f>
        <v>Silver</v>
      </c>
      <c r="S1773">
        <v>1</v>
      </c>
      <c r="T1773">
        <v>224.49</v>
      </c>
      <c r="U1773">
        <v>0.11</v>
      </c>
      <c r="V1773">
        <v>199.7961</v>
      </c>
      <c r="X1773" s="4">
        <v>1</v>
      </c>
      <c r="Y1773">
        <v>224.49</v>
      </c>
      <c r="Z1773">
        <v>0.11</v>
      </c>
      <c r="AA1773">
        <v>199.7961</v>
      </c>
    </row>
    <row r="1774" spans="1:27" x14ac:dyDescent="0.3">
      <c r="A1774" t="s">
        <v>3581</v>
      </c>
      <c r="B1774" s="2">
        <v>45338</v>
      </c>
      <c r="C1774" t="s">
        <v>1103</v>
      </c>
      <c r="D1774" t="s">
        <v>1641</v>
      </c>
      <c r="E1774" t="s">
        <v>1777</v>
      </c>
      <c r="F1774" s="4">
        <v>1</v>
      </c>
      <c r="G1774">
        <v>967.76</v>
      </c>
      <c r="H1774">
        <v>0.09</v>
      </c>
      <c r="I1774" t="s">
        <v>1807</v>
      </c>
      <c r="J1774">
        <v>880.66160000000002</v>
      </c>
      <c r="K1774" t="s">
        <v>1104</v>
      </c>
      <c r="L1774">
        <v>41</v>
      </c>
      <c r="M1774" t="str">
        <v>Male</v>
      </c>
      <c r="N1774" t="str">
        <f>VLOOKUP(C:C,Customer_Dim!B:I,5,1)</f>
        <v>North Richard</v>
      </c>
      <c r="O1774" t="str">
        <f>VLOOKUP(C:C,Customer_Dim!B:I,6,1)</f>
        <v>Virginia</v>
      </c>
      <c r="P1774" t="str">
        <f>VLOOKUP(C:C,Customer_Dim!B:I,7,1)</f>
        <v>USA</v>
      </c>
      <c r="Q1774" t="str">
        <f>VLOOKUP(C:C,Customer_Dim!B:I,8,1)</f>
        <v>Bronze</v>
      </c>
      <c r="S1774">
        <v>1</v>
      </c>
      <c r="T1774">
        <v>967.76</v>
      </c>
      <c r="U1774">
        <v>0.09</v>
      </c>
      <c r="V1774">
        <v>880.66160000000002</v>
      </c>
      <c r="X1774" s="4">
        <v>1</v>
      </c>
      <c r="Y1774">
        <v>967.76</v>
      </c>
      <c r="Z1774">
        <v>0.09</v>
      </c>
      <c r="AA1774">
        <v>880.66160000000002</v>
      </c>
    </row>
    <row r="1775" spans="1:27" x14ac:dyDescent="0.3">
      <c r="A1775" t="s">
        <v>3582</v>
      </c>
      <c r="B1775" s="2">
        <v>45507</v>
      </c>
      <c r="C1775" t="s">
        <v>244</v>
      </c>
      <c r="D1775" t="s">
        <v>1613</v>
      </c>
      <c r="E1775" t="s">
        <v>1796</v>
      </c>
      <c r="F1775" s="4">
        <v>2</v>
      </c>
      <c r="G1775">
        <v>56.52</v>
      </c>
      <c r="H1775">
        <v>0.17</v>
      </c>
      <c r="I1775" t="s">
        <v>1809</v>
      </c>
      <c r="J1775">
        <v>93.8232</v>
      </c>
      <c r="K1775" t="s">
        <v>245</v>
      </c>
      <c r="L1775">
        <v>24</v>
      </c>
      <c r="M1775" t="str">
        <v>Female</v>
      </c>
      <c r="N1775" t="str">
        <f>VLOOKUP(C:C,Customer_Dim!B:I,5,1)</f>
        <v>Brendaburgh</v>
      </c>
      <c r="O1775" t="str">
        <f>VLOOKUP(C:C,Customer_Dim!B:I,6,1)</f>
        <v>Florida</v>
      </c>
      <c r="P1775" t="str">
        <f>VLOOKUP(C:C,Customer_Dim!B:I,7,1)</f>
        <v>USA</v>
      </c>
      <c r="Q1775" t="str">
        <f>VLOOKUP(C:C,Customer_Dim!B:I,8,1)</f>
        <v>Silver</v>
      </c>
      <c r="S1775">
        <v>2</v>
      </c>
      <c r="T1775">
        <v>56.52</v>
      </c>
      <c r="U1775">
        <v>0.17</v>
      </c>
      <c r="V1775">
        <v>93.8232</v>
      </c>
      <c r="X1775" s="4">
        <v>2</v>
      </c>
      <c r="Y1775">
        <v>56.52</v>
      </c>
      <c r="Z1775">
        <v>0.17</v>
      </c>
      <c r="AA1775">
        <v>93.8232</v>
      </c>
    </row>
    <row r="1776" spans="1:27" x14ac:dyDescent="0.3">
      <c r="A1776" t="s">
        <v>3583</v>
      </c>
      <c r="B1776" s="2">
        <v>45275</v>
      </c>
      <c r="C1776" t="s">
        <v>1490</v>
      </c>
      <c r="D1776" t="s">
        <v>1665</v>
      </c>
      <c r="E1776" t="s">
        <v>1740</v>
      </c>
      <c r="F1776" s="4">
        <v>4</v>
      </c>
      <c r="G1776">
        <v>921.84</v>
      </c>
      <c r="H1776">
        <v>0.04</v>
      </c>
      <c r="I1776" t="s">
        <v>1807</v>
      </c>
      <c r="J1776">
        <v>3539.8656000000001</v>
      </c>
      <c r="K1776" t="s">
        <v>1491</v>
      </c>
      <c r="L1776">
        <v>52</v>
      </c>
      <c r="M1776" t="str">
        <v>Female</v>
      </c>
      <c r="N1776" t="str">
        <f>VLOOKUP(C:C,Customer_Dim!B:I,5,1)</f>
        <v>North Nataliemouth</v>
      </c>
      <c r="O1776" t="str">
        <f>VLOOKUP(C:C,Customer_Dim!B:I,6,1)</f>
        <v>Maryland</v>
      </c>
      <c r="P1776" t="str">
        <f>VLOOKUP(C:C,Customer_Dim!B:I,7,1)</f>
        <v>USA</v>
      </c>
      <c r="Q1776" t="str">
        <f>VLOOKUP(C:C,Customer_Dim!B:I,8,1)</f>
        <v>Platinum</v>
      </c>
      <c r="S1776">
        <v>4</v>
      </c>
      <c r="T1776">
        <v>921.84</v>
      </c>
      <c r="U1776">
        <v>0.04</v>
      </c>
      <c r="V1776">
        <v>3539.8656000000001</v>
      </c>
      <c r="X1776" s="4">
        <v>4</v>
      </c>
      <c r="Y1776">
        <v>921.84</v>
      </c>
      <c r="Z1776">
        <v>0.04</v>
      </c>
      <c r="AA1776">
        <v>3539.8656000000001</v>
      </c>
    </row>
    <row r="1777" spans="1:27" x14ac:dyDescent="0.3">
      <c r="A1777" t="s">
        <v>3584</v>
      </c>
      <c r="B1777" s="2">
        <v>45319</v>
      </c>
      <c r="C1777" t="s">
        <v>1021</v>
      </c>
      <c r="D1777" t="s">
        <v>1703</v>
      </c>
      <c r="E1777" t="s">
        <v>1787</v>
      </c>
      <c r="F1777" s="4">
        <v>3</v>
      </c>
      <c r="G1777">
        <v>738.47</v>
      </c>
      <c r="H1777">
        <v>0.28000000000000003</v>
      </c>
      <c r="I1777" t="s">
        <v>1807</v>
      </c>
      <c r="J1777">
        <v>1595.0952</v>
      </c>
      <c r="K1777" t="s">
        <v>1022</v>
      </c>
      <c r="L1777">
        <v>62</v>
      </c>
      <c r="M1777" t="str">
        <v>Female</v>
      </c>
      <c r="N1777" t="str">
        <f>VLOOKUP(C:C,Customer_Dim!B:I,5,1)</f>
        <v>Jessicaport</v>
      </c>
      <c r="O1777" t="str">
        <f>VLOOKUP(C:C,Customer_Dim!B:I,6,1)</f>
        <v>Minnesota</v>
      </c>
      <c r="P1777" t="str">
        <f>VLOOKUP(C:C,Customer_Dim!B:I,7,1)</f>
        <v>USA</v>
      </c>
      <c r="Q1777" t="str">
        <f>VLOOKUP(C:C,Customer_Dim!B:I,8,1)</f>
        <v>Platinum</v>
      </c>
      <c r="S1777">
        <v>3</v>
      </c>
      <c r="T1777">
        <v>738.47</v>
      </c>
      <c r="U1777">
        <v>0.28000000000000003</v>
      </c>
      <c r="V1777">
        <v>1595.0952</v>
      </c>
      <c r="X1777" s="4">
        <v>3</v>
      </c>
      <c r="Y1777">
        <v>738.47</v>
      </c>
      <c r="Z1777">
        <v>0.28000000000000003</v>
      </c>
      <c r="AA1777">
        <v>1595.0952</v>
      </c>
    </row>
    <row r="1778" spans="1:27" x14ac:dyDescent="0.3">
      <c r="A1778" t="s">
        <v>3585</v>
      </c>
      <c r="B1778" s="2">
        <v>45620</v>
      </c>
      <c r="C1778" t="s">
        <v>1021</v>
      </c>
      <c r="D1778" t="s">
        <v>1538</v>
      </c>
      <c r="E1778" t="s">
        <v>1735</v>
      </c>
      <c r="F1778" s="4">
        <v>4</v>
      </c>
      <c r="G1778">
        <v>477.83</v>
      </c>
      <c r="H1778">
        <v>0.05</v>
      </c>
      <c r="I1778" t="s">
        <v>1812</v>
      </c>
      <c r="J1778">
        <v>1815.7539999999999</v>
      </c>
      <c r="K1778" t="s">
        <v>1022</v>
      </c>
      <c r="L1778">
        <v>62</v>
      </c>
      <c r="M1778" t="str">
        <v>Female</v>
      </c>
      <c r="N1778" t="str">
        <f>VLOOKUP(C:C,Customer_Dim!B:I,5,1)</f>
        <v>Jessicaport</v>
      </c>
      <c r="O1778" t="str">
        <f>VLOOKUP(C:C,Customer_Dim!B:I,6,1)</f>
        <v>Minnesota</v>
      </c>
      <c r="P1778" t="str">
        <f>VLOOKUP(C:C,Customer_Dim!B:I,7,1)</f>
        <v>USA</v>
      </c>
      <c r="Q1778" t="str">
        <f>VLOOKUP(C:C,Customer_Dim!B:I,8,1)</f>
        <v>Platinum</v>
      </c>
      <c r="S1778">
        <v>4</v>
      </c>
      <c r="T1778">
        <v>477.83</v>
      </c>
      <c r="U1778">
        <v>0.05</v>
      </c>
      <c r="V1778">
        <v>1815.7539999999999</v>
      </c>
      <c r="X1778" s="4">
        <v>4</v>
      </c>
      <c r="Y1778">
        <v>477.83</v>
      </c>
      <c r="Z1778">
        <v>0.05</v>
      </c>
      <c r="AA1778">
        <v>1815.7539999999999</v>
      </c>
    </row>
    <row r="1779" spans="1:27" x14ac:dyDescent="0.3">
      <c r="A1779" t="s">
        <v>3586</v>
      </c>
      <c r="B1779" s="2">
        <v>45831</v>
      </c>
      <c r="C1779" t="s">
        <v>554</v>
      </c>
      <c r="D1779" t="s">
        <v>1615</v>
      </c>
      <c r="E1779" t="s">
        <v>1777</v>
      </c>
      <c r="F1779" s="4">
        <v>3</v>
      </c>
      <c r="G1779">
        <v>605.83000000000004</v>
      </c>
      <c r="H1779">
        <v>0.28000000000000003</v>
      </c>
      <c r="I1779" t="s">
        <v>1812</v>
      </c>
      <c r="J1779">
        <v>1308.5927999999999</v>
      </c>
      <c r="K1779" t="s">
        <v>555</v>
      </c>
      <c r="L1779">
        <v>64</v>
      </c>
      <c r="M1779" t="str">
        <v>Male</v>
      </c>
      <c r="N1779" t="str">
        <f>VLOOKUP(C:C,Customer_Dim!B:I,5,1)</f>
        <v>Robertview</v>
      </c>
      <c r="O1779" t="str">
        <f>VLOOKUP(C:C,Customer_Dim!B:I,6,1)</f>
        <v>Florida</v>
      </c>
      <c r="P1779" t="str">
        <f>VLOOKUP(C:C,Customer_Dim!B:I,7,1)</f>
        <v>USA</v>
      </c>
      <c r="Q1779" t="str">
        <f>VLOOKUP(C:C,Customer_Dim!B:I,8,1)</f>
        <v>Platinum</v>
      </c>
      <c r="S1779">
        <v>3</v>
      </c>
      <c r="T1779">
        <v>605.83000000000004</v>
      </c>
      <c r="U1779">
        <v>0.28000000000000003</v>
      </c>
      <c r="V1779">
        <v>1308.5927999999999</v>
      </c>
      <c r="X1779" s="4">
        <v>3</v>
      </c>
      <c r="Y1779">
        <v>605.83000000000004</v>
      </c>
      <c r="Z1779">
        <v>0.28000000000000003</v>
      </c>
      <c r="AA1779">
        <v>1308.5927999999999</v>
      </c>
    </row>
    <row r="1780" spans="1:27" x14ac:dyDescent="0.3">
      <c r="A1780" t="s">
        <v>3587</v>
      </c>
      <c r="B1780" s="2">
        <v>45373</v>
      </c>
      <c r="C1780" t="s">
        <v>244</v>
      </c>
      <c r="D1780" t="s">
        <v>1617</v>
      </c>
      <c r="E1780" t="s">
        <v>1749</v>
      </c>
      <c r="F1780" s="4">
        <v>2</v>
      </c>
      <c r="G1780">
        <v>521.44000000000005</v>
      </c>
      <c r="H1780">
        <v>0.25</v>
      </c>
      <c r="I1780" t="s">
        <v>1812</v>
      </c>
      <c r="J1780">
        <v>782.16000000000008</v>
      </c>
      <c r="K1780" t="s">
        <v>245</v>
      </c>
      <c r="L1780">
        <v>24</v>
      </c>
      <c r="M1780" t="str">
        <v>Female</v>
      </c>
      <c r="N1780" t="str">
        <f>VLOOKUP(C:C,Customer_Dim!B:I,5,1)</f>
        <v>Brendaburgh</v>
      </c>
      <c r="O1780" t="str">
        <f>VLOOKUP(C:C,Customer_Dim!B:I,6,1)</f>
        <v>Florida</v>
      </c>
      <c r="P1780" t="str">
        <f>VLOOKUP(C:C,Customer_Dim!B:I,7,1)</f>
        <v>USA</v>
      </c>
      <c r="Q1780" t="str">
        <f>VLOOKUP(C:C,Customer_Dim!B:I,8,1)</f>
        <v>Silver</v>
      </c>
      <c r="S1780">
        <v>2</v>
      </c>
      <c r="T1780">
        <v>521.44000000000005</v>
      </c>
      <c r="U1780">
        <v>0.25</v>
      </c>
      <c r="V1780">
        <v>782.16000000000008</v>
      </c>
      <c r="X1780" s="4">
        <v>2</v>
      </c>
      <c r="Y1780">
        <v>521.44000000000005</v>
      </c>
      <c r="Z1780">
        <v>0.25</v>
      </c>
      <c r="AA1780">
        <v>782.16000000000008</v>
      </c>
    </row>
    <row r="1781" spans="1:27" x14ac:dyDescent="0.3">
      <c r="A1781" t="s">
        <v>3588</v>
      </c>
      <c r="B1781" s="2">
        <v>45863</v>
      </c>
      <c r="C1781" t="s">
        <v>1153</v>
      </c>
      <c r="D1781" t="s">
        <v>1551</v>
      </c>
      <c r="E1781" t="s">
        <v>1762</v>
      </c>
      <c r="F1781" s="4">
        <v>4</v>
      </c>
      <c r="G1781">
        <v>499.02</v>
      </c>
      <c r="H1781">
        <v>0.06</v>
      </c>
      <c r="I1781" t="s">
        <v>1807</v>
      </c>
      <c r="J1781">
        <v>1876.3152</v>
      </c>
      <c r="K1781" t="s">
        <v>1154</v>
      </c>
      <c r="L1781">
        <v>60</v>
      </c>
      <c r="M1781" t="str">
        <v>Male</v>
      </c>
      <c r="N1781" t="str">
        <f>VLOOKUP(C:C,Customer_Dim!B:I,5,1)</f>
        <v>Simpsonfort</v>
      </c>
      <c r="O1781" t="str">
        <f>VLOOKUP(C:C,Customer_Dim!B:I,6,1)</f>
        <v>Maine</v>
      </c>
      <c r="P1781" t="str">
        <f>VLOOKUP(C:C,Customer_Dim!B:I,7,1)</f>
        <v>USA</v>
      </c>
      <c r="Q1781" t="str">
        <f>VLOOKUP(C:C,Customer_Dim!B:I,8,1)</f>
        <v>Gold</v>
      </c>
      <c r="S1781">
        <v>4</v>
      </c>
      <c r="T1781">
        <v>499.02</v>
      </c>
      <c r="U1781">
        <v>0.06</v>
      </c>
      <c r="V1781">
        <v>1876.3152</v>
      </c>
      <c r="X1781" s="4">
        <v>4</v>
      </c>
      <c r="Y1781">
        <v>499.02</v>
      </c>
      <c r="Z1781">
        <v>0.06</v>
      </c>
      <c r="AA1781">
        <v>1876.3152</v>
      </c>
    </row>
    <row r="1782" spans="1:27" x14ac:dyDescent="0.3">
      <c r="A1782" t="s">
        <v>3589</v>
      </c>
      <c r="B1782" s="2">
        <v>45758</v>
      </c>
      <c r="C1782" t="s">
        <v>509</v>
      </c>
      <c r="D1782" t="s">
        <v>1536</v>
      </c>
      <c r="E1782" t="s">
        <v>1793</v>
      </c>
      <c r="F1782" s="4">
        <v>4</v>
      </c>
      <c r="G1782">
        <v>299.45999999999998</v>
      </c>
      <c r="H1782">
        <v>0.18</v>
      </c>
      <c r="I1782" t="s">
        <v>1812</v>
      </c>
      <c r="J1782">
        <v>982.22879999999998</v>
      </c>
      <c r="K1782" t="s">
        <v>510</v>
      </c>
      <c r="L1782">
        <v>35</v>
      </c>
      <c r="M1782" t="str">
        <v>Female</v>
      </c>
      <c r="N1782" t="str">
        <f>VLOOKUP(C:C,Customer_Dim!B:I,5,1)</f>
        <v>New Leahfurt</v>
      </c>
      <c r="O1782" t="str">
        <f>VLOOKUP(C:C,Customer_Dim!B:I,6,1)</f>
        <v>North Dakota</v>
      </c>
      <c r="P1782" t="str">
        <f>VLOOKUP(C:C,Customer_Dim!B:I,7,1)</f>
        <v>USA</v>
      </c>
      <c r="Q1782" t="str">
        <f>VLOOKUP(C:C,Customer_Dim!B:I,8,1)</f>
        <v>Bronze</v>
      </c>
      <c r="S1782">
        <v>4</v>
      </c>
      <c r="T1782">
        <v>299.45999999999998</v>
      </c>
      <c r="U1782">
        <v>0.18</v>
      </c>
      <c r="V1782">
        <v>982.22879999999998</v>
      </c>
      <c r="X1782" s="4">
        <v>4</v>
      </c>
      <c r="Y1782">
        <v>299.45999999999998</v>
      </c>
      <c r="Z1782">
        <v>0.18</v>
      </c>
      <c r="AA1782">
        <v>982.22879999999998</v>
      </c>
    </row>
    <row r="1783" spans="1:27" x14ac:dyDescent="0.3">
      <c r="A1783" t="s">
        <v>3590</v>
      </c>
      <c r="B1783" s="2">
        <v>45285</v>
      </c>
      <c r="C1783" t="s">
        <v>1395</v>
      </c>
      <c r="D1783" t="s">
        <v>1609</v>
      </c>
      <c r="E1783" t="s">
        <v>1735</v>
      </c>
      <c r="F1783" s="4">
        <v>1</v>
      </c>
      <c r="G1783">
        <v>609.29</v>
      </c>
      <c r="H1783">
        <v>0.15</v>
      </c>
      <c r="I1783" t="s">
        <v>1807</v>
      </c>
      <c r="J1783">
        <v>517.89649999999995</v>
      </c>
      <c r="K1783" t="s">
        <v>1396</v>
      </c>
      <c r="L1783">
        <v>62</v>
      </c>
      <c r="M1783" t="str">
        <v>Female</v>
      </c>
      <c r="N1783" t="str">
        <f>VLOOKUP(C:C,Customer_Dim!B:I,5,1)</f>
        <v>Hubbardborough</v>
      </c>
      <c r="O1783" t="str">
        <f>VLOOKUP(C:C,Customer_Dim!B:I,6,1)</f>
        <v>Kentucky</v>
      </c>
      <c r="P1783" t="str">
        <f>VLOOKUP(C:C,Customer_Dim!B:I,7,1)</f>
        <v>USA</v>
      </c>
      <c r="Q1783" t="str">
        <f>VLOOKUP(C:C,Customer_Dim!B:I,8,1)</f>
        <v>Platinum</v>
      </c>
      <c r="S1783">
        <v>1</v>
      </c>
      <c r="T1783">
        <v>609.29</v>
      </c>
      <c r="U1783">
        <v>0.15</v>
      </c>
      <c r="V1783">
        <v>517.89649999999995</v>
      </c>
      <c r="X1783" s="4">
        <v>1</v>
      </c>
      <c r="Y1783">
        <v>609.29</v>
      </c>
      <c r="Z1783">
        <v>0.15</v>
      </c>
      <c r="AA1783">
        <v>517.89649999999995</v>
      </c>
    </row>
    <row r="1784" spans="1:27" x14ac:dyDescent="0.3">
      <c r="A1784" t="s">
        <v>3591</v>
      </c>
      <c r="B1784" s="2">
        <v>45656</v>
      </c>
      <c r="C1784" t="s">
        <v>355</v>
      </c>
      <c r="D1784" t="s">
        <v>1532</v>
      </c>
      <c r="E1784" t="s">
        <v>1765</v>
      </c>
      <c r="F1784" s="4">
        <v>1</v>
      </c>
      <c r="G1784">
        <v>213.74</v>
      </c>
      <c r="H1784">
        <v>7.0000000000000007E-2</v>
      </c>
      <c r="I1784" t="s">
        <v>1812</v>
      </c>
      <c r="J1784">
        <v>198.7782</v>
      </c>
      <c r="K1784" t="s">
        <v>356</v>
      </c>
      <c r="L1784">
        <v>34</v>
      </c>
      <c r="M1784" t="str">
        <v>Female</v>
      </c>
      <c r="N1784" t="str">
        <f>VLOOKUP(C:C,Customer_Dim!B:I,5,1)</f>
        <v>Singletonmouth</v>
      </c>
      <c r="O1784" t="str">
        <f>VLOOKUP(C:C,Customer_Dim!B:I,6,1)</f>
        <v>Utah</v>
      </c>
      <c r="P1784" t="str">
        <f>VLOOKUP(C:C,Customer_Dim!B:I,7,1)</f>
        <v>USA</v>
      </c>
      <c r="Q1784" t="str">
        <f>VLOOKUP(C:C,Customer_Dim!B:I,8,1)</f>
        <v>Gold</v>
      </c>
      <c r="S1784">
        <v>1</v>
      </c>
      <c r="T1784">
        <v>213.74</v>
      </c>
      <c r="U1784">
        <v>7.0000000000000007E-2</v>
      </c>
      <c r="V1784">
        <v>198.7782</v>
      </c>
      <c r="X1784" s="4">
        <v>1</v>
      </c>
      <c r="Y1784">
        <v>213.74</v>
      </c>
      <c r="Z1784">
        <v>7.0000000000000007E-2</v>
      </c>
      <c r="AA1784">
        <v>198.7782</v>
      </c>
    </row>
    <row r="1785" spans="1:27" x14ac:dyDescent="0.3">
      <c r="A1785" t="s">
        <v>3592</v>
      </c>
      <c r="B1785" s="2">
        <v>45718</v>
      </c>
      <c r="C1785" t="s">
        <v>509</v>
      </c>
      <c r="D1785" t="s">
        <v>1641</v>
      </c>
      <c r="E1785" t="s">
        <v>1787</v>
      </c>
      <c r="F1785" s="4">
        <v>4</v>
      </c>
      <c r="G1785">
        <v>613.16999999999996</v>
      </c>
      <c r="H1785">
        <v>0.26</v>
      </c>
      <c r="I1785" t="s">
        <v>1807</v>
      </c>
      <c r="J1785">
        <v>1814.9831999999999</v>
      </c>
      <c r="K1785" t="s">
        <v>510</v>
      </c>
      <c r="L1785">
        <v>35</v>
      </c>
      <c r="M1785" t="str">
        <v>Female</v>
      </c>
      <c r="N1785" t="str">
        <f>VLOOKUP(C:C,Customer_Dim!B:I,5,1)</f>
        <v>New Leahfurt</v>
      </c>
      <c r="O1785" t="str">
        <f>VLOOKUP(C:C,Customer_Dim!B:I,6,1)</f>
        <v>North Dakota</v>
      </c>
      <c r="P1785" t="str">
        <f>VLOOKUP(C:C,Customer_Dim!B:I,7,1)</f>
        <v>USA</v>
      </c>
      <c r="Q1785" t="str">
        <f>VLOOKUP(C:C,Customer_Dim!B:I,8,1)</f>
        <v>Bronze</v>
      </c>
      <c r="S1785">
        <v>4</v>
      </c>
      <c r="T1785">
        <v>613.16999999999996</v>
      </c>
      <c r="U1785">
        <v>0.26</v>
      </c>
      <c r="V1785">
        <v>1814.9831999999999</v>
      </c>
      <c r="X1785" s="4">
        <v>4</v>
      </c>
      <c r="Y1785">
        <v>613.16999999999996</v>
      </c>
      <c r="Z1785">
        <v>0.26</v>
      </c>
      <c r="AA1785">
        <v>1814.9831999999999</v>
      </c>
    </row>
    <row r="1786" spans="1:27" x14ac:dyDescent="0.3">
      <c r="A1786" t="s">
        <v>3593</v>
      </c>
      <c r="B1786" s="2">
        <v>45293</v>
      </c>
      <c r="C1786" t="s">
        <v>1106</v>
      </c>
      <c r="D1786" t="s">
        <v>1649</v>
      </c>
      <c r="E1786" t="s">
        <v>1775</v>
      </c>
      <c r="F1786" s="4">
        <v>2</v>
      </c>
      <c r="G1786">
        <v>687.36</v>
      </c>
      <c r="H1786">
        <v>7.0000000000000007E-2</v>
      </c>
      <c r="I1786" t="s">
        <v>1812</v>
      </c>
      <c r="J1786">
        <v>1278.4896000000001</v>
      </c>
      <c r="K1786" t="s">
        <v>1107</v>
      </c>
      <c r="L1786">
        <v>60</v>
      </c>
      <c r="M1786" t="str">
        <v>Female</v>
      </c>
      <c r="N1786" t="str">
        <f>VLOOKUP(C:C,Customer_Dim!B:I,5,1)</f>
        <v>Nealview</v>
      </c>
      <c r="O1786" t="str">
        <f>VLOOKUP(C:C,Customer_Dim!B:I,6,1)</f>
        <v>Tennessee</v>
      </c>
      <c r="P1786" t="str">
        <f>VLOOKUP(C:C,Customer_Dim!B:I,7,1)</f>
        <v>USA</v>
      </c>
      <c r="Q1786" t="str">
        <f>VLOOKUP(C:C,Customer_Dim!B:I,8,1)</f>
        <v>Gold</v>
      </c>
      <c r="S1786">
        <v>2</v>
      </c>
      <c r="T1786">
        <v>687.36</v>
      </c>
      <c r="U1786">
        <v>7.0000000000000007E-2</v>
      </c>
      <c r="V1786">
        <v>1278.4896000000001</v>
      </c>
      <c r="X1786" s="4">
        <v>2</v>
      </c>
      <c r="Y1786">
        <v>687.36</v>
      </c>
      <c r="Z1786">
        <v>7.0000000000000007E-2</v>
      </c>
      <c r="AA1786">
        <v>1278.4896000000001</v>
      </c>
    </row>
    <row r="1787" spans="1:27" x14ac:dyDescent="0.3">
      <c r="A1787" t="s">
        <v>3594</v>
      </c>
      <c r="B1787" s="2">
        <v>45915</v>
      </c>
      <c r="C1787" t="s">
        <v>1015</v>
      </c>
      <c r="D1787" t="s">
        <v>1665</v>
      </c>
      <c r="E1787" t="s">
        <v>1780</v>
      </c>
      <c r="F1787" s="4">
        <v>3</v>
      </c>
      <c r="G1787">
        <v>115.39</v>
      </c>
      <c r="H1787">
        <v>0.02</v>
      </c>
      <c r="I1787" t="s">
        <v>1809</v>
      </c>
      <c r="J1787">
        <v>339.2466</v>
      </c>
      <c r="K1787" t="s">
        <v>1016</v>
      </c>
      <c r="L1787">
        <v>62</v>
      </c>
      <c r="M1787" t="str">
        <v>Female</v>
      </c>
      <c r="N1787" t="str">
        <f>VLOOKUP(C:C,Customer_Dim!B:I,5,1)</f>
        <v>Cindyton</v>
      </c>
      <c r="O1787" t="str">
        <f>VLOOKUP(C:C,Customer_Dim!B:I,6,1)</f>
        <v>Rhode Island</v>
      </c>
      <c r="P1787" t="str">
        <f>VLOOKUP(C:C,Customer_Dim!B:I,7,1)</f>
        <v>USA</v>
      </c>
      <c r="Q1787" t="str">
        <f>VLOOKUP(C:C,Customer_Dim!B:I,8,1)</f>
        <v>Gold</v>
      </c>
      <c r="S1787">
        <v>3</v>
      </c>
      <c r="T1787">
        <v>115.39</v>
      </c>
      <c r="U1787">
        <v>0.02</v>
      </c>
      <c r="V1787">
        <v>339.2466</v>
      </c>
      <c r="X1787" s="4">
        <v>3</v>
      </c>
      <c r="Y1787">
        <v>115.39</v>
      </c>
      <c r="Z1787">
        <v>0.02</v>
      </c>
      <c r="AA1787">
        <v>339.2466</v>
      </c>
    </row>
    <row r="1788" spans="1:27" x14ac:dyDescent="0.3">
      <c r="A1788" t="s">
        <v>3595</v>
      </c>
      <c r="B1788" s="2">
        <v>45359</v>
      </c>
      <c r="C1788" t="s">
        <v>586</v>
      </c>
      <c r="D1788" t="s">
        <v>1579</v>
      </c>
      <c r="E1788" t="s">
        <v>1777</v>
      </c>
      <c r="F1788" s="4">
        <v>2</v>
      </c>
      <c r="G1788">
        <v>722.06</v>
      </c>
      <c r="H1788">
        <v>7.0000000000000007E-2</v>
      </c>
      <c r="I1788" t="s">
        <v>1807</v>
      </c>
      <c r="J1788">
        <v>1343.0316</v>
      </c>
      <c r="K1788" t="s">
        <v>587</v>
      </c>
      <c r="L1788">
        <v>38</v>
      </c>
      <c r="M1788" t="str">
        <v>Male</v>
      </c>
      <c r="N1788" t="str">
        <f>VLOOKUP(C:C,Customer_Dim!B:I,5,1)</f>
        <v>Murphyfurt</v>
      </c>
      <c r="O1788" t="str">
        <f>VLOOKUP(C:C,Customer_Dim!B:I,6,1)</f>
        <v>Utah</v>
      </c>
      <c r="P1788" t="str">
        <f>VLOOKUP(C:C,Customer_Dim!B:I,7,1)</f>
        <v>USA</v>
      </c>
      <c r="Q1788" t="str">
        <f>VLOOKUP(C:C,Customer_Dim!B:I,8,1)</f>
        <v>Silver</v>
      </c>
      <c r="S1788">
        <v>2</v>
      </c>
      <c r="T1788">
        <v>722.06</v>
      </c>
      <c r="U1788">
        <v>7.0000000000000007E-2</v>
      </c>
      <c r="V1788">
        <v>1343.0316</v>
      </c>
      <c r="X1788" s="4">
        <v>2</v>
      </c>
      <c r="Y1788">
        <v>722.06</v>
      </c>
      <c r="Z1788">
        <v>7.0000000000000007E-2</v>
      </c>
      <c r="AA1788">
        <v>1343.0316</v>
      </c>
    </row>
    <row r="1789" spans="1:27" x14ac:dyDescent="0.3">
      <c r="A1789" t="s">
        <v>3596</v>
      </c>
      <c r="B1789" s="2">
        <v>45652</v>
      </c>
      <c r="C1789" t="s">
        <v>1303</v>
      </c>
      <c r="D1789" t="s">
        <v>1543</v>
      </c>
      <c r="E1789" t="s">
        <v>1784</v>
      </c>
      <c r="F1789" s="4">
        <v>1</v>
      </c>
      <c r="G1789">
        <v>384.57</v>
      </c>
      <c r="H1789">
        <v>0.06</v>
      </c>
      <c r="I1789" t="s">
        <v>1809</v>
      </c>
      <c r="J1789">
        <v>361.49579999999997</v>
      </c>
      <c r="K1789" t="s">
        <v>1304</v>
      </c>
      <c r="L1789">
        <v>28</v>
      </c>
      <c r="M1789" t="str">
        <v>Male</v>
      </c>
      <c r="N1789" t="str">
        <f>VLOOKUP(C:C,Customer_Dim!B:I,5,1)</f>
        <v>Lake Monique</v>
      </c>
      <c r="O1789" t="str">
        <f>VLOOKUP(C:C,Customer_Dim!B:I,6,1)</f>
        <v>Utah</v>
      </c>
      <c r="P1789" t="str">
        <f>VLOOKUP(C:C,Customer_Dim!B:I,7,1)</f>
        <v>USA</v>
      </c>
      <c r="Q1789" t="str">
        <f>VLOOKUP(C:C,Customer_Dim!B:I,8,1)</f>
        <v>Bronze</v>
      </c>
      <c r="S1789">
        <v>1</v>
      </c>
      <c r="T1789">
        <v>384.57</v>
      </c>
      <c r="U1789">
        <v>0.06</v>
      </c>
      <c r="V1789">
        <v>361.49579999999997</v>
      </c>
      <c r="X1789" s="4">
        <v>1</v>
      </c>
      <c r="Y1789">
        <v>384.57</v>
      </c>
      <c r="Z1789">
        <v>0.06</v>
      </c>
      <c r="AA1789">
        <v>361.49579999999997</v>
      </c>
    </row>
    <row r="1790" spans="1:27" x14ac:dyDescent="0.3">
      <c r="A1790" t="s">
        <v>3597</v>
      </c>
      <c r="B1790" s="2">
        <v>45735</v>
      </c>
      <c r="C1790" t="s">
        <v>678</v>
      </c>
      <c r="D1790" t="s">
        <v>1545</v>
      </c>
      <c r="E1790" t="s">
        <v>1780</v>
      </c>
      <c r="F1790" s="4">
        <v>2</v>
      </c>
      <c r="G1790">
        <v>194.09</v>
      </c>
      <c r="H1790">
        <v>0.18</v>
      </c>
      <c r="I1790" t="s">
        <v>1809</v>
      </c>
      <c r="J1790">
        <v>318.30759999999998</v>
      </c>
      <c r="K1790" t="s">
        <v>679</v>
      </c>
      <c r="L1790">
        <v>20</v>
      </c>
      <c r="M1790" t="str">
        <v>Female</v>
      </c>
      <c r="N1790" t="str">
        <f>VLOOKUP(C:C,Customer_Dim!B:I,5,1)</f>
        <v>Matthewborough</v>
      </c>
      <c r="O1790" t="str">
        <f>VLOOKUP(C:C,Customer_Dim!B:I,6,1)</f>
        <v>Georgia</v>
      </c>
      <c r="P1790" t="str">
        <f>VLOOKUP(C:C,Customer_Dim!B:I,7,1)</f>
        <v>USA</v>
      </c>
      <c r="Q1790" t="str">
        <f>VLOOKUP(C:C,Customer_Dim!B:I,8,1)</f>
        <v>Silver</v>
      </c>
      <c r="S1790">
        <v>2</v>
      </c>
      <c r="T1790">
        <v>194.09</v>
      </c>
      <c r="U1790">
        <v>0.18</v>
      </c>
      <c r="V1790">
        <v>318.30759999999998</v>
      </c>
      <c r="X1790" s="4">
        <v>2</v>
      </c>
      <c r="Y1790">
        <v>194.09</v>
      </c>
      <c r="Z1790">
        <v>0.18</v>
      </c>
      <c r="AA1790">
        <v>318.30759999999998</v>
      </c>
    </row>
    <row r="1791" spans="1:27" x14ac:dyDescent="0.3">
      <c r="A1791" t="s">
        <v>3598</v>
      </c>
      <c r="B1791" s="2">
        <v>45579</v>
      </c>
      <c r="C1791" t="s">
        <v>565</v>
      </c>
      <c r="D1791" t="s">
        <v>1707</v>
      </c>
      <c r="E1791" t="s">
        <v>1749</v>
      </c>
      <c r="F1791" s="4">
        <v>2</v>
      </c>
      <c r="G1791">
        <v>403.91</v>
      </c>
      <c r="H1791">
        <v>7.0000000000000007E-2</v>
      </c>
      <c r="I1791" t="s">
        <v>1807</v>
      </c>
      <c r="J1791">
        <v>751.27260000000001</v>
      </c>
      <c r="K1791" t="s">
        <v>566</v>
      </c>
      <c r="L1791">
        <v>41</v>
      </c>
      <c r="M1791" t="str">
        <v>Female</v>
      </c>
      <c r="N1791" t="str">
        <f>VLOOKUP(C:C,Customer_Dim!B:I,5,1)</f>
        <v>Port Richard</v>
      </c>
      <c r="O1791" t="str">
        <f>VLOOKUP(C:C,Customer_Dim!B:I,6,1)</f>
        <v>West Virginia</v>
      </c>
      <c r="P1791" t="str">
        <f>VLOOKUP(C:C,Customer_Dim!B:I,7,1)</f>
        <v>USA</v>
      </c>
      <c r="Q1791" t="str">
        <f>VLOOKUP(C:C,Customer_Dim!B:I,8,1)</f>
        <v>Bronze</v>
      </c>
      <c r="S1791">
        <v>2</v>
      </c>
      <c r="T1791">
        <v>403.91</v>
      </c>
      <c r="U1791">
        <v>7.0000000000000007E-2</v>
      </c>
      <c r="V1791">
        <v>751.27260000000001</v>
      </c>
      <c r="X1791" s="4">
        <v>2</v>
      </c>
      <c r="Y1791">
        <v>403.91</v>
      </c>
      <c r="Z1791">
        <v>7.0000000000000007E-2</v>
      </c>
      <c r="AA1791">
        <v>751.27260000000001</v>
      </c>
    </row>
    <row r="1792" spans="1:27" x14ac:dyDescent="0.3">
      <c r="A1792" t="s">
        <v>3599</v>
      </c>
      <c r="B1792" s="2">
        <v>45721</v>
      </c>
      <c r="C1792" t="s">
        <v>275</v>
      </c>
      <c r="D1792" t="s">
        <v>1565</v>
      </c>
      <c r="E1792" t="s">
        <v>1782</v>
      </c>
      <c r="F1792" s="4">
        <v>1</v>
      </c>
      <c r="G1792">
        <v>878.69</v>
      </c>
      <c r="H1792">
        <v>0.3</v>
      </c>
      <c r="I1792" t="s">
        <v>1809</v>
      </c>
      <c r="J1792">
        <v>615.08299999999997</v>
      </c>
      <c r="K1792" t="s">
        <v>276</v>
      </c>
      <c r="L1792">
        <v>29</v>
      </c>
      <c r="M1792" t="str">
        <v>Male</v>
      </c>
      <c r="N1792" t="str">
        <f>VLOOKUP(C:C,Customer_Dim!B:I,5,1)</f>
        <v>Rodrigueztown</v>
      </c>
      <c r="O1792" t="str">
        <f>VLOOKUP(C:C,Customer_Dim!B:I,6,1)</f>
        <v>Oklahoma</v>
      </c>
      <c r="P1792" t="str">
        <f>VLOOKUP(C:C,Customer_Dim!B:I,7,1)</f>
        <v>USA</v>
      </c>
      <c r="Q1792" t="str">
        <f>VLOOKUP(C:C,Customer_Dim!B:I,8,1)</f>
        <v>Gold</v>
      </c>
      <c r="S1792">
        <v>1</v>
      </c>
      <c r="T1792">
        <v>878.69</v>
      </c>
      <c r="U1792">
        <v>0.3</v>
      </c>
      <c r="V1792">
        <v>615.08299999999997</v>
      </c>
      <c r="X1792" s="4">
        <v>1</v>
      </c>
      <c r="Y1792">
        <v>878.69</v>
      </c>
      <c r="Z1792">
        <v>0.3</v>
      </c>
      <c r="AA1792">
        <v>615.08299999999997</v>
      </c>
    </row>
    <row r="1793" spans="1:27" x14ac:dyDescent="0.3">
      <c r="A1793" t="s">
        <v>3600</v>
      </c>
      <c r="B1793" s="2">
        <v>45446</v>
      </c>
      <c r="C1793" t="s">
        <v>1177</v>
      </c>
      <c r="D1793" t="s">
        <v>1597</v>
      </c>
      <c r="E1793" t="s">
        <v>1784</v>
      </c>
      <c r="F1793" s="4">
        <v>1</v>
      </c>
      <c r="G1793">
        <v>161.16999999999999</v>
      </c>
      <c r="H1793">
        <v>0.05</v>
      </c>
      <c r="I1793" t="s">
        <v>1807</v>
      </c>
      <c r="J1793">
        <v>153.11150000000001</v>
      </c>
      <c r="K1793" t="s">
        <v>1178</v>
      </c>
      <c r="L1793">
        <v>20</v>
      </c>
      <c r="M1793" t="str">
        <v>Female</v>
      </c>
      <c r="N1793" t="str">
        <f>VLOOKUP(C:C,Customer_Dim!B:I,5,1)</f>
        <v>Andrewsland</v>
      </c>
      <c r="O1793" t="str">
        <f>VLOOKUP(C:C,Customer_Dim!B:I,6,1)</f>
        <v>Alabama</v>
      </c>
      <c r="P1793" t="str">
        <f>VLOOKUP(C:C,Customer_Dim!B:I,7,1)</f>
        <v>USA</v>
      </c>
      <c r="Q1793" t="str">
        <f>VLOOKUP(C:C,Customer_Dim!B:I,8,1)</f>
        <v>Silver</v>
      </c>
      <c r="S1793">
        <v>1</v>
      </c>
      <c r="T1793">
        <v>161.16999999999999</v>
      </c>
      <c r="U1793">
        <v>0.05</v>
      </c>
      <c r="V1793">
        <v>153.11150000000001</v>
      </c>
      <c r="X1793" s="4">
        <v>1</v>
      </c>
      <c r="Y1793">
        <v>161.16999999999999</v>
      </c>
      <c r="Z1793">
        <v>0.05</v>
      </c>
      <c r="AA1793">
        <v>153.11150000000001</v>
      </c>
    </row>
    <row r="1794" spans="1:27" x14ac:dyDescent="0.3">
      <c r="A1794" t="s">
        <v>3601</v>
      </c>
      <c r="B1794" s="2">
        <v>45387</v>
      </c>
      <c r="C1794" t="s">
        <v>690</v>
      </c>
      <c r="D1794" t="s">
        <v>1677</v>
      </c>
      <c r="E1794" t="s">
        <v>1782</v>
      </c>
      <c r="F1794" s="4">
        <v>2</v>
      </c>
      <c r="G1794">
        <v>720.15</v>
      </c>
      <c r="H1794">
        <v>0.22</v>
      </c>
      <c r="I1794" t="s">
        <v>1812</v>
      </c>
      <c r="J1794">
        <v>1123.434</v>
      </c>
      <c r="K1794" t="s">
        <v>691</v>
      </c>
      <c r="L1794">
        <v>50</v>
      </c>
      <c r="M1794" t="str">
        <v>Female</v>
      </c>
      <c r="N1794" t="str">
        <f>VLOOKUP(C:C,Customer_Dim!B:I,5,1)</f>
        <v>Danielstad</v>
      </c>
      <c r="O1794" t="str">
        <f>VLOOKUP(C:C,Customer_Dim!B:I,6,1)</f>
        <v>Montana</v>
      </c>
      <c r="P1794" t="str">
        <f>VLOOKUP(C:C,Customer_Dim!B:I,7,1)</f>
        <v>USA</v>
      </c>
      <c r="Q1794" t="str">
        <f>VLOOKUP(C:C,Customer_Dim!B:I,8,1)</f>
        <v>Gold</v>
      </c>
      <c r="S1794">
        <v>2</v>
      </c>
      <c r="T1794">
        <v>720.15</v>
      </c>
      <c r="U1794">
        <v>0.22</v>
      </c>
      <c r="V1794">
        <v>1123.434</v>
      </c>
      <c r="X1794" s="4">
        <v>2</v>
      </c>
      <c r="Y1794">
        <v>720.15</v>
      </c>
      <c r="Z1794">
        <v>0.22</v>
      </c>
      <c r="AA1794">
        <v>1123.434</v>
      </c>
    </row>
    <row r="1795" spans="1:27" x14ac:dyDescent="0.3">
      <c r="A1795" t="s">
        <v>3602</v>
      </c>
      <c r="B1795" s="2">
        <v>45222</v>
      </c>
      <c r="C1795" t="s">
        <v>1078</v>
      </c>
      <c r="D1795" t="s">
        <v>1583</v>
      </c>
      <c r="E1795" t="s">
        <v>1765</v>
      </c>
      <c r="F1795" s="4">
        <v>1</v>
      </c>
      <c r="G1795">
        <v>361.8</v>
      </c>
      <c r="H1795">
        <v>0.02</v>
      </c>
      <c r="I1795" t="s">
        <v>1812</v>
      </c>
      <c r="J1795">
        <v>354.56400000000002</v>
      </c>
      <c r="K1795" t="s">
        <v>3946</v>
      </c>
      <c r="L1795">
        <v>55</v>
      </c>
      <c r="M1795" t="str">
        <v>Male</v>
      </c>
      <c r="N1795" t="str">
        <f>VLOOKUP(C:C,Customer_Dim!B:I,5,1)</f>
        <v>Peggystad</v>
      </c>
      <c r="O1795" t="str">
        <f>VLOOKUP(C:C,Customer_Dim!B:I,6,1)</f>
        <v>Connecticut</v>
      </c>
      <c r="P1795" t="str">
        <f>VLOOKUP(C:C,Customer_Dim!B:I,7,1)</f>
        <v>USA</v>
      </c>
      <c r="Q1795" t="str">
        <f>VLOOKUP(C:C,Customer_Dim!B:I,8,1)</f>
        <v>Gold</v>
      </c>
      <c r="S1795">
        <v>1</v>
      </c>
      <c r="T1795">
        <v>361.8</v>
      </c>
      <c r="U1795">
        <v>0.02</v>
      </c>
      <c r="V1795">
        <v>354.56400000000002</v>
      </c>
      <c r="X1795" s="4">
        <v>1</v>
      </c>
      <c r="Y1795">
        <v>361.8</v>
      </c>
      <c r="Z1795">
        <v>0.02</v>
      </c>
      <c r="AA1795">
        <v>354.56400000000002</v>
      </c>
    </row>
    <row r="1796" spans="1:27" x14ac:dyDescent="0.3">
      <c r="A1796" t="s">
        <v>3603</v>
      </c>
      <c r="B1796" s="2">
        <v>45402</v>
      </c>
      <c r="C1796" t="s">
        <v>734</v>
      </c>
      <c r="D1796" t="s">
        <v>1721</v>
      </c>
      <c r="E1796" t="s">
        <v>1759</v>
      </c>
      <c r="F1796" s="4">
        <v>1</v>
      </c>
      <c r="G1796">
        <v>779.84</v>
      </c>
      <c r="H1796">
        <v>0.28999999999999998</v>
      </c>
      <c r="I1796" t="s">
        <v>1809</v>
      </c>
      <c r="J1796">
        <v>553.68640000000005</v>
      </c>
      <c r="K1796" t="s">
        <v>735</v>
      </c>
      <c r="L1796">
        <v>22</v>
      </c>
      <c r="M1796" t="str">
        <v>Female</v>
      </c>
      <c r="N1796" t="str">
        <f>VLOOKUP(C:C,Customer_Dim!B:I,5,1)</f>
        <v>Aaronmouth</v>
      </c>
      <c r="O1796" t="str">
        <f>VLOOKUP(C:C,Customer_Dim!B:I,6,1)</f>
        <v>Florida</v>
      </c>
      <c r="P1796" t="str">
        <f>VLOOKUP(C:C,Customer_Dim!B:I,7,1)</f>
        <v>USA</v>
      </c>
      <c r="Q1796" t="str">
        <f>VLOOKUP(C:C,Customer_Dim!B:I,8,1)</f>
        <v>Bronze</v>
      </c>
      <c r="S1796">
        <v>1</v>
      </c>
      <c r="T1796">
        <v>779.84</v>
      </c>
      <c r="U1796">
        <v>0.28999999999999998</v>
      </c>
      <c r="V1796">
        <v>553.68640000000005</v>
      </c>
      <c r="X1796" s="4">
        <v>1</v>
      </c>
      <c r="Y1796">
        <v>779.84</v>
      </c>
      <c r="Z1796">
        <v>0.28999999999999998</v>
      </c>
      <c r="AA1796">
        <v>553.68640000000005</v>
      </c>
    </row>
    <row r="1797" spans="1:27" x14ac:dyDescent="0.3">
      <c r="A1797" t="s">
        <v>3604</v>
      </c>
      <c r="B1797" s="2">
        <v>45455</v>
      </c>
      <c r="C1797" t="s">
        <v>27</v>
      </c>
      <c r="D1797" t="s">
        <v>1723</v>
      </c>
      <c r="E1797" t="s">
        <v>1752</v>
      </c>
      <c r="F1797" s="4">
        <v>2</v>
      </c>
      <c r="G1797">
        <v>649.89</v>
      </c>
      <c r="H1797">
        <v>0.17</v>
      </c>
      <c r="I1797" t="s">
        <v>1812</v>
      </c>
      <c r="J1797">
        <v>1078.8173999999999</v>
      </c>
      <c r="K1797" t="s">
        <v>28</v>
      </c>
      <c r="L1797">
        <v>24</v>
      </c>
      <c r="M1797" t="str">
        <v>Male</v>
      </c>
      <c r="N1797" t="str">
        <f>VLOOKUP(C:C,Customer_Dim!B:I,5,1)</f>
        <v>Nicholasshire</v>
      </c>
      <c r="O1797" t="str">
        <f>VLOOKUP(C:C,Customer_Dim!B:I,6,1)</f>
        <v>California</v>
      </c>
      <c r="P1797" t="str">
        <f>VLOOKUP(C:C,Customer_Dim!B:I,7,1)</f>
        <v>USA</v>
      </c>
      <c r="Q1797" t="str">
        <f>VLOOKUP(C:C,Customer_Dim!B:I,8,1)</f>
        <v>Silver</v>
      </c>
      <c r="S1797">
        <v>2</v>
      </c>
      <c r="T1797">
        <v>649.89</v>
      </c>
      <c r="U1797">
        <v>0.17</v>
      </c>
      <c r="V1797">
        <v>1078.8173999999999</v>
      </c>
      <c r="X1797" s="4">
        <v>2</v>
      </c>
      <c r="Y1797">
        <v>649.89</v>
      </c>
      <c r="Z1797">
        <v>0.17</v>
      </c>
      <c r="AA1797">
        <v>1078.8173999999999</v>
      </c>
    </row>
    <row r="1798" spans="1:27" x14ac:dyDescent="0.3">
      <c r="A1798" t="s">
        <v>3605</v>
      </c>
      <c r="B1798" s="2">
        <v>45877</v>
      </c>
      <c r="C1798" t="s">
        <v>660</v>
      </c>
      <c r="D1798" t="s">
        <v>1637</v>
      </c>
      <c r="E1798" t="s">
        <v>1759</v>
      </c>
      <c r="F1798" s="4">
        <v>1</v>
      </c>
      <c r="G1798">
        <v>952.73</v>
      </c>
      <c r="H1798">
        <v>0.17</v>
      </c>
      <c r="I1798" t="s">
        <v>1807</v>
      </c>
      <c r="J1798">
        <v>790.76589999999999</v>
      </c>
      <c r="K1798" t="s">
        <v>661</v>
      </c>
      <c r="L1798">
        <v>44</v>
      </c>
      <c r="M1798" t="str">
        <v>Female</v>
      </c>
      <c r="N1798" t="str">
        <f>VLOOKUP(C:C,Customer_Dim!B:I,5,1)</f>
        <v>New Dianebury</v>
      </c>
      <c r="O1798" t="str">
        <f>VLOOKUP(C:C,Customer_Dim!B:I,6,1)</f>
        <v>Virginia</v>
      </c>
      <c r="P1798" t="str">
        <f>VLOOKUP(C:C,Customer_Dim!B:I,7,1)</f>
        <v>USA</v>
      </c>
      <c r="Q1798" t="str">
        <f>VLOOKUP(C:C,Customer_Dim!B:I,8,1)</f>
        <v>Platinum</v>
      </c>
      <c r="S1798">
        <v>1</v>
      </c>
      <c r="T1798">
        <v>952.73</v>
      </c>
      <c r="U1798">
        <v>0.17</v>
      </c>
      <c r="V1798">
        <v>790.76589999999999</v>
      </c>
      <c r="X1798" s="4">
        <v>1</v>
      </c>
      <c r="Y1798">
        <v>952.73</v>
      </c>
      <c r="Z1798">
        <v>0.17</v>
      </c>
      <c r="AA1798">
        <v>790.76589999999999</v>
      </c>
    </row>
    <row r="1799" spans="1:27" x14ac:dyDescent="0.3">
      <c r="A1799" t="s">
        <v>3606</v>
      </c>
      <c r="B1799" s="2">
        <v>45875</v>
      </c>
      <c r="C1799" t="s">
        <v>301</v>
      </c>
      <c r="D1799" t="s">
        <v>1729</v>
      </c>
      <c r="E1799" t="s">
        <v>1787</v>
      </c>
      <c r="F1799" s="4">
        <v>4</v>
      </c>
      <c r="G1799">
        <v>820.78</v>
      </c>
      <c r="H1799">
        <v>0.25</v>
      </c>
      <c r="I1799" t="s">
        <v>1807</v>
      </c>
      <c r="J1799">
        <v>2462.34</v>
      </c>
      <c r="K1799" t="s">
        <v>302</v>
      </c>
      <c r="L1799">
        <v>36</v>
      </c>
      <c r="M1799" t="str">
        <v>Male</v>
      </c>
      <c r="N1799" t="str">
        <f>VLOOKUP(C:C,Customer_Dim!B:I,5,1)</f>
        <v>Garyberg</v>
      </c>
      <c r="O1799" t="str">
        <f>VLOOKUP(C:C,Customer_Dim!B:I,6,1)</f>
        <v>Indiana</v>
      </c>
      <c r="P1799" t="str">
        <f>VLOOKUP(C:C,Customer_Dim!B:I,7,1)</f>
        <v>USA</v>
      </c>
      <c r="Q1799" t="str">
        <f>VLOOKUP(C:C,Customer_Dim!B:I,8,1)</f>
        <v>Platinum</v>
      </c>
      <c r="S1799">
        <v>4</v>
      </c>
      <c r="T1799">
        <v>820.78</v>
      </c>
      <c r="U1799">
        <v>0.25</v>
      </c>
      <c r="V1799">
        <v>2462.34</v>
      </c>
      <c r="X1799" s="4">
        <v>4</v>
      </c>
      <c r="Y1799">
        <v>820.78</v>
      </c>
      <c r="Z1799">
        <v>0.25</v>
      </c>
      <c r="AA1799">
        <v>2462.34</v>
      </c>
    </row>
    <row r="1800" spans="1:27" x14ac:dyDescent="0.3">
      <c r="A1800" t="s">
        <v>3607</v>
      </c>
      <c r="B1800" s="2">
        <v>45592</v>
      </c>
      <c r="C1800" t="s">
        <v>1063</v>
      </c>
      <c r="D1800" t="s">
        <v>1607</v>
      </c>
      <c r="E1800" t="s">
        <v>1749</v>
      </c>
      <c r="F1800" s="4">
        <v>4</v>
      </c>
      <c r="G1800">
        <v>247.55</v>
      </c>
      <c r="H1800">
        <v>0.05</v>
      </c>
      <c r="I1800" t="s">
        <v>1807</v>
      </c>
      <c r="J1800">
        <v>940.69</v>
      </c>
      <c r="K1800" t="s">
        <v>1064</v>
      </c>
      <c r="L1800">
        <v>38</v>
      </c>
      <c r="M1800" t="str">
        <v>Male</v>
      </c>
      <c r="N1800" t="str">
        <f>VLOOKUP(C:C,Customer_Dim!B:I,5,1)</f>
        <v>Amandaborough</v>
      </c>
      <c r="O1800" t="str">
        <f>VLOOKUP(C:C,Customer_Dim!B:I,6,1)</f>
        <v>Connecticut</v>
      </c>
      <c r="P1800" t="str">
        <f>VLOOKUP(C:C,Customer_Dim!B:I,7,1)</f>
        <v>USA</v>
      </c>
      <c r="Q1800" t="str">
        <f>VLOOKUP(C:C,Customer_Dim!B:I,8,1)</f>
        <v>Bronze</v>
      </c>
      <c r="S1800">
        <v>4</v>
      </c>
      <c r="T1800">
        <v>247.55</v>
      </c>
      <c r="U1800">
        <v>0.05</v>
      </c>
      <c r="V1800">
        <v>940.69</v>
      </c>
      <c r="X1800" s="4">
        <v>4</v>
      </c>
      <c r="Y1800">
        <v>247.55</v>
      </c>
      <c r="Z1800">
        <v>0.05</v>
      </c>
      <c r="AA1800">
        <v>940.69</v>
      </c>
    </row>
    <row r="1801" spans="1:27" x14ac:dyDescent="0.3">
      <c r="A1801" t="s">
        <v>3608</v>
      </c>
      <c r="B1801" s="2">
        <v>45369</v>
      </c>
      <c r="C1801" t="s">
        <v>726</v>
      </c>
      <c r="D1801" t="s">
        <v>1729</v>
      </c>
      <c r="E1801" t="s">
        <v>1765</v>
      </c>
      <c r="F1801" s="4">
        <v>3</v>
      </c>
      <c r="G1801">
        <v>561.44000000000005</v>
      </c>
      <c r="H1801">
        <v>0.2</v>
      </c>
      <c r="I1801" t="s">
        <v>1812</v>
      </c>
      <c r="J1801">
        <v>1347.4559999999999</v>
      </c>
      <c r="K1801" t="s">
        <v>727</v>
      </c>
      <c r="L1801">
        <v>52</v>
      </c>
      <c r="M1801" t="str">
        <v>Female</v>
      </c>
      <c r="N1801" t="str">
        <f>VLOOKUP(C:C,Customer_Dim!B:I,5,1)</f>
        <v>Pollardton</v>
      </c>
      <c r="O1801" t="str">
        <f>VLOOKUP(C:C,Customer_Dim!B:I,6,1)</f>
        <v>Kansas</v>
      </c>
      <c r="P1801" t="str">
        <f>VLOOKUP(C:C,Customer_Dim!B:I,7,1)</f>
        <v>USA</v>
      </c>
      <c r="Q1801" t="str">
        <f>VLOOKUP(C:C,Customer_Dim!B:I,8,1)</f>
        <v>Gold</v>
      </c>
      <c r="S1801">
        <v>3</v>
      </c>
      <c r="T1801">
        <v>561.44000000000005</v>
      </c>
      <c r="U1801">
        <v>0.2</v>
      </c>
      <c r="V1801">
        <v>1347.4559999999999</v>
      </c>
      <c r="X1801" s="4">
        <v>3</v>
      </c>
      <c r="Y1801">
        <v>561.44000000000005</v>
      </c>
      <c r="Z1801">
        <v>0.2</v>
      </c>
      <c r="AA1801">
        <v>1347.4559999999999</v>
      </c>
    </row>
    <row r="1802" spans="1:27" x14ac:dyDescent="0.3">
      <c r="A1802" t="s">
        <v>3609</v>
      </c>
      <c r="B1802" s="2">
        <v>45249</v>
      </c>
      <c r="C1802" t="s">
        <v>885</v>
      </c>
      <c r="D1802" t="s">
        <v>1675</v>
      </c>
      <c r="E1802" t="s">
        <v>1765</v>
      </c>
      <c r="F1802" s="4">
        <v>4</v>
      </c>
      <c r="G1802">
        <v>214.37</v>
      </c>
      <c r="H1802">
        <v>0.11</v>
      </c>
      <c r="I1802" t="s">
        <v>1812</v>
      </c>
      <c r="J1802">
        <v>763.15719999999999</v>
      </c>
      <c r="K1802" t="s">
        <v>886</v>
      </c>
      <c r="L1802">
        <v>46</v>
      </c>
      <c r="M1802" t="str">
        <v>Female</v>
      </c>
      <c r="N1802" t="str">
        <f>VLOOKUP(C:C,Customer_Dim!B:I,5,1)</f>
        <v>North Joshualand</v>
      </c>
      <c r="O1802" t="str">
        <f>VLOOKUP(C:C,Customer_Dim!B:I,6,1)</f>
        <v>Connecticut</v>
      </c>
      <c r="P1802" t="str">
        <f>VLOOKUP(C:C,Customer_Dim!B:I,7,1)</f>
        <v>USA</v>
      </c>
      <c r="Q1802" t="str">
        <f>VLOOKUP(C:C,Customer_Dim!B:I,8,1)</f>
        <v>Platinum</v>
      </c>
      <c r="S1802">
        <v>4</v>
      </c>
      <c r="T1802">
        <v>214.37</v>
      </c>
      <c r="U1802">
        <v>0.11</v>
      </c>
      <c r="V1802">
        <v>763.15719999999999</v>
      </c>
      <c r="X1802" s="4">
        <v>4</v>
      </c>
      <c r="Y1802">
        <v>214.37</v>
      </c>
      <c r="Z1802">
        <v>0.11</v>
      </c>
      <c r="AA1802">
        <v>763.15719999999999</v>
      </c>
    </row>
    <row r="1803" spans="1:27" x14ac:dyDescent="0.3">
      <c r="A1803" t="s">
        <v>3610</v>
      </c>
      <c r="B1803" s="2">
        <v>45741</v>
      </c>
      <c r="C1803" t="s">
        <v>1281</v>
      </c>
      <c r="D1803" t="s">
        <v>1565</v>
      </c>
      <c r="E1803" t="s">
        <v>1787</v>
      </c>
      <c r="F1803" s="4">
        <v>3</v>
      </c>
      <c r="G1803">
        <v>123.74</v>
      </c>
      <c r="H1803">
        <v>0.23</v>
      </c>
      <c r="I1803" t="s">
        <v>1809</v>
      </c>
      <c r="J1803">
        <v>285.83940000000001</v>
      </c>
      <c r="K1803" t="s">
        <v>1282</v>
      </c>
      <c r="L1803">
        <v>60</v>
      </c>
      <c r="M1803" t="str">
        <v>Female</v>
      </c>
      <c r="N1803" t="str">
        <f>VLOOKUP(C:C,Customer_Dim!B:I,5,1)</f>
        <v>Kimburgh</v>
      </c>
      <c r="O1803" t="str">
        <f>VLOOKUP(C:C,Customer_Dim!B:I,6,1)</f>
        <v>North Carolina</v>
      </c>
      <c r="P1803" t="str">
        <f>VLOOKUP(C:C,Customer_Dim!B:I,7,1)</f>
        <v>USA</v>
      </c>
      <c r="Q1803" t="str">
        <f>VLOOKUP(C:C,Customer_Dim!B:I,8,1)</f>
        <v>Bronze</v>
      </c>
      <c r="S1803">
        <v>3</v>
      </c>
      <c r="T1803">
        <v>123.74</v>
      </c>
      <c r="U1803">
        <v>0.23</v>
      </c>
      <c r="V1803">
        <v>285.83940000000001</v>
      </c>
      <c r="X1803" s="4">
        <v>3</v>
      </c>
      <c r="Y1803">
        <v>123.74</v>
      </c>
      <c r="Z1803">
        <v>0.23</v>
      </c>
      <c r="AA1803">
        <v>285.83940000000001</v>
      </c>
    </row>
    <row r="1804" spans="1:27" x14ac:dyDescent="0.3">
      <c r="A1804" t="s">
        <v>3611</v>
      </c>
      <c r="B1804" s="2">
        <v>45427</v>
      </c>
      <c r="C1804" t="s">
        <v>63</v>
      </c>
      <c r="D1804" t="s">
        <v>1665</v>
      </c>
      <c r="E1804" t="s">
        <v>1775</v>
      </c>
      <c r="F1804" s="4">
        <v>4</v>
      </c>
      <c r="G1804">
        <v>645.71</v>
      </c>
      <c r="H1804">
        <v>0.1</v>
      </c>
      <c r="I1804" t="s">
        <v>1809</v>
      </c>
      <c r="J1804">
        <v>2324.556</v>
      </c>
      <c r="K1804" t="s">
        <v>64</v>
      </c>
      <c r="L1804">
        <v>53</v>
      </c>
      <c r="M1804" t="str">
        <v>Female</v>
      </c>
      <c r="N1804" t="str">
        <f>VLOOKUP(C:C,Customer_Dim!B:I,5,1)</f>
        <v>New Becky</v>
      </c>
      <c r="O1804" t="str">
        <f>VLOOKUP(C:C,Customer_Dim!B:I,6,1)</f>
        <v>Montana</v>
      </c>
      <c r="P1804" t="str">
        <f>VLOOKUP(C:C,Customer_Dim!B:I,7,1)</f>
        <v>USA</v>
      </c>
      <c r="Q1804" t="str">
        <f>VLOOKUP(C:C,Customer_Dim!B:I,8,1)</f>
        <v>Silver</v>
      </c>
      <c r="S1804">
        <v>4</v>
      </c>
      <c r="T1804">
        <v>645.71</v>
      </c>
      <c r="U1804">
        <v>0.1</v>
      </c>
      <c r="V1804">
        <v>2324.556</v>
      </c>
      <c r="X1804" s="4">
        <v>4</v>
      </c>
      <c r="Y1804">
        <v>645.71</v>
      </c>
      <c r="Z1804">
        <v>0.1</v>
      </c>
      <c r="AA1804">
        <v>2324.556</v>
      </c>
    </row>
    <row r="1805" spans="1:27" x14ac:dyDescent="0.3">
      <c r="A1805" t="s">
        <v>3612</v>
      </c>
      <c r="B1805" s="2">
        <v>45736</v>
      </c>
      <c r="C1805" t="s">
        <v>134</v>
      </c>
      <c r="D1805" t="s">
        <v>1573</v>
      </c>
      <c r="E1805" t="s">
        <v>1777</v>
      </c>
      <c r="F1805" s="4">
        <v>3</v>
      </c>
      <c r="G1805">
        <v>587.12</v>
      </c>
      <c r="H1805">
        <v>0.3</v>
      </c>
      <c r="I1805" t="s">
        <v>1807</v>
      </c>
      <c r="J1805">
        <v>1232.952</v>
      </c>
      <c r="K1805" t="s">
        <v>3935</v>
      </c>
      <c r="L1805">
        <v>27</v>
      </c>
      <c r="M1805" t="str">
        <v>Female</v>
      </c>
      <c r="N1805" t="str">
        <f>VLOOKUP(C:C,Customer_Dim!B:I,5,1)</f>
        <v>Tristanton</v>
      </c>
      <c r="O1805" t="str">
        <f>VLOOKUP(C:C,Customer_Dim!B:I,6,1)</f>
        <v>Oklahoma</v>
      </c>
      <c r="P1805" t="str">
        <f>VLOOKUP(C:C,Customer_Dim!B:I,7,1)</f>
        <v>USA</v>
      </c>
      <c r="Q1805" t="str">
        <f>VLOOKUP(C:C,Customer_Dim!B:I,8,1)</f>
        <v>Platinum</v>
      </c>
      <c r="S1805">
        <v>3</v>
      </c>
      <c r="T1805">
        <v>587.12</v>
      </c>
      <c r="U1805">
        <v>0.3</v>
      </c>
      <c r="V1805">
        <v>1232.952</v>
      </c>
      <c r="X1805" s="4">
        <v>3</v>
      </c>
      <c r="Y1805">
        <v>587.12</v>
      </c>
      <c r="Z1805">
        <v>0.3</v>
      </c>
      <c r="AA1805">
        <v>1232.952</v>
      </c>
    </row>
    <row r="1806" spans="1:27" x14ac:dyDescent="0.3">
      <c r="A1806" t="s">
        <v>3613</v>
      </c>
      <c r="B1806" s="2">
        <v>45941</v>
      </c>
      <c r="C1806" t="s">
        <v>767</v>
      </c>
      <c r="D1806" t="s">
        <v>1581</v>
      </c>
      <c r="E1806" t="s">
        <v>1793</v>
      </c>
      <c r="F1806" s="4">
        <v>1</v>
      </c>
      <c r="G1806">
        <v>401.18</v>
      </c>
      <c r="H1806">
        <v>0.15</v>
      </c>
      <c r="I1806" t="s">
        <v>1812</v>
      </c>
      <c r="J1806">
        <v>341.00299999999999</v>
      </c>
      <c r="K1806" t="s">
        <v>768</v>
      </c>
      <c r="L1806">
        <v>58</v>
      </c>
      <c r="M1806" t="str">
        <v>Female</v>
      </c>
      <c r="N1806" t="str">
        <f>VLOOKUP(C:C,Customer_Dim!B:I,5,1)</f>
        <v>Dawsonchester</v>
      </c>
      <c r="O1806" t="str">
        <f>VLOOKUP(C:C,Customer_Dim!B:I,6,1)</f>
        <v>Virginia</v>
      </c>
      <c r="P1806" t="str">
        <f>VLOOKUP(C:C,Customer_Dim!B:I,7,1)</f>
        <v>USA</v>
      </c>
      <c r="Q1806" t="str">
        <f>VLOOKUP(C:C,Customer_Dim!B:I,8,1)</f>
        <v>Platinum</v>
      </c>
      <c r="S1806">
        <v>1</v>
      </c>
      <c r="T1806">
        <v>401.18</v>
      </c>
      <c r="U1806">
        <v>0.15</v>
      </c>
      <c r="V1806">
        <v>341.00299999999999</v>
      </c>
      <c r="X1806" s="4">
        <v>1</v>
      </c>
      <c r="Y1806">
        <v>401.18</v>
      </c>
      <c r="Z1806">
        <v>0.15</v>
      </c>
      <c r="AA1806">
        <v>341.00299999999999</v>
      </c>
    </row>
    <row r="1807" spans="1:27" x14ac:dyDescent="0.3">
      <c r="A1807" t="s">
        <v>3614</v>
      </c>
      <c r="B1807" s="2">
        <v>45486</v>
      </c>
      <c r="C1807" t="s">
        <v>1132</v>
      </c>
      <c r="D1807" t="s">
        <v>1647</v>
      </c>
      <c r="E1807" t="s">
        <v>1793</v>
      </c>
      <c r="F1807" s="4">
        <v>3</v>
      </c>
      <c r="G1807">
        <v>658.33</v>
      </c>
      <c r="H1807">
        <v>0.12</v>
      </c>
      <c r="I1807" t="s">
        <v>1812</v>
      </c>
      <c r="J1807">
        <v>1737.9911999999999</v>
      </c>
      <c r="K1807" t="s">
        <v>1133</v>
      </c>
      <c r="L1807">
        <v>51</v>
      </c>
      <c r="M1807" t="str">
        <v>Male</v>
      </c>
      <c r="N1807" t="str">
        <f>VLOOKUP(C:C,Customer_Dim!B:I,5,1)</f>
        <v>North Theresa</v>
      </c>
      <c r="O1807" t="str">
        <f>VLOOKUP(C:C,Customer_Dim!B:I,6,1)</f>
        <v>Alabama</v>
      </c>
      <c r="P1807" t="str">
        <f>VLOOKUP(C:C,Customer_Dim!B:I,7,1)</f>
        <v>USA</v>
      </c>
      <c r="Q1807" t="str">
        <f>VLOOKUP(C:C,Customer_Dim!B:I,8,1)</f>
        <v>Platinum</v>
      </c>
      <c r="S1807">
        <v>3</v>
      </c>
      <c r="T1807">
        <v>658.33</v>
      </c>
      <c r="U1807">
        <v>0.12</v>
      </c>
      <c r="V1807">
        <v>1737.9911999999999</v>
      </c>
      <c r="X1807" s="4">
        <v>3</v>
      </c>
      <c r="Y1807">
        <v>658.33</v>
      </c>
      <c r="Z1807">
        <v>0.12</v>
      </c>
      <c r="AA1807">
        <v>1737.9911999999999</v>
      </c>
    </row>
    <row r="1808" spans="1:27" x14ac:dyDescent="0.3">
      <c r="A1808" t="s">
        <v>3615</v>
      </c>
      <c r="B1808" s="2">
        <v>45474</v>
      </c>
      <c r="C1808" t="s">
        <v>651</v>
      </c>
      <c r="D1808" t="s">
        <v>1629</v>
      </c>
      <c r="E1808" t="s">
        <v>1775</v>
      </c>
      <c r="F1808" s="4">
        <v>4</v>
      </c>
      <c r="G1808">
        <v>450.3</v>
      </c>
      <c r="H1808">
        <v>0.02</v>
      </c>
      <c r="I1808" t="s">
        <v>1807</v>
      </c>
      <c r="J1808">
        <v>1765.1759999999999</v>
      </c>
      <c r="K1808" t="s">
        <v>652</v>
      </c>
      <c r="L1808">
        <v>37</v>
      </c>
      <c r="M1808" t="str">
        <v>Female</v>
      </c>
      <c r="N1808" t="str">
        <f>VLOOKUP(C:C,Customer_Dim!B:I,5,1)</f>
        <v>New Logan</v>
      </c>
      <c r="O1808" t="str">
        <f>VLOOKUP(C:C,Customer_Dim!B:I,6,1)</f>
        <v>Michigan</v>
      </c>
      <c r="P1808" t="str">
        <f>VLOOKUP(C:C,Customer_Dim!B:I,7,1)</f>
        <v>USA</v>
      </c>
      <c r="Q1808" t="str">
        <f>VLOOKUP(C:C,Customer_Dim!B:I,8,1)</f>
        <v>Bronze</v>
      </c>
      <c r="S1808">
        <v>4</v>
      </c>
      <c r="T1808">
        <v>450.3</v>
      </c>
      <c r="U1808">
        <v>0.02</v>
      </c>
      <c r="V1808">
        <v>1765.1759999999999</v>
      </c>
      <c r="X1808" s="4">
        <v>4</v>
      </c>
      <c r="Y1808">
        <v>450.3</v>
      </c>
      <c r="Z1808">
        <v>0.02</v>
      </c>
      <c r="AA1808">
        <v>1765.1759999999999</v>
      </c>
    </row>
    <row r="1809" spans="1:27" x14ac:dyDescent="0.3">
      <c r="A1809" t="s">
        <v>3616</v>
      </c>
      <c r="B1809" s="2">
        <v>45757</v>
      </c>
      <c r="C1809" t="s">
        <v>485</v>
      </c>
      <c r="D1809" t="s">
        <v>1719</v>
      </c>
      <c r="E1809" t="s">
        <v>1772</v>
      </c>
      <c r="F1809" s="4">
        <v>4</v>
      </c>
      <c r="G1809">
        <v>33.630000000000003</v>
      </c>
      <c r="H1809">
        <v>0.05</v>
      </c>
      <c r="I1809" t="s">
        <v>1807</v>
      </c>
      <c r="J1809">
        <v>127.794</v>
      </c>
      <c r="K1809" t="s">
        <v>486</v>
      </c>
      <c r="L1809">
        <v>32</v>
      </c>
      <c r="M1809" t="str">
        <v>Female</v>
      </c>
      <c r="N1809" t="str">
        <f>VLOOKUP(C:C,Customer_Dim!B:I,5,1)</f>
        <v>Michaelfort</v>
      </c>
      <c r="O1809" t="str">
        <f>VLOOKUP(C:C,Customer_Dim!B:I,6,1)</f>
        <v>Indiana</v>
      </c>
      <c r="P1809" t="str">
        <f>VLOOKUP(C:C,Customer_Dim!B:I,7,1)</f>
        <v>USA</v>
      </c>
      <c r="Q1809" t="str">
        <f>VLOOKUP(C:C,Customer_Dim!B:I,8,1)</f>
        <v>Platinum</v>
      </c>
      <c r="S1809">
        <v>4</v>
      </c>
      <c r="T1809">
        <v>33.630000000000003</v>
      </c>
      <c r="U1809">
        <v>0.05</v>
      </c>
      <c r="V1809">
        <v>127.794</v>
      </c>
      <c r="X1809" s="4">
        <v>4</v>
      </c>
      <c r="Y1809">
        <v>33.630000000000003</v>
      </c>
      <c r="Z1809">
        <v>0.05</v>
      </c>
      <c r="AA1809">
        <v>127.794</v>
      </c>
    </row>
    <row r="1810" spans="1:27" x14ac:dyDescent="0.3">
      <c r="A1810" t="s">
        <v>3617</v>
      </c>
      <c r="B1810" s="2">
        <v>45475</v>
      </c>
      <c r="C1810" t="s">
        <v>140</v>
      </c>
      <c r="D1810" t="s">
        <v>1563</v>
      </c>
      <c r="E1810" t="s">
        <v>1735</v>
      </c>
      <c r="F1810" s="4">
        <v>3</v>
      </c>
      <c r="G1810">
        <v>168.89</v>
      </c>
      <c r="H1810">
        <v>0.03</v>
      </c>
      <c r="I1810" t="s">
        <v>1812</v>
      </c>
      <c r="J1810">
        <v>491.46989999999988</v>
      </c>
      <c r="K1810" t="s">
        <v>141</v>
      </c>
      <c r="L1810">
        <v>20</v>
      </c>
      <c r="M1810" t="str">
        <v>Female</v>
      </c>
      <c r="N1810" t="str">
        <f>VLOOKUP(C:C,Customer_Dim!B:I,5,1)</f>
        <v>Robertberg</v>
      </c>
      <c r="O1810" t="str">
        <f>VLOOKUP(C:C,Customer_Dim!B:I,6,1)</f>
        <v>North Dakota</v>
      </c>
      <c r="P1810" t="str">
        <f>VLOOKUP(C:C,Customer_Dim!B:I,7,1)</f>
        <v>USA</v>
      </c>
      <c r="Q1810" t="str">
        <f>VLOOKUP(C:C,Customer_Dim!B:I,8,1)</f>
        <v>Silver</v>
      </c>
      <c r="S1810">
        <v>3</v>
      </c>
      <c r="T1810">
        <v>168.89</v>
      </c>
      <c r="U1810">
        <v>0.03</v>
      </c>
      <c r="V1810">
        <v>491.46989999999988</v>
      </c>
      <c r="X1810" s="4">
        <v>3</v>
      </c>
      <c r="Y1810">
        <v>168.89</v>
      </c>
      <c r="Z1810">
        <v>0.03</v>
      </c>
      <c r="AA1810">
        <v>491.46989999999988</v>
      </c>
    </row>
    <row r="1811" spans="1:27" x14ac:dyDescent="0.3">
      <c r="A1811" t="s">
        <v>3618</v>
      </c>
      <c r="B1811" s="2">
        <v>45546</v>
      </c>
      <c r="C1811" t="s">
        <v>336</v>
      </c>
      <c r="D1811" t="s">
        <v>1651</v>
      </c>
      <c r="E1811" t="s">
        <v>1775</v>
      </c>
      <c r="F1811" s="4">
        <v>1</v>
      </c>
      <c r="G1811">
        <v>141.85</v>
      </c>
      <c r="H1811">
        <v>0.06</v>
      </c>
      <c r="I1811" t="s">
        <v>1809</v>
      </c>
      <c r="J1811">
        <v>133.339</v>
      </c>
      <c r="K1811" t="s">
        <v>337</v>
      </c>
      <c r="L1811">
        <v>30</v>
      </c>
      <c r="M1811" t="str">
        <v>Female</v>
      </c>
      <c r="N1811" t="str">
        <f>VLOOKUP(C:C,Customer_Dim!B:I,5,1)</f>
        <v>West Bobbyshire</v>
      </c>
      <c r="O1811" t="str">
        <f>VLOOKUP(C:C,Customer_Dim!B:I,6,1)</f>
        <v>New York</v>
      </c>
      <c r="P1811" t="str">
        <f>VLOOKUP(C:C,Customer_Dim!B:I,7,1)</f>
        <v>USA</v>
      </c>
      <c r="Q1811" t="str">
        <f>VLOOKUP(C:C,Customer_Dim!B:I,8,1)</f>
        <v>Platinum</v>
      </c>
      <c r="S1811">
        <v>1</v>
      </c>
      <c r="T1811">
        <v>141.85</v>
      </c>
      <c r="U1811">
        <v>0.06</v>
      </c>
      <c r="V1811">
        <v>133.339</v>
      </c>
      <c r="X1811" s="4">
        <v>1</v>
      </c>
      <c r="Y1811">
        <v>141.85</v>
      </c>
      <c r="Z1811">
        <v>0.06</v>
      </c>
      <c r="AA1811">
        <v>133.339</v>
      </c>
    </row>
    <row r="1812" spans="1:27" x14ac:dyDescent="0.3">
      <c r="A1812" t="s">
        <v>3619</v>
      </c>
      <c r="B1812" s="2">
        <v>45520</v>
      </c>
      <c r="C1812" t="s">
        <v>956</v>
      </c>
      <c r="D1812" t="s">
        <v>1601</v>
      </c>
      <c r="E1812" t="s">
        <v>1762</v>
      </c>
      <c r="F1812" s="4">
        <v>1</v>
      </c>
      <c r="G1812">
        <v>617.4</v>
      </c>
      <c r="H1812">
        <v>0.21</v>
      </c>
      <c r="I1812" t="s">
        <v>1807</v>
      </c>
      <c r="J1812">
        <v>487.74599999999998</v>
      </c>
      <c r="K1812" t="s">
        <v>957</v>
      </c>
      <c r="L1812">
        <v>56</v>
      </c>
      <c r="M1812" t="str">
        <v>Female</v>
      </c>
      <c r="N1812" t="str">
        <f>VLOOKUP(C:C,Customer_Dim!B:I,5,1)</f>
        <v>New Nicholasstad</v>
      </c>
      <c r="O1812" t="str">
        <f>VLOOKUP(C:C,Customer_Dim!B:I,6,1)</f>
        <v>Tennessee</v>
      </c>
      <c r="P1812" t="str">
        <f>VLOOKUP(C:C,Customer_Dim!B:I,7,1)</f>
        <v>USA</v>
      </c>
      <c r="Q1812" t="str">
        <f>VLOOKUP(C:C,Customer_Dim!B:I,8,1)</f>
        <v>Platinum</v>
      </c>
      <c r="S1812">
        <v>1</v>
      </c>
      <c r="T1812">
        <v>617.4</v>
      </c>
      <c r="U1812">
        <v>0.21</v>
      </c>
      <c r="V1812">
        <v>487.74599999999998</v>
      </c>
      <c r="X1812" s="4">
        <v>1</v>
      </c>
      <c r="Y1812">
        <v>617.4</v>
      </c>
      <c r="Z1812">
        <v>0.21</v>
      </c>
      <c r="AA1812">
        <v>487.74599999999998</v>
      </c>
    </row>
    <row r="1813" spans="1:27" x14ac:dyDescent="0.3">
      <c r="A1813" t="s">
        <v>3620</v>
      </c>
      <c r="B1813" s="2">
        <v>45534</v>
      </c>
      <c r="C1813" t="s">
        <v>491</v>
      </c>
      <c r="D1813" t="s">
        <v>1637</v>
      </c>
      <c r="E1813" t="s">
        <v>1740</v>
      </c>
      <c r="F1813" s="4">
        <v>3</v>
      </c>
      <c r="G1813">
        <v>841.47</v>
      </c>
      <c r="H1813">
        <v>0.15</v>
      </c>
      <c r="I1813" t="s">
        <v>1812</v>
      </c>
      <c r="J1813">
        <v>2145.7485000000001</v>
      </c>
      <c r="K1813" t="s">
        <v>492</v>
      </c>
      <c r="L1813">
        <v>42</v>
      </c>
      <c r="M1813" t="str">
        <v>Female</v>
      </c>
      <c r="N1813" t="str">
        <f>VLOOKUP(C:C,Customer_Dim!B:I,5,1)</f>
        <v>Lake Nathanfort</v>
      </c>
      <c r="O1813" t="str">
        <f>VLOOKUP(C:C,Customer_Dim!B:I,6,1)</f>
        <v>Alaska</v>
      </c>
      <c r="P1813" t="str">
        <f>VLOOKUP(C:C,Customer_Dim!B:I,7,1)</f>
        <v>USA</v>
      </c>
      <c r="Q1813" t="str">
        <f>VLOOKUP(C:C,Customer_Dim!B:I,8,1)</f>
        <v>Platinum</v>
      </c>
      <c r="S1813">
        <v>3</v>
      </c>
      <c r="T1813">
        <v>841.47</v>
      </c>
      <c r="U1813">
        <v>0.15</v>
      </c>
      <c r="V1813">
        <v>2145.7485000000001</v>
      </c>
      <c r="X1813" s="4">
        <v>3</v>
      </c>
      <c r="Y1813">
        <v>841.47</v>
      </c>
      <c r="Z1813">
        <v>0.15</v>
      </c>
      <c r="AA1813">
        <v>2145.7485000000001</v>
      </c>
    </row>
    <row r="1814" spans="1:27" x14ac:dyDescent="0.3">
      <c r="A1814" t="s">
        <v>3621</v>
      </c>
      <c r="B1814" s="2">
        <v>45334</v>
      </c>
      <c r="C1814" t="s">
        <v>218</v>
      </c>
      <c r="D1814" t="s">
        <v>1573</v>
      </c>
      <c r="E1814" t="s">
        <v>1780</v>
      </c>
      <c r="F1814" s="4">
        <v>2</v>
      </c>
      <c r="G1814">
        <v>960.41</v>
      </c>
      <c r="H1814">
        <v>0.18</v>
      </c>
      <c r="I1814" t="s">
        <v>1807</v>
      </c>
      <c r="J1814">
        <v>1575.0724</v>
      </c>
      <c r="K1814" t="s">
        <v>219</v>
      </c>
      <c r="L1814">
        <v>22</v>
      </c>
      <c r="M1814" t="str">
        <v>Female</v>
      </c>
      <c r="N1814" t="str">
        <f>VLOOKUP(C:C,Customer_Dim!B:I,5,1)</f>
        <v>New Kathrynland</v>
      </c>
      <c r="O1814" t="str">
        <f>VLOOKUP(C:C,Customer_Dim!B:I,6,1)</f>
        <v>Montana</v>
      </c>
      <c r="P1814" t="str">
        <f>VLOOKUP(C:C,Customer_Dim!B:I,7,1)</f>
        <v>USA</v>
      </c>
      <c r="Q1814" t="str">
        <f>VLOOKUP(C:C,Customer_Dim!B:I,8,1)</f>
        <v>Platinum</v>
      </c>
      <c r="S1814">
        <v>2</v>
      </c>
      <c r="T1814">
        <v>960.41</v>
      </c>
      <c r="U1814">
        <v>0.18</v>
      </c>
      <c r="V1814">
        <v>1575.0724</v>
      </c>
      <c r="X1814" s="4">
        <v>2</v>
      </c>
      <c r="Y1814">
        <v>960.41</v>
      </c>
      <c r="Z1814">
        <v>0.18</v>
      </c>
      <c r="AA1814">
        <v>1575.0724</v>
      </c>
    </row>
    <row r="1815" spans="1:27" x14ac:dyDescent="0.3">
      <c r="A1815" t="s">
        <v>3622</v>
      </c>
      <c r="B1815" s="2">
        <v>45289</v>
      </c>
      <c r="C1815" t="s">
        <v>1379</v>
      </c>
      <c r="D1815" t="s">
        <v>1681</v>
      </c>
      <c r="E1815" t="s">
        <v>1793</v>
      </c>
      <c r="F1815" s="4">
        <v>3</v>
      </c>
      <c r="G1815">
        <v>717.22</v>
      </c>
      <c r="H1815">
        <v>0.24</v>
      </c>
      <c r="I1815" t="s">
        <v>1809</v>
      </c>
      <c r="J1815">
        <v>1635.2616</v>
      </c>
      <c r="K1815" t="s">
        <v>1380</v>
      </c>
      <c r="L1815">
        <v>60</v>
      </c>
      <c r="M1815" t="str">
        <v>Female</v>
      </c>
      <c r="N1815" t="str">
        <f>VLOOKUP(C:C,Customer_Dim!B:I,5,1)</f>
        <v>Josephmouth</v>
      </c>
      <c r="O1815" t="str">
        <f>VLOOKUP(C:C,Customer_Dim!B:I,6,1)</f>
        <v>New Mexico</v>
      </c>
      <c r="P1815" t="str">
        <f>VLOOKUP(C:C,Customer_Dim!B:I,7,1)</f>
        <v>USA</v>
      </c>
      <c r="Q1815" t="str">
        <f>VLOOKUP(C:C,Customer_Dim!B:I,8,1)</f>
        <v>Gold</v>
      </c>
      <c r="S1815">
        <v>3</v>
      </c>
      <c r="T1815">
        <v>717.22</v>
      </c>
      <c r="U1815">
        <v>0.24</v>
      </c>
      <c r="V1815">
        <v>1635.2616</v>
      </c>
      <c r="X1815" s="4">
        <v>3</v>
      </c>
      <c r="Y1815">
        <v>717.22</v>
      </c>
      <c r="Z1815">
        <v>0.24</v>
      </c>
      <c r="AA1815">
        <v>1635.2616</v>
      </c>
    </row>
    <row r="1816" spans="1:27" x14ac:dyDescent="0.3">
      <c r="A1816" t="s">
        <v>3623</v>
      </c>
      <c r="B1816" s="2">
        <v>45832</v>
      </c>
      <c r="C1816" t="s">
        <v>397</v>
      </c>
      <c r="D1816" t="s">
        <v>1555</v>
      </c>
      <c r="E1816" t="s">
        <v>1735</v>
      </c>
      <c r="F1816" s="4">
        <v>1</v>
      </c>
      <c r="G1816">
        <v>281.83</v>
      </c>
      <c r="H1816">
        <v>0.16</v>
      </c>
      <c r="I1816" t="s">
        <v>1812</v>
      </c>
      <c r="J1816">
        <v>236.7372</v>
      </c>
      <c r="K1816" t="s">
        <v>398</v>
      </c>
      <c r="L1816">
        <v>18</v>
      </c>
      <c r="M1816" t="str">
        <v>Female</v>
      </c>
      <c r="N1816" t="str">
        <f>VLOOKUP(C:C,Customer_Dim!B:I,5,1)</f>
        <v>North Curtischester</v>
      </c>
      <c r="O1816" t="str">
        <f>VLOOKUP(C:C,Customer_Dim!B:I,6,1)</f>
        <v>North Dakota</v>
      </c>
      <c r="P1816" t="str">
        <f>VLOOKUP(C:C,Customer_Dim!B:I,7,1)</f>
        <v>USA</v>
      </c>
      <c r="Q1816" t="str">
        <f>VLOOKUP(C:C,Customer_Dim!B:I,8,1)</f>
        <v>Platinum</v>
      </c>
      <c r="S1816">
        <v>1</v>
      </c>
      <c r="T1816">
        <v>281.83</v>
      </c>
      <c r="U1816">
        <v>0.16</v>
      </c>
      <c r="V1816">
        <v>236.7372</v>
      </c>
      <c r="X1816" s="4">
        <v>1</v>
      </c>
      <c r="Y1816">
        <v>281.83</v>
      </c>
      <c r="Z1816">
        <v>0.16</v>
      </c>
      <c r="AA1816">
        <v>236.7372</v>
      </c>
    </row>
    <row r="1817" spans="1:27" x14ac:dyDescent="0.3">
      <c r="A1817" t="s">
        <v>3624</v>
      </c>
      <c r="B1817" s="2">
        <v>45400</v>
      </c>
      <c r="C1817" t="s">
        <v>660</v>
      </c>
      <c r="D1817" t="s">
        <v>1649</v>
      </c>
      <c r="E1817" t="s">
        <v>1782</v>
      </c>
      <c r="F1817" s="4">
        <v>1</v>
      </c>
      <c r="G1817">
        <v>509.08</v>
      </c>
      <c r="H1817">
        <v>0.04</v>
      </c>
      <c r="I1817" t="s">
        <v>1809</v>
      </c>
      <c r="J1817">
        <v>488.71679999999998</v>
      </c>
      <c r="K1817" t="s">
        <v>661</v>
      </c>
      <c r="L1817">
        <v>44</v>
      </c>
      <c r="M1817" t="str">
        <v>Female</v>
      </c>
      <c r="N1817" t="str">
        <f>VLOOKUP(C:C,Customer_Dim!B:I,5,1)</f>
        <v>New Dianebury</v>
      </c>
      <c r="O1817" t="str">
        <f>VLOOKUP(C:C,Customer_Dim!B:I,6,1)</f>
        <v>Virginia</v>
      </c>
      <c r="P1817" t="str">
        <f>VLOOKUP(C:C,Customer_Dim!B:I,7,1)</f>
        <v>USA</v>
      </c>
      <c r="Q1817" t="str">
        <f>VLOOKUP(C:C,Customer_Dim!B:I,8,1)</f>
        <v>Platinum</v>
      </c>
      <c r="S1817">
        <v>1</v>
      </c>
      <c r="T1817">
        <v>509.08</v>
      </c>
      <c r="U1817">
        <v>0.04</v>
      </c>
      <c r="V1817">
        <v>488.71679999999998</v>
      </c>
      <c r="X1817" s="4">
        <v>1</v>
      </c>
      <c r="Y1817">
        <v>509.08</v>
      </c>
      <c r="Z1817">
        <v>0.04</v>
      </c>
      <c r="AA1817">
        <v>488.71679999999998</v>
      </c>
    </row>
    <row r="1818" spans="1:27" x14ac:dyDescent="0.3">
      <c r="A1818" t="s">
        <v>3625</v>
      </c>
      <c r="B1818" s="2">
        <v>45930</v>
      </c>
      <c r="C1818" t="s">
        <v>1232</v>
      </c>
      <c r="D1818" t="s">
        <v>1723</v>
      </c>
      <c r="E1818" t="s">
        <v>1744</v>
      </c>
      <c r="F1818" s="4">
        <v>4</v>
      </c>
      <c r="G1818">
        <v>827.09</v>
      </c>
      <c r="H1818">
        <v>0.3</v>
      </c>
      <c r="I1818" t="s">
        <v>1807</v>
      </c>
      <c r="J1818">
        <v>2315.8519999999999</v>
      </c>
      <c r="K1818" t="s">
        <v>1233</v>
      </c>
      <c r="L1818">
        <v>51</v>
      </c>
      <c r="M1818" t="str">
        <v>Female</v>
      </c>
      <c r="N1818" t="str">
        <f>VLOOKUP(C:C,Customer_Dim!B:I,5,1)</f>
        <v>Bookertown</v>
      </c>
      <c r="O1818" t="str">
        <f>VLOOKUP(C:C,Customer_Dim!B:I,6,1)</f>
        <v>Oklahoma</v>
      </c>
      <c r="P1818" t="str">
        <f>VLOOKUP(C:C,Customer_Dim!B:I,7,1)</f>
        <v>USA</v>
      </c>
      <c r="Q1818" t="str">
        <f>VLOOKUP(C:C,Customer_Dim!B:I,8,1)</f>
        <v>Platinum</v>
      </c>
      <c r="S1818">
        <v>4</v>
      </c>
      <c r="T1818">
        <v>827.09</v>
      </c>
      <c r="U1818">
        <v>0.3</v>
      </c>
      <c r="V1818">
        <v>2315.8519999999999</v>
      </c>
      <c r="X1818" s="4">
        <v>4</v>
      </c>
      <c r="Y1818">
        <v>827.09</v>
      </c>
      <c r="Z1818">
        <v>0.3</v>
      </c>
      <c r="AA1818">
        <v>2315.8519999999999</v>
      </c>
    </row>
    <row r="1819" spans="1:27" x14ac:dyDescent="0.3">
      <c r="A1819" t="s">
        <v>3626</v>
      </c>
      <c r="B1819" s="2">
        <v>45935</v>
      </c>
      <c r="C1819" t="s">
        <v>678</v>
      </c>
      <c r="D1819" t="s">
        <v>1589</v>
      </c>
      <c r="E1819" t="s">
        <v>1752</v>
      </c>
      <c r="F1819" s="4">
        <v>2</v>
      </c>
      <c r="G1819">
        <v>823.36</v>
      </c>
      <c r="H1819">
        <v>0.23</v>
      </c>
      <c r="I1819" t="s">
        <v>1807</v>
      </c>
      <c r="J1819">
        <v>1267.9744000000001</v>
      </c>
      <c r="K1819" t="s">
        <v>679</v>
      </c>
      <c r="L1819">
        <v>20</v>
      </c>
      <c r="M1819" t="str">
        <v>Female</v>
      </c>
      <c r="N1819" t="str">
        <f>VLOOKUP(C:C,Customer_Dim!B:I,5,1)</f>
        <v>Matthewborough</v>
      </c>
      <c r="O1819" t="str">
        <f>VLOOKUP(C:C,Customer_Dim!B:I,6,1)</f>
        <v>Georgia</v>
      </c>
      <c r="P1819" t="str">
        <f>VLOOKUP(C:C,Customer_Dim!B:I,7,1)</f>
        <v>USA</v>
      </c>
      <c r="Q1819" t="str">
        <f>VLOOKUP(C:C,Customer_Dim!B:I,8,1)</f>
        <v>Silver</v>
      </c>
      <c r="S1819">
        <v>2</v>
      </c>
      <c r="T1819">
        <v>823.36</v>
      </c>
      <c r="U1819">
        <v>0.23</v>
      </c>
      <c r="V1819">
        <v>1267.9744000000001</v>
      </c>
      <c r="X1819" s="4">
        <v>2</v>
      </c>
      <c r="Y1819">
        <v>823.36</v>
      </c>
      <c r="Z1819">
        <v>0.23</v>
      </c>
      <c r="AA1819">
        <v>1267.9744000000001</v>
      </c>
    </row>
    <row r="1820" spans="1:27" x14ac:dyDescent="0.3">
      <c r="A1820" t="s">
        <v>3627</v>
      </c>
      <c r="B1820" s="2">
        <v>45814</v>
      </c>
      <c r="C1820" t="s">
        <v>462</v>
      </c>
      <c r="D1820" t="s">
        <v>1583</v>
      </c>
      <c r="E1820" t="s">
        <v>1756</v>
      </c>
      <c r="F1820" s="4">
        <v>4</v>
      </c>
      <c r="G1820">
        <v>282.18</v>
      </c>
      <c r="H1820">
        <v>0.13</v>
      </c>
      <c r="I1820" t="s">
        <v>1812</v>
      </c>
      <c r="J1820">
        <v>981.9864</v>
      </c>
      <c r="K1820" t="s">
        <v>463</v>
      </c>
      <c r="L1820">
        <v>43</v>
      </c>
      <c r="M1820" t="str">
        <v>Male</v>
      </c>
      <c r="N1820" t="str">
        <f>VLOOKUP(C:C,Customer_Dim!B:I,5,1)</f>
        <v>North Johnbury</v>
      </c>
      <c r="O1820" t="str">
        <f>VLOOKUP(C:C,Customer_Dim!B:I,6,1)</f>
        <v>Ohio</v>
      </c>
      <c r="P1820" t="str">
        <f>VLOOKUP(C:C,Customer_Dim!B:I,7,1)</f>
        <v>USA</v>
      </c>
      <c r="Q1820" t="str">
        <f>VLOOKUP(C:C,Customer_Dim!B:I,8,1)</f>
        <v>Platinum</v>
      </c>
      <c r="S1820">
        <v>4</v>
      </c>
      <c r="T1820">
        <v>282.18</v>
      </c>
      <c r="U1820">
        <v>0.13</v>
      </c>
      <c r="V1820">
        <v>981.9864</v>
      </c>
      <c r="X1820" s="4">
        <v>4</v>
      </c>
      <c r="Y1820">
        <v>282.18</v>
      </c>
      <c r="Z1820">
        <v>0.13</v>
      </c>
      <c r="AA1820">
        <v>981.9864</v>
      </c>
    </row>
    <row r="1821" spans="1:27" x14ac:dyDescent="0.3">
      <c r="A1821" t="s">
        <v>3628</v>
      </c>
      <c r="B1821" s="2">
        <v>45323</v>
      </c>
      <c r="C1821" t="s">
        <v>565</v>
      </c>
      <c r="D1821" t="s">
        <v>1573</v>
      </c>
      <c r="E1821" t="s">
        <v>1740</v>
      </c>
      <c r="F1821" s="4">
        <v>1</v>
      </c>
      <c r="G1821">
        <v>486.39</v>
      </c>
      <c r="H1821">
        <v>0.09</v>
      </c>
      <c r="I1821" t="s">
        <v>1812</v>
      </c>
      <c r="J1821">
        <v>442.61489999999998</v>
      </c>
      <c r="K1821" t="s">
        <v>566</v>
      </c>
      <c r="L1821">
        <v>41</v>
      </c>
      <c r="M1821" t="str">
        <v>Female</v>
      </c>
      <c r="N1821" t="str">
        <f>VLOOKUP(C:C,Customer_Dim!B:I,5,1)</f>
        <v>Port Richard</v>
      </c>
      <c r="O1821" t="str">
        <f>VLOOKUP(C:C,Customer_Dim!B:I,6,1)</f>
        <v>West Virginia</v>
      </c>
      <c r="P1821" t="str">
        <f>VLOOKUP(C:C,Customer_Dim!B:I,7,1)</f>
        <v>USA</v>
      </c>
      <c r="Q1821" t="str">
        <f>VLOOKUP(C:C,Customer_Dim!B:I,8,1)</f>
        <v>Bronze</v>
      </c>
      <c r="S1821">
        <v>1</v>
      </c>
      <c r="T1821">
        <v>486.39</v>
      </c>
      <c r="U1821">
        <v>0.09</v>
      </c>
      <c r="V1821">
        <v>442.61489999999998</v>
      </c>
      <c r="X1821" s="4">
        <v>1</v>
      </c>
      <c r="Y1821">
        <v>486.39</v>
      </c>
      <c r="Z1821">
        <v>0.09</v>
      </c>
      <c r="AA1821">
        <v>442.61489999999998</v>
      </c>
    </row>
    <row r="1822" spans="1:27" x14ac:dyDescent="0.3">
      <c r="A1822" t="s">
        <v>3629</v>
      </c>
      <c r="B1822" s="2">
        <v>45312</v>
      </c>
      <c r="C1822" t="s">
        <v>171</v>
      </c>
      <c r="D1822" t="s">
        <v>1567</v>
      </c>
      <c r="E1822" t="s">
        <v>1749</v>
      </c>
      <c r="F1822" s="4">
        <v>2</v>
      </c>
      <c r="G1822">
        <v>603.62</v>
      </c>
      <c r="H1822">
        <v>0.18</v>
      </c>
      <c r="I1822" t="s">
        <v>1812</v>
      </c>
      <c r="J1822">
        <v>989.93680000000006</v>
      </c>
      <c r="K1822" t="s">
        <v>172</v>
      </c>
      <c r="L1822">
        <v>54</v>
      </c>
      <c r="M1822" t="str">
        <v>Male</v>
      </c>
      <c r="N1822" t="str">
        <f>VLOOKUP(C:C,Customer_Dim!B:I,5,1)</f>
        <v>Christianstad</v>
      </c>
      <c r="O1822" t="str">
        <f>VLOOKUP(C:C,Customer_Dim!B:I,6,1)</f>
        <v>Hawaii</v>
      </c>
      <c r="P1822" t="str">
        <f>VLOOKUP(C:C,Customer_Dim!B:I,7,1)</f>
        <v>USA</v>
      </c>
      <c r="Q1822" t="str">
        <f>VLOOKUP(C:C,Customer_Dim!B:I,8,1)</f>
        <v>Bronze</v>
      </c>
      <c r="S1822">
        <v>2</v>
      </c>
      <c r="T1822">
        <v>603.62</v>
      </c>
      <c r="U1822">
        <v>0.18</v>
      </c>
      <c r="V1822">
        <v>989.93680000000006</v>
      </c>
      <c r="X1822" s="4">
        <v>2</v>
      </c>
      <c r="Y1822">
        <v>603.62</v>
      </c>
      <c r="Z1822">
        <v>0.18</v>
      </c>
      <c r="AA1822">
        <v>989.93680000000006</v>
      </c>
    </row>
    <row r="1823" spans="1:27" x14ac:dyDescent="0.3">
      <c r="A1823" t="s">
        <v>3630</v>
      </c>
      <c r="B1823" s="2">
        <v>45554</v>
      </c>
      <c r="C1823" t="s">
        <v>491</v>
      </c>
      <c r="D1823" t="s">
        <v>1605</v>
      </c>
      <c r="E1823" t="s">
        <v>1765</v>
      </c>
      <c r="F1823" s="4">
        <v>3</v>
      </c>
      <c r="G1823">
        <v>204.17</v>
      </c>
      <c r="H1823">
        <v>0.1</v>
      </c>
      <c r="I1823" t="s">
        <v>1809</v>
      </c>
      <c r="J1823">
        <v>551.25900000000001</v>
      </c>
      <c r="K1823" t="s">
        <v>492</v>
      </c>
      <c r="L1823">
        <v>42</v>
      </c>
      <c r="M1823" t="str">
        <v>Female</v>
      </c>
      <c r="N1823" t="str">
        <f>VLOOKUP(C:C,Customer_Dim!B:I,5,1)</f>
        <v>Lake Nathanfort</v>
      </c>
      <c r="O1823" t="str">
        <f>VLOOKUP(C:C,Customer_Dim!B:I,6,1)</f>
        <v>Alaska</v>
      </c>
      <c r="P1823" t="str">
        <f>VLOOKUP(C:C,Customer_Dim!B:I,7,1)</f>
        <v>USA</v>
      </c>
      <c r="Q1823" t="str">
        <f>VLOOKUP(C:C,Customer_Dim!B:I,8,1)</f>
        <v>Platinum</v>
      </c>
      <c r="S1823">
        <v>3</v>
      </c>
      <c r="T1823">
        <v>204.17</v>
      </c>
      <c r="U1823">
        <v>0.1</v>
      </c>
      <c r="V1823">
        <v>551.25900000000001</v>
      </c>
      <c r="X1823" s="4">
        <v>3</v>
      </c>
      <c r="Y1823">
        <v>204.17</v>
      </c>
      <c r="Z1823">
        <v>0.1</v>
      </c>
      <c r="AA1823">
        <v>551.25900000000001</v>
      </c>
    </row>
    <row r="1824" spans="1:27" x14ac:dyDescent="0.3">
      <c r="A1824" t="s">
        <v>3631</v>
      </c>
      <c r="B1824" s="2">
        <v>45310</v>
      </c>
      <c r="C1824" t="s">
        <v>462</v>
      </c>
      <c r="D1824" t="s">
        <v>1545</v>
      </c>
      <c r="E1824" t="s">
        <v>1784</v>
      </c>
      <c r="F1824" s="4">
        <v>1</v>
      </c>
      <c r="G1824">
        <v>43.58</v>
      </c>
      <c r="H1824">
        <v>0.01</v>
      </c>
      <c r="I1824" t="s">
        <v>1812</v>
      </c>
      <c r="J1824">
        <v>43.144199999999998</v>
      </c>
      <c r="K1824" t="s">
        <v>463</v>
      </c>
      <c r="L1824">
        <v>43</v>
      </c>
      <c r="M1824" t="str">
        <v>Male</v>
      </c>
      <c r="N1824" t="str">
        <f>VLOOKUP(C:C,Customer_Dim!B:I,5,1)</f>
        <v>North Johnbury</v>
      </c>
      <c r="O1824" t="str">
        <f>VLOOKUP(C:C,Customer_Dim!B:I,6,1)</f>
        <v>Ohio</v>
      </c>
      <c r="P1824" t="str">
        <f>VLOOKUP(C:C,Customer_Dim!B:I,7,1)</f>
        <v>USA</v>
      </c>
      <c r="Q1824" t="str">
        <f>VLOOKUP(C:C,Customer_Dim!B:I,8,1)</f>
        <v>Platinum</v>
      </c>
      <c r="S1824">
        <v>1</v>
      </c>
      <c r="T1824">
        <v>43.58</v>
      </c>
      <c r="U1824">
        <v>0.01</v>
      </c>
      <c r="V1824">
        <v>43.144199999999998</v>
      </c>
      <c r="X1824" s="4">
        <v>1</v>
      </c>
      <c r="Y1824">
        <v>43.58</v>
      </c>
      <c r="Z1824">
        <v>0.01</v>
      </c>
      <c r="AA1824">
        <v>43.144199999999998</v>
      </c>
    </row>
    <row r="1825" spans="1:27" x14ac:dyDescent="0.3">
      <c r="A1825" t="s">
        <v>3632</v>
      </c>
      <c r="B1825" s="2">
        <v>45594</v>
      </c>
      <c r="C1825" t="s">
        <v>1033</v>
      </c>
      <c r="D1825" t="s">
        <v>1625</v>
      </c>
      <c r="E1825" t="s">
        <v>1744</v>
      </c>
      <c r="F1825" s="4">
        <v>3</v>
      </c>
      <c r="G1825">
        <v>469.33</v>
      </c>
      <c r="H1825">
        <v>0.14000000000000001</v>
      </c>
      <c r="I1825" t="s">
        <v>1809</v>
      </c>
      <c r="J1825">
        <v>1210.8714</v>
      </c>
      <c r="K1825" t="s">
        <v>1034</v>
      </c>
      <c r="L1825">
        <v>64</v>
      </c>
      <c r="M1825" t="str">
        <v>Female</v>
      </c>
      <c r="N1825" t="str">
        <f>VLOOKUP(C:C,Customer_Dim!B:I,5,1)</f>
        <v>New Paulstad</v>
      </c>
      <c r="O1825" t="str">
        <f>VLOOKUP(C:C,Customer_Dim!B:I,6,1)</f>
        <v>Hawaii</v>
      </c>
      <c r="P1825" t="str">
        <f>VLOOKUP(C:C,Customer_Dim!B:I,7,1)</f>
        <v>USA</v>
      </c>
      <c r="Q1825" t="str">
        <f>VLOOKUP(C:C,Customer_Dim!B:I,8,1)</f>
        <v>Bronze</v>
      </c>
      <c r="S1825">
        <v>3</v>
      </c>
      <c r="T1825">
        <v>469.33</v>
      </c>
      <c r="U1825">
        <v>0.14000000000000001</v>
      </c>
      <c r="V1825">
        <v>1210.8714</v>
      </c>
      <c r="X1825" s="4">
        <v>3</v>
      </c>
      <c r="Y1825">
        <v>469.33</v>
      </c>
      <c r="Z1825">
        <v>0.14000000000000001</v>
      </c>
      <c r="AA1825">
        <v>1210.8714</v>
      </c>
    </row>
    <row r="1826" spans="1:27" x14ac:dyDescent="0.3">
      <c r="A1826" t="s">
        <v>3633</v>
      </c>
      <c r="B1826" s="2">
        <v>45840</v>
      </c>
      <c r="C1826" t="s">
        <v>675</v>
      </c>
      <c r="D1826" t="s">
        <v>1545</v>
      </c>
      <c r="E1826" t="s">
        <v>1765</v>
      </c>
      <c r="F1826" s="4">
        <v>4</v>
      </c>
      <c r="G1826">
        <v>836.23</v>
      </c>
      <c r="H1826">
        <v>0.12</v>
      </c>
      <c r="I1826" t="s">
        <v>1807</v>
      </c>
      <c r="J1826">
        <v>2943.5295999999998</v>
      </c>
      <c r="K1826" t="s">
        <v>676</v>
      </c>
      <c r="L1826">
        <v>48</v>
      </c>
      <c r="M1826" t="str">
        <v>Male</v>
      </c>
      <c r="N1826" t="str">
        <f>VLOOKUP(C:C,Customer_Dim!B:I,5,1)</f>
        <v>Lake Josephport</v>
      </c>
      <c r="O1826" t="str">
        <f>VLOOKUP(C:C,Customer_Dim!B:I,6,1)</f>
        <v>Maine</v>
      </c>
      <c r="P1826" t="str">
        <f>VLOOKUP(C:C,Customer_Dim!B:I,7,1)</f>
        <v>USA</v>
      </c>
      <c r="Q1826" t="str">
        <f>VLOOKUP(C:C,Customer_Dim!B:I,8,1)</f>
        <v>Platinum</v>
      </c>
      <c r="S1826">
        <v>4</v>
      </c>
      <c r="T1826">
        <v>836.23</v>
      </c>
      <c r="U1826">
        <v>0.12</v>
      </c>
      <c r="V1826">
        <v>2943.5295999999998</v>
      </c>
      <c r="X1826" s="4">
        <v>4</v>
      </c>
      <c r="Y1826">
        <v>836.23</v>
      </c>
      <c r="Z1826">
        <v>0.12</v>
      </c>
      <c r="AA1826">
        <v>2943.5295999999998</v>
      </c>
    </row>
    <row r="1827" spans="1:27" x14ac:dyDescent="0.3">
      <c r="A1827" t="s">
        <v>3634</v>
      </c>
      <c r="B1827" s="2">
        <v>45549</v>
      </c>
      <c r="C1827" t="s">
        <v>583</v>
      </c>
      <c r="D1827" t="s">
        <v>1665</v>
      </c>
      <c r="E1827" t="s">
        <v>1796</v>
      </c>
      <c r="F1827" s="4">
        <v>2</v>
      </c>
      <c r="G1827">
        <v>661.53</v>
      </c>
      <c r="H1827">
        <v>0.2</v>
      </c>
      <c r="I1827" t="s">
        <v>1809</v>
      </c>
      <c r="J1827">
        <v>1058.4480000000001</v>
      </c>
      <c r="K1827" t="s">
        <v>584</v>
      </c>
      <c r="L1827">
        <v>43</v>
      </c>
      <c r="M1827" t="str">
        <v>Female</v>
      </c>
      <c r="N1827" t="str">
        <f>VLOOKUP(C:C,Customer_Dim!B:I,5,1)</f>
        <v>West Daniel</v>
      </c>
      <c r="O1827" t="str">
        <f>VLOOKUP(C:C,Customer_Dim!B:I,6,1)</f>
        <v>South Carolina</v>
      </c>
      <c r="P1827" t="str">
        <f>VLOOKUP(C:C,Customer_Dim!B:I,7,1)</f>
        <v>USA</v>
      </c>
      <c r="Q1827" t="str">
        <f>VLOOKUP(C:C,Customer_Dim!B:I,8,1)</f>
        <v>Bronze</v>
      </c>
      <c r="S1827">
        <v>2</v>
      </c>
      <c r="T1827">
        <v>661.53</v>
      </c>
      <c r="U1827">
        <v>0.2</v>
      </c>
      <c r="V1827">
        <v>1058.4480000000001</v>
      </c>
      <c r="X1827" s="4">
        <v>2</v>
      </c>
      <c r="Y1827">
        <v>661.53</v>
      </c>
      <c r="Z1827">
        <v>0.2</v>
      </c>
      <c r="AA1827">
        <v>1058.4480000000001</v>
      </c>
    </row>
    <row r="1828" spans="1:27" x14ac:dyDescent="0.3">
      <c r="A1828" t="s">
        <v>3635</v>
      </c>
      <c r="B1828" s="2">
        <v>45903</v>
      </c>
      <c r="C1828" t="s">
        <v>406</v>
      </c>
      <c r="D1828" t="s">
        <v>1643</v>
      </c>
      <c r="E1828" t="s">
        <v>1787</v>
      </c>
      <c r="F1828" s="4">
        <v>3</v>
      </c>
      <c r="G1828">
        <v>753.47</v>
      </c>
      <c r="H1828">
        <v>0.25</v>
      </c>
      <c r="I1828" t="s">
        <v>1809</v>
      </c>
      <c r="J1828">
        <v>1695.3074999999999</v>
      </c>
      <c r="K1828" t="s">
        <v>407</v>
      </c>
      <c r="L1828">
        <v>40</v>
      </c>
      <c r="M1828" t="str">
        <v>Male</v>
      </c>
      <c r="N1828" t="str">
        <f>VLOOKUP(C:C,Customer_Dim!B:I,5,1)</f>
        <v>New Jenniferburgh</v>
      </c>
      <c r="O1828" t="str">
        <f>VLOOKUP(C:C,Customer_Dim!B:I,6,1)</f>
        <v>Nebraska</v>
      </c>
      <c r="P1828" t="str">
        <f>VLOOKUP(C:C,Customer_Dim!B:I,7,1)</f>
        <v>USA</v>
      </c>
      <c r="Q1828" t="str">
        <f>VLOOKUP(C:C,Customer_Dim!B:I,8,1)</f>
        <v>Platinum</v>
      </c>
      <c r="S1828">
        <v>3</v>
      </c>
      <c r="T1828">
        <v>753.47</v>
      </c>
      <c r="U1828">
        <v>0.25</v>
      </c>
      <c r="V1828">
        <v>1695.3074999999999</v>
      </c>
      <c r="X1828" s="4">
        <v>3</v>
      </c>
      <c r="Y1828">
        <v>753.47</v>
      </c>
      <c r="Z1828">
        <v>0.25</v>
      </c>
      <c r="AA1828">
        <v>1695.3074999999999</v>
      </c>
    </row>
    <row r="1829" spans="1:27" x14ac:dyDescent="0.3">
      <c r="A1829" t="s">
        <v>3636</v>
      </c>
      <c r="B1829" s="2">
        <v>45673</v>
      </c>
      <c r="C1829" t="s">
        <v>518</v>
      </c>
      <c r="D1829" t="s">
        <v>1659</v>
      </c>
      <c r="E1829" t="s">
        <v>1735</v>
      </c>
      <c r="F1829" s="4">
        <v>3</v>
      </c>
      <c r="G1829">
        <v>713.95</v>
      </c>
      <c r="H1829">
        <v>0</v>
      </c>
      <c r="I1829" t="s">
        <v>1807</v>
      </c>
      <c r="J1829">
        <v>2141.85</v>
      </c>
      <c r="K1829" t="s">
        <v>519</v>
      </c>
      <c r="L1829">
        <v>59</v>
      </c>
      <c r="M1829" t="str">
        <v>Male</v>
      </c>
      <c r="N1829" t="str">
        <f>VLOOKUP(C:C,Customer_Dim!B:I,5,1)</f>
        <v>East Peterbury</v>
      </c>
      <c r="O1829" t="str">
        <f>VLOOKUP(C:C,Customer_Dim!B:I,6,1)</f>
        <v>North Dakota</v>
      </c>
      <c r="P1829" t="str">
        <f>VLOOKUP(C:C,Customer_Dim!B:I,7,1)</f>
        <v>USA</v>
      </c>
      <c r="Q1829" t="str">
        <f>VLOOKUP(C:C,Customer_Dim!B:I,8,1)</f>
        <v>Bronze</v>
      </c>
      <c r="S1829">
        <v>3</v>
      </c>
      <c r="T1829">
        <v>713.95</v>
      </c>
      <c r="U1829">
        <v>0</v>
      </c>
      <c r="V1829">
        <v>2141.85</v>
      </c>
      <c r="X1829" s="4">
        <v>3</v>
      </c>
      <c r="Y1829">
        <v>713.95</v>
      </c>
      <c r="Z1829">
        <v>0</v>
      </c>
      <c r="AA1829">
        <v>2141.85</v>
      </c>
    </row>
    <row r="1830" spans="1:27" x14ac:dyDescent="0.3">
      <c r="A1830" t="s">
        <v>3637</v>
      </c>
      <c r="B1830" s="2">
        <v>45395</v>
      </c>
      <c r="C1830" t="s">
        <v>348</v>
      </c>
      <c r="D1830" t="s">
        <v>1553</v>
      </c>
      <c r="E1830" t="s">
        <v>1756</v>
      </c>
      <c r="F1830" s="4">
        <v>3</v>
      </c>
      <c r="G1830">
        <v>596</v>
      </c>
      <c r="H1830">
        <v>0.28000000000000003</v>
      </c>
      <c r="I1830" t="s">
        <v>1812</v>
      </c>
      <c r="J1830">
        <v>1287.3599999999999</v>
      </c>
      <c r="K1830" t="s">
        <v>349</v>
      </c>
      <c r="L1830">
        <v>53</v>
      </c>
      <c r="M1830" t="str">
        <v>Female</v>
      </c>
      <c r="N1830" t="str">
        <f>VLOOKUP(C:C,Customer_Dim!B:I,5,1)</f>
        <v>South Dustin</v>
      </c>
      <c r="O1830" t="str">
        <f>VLOOKUP(C:C,Customer_Dim!B:I,6,1)</f>
        <v>Tennessee</v>
      </c>
      <c r="P1830" t="str">
        <f>VLOOKUP(C:C,Customer_Dim!B:I,7,1)</f>
        <v>USA</v>
      </c>
      <c r="Q1830" t="str">
        <f>VLOOKUP(C:C,Customer_Dim!B:I,8,1)</f>
        <v>Silver</v>
      </c>
      <c r="S1830">
        <v>3</v>
      </c>
      <c r="T1830">
        <v>596</v>
      </c>
      <c r="U1830">
        <v>0.28000000000000003</v>
      </c>
      <c r="V1830">
        <v>1287.3599999999999</v>
      </c>
      <c r="X1830" s="4">
        <v>3</v>
      </c>
      <c r="Y1830">
        <v>596</v>
      </c>
      <c r="Z1830">
        <v>0.28000000000000003</v>
      </c>
      <c r="AA1830">
        <v>1287.3599999999999</v>
      </c>
    </row>
    <row r="1831" spans="1:27" x14ac:dyDescent="0.3">
      <c r="A1831" t="s">
        <v>3638</v>
      </c>
      <c r="B1831" s="2">
        <v>45379</v>
      </c>
      <c r="C1831" t="s">
        <v>1039</v>
      </c>
      <c r="D1831" t="s">
        <v>1548</v>
      </c>
      <c r="E1831" t="s">
        <v>1769</v>
      </c>
      <c r="F1831" s="4">
        <v>2</v>
      </c>
      <c r="G1831">
        <v>169.46</v>
      </c>
      <c r="H1831">
        <v>0.03</v>
      </c>
      <c r="I1831" t="s">
        <v>1809</v>
      </c>
      <c r="J1831">
        <v>328.75240000000002</v>
      </c>
      <c r="K1831" t="s">
        <v>1040</v>
      </c>
      <c r="L1831">
        <v>37</v>
      </c>
      <c r="M1831" t="str">
        <v>Male</v>
      </c>
      <c r="N1831" t="str">
        <f>VLOOKUP(C:C,Customer_Dim!B:I,5,1)</f>
        <v>Donaldsontown</v>
      </c>
      <c r="O1831" t="str">
        <f>VLOOKUP(C:C,Customer_Dim!B:I,6,1)</f>
        <v>Connecticut</v>
      </c>
      <c r="P1831" t="str">
        <f>VLOOKUP(C:C,Customer_Dim!B:I,7,1)</f>
        <v>USA</v>
      </c>
      <c r="Q1831" t="str">
        <f>VLOOKUP(C:C,Customer_Dim!B:I,8,1)</f>
        <v>Silver</v>
      </c>
      <c r="S1831">
        <v>2</v>
      </c>
      <c r="T1831">
        <v>169.46</v>
      </c>
      <c r="U1831">
        <v>0.03</v>
      </c>
      <c r="V1831">
        <v>328.75240000000002</v>
      </c>
      <c r="X1831" s="4">
        <v>2</v>
      </c>
      <c r="Y1831">
        <v>169.46</v>
      </c>
      <c r="Z1831">
        <v>0.03</v>
      </c>
      <c r="AA1831">
        <v>328.75240000000002</v>
      </c>
    </row>
    <row r="1832" spans="1:27" x14ac:dyDescent="0.3">
      <c r="A1832" t="s">
        <v>3639</v>
      </c>
      <c r="B1832" s="2">
        <v>45860</v>
      </c>
      <c r="C1832" t="s">
        <v>939</v>
      </c>
      <c r="D1832" t="s">
        <v>1661</v>
      </c>
      <c r="E1832" t="s">
        <v>1782</v>
      </c>
      <c r="F1832" s="4">
        <v>4</v>
      </c>
      <c r="G1832">
        <v>611.91999999999996</v>
      </c>
      <c r="H1832">
        <v>0.2</v>
      </c>
      <c r="I1832" t="s">
        <v>1809</v>
      </c>
      <c r="J1832">
        <v>1958.144</v>
      </c>
      <c r="K1832" t="s">
        <v>940</v>
      </c>
      <c r="L1832">
        <v>50</v>
      </c>
      <c r="M1832" t="str">
        <v>Male</v>
      </c>
      <c r="N1832" t="str">
        <f>VLOOKUP(C:C,Customer_Dim!B:I,5,1)</f>
        <v>Lake Melissashire</v>
      </c>
      <c r="O1832" t="str">
        <f>VLOOKUP(C:C,Customer_Dim!B:I,6,1)</f>
        <v>Oregon</v>
      </c>
      <c r="P1832" t="str">
        <f>VLOOKUP(C:C,Customer_Dim!B:I,7,1)</f>
        <v>USA</v>
      </c>
      <c r="Q1832" t="str">
        <f>VLOOKUP(C:C,Customer_Dim!B:I,8,1)</f>
        <v>Silver</v>
      </c>
      <c r="S1832">
        <v>4</v>
      </c>
      <c r="T1832">
        <v>611.91999999999996</v>
      </c>
      <c r="U1832">
        <v>0.2</v>
      </c>
      <c r="V1832">
        <v>1958.144</v>
      </c>
      <c r="X1832" s="4">
        <v>4</v>
      </c>
      <c r="Y1832">
        <v>611.91999999999996</v>
      </c>
      <c r="Z1832">
        <v>0.2</v>
      </c>
      <c r="AA1832">
        <v>1958.144</v>
      </c>
    </row>
    <row r="1833" spans="1:27" x14ac:dyDescent="0.3">
      <c r="A1833" t="s">
        <v>3640</v>
      </c>
      <c r="B1833" s="2">
        <v>45704</v>
      </c>
      <c r="C1833" t="s">
        <v>23</v>
      </c>
      <c r="D1833" t="s">
        <v>1679</v>
      </c>
      <c r="E1833" t="s">
        <v>1784</v>
      </c>
      <c r="F1833" s="4">
        <v>2</v>
      </c>
      <c r="G1833">
        <v>25.3</v>
      </c>
      <c r="H1833">
        <v>0.21</v>
      </c>
      <c r="I1833" t="s">
        <v>1807</v>
      </c>
      <c r="J1833">
        <v>39.973999999999997</v>
      </c>
      <c r="K1833" t="s">
        <v>3934</v>
      </c>
      <c r="L1833">
        <v>64</v>
      </c>
      <c r="M1833" t="str">
        <v>Female</v>
      </c>
      <c r="N1833" t="str">
        <f>VLOOKUP(C:C,Customer_Dim!B:I,5,1)</f>
        <v>Thomastown</v>
      </c>
      <c r="O1833" t="str">
        <f>VLOOKUP(C:C,Customer_Dim!B:I,6,1)</f>
        <v>Ohio</v>
      </c>
      <c r="P1833" t="str">
        <f>VLOOKUP(C:C,Customer_Dim!B:I,7,1)</f>
        <v>USA</v>
      </c>
      <c r="Q1833" t="str">
        <f>VLOOKUP(C:C,Customer_Dim!B:I,8,1)</f>
        <v>Bronze</v>
      </c>
      <c r="S1833">
        <v>2</v>
      </c>
      <c r="T1833">
        <v>25.3</v>
      </c>
      <c r="U1833">
        <v>0.21</v>
      </c>
      <c r="V1833">
        <v>39.973999999999997</v>
      </c>
      <c r="X1833" s="4">
        <v>2</v>
      </c>
      <c r="Y1833">
        <v>25.3</v>
      </c>
      <c r="Z1833">
        <v>0.21</v>
      </c>
      <c r="AA1833">
        <v>39.973999999999997</v>
      </c>
    </row>
    <row r="1834" spans="1:27" x14ac:dyDescent="0.3">
      <c r="A1834" t="s">
        <v>3641</v>
      </c>
      <c r="B1834" s="2">
        <v>45327</v>
      </c>
      <c r="C1834" t="s">
        <v>1327</v>
      </c>
      <c r="D1834" t="s">
        <v>1677</v>
      </c>
      <c r="E1834" t="s">
        <v>1772</v>
      </c>
      <c r="F1834" s="4">
        <v>4</v>
      </c>
      <c r="G1834">
        <v>166.93</v>
      </c>
      <c r="H1834">
        <v>0.02</v>
      </c>
      <c r="I1834" t="s">
        <v>1809</v>
      </c>
      <c r="J1834">
        <v>654.36559999999997</v>
      </c>
      <c r="K1834" t="s">
        <v>1328</v>
      </c>
      <c r="L1834">
        <v>48</v>
      </c>
      <c r="M1834" t="str">
        <v>Female</v>
      </c>
      <c r="N1834" t="str">
        <f>VLOOKUP(C:C,Customer_Dim!B:I,5,1)</f>
        <v>Williamsberg</v>
      </c>
      <c r="O1834" t="str">
        <f>VLOOKUP(C:C,Customer_Dim!B:I,6,1)</f>
        <v>New York</v>
      </c>
      <c r="P1834" t="str">
        <f>VLOOKUP(C:C,Customer_Dim!B:I,7,1)</f>
        <v>USA</v>
      </c>
      <c r="Q1834" t="str">
        <f>VLOOKUP(C:C,Customer_Dim!B:I,8,1)</f>
        <v>Silver</v>
      </c>
      <c r="S1834">
        <v>4</v>
      </c>
      <c r="T1834">
        <v>166.93</v>
      </c>
      <c r="U1834">
        <v>0.02</v>
      </c>
      <c r="V1834">
        <v>654.36559999999997</v>
      </c>
      <c r="X1834" s="4">
        <v>4</v>
      </c>
      <c r="Y1834">
        <v>166.93</v>
      </c>
      <c r="Z1834">
        <v>0.02</v>
      </c>
      <c r="AA1834">
        <v>654.36559999999997</v>
      </c>
    </row>
    <row r="1835" spans="1:27" x14ac:dyDescent="0.3">
      <c r="A1835" t="s">
        <v>3642</v>
      </c>
      <c r="B1835" s="2">
        <v>45721</v>
      </c>
      <c r="C1835" t="s">
        <v>882</v>
      </c>
      <c r="D1835" t="s">
        <v>1651</v>
      </c>
      <c r="E1835" t="s">
        <v>1775</v>
      </c>
      <c r="F1835" s="4">
        <v>4</v>
      </c>
      <c r="G1835">
        <v>861.55</v>
      </c>
      <c r="H1835">
        <v>0.12</v>
      </c>
      <c r="I1835" t="s">
        <v>1807</v>
      </c>
      <c r="J1835">
        <v>3032.6559999999999</v>
      </c>
      <c r="K1835" t="s">
        <v>883</v>
      </c>
      <c r="L1835">
        <v>59</v>
      </c>
      <c r="M1835" t="str">
        <v>Male</v>
      </c>
      <c r="N1835" t="str">
        <f>VLOOKUP(C:C,Customer_Dim!B:I,5,1)</f>
        <v>Morrisville</v>
      </c>
      <c r="O1835" t="str">
        <f>VLOOKUP(C:C,Customer_Dim!B:I,6,1)</f>
        <v>Hawaii</v>
      </c>
      <c r="P1835" t="str">
        <f>VLOOKUP(C:C,Customer_Dim!B:I,7,1)</f>
        <v>USA</v>
      </c>
      <c r="Q1835" t="str">
        <f>VLOOKUP(C:C,Customer_Dim!B:I,8,1)</f>
        <v>Bronze</v>
      </c>
      <c r="S1835">
        <v>4</v>
      </c>
      <c r="T1835">
        <v>861.55</v>
      </c>
      <c r="U1835">
        <v>0.12</v>
      </c>
      <c r="V1835">
        <v>3032.6559999999999</v>
      </c>
      <c r="X1835" s="4">
        <v>4</v>
      </c>
      <c r="Y1835">
        <v>861.55</v>
      </c>
      <c r="Z1835">
        <v>0.12</v>
      </c>
      <c r="AA1835">
        <v>3032.6559999999999</v>
      </c>
    </row>
    <row r="1836" spans="1:27" x14ac:dyDescent="0.3">
      <c r="A1836" t="s">
        <v>3643</v>
      </c>
      <c r="B1836" s="2">
        <v>45842</v>
      </c>
      <c r="C1836" t="s">
        <v>1115</v>
      </c>
      <c r="D1836" t="s">
        <v>1617</v>
      </c>
      <c r="E1836" t="s">
        <v>1756</v>
      </c>
      <c r="F1836" s="4">
        <v>3</v>
      </c>
      <c r="G1836">
        <v>56.17</v>
      </c>
      <c r="H1836">
        <v>0.01</v>
      </c>
      <c r="I1836" t="s">
        <v>1812</v>
      </c>
      <c r="J1836">
        <v>166.82490000000001</v>
      </c>
      <c r="K1836" t="s">
        <v>1116</v>
      </c>
      <c r="L1836">
        <v>64</v>
      </c>
      <c r="M1836" t="str">
        <v>Male</v>
      </c>
      <c r="N1836" t="str">
        <f>VLOOKUP(C:C,Customer_Dim!B:I,5,1)</f>
        <v>Andersonside</v>
      </c>
      <c r="O1836" t="str">
        <f>VLOOKUP(C:C,Customer_Dim!B:I,6,1)</f>
        <v>Arkansas</v>
      </c>
      <c r="P1836" t="str">
        <f>VLOOKUP(C:C,Customer_Dim!B:I,7,1)</f>
        <v>USA</v>
      </c>
      <c r="Q1836" t="str">
        <f>VLOOKUP(C:C,Customer_Dim!B:I,8,1)</f>
        <v>Platinum</v>
      </c>
      <c r="S1836">
        <v>3</v>
      </c>
      <c r="T1836">
        <v>56.17</v>
      </c>
      <c r="U1836">
        <v>0.01</v>
      </c>
      <c r="V1836">
        <v>166.82490000000001</v>
      </c>
      <c r="X1836" s="4">
        <v>3</v>
      </c>
      <c r="Y1836">
        <v>56.17</v>
      </c>
      <c r="Z1836">
        <v>0.01</v>
      </c>
      <c r="AA1836">
        <v>166.82490000000001</v>
      </c>
    </row>
    <row r="1837" spans="1:27" x14ac:dyDescent="0.3">
      <c r="A1837" t="s">
        <v>3644</v>
      </c>
      <c r="B1837" s="2">
        <v>45862</v>
      </c>
      <c r="C1837" t="s">
        <v>842</v>
      </c>
      <c r="D1837" t="s">
        <v>1561</v>
      </c>
      <c r="E1837" t="s">
        <v>1796</v>
      </c>
      <c r="F1837" s="4">
        <v>1</v>
      </c>
      <c r="G1837">
        <v>582.29</v>
      </c>
      <c r="H1837">
        <v>0.2</v>
      </c>
      <c r="I1837" t="s">
        <v>1807</v>
      </c>
      <c r="J1837">
        <v>465.83199999999999</v>
      </c>
      <c r="K1837" t="s">
        <v>843</v>
      </c>
      <c r="L1837">
        <v>18</v>
      </c>
      <c r="M1837" t="str">
        <v>Male</v>
      </c>
      <c r="N1837" t="str">
        <f>VLOOKUP(C:C,Customer_Dim!B:I,5,1)</f>
        <v>South Gina</v>
      </c>
      <c r="O1837" t="str">
        <f>VLOOKUP(C:C,Customer_Dim!B:I,6,1)</f>
        <v>Kentucky</v>
      </c>
      <c r="P1837" t="str">
        <f>VLOOKUP(C:C,Customer_Dim!B:I,7,1)</f>
        <v>USA</v>
      </c>
      <c r="Q1837" t="str">
        <f>VLOOKUP(C:C,Customer_Dim!B:I,8,1)</f>
        <v>Bronze</v>
      </c>
      <c r="S1837">
        <v>1</v>
      </c>
      <c r="T1837">
        <v>582.29</v>
      </c>
      <c r="U1837">
        <v>0.2</v>
      </c>
      <c r="V1837">
        <v>465.83199999999999</v>
      </c>
      <c r="X1837" s="4">
        <v>1</v>
      </c>
      <c r="Y1837">
        <v>582.29</v>
      </c>
      <c r="Z1837">
        <v>0.2</v>
      </c>
      <c r="AA1837">
        <v>465.83199999999999</v>
      </c>
    </row>
    <row r="1838" spans="1:27" x14ac:dyDescent="0.3">
      <c r="A1838" t="s">
        <v>3645</v>
      </c>
      <c r="B1838" s="2">
        <v>45681</v>
      </c>
      <c r="C1838" t="s">
        <v>826</v>
      </c>
      <c r="D1838" t="s">
        <v>1697</v>
      </c>
      <c r="E1838" t="s">
        <v>1735</v>
      </c>
      <c r="F1838" s="4">
        <v>3</v>
      </c>
      <c r="G1838">
        <v>63.96</v>
      </c>
      <c r="H1838">
        <v>0.02</v>
      </c>
      <c r="I1838" t="s">
        <v>1807</v>
      </c>
      <c r="J1838">
        <v>188.04239999999999</v>
      </c>
      <c r="K1838" t="s">
        <v>827</v>
      </c>
      <c r="L1838">
        <v>60</v>
      </c>
      <c r="M1838" t="str">
        <v>Female</v>
      </c>
      <c r="N1838" t="str">
        <f>VLOOKUP(C:C,Customer_Dim!B:I,5,1)</f>
        <v>Lake Saramouth</v>
      </c>
      <c r="O1838" t="str">
        <f>VLOOKUP(C:C,Customer_Dim!B:I,6,1)</f>
        <v>Oregon</v>
      </c>
      <c r="P1838" t="str">
        <f>VLOOKUP(C:C,Customer_Dim!B:I,7,1)</f>
        <v>USA</v>
      </c>
      <c r="Q1838" t="str">
        <f>VLOOKUP(C:C,Customer_Dim!B:I,8,1)</f>
        <v>Silver</v>
      </c>
      <c r="S1838">
        <v>3</v>
      </c>
      <c r="T1838">
        <v>63.96</v>
      </c>
      <c r="U1838">
        <v>0.02</v>
      </c>
      <c r="V1838">
        <v>188.04239999999999</v>
      </c>
      <c r="X1838" s="4">
        <v>3</v>
      </c>
      <c r="Y1838">
        <v>63.96</v>
      </c>
      <c r="Z1838">
        <v>0.02</v>
      </c>
      <c r="AA1838">
        <v>188.04239999999999</v>
      </c>
    </row>
    <row r="1839" spans="1:27" x14ac:dyDescent="0.3">
      <c r="A1839" t="s">
        <v>3646</v>
      </c>
      <c r="B1839" s="2">
        <v>45392</v>
      </c>
      <c r="C1839" t="s">
        <v>238</v>
      </c>
      <c r="D1839" t="s">
        <v>1548</v>
      </c>
      <c r="E1839" t="s">
        <v>1777</v>
      </c>
      <c r="F1839" s="4">
        <v>1</v>
      </c>
      <c r="G1839">
        <v>829.83</v>
      </c>
      <c r="H1839">
        <v>0.26</v>
      </c>
      <c r="I1839" t="s">
        <v>1812</v>
      </c>
      <c r="J1839">
        <v>614.07420000000002</v>
      </c>
      <c r="K1839" t="s">
        <v>239</v>
      </c>
      <c r="L1839">
        <v>27</v>
      </c>
      <c r="M1839" t="str">
        <v>Female</v>
      </c>
      <c r="N1839" t="str">
        <f>VLOOKUP(C:C,Customer_Dim!B:I,5,1)</f>
        <v>Woodmouth</v>
      </c>
      <c r="O1839" t="str">
        <f>VLOOKUP(C:C,Customer_Dim!B:I,6,1)</f>
        <v>Nevada</v>
      </c>
      <c r="P1839" t="str">
        <f>VLOOKUP(C:C,Customer_Dim!B:I,7,1)</f>
        <v>USA</v>
      </c>
      <c r="Q1839" t="str">
        <f>VLOOKUP(C:C,Customer_Dim!B:I,8,1)</f>
        <v>Silver</v>
      </c>
      <c r="S1839">
        <v>1</v>
      </c>
      <c r="T1839">
        <v>829.83</v>
      </c>
      <c r="U1839">
        <v>0.26</v>
      </c>
      <c r="V1839">
        <v>614.07420000000002</v>
      </c>
      <c r="X1839" s="4">
        <v>1</v>
      </c>
      <c r="Y1839">
        <v>829.83</v>
      </c>
      <c r="Z1839">
        <v>0.26</v>
      </c>
      <c r="AA1839">
        <v>614.07420000000002</v>
      </c>
    </row>
    <row r="1840" spans="1:27" x14ac:dyDescent="0.3">
      <c r="A1840" t="s">
        <v>3647</v>
      </c>
      <c r="B1840" s="2">
        <v>45586</v>
      </c>
      <c r="C1840" t="s">
        <v>1144</v>
      </c>
      <c r="D1840" t="s">
        <v>1599</v>
      </c>
      <c r="E1840" t="s">
        <v>1787</v>
      </c>
      <c r="F1840" s="4">
        <v>2</v>
      </c>
      <c r="G1840">
        <v>858.15</v>
      </c>
      <c r="H1840">
        <v>0.03</v>
      </c>
      <c r="I1840" t="s">
        <v>1807</v>
      </c>
      <c r="J1840">
        <v>1664.8109999999999</v>
      </c>
      <c r="K1840" t="s">
        <v>1145</v>
      </c>
      <c r="L1840">
        <v>21</v>
      </c>
      <c r="M1840" t="str">
        <v>Female</v>
      </c>
      <c r="N1840" t="str">
        <f>VLOOKUP(C:C,Customer_Dim!B:I,5,1)</f>
        <v>Millston</v>
      </c>
      <c r="O1840" t="str">
        <f>VLOOKUP(C:C,Customer_Dim!B:I,6,1)</f>
        <v>Indiana</v>
      </c>
      <c r="P1840" t="str">
        <f>VLOOKUP(C:C,Customer_Dim!B:I,7,1)</f>
        <v>USA</v>
      </c>
      <c r="Q1840" t="str">
        <f>VLOOKUP(C:C,Customer_Dim!B:I,8,1)</f>
        <v>Silver</v>
      </c>
      <c r="S1840">
        <v>2</v>
      </c>
      <c r="T1840">
        <v>858.15</v>
      </c>
      <c r="U1840">
        <v>0.03</v>
      </c>
      <c r="V1840">
        <v>1664.8109999999999</v>
      </c>
      <c r="X1840" s="4">
        <v>2</v>
      </c>
      <c r="Y1840">
        <v>858.15</v>
      </c>
      <c r="Z1840">
        <v>0.03</v>
      </c>
      <c r="AA1840">
        <v>1664.8109999999999</v>
      </c>
    </row>
    <row r="1841" spans="1:27" x14ac:dyDescent="0.3">
      <c r="A1841" t="s">
        <v>3648</v>
      </c>
      <c r="B1841" s="2">
        <v>45340</v>
      </c>
      <c r="C1841" t="s">
        <v>1112</v>
      </c>
      <c r="D1841" t="s">
        <v>1677</v>
      </c>
      <c r="E1841" t="s">
        <v>1780</v>
      </c>
      <c r="F1841" s="4">
        <v>3</v>
      </c>
      <c r="G1841">
        <v>717.32</v>
      </c>
      <c r="H1841">
        <v>0.23</v>
      </c>
      <c r="I1841" t="s">
        <v>1812</v>
      </c>
      <c r="J1841">
        <v>1657.0092</v>
      </c>
      <c r="K1841" t="s">
        <v>1113</v>
      </c>
      <c r="L1841">
        <v>34</v>
      </c>
      <c r="M1841" t="str">
        <v>Male</v>
      </c>
      <c r="N1841" t="str">
        <f>VLOOKUP(C:C,Customer_Dim!B:I,5,1)</f>
        <v>East Michaelton</v>
      </c>
      <c r="O1841" t="str">
        <f>VLOOKUP(C:C,Customer_Dim!B:I,6,1)</f>
        <v>Kansas</v>
      </c>
      <c r="P1841" t="str">
        <f>VLOOKUP(C:C,Customer_Dim!B:I,7,1)</f>
        <v>USA</v>
      </c>
      <c r="Q1841" t="str">
        <f>VLOOKUP(C:C,Customer_Dim!B:I,8,1)</f>
        <v>Silver</v>
      </c>
      <c r="S1841">
        <v>3</v>
      </c>
      <c r="T1841">
        <v>717.32</v>
      </c>
      <c r="U1841">
        <v>0.23</v>
      </c>
      <c r="V1841">
        <v>1657.0092</v>
      </c>
      <c r="X1841" s="4">
        <v>3</v>
      </c>
      <c r="Y1841">
        <v>717.32</v>
      </c>
      <c r="Z1841">
        <v>0.23</v>
      </c>
      <c r="AA1841">
        <v>1657.0092</v>
      </c>
    </row>
    <row r="1842" spans="1:27" x14ac:dyDescent="0.3">
      <c r="A1842" t="s">
        <v>3649</v>
      </c>
      <c r="B1842" s="2">
        <v>45853</v>
      </c>
      <c r="C1842" t="s">
        <v>1312</v>
      </c>
      <c r="D1842" t="s">
        <v>1697</v>
      </c>
      <c r="E1842" t="s">
        <v>1777</v>
      </c>
      <c r="F1842" s="4">
        <v>1</v>
      </c>
      <c r="G1842">
        <v>163.19999999999999</v>
      </c>
      <c r="H1842">
        <v>0.22</v>
      </c>
      <c r="I1842" t="s">
        <v>1809</v>
      </c>
      <c r="J1842">
        <v>127.29600000000001</v>
      </c>
      <c r="K1842" t="s">
        <v>1313</v>
      </c>
      <c r="L1842">
        <v>43</v>
      </c>
      <c r="M1842" t="str">
        <v>Male</v>
      </c>
      <c r="N1842" t="str">
        <f>VLOOKUP(C:C,Customer_Dim!B:I,5,1)</f>
        <v>Hartmouth</v>
      </c>
      <c r="O1842" t="str">
        <f>VLOOKUP(C:C,Customer_Dim!B:I,6,1)</f>
        <v>Louisiana</v>
      </c>
      <c r="P1842" t="str">
        <f>VLOOKUP(C:C,Customer_Dim!B:I,7,1)</f>
        <v>USA</v>
      </c>
      <c r="Q1842" t="str">
        <f>VLOOKUP(C:C,Customer_Dim!B:I,8,1)</f>
        <v>Bronze</v>
      </c>
      <c r="S1842">
        <v>1</v>
      </c>
      <c r="T1842">
        <v>163.19999999999999</v>
      </c>
      <c r="U1842">
        <v>0.22</v>
      </c>
      <c r="V1842">
        <v>127.29600000000001</v>
      </c>
      <c r="X1842" s="4">
        <v>1</v>
      </c>
      <c r="Y1842">
        <v>163.19999999999999</v>
      </c>
      <c r="Z1842">
        <v>0.22</v>
      </c>
      <c r="AA1842">
        <v>127.29600000000001</v>
      </c>
    </row>
    <row r="1843" spans="1:27" x14ac:dyDescent="0.3">
      <c r="A1843" t="s">
        <v>3650</v>
      </c>
      <c r="B1843" s="2">
        <v>45489</v>
      </c>
      <c r="C1843" t="s">
        <v>430</v>
      </c>
      <c r="D1843" t="s">
        <v>1693</v>
      </c>
      <c r="E1843" t="s">
        <v>1777</v>
      </c>
      <c r="F1843" s="4">
        <v>2</v>
      </c>
      <c r="G1843">
        <v>966.71</v>
      </c>
      <c r="H1843">
        <v>0.11</v>
      </c>
      <c r="I1843" t="s">
        <v>1807</v>
      </c>
      <c r="J1843">
        <v>1720.7438</v>
      </c>
      <c r="K1843" t="s">
        <v>431</v>
      </c>
      <c r="L1843">
        <v>39</v>
      </c>
      <c r="M1843" t="str">
        <v>Male</v>
      </c>
      <c r="N1843" t="str">
        <f>VLOOKUP(C:C,Customer_Dim!B:I,5,1)</f>
        <v>Benjaminton</v>
      </c>
      <c r="O1843" t="str">
        <f>VLOOKUP(C:C,Customer_Dim!B:I,6,1)</f>
        <v>Arizona</v>
      </c>
      <c r="P1843" t="str">
        <f>VLOOKUP(C:C,Customer_Dim!B:I,7,1)</f>
        <v>USA</v>
      </c>
      <c r="Q1843" t="str">
        <f>VLOOKUP(C:C,Customer_Dim!B:I,8,1)</f>
        <v>Gold</v>
      </c>
      <c r="S1843">
        <v>2</v>
      </c>
      <c r="T1843">
        <v>966.71</v>
      </c>
      <c r="U1843">
        <v>0.11</v>
      </c>
      <c r="V1843">
        <v>1720.7438</v>
      </c>
      <c r="X1843" s="4">
        <v>2</v>
      </c>
      <c r="Y1843">
        <v>966.71</v>
      </c>
      <c r="Z1843">
        <v>0.11</v>
      </c>
      <c r="AA1843">
        <v>1720.7438</v>
      </c>
    </row>
    <row r="1844" spans="1:27" x14ac:dyDescent="0.3">
      <c r="A1844" t="s">
        <v>3651</v>
      </c>
      <c r="B1844" s="2">
        <v>45761</v>
      </c>
      <c r="C1844" t="s">
        <v>1080</v>
      </c>
      <c r="D1844" t="s">
        <v>1601</v>
      </c>
      <c r="E1844" t="s">
        <v>1780</v>
      </c>
      <c r="F1844" s="4">
        <v>2</v>
      </c>
      <c r="G1844">
        <v>873.94</v>
      </c>
      <c r="H1844">
        <v>0.14000000000000001</v>
      </c>
      <c r="I1844" t="s">
        <v>1812</v>
      </c>
      <c r="J1844">
        <v>1503.1768</v>
      </c>
      <c r="K1844" t="s">
        <v>1081</v>
      </c>
      <c r="L1844">
        <v>31</v>
      </c>
      <c r="M1844" t="str">
        <v>Male</v>
      </c>
      <c r="N1844" t="str">
        <f>VLOOKUP(C:C,Customer_Dim!B:I,5,1)</f>
        <v>Shannonview</v>
      </c>
      <c r="O1844" t="str">
        <f>VLOOKUP(C:C,Customer_Dim!B:I,6,1)</f>
        <v>Pennsylvania</v>
      </c>
      <c r="P1844" t="str">
        <f>VLOOKUP(C:C,Customer_Dim!B:I,7,1)</f>
        <v>USA</v>
      </c>
      <c r="Q1844" t="str">
        <f>VLOOKUP(C:C,Customer_Dim!B:I,8,1)</f>
        <v>Silver</v>
      </c>
      <c r="S1844">
        <v>2</v>
      </c>
      <c r="T1844">
        <v>873.94</v>
      </c>
      <c r="U1844">
        <v>0.14000000000000001</v>
      </c>
      <c r="V1844">
        <v>1503.1768</v>
      </c>
      <c r="X1844" s="4">
        <v>2</v>
      </c>
      <c r="Y1844">
        <v>873.94</v>
      </c>
      <c r="Z1844">
        <v>0.14000000000000001</v>
      </c>
      <c r="AA1844">
        <v>1503.1768</v>
      </c>
    </row>
    <row r="1845" spans="1:27" x14ac:dyDescent="0.3">
      <c r="A1845" t="s">
        <v>3652</v>
      </c>
      <c r="B1845" s="2">
        <v>45379</v>
      </c>
      <c r="C1845" t="s">
        <v>497</v>
      </c>
      <c r="D1845" t="s">
        <v>1526</v>
      </c>
      <c r="E1845" t="s">
        <v>1749</v>
      </c>
      <c r="F1845" s="4">
        <v>1</v>
      </c>
      <c r="G1845">
        <v>140.24</v>
      </c>
      <c r="H1845">
        <v>0.27</v>
      </c>
      <c r="I1845" t="s">
        <v>1807</v>
      </c>
      <c r="J1845">
        <v>102.37520000000001</v>
      </c>
      <c r="K1845" t="s">
        <v>498</v>
      </c>
      <c r="L1845">
        <v>24</v>
      </c>
      <c r="M1845" t="str">
        <v>Male</v>
      </c>
      <c r="N1845" t="str">
        <f>VLOOKUP(C:C,Customer_Dim!B:I,5,1)</f>
        <v>West Markhaven</v>
      </c>
      <c r="O1845" t="str">
        <f>VLOOKUP(C:C,Customer_Dim!B:I,6,1)</f>
        <v>Florida</v>
      </c>
      <c r="P1845" t="str">
        <f>VLOOKUP(C:C,Customer_Dim!B:I,7,1)</f>
        <v>USA</v>
      </c>
      <c r="Q1845" t="str">
        <f>VLOOKUP(C:C,Customer_Dim!B:I,8,1)</f>
        <v>Platinum</v>
      </c>
      <c r="S1845">
        <v>1</v>
      </c>
      <c r="T1845">
        <v>140.24</v>
      </c>
      <c r="U1845">
        <v>0.27</v>
      </c>
      <c r="V1845">
        <v>102.37520000000001</v>
      </c>
      <c r="X1845" s="4">
        <v>1</v>
      </c>
      <c r="Y1845">
        <v>140.24</v>
      </c>
      <c r="Z1845">
        <v>0.27</v>
      </c>
      <c r="AA1845">
        <v>102.37520000000001</v>
      </c>
    </row>
    <row r="1846" spans="1:27" x14ac:dyDescent="0.3">
      <c r="A1846" t="s">
        <v>3653</v>
      </c>
      <c r="B1846" s="2">
        <v>45716</v>
      </c>
      <c r="C1846" t="s">
        <v>651</v>
      </c>
      <c r="D1846" t="s">
        <v>1617</v>
      </c>
      <c r="E1846" t="s">
        <v>1756</v>
      </c>
      <c r="F1846" s="4">
        <v>2</v>
      </c>
      <c r="G1846">
        <v>549.91999999999996</v>
      </c>
      <c r="H1846">
        <v>0.28000000000000003</v>
      </c>
      <c r="I1846" t="s">
        <v>1807</v>
      </c>
      <c r="J1846">
        <v>791.88479999999993</v>
      </c>
      <c r="K1846" t="s">
        <v>652</v>
      </c>
      <c r="L1846">
        <v>37</v>
      </c>
      <c r="M1846" t="str">
        <v>Female</v>
      </c>
      <c r="N1846" t="str">
        <f>VLOOKUP(C:C,Customer_Dim!B:I,5,1)</f>
        <v>New Logan</v>
      </c>
      <c r="O1846" t="str">
        <f>VLOOKUP(C:C,Customer_Dim!B:I,6,1)</f>
        <v>Michigan</v>
      </c>
      <c r="P1846" t="str">
        <f>VLOOKUP(C:C,Customer_Dim!B:I,7,1)</f>
        <v>USA</v>
      </c>
      <c r="Q1846" t="str">
        <f>VLOOKUP(C:C,Customer_Dim!B:I,8,1)</f>
        <v>Bronze</v>
      </c>
      <c r="S1846">
        <v>2</v>
      </c>
      <c r="T1846">
        <v>549.91999999999996</v>
      </c>
      <c r="U1846">
        <v>0.28000000000000003</v>
      </c>
      <c r="V1846">
        <v>791.88479999999993</v>
      </c>
      <c r="X1846" s="4">
        <v>2</v>
      </c>
      <c r="Y1846">
        <v>549.91999999999996</v>
      </c>
      <c r="Z1846">
        <v>0.28000000000000003</v>
      </c>
      <c r="AA1846">
        <v>791.88479999999993</v>
      </c>
    </row>
    <row r="1847" spans="1:27" x14ac:dyDescent="0.3">
      <c r="A1847" t="s">
        <v>3654</v>
      </c>
      <c r="B1847" s="2">
        <v>45364</v>
      </c>
      <c r="C1847" t="s">
        <v>385</v>
      </c>
      <c r="D1847" t="s">
        <v>1565</v>
      </c>
      <c r="E1847" t="s">
        <v>1756</v>
      </c>
      <c r="F1847" s="4">
        <v>4</v>
      </c>
      <c r="G1847">
        <v>715.88</v>
      </c>
      <c r="H1847">
        <v>0.19</v>
      </c>
      <c r="I1847" t="s">
        <v>1809</v>
      </c>
      <c r="J1847">
        <v>2319.4512</v>
      </c>
      <c r="K1847" t="s">
        <v>386</v>
      </c>
      <c r="L1847">
        <v>27</v>
      </c>
      <c r="M1847" t="str">
        <v>Female</v>
      </c>
      <c r="N1847" t="str">
        <f>VLOOKUP(C:C,Customer_Dim!B:I,5,1)</f>
        <v>Rodriguezmouth</v>
      </c>
      <c r="O1847" t="str">
        <f>VLOOKUP(C:C,Customer_Dim!B:I,6,1)</f>
        <v>Arizona</v>
      </c>
      <c r="P1847" t="str">
        <f>VLOOKUP(C:C,Customer_Dim!B:I,7,1)</f>
        <v>USA</v>
      </c>
      <c r="Q1847" t="str">
        <f>VLOOKUP(C:C,Customer_Dim!B:I,8,1)</f>
        <v>Platinum</v>
      </c>
      <c r="S1847">
        <v>4</v>
      </c>
      <c r="T1847">
        <v>715.88</v>
      </c>
      <c r="U1847">
        <v>0.19</v>
      </c>
      <c r="V1847">
        <v>2319.4512</v>
      </c>
      <c r="X1847" s="4">
        <v>4</v>
      </c>
      <c r="Y1847">
        <v>715.88</v>
      </c>
      <c r="Z1847">
        <v>0.19</v>
      </c>
      <c r="AA1847">
        <v>2319.4512</v>
      </c>
    </row>
    <row r="1848" spans="1:27" x14ac:dyDescent="0.3">
      <c r="A1848" t="s">
        <v>3655</v>
      </c>
      <c r="B1848" s="2">
        <v>45752</v>
      </c>
      <c r="C1848" t="s">
        <v>1147</v>
      </c>
      <c r="D1848" t="s">
        <v>1532</v>
      </c>
      <c r="E1848" t="s">
        <v>1765</v>
      </c>
      <c r="F1848" s="4">
        <v>3</v>
      </c>
      <c r="G1848">
        <v>591.9</v>
      </c>
      <c r="H1848">
        <v>0.27</v>
      </c>
      <c r="I1848" t="s">
        <v>1807</v>
      </c>
      <c r="J1848">
        <v>1296.261</v>
      </c>
      <c r="K1848" t="s">
        <v>1148</v>
      </c>
      <c r="L1848">
        <v>28</v>
      </c>
      <c r="M1848" t="str">
        <v>Male</v>
      </c>
      <c r="N1848" t="str">
        <f>VLOOKUP(C:C,Customer_Dim!B:I,5,1)</f>
        <v>Port Crystal</v>
      </c>
      <c r="O1848" t="str">
        <f>VLOOKUP(C:C,Customer_Dim!B:I,6,1)</f>
        <v>New Hampshire</v>
      </c>
      <c r="P1848" t="str">
        <f>VLOOKUP(C:C,Customer_Dim!B:I,7,1)</f>
        <v>USA</v>
      </c>
      <c r="Q1848" t="str">
        <f>VLOOKUP(C:C,Customer_Dim!B:I,8,1)</f>
        <v>Platinum</v>
      </c>
      <c r="S1848">
        <v>3</v>
      </c>
      <c r="T1848">
        <v>591.9</v>
      </c>
      <c r="U1848">
        <v>0.27</v>
      </c>
      <c r="V1848">
        <v>1296.261</v>
      </c>
      <c r="X1848" s="4">
        <v>3</v>
      </c>
      <c r="Y1848">
        <v>591.9</v>
      </c>
      <c r="Z1848">
        <v>0.27</v>
      </c>
      <c r="AA1848">
        <v>1296.261</v>
      </c>
    </row>
    <row r="1849" spans="1:27" x14ac:dyDescent="0.3">
      <c r="A1849" t="s">
        <v>3656</v>
      </c>
      <c r="B1849" s="2">
        <v>45883</v>
      </c>
      <c r="C1849" t="s">
        <v>1159</v>
      </c>
      <c r="D1849" t="s">
        <v>1575</v>
      </c>
      <c r="E1849" t="s">
        <v>1772</v>
      </c>
      <c r="F1849" s="4">
        <v>2</v>
      </c>
      <c r="G1849">
        <v>523.14</v>
      </c>
      <c r="H1849">
        <v>0.13</v>
      </c>
      <c r="I1849" t="s">
        <v>1809</v>
      </c>
      <c r="J1849">
        <v>910.2636</v>
      </c>
      <c r="K1849" t="s">
        <v>1160</v>
      </c>
      <c r="L1849">
        <v>30</v>
      </c>
      <c r="M1849" t="str">
        <v>Male</v>
      </c>
      <c r="N1849" t="str">
        <f>VLOOKUP(C:C,Customer_Dim!B:I,5,1)</f>
        <v>Port Richardshire</v>
      </c>
      <c r="O1849" t="str">
        <f>VLOOKUP(C:C,Customer_Dim!B:I,6,1)</f>
        <v>Minnesota</v>
      </c>
      <c r="P1849" t="str">
        <f>VLOOKUP(C:C,Customer_Dim!B:I,7,1)</f>
        <v>USA</v>
      </c>
      <c r="Q1849" t="str">
        <f>VLOOKUP(C:C,Customer_Dim!B:I,8,1)</f>
        <v>Platinum</v>
      </c>
      <c r="S1849">
        <v>2</v>
      </c>
      <c r="T1849">
        <v>523.14</v>
      </c>
      <c r="U1849">
        <v>0.13</v>
      </c>
      <c r="V1849">
        <v>910.2636</v>
      </c>
      <c r="X1849" s="4">
        <v>2</v>
      </c>
      <c r="Y1849">
        <v>523.14</v>
      </c>
      <c r="Z1849">
        <v>0.13</v>
      </c>
      <c r="AA1849">
        <v>910.2636</v>
      </c>
    </row>
    <row r="1850" spans="1:27" x14ac:dyDescent="0.3">
      <c r="A1850" t="s">
        <v>3657</v>
      </c>
      <c r="B1850" s="2">
        <v>45477</v>
      </c>
      <c r="C1850" t="s">
        <v>724</v>
      </c>
      <c r="D1850" t="s">
        <v>1669</v>
      </c>
      <c r="E1850" t="s">
        <v>1782</v>
      </c>
      <c r="F1850" s="4">
        <v>2</v>
      </c>
      <c r="G1850">
        <v>478.62</v>
      </c>
      <c r="H1850">
        <v>0.17</v>
      </c>
      <c r="I1850" t="s">
        <v>1812</v>
      </c>
      <c r="J1850">
        <v>794.50919999999996</v>
      </c>
      <c r="K1850" t="s">
        <v>725</v>
      </c>
      <c r="L1850">
        <v>63</v>
      </c>
      <c r="M1850" t="str">
        <v>Female</v>
      </c>
      <c r="N1850" t="str">
        <f>VLOOKUP(C:C,Customer_Dim!B:I,5,1)</f>
        <v>Morrisbury</v>
      </c>
      <c r="O1850" t="str">
        <f>VLOOKUP(C:C,Customer_Dim!B:I,6,1)</f>
        <v>Alaska</v>
      </c>
      <c r="P1850" t="str">
        <f>VLOOKUP(C:C,Customer_Dim!B:I,7,1)</f>
        <v>USA</v>
      </c>
      <c r="Q1850" t="str">
        <f>VLOOKUP(C:C,Customer_Dim!B:I,8,1)</f>
        <v>Gold</v>
      </c>
      <c r="S1850">
        <v>2</v>
      </c>
      <c r="T1850">
        <v>478.62</v>
      </c>
      <c r="U1850">
        <v>0.17</v>
      </c>
      <c r="V1850">
        <v>794.50919999999996</v>
      </c>
      <c r="X1850" s="4">
        <v>2</v>
      </c>
      <c r="Y1850">
        <v>478.62</v>
      </c>
      <c r="Z1850">
        <v>0.17</v>
      </c>
      <c r="AA1850">
        <v>794.50919999999996</v>
      </c>
    </row>
    <row r="1851" spans="1:27" x14ac:dyDescent="0.3">
      <c r="A1851" t="s">
        <v>3658</v>
      </c>
      <c r="B1851" s="2">
        <v>45556</v>
      </c>
      <c r="C1851" t="s">
        <v>936</v>
      </c>
      <c r="D1851" t="s">
        <v>1695</v>
      </c>
      <c r="E1851" t="s">
        <v>1740</v>
      </c>
      <c r="F1851" s="4">
        <v>4</v>
      </c>
      <c r="G1851">
        <v>740.5</v>
      </c>
      <c r="H1851">
        <v>0.17</v>
      </c>
      <c r="I1851" t="s">
        <v>1809</v>
      </c>
      <c r="J1851">
        <v>2458.46</v>
      </c>
      <c r="K1851" t="s">
        <v>937</v>
      </c>
      <c r="L1851">
        <v>29</v>
      </c>
      <c r="M1851" t="str">
        <v>Male</v>
      </c>
      <c r="N1851" t="str">
        <f>VLOOKUP(C:C,Customer_Dim!B:I,5,1)</f>
        <v>West Robinmouth</v>
      </c>
      <c r="O1851" t="str">
        <f>VLOOKUP(C:C,Customer_Dim!B:I,6,1)</f>
        <v>Louisiana</v>
      </c>
      <c r="P1851" t="str">
        <f>VLOOKUP(C:C,Customer_Dim!B:I,7,1)</f>
        <v>USA</v>
      </c>
      <c r="Q1851" t="str">
        <f>VLOOKUP(C:C,Customer_Dim!B:I,8,1)</f>
        <v>Platinum</v>
      </c>
      <c r="S1851">
        <v>4</v>
      </c>
      <c r="T1851">
        <v>740.5</v>
      </c>
      <c r="U1851">
        <v>0.17</v>
      </c>
      <c r="V1851">
        <v>2458.46</v>
      </c>
      <c r="X1851" s="4">
        <v>4</v>
      </c>
      <c r="Y1851">
        <v>740.5</v>
      </c>
      <c r="Z1851">
        <v>0.17</v>
      </c>
      <c r="AA1851">
        <v>2458.46</v>
      </c>
    </row>
    <row r="1852" spans="1:27" x14ac:dyDescent="0.3">
      <c r="A1852" t="s">
        <v>3659</v>
      </c>
      <c r="B1852" s="2">
        <v>45465</v>
      </c>
      <c r="C1852" t="s">
        <v>388</v>
      </c>
      <c r="D1852" t="s">
        <v>1623</v>
      </c>
      <c r="E1852" t="s">
        <v>1744</v>
      </c>
      <c r="F1852" s="4">
        <v>1</v>
      </c>
      <c r="G1852">
        <v>780.24</v>
      </c>
      <c r="H1852">
        <v>0.04</v>
      </c>
      <c r="I1852" t="s">
        <v>1812</v>
      </c>
      <c r="J1852">
        <v>749.03039999999999</v>
      </c>
      <c r="K1852" t="s">
        <v>389</v>
      </c>
      <c r="L1852">
        <v>51</v>
      </c>
      <c r="M1852" t="str">
        <v>Male</v>
      </c>
      <c r="N1852" t="str">
        <f>VLOOKUP(C:C,Customer_Dim!B:I,5,1)</f>
        <v>Lake Michael</v>
      </c>
      <c r="O1852" t="str">
        <f>VLOOKUP(C:C,Customer_Dim!B:I,6,1)</f>
        <v>Michigan</v>
      </c>
      <c r="P1852" t="str">
        <f>VLOOKUP(C:C,Customer_Dim!B:I,7,1)</f>
        <v>USA</v>
      </c>
      <c r="Q1852" t="str">
        <f>VLOOKUP(C:C,Customer_Dim!B:I,8,1)</f>
        <v>Silver</v>
      </c>
      <c r="S1852">
        <v>1</v>
      </c>
      <c r="T1852">
        <v>780.24</v>
      </c>
      <c r="U1852">
        <v>0.04</v>
      </c>
      <c r="V1852">
        <v>749.03039999999999</v>
      </c>
      <c r="X1852" s="4">
        <v>1</v>
      </c>
      <c r="Y1852">
        <v>780.24</v>
      </c>
      <c r="Z1852">
        <v>0.04</v>
      </c>
      <c r="AA1852">
        <v>749.03039999999999</v>
      </c>
    </row>
    <row r="1853" spans="1:27" x14ac:dyDescent="0.3">
      <c r="A1853" t="s">
        <v>3660</v>
      </c>
      <c r="B1853" s="2">
        <v>45552</v>
      </c>
      <c r="C1853" t="s">
        <v>373</v>
      </c>
      <c r="D1853" t="s">
        <v>1671</v>
      </c>
      <c r="E1853" t="s">
        <v>1787</v>
      </c>
      <c r="F1853" s="4">
        <v>4</v>
      </c>
      <c r="G1853">
        <v>579.24</v>
      </c>
      <c r="H1853">
        <v>0.04</v>
      </c>
      <c r="I1853" t="s">
        <v>1812</v>
      </c>
      <c r="J1853">
        <v>2224.2815999999998</v>
      </c>
      <c r="K1853" t="s">
        <v>374</v>
      </c>
      <c r="L1853">
        <v>38</v>
      </c>
      <c r="M1853" t="str">
        <v>Male</v>
      </c>
      <c r="N1853" t="str">
        <f>VLOOKUP(C:C,Customer_Dim!B:I,5,1)</f>
        <v>North Justin</v>
      </c>
      <c r="O1853" t="str">
        <f>VLOOKUP(C:C,Customer_Dim!B:I,6,1)</f>
        <v>North Dakota</v>
      </c>
      <c r="P1853" t="str">
        <f>VLOOKUP(C:C,Customer_Dim!B:I,7,1)</f>
        <v>USA</v>
      </c>
      <c r="Q1853" t="str">
        <f>VLOOKUP(C:C,Customer_Dim!B:I,8,1)</f>
        <v>Platinum</v>
      </c>
      <c r="S1853">
        <v>4</v>
      </c>
      <c r="T1853">
        <v>579.24</v>
      </c>
      <c r="U1853">
        <v>0.04</v>
      </c>
      <c r="V1853">
        <v>2224.2815999999998</v>
      </c>
      <c r="X1853" s="4">
        <v>4</v>
      </c>
      <c r="Y1853">
        <v>579.24</v>
      </c>
      <c r="Z1853">
        <v>0.04</v>
      </c>
      <c r="AA1853">
        <v>2224.2815999999998</v>
      </c>
    </row>
    <row r="1854" spans="1:27" x14ac:dyDescent="0.3">
      <c r="A1854" t="s">
        <v>3661</v>
      </c>
      <c r="B1854" s="2">
        <v>45635</v>
      </c>
      <c r="C1854" t="s">
        <v>1147</v>
      </c>
      <c r="D1854" t="s">
        <v>1529</v>
      </c>
      <c r="E1854" t="s">
        <v>1744</v>
      </c>
      <c r="F1854" s="4">
        <v>3</v>
      </c>
      <c r="G1854">
        <v>268.95</v>
      </c>
      <c r="H1854">
        <v>0.04</v>
      </c>
      <c r="I1854" t="s">
        <v>1809</v>
      </c>
      <c r="J1854">
        <v>774.57599999999991</v>
      </c>
      <c r="K1854" t="s">
        <v>1148</v>
      </c>
      <c r="L1854">
        <v>28</v>
      </c>
      <c r="M1854" t="str">
        <v>Male</v>
      </c>
      <c r="N1854" t="str">
        <f>VLOOKUP(C:C,Customer_Dim!B:I,5,1)</f>
        <v>Port Crystal</v>
      </c>
      <c r="O1854" t="str">
        <f>VLOOKUP(C:C,Customer_Dim!B:I,6,1)</f>
        <v>New Hampshire</v>
      </c>
      <c r="P1854" t="str">
        <f>VLOOKUP(C:C,Customer_Dim!B:I,7,1)</f>
        <v>USA</v>
      </c>
      <c r="Q1854" t="str">
        <f>VLOOKUP(C:C,Customer_Dim!B:I,8,1)</f>
        <v>Platinum</v>
      </c>
      <c r="S1854">
        <v>3</v>
      </c>
      <c r="T1854">
        <v>268.95</v>
      </c>
      <c r="U1854">
        <v>0.04</v>
      </c>
      <c r="V1854">
        <v>774.57599999999991</v>
      </c>
      <c r="X1854" s="4">
        <v>3</v>
      </c>
      <c r="Y1854">
        <v>268.95</v>
      </c>
      <c r="Z1854">
        <v>0.04</v>
      </c>
      <c r="AA1854">
        <v>774.57599999999991</v>
      </c>
    </row>
    <row r="1855" spans="1:27" x14ac:dyDescent="0.3">
      <c r="A1855" t="s">
        <v>3662</v>
      </c>
      <c r="B1855" s="2">
        <v>45740</v>
      </c>
      <c r="C1855" t="s">
        <v>953</v>
      </c>
      <c r="D1855" t="s">
        <v>1538</v>
      </c>
      <c r="E1855" t="s">
        <v>1752</v>
      </c>
      <c r="F1855" s="4">
        <v>1</v>
      </c>
      <c r="G1855">
        <v>47.47</v>
      </c>
      <c r="H1855">
        <v>0.28000000000000003</v>
      </c>
      <c r="I1855" t="s">
        <v>1807</v>
      </c>
      <c r="J1855">
        <v>34.178400000000003</v>
      </c>
      <c r="K1855" t="s">
        <v>954</v>
      </c>
      <c r="L1855">
        <v>44</v>
      </c>
      <c r="M1855" t="str">
        <v>Male</v>
      </c>
      <c r="N1855" t="str">
        <f>VLOOKUP(C:C,Customer_Dim!B:I,5,1)</f>
        <v>West Joseph</v>
      </c>
      <c r="O1855" t="str">
        <f>VLOOKUP(C:C,Customer_Dim!B:I,6,1)</f>
        <v>Washington</v>
      </c>
      <c r="P1855" t="str">
        <f>VLOOKUP(C:C,Customer_Dim!B:I,7,1)</f>
        <v>USA</v>
      </c>
      <c r="Q1855" t="str">
        <f>VLOOKUP(C:C,Customer_Dim!B:I,8,1)</f>
        <v>Platinum</v>
      </c>
      <c r="S1855">
        <v>1</v>
      </c>
      <c r="T1855">
        <v>47.47</v>
      </c>
      <c r="U1855">
        <v>0.28000000000000003</v>
      </c>
      <c r="V1855">
        <v>34.178400000000003</v>
      </c>
      <c r="X1855" s="4">
        <v>1</v>
      </c>
      <c r="Y1855">
        <v>47.47</v>
      </c>
      <c r="Z1855">
        <v>0.28000000000000003</v>
      </c>
      <c r="AA1855">
        <v>34.178400000000003</v>
      </c>
    </row>
    <row r="1856" spans="1:27" x14ac:dyDescent="0.3">
      <c r="A1856" t="s">
        <v>3663</v>
      </c>
      <c r="B1856" s="2">
        <v>45796</v>
      </c>
      <c r="C1856" t="s">
        <v>814</v>
      </c>
      <c r="D1856" t="s">
        <v>1597</v>
      </c>
      <c r="E1856" t="s">
        <v>1790</v>
      </c>
      <c r="F1856" s="4">
        <v>3</v>
      </c>
      <c r="G1856">
        <v>858.81</v>
      </c>
      <c r="H1856">
        <v>7.0000000000000007E-2</v>
      </c>
      <c r="I1856" t="s">
        <v>1807</v>
      </c>
      <c r="J1856">
        <v>2396.0799000000002</v>
      </c>
      <c r="K1856" t="s">
        <v>815</v>
      </c>
      <c r="L1856">
        <v>24</v>
      </c>
      <c r="M1856" t="str">
        <v>Female</v>
      </c>
      <c r="N1856" t="str">
        <f>VLOOKUP(C:C,Customer_Dim!B:I,5,1)</f>
        <v>Karenmouth</v>
      </c>
      <c r="O1856" t="str">
        <f>VLOOKUP(C:C,Customer_Dim!B:I,6,1)</f>
        <v>Massachusetts</v>
      </c>
      <c r="P1856" t="str">
        <f>VLOOKUP(C:C,Customer_Dim!B:I,7,1)</f>
        <v>USA</v>
      </c>
      <c r="Q1856" t="str">
        <f>VLOOKUP(C:C,Customer_Dim!B:I,8,1)</f>
        <v>Silver</v>
      </c>
      <c r="S1856">
        <v>3</v>
      </c>
      <c r="T1856">
        <v>858.81</v>
      </c>
      <c r="U1856">
        <v>7.0000000000000007E-2</v>
      </c>
      <c r="V1856">
        <v>2396.0799000000002</v>
      </c>
      <c r="X1856" s="4">
        <v>3</v>
      </c>
      <c r="Y1856">
        <v>858.81</v>
      </c>
      <c r="Z1856">
        <v>7.0000000000000007E-2</v>
      </c>
      <c r="AA1856">
        <v>2396.0799000000002</v>
      </c>
    </row>
    <row r="1857" spans="1:27" x14ac:dyDescent="0.3">
      <c r="A1857" t="s">
        <v>3664</v>
      </c>
      <c r="B1857" s="2">
        <v>45710</v>
      </c>
      <c r="C1857" t="s">
        <v>968</v>
      </c>
      <c r="D1857" t="s">
        <v>1569</v>
      </c>
      <c r="E1857" t="s">
        <v>1772</v>
      </c>
      <c r="F1857" s="4">
        <v>3</v>
      </c>
      <c r="G1857">
        <v>569.98</v>
      </c>
      <c r="H1857">
        <v>0.05</v>
      </c>
      <c r="I1857" t="s">
        <v>1807</v>
      </c>
      <c r="J1857">
        <v>1624.443</v>
      </c>
      <c r="K1857" t="s">
        <v>969</v>
      </c>
      <c r="L1857">
        <v>35</v>
      </c>
      <c r="M1857" t="str">
        <v>Male</v>
      </c>
      <c r="N1857" t="str">
        <f>VLOOKUP(C:C,Customer_Dim!B:I,5,1)</f>
        <v>Joelside</v>
      </c>
      <c r="O1857" t="str">
        <f>VLOOKUP(C:C,Customer_Dim!B:I,6,1)</f>
        <v>Vermont</v>
      </c>
      <c r="P1857" t="str">
        <f>VLOOKUP(C:C,Customer_Dim!B:I,7,1)</f>
        <v>USA</v>
      </c>
      <c r="Q1857" t="str">
        <f>VLOOKUP(C:C,Customer_Dim!B:I,8,1)</f>
        <v>Silver</v>
      </c>
      <c r="S1857">
        <v>3</v>
      </c>
      <c r="T1857">
        <v>569.98</v>
      </c>
      <c r="U1857">
        <v>0.05</v>
      </c>
      <c r="V1857">
        <v>1624.443</v>
      </c>
      <c r="X1857" s="4">
        <v>3</v>
      </c>
      <c r="Y1857">
        <v>569.98</v>
      </c>
      <c r="Z1857">
        <v>0.05</v>
      </c>
      <c r="AA1857">
        <v>1624.443</v>
      </c>
    </row>
    <row r="1858" spans="1:27" x14ac:dyDescent="0.3">
      <c r="A1858" t="s">
        <v>3665</v>
      </c>
      <c r="B1858" s="2">
        <v>45596</v>
      </c>
      <c r="C1858" t="s">
        <v>1018</v>
      </c>
      <c r="D1858" t="s">
        <v>1679</v>
      </c>
      <c r="E1858" t="s">
        <v>1777</v>
      </c>
      <c r="F1858" s="4">
        <v>3</v>
      </c>
      <c r="G1858">
        <v>306.52</v>
      </c>
      <c r="H1858">
        <v>0.01</v>
      </c>
      <c r="I1858" t="s">
        <v>1812</v>
      </c>
      <c r="J1858">
        <v>910.36439999999993</v>
      </c>
      <c r="K1858" t="s">
        <v>1019</v>
      </c>
      <c r="L1858">
        <v>46</v>
      </c>
      <c r="M1858" t="str">
        <v>Male</v>
      </c>
      <c r="N1858" t="str">
        <f>VLOOKUP(C:C,Customer_Dim!B:I,5,1)</f>
        <v>Kellybury</v>
      </c>
      <c r="O1858" t="str">
        <f>VLOOKUP(C:C,Customer_Dim!B:I,6,1)</f>
        <v>New York</v>
      </c>
      <c r="P1858" t="str">
        <f>VLOOKUP(C:C,Customer_Dim!B:I,7,1)</f>
        <v>USA</v>
      </c>
      <c r="Q1858" t="str">
        <f>VLOOKUP(C:C,Customer_Dim!B:I,8,1)</f>
        <v>Bronze</v>
      </c>
      <c r="S1858">
        <v>3</v>
      </c>
      <c r="T1858">
        <v>306.52</v>
      </c>
      <c r="U1858">
        <v>0.01</v>
      </c>
      <c r="V1858">
        <v>910.36439999999993</v>
      </c>
      <c r="X1858" s="4">
        <v>3</v>
      </c>
      <c r="Y1858">
        <v>306.52</v>
      </c>
      <c r="Z1858">
        <v>0.01</v>
      </c>
      <c r="AA1858">
        <v>910.36439999999993</v>
      </c>
    </row>
    <row r="1859" spans="1:27" x14ac:dyDescent="0.3">
      <c r="A1859" t="s">
        <v>3666</v>
      </c>
      <c r="B1859" s="2">
        <v>45354</v>
      </c>
      <c r="C1859" t="s">
        <v>235</v>
      </c>
      <c r="D1859" t="s">
        <v>1643</v>
      </c>
      <c r="E1859" t="s">
        <v>1780</v>
      </c>
      <c r="F1859" s="4">
        <v>3</v>
      </c>
      <c r="G1859">
        <v>184.67</v>
      </c>
      <c r="H1859">
        <v>0.03</v>
      </c>
      <c r="I1859" t="s">
        <v>1812</v>
      </c>
      <c r="J1859">
        <v>537.38969999999995</v>
      </c>
      <c r="K1859" t="s">
        <v>236</v>
      </c>
      <c r="L1859">
        <v>21</v>
      </c>
      <c r="M1859" t="str">
        <v>Female</v>
      </c>
      <c r="N1859" t="str">
        <f>VLOOKUP(C:C,Customer_Dim!B:I,5,1)</f>
        <v>Port Kathrynhaven</v>
      </c>
      <c r="O1859" t="str">
        <f>VLOOKUP(C:C,Customer_Dim!B:I,6,1)</f>
        <v>Arizona</v>
      </c>
      <c r="P1859" t="str">
        <f>VLOOKUP(C:C,Customer_Dim!B:I,7,1)</f>
        <v>USA</v>
      </c>
      <c r="Q1859" t="str">
        <f>VLOOKUP(C:C,Customer_Dim!B:I,8,1)</f>
        <v>Gold</v>
      </c>
      <c r="S1859">
        <v>3</v>
      </c>
      <c r="T1859">
        <v>184.67</v>
      </c>
      <c r="U1859">
        <v>0.03</v>
      </c>
      <c r="V1859">
        <v>537.38969999999995</v>
      </c>
      <c r="X1859" s="4">
        <v>3</v>
      </c>
      <c r="Y1859">
        <v>184.67</v>
      </c>
      <c r="Z1859">
        <v>0.03</v>
      </c>
      <c r="AA1859">
        <v>537.38969999999995</v>
      </c>
    </row>
    <row r="1860" spans="1:27" x14ac:dyDescent="0.3">
      <c r="A1860" t="s">
        <v>3667</v>
      </c>
      <c r="B1860" s="2">
        <v>45428</v>
      </c>
      <c r="C1860" t="s">
        <v>1467</v>
      </c>
      <c r="D1860" t="s">
        <v>1583</v>
      </c>
      <c r="E1860" t="s">
        <v>1756</v>
      </c>
      <c r="F1860" s="4">
        <v>4</v>
      </c>
      <c r="G1860">
        <v>189.56</v>
      </c>
      <c r="H1860">
        <v>0</v>
      </c>
      <c r="I1860" t="s">
        <v>1812</v>
      </c>
      <c r="J1860">
        <v>758.24</v>
      </c>
      <c r="K1860" t="s">
        <v>1468</v>
      </c>
      <c r="L1860">
        <v>48</v>
      </c>
      <c r="M1860" t="str">
        <v>Male</v>
      </c>
      <c r="N1860" t="str">
        <f>VLOOKUP(C:C,Customer_Dim!B:I,5,1)</f>
        <v>West Tylerfort</v>
      </c>
      <c r="O1860" t="str">
        <f>VLOOKUP(C:C,Customer_Dim!B:I,6,1)</f>
        <v>Kentucky</v>
      </c>
      <c r="P1860" t="str">
        <f>VLOOKUP(C:C,Customer_Dim!B:I,7,1)</f>
        <v>USA</v>
      </c>
      <c r="Q1860" t="str">
        <f>VLOOKUP(C:C,Customer_Dim!B:I,8,1)</f>
        <v>Platinum</v>
      </c>
      <c r="S1860">
        <v>4</v>
      </c>
      <c r="T1860">
        <v>189.56</v>
      </c>
      <c r="U1860">
        <v>0</v>
      </c>
      <c r="V1860">
        <v>758.24</v>
      </c>
      <c r="X1860" s="4">
        <v>4</v>
      </c>
      <c r="Y1860">
        <v>189.56</v>
      </c>
      <c r="Z1860">
        <v>0</v>
      </c>
      <c r="AA1860">
        <v>758.24</v>
      </c>
    </row>
    <row r="1861" spans="1:27" x14ac:dyDescent="0.3">
      <c r="A1861" t="s">
        <v>3668</v>
      </c>
      <c r="B1861" s="2">
        <v>45511</v>
      </c>
      <c r="C1861" t="s">
        <v>672</v>
      </c>
      <c r="D1861" t="s">
        <v>1681</v>
      </c>
      <c r="E1861" t="s">
        <v>1756</v>
      </c>
      <c r="F1861" s="4">
        <v>1</v>
      </c>
      <c r="G1861">
        <v>805.24</v>
      </c>
      <c r="H1861">
        <v>0.04</v>
      </c>
      <c r="I1861" t="s">
        <v>1809</v>
      </c>
      <c r="J1861">
        <v>773.03039999999999</v>
      </c>
      <c r="K1861" t="s">
        <v>673</v>
      </c>
      <c r="L1861">
        <v>50</v>
      </c>
      <c r="M1861" t="str">
        <v>Female</v>
      </c>
      <c r="N1861" t="str">
        <f>VLOOKUP(C:C,Customer_Dim!B:I,5,1)</f>
        <v>Kathrynview</v>
      </c>
      <c r="O1861" t="str">
        <f>VLOOKUP(C:C,Customer_Dim!B:I,6,1)</f>
        <v>Louisiana</v>
      </c>
      <c r="P1861" t="str">
        <f>VLOOKUP(C:C,Customer_Dim!B:I,7,1)</f>
        <v>USA</v>
      </c>
      <c r="Q1861" t="str">
        <f>VLOOKUP(C:C,Customer_Dim!B:I,8,1)</f>
        <v>Platinum</v>
      </c>
      <c r="S1861">
        <v>1</v>
      </c>
      <c r="T1861">
        <v>805.24</v>
      </c>
      <c r="U1861">
        <v>0.04</v>
      </c>
      <c r="V1861">
        <v>773.03039999999999</v>
      </c>
      <c r="X1861" s="4">
        <v>1</v>
      </c>
      <c r="Y1861">
        <v>805.24</v>
      </c>
      <c r="Z1861">
        <v>0.04</v>
      </c>
      <c r="AA1861">
        <v>773.03039999999999</v>
      </c>
    </row>
    <row r="1862" spans="1:27" x14ac:dyDescent="0.3">
      <c r="A1862" t="s">
        <v>3669</v>
      </c>
      <c r="B1862" s="2">
        <v>45549</v>
      </c>
      <c r="C1862" t="s">
        <v>613</v>
      </c>
      <c r="D1862" t="s">
        <v>1639</v>
      </c>
      <c r="E1862" t="s">
        <v>1790</v>
      </c>
      <c r="F1862" s="4">
        <v>3</v>
      </c>
      <c r="G1862">
        <v>683.74</v>
      </c>
      <c r="H1862">
        <v>0.24</v>
      </c>
      <c r="I1862" t="s">
        <v>1807</v>
      </c>
      <c r="J1862">
        <v>1558.9272000000001</v>
      </c>
      <c r="K1862" t="s">
        <v>614</v>
      </c>
      <c r="L1862">
        <v>29</v>
      </c>
      <c r="M1862" t="str">
        <v>Male</v>
      </c>
      <c r="N1862" t="str">
        <f>VLOOKUP(C:C,Customer_Dim!B:I,5,1)</f>
        <v>Kingfort</v>
      </c>
      <c r="O1862" t="str">
        <f>VLOOKUP(C:C,Customer_Dim!B:I,6,1)</f>
        <v>New Mexico</v>
      </c>
      <c r="P1862" t="str">
        <f>VLOOKUP(C:C,Customer_Dim!B:I,7,1)</f>
        <v>USA</v>
      </c>
      <c r="Q1862" t="str">
        <f>VLOOKUP(C:C,Customer_Dim!B:I,8,1)</f>
        <v>Silver</v>
      </c>
      <c r="S1862">
        <v>3</v>
      </c>
      <c r="T1862">
        <v>683.74</v>
      </c>
      <c r="U1862">
        <v>0.24</v>
      </c>
      <c r="V1862">
        <v>1558.9272000000001</v>
      </c>
      <c r="X1862" s="4">
        <v>3</v>
      </c>
      <c r="Y1862">
        <v>683.74</v>
      </c>
      <c r="Z1862">
        <v>0.24</v>
      </c>
      <c r="AA1862">
        <v>1558.9272000000001</v>
      </c>
    </row>
    <row r="1863" spans="1:27" x14ac:dyDescent="0.3">
      <c r="A1863" t="s">
        <v>3670</v>
      </c>
      <c r="B1863" s="2">
        <v>45573</v>
      </c>
      <c r="C1863" t="s">
        <v>678</v>
      </c>
      <c r="D1863" t="s">
        <v>1643</v>
      </c>
      <c r="E1863" t="s">
        <v>1793</v>
      </c>
      <c r="F1863" s="4">
        <v>3</v>
      </c>
      <c r="G1863">
        <v>439.21</v>
      </c>
      <c r="H1863">
        <v>0.28000000000000003</v>
      </c>
      <c r="I1863" t="s">
        <v>1812</v>
      </c>
      <c r="J1863">
        <v>948.69359999999983</v>
      </c>
      <c r="K1863" t="s">
        <v>679</v>
      </c>
      <c r="L1863">
        <v>20</v>
      </c>
      <c r="M1863" t="str">
        <v>Female</v>
      </c>
      <c r="N1863" t="str">
        <f>VLOOKUP(C:C,Customer_Dim!B:I,5,1)</f>
        <v>Matthewborough</v>
      </c>
      <c r="O1863" t="str">
        <f>VLOOKUP(C:C,Customer_Dim!B:I,6,1)</f>
        <v>Georgia</v>
      </c>
      <c r="P1863" t="str">
        <f>VLOOKUP(C:C,Customer_Dim!B:I,7,1)</f>
        <v>USA</v>
      </c>
      <c r="Q1863" t="str">
        <f>VLOOKUP(C:C,Customer_Dim!B:I,8,1)</f>
        <v>Silver</v>
      </c>
      <c r="S1863">
        <v>3</v>
      </c>
      <c r="T1863">
        <v>439.21</v>
      </c>
      <c r="U1863">
        <v>0.28000000000000003</v>
      </c>
      <c r="V1863">
        <v>948.69359999999983</v>
      </c>
      <c r="X1863" s="4">
        <v>3</v>
      </c>
      <c r="Y1863">
        <v>439.21</v>
      </c>
      <c r="Z1863">
        <v>0.28000000000000003</v>
      </c>
      <c r="AA1863">
        <v>948.69359999999983</v>
      </c>
    </row>
    <row r="1864" spans="1:27" x14ac:dyDescent="0.3">
      <c r="A1864" t="s">
        <v>3671</v>
      </c>
      <c r="B1864" s="2">
        <v>45904</v>
      </c>
      <c r="C1864" t="s">
        <v>409</v>
      </c>
      <c r="D1864" t="s">
        <v>1663</v>
      </c>
      <c r="E1864" t="s">
        <v>1759</v>
      </c>
      <c r="F1864" s="4">
        <v>1</v>
      </c>
      <c r="G1864">
        <v>126.92</v>
      </c>
      <c r="H1864">
        <v>0.24</v>
      </c>
      <c r="I1864" t="s">
        <v>1812</v>
      </c>
      <c r="J1864">
        <v>96.459199999999996</v>
      </c>
      <c r="K1864" t="s">
        <v>410</v>
      </c>
      <c r="L1864">
        <v>44</v>
      </c>
      <c r="M1864" t="str">
        <v>Female</v>
      </c>
      <c r="N1864" t="str">
        <f>VLOOKUP(C:C,Customer_Dim!B:I,5,1)</f>
        <v>North Edwardton</v>
      </c>
      <c r="O1864" t="str">
        <f>VLOOKUP(C:C,Customer_Dim!B:I,6,1)</f>
        <v>Tennessee</v>
      </c>
      <c r="P1864" t="str">
        <f>VLOOKUP(C:C,Customer_Dim!B:I,7,1)</f>
        <v>USA</v>
      </c>
      <c r="Q1864" t="str">
        <f>VLOOKUP(C:C,Customer_Dim!B:I,8,1)</f>
        <v>Bronze</v>
      </c>
      <c r="S1864">
        <v>1</v>
      </c>
      <c r="T1864">
        <v>126.92</v>
      </c>
      <c r="U1864">
        <v>0.24</v>
      </c>
      <c r="V1864">
        <v>96.459199999999996</v>
      </c>
      <c r="X1864" s="4">
        <v>1</v>
      </c>
      <c r="Y1864">
        <v>126.92</v>
      </c>
      <c r="Z1864">
        <v>0.24</v>
      </c>
      <c r="AA1864">
        <v>96.459199999999996</v>
      </c>
    </row>
    <row r="1865" spans="1:27" x14ac:dyDescent="0.3">
      <c r="A1865" t="s">
        <v>3672</v>
      </c>
      <c r="B1865" s="2">
        <v>45489</v>
      </c>
      <c r="C1865" t="s">
        <v>27</v>
      </c>
      <c r="D1865" t="s">
        <v>1677</v>
      </c>
      <c r="E1865" t="s">
        <v>1752</v>
      </c>
      <c r="F1865" s="4">
        <v>4</v>
      </c>
      <c r="G1865">
        <v>834.7</v>
      </c>
      <c r="H1865">
        <v>0.14000000000000001</v>
      </c>
      <c r="I1865" t="s">
        <v>1807</v>
      </c>
      <c r="J1865">
        <v>2871.3679999999999</v>
      </c>
      <c r="K1865" t="s">
        <v>28</v>
      </c>
      <c r="L1865">
        <v>24</v>
      </c>
      <c r="M1865" t="str">
        <v>Male</v>
      </c>
      <c r="N1865" t="str">
        <f>VLOOKUP(C:C,Customer_Dim!B:I,5,1)</f>
        <v>Nicholasshire</v>
      </c>
      <c r="O1865" t="str">
        <f>VLOOKUP(C:C,Customer_Dim!B:I,6,1)</f>
        <v>California</v>
      </c>
      <c r="P1865" t="str">
        <f>VLOOKUP(C:C,Customer_Dim!B:I,7,1)</f>
        <v>USA</v>
      </c>
      <c r="Q1865" t="str">
        <f>VLOOKUP(C:C,Customer_Dim!B:I,8,1)</f>
        <v>Silver</v>
      </c>
      <c r="S1865">
        <v>4</v>
      </c>
      <c r="T1865">
        <v>834.7</v>
      </c>
      <c r="U1865">
        <v>0.14000000000000001</v>
      </c>
      <c r="V1865">
        <v>2871.3679999999999</v>
      </c>
      <c r="X1865" s="4">
        <v>4</v>
      </c>
      <c r="Y1865">
        <v>834.7</v>
      </c>
      <c r="Z1865">
        <v>0.14000000000000001</v>
      </c>
      <c r="AA1865">
        <v>2871.3679999999999</v>
      </c>
    </row>
    <row r="1866" spans="1:27" x14ac:dyDescent="0.3">
      <c r="A1866" t="s">
        <v>3673</v>
      </c>
      <c r="B1866" s="2">
        <v>45909</v>
      </c>
      <c r="C1866" t="s">
        <v>1060</v>
      </c>
      <c r="D1866" t="s">
        <v>1615</v>
      </c>
      <c r="E1866" t="s">
        <v>1775</v>
      </c>
      <c r="F1866" s="4">
        <v>2</v>
      </c>
      <c r="G1866">
        <v>271.88</v>
      </c>
      <c r="H1866">
        <v>0.11</v>
      </c>
      <c r="I1866" t="s">
        <v>1812</v>
      </c>
      <c r="J1866">
        <v>483.94639999999998</v>
      </c>
      <c r="K1866" t="s">
        <v>1061</v>
      </c>
      <c r="L1866">
        <v>30</v>
      </c>
      <c r="M1866" t="str">
        <v>Female</v>
      </c>
      <c r="N1866" t="str">
        <f>VLOOKUP(C:C,Customer_Dim!B:I,5,1)</f>
        <v>Lake Alyssaburgh</v>
      </c>
      <c r="O1866" t="str">
        <f>VLOOKUP(C:C,Customer_Dim!B:I,6,1)</f>
        <v>Illinois</v>
      </c>
      <c r="P1866" t="str">
        <f>VLOOKUP(C:C,Customer_Dim!B:I,7,1)</f>
        <v>USA</v>
      </c>
      <c r="Q1866" t="str">
        <f>VLOOKUP(C:C,Customer_Dim!B:I,8,1)</f>
        <v>Bronze</v>
      </c>
      <c r="S1866">
        <v>2</v>
      </c>
      <c r="T1866">
        <v>271.88</v>
      </c>
      <c r="U1866">
        <v>0.11</v>
      </c>
      <c r="V1866">
        <v>483.94639999999998</v>
      </c>
      <c r="X1866" s="4">
        <v>2</v>
      </c>
      <c r="Y1866">
        <v>271.88</v>
      </c>
      <c r="Z1866">
        <v>0.11</v>
      </c>
      <c r="AA1866">
        <v>483.94639999999998</v>
      </c>
    </row>
    <row r="1867" spans="1:27" x14ac:dyDescent="0.3">
      <c r="A1867" t="s">
        <v>3674</v>
      </c>
      <c r="B1867" s="2">
        <v>45720</v>
      </c>
      <c r="C1867" t="s">
        <v>1461</v>
      </c>
      <c r="D1867" t="s">
        <v>1553</v>
      </c>
      <c r="E1867" t="s">
        <v>1740</v>
      </c>
      <c r="F1867" s="4">
        <v>4</v>
      </c>
      <c r="G1867">
        <v>972.14</v>
      </c>
      <c r="H1867">
        <v>0.25</v>
      </c>
      <c r="I1867" t="s">
        <v>1807</v>
      </c>
      <c r="J1867">
        <v>2916.42</v>
      </c>
      <c r="K1867" t="s">
        <v>1462</v>
      </c>
      <c r="L1867">
        <v>21</v>
      </c>
      <c r="M1867" t="str">
        <v>Male</v>
      </c>
      <c r="N1867" t="str">
        <f>VLOOKUP(C:C,Customer_Dim!B:I,5,1)</f>
        <v>Robinchester</v>
      </c>
      <c r="O1867" t="str">
        <f>VLOOKUP(C:C,Customer_Dim!B:I,6,1)</f>
        <v>Florida</v>
      </c>
      <c r="P1867" t="str">
        <f>VLOOKUP(C:C,Customer_Dim!B:I,7,1)</f>
        <v>USA</v>
      </c>
      <c r="Q1867" t="str">
        <f>VLOOKUP(C:C,Customer_Dim!B:I,8,1)</f>
        <v>Bronze</v>
      </c>
      <c r="S1867">
        <v>4</v>
      </c>
      <c r="T1867">
        <v>972.14</v>
      </c>
      <c r="U1867">
        <v>0.25</v>
      </c>
      <c r="V1867">
        <v>2916.42</v>
      </c>
      <c r="X1867" s="4">
        <v>4</v>
      </c>
      <c r="Y1867">
        <v>972.14</v>
      </c>
      <c r="Z1867">
        <v>0.25</v>
      </c>
      <c r="AA1867">
        <v>2916.42</v>
      </c>
    </row>
    <row r="1868" spans="1:27" x14ac:dyDescent="0.3">
      <c r="A1868" t="s">
        <v>3675</v>
      </c>
      <c r="B1868" s="2">
        <v>45831</v>
      </c>
      <c r="C1868" t="s">
        <v>330</v>
      </c>
      <c r="D1868" t="s">
        <v>1617</v>
      </c>
      <c r="E1868" t="s">
        <v>1752</v>
      </c>
      <c r="F1868" s="4">
        <v>3</v>
      </c>
      <c r="G1868">
        <v>523.66</v>
      </c>
      <c r="H1868">
        <v>0.27</v>
      </c>
      <c r="I1868" t="s">
        <v>1809</v>
      </c>
      <c r="J1868">
        <v>1146.8154</v>
      </c>
      <c r="K1868" t="s">
        <v>331</v>
      </c>
      <c r="L1868">
        <v>43</v>
      </c>
      <c r="M1868" t="str">
        <v>Female</v>
      </c>
      <c r="N1868" t="str">
        <f>VLOOKUP(C:C,Customer_Dim!B:I,5,1)</f>
        <v>Port Travisstad</v>
      </c>
      <c r="O1868" t="str">
        <f>VLOOKUP(C:C,Customer_Dim!B:I,6,1)</f>
        <v>South Carolina</v>
      </c>
      <c r="P1868" t="str">
        <f>VLOOKUP(C:C,Customer_Dim!B:I,7,1)</f>
        <v>USA</v>
      </c>
      <c r="Q1868" t="str">
        <f>VLOOKUP(C:C,Customer_Dim!B:I,8,1)</f>
        <v>Gold</v>
      </c>
      <c r="S1868">
        <v>3</v>
      </c>
      <c r="T1868">
        <v>523.66</v>
      </c>
      <c r="U1868">
        <v>0.27</v>
      </c>
      <c r="V1868">
        <v>1146.8154</v>
      </c>
      <c r="X1868" s="4">
        <v>3</v>
      </c>
      <c r="Y1868">
        <v>523.66</v>
      </c>
      <c r="Z1868">
        <v>0.27</v>
      </c>
      <c r="AA1868">
        <v>1146.8154</v>
      </c>
    </row>
    <row r="1869" spans="1:27" x14ac:dyDescent="0.3">
      <c r="A1869" t="s">
        <v>3676</v>
      </c>
      <c r="B1869" s="2">
        <v>45602</v>
      </c>
      <c r="C1869" t="s">
        <v>494</v>
      </c>
      <c r="D1869" t="s">
        <v>1659</v>
      </c>
      <c r="E1869" t="s">
        <v>1744</v>
      </c>
      <c r="F1869" s="4">
        <v>4</v>
      </c>
      <c r="G1869">
        <v>838.99</v>
      </c>
      <c r="H1869">
        <v>0.16</v>
      </c>
      <c r="I1869" t="s">
        <v>1807</v>
      </c>
      <c r="J1869">
        <v>2819.0064000000002</v>
      </c>
      <c r="K1869" t="s">
        <v>495</v>
      </c>
      <c r="L1869">
        <v>33</v>
      </c>
      <c r="M1869" t="str">
        <v>Male</v>
      </c>
      <c r="N1869" t="str">
        <f>VLOOKUP(C:C,Customer_Dim!B:I,5,1)</f>
        <v>New Brian</v>
      </c>
      <c r="O1869" t="str">
        <f>VLOOKUP(C:C,Customer_Dim!B:I,6,1)</f>
        <v>Wisconsin</v>
      </c>
      <c r="P1869" t="str">
        <f>VLOOKUP(C:C,Customer_Dim!B:I,7,1)</f>
        <v>USA</v>
      </c>
      <c r="Q1869" t="str">
        <f>VLOOKUP(C:C,Customer_Dim!B:I,8,1)</f>
        <v>Bronze</v>
      </c>
      <c r="S1869">
        <v>4</v>
      </c>
      <c r="T1869">
        <v>838.99</v>
      </c>
      <c r="U1869">
        <v>0.16</v>
      </c>
      <c r="V1869">
        <v>2819.0064000000002</v>
      </c>
      <c r="X1869" s="4">
        <v>4</v>
      </c>
      <c r="Y1869">
        <v>838.99</v>
      </c>
      <c r="Z1869">
        <v>0.16</v>
      </c>
      <c r="AA1869">
        <v>2819.0064000000002</v>
      </c>
    </row>
    <row r="1870" spans="1:27" x14ac:dyDescent="0.3">
      <c r="A1870" t="s">
        <v>3677</v>
      </c>
      <c r="B1870" s="2">
        <v>45722</v>
      </c>
      <c r="C1870" t="s">
        <v>456</v>
      </c>
      <c r="D1870" t="s">
        <v>1553</v>
      </c>
      <c r="E1870" t="s">
        <v>1790</v>
      </c>
      <c r="F1870" s="4">
        <v>4</v>
      </c>
      <c r="G1870">
        <v>838.7</v>
      </c>
      <c r="H1870">
        <v>0.21</v>
      </c>
      <c r="I1870" t="s">
        <v>1812</v>
      </c>
      <c r="J1870">
        <v>2650.2919999999999</v>
      </c>
      <c r="K1870" t="s">
        <v>457</v>
      </c>
      <c r="L1870">
        <v>29</v>
      </c>
      <c r="M1870" t="str">
        <v>Male</v>
      </c>
      <c r="N1870" t="str">
        <f>VLOOKUP(C:C,Customer_Dim!B:I,5,1)</f>
        <v>Gonzalezbury</v>
      </c>
      <c r="O1870" t="str">
        <f>VLOOKUP(C:C,Customer_Dim!B:I,6,1)</f>
        <v>Michigan</v>
      </c>
      <c r="P1870" t="str">
        <f>VLOOKUP(C:C,Customer_Dim!B:I,7,1)</f>
        <v>USA</v>
      </c>
      <c r="Q1870" t="str">
        <f>VLOOKUP(C:C,Customer_Dim!B:I,8,1)</f>
        <v>Platinum</v>
      </c>
      <c r="S1870">
        <v>4</v>
      </c>
      <c r="T1870">
        <v>838.7</v>
      </c>
      <c r="U1870">
        <v>0.21</v>
      </c>
      <c r="V1870">
        <v>2650.2919999999999</v>
      </c>
      <c r="X1870" s="4">
        <v>4</v>
      </c>
      <c r="Y1870">
        <v>838.7</v>
      </c>
      <c r="Z1870">
        <v>0.21</v>
      </c>
      <c r="AA1870">
        <v>2650.2919999999999</v>
      </c>
    </row>
    <row r="1871" spans="1:27" x14ac:dyDescent="0.3">
      <c r="A1871" t="s">
        <v>3678</v>
      </c>
      <c r="B1871" s="2">
        <v>45794</v>
      </c>
      <c r="C1871" t="s">
        <v>1290</v>
      </c>
      <c r="D1871" t="s">
        <v>1679</v>
      </c>
      <c r="E1871" t="s">
        <v>1765</v>
      </c>
      <c r="F1871" s="4">
        <v>3</v>
      </c>
      <c r="G1871">
        <v>943.24</v>
      </c>
      <c r="H1871">
        <v>0.21</v>
      </c>
      <c r="I1871" t="s">
        <v>1807</v>
      </c>
      <c r="J1871">
        <v>2235.4787999999999</v>
      </c>
      <c r="K1871" t="s">
        <v>3949</v>
      </c>
      <c r="L1871">
        <v>45</v>
      </c>
      <c r="M1871" t="str">
        <v>Female</v>
      </c>
      <c r="N1871" t="str">
        <f>VLOOKUP(C:C,Customer_Dim!B:I,5,1)</f>
        <v>New Benjamin</v>
      </c>
      <c r="O1871" t="str">
        <f>VLOOKUP(C:C,Customer_Dim!B:I,6,1)</f>
        <v>North Carolina</v>
      </c>
      <c r="P1871" t="str">
        <f>VLOOKUP(C:C,Customer_Dim!B:I,7,1)</f>
        <v>USA</v>
      </c>
      <c r="Q1871" t="str">
        <f>VLOOKUP(C:C,Customer_Dim!B:I,8,1)</f>
        <v>Bronze</v>
      </c>
      <c r="S1871">
        <v>3</v>
      </c>
      <c r="T1871">
        <v>943.24</v>
      </c>
      <c r="U1871">
        <v>0.21</v>
      </c>
      <c r="V1871">
        <v>2235.4787999999999</v>
      </c>
      <c r="X1871" s="4">
        <v>3</v>
      </c>
      <c r="Y1871">
        <v>943.24</v>
      </c>
      <c r="Z1871">
        <v>0.21</v>
      </c>
      <c r="AA1871">
        <v>2235.4787999999999</v>
      </c>
    </row>
    <row r="1872" spans="1:27" x14ac:dyDescent="0.3">
      <c r="A1872" t="s">
        <v>3679</v>
      </c>
      <c r="B1872" s="2">
        <v>45659</v>
      </c>
      <c r="C1872" t="s">
        <v>936</v>
      </c>
      <c r="D1872" t="s">
        <v>1526</v>
      </c>
      <c r="E1872" t="s">
        <v>1790</v>
      </c>
      <c r="F1872" s="4">
        <v>2</v>
      </c>
      <c r="G1872">
        <v>310.33</v>
      </c>
      <c r="H1872">
        <v>0.26</v>
      </c>
      <c r="I1872" t="s">
        <v>1807</v>
      </c>
      <c r="J1872">
        <v>459.28840000000002</v>
      </c>
      <c r="K1872" t="s">
        <v>937</v>
      </c>
      <c r="L1872">
        <v>29</v>
      </c>
      <c r="M1872" t="str">
        <v>Male</v>
      </c>
      <c r="N1872" t="str">
        <f>VLOOKUP(C:C,Customer_Dim!B:I,5,1)</f>
        <v>West Robinmouth</v>
      </c>
      <c r="O1872" t="str">
        <f>VLOOKUP(C:C,Customer_Dim!B:I,6,1)</f>
        <v>Louisiana</v>
      </c>
      <c r="P1872" t="str">
        <f>VLOOKUP(C:C,Customer_Dim!B:I,7,1)</f>
        <v>USA</v>
      </c>
      <c r="Q1872" t="str">
        <f>VLOOKUP(C:C,Customer_Dim!B:I,8,1)</f>
        <v>Platinum</v>
      </c>
      <c r="S1872">
        <v>2</v>
      </c>
      <c r="T1872">
        <v>310.33</v>
      </c>
      <c r="U1872">
        <v>0.26</v>
      </c>
      <c r="V1872">
        <v>459.28840000000002</v>
      </c>
      <c r="X1872" s="4">
        <v>2</v>
      </c>
      <c r="Y1872">
        <v>310.33</v>
      </c>
      <c r="Z1872">
        <v>0.26</v>
      </c>
      <c r="AA1872">
        <v>459.28840000000002</v>
      </c>
    </row>
    <row r="1873" spans="1:27" x14ac:dyDescent="0.3">
      <c r="A1873" t="s">
        <v>3680</v>
      </c>
      <c r="B1873" s="2">
        <v>45501</v>
      </c>
      <c r="C1873" t="s">
        <v>1075</v>
      </c>
      <c r="D1873" t="s">
        <v>1621</v>
      </c>
      <c r="E1873" t="s">
        <v>1735</v>
      </c>
      <c r="F1873" s="4">
        <v>3</v>
      </c>
      <c r="G1873">
        <v>201.05</v>
      </c>
      <c r="H1873">
        <v>0.23</v>
      </c>
      <c r="I1873" t="s">
        <v>1809</v>
      </c>
      <c r="J1873">
        <v>464.42550000000011</v>
      </c>
      <c r="K1873" t="s">
        <v>1076</v>
      </c>
      <c r="L1873">
        <v>39</v>
      </c>
      <c r="M1873" t="str">
        <v>Female</v>
      </c>
      <c r="N1873" t="str">
        <f>VLOOKUP(C:C,Customer_Dim!B:I,5,1)</f>
        <v>Port Crystalberg</v>
      </c>
      <c r="O1873" t="str">
        <f>VLOOKUP(C:C,Customer_Dim!B:I,6,1)</f>
        <v>Tennessee</v>
      </c>
      <c r="P1873" t="str">
        <f>VLOOKUP(C:C,Customer_Dim!B:I,7,1)</f>
        <v>USA</v>
      </c>
      <c r="Q1873" t="str">
        <f>VLOOKUP(C:C,Customer_Dim!B:I,8,1)</f>
        <v>Platinum</v>
      </c>
      <c r="S1873">
        <v>3</v>
      </c>
      <c r="T1873">
        <v>201.05</v>
      </c>
      <c r="U1873">
        <v>0.23</v>
      </c>
      <c r="V1873">
        <v>464.42550000000011</v>
      </c>
      <c r="X1873" s="4">
        <v>3</v>
      </c>
      <c r="Y1873">
        <v>201.05</v>
      </c>
      <c r="Z1873">
        <v>0.23</v>
      </c>
      <c r="AA1873">
        <v>464.42550000000011</v>
      </c>
    </row>
    <row r="1874" spans="1:27" x14ac:dyDescent="0.3">
      <c r="A1874" t="s">
        <v>3681</v>
      </c>
      <c r="B1874" s="2">
        <v>45408</v>
      </c>
      <c r="C1874" t="s">
        <v>800</v>
      </c>
      <c r="D1874" t="s">
        <v>1647</v>
      </c>
      <c r="E1874" t="s">
        <v>1790</v>
      </c>
      <c r="F1874" s="4">
        <v>1</v>
      </c>
      <c r="G1874">
        <v>803.37</v>
      </c>
      <c r="H1874">
        <v>0.3</v>
      </c>
      <c r="I1874" t="s">
        <v>1809</v>
      </c>
      <c r="J1874">
        <v>562.35899999999992</v>
      </c>
      <c r="K1874" t="s">
        <v>801</v>
      </c>
      <c r="L1874">
        <v>32</v>
      </c>
      <c r="M1874" t="str">
        <v>Male</v>
      </c>
      <c r="N1874" t="str">
        <f>VLOOKUP(C:C,Customer_Dim!B:I,5,1)</f>
        <v>Robinborough</v>
      </c>
      <c r="O1874" t="str">
        <f>VLOOKUP(C:C,Customer_Dim!B:I,6,1)</f>
        <v>South Dakota</v>
      </c>
      <c r="P1874" t="str">
        <f>VLOOKUP(C:C,Customer_Dim!B:I,7,1)</f>
        <v>USA</v>
      </c>
      <c r="Q1874" t="str">
        <f>VLOOKUP(C:C,Customer_Dim!B:I,8,1)</f>
        <v>Silver</v>
      </c>
      <c r="S1874">
        <v>1</v>
      </c>
      <c r="T1874">
        <v>803.37</v>
      </c>
      <c r="U1874">
        <v>0.3</v>
      </c>
      <c r="V1874">
        <v>562.35899999999992</v>
      </c>
      <c r="X1874" s="4">
        <v>1</v>
      </c>
      <c r="Y1874">
        <v>803.37</v>
      </c>
      <c r="Z1874">
        <v>0.3</v>
      </c>
      <c r="AA1874">
        <v>562.35899999999992</v>
      </c>
    </row>
    <row r="1875" spans="1:27" x14ac:dyDescent="0.3">
      <c r="A1875" t="s">
        <v>3682</v>
      </c>
      <c r="B1875" s="2">
        <v>45886</v>
      </c>
      <c r="C1875" t="s">
        <v>143</v>
      </c>
      <c r="D1875" t="s">
        <v>1653</v>
      </c>
      <c r="E1875" t="s">
        <v>1784</v>
      </c>
      <c r="F1875" s="4">
        <v>3</v>
      </c>
      <c r="G1875">
        <v>259.98</v>
      </c>
      <c r="H1875">
        <v>7.0000000000000007E-2</v>
      </c>
      <c r="I1875" t="s">
        <v>1812</v>
      </c>
      <c r="J1875">
        <v>725.3442</v>
      </c>
      <c r="K1875" t="s">
        <v>144</v>
      </c>
      <c r="L1875">
        <v>27</v>
      </c>
      <c r="M1875" t="str">
        <v>Female</v>
      </c>
      <c r="N1875" t="str">
        <f>VLOOKUP(C:C,Customer_Dim!B:I,5,1)</f>
        <v>Luisfurt</v>
      </c>
      <c r="O1875" t="str">
        <f>VLOOKUP(C:C,Customer_Dim!B:I,6,1)</f>
        <v>Georgia</v>
      </c>
      <c r="P1875" t="str">
        <f>VLOOKUP(C:C,Customer_Dim!B:I,7,1)</f>
        <v>USA</v>
      </c>
      <c r="Q1875" t="str">
        <f>VLOOKUP(C:C,Customer_Dim!B:I,8,1)</f>
        <v>Gold</v>
      </c>
      <c r="S1875">
        <v>3</v>
      </c>
      <c r="T1875">
        <v>259.98</v>
      </c>
      <c r="U1875">
        <v>7.0000000000000007E-2</v>
      </c>
      <c r="V1875">
        <v>725.3442</v>
      </c>
      <c r="X1875" s="4">
        <v>3</v>
      </c>
      <c r="Y1875">
        <v>259.98</v>
      </c>
      <c r="Z1875">
        <v>7.0000000000000007E-2</v>
      </c>
      <c r="AA1875">
        <v>725.3442</v>
      </c>
    </row>
    <row r="1876" spans="1:27" x14ac:dyDescent="0.3">
      <c r="A1876" t="s">
        <v>3683</v>
      </c>
      <c r="B1876" s="2">
        <v>45426</v>
      </c>
      <c r="C1876" t="s">
        <v>423</v>
      </c>
      <c r="D1876" t="s">
        <v>1532</v>
      </c>
      <c r="E1876" t="s">
        <v>1749</v>
      </c>
      <c r="F1876" s="4">
        <v>4</v>
      </c>
      <c r="G1876">
        <v>591.9</v>
      </c>
      <c r="H1876">
        <v>0.2</v>
      </c>
      <c r="I1876" t="s">
        <v>1809</v>
      </c>
      <c r="J1876">
        <v>1894.08</v>
      </c>
      <c r="K1876" t="s">
        <v>424</v>
      </c>
      <c r="L1876">
        <v>64</v>
      </c>
      <c r="M1876" t="str">
        <v>Female</v>
      </c>
      <c r="N1876" t="str">
        <f>VLOOKUP(C:C,Customer_Dim!B:I,5,1)</f>
        <v>Wongberg</v>
      </c>
      <c r="O1876" t="str">
        <f>VLOOKUP(C:C,Customer_Dim!B:I,6,1)</f>
        <v>Illinois</v>
      </c>
      <c r="P1876" t="str">
        <f>VLOOKUP(C:C,Customer_Dim!B:I,7,1)</f>
        <v>USA</v>
      </c>
      <c r="Q1876" t="str">
        <f>VLOOKUP(C:C,Customer_Dim!B:I,8,1)</f>
        <v>Bronze</v>
      </c>
      <c r="S1876">
        <v>4</v>
      </c>
      <c r="T1876">
        <v>591.9</v>
      </c>
      <c r="U1876">
        <v>0.2</v>
      </c>
      <c r="V1876">
        <v>1894.08</v>
      </c>
      <c r="X1876" s="4">
        <v>4</v>
      </c>
      <c r="Y1876">
        <v>591.9</v>
      </c>
      <c r="Z1876">
        <v>0.2</v>
      </c>
      <c r="AA1876">
        <v>1894.08</v>
      </c>
    </row>
    <row r="1877" spans="1:27" x14ac:dyDescent="0.3">
      <c r="A1877" t="s">
        <v>3684</v>
      </c>
      <c r="B1877" s="2">
        <v>45730</v>
      </c>
      <c r="C1877" t="s">
        <v>127</v>
      </c>
      <c r="D1877" t="s">
        <v>1651</v>
      </c>
      <c r="E1877" t="s">
        <v>1777</v>
      </c>
      <c r="F1877" s="4">
        <v>2</v>
      </c>
      <c r="G1877">
        <v>396.9</v>
      </c>
      <c r="H1877">
        <v>0.18</v>
      </c>
      <c r="I1877" t="s">
        <v>1809</v>
      </c>
      <c r="J1877">
        <v>650.91600000000005</v>
      </c>
      <c r="K1877" t="s">
        <v>128</v>
      </c>
      <c r="L1877">
        <v>48</v>
      </c>
      <c r="M1877" t="str">
        <v>Female</v>
      </c>
      <c r="N1877" t="str">
        <f>VLOOKUP(C:C,Customer_Dim!B:I,5,1)</f>
        <v>Johnsonville</v>
      </c>
      <c r="O1877" t="str">
        <f>VLOOKUP(C:C,Customer_Dim!B:I,6,1)</f>
        <v>Oregon</v>
      </c>
      <c r="P1877" t="str">
        <f>VLOOKUP(C:C,Customer_Dim!B:I,7,1)</f>
        <v>USA</v>
      </c>
      <c r="Q1877" t="str">
        <f>VLOOKUP(C:C,Customer_Dim!B:I,8,1)</f>
        <v>Silver</v>
      </c>
      <c r="S1877">
        <v>2</v>
      </c>
      <c r="T1877">
        <v>396.9</v>
      </c>
      <c r="U1877">
        <v>0.18</v>
      </c>
      <c r="V1877">
        <v>650.91600000000005</v>
      </c>
      <c r="X1877" s="4">
        <v>2</v>
      </c>
      <c r="Y1877">
        <v>396.9</v>
      </c>
      <c r="Z1877">
        <v>0.18</v>
      </c>
      <c r="AA1877">
        <v>650.91600000000005</v>
      </c>
    </row>
    <row r="1878" spans="1:27" x14ac:dyDescent="0.3">
      <c r="A1878" t="s">
        <v>3685</v>
      </c>
      <c r="B1878" s="2">
        <v>45731</v>
      </c>
      <c r="C1878" t="s">
        <v>1384</v>
      </c>
      <c r="D1878" t="s">
        <v>1727</v>
      </c>
      <c r="E1878" t="s">
        <v>1744</v>
      </c>
      <c r="F1878" s="4">
        <v>1</v>
      </c>
      <c r="G1878">
        <v>176.84</v>
      </c>
      <c r="H1878">
        <v>0.19</v>
      </c>
      <c r="I1878" t="s">
        <v>1807</v>
      </c>
      <c r="J1878">
        <v>143.24039999999999</v>
      </c>
      <c r="K1878" t="s">
        <v>1385</v>
      </c>
      <c r="L1878">
        <v>60</v>
      </c>
      <c r="M1878" t="str">
        <v>Male</v>
      </c>
      <c r="N1878" t="str">
        <f>VLOOKUP(C:C,Customer_Dim!B:I,5,1)</f>
        <v>Lake Carolyn</v>
      </c>
      <c r="O1878" t="str">
        <f>VLOOKUP(C:C,Customer_Dim!B:I,6,1)</f>
        <v>Hawaii</v>
      </c>
      <c r="P1878" t="str">
        <f>VLOOKUP(C:C,Customer_Dim!B:I,7,1)</f>
        <v>USA</v>
      </c>
      <c r="Q1878" t="str">
        <f>VLOOKUP(C:C,Customer_Dim!B:I,8,1)</f>
        <v>Platinum</v>
      </c>
      <c r="S1878">
        <v>1</v>
      </c>
      <c r="T1878">
        <v>176.84</v>
      </c>
      <c r="U1878">
        <v>0.19</v>
      </c>
      <c r="V1878">
        <v>143.24039999999999</v>
      </c>
      <c r="X1878" s="4">
        <v>1</v>
      </c>
      <c r="Y1878">
        <v>176.84</v>
      </c>
      <c r="Z1878">
        <v>0.19</v>
      </c>
      <c r="AA1878">
        <v>143.24039999999999</v>
      </c>
    </row>
    <row r="1879" spans="1:27" x14ac:dyDescent="0.3">
      <c r="A1879" t="s">
        <v>3686</v>
      </c>
      <c r="B1879" s="2">
        <v>45272</v>
      </c>
      <c r="C1879" t="s">
        <v>805</v>
      </c>
      <c r="D1879" t="s">
        <v>1583</v>
      </c>
      <c r="E1879" t="s">
        <v>1735</v>
      </c>
      <c r="F1879" s="4">
        <v>2</v>
      </c>
      <c r="G1879">
        <v>614.21</v>
      </c>
      <c r="H1879">
        <v>0.11</v>
      </c>
      <c r="I1879" t="s">
        <v>1809</v>
      </c>
      <c r="J1879">
        <v>1093.2937999999999</v>
      </c>
      <c r="K1879" t="s">
        <v>806</v>
      </c>
      <c r="L1879">
        <v>21</v>
      </c>
      <c r="M1879" t="str">
        <v>Male</v>
      </c>
      <c r="N1879" t="str">
        <f>VLOOKUP(C:C,Customer_Dim!B:I,5,1)</f>
        <v>Masseyland</v>
      </c>
      <c r="O1879" t="str">
        <f>VLOOKUP(C:C,Customer_Dim!B:I,6,1)</f>
        <v>Alaska</v>
      </c>
      <c r="P1879" t="str">
        <f>VLOOKUP(C:C,Customer_Dim!B:I,7,1)</f>
        <v>USA</v>
      </c>
      <c r="Q1879" t="str">
        <f>VLOOKUP(C:C,Customer_Dim!B:I,8,1)</f>
        <v>Silver</v>
      </c>
      <c r="S1879">
        <v>2</v>
      </c>
      <c r="T1879">
        <v>614.21</v>
      </c>
      <c r="U1879">
        <v>0.11</v>
      </c>
      <c r="V1879">
        <v>1093.2937999999999</v>
      </c>
      <c r="X1879" s="4">
        <v>2</v>
      </c>
      <c r="Y1879">
        <v>614.21</v>
      </c>
      <c r="Z1879">
        <v>0.11</v>
      </c>
      <c r="AA1879">
        <v>1093.2937999999999</v>
      </c>
    </row>
    <row r="1880" spans="1:27" x14ac:dyDescent="0.3">
      <c r="A1880" t="s">
        <v>3687</v>
      </c>
      <c r="B1880" s="2">
        <v>45584</v>
      </c>
      <c r="C1880" t="s">
        <v>376</v>
      </c>
      <c r="D1880" t="s">
        <v>1534</v>
      </c>
      <c r="E1880" t="s">
        <v>1762</v>
      </c>
      <c r="F1880" s="4">
        <v>3</v>
      </c>
      <c r="G1880">
        <v>604.66</v>
      </c>
      <c r="H1880">
        <v>0.18</v>
      </c>
      <c r="I1880" t="s">
        <v>1812</v>
      </c>
      <c r="J1880">
        <v>1487.4636</v>
      </c>
      <c r="K1880" t="s">
        <v>377</v>
      </c>
      <c r="L1880">
        <v>27</v>
      </c>
      <c r="M1880" t="str">
        <v>Male</v>
      </c>
      <c r="N1880" t="str">
        <f>VLOOKUP(C:C,Customer_Dim!B:I,5,1)</f>
        <v>Webstermouth</v>
      </c>
      <c r="O1880" t="str">
        <f>VLOOKUP(C:C,Customer_Dim!B:I,6,1)</f>
        <v>New Hampshire</v>
      </c>
      <c r="P1880" t="str">
        <f>VLOOKUP(C:C,Customer_Dim!B:I,7,1)</f>
        <v>USA</v>
      </c>
      <c r="Q1880" t="str">
        <f>VLOOKUP(C:C,Customer_Dim!B:I,8,1)</f>
        <v>Bronze</v>
      </c>
      <c r="S1880">
        <v>3</v>
      </c>
      <c r="T1880">
        <v>604.66</v>
      </c>
      <c r="U1880">
        <v>0.18</v>
      </c>
      <c r="V1880">
        <v>1487.4636</v>
      </c>
      <c r="X1880" s="4">
        <v>3</v>
      </c>
      <c r="Y1880">
        <v>604.66</v>
      </c>
      <c r="Z1880">
        <v>0.18</v>
      </c>
      <c r="AA1880">
        <v>1487.4636</v>
      </c>
    </row>
    <row r="1881" spans="1:27" x14ac:dyDescent="0.3">
      <c r="A1881" t="s">
        <v>3688</v>
      </c>
      <c r="B1881" s="2">
        <v>45534</v>
      </c>
      <c r="C1881" t="s">
        <v>1513</v>
      </c>
      <c r="D1881" t="s">
        <v>1532</v>
      </c>
      <c r="E1881" t="s">
        <v>1777</v>
      </c>
      <c r="F1881" s="4">
        <v>3</v>
      </c>
      <c r="G1881">
        <v>24.29</v>
      </c>
      <c r="H1881">
        <v>0.12</v>
      </c>
      <c r="I1881" t="s">
        <v>1809</v>
      </c>
      <c r="J1881">
        <v>64.125600000000006</v>
      </c>
      <c r="K1881" t="s">
        <v>1514</v>
      </c>
      <c r="L1881">
        <v>27</v>
      </c>
      <c r="M1881" t="str">
        <v>Female</v>
      </c>
      <c r="N1881" t="str">
        <f>VLOOKUP(C:C,Customer_Dim!B:I,5,1)</f>
        <v>Snyderfurt</v>
      </c>
      <c r="O1881" t="str">
        <f>VLOOKUP(C:C,Customer_Dim!B:I,6,1)</f>
        <v>New Mexico</v>
      </c>
      <c r="P1881" t="str">
        <f>VLOOKUP(C:C,Customer_Dim!B:I,7,1)</f>
        <v>USA</v>
      </c>
      <c r="Q1881" t="str">
        <f>VLOOKUP(C:C,Customer_Dim!B:I,8,1)</f>
        <v>Silver</v>
      </c>
      <c r="S1881">
        <v>3</v>
      </c>
      <c r="T1881">
        <v>24.29</v>
      </c>
      <c r="U1881">
        <v>0.12</v>
      </c>
      <c r="V1881">
        <v>64.125600000000006</v>
      </c>
      <c r="X1881" s="4">
        <v>3</v>
      </c>
      <c r="Y1881">
        <v>24.29</v>
      </c>
      <c r="Z1881">
        <v>0.12</v>
      </c>
      <c r="AA1881">
        <v>64.125600000000006</v>
      </c>
    </row>
    <row r="1882" spans="1:27" x14ac:dyDescent="0.3">
      <c r="A1882" t="s">
        <v>3689</v>
      </c>
      <c r="B1882" s="2">
        <v>45482</v>
      </c>
      <c r="C1882" t="s">
        <v>414</v>
      </c>
      <c r="D1882" t="s">
        <v>1657</v>
      </c>
      <c r="E1882" t="s">
        <v>1775</v>
      </c>
      <c r="F1882" s="4">
        <v>1</v>
      </c>
      <c r="G1882">
        <v>503.95</v>
      </c>
      <c r="H1882">
        <v>0.24</v>
      </c>
      <c r="I1882" t="s">
        <v>1809</v>
      </c>
      <c r="J1882">
        <v>383.00200000000001</v>
      </c>
      <c r="K1882" t="s">
        <v>415</v>
      </c>
      <c r="L1882">
        <v>50</v>
      </c>
      <c r="M1882" t="str">
        <v>Male</v>
      </c>
      <c r="N1882" t="str">
        <f>VLOOKUP(C:C,Customer_Dim!B:I,5,1)</f>
        <v>Lake Danielport</v>
      </c>
      <c r="O1882" t="str">
        <f>VLOOKUP(C:C,Customer_Dim!B:I,6,1)</f>
        <v>Hawaii</v>
      </c>
      <c r="P1882" t="str">
        <f>VLOOKUP(C:C,Customer_Dim!B:I,7,1)</f>
        <v>USA</v>
      </c>
      <c r="Q1882" t="str">
        <f>VLOOKUP(C:C,Customer_Dim!B:I,8,1)</f>
        <v>Platinum</v>
      </c>
      <c r="S1882">
        <v>1</v>
      </c>
      <c r="T1882">
        <v>503.95</v>
      </c>
      <c r="U1882">
        <v>0.24</v>
      </c>
      <c r="V1882">
        <v>383.00200000000001</v>
      </c>
      <c r="X1882" s="4">
        <v>1</v>
      </c>
      <c r="Y1882">
        <v>503.95</v>
      </c>
      <c r="Z1882">
        <v>0.24</v>
      </c>
      <c r="AA1882">
        <v>383.00200000000001</v>
      </c>
    </row>
    <row r="1883" spans="1:27" x14ac:dyDescent="0.3">
      <c r="A1883" t="s">
        <v>3690</v>
      </c>
      <c r="B1883" s="2">
        <v>45475</v>
      </c>
      <c r="C1883" t="s">
        <v>995</v>
      </c>
      <c r="D1883" t="s">
        <v>1633</v>
      </c>
      <c r="E1883" t="s">
        <v>1782</v>
      </c>
      <c r="F1883" s="4">
        <v>4</v>
      </c>
      <c r="G1883">
        <v>860.78</v>
      </c>
      <c r="H1883">
        <v>0.03</v>
      </c>
      <c r="I1883" t="s">
        <v>1807</v>
      </c>
      <c r="J1883">
        <v>3339.8263999999999</v>
      </c>
      <c r="K1883" t="s">
        <v>996</v>
      </c>
      <c r="L1883">
        <v>34</v>
      </c>
      <c r="M1883" t="str">
        <v>Female</v>
      </c>
      <c r="N1883" t="str">
        <f>VLOOKUP(C:C,Customer_Dim!B:I,5,1)</f>
        <v>West Mathewside</v>
      </c>
      <c r="O1883" t="str">
        <f>VLOOKUP(C:C,Customer_Dim!B:I,6,1)</f>
        <v>Mississippi</v>
      </c>
      <c r="P1883" t="str">
        <f>VLOOKUP(C:C,Customer_Dim!B:I,7,1)</f>
        <v>USA</v>
      </c>
      <c r="Q1883" t="str">
        <f>VLOOKUP(C:C,Customer_Dim!B:I,8,1)</f>
        <v>Platinum</v>
      </c>
      <c r="S1883">
        <v>4</v>
      </c>
      <c r="T1883">
        <v>860.78</v>
      </c>
      <c r="U1883">
        <v>0.03</v>
      </c>
      <c r="V1883">
        <v>3339.8263999999999</v>
      </c>
      <c r="X1883" s="4">
        <v>4</v>
      </c>
      <c r="Y1883">
        <v>860.78</v>
      </c>
      <c r="Z1883">
        <v>0.03</v>
      </c>
      <c r="AA1883">
        <v>3339.8263999999999</v>
      </c>
    </row>
    <row r="1884" spans="1:27" x14ac:dyDescent="0.3">
      <c r="A1884" t="s">
        <v>3691</v>
      </c>
      <c r="B1884" s="2">
        <v>45234</v>
      </c>
      <c r="C1884" t="s">
        <v>640</v>
      </c>
      <c r="D1884" t="s">
        <v>1615</v>
      </c>
      <c r="E1884" t="s">
        <v>1749</v>
      </c>
      <c r="F1884" s="4">
        <v>3</v>
      </c>
      <c r="G1884">
        <v>41.97</v>
      </c>
      <c r="H1884">
        <v>0.03</v>
      </c>
      <c r="I1884" t="s">
        <v>1812</v>
      </c>
      <c r="J1884">
        <v>122.1327</v>
      </c>
      <c r="K1884" t="s">
        <v>641</v>
      </c>
      <c r="L1884">
        <v>54</v>
      </c>
      <c r="M1884" t="str">
        <v>Male</v>
      </c>
      <c r="N1884" t="str">
        <f>VLOOKUP(C:C,Customer_Dim!B:I,5,1)</f>
        <v>Christopherland</v>
      </c>
      <c r="O1884" t="str">
        <f>VLOOKUP(C:C,Customer_Dim!B:I,6,1)</f>
        <v>Minnesota</v>
      </c>
      <c r="P1884" t="str">
        <f>VLOOKUP(C:C,Customer_Dim!B:I,7,1)</f>
        <v>USA</v>
      </c>
      <c r="Q1884" t="str">
        <f>VLOOKUP(C:C,Customer_Dim!B:I,8,1)</f>
        <v>Platinum</v>
      </c>
      <c r="S1884">
        <v>3</v>
      </c>
      <c r="T1884">
        <v>41.97</v>
      </c>
      <c r="U1884">
        <v>0.03</v>
      </c>
      <c r="V1884">
        <v>122.1327</v>
      </c>
      <c r="X1884" s="4">
        <v>3</v>
      </c>
      <c r="Y1884">
        <v>41.97</v>
      </c>
      <c r="Z1884">
        <v>0.03</v>
      </c>
      <c r="AA1884">
        <v>122.1327</v>
      </c>
    </row>
    <row r="1885" spans="1:27" x14ac:dyDescent="0.3">
      <c r="A1885" t="s">
        <v>3692</v>
      </c>
      <c r="B1885" s="2">
        <v>45397</v>
      </c>
      <c r="C1885" t="s">
        <v>134</v>
      </c>
      <c r="D1885" t="s">
        <v>1561</v>
      </c>
      <c r="E1885" t="s">
        <v>1756</v>
      </c>
      <c r="F1885" s="4">
        <v>1</v>
      </c>
      <c r="G1885">
        <v>649.59</v>
      </c>
      <c r="H1885">
        <v>0.12</v>
      </c>
      <c r="I1885" t="s">
        <v>1812</v>
      </c>
      <c r="J1885">
        <v>571.63920000000007</v>
      </c>
      <c r="K1885" t="s">
        <v>3935</v>
      </c>
      <c r="L1885">
        <v>27</v>
      </c>
      <c r="M1885" t="str">
        <v>Female</v>
      </c>
      <c r="N1885" t="str">
        <f>VLOOKUP(C:C,Customer_Dim!B:I,5,1)</f>
        <v>Tristanton</v>
      </c>
      <c r="O1885" t="str">
        <f>VLOOKUP(C:C,Customer_Dim!B:I,6,1)</f>
        <v>Oklahoma</v>
      </c>
      <c r="P1885" t="str">
        <f>VLOOKUP(C:C,Customer_Dim!B:I,7,1)</f>
        <v>USA</v>
      </c>
      <c r="Q1885" t="str">
        <f>VLOOKUP(C:C,Customer_Dim!B:I,8,1)</f>
        <v>Platinum</v>
      </c>
      <c r="S1885">
        <v>1</v>
      </c>
      <c r="T1885">
        <v>649.59</v>
      </c>
      <c r="U1885">
        <v>0.12</v>
      </c>
      <c r="V1885">
        <v>571.63920000000007</v>
      </c>
      <c r="X1885" s="4">
        <v>1</v>
      </c>
      <c r="Y1885">
        <v>649.59</v>
      </c>
      <c r="Z1885">
        <v>0.12</v>
      </c>
      <c r="AA1885">
        <v>571.63920000000007</v>
      </c>
    </row>
    <row r="1886" spans="1:27" x14ac:dyDescent="0.3">
      <c r="A1886" t="s">
        <v>3693</v>
      </c>
      <c r="B1886" s="2">
        <v>45502</v>
      </c>
      <c r="C1886" t="s">
        <v>199</v>
      </c>
      <c r="D1886" t="s">
        <v>1657</v>
      </c>
      <c r="E1886" t="s">
        <v>1769</v>
      </c>
      <c r="F1886" s="4">
        <v>2</v>
      </c>
      <c r="G1886">
        <v>386.09</v>
      </c>
      <c r="H1886">
        <v>0.19</v>
      </c>
      <c r="I1886" t="s">
        <v>1809</v>
      </c>
      <c r="J1886">
        <v>625.46579999999994</v>
      </c>
      <c r="K1886" t="s">
        <v>200</v>
      </c>
      <c r="L1886">
        <v>24</v>
      </c>
      <c r="M1886" t="str">
        <v>Male</v>
      </c>
      <c r="N1886" t="str">
        <f>VLOOKUP(C:C,Customer_Dim!B:I,5,1)</f>
        <v>East Andrea</v>
      </c>
      <c r="O1886" t="str">
        <f>VLOOKUP(C:C,Customer_Dim!B:I,6,1)</f>
        <v>Michigan</v>
      </c>
      <c r="P1886" t="str">
        <f>VLOOKUP(C:C,Customer_Dim!B:I,7,1)</f>
        <v>USA</v>
      </c>
      <c r="Q1886" t="str">
        <f>VLOOKUP(C:C,Customer_Dim!B:I,8,1)</f>
        <v>Gold</v>
      </c>
      <c r="S1886">
        <v>2</v>
      </c>
      <c r="T1886">
        <v>386.09</v>
      </c>
      <c r="U1886">
        <v>0.19</v>
      </c>
      <c r="V1886">
        <v>625.46579999999994</v>
      </c>
      <c r="X1886" s="4">
        <v>2</v>
      </c>
      <c r="Y1886">
        <v>386.09</v>
      </c>
      <c r="Z1886">
        <v>0.19</v>
      </c>
      <c r="AA1886">
        <v>625.46579999999994</v>
      </c>
    </row>
    <row r="1887" spans="1:27" x14ac:dyDescent="0.3">
      <c r="A1887" t="s">
        <v>3694</v>
      </c>
      <c r="B1887" s="2">
        <v>45644</v>
      </c>
      <c r="C1887" t="s">
        <v>348</v>
      </c>
      <c r="D1887" t="s">
        <v>1633</v>
      </c>
      <c r="E1887" t="s">
        <v>1777</v>
      </c>
      <c r="F1887" s="4">
        <v>1</v>
      </c>
      <c r="G1887">
        <v>891.62</v>
      </c>
      <c r="H1887">
        <v>0.06</v>
      </c>
      <c r="I1887" t="s">
        <v>1809</v>
      </c>
      <c r="J1887">
        <v>838.12279999999998</v>
      </c>
      <c r="K1887" t="s">
        <v>349</v>
      </c>
      <c r="L1887">
        <v>53</v>
      </c>
      <c r="M1887" t="str">
        <v>Female</v>
      </c>
      <c r="N1887" t="str">
        <f>VLOOKUP(C:C,Customer_Dim!B:I,5,1)</f>
        <v>South Dustin</v>
      </c>
      <c r="O1887" t="str">
        <f>VLOOKUP(C:C,Customer_Dim!B:I,6,1)</f>
        <v>Tennessee</v>
      </c>
      <c r="P1887" t="str">
        <f>VLOOKUP(C:C,Customer_Dim!B:I,7,1)</f>
        <v>USA</v>
      </c>
      <c r="Q1887" t="str">
        <f>VLOOKUP(C:C,Customer_Dim!B:I,8,1)</f>
        <v>Silver</v>
      </c>
      <c r="S1887">
        <v>1</v>
      </c>
      <c r="T1887">
        <v>891.62</v>
      </c>
      <c r="U1887">
        <v>0.06</v>
      </c>
      <c r="V1887">
        <v>838.12279999999998</v>
      </c>
      <c r="X1887" s="4">
        <v>1</v>
      </c>
      <c r="Y1887">
        <v>891.62</v>
      </c>
      <c r="Z1887">
        <v>0.06</v>
      </c>
      <c r="AA1887">
        <v>838.12279999999998</v>
      </c>
    </row>
    <row r="1888" spans="1:27" x14ac:dyDescent="0.3">
      <c r="A1888" t="s">
        <v>3695</v>
      </c>
      <c r="B1888" s="2">
        <v>45617</v>
      </c>
      <c r="C1888" t="s">
        <v>1177</v>
      </c>
      <c r="D1888" t="s">
        <v>1659</v>
      </c>
      <c r="E1888" t="s">
        <v>1784</v>
      </c>
      <c r="F1888" s="4">
        <v>2</v>
      </c>
      <c r="G1888">
        <v>558.9</v>
      </c>
      <c r="H1888">
        <v>0.05</v>
      </c>
      <c r="I1888" t="s">
        <v>1812</v>
      </c>
      <c r="J1888">
        <v>1061.9100000000001</v>
      </c>
      <c r="K1888" t="s">
        <v>1178</v>
      </c>
      <c r="L1888">
        <v>20</v>
      </c>
      <c r="M1888" t="str">
        <v>Female</v>
      </c>
      <c r="N1888" t="str">
        <f>VLOOKUP(C:C,Customer_Dim!B:I,5,1)</f>
        <v>Andrewsland</v>
      </c>
      <c r="O1888" t="str">
        <f>VLOOKUP(C:C,Customer_Dim!B:I,6,1)</f>
        <v>Alabama</v>
      </c>
      <c r="P1888" t="str">
        <f>VLOOKUP(C:C,Customer_Dim!B:I,7,1)</f>
        <v>USA</v>
      </c>
      <c r="Q1888" t="str">
        <f>VLOOKUP(C:C,Customer_Dim!B:I,8,1)</f>
        <v>Silver</v>
      </c>
      <c r="S1888">
        <v>2</v>
      </c>
      <c r="T1888">
        <v>558.9</v>
      </c>
      <c r="U1888">
        <v>0.05</v>
      </c>
      <c r="V1888">
        <v>1061.9100000000001</v>
      </c>
      <c r="X1888" s="4">
        <v>2</v>
      </c>
      <c r="Y1888">
        <v>558.9</v>
      </c>
      <c r="Z1888">
        <v>0.05</v>
      </c>
      <c r="AA1888">
        <v>1061.9100000000001</v>
      </c>
    </row>
    <row r="1889" spans="1:27" x14ac:dyDescent="0.3">
      <c r="A1889" t="s">
        <v>3696</v>
      </c>
      <c r="B1889" s="2">
        <v>45797</v>
      </c>
      <c r="C1889" t="s">
        <v>1092</v>
      </c>
      <c r="D1889" t="s">
        <v>1529</v>
      </c>
      <c r="E1889" t="s">
        <v>1749</v>
      </c>
      <c r="F1889" s="4">
        <v>2</v>
      </c>
      <c r="G1889">
        <v>99.04</v>
      </c>
      <c r="H1889">
        <v>0.26</v>
      </c>
      <c r="I1889" t="s">
        <v>1812</v>
      </c>
      <c r="J1889">
        <v>146.57919999999999</v>
      </c>
      <c r="K1889" t="s">
        <v>1093</v>
      </c>
      <c r="L1889">
        <v>56</v>
      </c>
      <c r="M1889" t="str">
        <v>Female</v>
      </c>
      <c r="N1889" t="str">
        <f>VLOOKUP(C:C,Customer_Dim!B:I,5,1)</f>
        <v>Port Saramouth</v>
      </c>
      <c r="O1889" t="str">
        <f>VLOOKUP(C:C,Customer_Dim!B:I,6,1)</f>
        <v>Wisconsin</v>
      </c>
      <c r="P1889" t="str">
        <f>VLOOKUP(C:C,Customer_Dim!B:I,7,1)</f>
        <v>USA</v>
      </c>
      <c r="Q1889" t="str">
        <f>VLOOKUP(C:C,Customer_Dim!B:I,8,1)</f>
        <v>Silver</v>
      </c>
      <c r="S1889">
        <v>2</v>
      </c>
      <c r="T1889">
        <v>99.04</v>
      </c>
      <c r="U1889">
        <v>0.26</v>
      </c>
      <c r="V1889">
        <v>146.57919999999999</v>
      </c>
      <c r="X1889" s="4">
        <v>2</v>
      </c>
      <c r="Y1889">
        <v>99.04</v>
      </c>
      <c r="Z1889">
        <v>0.26</v>
      </c>
      <c r="AA1889">
        <v>146.57919999999999</v>
      </c>
    </row>
    <row r="1890" spans="1:27" x14ac:dyDescent="0.3">
      <c r="A1890" t="s">
        <v>3697</v>
      </c>
      <c r="B1890" s="2">
        <v>45740</v>
      </c>
      <c r="C1890" t="s">
        <v>914</v>
      </c>
      <c r="D1890" t="s">
        <v>1534</v>
      </c>
      <c r="E1890" t="s">
        <v>1765</v>
      </c>
      <c r="F1890" s="4">
        <v>4</v>
      </c>
      <c r="G1890">
        <v>625.13</v>
      </c>
      <c r="H1890">
        <v>0.06</v>
      </c>
      <c r="I1890" t="s">
        <v>1807</v>
      </c>
      <c r="J1890">
        <v>2350.4888000000001</v>
      </c>
      <c r="K1890" t="s">
        <v>915</v>
      </c>
      <c r="L1890">
        <v>30</v>
      </c>
      <c r="M1890" t="str">
        <v>Male</v>
      </c>
      <c r="N1890" t="str">
        <f>VLOOKUP(C:C,Customer_Dim!B:I,5,1)</f>
        <v>West Beverlymouth</v>
      </c>
      <c r="O1890" t="str">
        <f>VLOOKUP(C:C,Customer_Dim!B:I,6,1)</f>
        <v>Missouri</v>
      </c>
      <c r="P1890" t="str">
        <f>VLOOKUP(C:C,Customer_Dim!B:I,7,1)</f>
        <v>USA</v>
      </c>
      <c r="Q1890" t="str">
        <f>VLOOKUP(C:C,Customer_Dim!B:I,8,1)</f>
        <v>Bronze</v>
      </c>
      <c r="S1890">
        <v>4</v>
      </c>
      <c r="T1890">
        <v>625.13</v>
      </c>
      <c r="U1890">
        <v>0.06</v>
      </c>
      <c r="V1890">
        <v>2350.4888000000001</v>
      </c>
      <c r="X1890" s="4">
        <v>4</v>
      </c>
      <c r="Y1890">
        <v>625.13</v>
      </c>
      <c r="Z1890">
        <v>0.06</v>
      </c>
      <c r="AA1890">
        <v>2350.4888000000001</v>
      </c>
    </row>
    <row r="1891" spans="1:27" x14ac:dyDescent="0.3">
      <c r="A1891" t="s">
        <v>3698</v>
      </c>
      <c r="B1891" s="2">
        <v>45824</v>
      </c>
      <c r="C1891" t="s">
        <v>143</v>
      </c>
      <c r="D1891" t="s">
        <v>1611</v>
      </c>
      <c r="E1891" t="s">
        <v>1793</v>
      </c>
      <c r="F1891" s="4">
        <v>4</v>
      </c>
      <c r="G1891">
        <v>38.380000000000003</v>
      </c>
      <c r="H1891">
        <v>0.16</v>
      </c>
      <c r="I1891" t="s">
        <v>1812</v>
      </c>
      <c r="J1891">
        <v>128.95679999999999</v>
      </c>
      <c r="K1891" t="s">
        <v>144</v>
      </c>
      <c r="L1891">
        <v>27</v>
      </c>
      <c r="M1891" t="str">
        <v>Female</v>
      </c>
      <c r="N1891" t="str">
        <f>VLOOKUP(C:C,Customer_Dim!B:I,5,1)</f>
        <v>Luisfurt</v>
      </c>
      <c r="O1891" t="str">
        <f>VLOOKUP(C:C,Customer_Dim!B:I,6,1)</f>
        <v>Georgia</v>
      </c>
      <c r="P1891" t="str">
        <f>VLOOKUP(C:C,Customer_Dim!B:I,7,1)</f>
        <v>USA</v>
      </c>
      <c r="Q1891" t="str">
        <f>VLOOKUP(C:C,Customer_Dim!B:I,8,1)</f>
        <v>Gold</v>
      </c>
      <c r="S1891">
        <v>4</v>
      </c>
      <c r="T1891">
        <v>38.380000000000003</v>
      </c>
      <c r="U1891">
        <v>0.16</v>
      </c>
      <c r="V1891">
        <v>128.95679999999999</v>
      </c>
      <c r="X1891" s="4">
        <v>4</v>
      </c>
      <c r="Y1891">
        <v>38.380000000000003</v>
      </c>
      <c r="Z1891">
        <v>0.16</v>
      </c>
      <c r="AA1891">
        <v>128.95679999999999</v>
      </c>
    </row>
    <row r="1892" spans="1:27" x14ac:dyDescent="0.3">
      <c r="A1892" t="s">
        <v>3699</v>
      </c>
      <c r="B1892" s="2">
        <v>45404</v>
      </c>
      <c r="C1892" t="s">
        <v>1496</v>
      </c>
      <c r="D1892" t="s">
        <v>1719</v>
      </c>
      <c r="E1892" t="s">
        <v>1772</v>
      </c>
      <c r="F1892" s="4">
        <v>4</v>
      </c>
      <c r="G1892">
        <v>731.72</v>
      </c>
      <c r="H1892">
        <v>0.22</v>
      </c>
      <c r="I1892" t="s">
        <v>1812</v>
      </c>
      <c r="J1892">
        <v>2282.9663999999998</v>
      </c>
      <c r="K1892" t="s">
        <v>1497</v>
      </c>
      <c r="L1892">
        <v>28</v>
      </c>
      <c r="M1892" t="str">
        <v>Male</v>
      </c>
      <c r="N1892" t="str">
        <f>VLOOKUP(C:C,Customer_Dim!B:I,5,1)</f>
        <v>Port Carol</v>
      </c>
      <c r="O1892" t="str">
        <f>VLOOKUP(C:C,Customer_Dim!B:I,6,1)</f>
        <v>Florida</v>
      </c>
      <c r="P1892" t="str">
        <f>VLOOKUP(C:C,Customer_Dim!B:I,7,1)</f>
        <v>USA</v>
      </c>
      <c r="Q1892" t="str">
        <f>VLOOKUP(C:C,Customer_Dim!B:I,8,1)</f>
        <v>Platinum</v>
      </c>
      <c r="S1892">
        <v>4</v>
      </c>
      <c r="T1892">
        <v>731.72</v>
      </c>
      <c r="U1892">
        <v>0.22</v>
      </c>
      <c r="V1892">
        <v>2282.9663999999998</v>
      </c>
      <c r="X1892" s="4">
        <v>4</v>
      </c>
      <c r="Y1892">
        <v>731.72</v>
      </c>
      <c r="Z1892">
        <v>0.22</v>
      </c>
      <c r="AA1892">
        <v>2282.9663999999998</v>
      </c>
    </row>
    <row r="1893" spans="1:27" x14ac:dyDescent="0.3">
      <c r="A1893" t="s">
        <v>3700</v>
      </c>
      <c r="B1893" s="2">
        <v>45916</v>
      </c>
      <c r="C1893" t="s">
        <v>1395</v>
      </c>
      <c r="D1893" t="s">
        <v>1693</v>
      </c>
      <c r="E1893" t="s">
        <v>1796</v>
      </c>
      <c r="F1893" s="4">
        <v>3</v>
      </c>
      <c r="G1893">
        <v>825.33</v>
      </c>
      <c r="H1893">
        <v>0.21</v>
      </c>
      <c r="I1893" t="s">
        <v>1807</v>
      </c>
      <c r="J1893">
        <v>1956.0320999999999</v>
      </c>
      <c r="K1893" t="s">
        <v>1396</v>
      </c>
      <c r="L1893">
        <v>62</v>
      </c>
      <c r="M1893" t="str">
        <v>Female</v>
      </c>
      <c r="N1893" t="str">
        <f>VLOOKUP(C:C,Customer_Dim!B:I,5,1)</f>
        <v>Hubbardborough</v>
      </c>
      <c r="O1893" t="str">
        <f>VLOOKUP(C:C,Customer_Dim!B:I,6,1)</f>
        <v>Kentucky</v>
      </c>
      <c r="P1893" t="str">
        <f>VLOOKUP(C:C,Customer_Dim!B:I,7,1)</f>
        <v>USA</v>
      </c>
      <c r="Q1893" t="str">
        <f>VLOOKUP(C:C,Customer_Dim!B:I,8,1)</f>
        <v>Platinum</v>
      </c>
      <c r="S1893">
        <v>3</v>
      </c>
      <c r="T1893">
        <v>825.33</v>
      </c>
      <c r="U1893">
        <v>0.21</v>
      </c>
      <c r="V1893">
        <v>1956.0320999999999</v>
      </c>
      <c r="X1893" s="4">
        <v>3</v>
      </c>
      <c r="Y1893">
        <v>825.33</v>
      </c>
      <c r="Z1893">
        <v>0.21</v>
      </c>
      <c r="AA1893">
        <v>1956.0320999999999</v>
      </c>
    </row>
    <row r="1894" spans="1:27" x14ac:dyDescent="0.3">
      <c r="A1894" t="s">
        <v>3701</v>
      </c>
      <c r="B1894" s="2">
        <v>45269</v>
      </c>
      <c r="C1894" t="s">
        <v>218</v>
      </c>
      <c r="D1894" t="s">
        <v>1671</v>
      </c>
      <c r="E1894" t="s">
        <v>1782</v>
      </c>
      <c r="F1894" s="4">
        <v>2</v>
      </c>
      <c r="G1894">
        <v>47.3</v>
      </c>
      <c r="H1894">
        <v>0.01</v>
      </c>
      <c r="I1894" t="s">
        <v>1809</v>
      </c>
      <c r="J1894">
        <v>93.653999999999996</v>
      </c>
      <c r="K1894" t="s">
        <v>219</v>
      </c>
      <c r="L1894">
        <v>22</v>
      </c>
      <c r="M1894" t="str">
        <v>Female</v>
      </c>
      <c r="N1894" t="str">
        <f>VLOOKUP(C:C,Customer_Dim!B:I,5,1)</f>
        <v>New Kathrynland</v>
      </c>
      <c r="O1894" t="str">
        <f>VLOOKUP(C:C,Customer_Dim!B:I,6,1)</f>
        <v>Montana</v>
      </c>
      <c r="P1894" t="str">
        <f>VLOOKUP(C:C,Customer_Dim!B:I,7,1)</f>
        <v>USA</v>
      </c>
      <c r="Q1894" t="str">
        <f>VLOOKUP(C:C,Customer_Dim!B:I,8,1)</f>
        <v>Platinum</v>
      </c>
      <c r="S1894">
        <v>2</v>
      </c>
      <c r="T1894">
        <v>47.3</v>
      </c>
      <c r="U1894">
        <v>0.01</v>
      </c>
      <c r="V1894">
        <v>93.653999999999996</v>
      </c>
      <c r="X1894" s="4">
        <v>2</v>
      </c>
      <c r="Y1894">
        <v>47.3</v>
      </c>
      <c r="Z1894">
        <v>0.01</v>
      </c>
      <c r="AA1894">
        <v>93.653999999999996</v>
      </c>
    </row>
    <row r="1895" spans="1:27" x14ac:dyDescent="0.3">
      <c r="A1895" t="s">
        <v>3702</v>
      </c>
      <c r="B1895" s="2">
        <v>45493</v>
      </c>
      <c r="C1895" t="s">
        <v>562</v>
      </c>
      <c r="D1895" t="s">
        <v>1675</v>
      </c>
      <c r="E1895" t="s">
        <v>1790</v>
      </c>
      <c r="F1895" s="4">
        <v>1</v>
      </c>
      <c r="G1895">
        <v>389.12</v>
      </c>
      <c r="H1895">
        <v>0.18</v>
      </c>
      <c r="I1895" t="s">
        <v>1809</v>
      </c>
      <c r="J1895">
        <v>319.07839999999999</v>
      </c>
      <c r="K1895" t="s">
        <v>563</v>
      </c>
      <c r="L1895">
        <v>41</v>
      </c>
      <c r="M1895" t="str">
        <v>Female</v>
      </c>
      <c r="N1895" t="str">
        <f>VLOOKUP(C:C,Customer_Dim!B:I,5,1)</f>
        <v>Morrisburgh</v>
      </c>
      <c r="O1895" t="str">
        <f>VLOOKUP(C:C,Customer_Dim!B:I,6,1)</f>
        <v>Indiana</v>
      </c>
      <c r="P1895" t="str">
        <f>VLOOKUP(C:C,Customer_Dim!B:I,7,1)</f>
        <v>USA</v>
      </c>
      <c r="Q1895" t="str">
        <f>VLOOKUP(C:C,Customer_Dim!B:I,8,1)</f>
        <v>Platinum</v>
      </c>
      <c r="S1895">
        <v>1</v>
      </c>
      <c r="T1895">
        <v>389.12</v>
      </c>
      <c r="U1895">
        <v>0.18</v>
      </c>
      <c r="V1895">
        <v>319.07839999999999</v>
      </c>
      <c r="X1895" s="4">
        <v>1</v>
      </c>
      <c r="Y1895">
        <v>389.12</v>
      </c>
      <c r="Z1895">
        <v>0.18</v>
      </c>
      <c r="AA1895">
        <v>319.07839999999999</v>
      </c>
    </row>
    <row r="1896" spans="1:27" x14ac:dyDescent="0.3">
      <c r="A1896" t="s">
        <v>3703</v>
      </c>
      <c r="B1896" s="2">
        <v>45558</v>
      </c>
      <c r="C1896" t="s">
        <v>1398</v>
      </c>
      <c r="D1896" t="s">
        <v>1695</v>
      </c>
      <c r="E1896" t="s">
        <v>1793</v>
      </c>
      <c r="F1896" s="4">
        <v>3</v>
      </c>
      <c r="G1896">
        <v>543.83000000000004</v>
      </c>
      <c r="H1896">
        <v>0.05</v>
      </c>
      <c r="I1896" t="s">
        <v>1807</v>
      </c>
      <c r="J1896">
        <v>1549.9155000000001</v>
      </c>
      <c r="K1896" t="s">
        <v>1399</v>
      </c>
      <c r="L1896">
        <v>29</v>
      </c>
      <c r="M1896" t="str">
        <v>Female</v>
      </c>
      <c r="N1896" t="str">
        <f>VLOOKUP(C:C,Customer_Dim!B:I,5,1)</f>
        <v>Port Taylorberg</v>
      </c>
      <c r="O1896" t="str">
        <f>VLOOKUP(C:C,Customer_Dim!B:I,6,1)</f>
        <v>Pennsylvania</v>
      </c>
      <c r="P1896" t="str">
        <f>VLOOKUP(C:C,Customer_Dim!B:I,7,1)</f>
        <v>USA</v>
      </c>
      <c r="Q1896" t="str">
        <f>VLOOKUP(C:C,Customer_Dim!B:I,8,1)</f>
        <v>Silver</v>
      </c>
      <c r="S1896">
        <v>3</v>
      </c>
      <c r="T1896">
        <v>543.83000000000004</v>
      </c>
      <c r="U1896">
        <v>0.05</v>
      </c>
      <c r="V1896">
        <v>1549.9155000000001</v>
      </c>
      <c r="X1896" s="4">
        <v>3</v>
      </c>
      <c r="Y1896">
        <v>543.83000000000004</v>
      </c>
      <c r="Z1896">
        <v>0.05</v>
      </c>
      <c r="AA1896">
        <v>1549.9155000000001</v>
      </c>
    </row>
    <row r="1897" spans="1:27" x14ac:dyDescent="0.3">
      <c r="A1897" t="s">
        <v>3704</v>
      </c>
      <c r="B1897" s="2">
        <v>45423</v>
      </c>
      <c r="C1897" t="s">
        <v>103</v>
      </c>
      <c r="D1897" t="s">
        <v>1559</v>
      </c>
      <c r="E1897" t="s">
        <v>1740</v>
      </c>
      <c r="F1897" s="4">
        <v>2</v>
      </c>
      <c r="G1897">
        <v>660.27</v>
      </c>
      <c r="H1897">
        <v>0.01</v>
      </c>
      <c r="I1897" t="s">
        <v>1809</v>
      </c>
      <c r="J1897">
        <v>1307.3345999999999</v>
      </c>
      <c r="K1897" t="s">
        <v>104</v>
      </c>
      <c r="L1897">
        <v>59</v>
      </c>
      <c r="M1897" t="str">
        <v>Female</v>
      </c>
      <c r="N1897" t="str">
        <f>VLOOKUP(C:C,Customer_Dim!B:I,5,1)</f>
        <v>Rogerschester</v>
      </c>
      <c r="O1897" t="str">
        <f>VLOOKUP(C:C,Customer_Dim!B:I,6,1)</f>
        <v>Idaho</v>
      </c>
      <c r="P1897" t="str">
        <f>VLOOKUP(C:C,Customer_Dim!B:I,7,1)</f>
        <v>USA</v>
      </c>
      <c r="Q1897" t="str">
        <f>VLOOKUP(C:C,Customer_Dim!B:I,8,1)</f>
        <v>Platinum</v>
      </c>
      <c r="S1897">
        <v>2</v>
      </c>
      <c r="T1897">
        <v>660.27</v>
      </c>
      <c r="U1897">
        <v>0.01</v>
      </c>
      <c r="V1897">
        <v>1307.3345999999999</v>
      </c>
      <c r="X1897" s="4">
        <v>2</v>
      </c>
      <c r="Y1897">
        <v>660.27</v>
      </c>
      <c r="Z1897">
        <v>0.01</v>
      </c>
      <c r="AA1897">
        <v>1307.3345999999999</v>
      </c>
    </row>
    <row r="1898" spans="1:27" x14ac:dyDescent="0.3">
      <c r="A1898" t="s">
        <v>3705</v>
      </c>
      <c r="B1898" s="2">
        <v>45780</v>
      </c>
      <c r="C1898" t="s">
        <v>1330</v>
      </c>
      <c r="D1898" t="s">
        <v>1557</v>
      </c>
      <c r="E1898" t="s">
        <v>1765</v>
      </c>
      <c r="F1898" s="4">
        <v>4</v>
      </c>
      <c r="G1898">
        <v>729.31</v>
      </c>
      <c r="H1898">
        <v>0.03</v>
      </c>
      <c r="I1898" t="s">
        <v>1807</v>
      </c>
      <c r="J1898">
        <v>2829.7228</v>
      </c>
      <c r="K1898" t="s">
        <v>1331</v>
      </c>
      <c r="L1898">
        <v>37</v>
      </c>
      <c r="M1898" t="str">
        <v>Female</v>
      </c>
      <c r="N1898" t="str">
        <f>VLOOKUP(C:C,Customer_Dim!B:I,5,1)</f>
        <v>New Sarah</v>
      </c>
      <c r="O1898" t="str">
        <f>VLOOKUP(C:C,Customer_Dim!B:I,6,1)</f>
        <v>Indiana</v>
      </c>
      <c r="P1898" t="str">
        <f>VLOOKUP(C:C,Customer_Dim!B:I,7,1)</f>
        <v>USA</v>
      </c>
      <c r="Q1898" t="str">
        <f>VLOOKUP(C:C,Customer_Dim!B:I,8,1)</f>
        <v>Gold</v>
      </c>
      <c r="S1898">
        <v>4</v>
      </c>
      <c r="T1898">
        <v>729.31</v>
      </c>
      <c r="U1898">
        <v>0.03</v>
      </c>
      <c r="V1898">
        <v>2829.7228</v>
      </c>
      <c r="X1898" s="4">
        <v>4</v>
      </c>
      <c r="Y1898">
        <v>729.31</v>
      </c>
      <c r="Z1898">
        <v>0.03</v>
      </c>
      <c r="AA1898">
        <v>2829.7228</v>
      </c>
    </row>
    <row r="1899" spans="1:27" x14ac:dyDescent="0.3">
      <c r="A1899" t="s">
        <v>3706</v>
      </c>
      <c r="B1899" s="2">
        <v>45345</v>
      </c>
      <c r="C1899" t="s">
        <v>1292</v>
      </c>
      <c r="D1899" t="s">
        <v>1705</v>
      </c>
      <c r="E1899" t="s">
        <v>1759</v>
      </c>
      <c r="F1899" s="4">
        <v>2</v>
      </c>
      <c r="G1899">
        <v>152.91</v>
      </c>
      <c r="H1899">
        <v>0.24</v>
      </c>
      <c r="I1899" t="s">
        <v>1809</v>
      </c>
      <c r="J1899">
        <v>232.42320000000001</v>
      </c>
      <c r="K1899" t="s">
        <v>1293</v>
      </c>
      <c r="L1899">
        <v>42</v>
      </c>
      <c r="M1899" t="str">
        <v>Female</v>
      </c>
      <c r="N1899" t="str">
        <f>VLOOKUP(C:C,Customer_Dim!B:I,5,1)</f>
        <v>East Amy</v>
      </c>
      <c r="O1899" t="str">
        <f>VLOOKUP(C:C,Customer_Dim!B:I,6,1)</f>
        <v>Washington</v>
      </c>
      <c r="P1899" t="str">
        <f>VLOOKUP(C:C,Customer_Dim!B:I,7,1)</f>
        <v>USA</v>
      </c>
      <c r="Q1899" t="str">
        <f>VLOOKUP(C:C,Customer_Dim!B:I,8,1)</f>
        <v>Platinum</v>
      </c>
      <c r="S1899">
        <v>2</v>
      </c>
      <c r="T1899">
        <v>152.91</v>
      </c>
      <c r="U1899">
        <v>0.24</v>
      </c>
      <c r="V1899">
        <v>232.42320000000001</v>
      </c>
      <c r="X1899" s="4">
        <v>2</v>
      </c>
      <c r="Y1899">
        <v>152.91</v>
      </c>
      <c r="Z1899">
        <v>0.24</v>
      </c>
      <c r="AA1899">
        <v>232.42320000000001</v>
      </c>
    </row>
    <row r="1900" spans="1:27" x14ac:dyDescent="0.3">
      <c r="A1900" t="s">
        <v>3707</v>
      </c>
      <c r="B1900" s="2">
        <v>45344</v>
      </c>
      <c r="C1900" t="s">
        <v>1406</v>
      </c>
      <c r="D1900" t="s">
        <v>1679</v>
      </c>
      <c r="E1900" t="s">
        <v>1784</v>
      </c>
      <c r="F1900" s="4">
        <v>4</v>
      </c>
      <c r="G1900">
        <v>592.14</v>
      </c>
      <c r="H1900">
        <v>0.12</v>
      </c>
      <c r="I1900" t="s">
        <v>1812</v>
      </c>
      <c r="J1900">
        <v>2084.3328000000001</v>
      </c>
      <c r="K1900" t="s">
        <v>1407</v>
      </c>
      <c r="L1900">
        <v>34</v>
      </c>
      <c r="M1900" t="str">
        <v>Female</v>
      </c>
      <c r="N1900" t="str">
        <f>VLOOKUP(C:C,Customer_Dim!B:I,5,1)</f>
        <v>East Julie</v>
      </c>
      <c r="O1900" t="str">
        <f>VLOOKUP(C:C,Customer_Dim!B:I,6,1)</f>
        <v>Kansas</v>
      </c>
      <c r="P1900" t="str">
        <f>VLOOKUP(C:C,Customer_Dim!B:I,7,1)</f>
        <v>USA</v>
      </c>
      <c r="Q1900" t="str">
        <f>VLOOKUP(C:C,Customer_Dim!B:I,8,1)</f>
        <v>Silver</v>
      </c>
      <c r="S1900">
        <v>4</v>
      </c>
      <c r="T1900">
        <v>592.14</v>
      </c>
      <c r="U1900">
        <v>0.12</v>
      </c>
      <c r="V1900">
        <v>2084.3328000000001</v>
      </c>
      <c r="X1900" s="4">
        <v>4</v>
      </c>
      <c r="Y1900">
        <v>592.14</v>
      </c>
      <c r="Z1900">
        <v>0.12</v>
      </c>
      <c r="AA1900">
        <v>2084.3328000000001</v>
      </c>
    </row>
    <row r="1901" spans="1:27" x14ac:dyDescent="0.3">
      <c r="A1901" t="s">
        <v>3708</v>
      </c>
      <c r="B1901" s="2">
        <v>45525</v>
      </c>
      <c r="C1901" t="s">
        <v>227</v>
      </c>
      <c r="D1901" t="s">
        <v>1687</v>
      </c>
      <c r="E1901" t="s">
        <v>1777</v>
      </c>
      <c r="F1901" s="4">
        <v>1</v>
      </c>
      <c r="G1901">
        <v>984.37</v>
      </c>
      <c r="H1901">
        <v>0</v>
      </c>
      <c r="I1901" t="s">
        <v>1809</v>
      </c>
      <c r="J1901">
        <v>984.37</v>
      </c>
      <c r="K1901" t="s">
        <v>228</v>
      </c>
      <c r="L1901">
        <v>51</v>
      </c>
      <c r="M1901" t="str">
        <v>Male</v>
      </c>
      <c r="N1901" t="str">
        <f>VLOOKUP(C:C,Customer_Dim!B:I,5,1)</f>
        <v>Stevensonton</v>
      </c>
      <c r="O1901" t="str">
        <f>VLOOKUP(C:C,Customer_Dim!B:I,6,1)</f>
        <v>New Mexico</v>
      </c>
      <c r="P1901" t="str">
        <f>VLOOKUP(C:C,Customer_Dim!B:I,7,1)</f>
        <v>USA</v>
      </c>
      <c r="Q1901" t="str">
        <f>VLOOKUP(C:C,Customer_Dim!B:I,8,1)</f>
        <v>Bronze</v>
      </c>
      <c r="S1901">
        <v>1</v>
      </c>
      <c r="T1901">
        <v>984.37</v>
      </c>
      <c r="U1901">
        <v>0</v>
      </c>
      <c r="V1901">
        <v>984.37</v>
      </c>
      <c r="X1901" s="4">
        <v>1</v>
      </c>
      <c r="Y1901">
        <v>984.37</v>
      </c>
      <c r="Z1901">
        <v>0</v>
      </c>
      <c r="AA1901">
        <v>984.37</v>
      </c>
    </row>
    <row r="1902" spans="1:27" x14ac:dyDescent="0.3">
      <c r="A1902" t="s">
        <v>3709</v>
      </c>
      <c r="B1902" s="2">
        <v>45329</v>
      </c>
      <c r="C1902" t="s">
        <v>917</v>
      </c>
      <c r="D1902" t="s">
        <v>1529</v>
      </c>
      <c r="E1902" t="s">
        <v>1777</v>
      </c>
      <c r="F1902" s="4">
        <v>2</v>
      </c>
      <c r="G1902">
        <v>237.59</v>
      </c>
      <c r="H1902">
        <v>0.12</v>
      </c>
      <c r="I1902" t="s">
        <v>1807</v>
      </c>
      <c r="J1902">
        <v>418.15839999999997</v>
      </c>
      <c r="K1902" t="s">
        <v>918</v>
      </c>
      <c r="L1902">
        <v>56</v>
      </c>
      <c r="M1902" t="str">
        <v>Female</v>
      </c>
      <c r="N1902" t="str">
        <f>VLOOKUP(C:C,Customer_Dim!B:I,5,1)</f>
        <v>Danielland</v>
      </c>
      <c r="O1902" t="str">
        <f>VLOOKUP(C:C,Customer_Dim!B:I,6,1)</f>
        <v>Minnesota</v>
      </c>
      <c r="P1902" t="str">
        <f>VLOOKUP(C:C,Customer_Dim!B:I,7,1)</f>
        <v>USA</v>
      </c>
      <c r="Q1902" t="str">
        <f>VLOOKUP(C:C,Customer_Dim!B:I,8,1)</f>
        <v>Silver</v>
      </c>
      <c r="S1902">
        <v>2</v>
      </c>
      <c r="T1902">
        <v>237.59</v>
      </c>
      <c r="U1902">
        <v>0.12</v>
      </c>
      <c r="V1902">
        <v>418.15839999999997</v>
      </c>
      <c r="X1902" s="4">
        <v>2</v>
      </c>
      <c r="Y1902">
        <v>237.59</v>
      </c>
      <c r="Z1902">
        <v>0.12</v>
      </c>
      <c r="AA1902">
        <v>418.15839999999997</v>
      </c>
    </row>
    <row r="1903" spans="1:27" x14ac:dyDescent="0.3">
      <c r="A1903" t="s">
        <v>3710</v>
      </c>
      <c r="B1903" s="2">
        <v>45250</v>
      </c>
      <c r="C1903" t="s">
        <v>1321</v>
      </c>
      <c r="D1903" t="s">
        <v>1581</v>
      </c>
      <c r="E1903" t="s">
        <v>1765</v>
      </c>
      <c r="F1903" s="4">
        <v>1</v>
      </c>
      <c r="G1903">
        <v>52.06</v>
      </c>
      <c r="H1903">
        <v>0.27</v>
      </c>
      <c r="I1903" t="s">
        <v>1812</v>
      </c>
      <c r="J1903">
        <v>38.003799999999998</v>
      </c>
      <c r="K1903" t="s">
        <v>1322</v>
      </c>
      <c r="L1903">
        <v>37</v>
      </c>
      <c r="M1903" t="str">
        <v>Male</v>
      </c>
      <c r="N1903" t="str">
        <f>VLOOKUP(C:C,Customer_Dim!B:I,5,1)</f>
        <v>South Andrewport</v>
      </c>
      <c r="O1903" t="str">
        <f>VLOOKUP(C:C,Customer_Dim!B:I,6,1)</f>
        <v>California</v>
      </c>
      <c r="P1903" t="str">
        <f>VLOOKUP(C:C,Customer_Dim!B:I,7,1)</f>
        <v>USA</v>
      </c>
      <c r="Q1903" t="str">
        <f>VLOOKUP(C:C,Customer_Dim!B:I,8,1)</f>
        <v>Platinum</v>
      </c>
      <c r="S1903">
        <v>1</v>
      </c>
      <c r="T1903">
        <v>52.06</v>
      </c>
      <c r="U1903">
        <v>0.27</v>
      </c>
      <c r="V1903">
        <v>38.003799999999998</v>
      </c>
      <c r="X1903" s="4">
        <v>1</v>
      </c>
      <c r="Y1903">
        <v>52.06</v>
      </c>
      <c r="Z1903">
        <v>0.27</v>
      </c>
      <c r="AA1903">
        <v>38.003799999999998</v>
      </c>
    </row>
    <row r="1904" spans="1:27" x14ac:dyDescent="0.3">
      <c r="A1904" t="s">
        <v>3711</v>
      </c>
      <c r="B1904" s="2">
        <v>45691</v>
      </c>
      <c r="C1904" t="s">
        <v>1389</v>
      </c>
      <c r="D1904" t="s">
        <v>1534</v>
      </c>
      <c r="E1904" t="s">
        <v>1740</v>
      </c>
      <c r="F1904" s="4">
        <v>2</v>
      </c>
      <c r="G1904">
        <v>594.63</v>
      </c>
      <c r="H1904">
        <v>0.12</v>
      </c>
      <c r="I1904" t="s">
        <v>1807</v>
      </c>
      <c r="J1904">
        <v>1046.5488</v>
      </c>
      <c r="K1904" t="s">
        <v>1390</v>
      </c>
      <c r="L1904">
        <v>59</v>
      </c>
      <c r="M1904" t="str">
        <v>Female</v>
      </c>
      <c r="N1904" t="str">
        <f>VLOOKUP(C:C,Customer_Dim!B:I,5,1)</f>
        <v>East Yvette</v>
      </c>
      <c r="O1904" t="str">
        <f>VLOOKUP(C:C,Customer_Dim!B:I,6,1)</f>
        <v>Illinois</v>
      </c>
      <c r="P1904" t="str">
        <f>VLOOKUP(C:C,Customer_Dim!B:I,7,1)</f>
        <v>USA</v>
      </c>
      <c r="Q1904" t="str">
        <f>VLOOKUP(C:C,Customer_Dim!B:I,8,1)</f>
        <v>Gold</v>
      </c>
      <c r="S1904">
        <v>2</v>
      </c>
      <c r="T1904">
        <v>594.63</v>
      </c>
      <c r="U1904">
        <v>0.12</v>
      </c>
      <c r="V1904">
        <v>1046.5488</v>
      </c>
      <c r="X1904" s="4">
        <v>2</v>
      </c>
      <c r="Y1904">
        <v>594.63</v>
      </c>
      <c r="Z1904">
        <v>0.12</v>
      </c>
      <c r="AA1904">
        <v>1046.5488</v>
      </c>
    </row>
    <row r="1905" spans="1:27" x14ac:dyDescent="0.3">
      <c r="A1905" t="s">
        <v>3712</v>
      </c>
      <c r="B1905" s="2">
        <v>45644</v>
      </c>
      <c r="C1905" t="s">
        <v>551</v>
      </c>
      <c r="D1905" t="s">
        <v>1534</v>
      </c>
      <c r="E1905" t="s">
        <v>1735</v>
      </c>
      <c r="F1905" s="4">
        <v>3</v>
      </c>
      <c r="G1905">
        <v>476.1</v>
      </c>
      <c r="H1905">
        <v>0.05</v>
      </c>
      <c r="I1905" t="s">
        <v>1812</v>
      </c>
      <c r="J1905">
        <v>1356.885</v>
      </c>
      <c r="K1905" t="s">
        <v>552</v>
      </c>
      <c r="L1905">
        <v>36</v>
      </c>
      <c r="M1905" t="str">
        <v>Female</v>
      </c>
      <c r="N1905" t="str">
        <f>VLOOKUP(C:C,Customer_Dim!B:I,5,1)</f>
        <v>New Jasonmouth</v>
      </c>
      <c r="O1905" t="str">
        <f>VLOOKUP(C:C,Customer_Dim!B:I,6,1)</f>
        <v>Tennessee</v>
      </c>
      <c r="P1905" t="str">
        <f>VLOOKUP(C:C,Customer_Dim!B:I,7,1)</f>
        <v>USA</v>
      </c>
      <c r="Q1905" t="str">
        <f>VLOOKUP(C:C,Customer_Dim!B:I,8,1)</f>
        <v>Gold</v>
      </c>
      <c r="S1905">
        <v>3</v>
      </c>
      <c r="T1905">
        <v>476.1</v>
      </c>
      <c r="U1905">
        <v>0.05</v>
      </c>
      <c r="V1905">
        <v>1356.885</v>
      </c>
      <c r="X1905" s="4">
        <v>3</v>
      </c>
      <c r="Y1905">
        <v>476.1</v>
      </c>
      <c r="Z1905">
        <v>0.05</v>
      </c>
      <c r="AA1905">
        <v>1356.885</v>
      </c>
    </row>
    <row r="1906" spans="1:27" x14ac:dyDescent="0.3">
      <c r="A1906" t="s">
        <v>3713</v>
      </c>
      <c r="B1906" s="2">
        <v>45514</v>
      </c>
      <c r="C1906" t="s">
        <v>224</v>
      </c>
      <c r="D1906" t="s">
        <v>1653</v>
      </c>
      <c r="E1906" t="s">
        <v>1759</v>
      </c>
      <c r="F1906" s="4">
        <v>1</v>
      </c>
      <c r="G1906">
        <v>546.47</v>
      </c>
      <c r="H1906">
        <v>0.08</v>
      </c>
      <c r="I1906" t="s">
        <v>1812</v>
      </c>
      <c r="J1906">
        <v>502.75240000000002</v>
      </c>
      <c r="K1906" t="s">
        <v>225</v>
      </c>
      <c r="L1906">
        <v>50</v>
      </c>
      <c r="M1906" t="str">
        <v>Male</v>
      </c>
      <c r="N1906" t="str">
        <f>VLOOKUP(C:C,Customer_Dim!B:I,5,1)</f>
        <v>Jennifermouth</v>
      </c>
      <c r="O1906" t="str">
        <f>VLOOKUP(C:C,Customer_Dim!B:I,6,1)</f>
        <v>Missouri</v>
      </c>
      <c r="P1906" t="str">
        <f>VLOOKUP(C:C,Customer_Dim!B:I,7,1)</f>
        <v>USA</v>
      </c>
      <c r="Q1906" t="str">
        <f>VLOOKUP(C:C,Customer_Dim!B:I,8,1)</f>
        <v>Silver</v>
      </c>
      <c r="S1906">
        <v>1</v>
      </c>
      <c r="T1906">
        <v>546.47</v>
      </c>
      <c r="U1906">
        <v>0.08</v>
      </c>
      <c r="V1906">
        <v>502.75240000000002</v>
      </c>
      <c r="X1906" s="4">
        <v>1</v>
      </c>
      <c r="Y1906">
        <v>546.47</v>
      </c>
      <c r="Z1906">
        <v>0.08</v>
      </c>
      <c r="AA1906">
        <v>502.75240000000002</v>
      </c>
    </row>
    <row r="1907" spans="1:27" x14ac:dyDescent="0.3">
      <c r="A1907" t="s">
        <v>3714</v>
      </c>
      <c r="B1907" s="2">
        <v>45760</v>
      </c>
      <c r="C1907" t="s">
        <v>576</v>
      </c>
      <c r="D1907" t="s">
        <v>1681</v>
      </c>
      <c r="E1907" t="s">
        <v>1777</v>
      </c>
      <c r="F1907" s="4">
        <v>1</v>
      </c>
      <c r="G1907">
        <v>979.49</v>
      </c>
      <c r="H1907">
        <v>0.19</v>
      </c>
      <c r="I1907" t="s">
        <v>1812</v>
      </c>
      <c r="J1907">
        <v>793.38690000000008</v>
      </c>
      <c r="K1907" t="s">
        <v>577</v>
      </c>
      <c r="L1907">
        <v>55</v>
      </c>
      <c r="M1907" t="str">
        <v>Male</v>
      </c>
      <c r="N1907" t="str">
        <f>VLOOKUP(C:C,Customer_Dim!B:I,5,1)</f>
        <v>Anabury</v>
      </c>
      <c r="O1907" t="str">
        <f>VLOOKUP(C:C,Customer_Dim!B:I,6,1)</f>
        <v>Vermont</v>
      </c>
      <c r="P1907" t="str">
        <f>VLOOKUP(C:C,Customer_Dim!B:I,7,1)</f>
        <v>USA</v>
      </c>
      <c r="Q1907" t="str">
        <f>VLOOKUP(C:C,Customer_Dim!B:I,8,1)</f>
        <v>Silver</v>
      </c>
      <c r="S1907">
        <v>1</v>
      </c>
      <c r="T1907">
        <v>979.49</v>
      </c>
      <c r="U1907">
        <v>0.19</v>
      </c>
      <c r="V1907">
        <v>793.38690000000008</v>
      </c>
      <c r="X1907" s="4">
        <v>1</v>
      </c>
      <c r="Y1907">
        <v>979.49</v>
      </c>
      <c r="Z1907">
        <v>0.19</v>
      </c>
      <c r="AA1907">
        <v>793.38690000000008</v>
      </c>
    </row>
    <row r="1908" spans="1:27" x14ac:dyDescent="0.3">
      <c r="A1908" t="s">
        <v>3715</v>
      </c>
      <c r="B1908" s="2">
        <v>45289</v>
      </c>
      <c r="C1908" t="s">
        <v>628</v>
      </c>
      <c r="D1908" t="s">
        <v>1565</v>
      </c>
      <c r="E1908" t="s">
        <v>1744</v>
      </c>
      <c r="F1908" s="4">
        <v>3</v>
      </c>
      <c r="G1908">
        <v>988.53</v>
      </c>
      <c r="H1908">
        <v>0.3</v>
      </c>
      <c r="I1908" t="s">
        <v>1812</v>
      </c>
      <c r="J1908">
        <v>2075.913</v>
      </c>
      <c r="K1908" t="s">
        <v>629</v>
      </c>
      <c r="L1908">
        <v>46</v>
      </c>
      <c r="M1908" t="str">
        <v>Male</v>
      </c>
      <c r="N1908" t="str">
        <f>VLOOKUP(C:C,Customer_Dim!B:I,5,1)</f>
        <v>Port Amanda</v>
      </c>
      <c r="O1908" t="str">
        <f>VLOOKUP(C:C,Customer_Dim!B:I,6,1)</f>
        <v>Georgia</v>
      </c>
      <c r="P1908" t="str">
        <f>VLOOKUP(C:C,Customer_Dim!B:I,7,1)</f>
        <v>USA</v>
      </c>
      <c r="Q1908" t="str">
        <f>VLOOKUP(C:C,Customer_Dim!B:I,8,1)</f>
        <v>Gold</v>
      </c>
      <c r="S1908">
        <v>3</v>
      </c>
      <c r="T1908">
        <v>988.53</v>
      </c>
      <c r="U1908">
        <v>0.3</v>
      </c>
      <c r="V1908">
        <v>2075.913</v>
      </c>
      <c r="X1908" s="4">
        <v>3</v>
      </c>
      <c r="Y1908">
        <v>988.53</v>
      </c>
      <c r="Z1908">
        <v>0.3</v>
      </c>
      <c r="AA1908">
        <v>2075.913</v>
      </c>
    </row>
    <row r="1909" spans="1:27" x14ac:dyDescent="0.3">
      <c r="A1909" t="s">
        <v>3716</v>
      </c>
      <c r="B1909" s="2">
        <v>45704</v>
      </c>
      <c r="C1909" t="s">
        <v>808</v>
      </c>
      <c r="D1909" t="s">
        <v>1683</v>
      </c>
      <c r="E1909" t="s">
        <v>1749</v>
      </c>
      <c r="F1909" s="4">
        <v>4</v>
      </c>
      <c r="G1909">
        <v>849.29</v>
      </c>
      <c r="H1909">
        <v>0.26</v>
      </c>
      <c r="I1909" t="s">
        <v>1807</v>
      </c>
      <c r="J1909">
        <v>2513.8984</v>
      </c>
      <c r="K1909" t="s">
        <v>809</v>
      </c>
      <c r="L1909">
        <v>57</v>
      </c>
      <c r="M1909" t="str">
        <v>Male</v>
      </c>
      <c r="N1909" t="str">
        <f>VLOOKUP(C:C,Customer_Dim!B:I,5,1)</f>
        <v>Jasonton</v>
      </c>
      <c r="O1909" t="str">
        <f>VLOOKUP(C:C,Customer_Dim!B:I,6,1)</f>
        <v>Ohio</v>
      </c>
      <c r="P1909" t="str">
        <f>VLOOKUP(C:C,Customer_Dim!B:I,7,1)</f>
        <v>USA</v>
      </c>
      <c r="Q1909" t="str">
        <f>VLOOKUP(C:C,Customer_Dim!B:I,8,1)</f>
        <v>Gold</v>
      </c>
      <c r="S1909">
        <v>4</v>
      </c>
      <c r="T1909">
        <v>849.29</v>
      </c>
      <c r="U1909">
        <v>0.26</v>
      </c>
      <c r="V1909">
        <v>2513.8984</v>
      </c>
      <c r="X1909" s="4">
        <v>4</v>
      </c>
      <c r="Y1909">
        <v>849.29</v>
      </c>
      <c r="Z1909">
        <v>0.26</v>
      </c>
      <c r="AA1909">
        <v>2513.8984</v>
      </c>
    </row>
    <row r="1910" spans="1:27" x14ac:dyDescent="0.3">
      <c r="A1910" t="s">
        <v>3717</v>
      </c>
      <c r="B1910" s="2">
        <v>45318</v>
      </c>
      <c r="C1910" t="s">
        <v>1066</v>
      </c>
      <c r="D1910" t="s">
        <v>1721</v>
      </c>
      <c r="E1910" t="s">
        <v>1782</v>
      </c>
      <c r="F1910" s="4">
        <v>2</v>
      </c>
      <c r="G1910">
        <v>452.29</v>
      </c>
      <c r="H1910">
        <v>0.01</v>
      </c>
      <c r="I1910" t="s">
        <v>1812</v>
      </c>
      <c r="J1910">
        <v>895.53420000000006</v>
      </c>
      <c r="K1910" t="s">
        <v>1067</v>
      </c>
      <c r="L1910">
        <v>39</v>
      </c>
      <c r="M1910" t="str">
        <v>Male</v>
      </c>
      <c r="N1910" t="str">
        <f>VLOOKUP(C:C,Customer_Dim!B:I,5,1)</f>
        <v>Cartershire</v>
      </c>
      <c r="O1910" t="str">
        <f>VLOOKUP(C:C,Customer_Dim!B:I,6,1)</f>
        <v>Virginia</v>
      </c>
      <c r="P1910" t="str">
        <f>VLOOKUP(C:C,Customer_Dim!B:I,7,1)</f>
        <v>USA</v>
      </c>
      <c r="Q1910" t="str">
        <f>VLOOKUP(C:C,Customer_Dim!B:I,8,1)</f>
        <v>Bronze</v>
      </c>
      <c r="S1910">
        <v>2</v>
      </c>
      <c r="T1910">
        <v>452.29</v>
      </c>
      <c r="U1910">
        <v>0.01</v>
      </c>
      <c r="V1910">
        <v>895.53420000000006</v>
      </c>
      <c r="X1910" s="4">
        <v>2</v>
      </c>
      <c r="Y1910">
        <v>452.29</v>
      </c>
      <c r="Z1910">
        <v>0.01</v>
      </c>
      <c r="AA1910">
        <v>895.53420000000006</v>
      </c>
    </row>
    <row r="1911" spans="1:27" x14ac:dyDescent="0.3">
      <c r="A1911" t="s">
        <v>3718</v>
      </c>
      <c r="B1911" s="2">
        <v>45495</v>
      </c>
      <c r="C1911" t="s">
        <v>1361</v>
      </c>
      <c r="D1911" t="s">
        <v>1639</v>
      </c>
      <c r="E1911" t="s">
        <v>1793</v>
      </c>
      <c r="F1911" s="4">
        <v>2</v>
      </c>
      <c r="G1911">
        <v>810.81</v>
      </c>
      <c r="H1911">
        <v>0.11</v>
      </c>
      <c r="I1911" t="s">
        <v>1812</v>
      </c>
      <c r="J1911">
        <v>1443.2418</v>
      </c>
      <c r="K1911" t="s">
        <v>1362</v>
      </c>
      <c r="L1911">
        <v>35</v>
      </c>
      <c r="M1911" t="str">
        <v>Male</v>
      </c>
      <c r="N1911" t="str">
        <f>VLOOKUP(C:C,Customer_Dim!B:I,5,1)</f>
        <v>Mcfarlandmouth</v>
      </c>
      <c r="O1911" t="str">
        <f>VLOOKUP(C:C,Customer_Dim!B:I,6,1)</f>
        <v>Virginia</v>
      </c>
      <c r="P1911" t="str">
        <f>VLOOKUP(C:C,Customer_Dim!B:I,7,1)</f>
        <v>USA</v>
      </c>
      <c r="Q1911" t="str">
        <f>VLOOKUP(C:C,Customer_Dim!B:I,8,1)</f>
        <v>Platinum</v>
      </c>
      <c r="S1911">
        <v>2</v>
      </c>
      <c r="T1911">
        <v>810.81</v>
      </c>
      <c r="U1911">
        <v>0.11</v>
      </c>
      <c r="V1911">
        <v>1443.2418</v>
      </c>
      <c r="X1911" s="4">
        <v>2</v>
      </c>
      <c r="Y1911">
        <v>810.81</v>
      </c>
      <c r="Z1911">
        <v>0.11</v>
      </c>
      <c r="AA1911">
        <v>1443.2418</v>
      </c>
    </row>
    <row r="1912" spans="1:27" x14ac:dyDescent="0.3">
      <c r="A1912" t="s">
        <v>3719</v>
      </c>
      <c r="B1912" s="2">
        <v>45560</v>
      </c>
      <c r="C1912" t="s">
        <v>127</v>
      </c>
      <c r="D1912" t="s">
        <v>1653</v>
      </c>
      <c r="E1912" t="s">
        <v>1765</v>
      </c>
      <c r="F1912" s="4">
        <v>1</v>
      </c>
      <c r="G1912">
        <v>846.67</v>
      </c>
      <c r="H1912">
        <v>0.1</v>
      </c>
      <c r="I1912" t="s">
        <v>1812</v>
      </c>
      <c r="J1912">
        <v>762.00299999999993</v>
      </c>
      <c r="K1912" t="s">
        <v>128</v>
      </c>
      <c r="L1912">
        <v>48</v>
      </c>
      <c r="M1912" t="str">
        <v>Female</v>
      </c>
      <c r="N1912" t="str">
        <f>VLOOKUP(C:C,Customer_Dim!B:I,5,1)</f>
        <v>Johnsonville</v>
      </c>
      <c r="O1912" t="str">
        <f>VLOOKUP(C:C,Customer_Dim!B:I,6,1)</f>
        <v>Oregon</v>
      </c>
      <c r="P1912" t="str">
        <f>VLOOKUP(C:C,Customer_Dim!B:I,7,1)</f>
        <v>USA</v>
      </c>
      <c r="Q1912" t="str">
        <f>VLOOKUP(C:C,Customer_Dim!B:I,8,1)</f>
        <v>Silver</v>
      </c>
      <c r="S1912">
        <v>1</v>
      </c>
      <c r="T1912">
        <v>846.67</v>
      </c>
      <c r="U1912">
        <v>0.1</v>
      </c>
      <c r="V1912">
        <v>762.00299999999993</v>
      </c>
      <c r="X1912" s="4">
        <v>1</v>
      </c>
      <c r="Y1912">
        <v>846.67</v>
      </c>
      <c r="Z1912">
        <v>0.1</v>
      </c>
      <c r="AA1912">
        <v>762.00299999999993</v>
      </c>
    </row>
    <row r="1913" spans="1:27" x14ac:dyDescent="0.3">
      <c r="A1913" t="s">
        <v>3720</v>
      </c>
      <c r="B1913" s="2">
        <v>45367</v>
      </c>
      <c r="C1913" t="s">
        <v>78</v>
      </c>
      <c r="D1913" t="s">
        <v>1579</v>
      </c>
      <c r="E1913" t="s">
        <v>1759</v>
      </c>
      <c r="F1913" s="4">
        <v>4</v>
      </c>
      <c r="G1913">
        <v>73.55</v>
      </c>
      <c r="H1913">
        <v>0.24</v>
      </c>
      <c r="I1913" t="s">
        <v>1812</v>
      </c>
      <c r="J1913">
        <v>223.59200000000001</v>
      </c>
      <c r="K1913" t="s">
        <v>79</v>
      </c>
      <c r="L1913">
        <v>43</v>
      </c>
      <c r="M1913" t="str">
        <v>Male</v>
      </c>
      <c r="N1913" t="str">
        <f>VLOOKUP(C:C,Customer_Dim!B:I,5,1)</f>
        <v>Brandonville</v>
      </c>
      <c r="O1913" t="str">
        <f>VLOOKUP(C:C,Customer_Dim!B:I,6,1)</f>
        <v>Georgia</v>
      </c>
      <c r="P1913" t="str">
        <f>VLOOKUP(C:C,Customer_Dim!B:I,7,1)</f>
        <v>USA</v>
      </c>
      <c r="Q1913" t="str">
        <f>VLOOKUP(C:C,Customer_Dim!B:I,8,1)</f>
        <v>Platinum</v>
      </c>
      <c r="S1913">
        <v>4</v>
      </c>
      <c r="T1913">
        <v>73.55</v>
      </c>
      <c r="U1913">
        <v>0.24</v>
      </c>
      <c r="V1913">
        <v>223.59200000000001</v>
      </c>
      <c r="X1913" s="4">
        <v>4</v>
      </c>
      <c r="Y1913">
        <v>73.55</v>
      </c>
      <c r="Z1913">
        <v>0.24</v>
      </c>
      <c r="AA1913">
        <v>223.59200000000001</v>
      </c>
    </row>
    <row r="1914" spans="1:27" x14ac:dyDescent="0.3">
      <c r="A1914" t="s">
        <v>3721</v>
      </c>
      <c r="B1914" s="2">
        <v>45861</v>
      </c>
      <c r="C1914" t="s">
        <v>876</v>
      </c>
      <c r="D1914" t="s">
        <v>1715</v>
      </c>
      <c r="E1914" t="s">
        <v>1759</v>
      </c>
      <c r="F1914" s="4">
        <v>1</v>
      </c>
      <c r="G1914">
        <v>882.03</v>
      </c>
      <c r="H1914">
        <v>0.04</v>
      </c>
      <c r="I1914" t="s">
        <v>1812</v>
      </c>
      <c r="J1914">
        <v>846.74879999999996</v>
      </c>
      <c r="K1914" t="s">
        <v>877</v>
      </c>
      <c r="L1914">
        <v>21</v>
      </c>
      <c r="M1914" t="str">
        <v>Female</v>
      </c>
      <c r="N1914" t="str">
        <f>VLOOKUP(C:C,Customer_Dim!B:I,5,1)</f>
        <v>Port Mariastad</v>
      </c>
      <c r="O1914" t="str">
        <f>VLOOKUP(C:C,Customer_Dim!B:I,6,1)</f>
        <v>Rhode Island</v>
      </c>
      <c r="P1914" t="str">
        <f>VLOOKUP(C:C,Customer_Dim!B:I,7,1)</f>
        <v>USA</v>
      </c>
      <c r="Q1914" t="str">
        <f>VLOOKUP(C:C,Customer_Dim!B:I,8,1)</f>
        <v>Platinum</v>
      </c>
      <c r="S1914">
        <v>1</v>
      </c>
      <c r="T1914">
        <v>882.03</v>
      </c>
      <c r="U1914">
        <v>0.04</v>
      </c>
      <c r="V1914">
        <v>846.74879999999996</v>
      </c>
      <c r="X1914" s="4">
        <v>1</v>
      </c>
      <c r="Y1914">
        <v>882.03</v>
      </c>
      <c r="Z1914">
        <v>0.04</v>
      </c>
      <c r="AA1914">
        <v>846.74879999999996</v>
      </c>
    </row>
    <row r="1915" spans="1:27" x14ac:dyDescent="0.3">
      <c r="A1915" t="s">
        <v>3722</v>
      </c>
      <c r="B1915" s="2">
        <v>45589</v>
      </c>
      <c r="C1915" t="s">
        <v>44</v>
      </c>
      <c r="D1915" t="s">
        <v>1575</v>
      </c>
      <c r="E1915" t="s">
        <v>1782</v>
      </c>
      <c r="F1915" s="4">
        <v>1</v>
      </c>
      <c r="G1915">
        <v>958.44</v>
      </c>
      <c r="H1915">
        <v>0.21</v>
      </c>
      <c r="I1915" t="s">
        <v>1807</v>
      </c>
      <c r="J1915">
        <v>757.16760000000011</v>
      </c>
      <c r="K1915" t="s">
        <v>45</v>
      </c>
      <c r="L1915">
        <v>64</v>
      </c>
      <c r="M1915" t="str">
        <v>Male</v>
      </c>
      <c r="N1915" t="str">
        <f>VLOOKUP(C:C,Customer_Dim!B:I,5,1)</f>
        <v>Maynardton</v>
      </c>
      <c r="O1915" t="str">
        <f>VLOOKUP(C:C,Customer_Dim!B:I,6,1)</f>
        <v>New Hampshire</v>
      </c>
      <c r="P1915" t="str">
        <f>VLOOKUP(C:C,Customer_Dim!B:I,7,1)</f>
        <v>USA</v>
      </c>
      <c r="Q1915" t="str">
        <f>VLOOKUP(C:C,Customer_Dim!B:I,8,1)</f>
        <v>Gold</v>
      </c>
      <c r="S1915">
        <v>1</v>
      </c>
      <c r="T1915">
        <v>958.44</v>
      </c>
      <c r="U1915">
        <v>0.21</v>
      </c>
      <c r="V1915">
        <v>757.16760000000011</v>
      </c>
      <c r="X1915" s="4">
        <v>1</v>
      </c>
      <c r="Y1915">
        <v>958.44</v>
      </c>
      <c r="Z1915">
        <v>0.21</v>
      </c>
      <c r="AA1915">
        <v>757.16760000000011</v>
      </c>
    </row>
    <row r="1916" spans="1:27" x14ac:dyDescent="0.3">
      <c r="A1916" t="s">
        <v>3723</v>
      </c>
      <c r="B1916" s="2">
        <v>45560</v>
      </c>
      <c r="C1916" t="s">
        <v>44</v>
      </c>
      <c r="D1916" t="s">
        <v>1729</v>
      </c>
      <c r="E1916" t="s">
        <v>1744</v>
      </c>
      <c r="F1916" s="4">
        <v>1</v>
      </c>
      <c r="G1916">
        <v>716.29</v>
      </c>
      <c r="H1916">
        <v>0.01</v>
      </c>
      <c r="I1916" t="s">
        <v>1809</v>
      </c>
      <c r="J1916">
        <v>709.12709999999993</v>
      </c>
      <c r="K1916" t="s">
        <v>45</v>
      </c>
      <c r="L1916">
        <v>64</v>
      </c>
      <c r="M1916" t="str">
        <v>Male</v>
      </c>
      <c r="N1916" t="str">
        <f>VLOOKUP(C:C,Customer_Dim!B:I,5,1)</f>
        <v>Maynardton</v>
      </c>
      <c r="O1916" t="str">
        <f>VLOOKUP(C:C,Customer_Dim!B:I,6,1)</f>
        <v>New Hampshire</v>
      </c>
      <c r="P1916" t="str">
        <f>VLOOKUP(C:C,Customer_Dim!B:I,7,1)</f>
        <v>USA</v>
      </c>
      <c r="Q1916" t="str">
        <f>VLOOKUP(C:C,Customer_Dim!B:I,8,1)</f>
        <v>Gold</v>
      </c>
      <c r="S1916">
        <v>1</v>
      </c>
      <c r="T1916">
        <v>716.29</v>
      </c>
      <c r="U1916">
        <v>0.01</v>
      </c>
      <c r="V1916">
        <v>709.12709999999993</v>
      </c>
      <c r="X1916" s="4">
        <v>1</v>
      </c>
      <c r="Y1916">
        <v>716.29</v>
      </c>
      <c r="Z1916">
        <v>0.01</v>
      </c>
      <c r="AA1916">
        <v>709.12709999999993</v>
      </c>
    </row>
    <row r="1917" spans="1:27" x14ac:dyDescent="0.3">
      <c r="A1917" t="s">
        <v>3724</v>
      </c>
      <c r="B1917" s="2">
        <v>45408</v>
      </c>
      <c r="C1917" t="s">
        <v>1007</v>
      </c>
      <c r="D1917" t="s">
        <v>1548</v>
      </c>
      <c r="E1917" t="s">
        <v>1787</v>
      </c>
      <c r="F1917" s="4">
        <v>2</v>
      </c>
      <c r="G1917">
        <v>409.14</v>
      </c>
      <c r="H1917">
        <v>0.01</v>
      </c>
      <c r="I1917" t="s">
        <v>1809</v>
      </c>
      <c r="J1917">
        <v>810.09719999999993</v>
      </c>
      <c r="K1917" t="s">
        <v>1008</v>
      </c>
      <c r="L1917">
        <v>58</v>
      </c>
      <c r="M1917" t="str">
        <v>Male</v>
      </c>
      <c r="N1917" t="str">
        <f>VLOOKUP(C:C,Customer_Dim!B:I,5,1)</f>
        <v>Whiteport</v>
      </c>
      <c r="O1917" t="str">
        <f>VLOOKUP(C:C,Customer_Dim!B:I,6,1)</f>
        <v>North Carolina</v>
      </c>
      <c r="P1917" t="str">
        <f>VLOOKUP(C:C,Customer_Dim!B:I,7,1)</f>
        <v>USA</v>
      </c>
      <c r="Q1917" t="str">
        <f>VLOOKUP(C:C,Customer_Dim!B:I,8,1)</f>
        <v>Platinum</v>
      </c>
      <c r="S1917">
        <v>2</v>
      </c>
      <c r="T1917">
        <v>409.14</v>
      </c>
      <c r="U1917">
        <v>0.01</v>
      </c>
      <c r="V1917">
        <v>810.09719999999993</v>
      </c>
      <c r="X1917" s="4">
        <v>2</v>
      </c>
      <c r="Y1917">
        <v>409.14</v>
      </c>
      <c r="Z1917">
        <v>0.01</v>
      </c>
      <c r="AA1917">
        <v>810.09719999999993</v>
      </c>
    </row>
    <row r="1918" spans="1:27" x14ac:dyDescent="0.3">
      <c r="A1918" t="s">
        <v>3725</v>
      </c>
      <c r="B1918" s="2">
        <v>45714</v>
      </c>
      <c r="C1918" t="s">
        <v>301</v>
      </c>
      <c r="D1918" t="s">
        <v>1729</v>
      </c>
      <c r="E1918" t="s">
        <v>1769</v>
      </c>
      <c r="F1918" s="4">
        <v>4</v>
      </c>
      <c r="G1918">
        <v>261.73</v>
      </c>
      <c r="H1918">
        <v>0.1</v>
      </c>
      <c r="I1918" t="s">
        <v>1809</v>
      </c>
      <c r="J1918">
        <v>942.22800000000007</v>
      </c>
      <c r="K1918" t="s">
        <v>302</v>
      </c>
      <c r="L1918">
        <v>36</v>
      </c>
      <c r="M1918" t="str">
        <v>Male</v>
      </c>
      <c r="N1918" t="str">
        <f>VLOOKUP(C:C,Customer_Dim!B:I,5,1)</f>
        <v>Garyberg</v>
      </c>
      <c r="O1918" t="str">
        <f>VLOOKUP(C:C,Customer_Dim!B:I,6,1)</f>
        <v>Indiana</v>
      </c>
      <c r="P1918" t="str">
        <f>VLOOKUP(C:C,Customer_Dim!B:I,7,1)</f>
        <v>USA</v>
      </c>
      <c r="Q1918" t="str">
        <f>VLOOKUP(C:C,Customer_Dim!B:I,8,1)</f>
        <v>Platinum</v>
      </c>
      <c r="S1918">
        <v>4</v>
      </c>
      <c r="T1918">
        <v>261.73</v>
      </c>
      <c r="U1918">
        <v>0.1</v>
      </c>
      <c r="V1918">
        <v>942.22800000000007</v>
      </c>
      <c r="X1918" s="4">
        <v>4</v>
      </c>
      <c r="Y1918">
        <v>261.73</v>
      </c>
      <c r="Z1918">
        <v>0.1</v>
      </c>
      <c r="AA1918">
        <v>942.22800000000007</v>
      </c>
    </row>
    <row r="1919" spans="1:27" x14ac:dyDescent="0.3">
      <c r="A1919" t="s">
        <v>3726</v>
      </c>
      <c r="B1919" s="2">
        <v>45661</v>
      </c>
      <c r="C1919" t="s">
        <v>1421</v>
      </c>
      <c r="D1919" t="s">
        <v>1555</v>
      </c>
      <c r="E1919" t="s">
        <v>1735</v>
      </c>
      <c r="F1919" s="4">
        <v>2</v>
      </c>
      <c r="G1919">
        <v>687.35</v>
      </c>
      <c r="H1919">
        <v>0.2</v>
      </c>
      <c r="I1919" t="s">
        <v>1812</v>
      </c>
      <c r="J1919">
        <v>1099.76</v>
      </c>
      <c r="K1919" t="s">
        <v>1422</v>
      </c>
      <c r="L1919">
        <v>63</v>
      </c>
      <c r="M1919" t="str">
        <v>Female</v>
      </c>
      <c r="N1919" t="str">
        <f>VLOOKUP(C:C,Customer_Dim!B:I,5,1)</f>
        <v>Espinozaberg</v>
      </c>
      <c r="O1919" t="str">
        <f>VLOOKUP(C:C,Customer_Dim!B:I,6,1)</f>
        <v>Minnesota</v>
      </c>
      <c r="P1919" t="str">
        <f>VLOOKUP(C:C,Customer_Dim!B:I,7,1)</f>
        <v>USA</v>
      </c>
      <c r="Q1919" t="str">
        <f>VLOOKUP(C:C,Customer_Dim!B:I,8,1)</f>
        <v>Silver</v>
      </c>
      <c r="S1919">
        <v>2</v>
      </c>
      <c r="T1919">
        <v>687.35</v>
      </c>
      <c r="U1919">
        <v>0.2</v>
      </c>
      <c r="V1919">
        <v>1099.76</v>
      </c>
      <c r="X1919" s="4">
        <v>2</v>
      </c>
      <c r="Y1919">
        <v>687.35</v>
      </c>
      <c r="Z1919">
        <v>0.2</v>
      </c>
      <c r="AA1919">
        <v>1099.76</v>
      </c>
    </row>
    <row r="1920" spans="1:27" x14ac:dyDescent="0.3">
      <c r="A1920" t="s">
        <v>3727</v>
      </c>
      <c r="B1920" s="2">
        <v>45921</v>
      </c>
      <c r="C1920" t="s">
        <v>669</v>
      </c>
      <c r="D1920" t="s">
        <v>1699</v>
      </c>
      <c r="E1920" t="s">
        <v>1765</v>
      </c>
      <c r="F1920" s="4">
        <v>2</v>
      </c>
      <c r="G1920">
        <v>30.14</v>
      </c>
      <c r="H1920">
        <v>0.21</v>
      </c>
      <c r="I1920" t="s">
        <v>1807</v>
      </c>
      <c r="J1920">
        <v>47.621200000000002</v>
      </c>
      <c r="K1920" t="s">
        <v>670</v>
      </c>
      <c r="L1920">
        <v>54</v>
      </c>
      <c r="M1920" t="str">
        <v>Male</v>
      </c>
      <c r="N1920" t="str">
        <f>VLOOKUP(C:C,Customer_Dim!B:I,5,1)</f>
        <v>South Emily</v>
      </c>
      <c r="O1920" t="str">
        <f>VLOOKUP(C:C,Customer_Dim!B:I,6,1)</f>
        <v>New Jersey</v>
      </c>
      <c r="P1920" t="str">
        <f>VLOOKUP(C:C,Customer_Dim!B:I,7,1)</f>
        <v>USA</v>
      </c>
      <c r="Q1920" t="str">
        <f>VLOOKUP(C:C,Customer_Dim!B:I,8,1)</f>
        <v>Bronze</v>
      </c>
      <c r="S1920">
        <v>2</v>
      </c>
      <c r="T1920">
        <v>30.14</v>
      </c>
      <c r="U1920">
        <v>0.21</v>
      </c>
      <c r="V1920">
        <v>47.621200000000002</v>
      </c>
      <c r="X1920" s="4">
        <v>2</v>
      </c>
      <c r="Y1920">
        <v>30.14</v>
      </c>
      <c r="Z1920">
        <v>0.21</v>
      </c>
      <c r="AA1920">
        <v>47.621200000000002</v>
      </c>
    </row>
    <row r="1921" spans="1:27" x14ac:dyDescent="0.3">
      <c r="A1921" t="s">
        <v>3728</v>
      </c>
      <c r="B1921" s="2">
        <v>45651</v>
      </c>
      <c r="C1921" t="s">
        <v>348</v>
      </c>
      <c r="D1921" t="s">
        <v>1599</v>
      </c>
      <c r="E1921" t="s">
        <v>1765</v>
      </c>
      <c r="F1921" s="4">
        <v>3</v>
      </c>
      <c r="G1921">
        <v>570.12</v>
      </c>
      <c r="H1921">
        <v>0.12</v>
      </c>
      <c r="I1921" t="s">
        <v>1809</v>
      </c>
      <c r="J1921">
        <v>1505.1168</v>
      </c>
      <c r="K1921" t="s">
        <v>349</v>
      </c>
      <c r="L1921">
        <v>53</v>
      </c>
      <c r="M1921" t="str">
        <v>Female</v>
      </c>
      <c r="N1921" t="str">
        <f>VLOOKUP(C:C,Customer_Dim!B:I,5,1)</f>
        <v>South Dustin</v>
      </c>
      <c r="O1921" t="str">
        <f>VLOOKUP(C:C,Customer_Dim!B:I,6,1)</f>
        <v>Tennessee</v>
      </c>
      <c r="P1921" t="str">
        <f>VLOOKUP(C:C,Customer_Dim!B:I,7,1)</f>
        <v>USA</v>
      </c>
      <c r="Q1921" t="str">
        <f>VLOOKUP(C:C,Customer_Dim!B:I,8,1)</f>
        <v>Silver</v>
      </c>
      <c r="S1921">
        <v>3</v>
      </c>
      <c r="T1921">
        <v>570.12</v>
      </c>
      <c r="U1921">
        <v>0.12</v>
      </c>
      <c r="V1921">
        <v>1505.1168</v>
      </c>
      <c r="X1921" s="4">
        <v>3</v>
      </c>
      <c r="Y1921">
        <v>570.12</v>
      </c>
      <c r="Z1921">
        <v>0.12</v>
      </c>
      <c r="AA1921">
        <v>1505.1168</v>
      </c>
    </row>
    <row r="1922" spans="1:27" x14ac:dyDescent="0.3">
      <c r="A1922" t="s">
        <v>3729</v>
      </c>
      <c r="B1922" s="2">
        <v>45883</v>
      </c>
      <c r="C1922" t="s">
        <v>885</v>
      </c>
      <c r="D1922" t="s">
        <v>1685</v>
      </c>
      <c r="E1922" t="s">
        <v>1796</v>
      </c>
      <c r="F1922" s="4">
        <v>3</v>
      </c>
      <c r="G1922">
        <v>401.87</v>
      </c>
      <c r="H1922">
        <v>0.28999999999999998</v>
      </c>
      <c r="I1922" t="s">
        <v>1812</v>
      </c>
      <c r="J1922">
        <v>855.98310000000004</v>
      </c>
      <c r="K1922" t="s">
        <v>886</v>
      </c>
      <c r="L1922">
        <v>46</v>
      </c>
      <c r="M1922" t="str">
        <v>Female</v>
      </c>
      <c r="N1922" t="str">
        <f>VLOOKUP(C:C,Customer_Dim!B:I,5,1)</f>
        <v>North Joshualand</v>
      </c>
      <c r="O1922" t="str">
        <f>VLOOKUP(C:C,Customer_Dim!B:I,6,1)</f>
        <v>Connecticut</v>
      </c>
      <c r="P1922" t="str">
        <f>VLOOKUP(C:C,Customer_Dim!B:I,7,1)</f>
        <v>USA</v>
      </c>
      <c r="Q1922" t="str">
        <f>VLOOKUP(C:C,Customer_Dim!B:I,8,1)</f>
        <v>Platinum</v>
      </c>
      <c r="S1922">
        <v>3</v>
      </c>
      <c r="T1922">
        <v>401.87</v>
      </c>
      <c r="U1922">
        <v>0.28999999999999998</v>
      </c>
      <c r="V1922">
        <v>855.98310000000004</v>
      </c>
      <c r="X1922" s="4">
        <v>3</v>
      </c>
      <c r="Y1922">
        <v>401.87</v>
      </c>
      <c r="Z1922">
        <v>0.28999999999999998</v>
      </c>
      <c r="AA1922">
        <v>855.98310000000004</v>
      </c>
    </row>
    <row r="1923" spans="1:27" x14ac:dyDescent="0.3">
      <c r="A1923" t="s">
        <v>3730</v>
      </c>
      <c r="B1923" s="2">
        <v>45624</v>
      </c>
      <c r="C1923" t="s">
        <v>1507</v>
      </c>
      <c r="D1923" t="s">
        <v>1689</v>
      </c>
      <c r="E1923" t="s">
        <v>1777</v>
      </c>
      <c r="F1923" s="4">
        <v>4</v>
      </c>
      <c r="G1923">
        <v>619.35</v>
      </c>
      <c r="H1923">
        <v>0.3</v>
      </c>
      <c r="I1923" t="s">
        <v>1807</v>
      </c>
      <c r="J1923">
        <v>1734.18</v>
      </c>
      <c r="K1923" t="s">
        <v>1508</v>
      </c>
      <c r="L1923">
        <v>47</v>
      </c>
      <c r="M1923" t="str">
        <v>Female</v>
      </c>
      <c r="N1923" t="str">
        <f>VLOOKUP(C:C,Customer_Dim!B:I,5,1)</f>
        <v>North Seanfurt</v>
      </c>
      <c r="O1923" t="str">
        <f>VLOOKUP(C:C,Customer_Dim!B:I,6,1)</f>
        <v>Ohio</v>
      </c>
      <c r="P1923" t="str">
        <f>VLOOKUP(C:C,Customer_Dim!B:I,7,1)</f>
        <v>USA</v>
      </c>
      <c r="Q1923" t="str">
        <f>VLOOKUP(C:C,Customer_Dim!B:I,8,1)</f>
        <v>Bronze</v>
      </c>
      <c r="S1923">
        <v>4</v>
      </c>
      <c r="T1923">
        <v>619.35</v>
      </c>
      <c r="U1923">
        <v>0.3</v>
      </c>
      <c r="V1923">
        <v>1734.18</v>
      </c>
      <c r="X1923" s="4">
        <v>4</v>
      </c>
      <c r="Y1923">
        <v>619.35</v>
      </c>
      <c r="Z1923">
        <v>0.3</v>
      </c>
      <c r="AA1923">
        <v>1734.18</v>
      </c>
    </row>
    <row r="1924" spans="1:27" x14ac:dyDescent="0.3">
      <c r="A1924" t="s">
        <v>3731</v>
      </c>
      <c r="B1924" s="2">
        <v>45276</v>
      </c>
      <c r="C1924" t="s">
        <v>785</v>
      </c>
      <c r="D1924" t="s">
        <v>1623</v>
      </c>
      <c r="E1924" t="s">
        <v>1790</v>
      </c>
      <c r="F1924" s="4">
        <v>4</v>
      </c>
      <c r="G1924">
        <v>569.36</v>
      </c>
      <c r="H1924">
        <v>0.27</v>
      </c>
      <c r="I1924" t="s">
        <v>1809</v>
      </c>
      <c r="J1924">
        <v>1662.5311999999999</v>
      </c>
      <c r="K1924" t="s">
        <v>786</v>
      </c>
      <c r="L1924">
        <v>19</v>
      </c>
      <c r="M1924" t="str">
        <v>Male</v>
      </c>
      <c r="N1924" t="str">
        <f>VLOOKUP(C:C,Customer_Dim!B:I,5,1)</f>
        <v>Mikehaven</v>
      </c>
      <c r="O1924" t="str">
        <f>VLOOKUP(C:C,Customer_Dim!B:I,6,1)</f>
        <v>New Hampshire</v>
      </c>
      <c r="P1924" t="str">
        <f>VLOOKUP(C:C,Customer_Dim!B:I,7,1)</f>
        <v>USA</v>
      </c>
      <c r="Q1924" t="str">
        <f>VLOOKUP(C:C,Customer_Dim!B:I,8,1)</f>
        <v>Platinum</v>
      </c>
      <c r="S1924">
        <v>4</v>
      </c>
      <c r="T1924">
        <v>569.36</v>
      </c>
      <c r="U1924">
        <v>0.27</v>
      </c>
      <c r="V1924">
        <v>1662.5311999999999</v>
      </c>
      <c r="X1924" s="4">
        <v>4</v>
      </c>
      <c r="Y1924">
        <v>569.36</v>
      </c>
      <c r="Z1924">
        <v>0.27</v>
      </c>
      <c r="AA1924">
        <v>1662.5311999999999</v>
      </c>
    </row>
    <row r="1925" spans="1:27" x14ac:dyDescent="0.3">
      <c r="A1925" t="s">
        <v>3732</v>
      </c>
      <c r="B1925" s="2">
        <v>45344</v>
      </c>
      <c r="C1925" t="s">
        <v>1450</v>
      </c>
      <c r="D1925" t="s">
        <v>1585</v>
      </c>
      <c r="E1925" t="s">
        <v>1752</v>
      </c>
      <c r="F1925" s="4">
        <v>2</v>
      </c>
      <c r="G1925">
        <v>846.35</v>
      </c>
      <c r="H1925">
        <v>0.3</v>
      </c>
      <c r="I1925" t="s">
        <v>1812</v>
      </c>
      <c r="J1925">
        <v>1184.8900000000001</v>
      </c>
      <c r="K1925" t="s">
        <v>1451</v>
      </c>
      <c r="L1925">
        <v>41</v>
      </c>
      <c r="M1925" t="str">
        <v>Female</v>
      </c>
      <c r="N1925" t="str">
        <f>VLOOKUP(C:C,Customer_Dim!B:I,5,1)</f>
        <v>Anthonymouth</v>
      </c>
      <c r="O1925" t="str">
        <f>VLOOKUP(C:C,Customer_Dim!B:I,6,1)</f>
        <v>Oklahoma</v>
      </c>
      <c r="P1925" t="str">
        <f>VLOOKUP(C:C,Customer_Dim!B:I,7,1)</f>
        <v>USA</v>
      </c>
      <c r="Q1925" t="str">
        <f>VLOOKUP(C:C,Customer_Dim!B:I,8,1)</f>
        <v>Gold</v>
      </c>
      <c r="S1925">
        <v>2</v>
      </c>
      <c r="T1925">
        <v>846.35</v>
      </c>
      <c r="U1925">
        <v>0.3</v>
      </c>
      <c r="V1925">
        <v>1184.8900000000001</v>
      </c>
      <c r="X1925" s="4">
        <v>2</v>
      </c>
      <c r="Y1925">
        <v>846.35</v>
      </c>
      <c r="Z1925">
        <v>0.3</v>
      </c>
      <c r="AA1925">
        <v>1184.8900000000001</v>
      </c>
    </row>
    <row r="1926" spans="1:27" x14ac:dyDescent="0.3">
      <c r="A1926" t="s">
        <v>3733</v>
      </c>
      <c r="B1926" s="2">
        <v>45849</v>
      </c>
      <c r="C1926" t="s">
        <v>1330</v>
      </c>
      <c r="D1926" t="s">
        <v>1591</v>
      </c>
      <c r="E1926" t="s">
        <v>1744</v>
      </c>
      <c r="F1926" s="4">
        <v>1</v>
      </c>
      <c r="G1926">
        <v>788.45</v>
      </c>
      <c r="H1926">
        <v>0.28999999999999998</v>
      </c>
      <c r="I1926" t="s">
        <v>1809</v>
      </c>
      <c r="J1926">
        <v>559.79949999999997</v>
      </c>
      <c r="K1926" t="s">
        <v>1331</v>
      </c>
      <c r="L1926">
        <v>37</v>
      </c>
      <c r="M1926" t="str">
        <v>Female</v>
      </c>
      <c r="N1926" t="str">
        <f>VLOOKUP(C:C,Customer_Dim!B:I,5,1)</f>
        <v>New Sarah</v>
      </c>
      <c r="O1926" t="str">
        <f>VLOOKUP(C:C,Customer_Dim!B:I,6,1)</f>
        <v>Indiana</v>
      </c>
      <c r="P1926" t="str">
        <f>VLOOKUP(C:C,Customer_Dim!B:I,7,1)</f>
        <v>USA</v>
      </c>
      <c r="Q1926" t="str">
        <f>VLOOKUP(C:C,Customer_Dim!B:I,8,1)</f>
        <v>Gold</v>
      </c>
      <c r="S1926">
        <v>1</v>
      </c>
      <c r="T1926">
        <v>788.45</v>
      </c>
      <c r="U1926">
        <v>0.28999999999999998</v>
      </c>
      <c r="V1926">
        <v>559.79949999999997</v>
      </c>
      <c r="X1926" s="4">
        <v>1</v>
      </c>
      <c r="Y1926">
        <v>788.45</v>
      </c>
      <c r="Z1926">
        <v>0.28999999999999998</v>
      </c>
      <c r="AA1926">
        <v>559.79949999999997</v>
      </c>
    </row>
    <row r="1927" spans="1:27" x14ac:dyDescent="0.3">
      <c r="A1927" t="s">
        <v>3734</v>
      </c>
      <c r="B1927" s="2">
        <v>45880</v>
      </c>
      <c r="C1927" t="s">
        <v>1115</v>
      </c>
      <c r="D1927" t="s">
        <v>1601</v>
      </c>
      <c r="E1927" t="s">
        <v>1777</v>
      </c>
      <c r="F1927" s="4">
        <v>2</v>
      </c>
      <c r="G1927">
        <v>338.81</v>
      </c>
      <c r="H1927">
        <v>7.0000000000000007E-2</v>
      </c>
      <c r="I1927" t="s">
        <v>1812</v>
      </c>
      <c r="J1927">
        <v>630.1866</v>
      </c>
      <c r="K1927" t="s">
        <v>1116</v>
      </c>
      <c r="L1927">
        <v>64</v>
      </c>
      <c r="M1927" t="str">
        <v>Male</v>
      </c>
      <c r="N1927" t="str">
        <f>VLOOKUP(C:C,Customer_Dim!B:I,5,1)</f>
        <v>Andersonside</v>
      </c>
      <c r="O1927" t="str">
        <f>VLOOKUP(C:C,Customer_Dim!B:I,6,1)</f>
        <v>Arkansas</v>
      </c>
      <c r="P1927" t="str">
        <f>VLOOKUP(C:C,Customer_Dim!B:I,7,1)</f>
        <v>USA</v>
      </c>
      <c r="Q1927" t="str">
        <f>VLOOKUP(C:C,Customer_Dim!B:I,8,1)</f>
        <v>Platinum</v>
      </c>
      <c r="S1927">
        <v>2</v>
      </c>
      <c r="T1927">
        <v>338.81</v>
      </c>
      <c r="U1927">
        <v>7.0000000000000007E-2</v>
      </c>
      <c r="V1927">
        <v>630.1866</v>
      </c>
      <c r="X1927" s="4">
        <v>2</v>
      </c>
      <c r="Y1927">
        <v>338.81</v>
      </c>
      <c r="Z1927">
        <v>7.0000000000000007E-2</v>
      </c>
      <c r="AA1927">
        <v>630.1866</v>
      </c>
    </row>
    <row r="1928" spans="1:27" x14ac:dyDescent="0.3">
      <c r="A1928" t="s">
        <v>3735</v>
      </c>
      <c r="B1928" s="2">
        <v>45907</v>
      </c>
      <c r="C1928" t="s">
        <v>110</v>
      </c>
      <c r="D1928" t="s">
        <v>1559</v>
      </c>
      <c r="E1928" t="s">
        <v>1756</v>
      </c>
      <c r="F1928" s="4">
        <v>4</v>
      </c>
      <c r="G1928">
        <v>94.48</v>
      </c>
      <c r="H1928">
        <v>0.06</v>
      </c>
      <c r="I1928" t="s">
        <v>1812</v>
      </c>
      <c r="J1928">
        <v>355.2448</v>
      </c>
      <c r="K1928" t="s">
        <v>111</v>
      </c>
      <c r="L1928">
        <v>31</v>
      </c>
      <c r="M1928" t="str">
        <v>Male</v>
      </c>
      <c r="N1928" t="str">
        <f>VLOOKUP(C:C,Customer_Dim!B:I,5,1)</f>
        <v>East Michellemouth</v>
      </c>
      <c r="O1928" t="str">
        <f>VLOOKUP(C:C,Customer_Dim!B:I,6,1)</f>
        <v>Missouri</v>
      </c>
      <c r="P1928" t="str">
        <f>VLOOKUP(C:C,Customer_Dim!B:I,7,1)</f>
        <v>USA</v>
      </c>
      <c r="Q1928" t="str">
        <f>VLOOKUP(C:C,Customer_Dim!B:I,8,1)</f>
        <v>Gold</v>
      </c>
      <c r="S1928">
        <v>4</v>
      </c>
      <c r="T1928">
        <v>94.48</v>
      </c>
      <c r="U1928">
        <v>0.06</v>
      </c>
      <c r="V1928">
        <v>355.2448</v>
      </c>
      <c r="X1928" s="4">
        <v>4</v>
      </c>
      <c r="Y1928">
        <v>94.48</v>
      </c>
      <c r="Z1928">
        <v>0.06</v>
      </c>
      <c r="AA1928">
        <v>355.2448</v>
      </c>
    </row>
    <row r="1929" spans="1:27" x14ac:dyDescent="0.3">
      <c r="A1929" t="s">
        <v>3736</v>
      </c>
      <c r="B1929" s="2">
        <v>45545</v>
      </c>
      <c r="C1929" t="s">
        <v>1453</v>
      </c>
      <c r="D1929" t="s">
        <v>1569</v>
      </c>
      <c r="E1929" t="s">
        <v>1780</v>
      </c>
      <c r="F1929" s="4">
        <v>3</v>
      </c>
      <c r="G1929">
        <v>941.85</v>
      </c>
      <c r="H1929">
        <v>0.16</v>
      </c>
      <c r="I1929" t="s">
        <v>1809</v>
      </c>
      <c r="J1929">
        <v>2373.462</v>
      </c>
      <c r="K1929" t="s">
        <v>1454</v>
      </c>
      <c r="L1929">
        <v>59</v>
      </c>
      <c r="M1929" t="str">
        <v>Male</v>
      </c>
      <c r="N1929" t="str">
        <f>VLOOKUP(C:C,Customer_Dim!B:I,5,1)</f>
        <v>West Kelseyberg</v>
      </c>
      <c r="O1929" t="str">
        <f>VLOOKUP(C:C,Customer_Dim!B:I,6,1)</f>
        <v>Kansas</v>
      </c>
      <c r="P1929" t="str">
        <f>VLOOKUP(C:C,Customer_Dim!B:I,7,1)</f>
        <v>USA</v>
      </c>
      <c r="Q1929" t="str">
        <f>VLOOKUP(C:C,Customer_Dim!B:I,8,1)</f>
        <v>Platinum</v>
      </c>
      <c r="S1929">
        <v>3</v>
      </c>
      <c r="T1929">
        <v>941.85</v>
      </c>
      <c r="U1929">
        <v>0.16</v>
      </c>
      <c r="V1929">
        <v>2373.462</v>
      </c>
      <c r="X1929" s="4">
        <v>3</v>
      </c>
      <c r="Y1929">
        <v>941.85</v>
      </c>
      <c r="Z1929">
        <v>0.16</v>
      </c>
      <c r="AA1929">
        <v>2373.462</v>
      </c>
    </row>
    <row r="1930" spans="1:27" x14ac:dyDescent="0.3">
      <c r="A1930" t="s">
        <v>3737</v>
      </c>
      <c r="B1930" s="2">
        <v>45257</v>
      </c>
      <c r="C1930" t="s">
        <v>533</v>
      </c>
      <c r="D1930" t="s">
        <v>1621</v>
      </c>
      <c r="E1930" t="s">
        <v>1756</v>
      </c>
      <c r="F1930" s="4">
        <v>2</v>
      </c>
      <c r="G1930">
        <v>336.97</v>
      </c>
      <c r="H1930">
        <v>0.14000000000000001</v>
      </c>
      <c r="I1930" t="s">
        <v>1809</v>
      </c>
      <c r="J1930">
        <v>579.58840000000009</v>
      </c>
      <c r="K1930" t="s">
        <v>534</v>
      </c>
      <c r="L1930">
        <v>37</v>
      </c>
      <c r="M1930" t="str">
        <v>Male</v>
      </c>
      <c r="N1930" t="str">
        <f>VLOOKUP(C:C,Customer_Dim!B:I,5,1)</f>
        <v>Hessmouth</v>
      </c>
      <c r="O1930" t="str">
        <f>VLOOKUP(C:C,Customer_Dim!B:I,6,1)</f>
        <v>Arizona</v>
      </c>
      <c r="P1930" t="str">
        <f>VLOOKUP(C:C,Customer_Dim!B:I,7,1)</f>
        <v>USA</v>
      </c>
      <c r="Q1930" t="str">
        <f>VLOOKUP(C:C,Customer_Dim!B:I,8,1)</f>
        <v>Silver</v>
      </c>
      <c r="S1930">
        <v>2</v>
      </c>
      <c r="T1930">
        <v>336.97</v>
      </c>
      <c r="U1930">
        <v>0.14000000000000001</v>
      </c>
      <c r="V1930">
        <v>579.58840000000009</v>
      </c>
      <c r="X1930" s="4">
        <v>2</v>
      </c>
      <c r="Y1930">
        <v>336.97</v>
      </c>
      <c r="Z1930">
        <v>0.14000000000000001</v>
      </c>
      <c r="AA1930">
        <v>579.58840000000009</v>
      </c>
    </row>
    <row r="1931" spans="1:27" x14ac:dyDescent="0.3">
      <c r="A1931" t="s">
        <v>3738</v>
      </c>
      <c r="B1931" s="2">
        <v>45466</v>
      </c>
      <c r="C1931" t="s">
        <v>968</v>
      </c>
      <c r="D1931" t="s">
        <v>1538</v>
      </c>
      <c r="E1931" t="s">
        <v>1756</v>
      </c>
      <c r="F1931" s="4">
        <v>2</v>
      </c>
      <c r="G1931">
        <v>344.16</v>
      </c>
      <c r="H1931">
        <v>0.09</v>
      </c>
      <c r="I1931" t="s">
        <v>1809</v>
      </c>
      <c r="J1931">
        <v>626.37120000000004</v>
      </c>
      <c r="K1931" t="s">
        <v>969</v>
      </c>
      <c r="L1931">
        <v>35</v>
      </c>
      <c r="M1931" t="str">
        <v>Male</v>
      </c>
      <c r="N1931" t="str">
        <f>VLOOKUP(C:C,Customer_Dim!B:I,5,1)</f>
        <v>Joelside</v>
      </c>
      <c r="O1931" t="str">
        <f>VLOOKUP(C:C,Customer_Dim!B:I,6,1)</f>
        <v>Vermont</v>
      </c>
      <c r="P1931" t="str">
        <f>VLOOKUP(C:C,Customer_Dim!B:I,7,1)</f>
        <v>USA</v>
      </c>
      <c r="Q1931" t="str">
        <f>VLOOKUP(C:C,Customer_Dim!B:I,8,1)</f>
        <v>Silver</v>
      </c>
      <c r="S1931">
        <v>2</v>
      </c>
      <c r="T1931">
        <v>344.16</v>
      </c>
      <c r="U1931">
        <v>0.09</v>
      </c>
      <c r="V1931">
        <v>626.37120000000004</v>
      </c>
      <c r="X1931" s="4">
        <v>2</v>
      </c>
      <c r="Y1931">
        <v>344.16</v>
      </c>
      <c r="Z1931">
        <v>0.09</v>
      </c>
      <c r="AA1931">
        <v>626.37120000000004</v>
      </c>
    </row>
    <row r="1932" spans="1:27" x14ac:dyDescent="0.3">
      <c r="A1932" t="s">
        <v>3739</v>
      </c>
      <c r="B1932" s="2">
        <v>45847</v>
      </c>
      <c r="C1932" t="s">
        <v>939</v>
      </c>
      <c r="D1932" t="s">
        <v>1627</v>
      </c>
      <c r="E1932" t="s">
        <v>1769</v>
      </c>
      <c r="F1932" s="4">
        <v>1</v>
      </c>
      <c r="G1932">
        <v>841.53</v>
      </c>
      <c r="H1932">
        <v>0.15</v>
      </c>
      <c r="I1932" t="s">
        <v>1807</v>
      </c>
      <c r="J1932">
        <v>715.30049999999994</v>
      </c>
      <c r="K1932" t="s">
        <v>940</v>
      </c>
      <c r="L1932">
        <v>50</v>
      </c>
      <c r="M1932" t="str">
        <v>Male</v>
      </c>
      <c r="N1932" t="str">
        <f>VLOOKUP(C:C,Customer_Dim!B:I,5,1)</f>
        <v>Lake Melissashire</v>
      </c>
      <c r="O1932" t="str">
        <f>VLOOKUP(C:C,Customer_Dim!B:I,6,1)</f>
        <v>Oregon</v>
      </c>
      <c r="P1932" t="str">
        <f>VLOOKUP(C:C,Customer_Dim!B:I,7,1)</f>
        <v>USA</v>
      </c>
      <c r="Q1932" t="str">
        <f>VLOOKUP(C:C,Customer_Dim!B:I,8,1)</f>
        <v>Silver</v>
      </c>
      <c r="S1932">
        <v>1</v>
      </c>
      <c r="T1932">
        <v>841.53</v>
      </c>
      <c r="U1932">
        <v>0.15</v>
      </c>
      <c r="V1932">
        <v>715.30049999999994</v>
      </c>
      <c r="X1932" s="4">
        <v>1</v>
      </c>
      <c r="Y1932">
        <v>841.53</v>
      </c>
      <c r="Z1932">
        <v>0.15</v>
      </c>
      <c r="AA1932">
        <v>715.30049999999994</v>
      </c>
    </row>
    <row r="1933" spans="1:27" x14ac:dyDescent="0.3">
      <c r="A1933" t="s">
        <v>3740</v>
      </c>
      <c r="B1933" s="2">
        <v>45825</v>
      </c>
      <c r="C1933" t="s">
        <v>1300</v>
      </c>
      <c r="D1933" t="s">
        <v>1697</v>
      </c>
      <c r="E1933" t="s">
        <v>1790</v>
      </c>
      <c r="F1933" s="4">
        <v>3</v>
      </c>
      <c r="G1933">
        <v>63.36</v>
      </c>
      <c r="H1933">
        <v>0.28999999999999998</v>
      </c>
      <c r="I1933" t="s">
        <v>1812</v>
      </c>
      <c r="J1933">
        <v>134.95679999999999</v>
      </c>
      <c r="K1933" t="s">
        <v>1301</v>
      </c>
      <c r="L1933">
        <v>40</v>
      </c>
      <c r="M1933" t="str">
        <v>Male</v>
      </c>
      <c r="N1933" t="str">
        <f>VLOOKUP(C:C,Customer_Dim!B:I,5,1)</f>
        <v>Lake Alexandra</v>
      </c>
      <c r="O1933" t="str">
        <f>VLOOKUP(C:C,Customer_Dim!B:I,6,1)</f>
        <v>North Carolina</v>
      </c>
      <c r="P1933" t="str">
        <f>VLOOKUP(C:C,Customer_Dim!B:I,7,1)</f>
        <v>USA</v>
      </c>
      <c r="Q1933" t="str">
        <f>VLOOKUP(C:C,Customer_Dim!B:I,8,1)</f>
        <v>Bronze</v>
      </c>
      <c r="S1933">
        <v>3</v>
      </c>
      <c r="T1933">
        <v>63.36</v>
      </c>
      <c r="U1933">
        <v>0.28999999999999998</v>
      </c>
      <c r="V1933">
        <v>134.95679999999999</v>
      </c>
      <c r="X1933" s="4">
        <v>3</v>
      </c>
      <c r="Y1933">
        <v>63.36</v>
      </c>
      <c r="Z1933">
        <v>0.28999999999999998</v>
      </c>
      <c r="AA1933">
        <v>134.95679999999999</v>
      </c>
    </row>
    <row r="1934" spans="1:27" x14ac:dyDescent="0.3">
      <c r="A1934" t="s">
        <v>3741</v>
      </c>
      <c r="B1934" s="2">
        <v>45839</v>
      </c>
      <c r="C1934" t="s">
        <v>1507</v>
      </c>
      <c r="D1934" t="s">
        <v>1687</v>
      </c>
      <c r="E1934" t="s">
        <v>1765</v>
      </c>
      <c r="F1934" s="4">
        <v>2</v>
      </c>
      <c r="G1934">
        <v>552.49</v>
      </c>
      <c r="H1934">
        <v>0.1</v>
      </c>
      <c r="I1934" t="s">
        <v>1807</v>
      </c>
      <c r="J1934">
        <v>994.48200000000008</v>
      </c>
      <c r="K1934" t="s">
        <v>1508</v>
      </c>
      <c r="L1934">
        <v>47</v>
      </c>
      <c r="M1934" t="str">
        <v>Female</v>
      </c>
      <c r="N1934" t="str">
        <f>VLOOKUP(C:C,Customer_Dim!B:I,5,1)</f>
        <v>North Seanfurt</v>
      </c>
      <c r="O1934" t="str">
        <f>VLOOKUP(C:C,Customer_Dim!B:I,6,1)</f>
        <v>Ohio</v>
      </c>
      <c r="P1934" t="str">
        <f>VLOOKUP(C:C,Customer_Dim!B:I,7,1)</f>
        <v>USA</v>
      </c>
      <c r="Q1934" t="str">
        <f>VLOOKUP(C:C,Customer_Dim!B:I,8,1)</f>
        <v>Bronze</v>
      </c>
      <c r="S1934">
        <v>2</v>
      </c>
      <c r="T1934">
        <v>552.49</v>
      </c>
      <c r="U1934">
        <v>0.1</v>
      </c>
      <c r="V1934">
        <v>994.48200000000008</v>
      </c>
      <c r="X1934" s="4">
        <v>2</v>
      </c>
      <c r="Y1934">
        <v>552.49</v>
      </c>
      <c r="Z1934">
        <v>0.1</v>
      </c>
      <c r="AA1934">
        <v>994.48200000000008</v>
      </c>
    </row>
    <row r="1935" spans="1:27" x14ac:dyDescent="0.3">
      <c r="A1935" t="s">
        <v>3742</v>
      </c>
      <c r="B1935" s="2">
        <v>45720</v>
      </c>
      <c r="C1935" t="s">
        <v>752</v>
      </c>
      <c r="D1935" t="s">
        <v>1579</v>
      </c>
      <c r="E1935" t="s">
        <v>1759</v>
      </c>
      <c r="F1935" s="4">
        <v>3</v>
      </c>
      <c r="G1935">
        <v>447.38</v>
      </c>
      <c r="H1935">
        <v>0.03</v>
      </c>
      <c r="I1935" t="s">
        <v>1807</v>
      </c>
      <c r="J1935">
        <v>1301.8758</v>
      </c>
      <c r="K1935" t="s">
        <v>753</v>
      </c>
      <c r="L1935">
        <v>41</v>
      </c>
      <c r="M1935" t="str">
        <v>Female</v>
      </c>
      <c r="N1935" t="str">
        <f>VLOOKUP(C:C,Customer_Dim!B:I,5,1)</f>
        <v>North Larryport</v>
      </c>
      <c r="O1935" t="str">
        <f>VLOOKUP(C:C,Customer_Dim!B:I,6,1)</f>
        <v>Virginia</v>
      </c>
      <c r="P1935" t="str">
        <f>VLOOKUP(C:C,Customer_Dim!B:I,7,1)</f>
        <v>USA</v>
      </c>
      <c r="Q1935" t="str">
        <f>VLOOKUP(C:C,Customer_Dim!B:I,8,1)</f>
        <v>Bronze</v>
      </c>
      <c r="S1935">
        <v>3</v>
      </c>
      <c r="T1935">
        <v>447.38</v>
      </c>
      <c r="U1935">
        <v>0.03</v>
      </c>
      <c r="V1935">
        <v>1301.8758</v>
      </c>
      <c r="X1935" s="4">
        <v>3</v>
      </c>
      <c r="Y1935">
        <v>447.38</v>
      </c>
      <c r="Z1935">
        <v>0.03</v>
      </c>
      <c r="AA1935">
        <v>1301.8758</v>
      </c>
    </row>
    <row r="1936" spans="1:27" x14ac:dyDescent="0.3">
      <c r="A1936" t="s">
        <v>3743</v>
      </c>
      <c r="B1936" s="2">
        <v>45250</v>
      </c>
      <c r="C1936" t="s">
        <v>1376</v>
      </c>
      <c r="D1936" t="s">
        <v>1677</v>
      </c>
      <c r="E1936" t="s">
        <v>1796</v>
      </c>
      <c r="F1936" s="4">
        <v>1</v>
      </c>
      <c r="G1936">
        <v>727.7</v>
      </c>
      <c r="H1936">
        <v>0.21</v>
      </c>
      <c r="I1936" t="s">
        <v>1812</v>
      </c>
      <c r="J1936">
        <v>574.88300000000004</v>
      </c>
      <c r="K1936" t="s">
        <v>1377</v>
      </c>
      <c r="L1936">
        <v>46</v>
      </c>
      <c r="M1936" t="str">
        <v>Male</v>
      </c>
      <c r="N1936" t="str">
        <f>VLOOKUP(C:C,Customer_Dim!B:I,5,1)</f>
        <v>Lake Meganstad</v>
      </c>
      <c r="O1936" t="str">
        <f>VLOOKUP(C:C,Customer_Dim!B:I,6,1)</f>
        <v>Nebraska</v>
      </c>
      <c r="P1936" t="str">
        <f>VLOOKUP(C:C,Customer_Dim!B:I,7,1)</f>
        <v>USA</v>
      </c>
      <c r="Q1936" t="str">
        <f>VLOOKUP(C:C,Customer_Dim!B:I,8,1)</f>
        <v>Bronze</v>
      </c>
      <c r="S1936">
        <v>1</v>
      </c>
      <c r="T1936">
        <v>727.7</v>
      </c>
      <c r="U1936">
        <v>0.21</v>
      </c>
      <c r="V1936">
        <v>574.88300000000004</v>
      </c>
      <c r="X1936" s="4">
        <v>1</v>
      </c>
      <c r="Y1936">
        <v>727.7</v>
      </c>
      <c r="Z1936">
        <v>0.21</v>
      </c>
      <c r="AA1936">
        <v>574.88300000000004</v>
      </c>
    </row>
    <row r="1937" spans="1:27" x14ac:dyDescent="0.3">
      <c r="A1937" t="s">
        <v>3744</v>
      </c>
      <c r="B1937" s="2">
        <v>45258</v>
      </c>
      <c r="C1937" t="s">
        <v>1336</v>
      </c>
      <c r="D1937" t="s">
        <v>1633</v>
      </c>
      <c r="E1937" t="s">
        <v>1762</v>
      </c>
      <c r="F1937" s="4">
        <v>4</v>
      </c>
      <c r="G1937">
        <v>581.34</v>
      </c>
      <c r="H1937">
        <v>0.08</v>
      </c>
      <c r="I1937" t="s">
        <v>1807</v>
      </c>
      <c r="J1937">
        <v>2139.3312000000001</v>
      </c>
      <c r="K1937" t="s">
        <v>1337</v>
      </c>
      <c r="L1937">
        <v>47</v>
      </c>
      <c r="M1937" t="str">
        <v>Female</v>
      </c>
      <c r="N1937" t="str">
        <f>VLOOKUP(C:C,Customer_Dim!B:I,5,1)</f>
        <v>South Michellebury</v>
      </c>
      <c r="O1937" t="str">
        <f>VLOOKUP(C:C,Customer_Dim!B:I,6,1)</f>
        <v>South Dakota</v>
      </c>
      <c r="P1937" t="str">
        <f>VLOOKUP(C:C,Customer_Dim!B:I,7,1)</f>
        <v>USA</v>
      </c>
      <c r="Q1937" t="str">
        <f>VLOOKUP(C:C,Customer_Dim!B:I,8,1)</f>
        <v>Gold</v>
      </c>
      <c r="S1937">
        <v>4</v>
      </c>
      <c r="T1937">
        <v>581.34</v>
      </c>
      <c r="U1937">
        <v>0.08</v>
      </c>
      <c r="V1937">
        <v>2139.3312000000001</v>
      </c>
      <c r="X1937" s="4">
        <v>4</v>
      </c>
      <c r="Y1937">
        <v>581.34</v>
      </c>
      <c r="Z1937">
        <v>0.08</v>
      </c>
      <c r="AA1937">
        <v>2139.3312000000001</v>
      </c>
    </row>
    <row r="1938" spans="1:27" x14ac:dyDescent="0.3">
      <c r="A1938" t="s">
        <v>3745</v>
      </c>
      <c r="B1938" s="2">
        <v>45793</v>
      </c>
      <c r="C1938" t="s">
        <v>339</v>
      </c>
      <c r="D1938" t="s">
        <v>1663</v>
      </c>
      <c r="E1938" t="s">
        <v>1740</v>
      </c>
      <c r="F1938" s="4">
        <v>1</v>
      </c>
      <c r="G1938">
        <v>338.83</v>
      </c>
      <c r="H1938">
        <v>0.19</v>
      </c>
      <c r="I1938" t="s">
        <v>1809</v>
      </c>
      <c r="J1938">
        <v>274.45229999999998</v>
      </c>
      <c r="K1938" t="s">
        <v>340</v>
      </c>
      <c r="L1938">
        <v>36</v>
      </c>
      <c r="M1938" t="str">
        <v>Male</v>
      </c>
      <c r="N1938" t="str">
        <f>VLOOKUP(C:C,Customer_Dim!B:I,5,1)</f>
        <v>Timothyburgh</v>
      </c>
      <c r="O1938" t="str">
        <f>VLOOKUP(C:C,Customer_Dim!B:I,6,1)</f>
        <v>Louisiana</v>
      </c>
      <c r="P1938" t="str">
        <f>VLOOKUP(C:C,Customer_Dim!B:I,7,1)</f>
        <v>USA</v>
      </c>
      <c r="Q1938" t="str">
        <f>VLOOKUP(C:C,Customer_Dim!B:I,8,1)</f>
        <v>Platinum</v>
      </c>
      <c r="S1938">
        <v>1</v>
      </c>
      <c r="T1938">
        <v>338.83</v>
      </c>
      <c r="U1938">
        <v>0.19</v>
      </c>
      <c r="V1938">
        <v>274.45229999999998</v>
      </c>
      <c r="X1938" s="4">
        <v>1</v>
      </c>
      <c r="Y1938">
        <v>338.83</v>
      </c>
      <c r="Z1938">
        <v>0.19</v>
      </c>
      <c r="AA1938">
        <v>274.45229999999998</v>
      </c>
    </row>
    <row r="1939" spans="1:27" x14ac:dyDescent="0.3">
      <c r="A1939" t="s">
        <v>3746</v>
      </c>
      <c r="B1939" s="2">
        <v>45265</v>
      </c>
      <c r="C1939" t="s">
        <v>897</v>
      </c>
      <c r="D1939" t="s">
        <v>1629</v>
      </c>
      <c r="E1939" t="s">
        <v>1780</v>
      </c>
      <c r="F1939" s="4">
        <v>4</v>
      </c>
      <c r="G1939">
        <v>568.80999999999995</v>
      </c>
      <c r="H1939">
        <v>0.25</v>
      </c>
      <c r="I1939" t="s">
        <v>1807</v>
      </c>
      <c r="J1939">
        <v>1706.43</v>
      </c>
      <c r="K1939" t="s">
        <v>898</v>
      </c>
      <c r="L1939">
        <v>22</v>
      </c>
      <c r="M1939" t="str">
        <v>Male</v>
      </c>
      <c r="N1939" t="str">
        <f>VLOOKUP(C:C,Customer_Dim!B:I,5,1)</f>
        <v>North Robert</v>
      </c>
      <c r="O1939" t="str">
        <f>VLOOKUP(C:C,Customer_Dim!B:I,6,1)</f>
        <v>Massachusetts</v>
      </c>
      <c r="P1939" t="str">
        <f>VLOOKUP(C:C,Customer_Dim!B:I,7,1)</f>
        <v>USA</v>
      </c>
      <c r="Q1939" t="str">
        <f>VLOOKUP(C:C,Customer_Dim!B:I,8,1)</f>
        <v>Silver</v>
      </c>
      <c r="S1939">
        <v>4</v>
      </c>
      <c r="T1939">
        <v>568.80999999999995</v>
      </c>
      <c r="U1939">
        <v>0.25</v>
      </c>
      <c r="V1939">
        <v>1706.43</v>
      </c>
      <c r="X1939" s="4">
        <v>4</v>
      </c>
      <c r="Y1939">
        <v>568.80999999999995</v>
      </c>
      <c r="Z1939">
        <v>0.25</v>
      </c>
      <c r="AA1939">
        <v>1706.43</v>
      </c>
    </row>
    <row r="1940" spans="1:27" x14ac:dyDescent="0.3">
      <c r="A1940" t="s">
        <v>3747</v>
      </c>
      <c r="B1940" s="2">
        <v>45607</v>
      </c>
      <c r="C1940" t="s">
        <v>1159</v>
      </c>
      <c r="D1940" t="s">
        <v>1653</v>
      </c>
      <c r="E1940" t="s">
        <v>1790</v>
      </c>
      <c r="F1940" s="4">
        <v>2</v>
      </c>
      <c r="G1940">
        <v>352.63</v>
      </c>
      <c r="H1940">
        <v>0.15</v>
      </c>
      <c r="I1940" t="s">
        <v>1809</v>
      </c>
      <c r="J1940">
        <v>599.471</v>
      </c>
      <c r="K1940" t="s">
        <v>1160</v>
      </c>
      <c r="L1940">
        <v>30</v>
      </c>
      <c r="M1940" t="str">
        <v>Male</v>
      </c>
      <c r="N1940" t="str">
        <f>VLOOKUP(C:C,Customer_Dim!B:I,5,1)</f>
        <v>Port Richardshire</v>
      </c>
      <c r="O1940" t="str">
        <f>VLOOKUP(C:C,Customer_Dim!B:I,6,1)</f>
        <v>Minnesota</v>
      </c>
      <c r="P1940" t="str">
        <f>VLOOKUP(C:C,Customer_Dim!B:I,7,1)</f>
        <v>USA</v>
      </c>
      <c r="Q1940" t="str">
        <f>VLOOKUP(C:C,Customer_Dim!B:I,8,1)</f>
        <v>Platinum</v>
      </c>
      <c r="S1940">
        <v>2</v>
      </c>
      <c r="T1940">
        <v>352.63</v>
      </c>
      <c r="U1940">
        <v>0.15</v>
      </c>
      <c r="V1940">
        <v>599.471</v>
      </c>
      <c r="X1940" s="4">
        <v>2</v>
      </c>
      <c r="Y1940">
        <v>352.63</v>
      </c>
      <c r="Z1940">
        <v>0.15</v>
      </c>
      <c r="AA1940">
        <v>599.471</v>
      </c>
    </row>
    <row r="1941" spans="1:27" x14ac:dyDescent="0.3">
      <c r="A1941" t="s">
        <v>3748</v>
      </c>
      <c r="B1941" s="2">
        <v>45382</v>
      </c>
      <c r="C1941" t="s">
        <v>518</v>
      </c>
      <c r="D1941" t="s">
        <v>1723</v>
      </c>
      <c r="E1941" t="s">
        <v>1780</v>
      </c>
      <c r="F1941" s="4">
        <v>2</v>
      </c>
      <c r="G1941">
        <v>629.86</v>
      </c>
      <c r="H1941">
        <v>0.15</v>
      </c>
      <c r="I1941" t="s">
        <v>1809</v>
      </c>
      <c r="J1941">
        <v>1070.7619999999999</v>
      </c>
      <c r="K1941" t="s">
        <v>519</v>
      </c>
      <c r="L1941">
        <v>59</v>
      </c>
      <c r="M1941" t="str">
        <v>Male</v>
      </c>
      <c r="N1941" t="str">
        <f>VLOOKUP(C:C,Customer_Dim!B:I,5,1)</f>
        <v>East Peterbury</v>
      </c>
      <c r="O1941" t="str">
        <f>VLOOKUP(C:C,Customer_Dim!B:I,6,1)</f>
        <v>North Dakota</v>
      </c>
      <c r="P1941" t="str">
        <f>VLOOKUP(C:C,Customer_Dim!B:I,7,1)</f>
        <v>USA</v>
      </c>
      <c r="Q1941" t="str">
        <f>VLOOKUP(C:C,Customer_Dim!B:I,8,1)</f>
        <v>Bronze</v>
      </c>
      <c r="S1941">
        <v>2</v>
      </c>
      <c r="T1941">
        <v>629.86</v>
      </c>
      <c r="U1941">
        <v>0.15</v>
      </c>
      <c r="V1941">
        <v>1070.7619999999999</v>
      </c>
      <c r="X1941" s="4">
        <v>2</v>
      </c>
      <c r="Y1941">
        <v>629.86</v>
      </c>
      <c r="Z1941">
        <v>0.15</v>
      </c>
      <c r="AA1941">
        <v>1070.7619999999999</v>
      </c>
    </row>
    <row r="1942" spans="1:27" x14ac:dyDescent="0.3">
      <c r="A1942" t="s">
        <v>3749</v>
      </c>
      <c r="B1942" s="2">
        <v>45793</v>
      </c>
      <c r="C1942" t="s">
        <v>1499</v>
      </c>
      <c r="D1942" t="s">
        <v>1727</v>
      </c>
      <c r="E1942" t="s">
        <v>1749</v>
      </c>
      <c r="F1942" s="4">
        <v>3</v>
      </c>
      <c r="G1942">
        <v>212.08</v>
      </c>
      <c r="H1942">
        <v>7.0000000000000007E-2</v>
      </c>
      <c r="I1942" t="s">
        <v>1807</v>
      </c>
      <c r="J1942">
        <v>591.70319999999992</v>
      </c>
      <c r="K1942" t="s">
        <v>1500</v>
      </c>
      <c r="L1942">
        <v>21</v>
      </c>
      <c r="M1942" t="str">
        <v>Male</v>
      </c>
      <c r="N1942" t="str">
        <f>VLOOKUP(C:C,Customer_Dim!B:I,5,1)</f>
        <v>South William</v>
      </c>
      <c r="O1942" t="str">
        <f>VLOOKUP(C:C,Customer_Dim!B:I,6,1)</f>
        <v>Alabama</v>
      </c>
      <c r="P1942" t="str">
        <f>VLOOKUP(C:C,Customer_Dim!B:I,7,1)</f>
        <v>USA</v>
      </c>
      <c r="Q1942" t="str">
        <f>VLOOKUP(C:C,Customer_Dim!B:I,8,1)</f>
        <v>Silver</v>
      </c>
      <c r="S1942">
        <v>3</v>
      </c>
      <c r="T1942">
        <v>212.08</v>
      </c>
      <c r="U1942">
        <v>7.0000000000000007E-2</v>
      </c>
      <c r="V1942">
        <v>591.70319999999992</v>
      </c>
      <c r="X1942" s="4">
        <v>3</v>
      </c>
      <c r="Y1942">
        <v>212.08</v>
      </c>
      <c r="Z1942">
        <v>7.0000000000000007E-2</v>
      </c>
      <c r="AA1942">
        <v>591.70319999999992</v>
      </c>
    </row>
    <row r="1943" spans="1:27" x14ac:dyDescent="0.3">
      <c r="A1943" t="s">
        <v>3750</v>
      </c>
      <c r="B1943" s="2">
        <v>45590</v>
      </c>
      <c r="C1943" t="s">
        <v>533</v>
      </c>
      <c r="D1943" t="s">
        <v>1645</v>
      </c>
      <c r="E1943" t="s">
        <v>1744</v>
      </c>
      <c r="F1943" s="4">
        <v>3</v>
      </c>
      <c r="G1943">
        <v>878.62</v>
      </c>
      <c r="H1943">
        <v>0.05</v>
      </c>
      <c r="I1943" t="s">
        <v>1809</v>
      </c>
      <c r="J1943">
        <v>2504.067</v>
      </c>
      <c r="K1943" t="s">
        <v>534</v>
      </c>
      <c r="L1943">
        <v>37</v>
      </c>
      <c r="M1943" t="str">
        <v>Male</v>
      </c>
      <c r="N1943" t="str">
        <f>VLOOKUP(C:C,Customer_Dim!B:I,5,1)</f>
        <v>Hessmouth</v>
      </c>
      <c r="O1943" t="str">
        <f>VLOOKUP(C:C,Customer_Dim!B:I,6,1)</f>
        <v>Arizona</v>
      </c>
      <c r="P1943" t="str">
        <f>VLOOKUP(C:C,Customer_Dim!B:I,7,1)</f>
        <v>USA</v>
      </c>
      <c r="Q1943" t="str">
        <f>VLOOKUP(C:C,Customer_Dim!B:I,8,1)</f>
        <v>Silver</v>
      </c>
      <c r="S1943">
        <v>3</v>
      </c>
      <c r="T1943">
        <v>878.62</v>
      </c>
      <c r="U1943">
        <v>0.05</v>
      </c>
      <c r="V1943">
        <v>2504.067</v>
      </c>
      <c r="X1943" s="4">
        <v>3</v>
      </c>
      <c r="Y1943">
        <v>878.62</v>
      </c>
      <c r="Z1943">
        <v>0.05</v>
      </c>
      <c r="AA1943">
        <v>2504.067</v>
      </c>
    </row>
    <row r="1944" spans="1:27" x14ac:dyDescent="0.3">
      <c r="A1944" t="s">
        <v>3751</v>
      </c>
      <c r="B1944" s="2">
        <v>45679</v>
      </c>
      <c r="C1944" t="s">
        <v>826</v>
      </c>
      <c r="D1944" t="s">
        <v>1691</v>
      </c>
      <c r="E1944" t="s">
        <v>1772</v>
      </c>
      <c r="F1944" s="4">
        <v>4</v>
      </c>
      <c r="G1944">
        <v>87.83</v>
      </c>
      <c r="H1944">
        <v>0.23</v>
      </c>
      <c r="I1944" t="s">
        <v>1809</v>
      </c>
      <c r="J1944">
        <v>270.51639999999998</v>
      </c>
      <c r="K1944" t="s">
        <v>827</v>
      </c>
      <c r="L1944">
        <v>60</v>
      </c>
      <c r="M1944" t="str">
        <v>Female</v>
      </c>
      <c r="N1944" t="str">
        <f>VLOOKUP(C:C,Customer_Dim!B:I,5,1)</f>
        <v>Lake Saramouth</v>
      </c>
      <c r="O1944" t="str">
        <f>VLOOKUP(C:C,Customer_Dim!B:I,6,1)</f>
        <v>Oregon</v>
      </c>
      <c r="P1944" t="str">
        <f>VLOOKUP(C:C,Customer_Dim!B:I,7,1)</f>
        <v>USA</v>
      </c>
      <c r="Q1944" t="str">
        <f>VLOOKUP(C:C,Customer_Dim!B:I,8,1)</f>
        <v>Silver</v>
      </c>
      <c r="S1944">
        <v>4</v>
      </c>
      <c r="T1944">
        <v>87.83</v>
      </c>
      <c r="U1944">
        <v>0.23</v>
      </c>
      <c r="V1944">
        <v>270.51639999999998</v>
      </c>
      <c r="X1944" s="4">
        <v>4</v>
      </c>
      <c r="Y1944">
        <v>87.83</v>
      </c>
      <c r="Z1944">
        <v>0.23</v>
      </c>
      <c r="AA1944">
        <v>270.51639999999998</v>
      </c>
    </row>
    <row r="1945" spans="1:27" x14ac:dyDescent="0.3">
      <c r="A1945" t="s">
        <v>3752</v>
      </c>
      <c r="B1945" s="2">
        <v>45814</v>
      </c>
      <c r="C1945" t="s">
        <v>867</v>
      </c>
      <c r="D1945" t="s">
        <v>1643</v>
      </c>
      <c r="E1945" t="s">
        <v>1769</v>
      </c>
      <c r="F1945" s="4">
        <v>3</v>
      </c>
      <c r="G1945">
        <v>442.64</v>
      </c>
      <c r="H1945">
        <v>0.15</v>
      </c>
      <c r="I1945" t="s">
        <v>1812</v>
      </c>
      <c r="J1945">
        <v>1128.732</v>
      </c>
      <c r="K1945" t="s">
        <v>868</v>
      </c>
      <c r="L1945">
        <v>38</v>
      </c>
      <c r="M1945" t="str">
        <v>Male</v>
      </c>
      <c r="N1945" t="str">
        <f>VLOOKUP(C:C,Customer_Dim!B:I,5,1)</f>
        <v>North Austinport</v>
      </c>
      <c r="O1945" t="str">
        <f>VLOOKUP(C:C,Customer_Dim!B:I,6,1)</f>
        <v>Kentucky</v>
      </c>
      <c r="P1945" t="str">
        <f>VLOOKUP(C:C,Customer_Dim!B:I,7,1)</f>
        <v>USA</v>
      </c>
      <c r="Q1945" t="str">
        <f>VLOOKUP(C:C,Customer_Dim!B:I,8,1)</f>
        <v>Gold</v>
      </c>
      <c r="S1945">
        <v>3</v>
      </c>
      <c r="T1945">
        <v>442.64</v>
      </c>
      <c r="U1945">
        <v>0.15</v>
      </c>
      <c r="V1945">
        <v>1128.732</v>
      </c>
      <c r="X1945" s="4">
        <v>3</v>
      </c>
      <c r="Y1945">
        <v>442.64</v>
      </c>
      <c r="Z1945">
        <v>0.15</v>
      </c>
      <c r="AA1945">
        <v>1128.732</v>
      </c>
    </row>
    <row r="1946" spans="1:27" x14ac:dyDescent="0.3">
      <c r="A1946" t="s">
        <v>3753</v>
      </c>
      <c r="B1946" s="2">
        <v>45795</v>
      </c>
      <c r="C1946" t="s">
        <v>330</v>
      </c>
      <c r="D1946" t="s">
        <v>1607</v>
      </c>
      <c r="E1946" t="s">
        <v>1744</v>
      </c>
      <c r="F1946" s="4">
        <v>3</v>
      </c>
      <c r="G1946">
        <v>410.04</v>
      </c>
      <c r="H1946">
        <v>0.09</v>
      </c>
      <c r="I1946" t="s">
        <v>1812</v>
      </c>
      <c r="J1946">
        <v>1119.4092000000001</v>
      </c>
      <c r="K1946" t="s">
        <v>331</v>
      </c>
      <c r="L1946">
        <v>43</v>
      </c>
      <c r="M1946" t="str">
        <v>Female</v>
      </c>
      <c r="N1946" t="str">
        <f>VLOOKUP(C:C,Customer_Dim!B:I,5,1)</f>
        <v>Port Travisstad</v>
      </c>
      <c r="O1946" t="str">
        <f>VLOOKUP(C:C,Customer_Dim!B:I,6,1)</f>
        <v>South Carolina</v>
      </c>
      <c r="P1946" t="str">
        <f>VLOOKUP(C:C,Customer_Dim!B:I,7,1)</f>
        <v>USA</v>
      </c>
      <c r="Q1946" t="str">
        <f>VLOOKUP(C:C,Customer_Dim!B:I,8,1)</f>
        <v>Gold</v>
      </c>
      <c r="S1946">
        <v>3</v>
      </c>
      <c r="T1946">
        <v>410.04</v>
      </c>
      <c r="U1946">
        <v>0.09</v>
      </c>
      <c r="V1946">
        <v>1119.4092000000001</v>
      </c>
      <c r="X1946" s="4">
        <v>3</v>
      </c>
      <c r="Y1946">
        <v>410.04</v>
      </c>
      <c r="Z1946">
        <v>0.09</v>
      </c>
      <c r="AA1946">
        <v>1119.4092000000001</v>
      </c>
    </row>
    <row r="1947" spans="1:27" x14ac:dyDescent="0.3">
      <c r="A1947" t="s">
        <v>3754</v>
      </c>
      <c r="B1947" s="2">
        <v>45797</v>
      </c>
      <c r="C1947" t="s">
        <v>450</v>
      </c>
      <c r="D1947" t="s">
        <v>1719</v>
      </c>
      <c r="E1947" t="s">
        <v>1790</v>
      </c>
      <c r="F1947" s="4">
        <v>1</v>
      </c>
      <c r="G1947">
        <v>355.31</v>
      </c>
      <c r="H1947">
        <v>0.27</v>
      </c>
      <c r="I1947" t="s">
        <v>1807</v>
      </c>
      <c r="J1947">
        <v>259.37630000000001</v>
      </c>
      <c r="K1947" t="s">
        <v>451</v>
      </c>
      <c r="L1947">
        <v>54</v>
      </c>
      <c r="M1947" t="str">
        <v>Male</v>
      </c>
      <c r="N1947" t="str">
        <f>VLOOKUP(C:C,Customer_Dim!B:I,5,1)</f>
        <v>West Stephenville</v>
      </c>
      <c r="O1947" t="str">
        <f>VLOOKUP(C:C,Customer_Dim!B:I,6,1)</f>
        <v>Florida</v>
      </c>
      <c r="P1947" t="str">
        <f>VLOOKUP(C:C,Customer_Dim!B:I,7,1)</f>
        <v>USA</v>
      </c>
      <c r="Q1947" t="str">
        <f>VLOOKUP(C:C,Customer_Dim!B:I,8,1)</f>
        <v>Bronze</v>
      </c>
      <c r="S1947">
        <v>1</v>
      </c>
      <c r="T1947">
        <v>355.31</v>
      </c>
      <c r="U1947">
        <v>0.27</v>
      </c>
      <c r="V1947">
        <v>259.37630000000001</v>
      </c>
      <c r="X1947" s="4">
        <v>1</v>
      </c>
      <c r="Y1947">
        <v>355.31</v>
      </c>
      <c r="Z1947">
        <v>0.27</v>
      </c>
      <c r="AA1947">
        <v>259.37630000000001</v>
      </c>
    </row>
    <row r="1948" spans="1:27" x14ac:dyDescent="0.3">
      <c r="A1948" t="s">
        <v>3755</v>
      </c>
      <c r="B1948" s="2">
        <v>45607</v>
      </c>
      <c r="C1948" t="s">
        <v>1162</v>
      </c>
      <c r="D1948" t="s">
        <v>1548</v>
      </c>
      <c r="E1948" t="s">
        <v>1780</v>
      </c>
      <c r="F1948" s="4">
        <v>4</v>
      </c>
      <c r="G1948">
        <v>243.13</v>
      </c>
      <c r="H1948">
        <v>0.25</v>
      </c>
      <c r="I1948" t="s">
        <v>1812</v>
      </c>
      <c r="J1948">
        <v>729.39</v>
      </c>
      <c r="K1948" t="s">
        <v>1163</v>
      </c>
      <c r="L1948">
        <v>39</v>
      </c>
      <c r="M1948" t="str">
        <v>Female</v>
      </c>
      <c r="N1948" t="str">
        <f>VLOOKUP(C:C,Customer_Dim!B:I,5,1)</f>
        <v>Chambersberg</v>
      </c>
      <c r="O1948" t="str">
        <f>VLOOKUP(C:C,Customer_Dim!B:I,6,1)</f>
        <v>Connecticut</v>
      </c>
      <c r="P1948" t="str">
        <f>VLOOKUP(C:C,Customer_Dim!B:I,7,1)</f>
        <v>USA</v>
      </c>
      <c r="Q1948" t="str">
        <f>VLOOKUP(C:C,Customer_Dim!B:I,8,1)</f>
        <v>Bronze</v>
      </c>
      <c r="S1948">
        <v>4</v>
      </c>
      <c r="T1948">
        <v>243.13</v>
      </c>
      <c r="U1948">
        <v>0.25</v>
      </c>
      <c r="V1948">
        <v>729.39</v>
      </c>
      <c r="X1948" s="4">
        <v>4</v>
      </c>
      <c r="Y1948">
        <v>243.13</v>
      </c>
      <c r="Z1948">
        <v>0.25</v>
      </c>
      <c r="AA1948">
        <v>729.39</v>
      </c>
    </row>
    <row r="1949" spans="1:27" x14ac:dyDescent="0.3">
      <c r="A1949" t="s">
        <v>3756</v>
      </c>
      <c r="B1949" s="2">
        <v>45614</v>
      </c>
      <c r="C1949" t="s">
        <v>731</v>
      </c>
      <c r="D1949" t="s">
        <v>1649</v>
      </c>
      <c r="E1949" t="s">
        <v>1775</v>
      </c>
      <c r="F1949" s="4">
        <v>2</v>
      </c>
      <c r="G1949">
        <v>410.63</v>
      </c>
      <c r="H1949">
        <v>0.28000000000000003</v>
      </c>
      <c r="I1949" t="s">
        <v>1812</v>
      </c>
      <c r="J1949">
        <v>591.30719999999997</v>
      </c>
      <c r="K1949" t="s">
        <v>732</v>
      </c>
      <c r="L1949">
        <v>29</v>
      </c>
      <c r="M1949" t="str">
        <v>Male</v>
      </c>
      <c r="N1949" t="str">
        <f>VLOOKUP(C:C,Customer_Dim!B:I,5,1)</f>
        <v>Port Lisashire</v>
      </c>
      <c r="O1949" t="str">
        <f>VLOOKUP(C:C,Customer_Dim!B:I,6,1)</f>
        <v>Maryland</v>
      </c>
      <c r="P1949" t="str">
        <f>VLOOKUP(C:C,Customer_Dim!B:I,7,1)</f>
        <v>USA</v>
      </c>
      <c r="Q1949" t="str">
        <f>VLOOKUP(C:C,Customer_Dim!B:I,8,1)</f>
        <v>Bronze</v>
      </c>
      <c r="S1949">
        <v>2</v>
      </c>
      <c r="T1949">
        <v>410.63</v>
      </c>
      <c r="U1949">
        <v>0.28000000000000003</v>
      </c>
      <c r="V1949">
        <v>591.30719999999997</v>
      </c>
      <c r="X1949" s="4">
        <v>2</v>
      </c>
      <c r="Y1949">
        <v>410.63</v>
      </c>
      <c r="Z1949">
        <v>0.28000000000000003</v>
      </c>
      <c r="AA1949">
        <v>591.30719999999997</v>
      </c>
    </row>
    <row r="1950" spans="1:27" x14ac:dyDescent="0.3">
      <c r="A1950" t="s">
        <v>3757</v>
      </c>
      <c r="B1950" s="2">
        <v>45293</v>
      </c>
      <c r="C1950" t="s">
        <v>1303</v>
      </c>
      <c r="D1950" t="s">
        <v>1719</v>
      </c>
      <c r="E1950" t="s">
        <v>1772</v>
      </c>
      <c r="F1950" s="4">
        <v>4</v>
      </c>
      <c r="G1950">
        <v>101.25</v>
      </c>
      <c r="H1950">
        <v>0.16</v>
      </c>
      <c r="I1950" t="s">
        <v>1809</v>
      </c>
      <c r="J1950">
        <v>340.2</v>
      </c>
      <c r="K1950" t="s">
        <v>1304</v>
      </c>
      <c r="L1950">
        <v>28</v>
      </c>
      <c r="M1950" t="str">
        <v>Male</v>
      </c>
      <c r="N1950" t="str">
        <f>VLOOKUP(C:C,Customer_Dim!B:I,5,1)</f>
        <v>Lake Monique</v>
      </c>
      <c r="O1950" t="str">
        <f>VLOOKUP(C:C,Customer_Dim!B:I,6,1)</f>
        <v>Utah</v>
      </c>
      <c r="P1950" t="str">
        <f>VLOOKUP(C:C,Customer_Dim!B:I,7,1)</f>
        <v>USA</v>
      </c>
      <c r="Q1950" t="str">
        <f>VLOOKUP(C:C,Customer_Dim!B:I,8,1)</f>
        <v>Bronze</v>
      </c>
      <c r="S1950">
        <v>4</v>
      </c>
      <c r="T1950">
        <v>101.25</v>
      </c>
      <c r="U1950">
        <v>0.16</v>
      </c>
      <c r="V1950">
        <v>340.2</v>
      </c>
      <c r="X1950" s="4">
        <v>4</v>
      </c>
      <c r="Y1950">
        <v>101.25</v>
      </c>
      <c r="Z1950">
        <v>0.16</v>
      </c>
      <c r="AA1950">
        <v>340.2</v>
      </c>
    </row>
    <row r="1951" spans="1:27" x14ac:dyDescent="0.3">
      <c r="A1951" t="s">
        <v>3758</v>
      </c>
      <c r="B1951" s="2">
        <v>45301</v>
      </c>
      <c r="C1951" t="s">
        <v>724</v>
      </c>
      <c r="D1951" t="s">
        <v>1543</v>
      </c>
      <c r="E1951" t="s">
        <v>1790</v>
      </c>
      <c r="F1951" s="4">
        <v>4</v>
      </c>
      <c r="G1951">
        <v>716.39</v>
      </c>
      <c r="H1951">
        <v>0.03</v>
      </c>
      <c r="I1951" t="s">
        <v>1809</v>
      </c>
      <c r="J1951">
        <v>2779.5931999999998</v>
      </c>
      <c r="K1951" t="s">
        <v>725</v>
      </c>
      <c r="L1951">
        <v>63</v>
      </c>
      <c r="M1951" t="str">
        <v>Female</v>
      </c>
      <c r="N1951" t="str">
        <f>VLOOKUP(C:C,Customer_Dim!B:I,5,1)</f>
        <v>Morrisbury</v>
      </c>
      <c r="O1951" t="str">
        <f>VLOOKUP(C:C,Customer_Dim!B:I,6,1)</f>
        <v>Alaska</v>
      </c>
      <c r="P1951" t="str">
        <f>VLOOKUP(C:C,Customer_Dim!B:I,7,1)</f>
        <v>USA</v>
      </c>
      <c r="Q1951" t="str">
        <f>VLOOKUP(C:C,Customer_Dim!B:I,8,1)</f>
        <v>Gold</v>
      </c>
      <c r="S1951">
        <v>4</v>
      </c>
      <c r="T1951">
        <v>716.39</v>
      </c>
      <c r="U1951">
        <v>0.03</v>
      </c>
      <c r="V1951">
        <v>2779.5931999999998</v>
      </c>
      <c r="X1951" s="4">
        <v>4</v>
      </c>
      <c r="Y1951">
        <v>716.39</v>
      </c>
      <c r="Z1951">
        <v>0.03</v>
      </c>
      <c r="AA1951">
        <v>2779.5931999999998</v>
      </c>
    </row>
    <row r="1952" spans="1:27" x14ac:dyDescent="0.3">
      <c r="A1952" t="s">
        <v>3759</v>
      </c>
      <c r="B1952" s="2">
        <v>45311</v>
      </c>
      <c r="C1952" t="s">
        <v>333</v>
      </c>
      <c r="D1952" t="s">
        <v>1677</v>
      </c>
      <c r="E1952" t="s">
        <v>1740</v>
      </c>
      <c r="F1952" s="4">
        <v>1</v>
      </c>
      <c r="G1952">
        <v>721.74</v>
      </c>
      <c r="H1952">
        <v>0.24</v>
      </c>
      <c r="I1952" t="s">
        <v>1809</v>
      </c>
      <c r="J1952">
        <v>548.52240000000006</v>
      </c>
      <c r="K1952" t="s">
        <v>334</v>
      </c>
      <c r="L1952">
        <v>62</v>
      </c>
      <c r="M1952" t="str">
        <v>Female</v>
      </c>
      <c r="N1952" t="str">
        <f>VLOOKUP(C:C,Customer_Dim!B:I,5,1)</f>
        <v>New Amyport</v>
      </c>
      <c r="O1952" t="str">
        <f>VLOOKUP(C:C,Customer_Dim!B:I,6,1)</f>
        <v>Nevada</v>
      </c>
      <c r="P1952" t="str">
        <f>VLOOKUP(C:C,Customer_Dim!B:I,7,1)</f>
        <v>USA</v>
      </c>
      <c r="Q1952" t="str">
        <f>VLOOKUP(C:C,Customer_Dim!B:I,8,1)</f>
        <v>Gold</v>
      </c>
      <c r="S1952">
        <v>1</v>
      </c>
      <c r="T1952">
        <v>721.74</v>
      </c>
      <c r="U1952">
        <v>0.24</v>
      </c>
      <c r="V1952">
        <v>548.52240000000006</v>
      </c>
      <c r="X1952" s="4">
        <v>1</v>
      </c>
      <c r="Y1952">
        <v>721.74</v>
      </c>
      <c r="Z1952">
        <v>0.24</v>
      </c>
      <c r="AA1952">
        <v>548.52240000000006</v>
      </c>
    </row>
    <row r="1953" spans="1:27" x14ac:dyDescent="0.3">
      <c r="A1953" t="s">
        <v>3760</v>
      </c>
      <c r="B1953" s="2">
        <v>45702</v>
      </c>
      <c r="C1953" t="s">
        <v>202</v>
      </c>
      <c r="D1953" t="s">
        <v>1655</v>
      </c>
      <c r="E1953" t="s">
        <v>1775</v>
      </c>
      <c r="F1953" s="4">
        <v>2</v>
      </c>
      <c r="G1953">
        <v>527.91</v>
      </c>
      <c r="H1953">
        <v>0.02</v>
      </c>
      <c r="I1953" t="s">
        <v>1807</v>
      </c>
      <c r="J1953">
        <v>1034.7036000000001</v>
      </c>
      <c r="K1953" t="s">
        <v>203</v>
      </c>
      <c r="L1953">
        <v>56</v>
      </c>
      <c r="M1953" t="str">
        <v>Female</v>
      </c>
      <c r="N1953" t="str">
        <f>VLOOKUP(C:C,Customer_Dim!B:I,5,1)</f>
        <v>Christopherland</v>
      </c>
      <c r="O1953" t="str">
        <f>VLOOKUP(C:C,Customer_Dim!B:I,6,1)</f>
        <v>Oklahoma</v>
      </c>
      <c r="P1953" t="str">
        <f>VLOOKUP(C:C,Customer_Dim!B:I,7,1)</f>
        <v>USA</v>
      </c>
      <c r="Q1953" t="str">
        <f>VLOOKUP(C:C,Customer_Dim!B:I,8,1)</f>
        <v>Platinum</v>
      </c>
      <c r="S1953">
        <v>2</v>
      </c>
      <c r="T1953">
        <v>527.91</v>
      </c>
      <c r="U1953">
        <v>0.02</v>
      </c>
      <c r="V1953">
        <v>1034.7036000000001</v>
      </c>
      <c r="X1953" s="4">
        <v>2</v>
      </c>
      <c r="Y1953">
        <v>527.91</v>
      </c>
      <c r="Z1953">
        <v>0.02</v>
      </c>
      <c r="AA1953">
        <v>1034.7036000000001</v>
      </c>
    </row>
    <row r="1954" spans="1:27" x14ac:dyDescent="0.3">
      <c r="A1954" t="s">
        <v>3761</v>
      </c>
      <c r="B1954" s="2">
        <v>45525</v>
      </c>
      <c r="C1954" t="s">
        <v>995</v>
      </c>
      <c r="D1954" t="s">
        <v>1635</v>
      </c>
      <c r="E1954" t="s">
        <v>1780</v>
      </c>
      <c r="F1954" s="4">
        <v>2</v>
      </c>
      <c r="G1954">
        <v>945.92</v>
      </c>
      <c r="H1954">
        <v>0.19</v>
      </c>
      <c r="I1954" t="s">
        <v>1812</v>
      </c>
      <c r="J1954">
        <v>1532.3904</v>
      </c>
      <c r="K1954" t="s">
        <v>996</v>
      </c>
      <c r="L1954">
        <v>34</v>
      </c>
      <c r="M1954" t="str">
        <v>Female</v>
      </c>
      <c r="N1954" t="str">
        <f>VLOOKUP(C:C,Customer_Dim!B:I,5,1)</f>
        <v>West Mathewside</v>
      </c>
      <c r="O1954" t="str">
        <f>VLOOKUP(C:C,Customer_Dim!B:I,6,1)</f>
        <v>Mississippi</v>
      </c>
      <c r="P1954" t="str">
        <f>VLOOKUP(C:C,Customer_Dim!B:I,7,1)</f>
        <v>USA</v>
      </c>
      <c r="Q1954" t="str">
        <f>VLOOKUP(C:C,Customer_Dim!B:I,8,1)</f>
        <v>Platinum</v>
      </c>
      <c r="S1954">
        <v>2</v>
      </c>
      <c r="T1954">
        <v>945.92</v>
      </c>
      <c r="U1954">
        <v>0.19</v>
      </c>
      <c r="V1954">
        <v>1532.3904</v>
      </c>
      <c r="X1954" s="4">
        <v>2</v>
      </c>
      <c r="Y1954">
        <v>945.92</v>
      </c>
      <c r="Z1954">
        <v>0.19</v>
      </c>
      <c r="AA1954">
        <v>1532.3904</v>
      </c>
    </row>
    <row r="1955" spans="1:27" x14ac:dyDescent="0.3">
      <c r="A1955" t="s">
        <v>3762</v>
      </c>
      <c r="B1955" s="2">
        <v>45780</v>
      </c>
      <c r="C1955" t="s">
        <v>292</v>
      </c>
      <c r="D1955" t="s">
        <v>1643</v>
      </c>
      <c r="E1955" t="s">
        <v>1790</v>
      </c>
      <c r="F1955" s="4">
        <v>2</v>
      </c>
      <c r="G1955">
        <v>981.35</v>
      </c>
      <c r="H1955">
        <v>0.16</v>
      </c>
      <c r="I1955" t="s">
        <v>1809</v>
      </c>
      <c r="J1955">
        <v>1648.6679999999999</v>
      </c>
      <c r="K1955" t="s">
        <v>293</v>
      </c>
      <c r="L1955">
        <v>53</v>
      </c>
      <c r="M1955" t="str">
        <v>Male</v>
      </c>
      <c r="N1955" t="str">
        <f>VLOOKUP(C:C,Customer_Dim!B:I,5,1)</f>
        <v>South David</v>
      </c>
      <c r="O1955" t="str">
        <f>VLOOKUP(C:C,Customer_Dim!B:I,6,1)</f>
        <v>Arizona</v>
      </c>
      <c r="P1955" t="str">
        <f>VLOOKUP(C:C,Customer_Dim!B:I,7,1)</f>
        <v>USA</v>
      </c>
      <c r="Q1955" t="str">
        <f>VLOOKUP(C:C,Customer_Dim!B:I,8,1)</f>
        <v>Platinum</v>
      </c>
      <c r="S1955">
        <v>2</v>
      </c>
      <c r="T1955">
        <v>981.35</v>
      </c>
      <c r="U1955">
        <v>0.16</v>
      </c>
      <c r="V1955">
        <v>1648.6679999999999</v>
      </c>
      <c r="X1955" s="4">
        <v>2</v>
      </c>
      <c r="Y1955">
        <v>981.35</v>
      </c>
      <c r="Z1955">
        <v>0.16</v>
      </c>
      <c r="AA1955">
        <v>1648.6679999999999</v>
      </c>
    </row>
    <row r="1956" spans="1:27" x14ac:dyDescent="0.3">
      <c r="A1956" t="s">
        <v>3763</v>
      </c>
      <c r="B1956" s="2">
        <v>45819</v>
      </c>
      <c r="C1956" t="s">
        <v>716</v>
      </c>
      <c r="D1956" t="s">
        <v>1649</v>
      </c>
      <c r="E1956" t="s">
        <v>1749</v>
      </c>
      <c r="F1956" s="4">
        <v>1</v>
      </c>
      <c r="G1956">
        <v>913.99</v>
      </c>
      <c r="H1956">
        <v>0.14000000000000001</v>
      </c>
      <c r="I1956" t="s">
        <v>1807</v>
      </c>
      <c r="J1956">
        <v>786.03139999999996</v>
      </c>
      <c r="K1956" t="s">
        <v>717</v>
      </c>
      <c r="L1956">
        <v>29</v>
      </c>
      <c r="M1956" t="str">
        <v>Male</v>
      </c>
      <c r="N1956" t="str">
        <f>VLOOKUP(C:C,Customer_Dim!B:I,5,1)</f>
        <v>East Jeremy</v>
      </c>
      <c r="O1956" t="str">
        <f>VLOOKUP(C:C,Customer_Dim!B:I,6,1)</f>
        <v>Iowa</v>
      </c>
      <c r="P1956" t="str">
        <f>VLOOKUP(C:C,Customer_Dim!B:I,7,1)</f>
        <v>USA</v>
      </c>
      <c r="Q1956" t="str">
        <f>VLOOKUP(C:C,Customer_Dim!B:I,8,1)</f>
        <v>Platinum</v>
      </c>
      <c r="S1956">
        <v>1</v>
      </c>
      <c r="T1956">
        <v>913.99</v>
      </c>
      <c r="U1956">
        <v>0.14000000000000001</v>
      </c>
      <c r="V1956">
        <v>786.03139999999996</v>
      </c>
      <c r="X1956" s="4">
        <v>1</v>
      </c>
      <c r="Y1956">
        <v>913.99</v>
      </c>
      <c r="Z1956">
        <v>0.14000000000000001</v>
      </c>
      <c r="AA1956">
        <v>786.03139999999996</v>
      </c>
    </row>
    <row r="1957" spans="1:27" x14ac:dyDescent="0.3">
      <c r="A1957" t="s">
        <v>3764</v>
      </c>
      <c r="B1957" s="2">
        <v>45863</v>
      </c>
      <c r="C1957" t="s">
        <v>55</v>
      </c>
      <c r="D1957" t="s">
        <v>1663</v>
      </c>
      <c r="E1957" t="s">
        <v>1765</v>
      </c>
      <c r="F1957" s="4">
        <v>4</v>
      </c>
      <c r="G1957">
        <v>270.69</v>
      </c>
      <c r="H1957">
        <v>0.18</v>
      </c>
      <c r="I1957" t="s">
        <v>1809</v>
      </c>
      <c r="J1957">
        <v>887.86320000000001</v>
      </c>
      <c r="K1957" t="s">
        <v>56</v>
      </c>
      <c r="L1957">
        <v>55</v>
      </c>
      <c r="M1957" t="str">
        <v>Female</v>
      </c>
      <c r="N1957" t="str">
        <f>VLOOKUP(C:C,Customer_Dim!B:I,5,1)</f>
        <v>East Krista</v>
      </c>
      <c r="O1957" t="str">
        <f>VLOOKUP(C:C,Customer_Dim!B:I,6,1)</f>
        <v>New York</v>
      </c>
      <c r="P1957" t="str">
        <f>VLOOKUP(C:C,Customer_Dim!B:I,7,1)</f>
        <v>USA</v>
      </c>
      <c r="Q1957" t="str">
        <f>VLOOKUP(C:C,Customer_Dim!B:I,8,1)</f>
        <v>Gold</v>
      </c>
      <c r="S1957">
        <v>4</v>
      </c>
      <c r="T1957">
        <v>270.69</v>
      </c>
      <c r="U1957">
        <v>0.18</v>
      </c>
      <c r="V1957">
        <v>887.86320000000001</v>
      </c>
      <c r="X1957" s="4">
        <v>4</v>
      </c>
      <c r="Y1957">
        <v>270.69</v>
      </c>
      <c r="Z1957">
        <v>0.18</v>
      </c>
      <c r="AA1957">
        <v>887.86320000000001</v>
      </c>
    </row>
    <row r="1958" spans="1:27" x14ac:dyDescent="0.3">
      <c r="A1958" t="s">
        <v>3765</v>
      </c>
      <c r="B1958" s="2">
        <v>45687</v>
      </c>
      <c r="C1958" t="s">
        <v>533</v>
      </c>
      <c r="D1958" t="s">
        <v>1685</v>
      </c>
      <c r="E1958" t="s">
        <v>1759</v>
      </c>
      <c r="F1958" s="4">
        <v>3</v>
      </c>
      <c r="G1958">
        <v>998.58</v>
      </c>
      <c r="H1958">
        <v>0.02</v>
      </c>
      <c r="I1958" t="s">
        <v>1807</v>
      </c>
      <c r="J1958">
        <v>2935.8252000000002</v>
      </c>
      <c r="K1958" t="s">
        <v>534</v>
      </c>
      <c r="L1958">
        <v>37</v>
      </c>
      <c r="M1958" t="str">
        <v>Male</v>
      </c>
      <c r="N1958" t="str">
        <f>VLOOKUP(C:C,Customer_Dim!B:I,5,1)</f>
        <v>Hessmouth</v>
      </c>
      <c r="O1958" t="str">
        <f>VLOOKUP(C:C,Customer_Dim!B:I,6,1)</f>
        <v>Arizona</v>
      </c>
      <c r="P1958" t="str">
        <f>VLOOKUP(C:C,Customer_Dim!B:I,7,1)</f>
        <v>USA</v>
      </c>
      <c r="Q1958" t="str">
        <f>VLOOKUP(C:C,Customer_Dim!B:I,8,1)</f>
        <v>Silver</v>
      </c>
      <c r="S1958">
        <v>3</v>
      </c>
      <c r="T1958">
        <v>998.58</v>
      </c>
      <c r="U1958">
        <v>0.02</v>
      </c>
      <c r="V1958">
        <v>2935.8252000000002</v>
      </c>
      <c r="X1958" s="4">
        <v>3</v>
      </c>
      <c r="Y1958">
        <v>998.58</v>
      </c>
      <c r="Z1958">
        <v>0.02</v>
      </c>
      <c r="AA1958">
        <v>2935.8252000000002</v>
      </c>
    </row>
    <row r="1959" spans="1:27" x14ac:dyDescent="0.3">
      <c r="A1959" t="s">
        <v>3766</v>
      </c>
      <c r="B1959" s="2">
        <v>45806</v>
      </c>
      <c r="C1959" t="s">
        <v>1392</v>
      </c>
      <c r="D1959" t="s">
        <v>1605</v>
      </c>
      <c r="E1959" t="s">
        <v>1769</v>
      </c>
      <c r="F1959" s="4">
        <v>3</v>
      </c>
      <c r="G1959">
        <v>765.12</v>
      </c>
      <c r="H1959">
        <v>0.18</v>
      </c>
      <c r="I1959" t="s">
        <v>1807</v>
      </c>
      <c r="J1959">
        <v>1882.1952000000001</v>
      </c>
      <c r="K1959" t="s">
        <v>1393</v>
      </c>
      <c r="L1959">
        <v>59</v>
      </c>
      <c r="M1959" t="str">
        <v>Male</v>
      </c>
      <c r="N1959" t="str">
        <f>VLOOKUP(C:C,Customer_Dim!B:I,5,1)</f>
        <v>South Barbara</v>
      </c>
      <c r="O1959" t="str">
        <f>VLOOKUP(C:C,Customer_Dim!B:I,6,1)</f>
        <v>Arkansas</v>
      </c>
      <c r="P1959" t="str">
        <f>VLOOKUP(C:C,Customer_Dim!B:I,7,1)</f>
        <v>USA</v>
      </c>
      <c r="Q1959" t="str">
        <f>VLOOKUP(C:C,Customer_Dim!B:I,8,1)</f>
        <v>Gold</v>
      </c>
      <c r="S1959">
        <v>3</v>
      </c>
      <c r="T1959">
        <v>765.12</v>
      </c>
      <c r="U1959">
        <v>0.18</v>
      </c>
      <c r="V1959">
        <v>1882.1952000000001</v>
      </c>
      <c r="X1959" s="4">
        <v>3</v>
      </c>
      <c r="Y1959">
        <v>765.12</v>
      </c>
      <c r="Z1959">
        <v>0.18</v>
      </c>
      <c r="AA1959">
        <v>1882.1952000000001</v>
      </c>
    </row>
    <row r="1960" spans="1:27" x14ac:dyDescent="0.3">
      <c r="A1960" t="s">
        <v>3767</v>
      </c>
      <c r="B1960" s="2">
        <v>45216</v>
      </c>
      <c r="C1960" t="s">
        <v>261</v>
      </c>
      <c r="D1960" t="s">
        <v>1659</v>
      </c>
      <c r="E1960" t="s">
        <v>1796</v>
      </c>
      <c r="F1960" s="4">
        <v>3</v>
      </c>
      <c r="G1960">
        <v>449.99</v>
      </c>
      <c r="H1960">
        <v>0.17</v>
      </c>
      <c r="I1960" t="s">
        <v>1812</v>
      </c>
      <c r="J1960">
        <v>1120.4751000000001</v>
      </c>
      <c r="K1960" t="s">
        <v>262</v>
      </c>
      <c r="L1960">
        <v>56</v>
      </c>
      <c r="M1960" t="str">
        <v>Female</v>
      </c>
      <c r="N1960" t="str">
        <f>VLOOKUP(C:C,Customer_Dim!B:I,5,1)</f>
        <v>Olsonhaven</v>
      </c>
      <c r="O1960" t="str">
        <f>VLOOKUP(C:C,Customer_Dim!B:I,6,1)</f>
        <v>Iowa</v>
      </c>
      <c r="P1960" t="str">
        <f>VLOOKUP(C:C,Customer_Dim!B:I,7,1)</f>
        <v>USA</v>
      </c>
      <c r="Q1960" t="str">
        <f>VLOOKUP(C:C,Customer_Dim!B:I,8,1)</f>
        <v>Gold</v>
      </c>
      <c r="S1960">
        <v>3</v>
      </c>
      <c r="T1960">
        <v>449.99</v>
      </c>
      <c r="U1960">
        <v>0.17</v>
      </c>
      <c r="V1960">
        <v>1120.4751000000001</v>
      </c>
      <c r="X1960" s="4">
        <v>3</v>
      </c>
      <c r="Y1960">
        <v>449.99</v>
      </c>
      <c r="Z1960">
        <v>0.17</v>
      </c>
      <c r="AA1960">
        <v>1120.4751000000001</v>
      </c>
    </row>
    <row r="1961" spans="1:27" x14ac:dyDescent="0.3">
      <c r="A1961" t="s">
        <v>3768</v>
      </c>
      <c r="B1961" s="2">
        <v>45639</v>
      </c>
      <c r="C1961" t="s">
        <v>800</v>
      </c>
      <c r="D1961" t="s">
        <v>1617</v>
      </c>
      <c r="E1961" t="s">
        <v>1775</v>
      </c>
      <c r="F1961" s="4">
        <v>2</v>
      </c>
      <c r="G1961">
        <v>249.02</v>
      </c>
      <c r="H1961">
        <v>0.01</v>
      </c>
      <c r="I1961" t="s">
        <v>1812</v>
      </c>
      <c r="J1961">
        <v>493.05959999999999</v>
      </c>
      <c r="K1961" t="s">
        <v>801</v>
      </c>
      <c r="L1961">
        <v>32</v>
      </c>
      <c r="M1961" t="str">
        <v>Male</v>
      </c>
      <c r="N1961" t="str">
        <f>VLOOKUP(C:C,Customer_Dim!B:I,5,1)</f>
        <v>Robinborough</v>
      </c>
      <c r="O1961" t="str">
        <f>VLOOKUP(C:C,Customer_Dim!B:I,6,1)</f>
        <v>South Dakota</v>
      </c>
      <c r="P1961" t="str">
        <f>VLOOKUP(C:C,Customer_Dim!B:I,7,1)</f>
        <v>USA</v>
      </c>
      <c r="Q1961" t="str">
        <f>VLOOKUP(C:C,Customer_Dim!B:I,8,1)</f>
        <v>Silver</v>
      </c>
      <c r="S1961">
        <v>2</v>
      </c>
      <c r="T1961">
        <v>249.02</v>
      </c>
      <c r="U1961">
        <v>0.01</v>
      </c>
      <c r="V1961">
        <v>493.05959999999999</v>
      </c>
      <c r="X1961" s="4">
        <v>2</v>
      </c>
      <c r="Y1961">
        <v>249.02</v>
      </c>
      <c r="Z1961">
        <v>0.01</v>
      </c>
      <c r="AA1961">
        <v>493.05959999999999</v>
      </c>
    </row>
    <row r="1962" spans="1:27" x14ac:dyDescent="0.3">
      <c r="A1962" t="s">
        <v>3769</v>
      </c>
      <c r="B1962" s="2">
        <v>45454</v>
      </c>
      <c r="C1962" t="s">
        <v>462</v>
      </c>
      <c r="D1962" t="s">
        <v>1645</v>
      </c>
      <c r="E1962" t="s">
        <v>1796</v>
      </c>
      <c r="F1962" s="4">
        <v>3</v>
      </c>
      <c r="G1962">
        <v>223.64</v>
      </c>
      <c r="H1962">
        <v>0.05</v>
      </c>
      <c r="I1962" t="s">
        <v>1807</v>
      </c>
      <c r="J1962">
        <v>637.37399999999991</v>
      </c>
      <c r="K1962" t="s">
        <v>463</v>
      </c>
      <c r="L1962">
        <v>43</v>
      </c>
      <c r="M1962" t="str">
        <v>Male</v>
      </c>
      <c r="N1962" t="str">
        <f>VLOOKUP(C:C,Customer_Dim!B:I,5,1)</f>
        <v>North Johnbury</v>
      </c>
      <c r="O1962" t="str">
        <f>VLOOKUP(C:C,Customer_Dim!B:I,6,1)</f>
        <v>Ohio</v>
      </c>
      <c r="P1962" t="str">
        <f>VLOOKUP(C:C,Customer_Dim!B:I,7,1)</f>
        <v>USA</v>
      </c>
      <c r="Q1962" t="str">
        <f>VLOOKUP(C:C,Customer_Dim!B:I,8,1)</f>
        <v>Platinum</v>
      </c>
      <c r="S1962">
        <v>3</v>
      </c>
      <c r="T1962">
        <v>223.64</v>
      </c>
      <c r="U1962">
        <v>0.05</v>
      </c>
      <c r="V1962">
        <v>637.37399999999991</v>
      </c>
      <c r="X1962" s="4">
        <v>3</v>
      </c>
      <c r="Y1962">
        <v>223.64</v>
      </c>
      <c r="Z1962">
        <v>0.05</v>
      </c>
      <c r="AA1962">
        <v>637.37399999999991</v>
      </c>
    </row>
    <row r="1963" spans="1:27" x14ac:dyDescent="0.3">
      <c r="A1963" t="s">
        <v>3770</v>
      </c>
      <c r="B1963" s="2">
        <v>45934</v>
      </c>
      <c r="C1963" t="s">
        <v>370</v>
      </c>
      <c r="D1963" t="s">
        <v>1579</v>
      </c>
      <c r="E1963" t="s">
        <v>1752</v>
      </c>
      <c r="F1963" s="4">
        <v>2</v>
      </c>
      <c r="G1963">
        <v>92.94</v>
      </c>
      <c r="H1963">
        <v>0.12</v>
      </c>
      <c r="I1963" t="s">
        <v>1807</v>
      </c>
      <c r="J1963">
        <v>163.5744</v>
      </c>
      <c r="K1963" t="s">
        <v>371</v>
      </c>
      <c r="L1963">
        <v>62</v>
      </c>
      <c r="M1963" t="str">
        <v>Female</v>
      </c>
      <c r="N1963" t="str">
        <f>VLOOKUP(C:C,Customer_Dim!B:I,5,1)</f>
        <v>East Linda</v>
      </c>
      <c r="O1963" t="str">
        <f>VLOOKUP(C:C,Customer_Dim!B:I,6,1)</f>
        <v>Rhode Island</v>
      </c>
      <c r="P1963" t="str">
        <f>VLOOKUP(C:C,Customer_Dim!B:I,7,1)</f>
        <v>USA</v>
      </c>
      <c r="Q1963" t="str">
        <f>VLOOKUP(C:C,Customer_Dim!B:I,8,1)</f>
        <v>Bronze</v>
      </c>
      <c r="S1963">
        <v>2</v>
      </c>
      <c r="T1963">
        <v>92.94</v>
      </c>
      <c r="U1963">
        <v>0.12</v>
      </c>
      <c r="V1963">
        <v>163.5744</v>
      </c>
      <c r="X1963" s="4">
        <v>2</v>
      </c>
      <c r="Y1963">
        <v>92.94</v>
      </c>
      <c r="Z1963">
        <v>0.12</v>
      </c>
      <c r="AA1963">
        <v>163.5744</v>
      </c>
    </row>
    <row r="1964" spans="1:27" x14ac:dyDescent="0.3">
      <c r="A1964" t="s">
        <v>3771</v>
      </c>
      <c r="B1964" s="2">
        <v>45401</v>
      </c>
      <c r="C1964" t="s">
        <v>1118</v>
      </c>
      <c r="D1964" t="s">
        <v>1563</v>
      </c>
      <c r="E1964" t="s">
        <v>1744</v>
      </c>
      <c r="F1964" s="4">
        <v>4</v>
      </c>
      <c r="G1964">
        <v>268.3</v>
      </c>
      <c r="H1964">
        <v>0.02</v>
      </c>
      <c r="I1964" t="s">
        <v>1812</v>
      </c>
      <c r="J1964">
        <v>1051.7360000000001</v>
      </c>
      <c r="K1964" t="s">
        <v>1119</v>
      </c>
      <c r="L1964">
        <v>60</v>
      </c>
      <c r="M1964" t="str">
        <v>Male</v>
      </c>
      <c r="N1964" t="str">
        <f>VLOOKUP(C:C,Customer_Dim!B:I,5,1)</f>
        <v>New Jessechester</v>
      </c>
      <c r="O1964" t="str">
        <f>VLOOKUP(C:C,Customer_Dim!B:I,6,1)</f>
        <v>Indiana</v>
      </c>
      <c r="P1964" t="str">
        <f>VLOOKUP(C:C,Customer_Dim!B:I,7,1)</f>
        <v>USA</v>
      </c>
      <c r="Q1964" t="str">
        <f>VLOOKUP(C:C,Customer_Dim!B:I,8,1)</f>
        <v>Platinum</v>
      </c>
      <c r="S1964">
        <v>4</v>
      </c>
      <c r="T1964">
        <v>268.3</v>
      </c>
      <c r="U1964">
        <v>0.02</v>
      </c>
      <c r="V1964">
        <v>1051.7360000000001</v>
      </c>
      <c r="X1964" s="4">
        <v>4</v>
      </c>
      <c r="Y1964">
        <v>268.3</v>
      </c>
      <c r="Z1964">
        <v>0.02</v>
      </c>
      <c r="AA1964">
        <v>1051.7360000000001</v>
      </c>
    </row>
    <row r="1965" spans="1:27" x14ac:dyDescent="0.3">
      <c r="A1965" t="s">
        <v>3772</v>
      </c>
      <c r="B1965" s="2">
        <v>45770</v>
      </c>
      <c r="C1965" t="s">
        <v>1352</v>
      </c>
      <c r="D1965" t="s">
        <v>1649</v>
      </c>
      <c r="E1965" t="s">
        <v>1796</v>
      </c>
      <c r="F1965" s="4">
        <v>4</v>
      </c>
      <c r="G1965">
        <v>835.61</v>
      </c>
      <c r="H1965">
        <v>0.03</v>
      </c>
      <c r="I1965" t="s">
        <v>1807</v>
      </c>
      <c r="J1965">
        <v>3242.1668</v>
      </c>
      <c r="K1965" t="s">
        <v>1353</v>
      </c>
      <c r="L1965">
        <v>51</v>
      </c>
      <c r="M1965" t="str">
        <v>Male</v>
      </c>
      <c r="N1965" t="str">
        <f>VLOOKUP(C:C,Customer_Dim!B:I,5,1)</f>
        <v>North Maryfort</v>
      </c>
      <c r="O1965" t="str">
        <f>VLOOKUP(C:C,Customer_Dim!B:I,6,1)</f>
        <v>Oregon</v>
      </c>
      <c r="P1965" t="str">
        <f>VLOOKUP(C:C,Customer_Dim!B:I,7,1)</f>
        <v>USA</v>
      </c>
      <c r="Q1965" t="str">
        <f>VLOOKUP(C:C,Customer_Dim!B:I,8,1)</f>
        <v>Bronze</v>
      </c>
      <c r="S1965">
        <v>4</v>
      </c>
      <c r="T1965">
        <v>835.61</v>
      </c>
      <c r="U1965">
        <v>0.03</v>
      </c>
      <c r="V1965">
        <v>3242.1668</v>
      </c>
      <c r="X1965" s="4">
        <v>4</v>
      </c>
      <c r="Y1965">
        <v>835.61</v>
      </c>
      <c r="Z1965">
        <v>0.03</v>
      </c>
      <c r="AA1965">
        <v>3242.1668</v>
      </c>
    </row>
    <row r="1966" spans="1:27" x14ac:dyDescent="0.3">
      <c r="A1966" t="s">
        <v>3773</v>
      </c>
      <c r="B1966" s="2">
        <v>45405</v>
      </c>
      <c r="C1966" t="s">
        <v>1180</v>
      </c>
      <c r="D1966" t="s">
        <v>1667</v>
      </c>
      <c r="E1966" t="s">
        <v>1756</v>
      </c>
      <c r="F1966" s="4">
        <v>3</v>
      </c>
      <c r="G1966">
        <v>120.97</v>
      </c>
      <c r="H1966">
        <v>0.11</v>
      </c>
      <c r="I1966" t="s">
        <v>1807</v>
      </c>
      <c r="J1966">
        <v>322.98989999999998</v>
      </c>
      <c r="K1966" t="s">
        <v>1181</v>
      </c>
      <c r="L1966">
        <v>27</v>
      </c>
      <c r="M1966" t="str">
        <v>Female</v>
      </c>
      <c r="N1966" t="str">
        <f>VLOOKUP(C:C,Customer_Dim!B:I,5,1)</f>
        <v>Novakstad</v>
      </c>
      <c r="O1966" t="str">
        <f>VLOOKUP(C:C,Customer_Dim!B:I,6,1)</f>
        <v>California</v>
      </c>
      <c r="P1966" t="str">
        <f>VLOOKUP(C:C,Customer_Dim!B:I,7,1)</f>
        <v>USA</v>
      </c>
      <c r="Q1966" t="str">
        <f>VLOOKUP(C:C,Customer_Dim!B:I,8,1)</f>
        <v>Gold</v>
      </c>
      <c r="S1966">
        <v>3</v>
      </c>
      <c r="T1966">
        <v>120.97</v>
      </c>
      <c r="U1966">
        <v>0.11</v>
      </c>
      <c r="V1966">
        <v>322.98989999999998</v>
      </c>
      <c r="X1966" s="4">
        <v>3</v>
      </c>
      <c r="Y1966">
        <v>120.97</v>
      </c>
      <c r="Z1966">
        <v>0.11</v>
      </c>
      <c r="AA1966">
        <v>322.98989999999998</v>
      </c>
    </row>
    <row r="1967" spans="1:27" x14ac:dyDescent="0.3">
      <c r="A1967" t="s">
        <v>3774</v>
      </c>
      <c r="B1967" s="2">
        <v>45424</v>
      </c>
      <c r="C1967" t="s">
        <v>124</v>
      </c>
      <c r="D1967" t="s">
        <v>1611</v>
      </c>
      <c r="E1967" t="s">
        <v>1769</v>
      </c>
      <c r="F1967" s="4">
        <v>2</v>
      </c>
      <c r="G1967">
        <v>26.36</v>
      </c>
      <c r="H1967">
        <v>0.03</v>
      </c>
      <c r="I1967" t="s">
        <v>1812</v>
      </c>
      <c r="J1967">
        <v>51.138399999999997</v>
      </c>
      <c r="K1967" t="s">
        <v>125</v>
      </c>
      <c r="L1967">
        <v>41</v>
      </c>
      <c r="M1967" t="str">
        <v>Male</v>
      </c>
      <c r="N1967" t="str">
        <f>VLOOKUP(C:C,Customer_Dim!B:I,5,1)</f>
        <v>Amybury</v>
      </c>
      <c r="O1967" t="str">
        <f>VLOOKUP(C:C,Customer_Dim!B:I,6,1)</f>
        <v>Pennsylvania</v>
      </c>
      <c r="P1967" t="str">
        <f>VLOOKUP(C:C,Customer_Dim!B:I,7,1)</f>
        <v>USA</v>
      </c>
      <c r="Q1967" t="str">
        <f>VLOOKUP(C:C,Customer_Dim!B:I,8,1)</f>
        <v>Bronze</v>
      </c>
      <c r="S1967">
        <v>2</v>
      </c>
      <c r="T1967">
        <v>26.36</v>
      </c>
      <c r="U1967">
        <v>0.03</v>
      </c>
      <c r="V1967">
        <v>51.138399999999997</v>
      </c>
      <c r="X1967" s="4">
        <v>2</v>
      </c>
      <c r="Y1967">
        <v>26.36</v>
      </c>
      <c r="Z1967">
        <v>0.03</v>
      </c>
      <c r="AA1967">
        <v>51.138399999999997</v>
      </c>
    </row>
    <row r="1968" spans="1:27" x14ac:dyDescent="0.3">
      <c r="A1968" t="s">
        <v>3775</v>
      </c>
      <c r="B1968" s="2">
        <v>45881</v>
      </c>
      <c r="C1968" t="s">
        <v>134</v>
      </c>
      <c r="D1968" t="s">
        <v>1685</v>
      </c>
      <c r="E1968" t="s">
        <v>1759</v>
      </c>
      <c r="F1968" s="4">
        <v>1</v>
      </c>
      <c r="G1968">
        <v>918.87</v>
      </c>
      <c r="H1968">
        <v>0.11</v>
      </c>
      <c r="I1968" t="s">
        <v>1809</v>
      </c>
      <c r="J1968">
        <v>817.79430000000002</v>
      </c>
      <c r="K1968" t="s">
        <v>3935</v>
      </c>
      <c r="L1968">
        <v>27</v>
      </c>
      <c r="M1968" t="str">
        <v>Female</v>
      </c>
      <c r="N1968" t="str">
        <f>VLOOKUP(C:C,Customer_Dim!B:I,5,1)</f>
        <v>Tristanton</v>
      </c>
      <c r="O1968" t="str">
        <f>VLOOKUP(C:C,Customer_Dim!B:I,6,1)</f>
        <v>Oklahoma</v>
      </c>
      <c r="P1968" t="str">
        <f>VLOOKUP(C:C,Customer_Dim!B:I,7,1)</f>
        <v>USA</v>
      </c>
      <c r="Q1968" t="str">
        <f>VLOOKUP(C:C,Customer_Dim!B:I,8,1)</f>
        <v>Platinum</v>
      </c>
      <c r="S1968">
        <v>1</v>
      </c>
      <c r="T1968">
        <v>918.87</v>
      </c>
      <c r="U1968">
        <v>0.11</v>
      </c>
      <c r="V1968">
        <v>817.79430000000002</v>
      </c>
      <c r="X1968" s="4">
        <v>1</v>
      </c>
      <c r="Y1968">
        <v>918.87</v>
      </c>
      <c r="Z1968">
        <v>0.11</v>
      </c>
      <c r="AA1968">
        <v>817.79430000000002</v>
      </c>
    </row>
    <row r="1969" spans="1:27" x14ac:dyDescent="0.3">
      <c r="A1969" t="s">
        <v>3776</v>
      </c>
      <c r="B1969" s="2">
        <v>45794</v>
      </c>
      <c r="C1969" t="s">
        <v>127</v>
      </c>
      <c r="D1969" t="s">
        <v>1665</v>
      </c>
      <c r="E1969" t="s">
        <v>1775</v>
      </c>
      <c r="F1969" s="4">
        <v>2</v>
      </c>
      <c r="G1969">
        <v>924.73</v>
      </c>
      <c r="H1969">
        <v>0.28999999999999998</v>
      </c>
      <c r="I1969" t="s">
        <v>1809</v>
      </c>
      <c r="J1969">
        <v>1313.1166000000001</v>
      </c>
      <c r="K1969" t="s">
        <v>128</v>
      </c>
      <c r="L1969">
        <v>48</v>
      </c>
      <c r="M1969" t="str">
        <v>Female</v>
      </c>
      <c r="N1969" t="str">
        <f>VLOOKUP(C:C,Customer_Dim!B:I,5,1)</f>
        <v>Johnsonville</v>
      </c>
      <c r="O1969" t="str">
        <f>VLOOKUP(C:C,Customer_Dim!B:I,6,1)</f>
        <v>Oregon</v>
      </c>
      <c r="P1969" t="str">
        <f>VLOOKUP(C:C,Customer_Dim!B:I,7,1)</f>
        <v>USA</v>
      </c>
      <c r="Q1969" t="str">
        <f>VLOOKUP(C:C,Customer_Dim!B:I,8,1)</f>
        <v>Silver</v>
      </c>
      <c r="S1969">
        <v>2</v>
      </c>
      <c r="T1969">
        <v>924.73</v>
      </c>
      <c r="U1969">
        <v>0.28999999999999998</v>
      </c>
      <c r="V1969">
        <v>1313.1166000000001</v>
      </c>
      <c r="X1969" s="4">
        <v>2</v>
      </c>
      <c r="Y1969">
        <v>924.73</v>
      </c>
      <c r="Z1969">
        <v>0.28999999999999998</v>
      </c>
      <c r="AA1969">
        <v>1313.1166000000001</v>
      </c>
    </row>
    <row r="1970" spans="1:27" x14ac:dyDescent="0.3">
      <c r="A1970" t="s">
        <v>3777</v>
      </c>
      <c r="B1970" s="2">
        <v>45665</v>
      </c>
      <c r="C1970" t="s">
        <v>93</v>
      </c>
      <c r="D1970" t="s">
        <v>1555</v>
      </c>
      <c r="E1970" t="s">
        <v>1772</v>
      </c>
      <c r="F1970" s="4">
        <v>3</v>
      </c>
      <c r="G1970">
        <v>195.31</v>
      </c>
      <c r="H1970">
        <v>0.13</v>
      </c>
      <c r="I1970" t="s">
        <v>1812</v>
      </c>
      <c r="J1970">
        <v>509.75909999999999</v>
      </c>
      <c r="K1970" t="s">
        <v>94</v>
      </c>
      <c r="L1970">
        <v>33</v>
      </c>
      <c r="M1970" t="str">
        <v>Female</v>
      </c>
      <c r="N1970" t="str">
        <f>VLOOKUP(C:C,Customer_Dim!B:I,5,1)</f>
        <v>Smithburgh</v>
      </c>
      <c r="O1970" t="str">
        <f>VLOOKUP(C:C,Customer_Dim!B:I,6,1)</f>
        <v>Oklahoma</v>
      </c>
      <c r="P1970" t="str">
        <f>VLOOKUP(C:C,Customer_Dim!B:I,7,1)</f>
        <v>USA</v>
      </c>
      <c r="Q1970" t="str">
        <f>VLOOKUP(C:C,Customer_Dim!B:I,8,1)</f>
        <v>Gold</v>
      </c>
      <c r="S1970">
        <v>3</v>
      </c>
      <c r="T1970">
        <v>195.31</v>
      </c>
      <c r="U1970">
        <v>0.13</v>
      </c>
      <c r="V1970">
        <v>509.75909999999999</v>
      </c>
      <c r="X1970" s="4">
        <v>3</v>
      </c>
      <c r="Y1970">
        <v>195.31</v>
      </c>
      <c r="Z1970">
        <v>0.13</v>
      </c>
      <c r="AA1970">
        <v>509.75909999999999</v>
      </c>
    </row>
    <row r="1971" spans="1:27" x14ac:dyDescent="0.3">
      <c r="A1971" t="s">
        <v>3778</v>
      </c>
      <c r="B1971" s="2">
        <v>45793</v>
      </c>
      <c r="C1971" t="s">
        <v>476</v>
      </c>
      <c r="D1971" t="s">
        <v>1607</v>
      </c>
      <c r="E1971" t="s">
        <v>1765</v>
      </c>
      <c r="F1971" s="4">
        <v>1</v>
      </c>
      <c r="G1971">
        <v>91.38</v>
      </c>
      <c r="H1971">
        <v>0.14000000000000001</v>
      </c>
      <c r="I1971" t="s">
        <v>1807</v>
      </c>
      <c r="J1971">
        <v>78.586799999999997</v>
      </c>
      <c r="K1971" t="s">
        <v>477</v>
      </c>
      <c r="L1971">
        <v>46</v>
      </c>
      <c r="M1971" t="str">
        <v>Male</v>
      </c>
      <c r="N1971" t="str">
        <f>VLOOKUP(C:C,Customer_Dim!B:I,5,1)</f>
        <v>West Brandon</v>
      </c>
      <c r="O1971" t="str">
        <f>VLOOKUP(C:C,Customer_Dim!B:I,6,1)</f>
        <v>Montana</v>
      </c>
      <c r="P1971" t="str">
        <f>VLOOKUP(C:C,Customer_Dim!B:I,7,1)</f>
        <v>USA</v>
      </c>
      <c r="Q1971" t="str">
        <f>VLOOKUP(C:C,Customer_Dim!B:I,8,1)</f>
        <v>Bronze</v>
      </c>
      <c r="S1971">
        <v>1</v>
      </c>
      <c r="T1971">
        <v>91.38</v>
      </c>
      <c r="U1971">
        <v>0.14000000000000001</v>
      </c>
      <c r="V1971">
        <v>78.586799999999997</v>
      </c>
      <c r="X1971" s="4">
        <v>1</v>
      </c>
      <c r="Y1971">
        <v>91.38</v>
      </c>
      <c r="Z1971">
        <v>0.14000000000000001</v>
      </c>
      <c r="AA1971">
        <v>78.586799999999997</v>
      </c>
    </row>
    <row r="1972" spans="1:27" x14ac:dyDescent="0.3">
      <c r="A1972" t="s">
        <v>3779</v>
      </c>
      <c r="B1972" s="2">
        <v>45563</v>
      </c>
      <c r="C1972" t="s">
        <v>1470</v>
      </c>
      <c r="D1972" t="s">
        <v>1703</v>
      </c>
      <c r="E1972" t="s">
        <v>1775</v>
      </c>
      <c r="F1972" s="4">
        <v>2</v>
      </c>
      <c r="G1972">
        <v>494.35</v>
      </c>
      <c r="H1972">
        <v>0.1</v>
      </c>
      <c r="I1972" t="s">
        <v>1807</v>
      </c>
      <c r="J1972">
        <v>889.83</v>
      </c>
      <c r="K1972" t="s">
        <v>1259</v>
      </c>
      <c r="L1972">
        <v>32</v>
      </c>
      <c r="M1972" t="str">
        <v>Male</v>
      </c>
      <c r="N1972" t="str">
        <f>VLOOKUP(C:C,Customer_Dim!B:I,5,1)</f>
        <v>East Rodney</v>
      </c>
      <c r="O1972" t="str">
        <f>VLOOKUP(C:C,Customer_Dim!B:I,6,1)</f>
        <v>Nevada</v>
      </c>
      <c r="P1972" t="str">
        <f>VLOOKUP(C:C,Customer_Dim!B:I,7,1)</f>
        <v>USA</v>
      </c>
      <c r="Q1972" t="str">
        <f>VLOOKUP(C:C,Customer_Dim!B:I,8,1)</f>
        <v>Gold</v>
      </c>
      <c r="S1972">
        <v>2</v>
      </c>
      <c r="T1972">
        <v>494.35</v>
      </c>
      <c r="U1972">
        <v>0.1</v>
      </c>
      <c r="V1972">
        <v>889.83</v>
      </c>
      <c r="X1972" s="4">
        <v>2</v>
      </c>
      <c r="Y1972">
        <v>494.35</v>
      </c>
      <c r="Z1972">
        <v>0.1</v>
      </c>
      <c r="AA1972">
        <v>889.83</v>
      </c>
    </row>
    <row r="1973" spans="1:27" x14ac:dyDescent="0.3">
      <c r="A1973" t="s">
        <v>3780</v>
      </c>
      <c r="B1973" s="2">
        <v>45577</v>
      </c>
      <c r="C1973" t="s">
        <v>808</v>
      </c>
      <c r="D1973" t="s">
        <v>1579</v>
      </c>
      <c r="E1973" t="s">
        <v>1772</v>
      </c>
      <c r="F1973" s="4">
        <v>1</v>
      </c>
      <c r="G1973">
        <v>412.2</v>
      </c>
      <c r="H1973">
        <v>0.11</v>
      </c>
      <c r="I1973" t="s">
        <v>1807</v>
      </c>
      <c r="J1973">
        <v>366.858</v>
      </c>
      <c r="K1973" t="s">
        <v>809</v>
      </c>
      <c r="L1973">
        <v>57</v>
      </c>
      <c r="M1973" t="str">
        <v>Male</v>
      </c>
      <c r="N1973" t="str">
        <f>VLOOKUP(C:C,Customer_Dim!B:I,5,1)</f>
        <v>Jasonton</v>
      </c>
      <c r="O1973" t="str">
        <f>VLOOKUP(C:C,Customer_Dim!B:I,6,1)</f>
        <v>Ohio</v>
      </c>
      <c r="P1973" t="str">
        <f>VLOOKUP(C:C,Customer_Dim!B:I,7,1)</f>
        <v>USA</v>
      </c>
      <c r="Q1973" t="str">
        <f>VLOOKUP(C:C,Customer_Dim!B:I,8,1)</f>
        <v>Gold</v>
      </c>
      <c r="S1973">
        <v>1</v>
      </c>
      <c r="T1973">
        <v>412.2</v>
      </c>
      <c r="U1973">
        <v>0.11</v>
      </c>
      <c r="V1973">
        <v>366.858</v>
      </c>
      <c r="X1973" s="4">
        <v>1</v>
      </c>
      <c r="Y1973">
        <v>412.2</v>
      </c>
      <c r="Z1973">
        <v>0.11</v>
      </c>
      <c r="AA1973">
        <v>366.858</v>
      </c>
    </row>
    <row r="1974" spans="1:27" x14ac:dyDescent="0.3">
      <c r="A1974" t="s">
        <v>3781</v>
      </c>
      <c r="B1974" s="2">
        <v>45466</v>
      </c>
      <c r="C1974" t="s">
        <v>1216</v>
      </c>
      <c r="D1974" t="s">
        <v>1689</v>
      </c>
      <c r="E1974" t="s">
        <v>1787</v>
      </c>
      <c r="F1974" s="4">
        <v>1</v>
      </c>
      <c r="G1974">
        <v>650.47</v>
      </c>
      <c r="H1974">
        <v>0.13</v>
      </c>
      <c r="I1974" t="s">
        <v>1809</v>
      </c>
      <c r="J1974">
        <v>565.90890000000002</v>
      </c>
      <c r="K1974" t="s">
        <v>1217</v>
      </c>
      <c r="L1974">
        <v>50</v>
      </c>
      <c r="M1974" t="str">
        <v>Male</v>
      </c>
      <c r="N1974" t="str">
        <f>VLOOKUP(C:C,Customer_Dim!B:I,5,1)</f>
        <v>Cannonberg</v>
      </c>
      <c r="O1974" t="str">
        <f>VLOOKUP(C:C,Customer_Dim!B:I,6,1)</f>
        <v>Connecticut</v>
      </c>
      <c r="P1974" t="str">
        <f>VLOOKUP(C:C,Customer_Dim!B:I,7,1)</f>
        <v>USA</v>
      </c>
      <c r="Q1974" t="str">
        <f>VLOOKUP(C:C,Customer_Dim!B:I,8,1)</f>
        <v>Bronze</v>
      </c>
      <c r="S1974">
        <v>1</v>
      </c>
      <c r="T1974">
        <v>650.47</v>
      </c>
      <c r="U1974">
        <v>0.13</v>
      </c>
      <c r="V1974">
        <v>565.90890000000002</v>
      </c>
      <c r="X1974" s="4">
        <v>1</v>
      </c>
      <c r="Y1974">
        <v>650.47</v>
      </c>
      <c r="Z1974">
        <v>0.13</v>
      </c>
      <c r="AA1974">
        <v>565.90890000000002</v>
      </c>
    </row>
    <row r="1975" spans="1:27" x14ac:dyDescent="0.3">
      <c r="A1975" t="s">
        <v>3782</v>
      </c>
      <c r="B1975" s="2">
        <v>45256</v>
      </c>
      <c r="C1975" t="s">
        <v>515</v>
      </c>
      <c r="D1975" t="s">
        <v>1559</v>
      </c>
      <c r="E1975" t="s">
        <v>1777</v>
      </c>
      <c r="F1975" s="4">
        <v>1</v>
      </c>
      <c r="G1975">
        <v>68.209999999999994</v>
      </c>
      <c r="H1975">
        <v>0.05</v>
      </c>
      <c r="I1975" t="s">
        <v>1809</v>
      </c>
      <c r="J1975">
        <v>64.799499999999995</v>
      </c>
      <c r="K1975" t="s">
        <v>516</v>
      </c>
      <c r="L1975">
        <v>46</v>
      </c>
      <c r="M1975" t="str">
        <v>Male</v>
      </c>
      <c r="N1975" t="str">
        <f>VLOOKUP(C:C,Customer_Dim!B:I,5,1)</f>
        <v>Estradaside</v>
      </c>
      <c r="O1975" t="str">
        <f>VLOOKUP(C:C,Customer_Dim!B:I,6,1)</f>
        <v>Iowa</v>
      </c>
      <c r="P1975" t="str">
        <f>VLOOKUP(C:C,Customer_Dim!B:I,7,1)</f>
        <v>USA</v>
      </c>
      <c r="Q1975" t="str">
        <f>VLOOKUP(C:C,Customer_Dim!B:I,8,1)</f>
        <v>Gold</v>
      </c>
      <c r="S1975">
        <v>1</v>
      </c>
      <c r="T1975">
        <v>68.209999999999994</v>
      </c>
      <c r="U1975">
        <v>0.05</v>
      </c>
      <c r="V1975">
        <v>64.799499999999995</v>
      </c>
      <c r="X1975" s="4">
        <v>1</v>
      </c>
      <c r="Y1975">
        <v>68.209999999999994</v>
      </c>
      <c r="Z1975">
        <v>0.05</v>
      </c>
      <c r="AA1975">
        <v>64.799499999999995</v>
      </c>
    </row>
    <row r="1976" spans="1:27" x14ac:dyDescent="0.3">
      <c r="A1976" t="s">
        <v>3783</v>
      </c>
      <c r="B1976" s="2">
        <v>45886</v>
      </c>
      <c r="C1976" t="s">
        <v>456</v>
      </c>
      <c r="D1976" t="s">
        <v>1637</v>
      </c>
      <c r="E1976" t="s">
        <v>1762</v>
      </c>
      <c r="F1976" s="4">
        <v>2</v>
      </c>
      <c r="G1976">
        <v>842.89</v>
      </c>
      <c r="H1976">
        <v>0.25</v>
      </c>
      <c r="I1976" t="s">
        <v>1812</v>
      </c>
      <c r="J1976">
        <v>1264.335</v>
      </c>
      <c r="K1976" t="s">
        <v>457</v>
      </c>
      <c r="L1976">
        <v>29</v>
      </c>
      <c r="M1976" t="str">
        <v>Male</v>
      </c>
      <c r="N1976" t="str">
        <f>VLOOKUP(C:C,Customer_Dim!B:I,5,1)</f>
        <v>Gonzalezbury</v>
      </c>
      <c r="O1976" t="str">
        <f>VLOOKUP(C:C,Customer_Dim!B:I,6,1)</f>
        <v>Michigan</v>
      </c>
      <c r="P1976" t="str">
        <f>VLOOKUP(C:C,Customer_Dim!B:I,7,1)</f>
        <v>USA</v>
      </c>
      <c r="Q1976" t="str">
        <f>VLOOKUP(C:C,Customer_Dim!B:I,8,1)</f>
        <v>Platinum</v>
      </c>
      <c r="S1976">
        <v>2</v>
      </c>
      <c r="T1976">
        <v>842.89</v>
      </c>
      <c r="U1976">
        <v>0.25</v>
      </c>
      <c r="V1976">
        <v>1264.335</v>
      </c>
      <c r="X1976" s="4">
        <v>2</v>
      </c>
      <c r="Y1976">
        <v>842.89</v>
      </c>
      <c r="Z1976">
        <v>0.25</v>
      </c>
      <c r="AA1976">
        <v>1264.335</v>
      </c>
    </row>
    <row r="1977" spans="1:27" x14ac:dyDescent="0.3">
      <c r="A1977" t="s">
        <v>3784</v>
      </c>
      <c r="B1977" s="2">
        <v>45390</v>
      </c>
      <c r="C1977" t="s">
        <v>939</v>
      </c>
      <c r="D1977" t="s">
        <v>1538</v>
      </c>
      <c r="E1977" t="s">
        <v>1752</v>
      </c>
      <c r="F1977" s="4">
        <v>2</v>
      </c>
      <c r="G1977">
        <v>227.95</v>
      </c>
      <c r="H1977">
        <v>0.24</v>
      </c>
      <c r="I1977" t="s">
        <v>1812</v>
      </c>
      <c r="J1977">
        <v>346.48399999999998</v>
      </c>
      <c r="K1977" t="s">
        <v>940</v>
      </c>
      <c r="L1977">
        <v>50</v>
      </c>
      <c r="M1977" t="str">
        <v>Male</v>
      </c>
      <c r="N1977" t="str">
        <f>VLOOKUP(C:C,Customer_Dim!B:I,5,1)</f>
        <v>Lake Melissashire</v>
      </c>
      <c r="O1977" t="str">
        <f>VLOOKUP(C:C,Customer_Dim!B:I,6,1)</f>
        <v>Oregon</v>
      </c>
      <c r="P1977" t="str">
        <f>VLOOKUP(C:C,Customer_Dim!B:I,7,1)</f>
        <v>USA</v>
      </c>
      <c r="Q1977" t="str">
        <f>VLOOKUP(C:C,Customer_Dim!B:I,8,1)</f>
        <v>Silver</v>
      </c>
      <c r="S1977">
        <v>2</v>
      </c>
      <c r="T1977">
        <v>227.95</v>
      </c>
      <c r="U1977">
        <v>0.24</v>
      </c>
      <c r="V1977">
        <v>346.48399999999998</v>
      </c>
      <c r="X1977" s="4">
        <v>2</v>
      </c>
      <c r="Y1977">
        <v>227.95</v>
      </c>
      <c r="Z1977">
        <v>0.24</v>
      </c>
      <c r="AA1977">
        <v>346.48399999999998</v>
      </c>
    </row>
    <row r="1978" spans="1:27" x14ac:dyDescent="0.3">
      <c r="A1978" t="s">
        <v>3785</v>
      </c>
      <c r="B1978" s="2">
        <v>45388</v>
      </c>
      <c r="C1978" t="s">
        <v>625</v>
      </c>
      <c r="D1978" t="s">
        <v>1663</v>
      </c>
      <c r="E1978" t="s">
        <v>1777</v>
      </c>
      <c r="F1978" s="4">
        <v>3</v>
      </c>
      <c r="G1978">
        <v>685.97</v>
      </c>
      <c r="H1978">
        <v>0.24</v>
      </c>
      <c r="I1978" t="s">
        <v>1809</v>
      </c>
      <c r="J1978">
        <v>1564.0116</v>
      </c>
      <c r="K1978" t="s">
        <v>626</v>
      </c>
      <c r="L1978">
        <v>38</v>
      </c>
      <c r="M1978" t="str">
        <v>Male</v>
      </c>
      <c r="N1978" t="str">
        <f>VLOOKUP(C:C,Customer_Dim!B:I,5,1)</f>
        <v>Lake Samanthafort</v>
      </c>
      <c r="O1978" t="str">
        <f>VLOOKUP(C:C,Customer_Dim!B:I,6,1)</f>
        <v>Idaho</v>
      </c>
      <c r="P1978" t="str">
        <f>VLOOKUP(C:C,Customer_Dim!B:I,7,1)</f>
        <v>USA</v>
      </c>
      <c r="Q1978" t="str">
        <f>VLOOKUP(C:C,Customer_Dim!B:I,8,1)</f>
        <v>Gold</v>
      </c>
      <c r="S1978">
        <v>3</v>
      </c>
      <c r="T1978">
        <v>685.97</v>
      </c>
      <c r="U1978">
        <v>0.24</v>
      </c>
      <c r="V1978">
        <v>1564.0116</v>
      </c>
      <c r="X1978" s="4">
        <v>3</v>
      </c>
      <c r="Y1978">
        <v>685.97</v>
      </c>
      <c r="Z1978">
        <v>0.24</v>
      </c>
      <c r="AA1978">
        <v>1564.0116</v>
      </c>
    </row>
    <row r="1979" spans="1:27" x14ac:dyDescent="0.3">
      <c r="A1979" t="s">
        <v>3786</v>
      </c>
      <c r="B1979" s="2">
        <v>45793</v>
      </c>
      <c r="C1979" t="s">
        <v>1129</v>
      </c>
      <c r="D1979" t="s">
        <v>1589</v>
      </c>
      <c r="E1979" t="s">
        <v>1744</v>
      </c>
      <c r="F1979" s="4">
        <v>1</v>
      </c>
      <c r="G1979">
        <v>722.57</v>
      </c>
      <c r="H1979">
        <v>0.18</v>
      </c>
      <c r="I1979" t="s">
        <v>1807</v>
      </c>
      <c r="J1979">
        <v>592.50740000000008</v>
      </c>
      <c r="K1979" t="s">
        <v>1130</v>
      </c>
      <c r="L1979">
        <v>40</v>
      </c>
      <c r="M1979" t="str">
        <v>Female</v>
      </c>
      <c r="N1979" t="str">
        <f>VLOOKUP(C:C,Customer_Dim!B:I,5,1)</f>
        <v>Kellyside</v>
      </c>
      <c r="O1979" t="str">
        <f>VLOOKUP(C:C,Customer_Dim!B:I,6,1)</f>
        <v>Alaska</v>
      </c>
      <c r="P1979" t="str">
        <f>VLOOKUP(C:C,Customer_Dim!B:I,7,1)</f>
        <v>USA</v>
      </c>
      <c r="Q1979" t="str">
        <f>VLOOKUP(C:C,Customer_Dim!B:I,8,1)</f>
        <v>Platinum</v>
      </c>
      <c r="S1979">
        <v>1</v>
      </c>
      <c r="T1979">
        <v>722.57</v>
      </c>
      <c r="U1979">
        <v>0.18</v>
      </c>
      <c r="V1979">
        <v>592.50740000000008</v>
      </c>
      <c r="X1979" s="4">
        <v>1</v>
      </c>
      <c r="Y1979">
        <v>722.57</v>
      </c>
      <c r="Z1979">
        <v>0.18</v>
      </c>
      <c r="AA1979">
        <v>592.50740000000008</v>
      </c>
    </row>
    <row r="1980" spans="1:27" x14ac:dyDescent="0.3">
      <c r="A1980" t="s">
        <v>3787</v>
      </c>
      <c r="B1980" s="2">
        <v>45615</v>
      </c>
      <c r="C1980" t="s">
        <v>470</v>
      </c>
      <c r="D1980" t="s">
        <v>1601</v>
      </c>
      <c r="E1980" t="s">
        <v>1756</v>
      </c>
      <c r="F1980" s="4">
        <v>3</v>
      </c>
      <c r="G1980">
        <v>585.54999999999995</v>
      </c>
      <c r="H1980">
        <v>0.14000000000000001</v>
      </c>
      <c r="I1980" t="s">
        <v>1812</v>
      </c>
      <c r="J1980">
        <v>1510.7190000000001</v>
      </c>
      <c r="K1980" t="s">
        <v>471</v>
      </c>
      <c r="L1980">
        <v>30</v>
      </c>
      <c r="M1980" t="str">
        <v>Male</v>
      </c>
      <c r="N1980" t="str">
        <f>VLOOKUP(C:C,Customer_Dim!B:I,5,1)</f>
        <v>South Brooke</v>
      </c>
      <c r="O1980" t="str">
        <f>VLOOKUP(C:C,Customer_Dim!B:I,6,1)</f>
        <v>Pennsylvania</v>
      </c>
      <c r="P1980" t="str">
        <f>VLOOKUP(C:C,Customer_Dim!B:I,7,1)</f>
        <v>USA</v>
      </c>
      <c r="Q1980" t="str">
        <f>VLOOKUP(C:C,Customer_Dim!B:I,8,1)</f>
        <v>Gold</v>
      </c>
      <c r="S1980">
        <v>3</v>
      </c>
      <c r="T1980">
        <v>585.54999999999995</v>
      </c>
      <c r="U1980">
        <v>0.14000000000000001</v>
      </c>
      <c r="V1980">
        <v>1510.7190000000001</v>
      </c>
      <c r="X1980" s="4">
        <v>3</v>
      </c>
      <c r="Y1980">
        <v>585.54999999999995</v>
      </c>
      <c r="Z1980">
        <v>0.14000000000000001</v>
      </c>
      <c r="AA1980">
        <v>1510.7190000000001</v>
      </c>
    </row>
    <row r="1981" spans="1:27" x14ac:dyDescent="0.3">
      <c r="A1981" t="s">
        <v>3788</v>
      </c>
      <c r="B1981" s="2">
        <v>45666</v>
      </c>
      <c r="C1981" t="s">
        <v>965</v>
      </c>
      <c r="D1981" t="s">
        <v>1623</v>
      </c>
      <c r="E1981" t="s">
        <v>1780</v>
      </c>
      <c r="F1981" s="4">
        <v>2</v>
      </c>
      <c r="G1981">
        <v>635.80999999999995</v>
      </c>
      <c r="H1981">
        <v>0.13</v>
      </c>
      <c r="I1981" t="s">
        <v>1809</v>
      </c>
      <c r="J1981">
        <v>1106.3094000000001</v>
      </c>
      <c r="K1981" t="s">
        <v>966</v>
      </c>
      <c r="L1981">
        <v>20</v>
      </c>
      <c r="M1981" t="str">
        <v>Male</v>
      </c>
      <c r="N1981" t="str">
        <f>VLOOKUP(C:C,Customer_Dim!B:I,5,1)</f>
        <v>Randychester</v>
      </c>
      <c r="O1981" t="str">
        <f>VLOOKUP(C:C,Customer_Dim!B:I,6,1)</f>
        <v>California</v>
      </c>
      <c r="P1981" t="str">
        <f>VLOOKUP(C:C,Customer_Dim!B:I,7,1)</f>
        <v>USA</v>
      </c>
      <c r="Q1981" t="str">
        <f>VLOOKUP(C:C,Customer_Dim!B:I,8,1)</f>
        <v>Bronze</v>
      </c>
      <c r="S1981">
        <v>2</v>
      </c>
      <c r="T1981">
        <v>635.80999999999995</v>
      </c>
      <c r="U1981">
        <v>0.13</v>
      </c>
      <c r="V1981">
        <v>1106.3094000000001</v>
      </c>
      <c r="X1981" s="4">
        <v>2</v>
      </c>
      <c r="Y1981">
        <v>635.80999999999995</v>
      </c>
      <c r="Z1981">
        <v>0.13</v>
      </c>
      <c r="AA1981">
        <v>1106.3094000000001</v>
      </c>
    </row>
    <row r="1982" spans="1:27" x14ac:dyDescent="0.3">
      <c r="A1982" t="s">
        <v>3789</v>
      </c>
      <c r="B1982" s="2">
        <v>45644</v>
      </c>
      <c r="C1982" t="s">
        <v>873</v>
      </c>
      <c r="D1982" t="s">
        <v>1559</v>
      </c>
      <c r="E1982" t="s">
        <v>1752</v>
      </c>
      <c r="F1982" s="4">
        <v>2</v>
      </c>
      <c r="G1982">
        <v>353.74</v>
      </c>
      <c r="H1982">
        <v>0.01</v>
      </c>
      <c r="I1982" t="s">
        <v>1807</v>
      </c>
      <c r="J1982">
        <v>700.40520000000004</v>
      </c>
      <c r="K1982" t="s">
        <v>874</v>
      </c>
      <c r="L1982">
        <v>42</v>
      </c>
      <c r="M1982" t="str">
        <v>Female</v>
      </c>
      <c r="N1982" t="str">
        <f>VLOOKUP(C:C,Customer_Dim!B:I,5,1)</f>
        <v>Lake Nicole</v>
      </c>
      <c r="O1982" t="str">
        <f>VLOOKUP(C:C,Customer_Dim!B:I,6,1)</f>
        <v>Colorado</v>
      </c>
      <c r="P1982" t="str">
        <f>VLOOKUP(C:C,Customer_Dim!B:I,7,1)</f>
        <v>USA</v>
      </c>
      <c r="Q1982" t="str">
        <f>VLOOKUP(C:C,Customer_Dim!B:I,8,1)</f>
        <v>Platinum</v>
      </c>
      <c r="S1982">
        <v>2</v>
      </c>
      <c r="T1982">
        <v>353.74</v>
      </c>
      <c r="U1982">
        <v>0.01</v>
      </c>
      <c r="V1982">
        <v>700.40520000000004</v>
      </c>
      <c r="X1982" s="4">
        <v>2</v>
      </c>
      <c r="Y1982">
        <v>353.74</v>
      </c>
      <c r="Z1982">
        <v>0.01</v>
      </c>
      <c r="AA1982">
        <v>700.40520000000004</v>
      </c>
    </row>
    <row r="1983" spans="1:27" x14ac:dyDescent="0.3">
      <c r="A1983" t="s">
        <v>3790</v>
      </c>
      <c r="B1983" s="2">
        <v>45648</v>
      </c>
      <c r="C1983" t="s">
        <v>835</v>
      </c>
      <c r="D1983" t="s">
        <v>1603</v>
      </c>
      <c r="E1983" t="s">
        <v>1762</v>
      </c>
      <c r="F1983" s="4">
        <v>1</v>
      </c>
      <c r="G1983">
        <v>377.52</v>
      </c>
      <c r="H1983">
        <v>0.15</v>
      </c>
      <c r="I1983" t="s">
        <v>1807</v>
      </c>
      <c r="J1983">
        <v>320.892</v>
      </c>
      <c r="K1983" t="s">
        <v>836</v>
      </c>
      <c r="L1983">
        <v>38</v>
      </c>
      <c r="M1983" t="str">
        <v>Male</v>
      </c>
      <c r="N1983" t="str">
        <f>VLOOKUP(C:C,Customer_Dim!B:I,5,1)</f>
        <v>Grahamfurt</v>
      </c>
      <c r="O1983" t="str">
        <f>VLOOKUP(C:C,Customer_Dim!B:I,6,1)</f>
        <v>Wyoming</v>
      </c>
      <c r="P1983" t="str">
        <f>VLOOKUP(C:C,Customer_Dim!B:I,7,1)</f>
        <v>USA</v>
      </c>
      <c r="Q1983" t="str">
        <f>VLOOKUP(C:C,Customer_Dim!B:I,8,1)</f>
        <v>Gold</v>
      </c>
      <c r="S1983">
        <v>1</v>
      </c>
      <c r="T1983">
        <v>377.52</v>
      </c>
      <c r="U1983">
        <v>0.15</v>
      </c>
      <c r="V1983">
        <v>320.892</v>
      </c>
      <c r="X1983" s="4">
        <v>1</v>
      </c>
      <c r="Y1983">
        <v>377.52</v>
      </c>
      <c r="Z1983">
        <v>0.15</v>
      </c>
      <c r="AA1983">
        <v>320.892</v>
      </c>
    </row>
    <row r="1984" spans="1:27" x14ac:dyDescent="0.3">
      <c r="A1984" t="s">
        <v>3791</v>
      </c>
      <c r="B1984" s="2">
        <v>45500</v>
      </c>
      <c r="C1984" t="s">
        <v>663</v>
      </c>
      <c r="D1984" t="s">
        <v>1667</v>
      </c>
      <c r="E1984" t="s">
        <v>1744</v>
      </c>
      <c r="F1984" s="4">
        <v>3</v>
      </c>
      <c r="G1984">
        <v>901.49</v>
      </c>
      <c r="H1984">
        <v>0</v>
      </c>
      <c r="I1984" t="s">
        <v>1807</v>
      </c>
      <c r="J1984">
        <v>2704.47</v>
      </c>
      <c r="K1984" t="s">
        <v>664</v>
      </c>
      <c r="L1984">
        <v>26</v>
      </c>
      <c r="M1984" t="str">
        <v>Female</v>
      </c>
      <c r="N1984" t="str">
        <f>VLOOKUP(C:C,Customer_Dim!B:I,5,1)</f>
        <v>Lake Danielleton</v>
      </c>
      <c r="O1984" t="str">
        <f>VLOOKUP(C:C,Customer_Dim!B:I,6,1)</f>
        <v>New Jersey</v>
      </c>
      <c r="P1984" t="str">
        <f>VLOOKUP(C:C,Customer_Dim!B:I,7,1)</f>
        <v>USA</v>
      </c>
      <c r="Q1984" t="str">
        <f>VLOOKUP(C:C,Customer_Dim!B:I,8,1)</f>
        <v>Gold</v>
      </c>
      <c r="S1984">
        <v>3</v>
      </c>
      <c r="T1984">
        <v>901.49</v>
      </c>
      <c r="U1984">
        <v>0</v>
      </c>
      <c r="V1984">
        <v>2704.47</v>
      </c>
      <c r="X1984" s="4">
        <v>3</v>
      </c>
      <c r="Y1984">
        <v>901.49</v>
      </c>
      <c r="Z1984">
        <v>0</v>
      </c>
      <c r="AA1984">
        <v>2704.47</v>
      </c>
    </row>
    <row r="1985" spans="1:27" x14ac:dyDescent="0.3">
      <c r="A1985" t="s">
        <v>3792</v>
      </c>
      <c r="B1985" s="2">
        <v>45806</v>
      </c>
      <c r="C1985" t="s">
        <v>648</v>
      </c>
      <c r="D1985" t="s">
        <v>1591</v>
      </c>
      <c r="E1985" t="s">
        <v>1756</v>
      </c>
      <c r="F1985" s="4">
        <v>1</v>
      </c>
      <c r="G1985">
        <v>563.01</v>
      </c>
      <c r="H1985">
        <v>0.1</v>
      </c>
      <c r="I1985" t="s">
        <v>1807</v>
      </c>
      <c r="J1985">
        <v>506.709</v>
      </c>
      <c r="K1985" t="s">
        <v>649</v>
      </c>
      <c r="L1985">
        <v>25</v>
      </c>
      <c r="M1985" t="str">
        <v>Female</v>
      </c>
      <c r="N1985" t="str">
        <f>VLOOKUP(C:C,Customer_Dim!B:I,5,1)</f>
        <v>South Jerry</v>
      </c>
      <c r="O1985" t="str">
        <f>VLOOKUP(C:C,Customer_Dim!B:I,6,1)</f>
        <v>Maine</v>
      </c>
      <c r="P1985" t="str">
        <f>VLOOKUP(C:C,Customer_Dim!B:I,7,1)</f>
        <v>USA</v>
      </c>
      <c r="Q1985" t="str">
        <f>VLOOKUP(C:C,Customer_Dim!B:I,8,1)</f>
        <v>Platinum</v>
      </c>
      <c r="S1985">
        <v>1</v>
      </c>
      <c r="T1985">
        <v>563.01</v>
      </c>
      <c r="U1985">
        <v>0.1</v>
      </c>
      <c r="V1985">
        <v>506.709</v>
      </c>
      <c r="X1985" s="4">
        <v>1</v>
      </c>
      <c r="Y1985">
        <v>563.01</v>
      </c>
      <c r="Z1985">
        <v>0.1</v>
      </c>
      <c r="AA1985">
        <v>506.709</v>
      </c>
    </row>
    <row r="1986" spans="1:27" x14ac:dyDescent="0.3">
      <c r="A1986" t="s">
        <v>3793</v>
      </c>
      <c r="B1986" s="2">
        <v>45365</v>
      </c>
      <c r="C1986" t="s">
        <v>195</v>
      </c>
      <c r="D1986" t="s">
        <v>1671</v>
      </c>
      <c r="E1986" t="s">
        <v>1759</v>
      </c>
      <c r="F1986" s="4">
        <v>4</v>
      </c>
      <c r="G1986">
        <v>167.25</v>
      </c>
      <c r="H1986">
        <v>0.11</v>
      </c>
      <c r="I1986" t="s">
        <v>1807</v>
      </c>
      <c r="J1986">
        <v>595.41</v>
      </c>
      <c r="K1986" t="s">
        <v>196</v>
      </c>
      <c r="L1986">
        <v>37</v>
      </c>
      <c r="M1986" t="str">
        <v>Female</v>
      </c>
      <c r="N1986" t="str">
        <f>VLOOKUP(C:C,Customer_Dim!B:I,5,1)</f>
        <v>South Timtown</v>
      </c>
      <c r="O1986" t="str">
        <f>VLOOKUP(C:C,Customer_Dim!B:I,6,1)</f>
        <v>Minnesota</v>
      </c>
      <c r="P1986" t="str">
        <f>VLOOKUP(C:C,Customer_Dim!B:I,7,1)</f>
        <v>USA</v>
      </c>
      <c r="Q1986" t="str">
        <f>VLOOKUP(C:C,Customer_Dim!B:I,8,1)</f>
        <v>Bronze</v>
      </c>
      <c r="S1986">
        <v>4</v>
      </c>
      <c r="T1986">
        <v>167.25</v>
      </c>
      <c r="U1986">
        <v>0.11</v>
      </c>
      <c r="V1986">
        <v>595.41</v>
      </c>
      <c r="X1986" s="4">
        <v>4</v>
      </c>
      <c r="Y1986">
        <v>167.25</v>
      </c>
      <c r="Z1986">
        <v>0.11</v>
      </c>
      <c r="AA1986">
        <v>595.41</v>
      </c>
    </row>
    <row r="1987" spans="1:27" x14ac:dyDescent="0.3">
      <c r="A1987" t="s">
        <v>3794</v>
      </c>
      <c r="B1987" s="2">
        <v>45229</v>
      </c>
      <c r="C1987" t="s">
        <v>1387</v>
      </c>
      <c r="D1987" t="s">
        <v>1651</v>
      </c>
      <c r="E1987" t="s">
        <v>1793</v>
      </c>
      <c r="F1987" s="4">
        <v>3</v>
      </c>
      <c r="G1987">
        <v>345.43</v>
      </c>
      <c r="H1987">
        <v>0.08</v>
      </c>
      <c r="I1987" t="s">
        <v>1812</v>
      </c>
      <c r="J1987">
        <v>953.38679999999999</v>
      </c>
      <c r="K1987" t="s">
        <v>1388</v>
      </c>
      <c r="L1987">
        <v>54</v>
      </c>
      <c r="M1987" t="str">
        <v>Male</v>
      </c>
      <c r="N1987" t="str">
        <f>VLOOKUP(C:C,Customer_Dim!B:I,5,1)</f>
        <v>Johnsonville</v>
      </c>
      <c r="O1987" t="str">
        <f>VLOOKUP(C:C,Customer_Dim!B:I,6,1)</f>
        <v>Oklahoma</v>
      </c>
      <c r="P1987" t="str">
        <f>VLOOKUP(C:C,Customer_Dim!B:I,7,1)</f>
        <v>USA</v>
      </c>
      <c r="Q1987" t="str">
        <f>VLOOKUP(C:C,Customer_Dim!B:I,8,1)</f>
        <v>Gold</v>
      </c>
      <c r="S1987">
        <v>3</v>
      </c>
      <c r="T1987">
        <v>345.43</v>
      </c>
      <c r="U1987">
        <v>0.08</v>
      </c>
      <c r="V1987">
        <v>953.38679999999999</v>
      </c>
      <c r="X1987" s="4">
        <v>3</v>
      </c>
      <c r="Y1987">
        <v>345.43</v>
      </c>
      <c r="Z1987">
        <v>0.08</v>
      </c>
      <c r="AA1987">
        <v>953.38679999999999</v>
      </c>
    </row>
    <row r="1988" spans="1:27" x14ac:dyDescent="0.3">
      <c r="A1988" t="s">
        <v>3795</v>
      </c>
      <c r="B1988" s="2">
        <v>45349</v>
      </c>
      <c r="C1988" t="s">
        <v>962</v>
      </c>
      <c r="D1988" t="s">
        <v>1695</v>
      </c>
      <c r="E1988" t="s">
        <v>1769</v>
      </c>
      <c r="F1988" s="4">
        <v>4</v>
      </c>
      <c r="G1988">
        <v>752.48</v>
      </c>
      <c r="H1988">
        <v>0.23</v>
      </c>
      <c r="I1988" t="s">
        <v>1807</v>
      </c>
      <c r="J1988">
        <v>2317.6383999999998</v>
      </c>
      <c r="K1988" t="s">
        <v>963</v>
      </c>
      <c r="L1988">
        <v>41</v>
      </c>
      <c r="M1988" t="str">
        <v>Female</v>
      </c>
      <c r="N1988" t="str">
        <f>VLOOKUP(C:C,Customer_Dim!B:I,5,1)</f>
        <v>Sarahland</v>
      </c>
      <c r="O1988" t="str">
        <f>VLOOKUP(C:C,Customer_Dim!B:I,6,1)</f>
        <v>Iowa</v>
      </c>
      <c r="P1988" t="str">
        <f>VLOOKUP(C:C,Customer_Dim!B:I,7,1)</f>
        <v>USA</v>
      </c>
      <c r="Q1988" t="str">
        <f>VLOOKUP(C:C,Customer_Dim!B:I,8,1)</f>
        <v>Gold</v>
      </c>
      <c r="S1988">
        <v>4</v>
      </c>
      <c r="T1988">
        <v>752.48</v>
      </c>
      <c r="U1988">
        <v>0.23</v>
      </c>
      <c r="V1988">
        <v>2317.6383999999998</v>
      </c>
      <c r="X1988" s="4">
        <v>4</v>
      </c>
      <c r="Y1988">
        <v>752.48</v>
      </c>
      <c r="Z1988">
        <v>0.23</v>
      </c>
      <c r="AA1988">
        <v>2317.6383999999998</v>
      </c>
    </row>
    <row r="1989" spans="1:27" x14ac:dyDescent="0.3">
      <c r="A1989" t="s">
        <v>3796</v>
      </c>
      <c r="B1989" s="2">
        <v>45886</v>
      </c>
      <c r="C1989" t="s">
        <v>1373</v>
      </c>
      <c r="D1989" t="s">
        <v>1645</v>
      </c>
      <c r="E1989" t="s">
        <v>1796</v>
      </c>
      <c r="F1989" s="4">
        <v>1</v>
      </c>
      <c r="G1989">
        <v>120.02</v>
      </c>
      <c r="H1989">
        <v>0.26</v>
      </c>
      <c r="I1989" t="s">
        <v>1807</v>
      </c>
      <c r="J1989">
        <v>88.814799999999991</v>
      </c>
      <c r="K1989" t="s">
        <v>1374</v>
      </c>
      <c r="L1989">
        <v>59</v>
      </c>
      <c r="M1989" t="str">
        <v>Male</v>
      </c>
      <c r="N1989" t="str">
        <f>VLOOKUP(C:C,Customer_Dim!B:I,5,1)</f>
        <v>Port Hannahport</v>
      </c>
      <c r="O1989" t="str">
        <f>VLOOKUP(C:C,Customer_Dim!B:I,6,1)</f>
        <v>Ohio</v>
      </c>
      <c r="P1989" t="str">
        <f>VLOOKUP(C:C,Customer_Dim!B:I,7,1)</f>
        <v>USA</v>
      </c>
      <c r="Q1989" t="str">
        <f>VLOOKUP(C:C,Customer_Dim!B:I,8,1)</f>
        <v>Bronze</v>
      </c>
      <c r="S1989">
        <v>1</v>
      </c>
      <c r="T1989">
        <v>120.02</v>
      </c>
      <c r="U1989">
        <v>0.26</v>
      </c>
      <c r="V1989">
        <v>88.814799999999991</v>
      </c>
      <c r="X1989" s="4">
        <v>1</v>
      </c>
      <c r="Y1989">
        <v>120.02</v>
      </c>
      <c r="Z1989">
        <v>0.26</v>
      </c>
      <c r="AA1989">
        <v>88.814799999999991</v>
      </c>
    </row>
    <row r="1990" spans="1:27" x14ac:dyDescent="0.3">
      <c r="A1990" t="s">
        <v>3797</v>
      </c>
      <c r="B1990" s="2">
        <v>45359</v>
      </c>
      <c r="C1990" t="s">
        <v>1007</v>
      </c>
      <c r="D1990" t="s">
        <v>1613</v>
      </c>
      <c r="E1990" t="s">
        <v>1765</v>
      </c>
      <c r="F1990" s="4">
        <v>3</v>
      </c>
      <c r="G1990">
        <v>146.71</v>
      </c>
      <c r="H1990">
        <v>0.28000000000000003</v>
      </c>
      <c r="I1990" t="s">
        <v>1807</v>
      </c>
      <c r="J1990">
        <v>316.89359999999999</v>
      </c>
      <c r="K1990" t="s">
        <v>1008</v>
      </c>
      <c r="L1990">
        <v>58</v>
      </c>
      <c r="M1990" t="str">
        <v>Male</v>
      </c>
      <c r="N1990" t="str">
        <f>VLOOKUP(C:C,Customer_Dim!B:I,5,1)</f>
        <v>Whiteport</v>
      </c>
      <c r="O1990" t="str">
        <f>VLOOKUP(C:C,Customer_Dim!B:I,6,1)</f>
        <v>North Carolina</v>
      </c>
      <c r="P1990" t="str">
        <f>VLOOKUP(C:C,Customer_Dim!B:I,7,1)</f>
        <v>USA</v>
      </c>
      <c r="Q1990" t="str">
        <f>VLOOKUP(C:C,Customer_Dim!B:I,8,1)</f>
        <v>Platinum</v>
      </c>
      <c r="S1990">
        <v>3</v>
      </c>
      <c r="T1990">
        <v>146.71</v>
      </c>
      <c r="U1990">
        <v>0.28000000000000003</v>
      </c>
      <c r="V1990">
        <v>316.89359999999999</v>
      </c>
      <c r="X1990" s="4">
        <v>3</v>
      </c>
      <c r="Y1990">
        <v>146.71</v>
      </c>
      <c r="Z1990">
        <v>0.28000000000000003</v>
      </c>
      <c r="AA1990">
        <v>316.89359999999999</v>
      </c>
    </row>
    <row r="1991" spans="1:27" x14ac:dyDescent="0.3">
      <c r="A1991" t="s">
        <v>3798</v>
      </c>
      <c r="B1991" s="2">
        <v>45730</v>
      </c>
      <c r="C1991" t="s">
        <v>295</v>
      </c>
      <c r="D1991" t="s">
        <v>1659</v>
      </c>
      <c r="E1991" t="s">
        <v>1735</v>
      </c>
      <c r="F1991" s="4">
        <v>2</v>
      </c>
      <c r="G1991">
        <v>358.87</v>
      </c>
      <c r="H1991">
        <v>0.24</v>
      </c>
      <c r="I1991" t="s">
        <v>1807</v>
      </c>
      <c r="J1991">
        <v>545.48239999999998</v>
      </c>
      <c r="K1991" t="s">
        <v>296</v>
      </c>
      <c r="L1991">
        <v>48</v>
      </c>
      <c r="M1991" t="str">
        <v>Female</v>
      </c>
      <c r="N1991" t="str">
        <f>VLOOKUP(C:C,Customer_Dim!B:I,5,1)</f>
        <v>Leburgh</v>
      </c>
      <c r="O1991" t="str">
        <f>VLOOKUP(C:C,Customer_Dim!B:I,6,1)</f>
        <v>Florida</v>
      </c>
      <c r="P1991" t="str">
        <f>VLOOKUP(C:C,Customer_Dim!B:I,7,1)</f>
        <v>USA</v>
      </c>
      <c r="Q1991" t="str">
        <f>VLOOKUP(C:C,Customer_Dim!B:I,8,1)</f>
        <v>Bronze</v>
      </c>
      <c r="S1991">
        <v>2</v>
      </c>
      <c r="T1991">
        <v>358.87</v>
      </c>
      <c r="U1991">
        <v>0.24</v>
      </c>
      <c r="V1991">
        <v>545.48239999999998</v>
      </c>
      <c r="X1991" s="4">
        <v>2</v>
      </c>
      <c r="Y1991">
        <v>358.87</v>
      </c>
      <c r="Z1991">
        <v>0.24</v>
      </c>
      <c r="AA1991">
        <v>545.48239999999998</v>
      </c>
    </row>
    <row r="1992" spans="1:27" x14ac:dyDescent="0.3">
      <c r="A1992" t="s">
        <v>3799</v>
      </c>
      <c r="B1992" s="2">
        <v>45456</v>
      </c>
      <c r="C1992" t="s">
        <v>767</v>
      </c>
      <c r="D1992" t="s">
        <v>1635</v>
      </c>
      <c r="E1992" t="s">
        <v>1749</v>
      </c>
      <c r="F1992" s="4">
        <v>4</v>
      </c>
      <c r="G1992">
        <v>212.75</v>
      </c>
      <c r="H1992">
        <v>0.11</v>
      </c>
      <c r="I1992" t="s">
        <v>1812</v>
      </c>
      <c r="J1992">
        <v>757.39</v>
      </c>
      <c r="K1992" t="s">
        <v>768</v>
      </c>
      <c r="L1992">
        <v>58</v>
      </c>
      <c r="M1992" t="str">
        <v>Female</v>
      </c>
      <c r="N1992" t="str">
        <f>VLOOKUP(C:C,Customer_Dim!B:I,5,1)</f>
        <v>Dawsonchester</v>
      </c>
      <c r="O1992" t="str">
        <f>VLOOKUP(C:C,Customer_Dim!B:I,6,1)</f>
        <v>Virginia</v>
      </c>
      <c r="P1992" t="str">
        <f>VLOOKUP(C:C,Customer_Dim!B:I,7,1)</f>
        <v>USA</v>
      </c>
      <c r="Q1992" t="str">
        <f>VLOOKUP(C:C,Customer_Dim!B:I,8,1)</f>
        <v>Platinum</v>
      </c>
      <c r="S1992">
        <v>4</v>
      </c>
      <c r="T1992">
        <v>212.75</v>
      </c>
      <c r="U1992">
        <v>0.11</v>
      </c>
      <c r="V1992">
        <v>757.39</v>
      </c>
      <c r="X1992" s="4">
        <v>4</v>
      </c>
      <c r="Y1992">
        <v>212.75</v>
      </c>
      <c r="Z1992">
        <v>0.11</v>
      </c>
      <c r="AA1992">
        <v>757.39</v>
      </c>
    </row>
    <row r="1993" spans="1:27" x14ac:dyDescent="0.3">
      <c r="A1993" t="s">
        <v>3800</v>
      </c>
      <c r="B1993" s="2">
        <v>45450</v>
      </c>
      <c r="C1993" t="s">
        <v>1018</v>
      </c>
      <c r="D1993" t="s">
        <v>1621</v>
      </c>
      <c r="E1993" t="s">
        <v>1775</v>
      </c>
      <c r="F1993" s="4">
        <v>1</v>
      </c>
      <c r="G1993">
        <v>183.47</v>
      </c>
      <c r="H1993">
        <v>0.17</v>
      </c>
      <c r="I1993" t="s">
        <v>1809</v>
      </c>
      <c r="J1993">
        <v>152.2801</v>
      </c>
      <c r="K1993" t="s">
        <v>1019</v>
      </c>
      <c r="L1993">
        <v>46</v>
      </c>
      <c r="M1993" t="str">
        <v>Male</v>
      </c>
      <c r="N1993" t="str">
        <f>VLOOKUP(C:C,Customer_Dim!B:I,5,1)</f>
        <v>Kellybury</v>
      </c>
      <c r="O1993" t="str">
        <f>VLOOKUP(C:C,Customer_Dim!B:I,6,1)</f>
        <v>New York</v>
      </c>
      <c r="P1993" t="str">
        <f>VLOOKUP(C:C,Customer_Dim!B:I,7,1)</f>
        <v>USA</v>
      </c>
      <c r="Q1993" t="str">
        <f>VLOOKUP(C:C,Customer_Dim!B:I,8,1)</f>
        <v>Bronze</v>
      </c>
      <c r="S1993">
        <v>1</v>
      </c>
      <c r="T1993">
        <v>183.47</v>
      </c>
      <c r="U1993">
        <v>0.17</v>
      </c>
      <c r="V1993">
        <v>152.2801</v>
      </c>
      <c r="X1993" s="4">
        <v>1</v>
      </c>
      <c r="Y1993">
        <v>183.47</v>
      </c>
      <c r="Z1993">
        <v>0.17</v>
      </c>
      <c r="AA1993">
        <v>152.2801</v>
      </c>
    </row>
    <row r="1994" spans="1:27" x14ac:dyDescent="0.3">
      <c r="A1994" t="s">
        <v>3801</v>
      </c>
      <c r="B1994" s="2">
        <v>45493</v>
      </c>
      <c r="C1994" t="s">
        <v>248</v>
      </c>
      <c r="D1994" t="s">
        <v>1709</v>
      </c>
      <c r="E1994" t="s">
        <v>1784</v>
      </c>
      <c r="F1994" s="4">
        <v>4</v>
      </c>
      <c r="G1994">
        <v>569.98</v>
      </c>
      <c r="H1994">
        <v>0.23</v>
      </c>
      <c r="I1994" t="s">
        <v>1807</v>
      </c>
      <c r="J1994">
        <v>1755.5383999999999</v>
      </c>
      <c r="K1994" t="s">
        <v>249</v>
      </c>
      <c r="L1994">
        <v>24</v>
      </c>
      <c r="M1994" t="str">
        <v>Female</v>
      </c>
      <c r="N1994" t="str">
        <f>VLOOKUP(C:C,Customer_Dim!B:I,5,1)</f>
        <v>West Johnchester</v>
      </c>
      <c r="O1994" t="str">
        <f>VLOOKUP(C:C,Customer_Dim!B:I,6,1)</f>
        <v>Indiana</v>
      </c>
      <c r="P1994" t="str">
        <f>VLOOKUP(C:C,Customer_Dim!B:I,7,1)</f>
        <v>USA</v>
      </c>
      <c r="Q1994" t="str">
        <f>VLOOKUP(C:C,Customer_Dim!B:I,8,1)</f>
        <v>Silver</v>
      </c>
      <c r="S1994">
        <v>4</v>
      </c>
      <c r="T1994">
        <v>569.98</v>
      </c>
      <c r="U1994">
        <v>0.23</v>
      </c>
      <c r="V1994">
        <v>1755.5383999999999</v>
      </c>
      <c r="X1994" s="4">
        <v>4</v>
      </c>
      <c r="Y1994">
        <v>569.98</v>
      </c>
      <c r="Z1994">
        <v>0.23</v>
      </c>
      <c r="AA1994">
        <v>1755.5383999999999</v>
      </c>
    </row>
    <row r="1995" spans="1:27" x14ac:dyDescent="0.3">
      <c r="A1995" t="s">
        <v>3802</v>
      </c>
      <c r="B1995" s="2">
        <v>45274</v>
      </c>
      <c r="C1995" t="s">
        <v>1439</v>
      </c>
      <c r="D1995" t="s">
        <v>1573</v>
      </c>
      <c r="E1995" t="s">
        <v>1777</v>
      </c>
      <c r="F1995" s="4">
        <v>3</v>
      </c>
      <c r="G1995">
        <v>984.12</v>
      </c>
      <c r="H1995">
        <v>0.27</v>
      </c>
      <c r="I1995" t="s">
        <v>1807</v>
      </c>
      <c r="J1995">
        <v>2155.2228</v>
      </c>
      <c r="K1995" t="s">
        <v>1440</v>
      </c>
      <c r="L1995">
        <v>53</v>
      </c>
      <c r="M1995" t="str">
        <v>Male</v>
      </c>
      <c r="N1995" t="str">
        <f>VLOOKUP(C:C,Customer_Dim!B:I,5,1)</f>
        <v>Tylermouth</v>
      </c>
      <c r="O1995" t="str">
        <f>VLOOKUP(C:C,Customer_Dim!B:I,6,1)</f>
        <v>Massachusetts</v>
      </c>
      <c r="P1995" t="str">
        <f>VLOOKUP(C:C,Customer_Dim!B:I,7,1)</f>
        <v>USA</v>
      </c>
      <c r="Q1995" t="str">
        <f>VLOOKUP(C:C,Customer_Dim!B:I,8,1)</f>
        <v>Silver</v>
      </c>
      <c r="S1995">
        <v>3</v>
      </c>
      <c r="T1995">
        <v>984.12</v>
      </c>
      <c r="U1995">
        <v>0.27</v>
      </c>
      <c r="V1995">
        <v>2155.2228</v>
      </c>
      <c r="X1995" s="4">
        <v>3</v>
      </c>
      <c r="Y1995">
        <v>984.12</v>
      </c>
      <c r="Z1995">
        <v>0.27</v>
      </c>
      <c r="AA1995">
        <v>2155.2228</v>
      </c>
    </row>
    <row r="1996" spans="1:27" x14ac:dyDescent="0.3">
      <c r="A1996" t="s">
        <v>3803</v>
      </c>
      <c r="B1996" s="2">
        <v>45844</v>
      </c>
      <c r="C1996" t="s">
        <v>1442</v>
      </c>
      <c r="D1996" t="s">
        <v>1699</v>
      </c>
      <c r="E1996" t="s">
        <v>1765</v>
      </c>
      <c r="F1996" s="4">
        <v>1</v>
      </c>
      <c r="G1996">
        <v>905.23</v>
      </c>
      <c r="H1996">
        <v>0</v>
      </c>
      <c r="I1996" t="s">
        <v>1807</v>
      </c>
      <c r="J1996">
        <v>905.23</v>
      </c>
      <c r="K1996" t="s">
        <v>1443</v>
      </c>
      <c r="L1996">
        <v>32</v>
      </c>
      <c r="M1996" t="str">
        <v>Female</v>
      </c>
      <c r="N1996" t="str">
        <f>VLOOKUP(C:C,Customer_Dim!B:I,5,1)</f>
        <v>Chambersfurt</v>
      </c>
      <c r="O1996" t="str">
        <f>VLOOKUP(C:C,Customer_Dim!B:I,6,1)</f>
        <v>Wisconsin</v>
      </c>
      <c r="P1996" t="str">
        <f>VLOOKUP(C:C,Customer_Dim!B:I,7,1)</f>
        <v>USA</v>
      </c>
      <c r="Q1996" t="str">
        <f>VLOOKUP(C:C,Customer_Dim!B:I,8,1)</f>
        <v>Bronze</v>
      </c>
      <c r="S1996">
        <v>1</v>
      </c>
      <c r="T1996">
        <v>905.23</v>
      </c>
      <c r="U1996">
        <v>0</v>
      </c>
      <c r="V1996">
        <v>905.23</v>
      </c>
      <c r="X1996" s="4">
        <v>1</v>
      </c>
      <c r="Y1996">
        <v>905.23</v>
      </c>
      <c r="Z1996">
        <v>0</v>
      </c>
      <c r="AA1996">
        <v>905.23</v>
      </c>
    </row>
    <row r="1997" spans="1:27" x14ac:dyDescent="0.3">
      <c r="A1997" t="s">
        <v>3804</v>
      </c>
      <c r="B1997" s="2">
        <v>45264</v>
      </c>
      <c r="C1997" t="s">
        <v>607</v>
      </c>
      <c r="D1997" t="s">
        <v>1729</v>
      </c>
      <c r="E1997" t="s">
        <v>1796</v>
      </c>
      <c r="F1997" s="4">
        <v>3</v>
      </c>
      <c r="G1997">
        <v>112.77</v>
      </c>
      <c r="H1997">
        <v>0.19</v>
      </c>
      <c r="I1997" t="s">
        <v>1807</v>
      </c>
      <c r="J1997">
        <v>274.03109999999998</v>
      </c>
      <c r="K1997" t="s">
        <v>608</v>
      </c>
      <c r="L1997">
        <v>60</v>
      </c>
      <c r="M1997" t="str">
        <v>Female</v>
      </c>
      <c r="N1997" t="str">
        <f>VLOOKUP(C:C,Customer_Dim!B:I,5,1)</f>
        <v>East Justin</v>
      </c>
      <c r="O1997" t="str">
        <f>VLOOKUP(C:C,Customer_Dim!B:I,6,1)</f>
        <v>Missouri</v>
      </c>
      <c r="P1997" t="str">
        <f>VLOOKUP(C:C,Customer_Dim!B:I,7,1)</f>
        <v>USA</v>
      </c>
      <c r="Q1997" t="str">
        <f>VLOOKUP(C:C,Customer_Dim!B:I,8,1)</f>
        <v>Silver</v>
      </c>
      <c r="S1997">
        <v>3</v>
      </c>
      <c r="T1997">
        <v>112.77</v>
      </c>
      <c r="U1997">
        <v>0.19</v>
      </c>
      <c r="V1997">
        <v>274.03109999999998</v>
      </c>
      <c r="X1997" s="4">
        <v>3</v>
      </c>
      <c r="Y1997">
        <v>112.77</v>
      </c>
      <c r="Z1997">
        <v>0.19</v>
      </c>
      <c r="AA1997">
        <v>274.03109999999998</v>
      </c>
    </row>
    <row r="1998" spans="1:27" x14ac:dyDescent="0.3">
      <c r="A1998" t="s">
        <v>3805</v>
      </c>
      <c r="B1998" s="2">
        <v>45773</v>
      </c>
      <c r="C1998" t="s">
        <v>533</v>
      </c>
      <c r="D1998" t="s">
        <v>1601</v>
      </c>
      <c r="E1998" t="s">
        <v>1765</v>
      </c>
      <c r="F1998" s="4">
        <v>3</v>
      </c>
      <c r="G1998">
        <v>875.99</v>
      </c>
      <c r="H1998">
        <v>0.09</v>
      </c>
      <c r="I1998" t="s">
        <v>1809</v>
      </c>
      <c r="J1998">
        <v>2391.4526999999998</v>
      </c>
      <c r="K1998" t="s">
        <v>534</v>
      </c>
      <c r="L1998">
        <v>37</v>
      </c>
      <c r="M1998" t="str">
        <v>Male</v>
      </c>
      <c r="N1998" t="str">
        <f>VLOOKUP(C:C,Customer_Dim!B:I,5,1)</f>
        <v>Hessmouth</v>
      </c>
      <c r="O1998" t="str">
        <f>VLOOKUP(C:C,Customer_Dim!B:I,6,1)</f>
        <v>Arizona</v>
      </c>
      <c r="P1998" t="str">
        <f>VLOOKUP(C:C,Customer_Dim!B:I,7,1)</f>
        <v>USA</v>
      </c>
      <c r="Q1998" t="str">
        <f>VLOOKUP(C:C,Customer_Dim!B:I,8,1)</f>
        <v>Silver</v>
      </c>
      <c r="S1998">
        <v>3</v>
      </c>
      <c r="T1998">
        <v>875.99</v>
      </c>
      <c r="U1998">
        <v>0.09</v>
      </c>
      <c r="V1998">
        <v>2391.4526999999998</v>
      </c>
      <c r="X1998" s="4">
        <v>3</v>
      </c>
      <c r="Y1998">
        <v>875.99</v>
      </c>
      <c r="Z1998">
        <v>0.09</v>
      </c>
      <c r="AA1998">
        <v>2391.4526999999998</v>
      </c>
    </row>
    <row r="1999" spans="1:27" x14ac:dyDescent="0.3">
      <c r="A1999" t="s">
        <v>3806</v>
      </c>
      <c r="B1999" s="2">
        <v>45460</v>
      </c>
      <c r="C1999" t="s">
        <v>436</v>
      </c>
      <c r="D1999" t="s">
        <v>1709</v>
      </c>
      <c r="E1999" t="s">
        <v>1772</v>
      </c>
      <c r="F1999" s="4">
        <v>2</v>
      </c>
      <c r="G1999">
        <v>685.31</v>
      </c>
      <c r="H1999">
        <v>0.26</v>
      </c>
      <c r="I1999" t="s">
        <v>1809</v>
      </c>
      <c r="J1999">
        <v>1014.2588</v>
      </c>
      <c r="K1999" t="s">
        <v>437</v>
      </c>
      <c r="L1999">
        <v>43</v>
      </c>
      <c r="M1999" t="str">
        <v>Female</v>
      </c>
      <c r="N1999" t="str">
        <f>VLOOKUP(C:C,Customer_Dim!B:I,5,1)</f>
        <v>East Ellen</v>
      </c>
      <c r="O1999" t="str">
        <f>VLOOKUP(C:C,Customer_Dim!B:I,6,1)</f>
        <v>Arkansas</v>
      </c>
      <c r="P1999" t="str">
        <f>VLOOKUP(C:C,Customer_Dim!B:I,7,1)</f>
        <v>USA</v>
      </c>
      <c r="Q1999" t="str">
        <f>VLOOKUP(C:C,Customer_Dim!B:I,8,1)</f>
        <v>Silver</v>
      </c>
      <c r="S1999">
        <v>2</v>
      </c>
      <c r="T1999">
        <v>685.31</v>
      </c>
      <c r="U1999">
        <v>0.26</v>
      </c>
      <c r="V1999">
        <v>1014.2588</v>
      </c>
      <c r="X1999" s="4">
        <v>2</v>
      </c>
      <c r="Y1999">
        <v>685.31</v>
      </c>
      <c r="Z1999">
        <v>0.26</v>
      </c>
      <c r="AA1999">
        <v>1014.2588</v>
      </c>
    </row>
    <row r="2000" spans="1:27" x14ac:dyDescent="0.3">
      <c r="A2000" t="s">
        <v>3807</v>
      </c>
      <c r="B2000" s="2">
        <v>45607</v>
      </c>
      <c r="C2000" t="s">
        <v>195</v>
      </c>
      <c r="D2000" t="s">
        <v>1653</v>
      </c>
      <c r="E2000" t="s">
        <v>1775</v>
      </c>
      <c r="F2000" s="4">
        <v>3</v>
      </c>
      <c r="G2000">
        <v>945.37</v>
      </c>
      <c r="H2000">
        <v>0.05</v>
      </c>
      <c r="I2000" t="s">
        <v>1807</v>
      </c>
      <c r="J2000">
        <v>2694.3045000000002</v>
      </c>
      <c r="K2000" t="s">
        <v>196</v>
      </c>
      <c r="L2000">
        <v>37</v>
      </c>
      <c r="M2000" t="str">
        <v>Female</v>
      </c>
      <c r="N2000" t="str">
        <f>VLOOKUP(C:C,Customer_Dim!B:I,5,1)</f>
        <v>South Timtown</v>
      </c>
      <c r="O2000" t="str">
        <f>VLOOKUP(C:C,Customer_Dim!B:I,6,1)</f>
        <v>Minnesota</v>
      </c>
      <c r="P2000" t="str">
        <f>VLOOKUP(C:C,Customer_Dim!B:I,7,1)</f>
        <v>USA</v>
      </c>
      <c r="Q2000" t="str">
        <f>VLOOKUP(C:C,Customer_Dim!B:I,8,1)</f>
        <v>Bronze</v>
      </c>
      <c r="S2000">
        <v>3</v>
      </c>
      <c r="T2000">
        <v>945.37</v>
      </c>
      <c r="U2000">
        <v>0.05</v>
      </c>
      <c r="V2000">
        <v>2694.3045000000002</v>
      </c>
      <c r="X2000" s="4">
        <v>3</v>
      </c>
      <c r="Y2000">
        <v>945.37</v>
      </c>
      <c r="Z2000">
        <v>0.05</v>
      </c>
      <c r="AA2000">
        <v>2694.3045000000002</v>
      </c>
    </row>
    <row r="2001" spans="1:27" x14ac:dyDescent="0.3">
      <c r="A2001" t="s">
        <v>3808</v>
      </c>
      <c r="B2001" s="2">
        <v>45267</v>
      </c>
      <c r="C2001" t="s">
        <v>100</v>
      </c>
      <c r="D2001" t="s">
        <v>1683</v>
      </c>
      <c r="E2001" t="s">
        <v>1796</v>
      </c>
      <c r="F2001" s="4">
        <v>3</v>
      </c>
      <c r="G2001">
        <v>68.45</v>
      </c>
      <c r="H2001">
        <v>0.17</v>
      </c>
      <c r="I2001" t="s">
        <v>1809</v>
      </c>
      <c r="J2001">
        <v>170.44049999999999</v>
      </c>
      <c r="K2001" t="s">
        <v>101</v>
      </c>
      <c r="L2001">
        <v>40</v>
      </c>
      <c r="M2001" t="str">
        <v>Male</v>
      </c>
      <c r="N2001" t="str">
        <f>VLOOKUP(C:C,Customer_Dim!B:I,5,1)</f>
        <v>Molinabury</v>
      </c>
      <c r="O2001" t="str">
        <f>VLOOKUP(C:C,Customer_Dim!B:I,6,1)</f>
        <v>Oregon</v>
      </c>
      <c r="P2001" t="str">
        <f>VLOOKUP(C:C,Customer_Dim!B:I,7,1)</f>
        <v>USA</v>
      </c>
      <c r="Q2001" t="str">
        <f>VLOOKUP(C:C,Customer_Dim!B:I,8,1)</f>
        <v>Silver</v>
      </c>
      <c r="S2001">
        <v>3</v>
      </c>
      <c r="T2001">
        <v>68.45</v>
      </c>
      <c r="U2001">
        <v>0.17</v>
      </c>
      <c r="V2001">
        <v>170.44049999999999</v>
      </c>
      <c r="X2001" s="4">
        <v>3</v>
      </c>
      <c r="Y2001">
        <v>68.45</v>
      </c>
      <c r="Z2001">
        <v>0.17</v>
      </c>
      <c r="AA2001">
        <v>170.44049999999999</v>
      </c>
    </row>
  </sheetData>
  <autoFilter ref="A1:K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AEA0-3AFB-419D-AD93-A09F9BBA109F}">
  <dimension ref="A1:X2001"/>
  <sheetViews>
    <sheetView workbookViewId="0">
      <selection activeCell="J1" sqref="J1"/>
    </sheetView>
  </sheetViews>
  <sheetFormatPr defaultRowHeight="14.4" x14ac:dyDescent="0.3"/>
  <cols>
    <col min="1" max="1" width="9.88671875" customWidth="1"/>
    <col min="2" max="2" width="12.5546875" style="2" customWidth="1"/>
    <col min="3" max="3" width="13.77734375" customWidth="1"/>
    <col min="4" max="4" width="12.33203125" customWidth="1"/>
    <col min="5" max="5" width="10.109375" customWidth="1"/>
    <col min="6" max="6" width="10.21875" customWidth="1"/>
    <col min="7" max="7" width="11.5546875" customWidth="1"/>
    <col min="8" max="8" width="10.21875" customWidth="1"/>
    <col min="9" max="9" width="15.5546875" customWidth="1"/>
    <col min="10" max="10" width="15" customWidth="1"/>
    <col min="11" max="11" width="12.5546875" customWidth="1"/>
    <col min="13" max="13" width="9" customWidth="1"/>
    <col min="16" max="16" width="9.6640625" customWidth="1"/>
    <col min="17" max="17" width="14.33203125" customWidth="1"/>
    <col min="18" max="18" width="15.44140625" customWidth="1"/>
    <col min="21" max="21" width="12.77734375" customWidth="1"/>
  </cols>
  <sheetData>
    <row r="1" spans="1:24" x14ac:dyDescent="0.3">
      <c r="A1" t="s">
        <v>1799</v>
      </c>
      <c r="B1" s="2" t="s">
        <v>1800</v>
      </c>
      <c r="C1" t="s">
        <v>0</v>
      </c>
      <c r="D1" t="s">
        <v>1519</v>
      </c>
      <c r="E1" t="s">
        <v>1731</v>
      </c>
      <c r="F1" t="s">
        <v>1801</v>
      </c>
      <c r="G1" t="s">
        <v>1802</v>
      </c>
      <c r="H1" t="s">
        <v>1803</v>
      </c>
      <c r="I1" t="s">
        <v>1804</v>
      </c>
      <c r="J1" t="s">
        <v>1805</v>
      </c>
      <c r="K1" t="s">
        <v>1</v>
      </c>
      <c r="L1" t="s">
        <v>2</v>
      </c>
      <c r="M1" t="s">
        <v>3</v>
      </c>
      <c r="N1" t="s">
        <v>4</v>
      </c>
      <c r="O1" t="s">
        <v>5</v>
      </c>
      <c r="P1" t="s">
        <v>6</v>
      </c>
      <c r="Q1" t="s">
        <v>7</v>
      </c>
      <c r="R1" s="6" t="s">
        <v>1520</v>
      </c>
      <c r="S1" s="6" t="s">
        <v>1521</v>
      </c>
      <c r="T1" s="6" t="s">
        <v>1522</v>
      </c>
      <c r="U1" s="6" t="s">
        <v>1523</v>
      </c>
      <c r="V1" s="5" t="s">
        <v>1732</v>
      </c>
      <c r="W1" s="5" t="s">
        <v>1733</v>
      </c>
      <c r="X1" s="5" t="s">
        <v>1734</v>
      </c>
    </row>
    <row r="2" spans="1:24" x14ac:dyDescent="0.3">
      <c r="A2" t="s">
        <v>1806</v>
      </c>
      <c r="B2" s="2">
        <v>45480</v>
      </c>
      <c r="C2" t="s">
        <v>1258</v>
      </c>
      <c r="D2" t="s">
        <v>1725</v>
      </c>
      <c r="E2" t="s">
        <v>1749</v>
      </c>
      <c r="F2" s="4">
        <v>1</v>
      </c>
      <c r="G2">
        <v>218.04</v>
      </c>
      <c r="H2">
        <v>0.09</v>
      </c>
      <c r="I2" t="s">
        <v>1807</v>
      </c>
      <c r="J2">
        <v>198.41640000000001</v>
      </c>
      <c r="K2" t="s">
        <v>1259</v>
      </c>
      <c r="L2">
        <v>48</v>
      </c>
      <c r="M2" t="s">
        <v>16</v>
      </c>
      <c r="N2" t="s">
        <v>1260</v>
      </c>
      <c r="O2" t="s">
        <v>838</v>
      </c>
      <c r="P2" t="s">
        <v>12</v>
      </c>
      <c r="Q2" t="s">
        <v>13</v>
      </c>
      <c r="R2" t="s">
        <v>3930</v>
      </c>
      <c r="S2" t="s">
        <v>1549</v>
      </c>
      <c r="T2" t="s">
        <v>3859</v>
      </c>
      <c r="U2" t="s">
        <v>1726</v>
      </c>
      <c r="V2" t="s">
        <v>1750</v>
      </c>
      <c r="W2" t="s">
        <v>1742</v>
      </c>
      <c r="X2" t="s">
        <v>1748</v>
      </c>
    </row>
    <row r="3" spans="1:24" x14ac:dyDescent="0.3">
      <c r="A3" t="s">
        <v>1808</v>
      </c>
      <c r="B3" s="2">
        <v>45285</v>
      </c>
      <c r="C3" t="s">
        <v>1424</v>
      </c>
      <c r="D3" t="s">
        <v>1679</v>
      </c>
      <c r="E3" t="s">
        <v>1790</v>
      </c>
      <c r="F3" s="4">
        <v>3</v>
      </c>
      <c r="G3">
        <v>104.47</v>
      </c>
      <c r="H3">
        <v>0.27</v>
      </c>
      <c r="I3" t="s">
        <v>1809</v>
      </c>
      <c r="J3">
        <v>228.7893</v>
      </c>
      <c r="K3" t="s">
        <v>1425</v>
      </c>
      <c r="L3">
        <v>45</v>
      </c>
      <c r="M3" t="s">
        <v>9</v>
      </c>
      <c r="N3" t="s">
        <v>1426</v>
      </c>
      <c r="O3" t="s">
        <v>170</v>
      </c>
      <c r="P3" t="s">
        <v>12</v>
      </c>
      <c r="Q3" t="s">
        <v>13</v>
      </c>
      <c r="R3" t="s">
        <v>3907</v>
      </c>
      <c r="S3" t="s">
        <v>1546</v>
      </c>
      <c r="T3" t="s">
        <v>3826</v>
      </c>
      <c r="U3" t="s">
        <v>1680</v>
      </c>
      <c r="V3" t="s">
        <v>1741</v>
      </c>
      <c r="W3" t="s">
        <v>1742</v>
      </c>
      <c r="X3" t="s">
        <v>1739</v>
      </c>
    </row>
    <row r="4" spans="1:24" x14ac:dyDescent="0.3">
      <c r="A4" t="s">
        <v>1810</v>
      </c>
      <c r="B4" s="2">
        <v>45446</v>
      </c>
      <c r="C4" t="s">
        <v>208</v>
      </c>
      <c r="D4" t="s">
        <v>1629</v>
      </c>
      <c r="E4" t="s">
        <v>1765</v>
      </c>
      <c r="F4" s="4">
        <v>4</v>
      </c>
      <c r="G4">
        <v>914.05</v>
      </c>
      <c r="H4">
        <v>0.25</v>
      </c>
      <c r="I4" t="s">
        <v>1807</v>
      </c>
      <c r="J4">
        <v>2742.15</v>
      </c>
      <c r="K4" t="s">
        <v>209</v>
      </c>
      <c r="L4">
        <v>43</v>
      </c>
      <c r="M4" t="s">
        <v>16</v>
      </c>
      <c r="N4" t="s">
        <v>210</v>
      </c>
      <c r="O4" t="s">
        <v>51</v>
      </c>
      <c r="P4" t="s">
        <v>12</v>
      </c>
      <c r="Q4" t="s">
        <v>13</v>
      </c>
      <c r="R4" t="s">
        <v>3880</v>
      </c>
      <c r="S4" t="s">
        <v>1541</v>
      </c>
      <c r="T4" t="s">
        <v>3881</v>
      </c>
      <c r="U4" t="s">
        <v>1630</v>
      </c>
      <c r="V4" t="s">
        <v>1766</v>
      </c>
      <c r="W4" t="s">
        <v>1767</v>
      </c>
      <c r="X4" t="s">
        <v>1755</v>
      </c>
    </row>
    <row r="5" spans="1:24" x14ac:dyDescent="0.3">
      <c r="A5" t="s">
        <v>1811</v>
      </c>
      <c r="B5" s="2">
        <v>45259</v>
      </c>
      <c r="C5" t="s">
        <v>1075</v>
      </c>
      <c r="D5" t="s">
        <v>1683</v>
      </c>
      <c r="E5" t="s">
        <v>1765</v>
      </c>
      <c r="F5" s="4">
        <v>1</v>
      </c>
      <c r="G5">
        <v>921.51</v>
      </c>
      <c r="H5">
        <v>0.16</v>
      </c>
      <c r="I5" t="s">
        <v>1812</v>
      </c>
      <c r="J5">
        <v>774.0684</v>
      </c>
      <c r="K5" t="s">
        <v>1076</v>
      </c>
      <c r="L5">
        <v>39</v>
      </c>
      <c r="M5" t="s">
        <v>16</v>
      </c>
      <c r="N5" t="s">
        <v>1077</v>
      </c>
      <c r="O5" t="s">
        <v>234</v>
      </c>
      <c r="P5" t="s">
        <v>12</v>
      </c>
      <c r="Q5" t="s">
        <v>19</v>
      </c>
      <c r="R5" t="s">
        <v>3909</v>
      </c>
      <c r="S5" t="s">
        <v>1546</v>
      </c>
      <c r="T5" t="s">
        <v>3811</v>
      </c>
      <c r="U5" t="s">
        <v>1684</v>
      </c>
      <c r="V5" t="s">
        <v>1766</v>
      </c>
      <c r="W5" t="s">
        <v>1767</v>
      </c>
      <c r="X5" t="s">
        <v>1755</v>
      </c>
    </row>
    <row r="6" spans="1:24" x14ac:dyDescent="0.3">
      <c r="A6" t="s">
        <v>1813</v>
      </c>
      <c r="B6" s="2">
        <v>45297</v>
      </c>
      <c r="C6" t="s">
        <v>1499</v>
      </c>
      <c r="D6" t="s">
        <v>1649</v>
      </c>
      <c r="E6" t="s">
        <v>1756</v>
      </c>
      <c r="F6" s="4">
        <v>3</v>
      </c>
      <c r="G6">
        <v>745.3</v>
      </c>
      <c r="H6">
        <v>0.18</v>
      </c>
      <c r="I6" t="s">
        <v>1807</v>
      </c>
      <c r="J6">
        <v>1833.4380000000001</v>
      </c>
      <c r="K6" t="s">
        <v>1500</v>
      </c>
      <c r="L6">
        <v>21</v>
      </c>
      <c r="M6" t="s">
        <v>9</v>
      </c>
      <c r="N6" t="s">
        <v>84</v>
      </c>
      <c r="O6" t="s">
        <v>22</v>
      </c>
      <c r="P6" t="s">
        <v>12</v>
      </c>
      <c r="Q6" t="s">
        <v>31</v>
      </c>
      <c r="R6" t="s">
        <v>3891</v>
      </c>
      <c r="S6" t="s">
        <v>1541</v>
      </c>
      <c r="T6" t="s">
        <v>3833</v>
      </c>
      <c r="U6" t="s">
        <v>1650</v>
      </c>
      <c r="V6" t="s">
        <v>1757</v>
      </c>
      <c r="W6" t="s">
        <v>1742</v>
      </c>
      <c r="X6" t="s">
        <v>1748</v>
      </c>
    </row>
    <row r="7" spans="1:24" x14ac:dyDescent="0.3">
      <c r="A7" t="s">
        <v>1814</v>
      </c>
      <c r="B7" s="2">
        <v>45499</v>
      </c>
      <c r="C7" t="s">
        <v>400</v>
      </c>
      <c r="D7" t="s">
        <v>1561</v>
      </c>
      <c r="E7" t="s">
        <v>1762</v>
      </c>
      <c r="F7" s="4">
        <v>3</v>
      </c>
      <c r="G7">
        <v>147.01</v>
      </c>
      <c r="H7">
        <v>0.19</v>
      </c>
      <c r="I7" t="s">
        <v>1812</v>
      </c>
      <c r="J7">
        <v>357.23430000000002</v>
      </c>
      <c r="K7" t="s">
        <v>401</v>
      </c>
      <c r="L7">
        <v>21</v>
      </c>
      <c r="M7" t="s">
        <v>16</v>
      </c>
      <c r="N7" t="s">
        <v>402</v>
      </c>
      <c r="O7" t="s">
        <v>214</v>
      </c>
      <c r="P7" t="s">
        <v>12</v>
      </c>
      <c r="Q7" t="s">
        <v>19</v>
      </c>
      <c r="R7" t="s">
        <v>3837</v>
      </c>
      <c r="S7" t="s">
        <v>1546</v>
      </c>
      <c r="T7" t="s">
        <v>3838</v>
      </c>
      <c r="U7" t="s">
        <v>1562</v>
      </c>
      <c r="V7" t="s">
        <v>1763</v>
      </c>
      <c r="W7" t="s">
        <v>1746</v>
      </c>
      <c r="X7" t="s">
        <v>1755</v>
      </c>
    </row>
    <row r="8" spans="1:24" x14ac:dyDescent="0.3">
      <c r="A8" t="s">
        <v>1815</v>
      </c>
      <c r="B8" s="2">
        <v>45850</v>
      </c>
      <c r="C8" t="s">
        <v>75</v>
      </c>
      <c r="D8" t="s">
        <v>1643</v>
      </c>
      <c r="E8" t="s">
        <v>1752</v>
      </c>
      <c r="F8" s="4">
        <v>2</v>
      </c>
      <c r="G8">
        <v>785.31</v>
      </c>
      <c r="H8">
        <v>0.15</v>
      </c>
      <c r="I8" t="s">
        <v>1809</v>
      </c>
      <c r="J8">
        <v>1335.027</v>
      </c>
      <c r="K8" t="s">
        <v>76</v>
      </c>
      <c r="L8">
        <v>60</v>
      </c>
      <c r="M8" t="s">
        <v>16</v>
      </c>
      <c r="N8" t="s">
        <v>77</v>
      </c>
      <c r="O8" t="s">
        <v>51</v>
      </c>
      <c r="P8" t="s">
        <v>12</v>
      </c>
      <c r="Q8" t="s">
        <v>26</v>
      </c>
      <c r="R8" t="s">
        <v>3888</v>
      </c>
      <c r="S8" t="s">
        <v>1527</v>
      </c>
      <c r="T8" t="s">
        <v>3836</v>
      </c>
      <c r="U8" t="s">
        <v>1644</v>
      </c>
      <c r="V8" t="s">
        <v>1753</v>
      </c>
      <c r="W8" t="s">
        <v>1746</v>
      </c>
      <c r="X8" t="s">
        <v>1755</v>
      </c>
    </row>
    <row r="9" spans="1:24" x14ac:dyDescent="0.3">
      <c r="A9" t="s">
        <v>1816</v>
      </c>
      <c r="B9" s="2">
        <v>45248</v>
      </c>
      <c r="C9" t="s">
        <v>506</v>
      </c>
      <c r="D9" t="s">
        <v>1671</v>
      </c>
      <c r="E9" t="s">
        <v>1765</v>
      </c>
      <c r="F9" s="4">
        <v>4</v>
      </c>
      <c r="G9">
        <v>342.39</v>
      </c>
      <c r="H9">
        <v>0.23</v>
      </c>
      <c r="I9" t="s">
        <v>1809</v>
      </c>
      <c r="J9">
        <v>1054.5612000000001</v>
      </c>
      <c r="K9" t="s">
        <v>507</v>
      </c>
      <c r="L9">
        <v>31</v>
      </c>
      <c r="M9" t="s">
        <v>9</v>
      </c>
      <c r="N9" t="s">
        <v>508</v>
      </c>
      <c r="O9" t="s">
        <v>113</v>
      </c>
      <c r="P9" t="s">
        <v>12</v>
      </c>
      <c r="Q9" t="s">
        <v>19</v>
      </c>
      <c r="R9" t="s">
        <v>3903</v>
      </c>
      <c r="S9" t="s">
        <v>1527</v>
      </c>
      <c r="T9" t="s">
        <v>3847</v>
      </c>
      <c r="U9" t="s">
        <v>1672</v>
      </c>
      <c r="V9" t="s">
        <v>1766</v>
      </c>
      <c r="W9" t="s">
        <v>1767</v>
      </c>
      <c r="X9" t="s">
        <v>1755</v>
      </c>
    </row>
    <row r="10" spans="1:24" x14ac:dyDescent="0.3">
      <c r="A10" t="s">
        <v>1817</v>
      </c>
      <c r="B10" s="2">
        <v>45781</v>
      </c>
      <c r="C10" t="s">
        <v>610</v>
      </c>
      <c r="D10" t="s">
        <v>1729</v>
      </c>
      <c r="E10" t="s">
        <v>1756</v>
      </c>
      <c r="F10" s="4">
        <v>2.4796175138399597</v>
      </c>
      <c r="G10">
        <v>448.25</v>
      </c>
      <c r="H10">
        <v>7.0000000000000007E-2</v>
      </c>
      <c r="I10" t="s">
        <v>1809</v>
      </c>
      <c r="J10">
        <v>1250.6175000000001</v>
      </c>
      <c r="K10" t="s">
        <v>611</v>
      </c>
      <c r="L10">
        <v>42</v>
      </c>
      <c r="M10" t="s">
        <v>9</v>
      </c>
      <c r="N10" t="s">
        <v>612</v>
      </c>
      <c r="O10" t="s">
        <v>22</v>
      </c>
      <c r="P10" t="s">
        <v>12</v>
      </c>
      <c r="Q10" t="s">
        <v>19</v>
      </c>
      <c r="R10" t="s">
        <v>3932</v>
      </c>
      <c r="S10" t="s">
        <v>1527</v>
      </c>
      <c r="T10" t="s">
        <v>3830</v>
      </c>
      <c r="U10" t="s">
        <v>1730</v>
      </c>
      <c r="V10" t="s">
        <v>1757</v>
      </c>
      <c r="W10" t="s">
        <v>1742</v>
      </c>
      <c r="X10" t="s">
        <v>1748</v>
      </c>
    </row>
    <row r="11" spans="1:24" x14ac:dyDescent="0.3">
      <c r="A11" t="s">
        <v>1818</v>
      </c>
      <c r="B11" s="2">
        <v>45869</v>
      </c>
      <c r="C11" t="s">
        <v>1415</v>
      </c>
      <c r="D11" t="s">
        <v>1597</v>
      </c>
      <c r="E11" t="s">
        <v>1735</v>
      </c>
      <c r="F11" s="4">
        <v>2</v>
      </c>
      <c r="G11">
        <v>873.17</v>
      </c>
      <c r="H11">
        <v>0.23</v>
      </c>
      <c r="I11" t="s">
        <v>1809</v>
      </c>
      <c r="J11">
        <v>1344.6818000000001</v>
      </c>
      <c r="K11" t="s">
        <v>1416</v>
      </c>
      <c r="L11">
        <v>28</v>
      </c>
      <c r="M11" t="s">
        <v>16</v>
      </c>
      <c r="N11" t="s">
        <v>1417</v>
      </c>
      <c r="O11" t="s">
        <v>74</v>
      </c>
      <c r="P11" t="s">
        <v>12</v>
      </c>
      <c r="Q11" t="s">
        <v>19</v>
      </c>
      <c r="R11" t="s">
        <v>3861</v>
      </c>
      <c r="S11" t="s">
        <v>1527</v>
      </c>
      <c r="T11" t="s">
        <v>3836</v>
      </c>
      <c r="U11" t="s">
        <v>1598</v>
      </c>
      <c r="V11" t="s">
        <v>1736</v>
      </c>
      <c r="W11" t="s">
        <v>1737</v>
      </c>
      <c r="X11" t="s">
        <v>1739</v>
      </c>
    </row>
    <row r="12" spans="1:24" x14ac:dyDescent="0.3">
      <c r="A12" t="s">
        <v>1819</v>
      </c>
      <c r="B12" s="2">
        <v>45335</v>
      </c>
      <c r="C12" t="s">
        <v>238</v>
      </c>
      <c r="D12" t="s">
        <v>1579</v>
      </c>
      <c r="E12" t="s">
        <v>1782</v>
      </c>
      <c r="F12" s="4">
        <v>1</v>
      </c>
      <c r="G12">
        <v>278.63</v>
      </c>
      <c r="H12">
        <v>7.0000000000000007E-2</v>
      </c>
      <c r="I12" t="s">
        <v>1807</v>
      </c>
      <c r="J12">
        <v>259.1259</v>
      </c>
      <c r="K12" t="s">
        <v>239</v>
      </c>
      <c r="L12">
        <v>27</v>
      </c>
      <c r="M12" t="s">
        <v>16</v>
      </c>
      <c r="N12" t="s">
        <v>240</v>
      </c>
      <c r="O12" t="s">
        <v>181</v>
      </c>
      <c r="P12" t="s">
        <v>12</v>
      </c>
      <c r="Q12" t="s">
        <v>31</v>
      </c>
      <c r="R12" t="s">
        <v>3850</v>
      </c>
      <c r="S12" t="s">
        <v>1549</v>
      </c>
      <c r="T12" t="s">
        <v>3851</v>
      </c>
      <c r="U12" t="s">
        <v>1580</v>
      </c>
      <c r="V12" t="s">
        <v>1741</v>
      </c>
      <c r="W12" t="s">
        <v>1742</v>
      </c>
      <c r="X12" t="s">
        <v>1739</v>
      </c>
    </row>
    <row r="13" spans="1:24" x14ac:dyDescent="0.3">
      <c r="A13" t="s">
        <v>1820</v>
      </c>
      <c r="B13" s="2">
        <v>45801</v>
      </c>
      <c r="C13" t="s">
        <v>998</v>
      </c>
      <c r="D13" t="s">
        <v>1609</v>
      </c>
      <c r="E13" t="s">
        <v>1740</v>
      </c>
      <c r="F13" s="4">
        <v>4</v>
      </c>
      <c r="G13">
        <v>286.92</v>
      </c>
      <c r="H13">
        <v>0.17</v>
      </c>
      <c r="I13" t="s">
        <v>1807</v>
      </c>
      <c r="J13">
        <v>952.57439999999997</v>
      </c>
      <c r="K13" t="s">
        <v>999</v>
      </c>
      <c r="L13">
        <v>21</v>
      </c>
      <c r="M13" t="s">
        <v>16</v>
      </c>
      <c r="N13" t="s">
        <v>1000</v>
      </c>
      <c r="O13" t="s">
        <v>264</v>
      </c>
      <c r="P13" t="s">
        <v>12</v>
      </c>
      <c r="Q13" t="s">
        <v>26</v>
      </c>
      <c r="R13" t="s">
        <v>3868</v>
      </c>
      <c r="S13" t="s">
        <v>1546</v>
      </c>
      <c r="T13" t="s">
        <v>3869</v>
      </c>
      <c r="U13" t="s">
        <v>1610</v>
      </c>
      <c r="V13" t="s">
        <v>1741</v>
      </c>
      <c r="W13" t="s">
        <v>1742</v>
      </c>
      <c r="X13" t="s">
        <v>1739</v>
      </c>
    </row>
    <row r="14" spans="1:24" x14ac:dyDescent="0.3">
      <c r="A14" t="s">
        <v>1821</v>
      </c>
      <c r="B14" s="2">
        <v>45528</v>
      </c>
      <c r="C14" t="s">
        <v>755</v>
      </c>
      <c r="D14" t="s">
        <v>1707</v>
      </c>
      <c r="E14" t="s">
        <v>1752</v>
      </c>
      <c r="F14" s="4">
        <v>4</v>
      </c>
      <c r="G14">
        <v>644.58000000000004</v>
      </c>
      <c r="H14">
        <v>0.01</v>
      </c>
      <c r="I14" t="s">
        <v>1807</v>
      </c>
      <c r="J14">
        <v>2552.5367999999999</v>
      </c>
      <c r="K14" t="s">
        <v>756</v>
      </c>
      <c r="L14">
        <v>40</v>
      </c>
      <c r="M14" t="s">
        <v>9</v>
      </c>
      <c r="N14" t="s">
        <v>757</v>
      </c>
      <c r="O14" t="s">
        <v>66</v>
      </c>
      <c r="P14" t="s">
        <v>12</v>
      </c>
      <c r="Q14" t="s">
        <v>13</v>
      </c>
      <c r="R14" t="s">
        <v>3921</v>
      </c>
      <c r="S14" t="s">
        <v>1549</v>
      </c>
      <c r="T14" t="s">
        <v>3820</v>
      </c>
      <c r="U14" t="s">
        <v>1708</v>
      </c>
      <c r="V14" t="s">
        <v>1753</v>
      </c>
      <c r="W14" t="s">
        <v>1746</v>
      </c>
      <c r="X14" t="s">
        <v>1755</v>
      </c>
    </row>
    <row r="15" spans="1:24" x14ac:dyDescent="0.3">
      <c r="A15" t="s">
        <v>1822</v>
      </c>
      <c r="B15" s="2">
        <v>45875</v>
      </c>
      <c r="C15" t="s">
        <v>1355</v>
      </c>
      <c r="D15" t="s">
        <v>1599</v>
      </c>
      <c r="E15" t="s">
        <v>1787</v>
      </c>
      <c r="F15" s="4">
        <v>2</v>
      </c>
      <c r="G15">
        <v>316.89999999999998</v>
      </c>
      <c r="H15">
        <v>0.3</v>
      </c>
      <c r="I15" t="s">
        <v>1809</v>
      </c>
      <c r="J15">
        <v>443.66</v>
      </c>
      <c r="K15" t="s">
        <v>1356</v>
      </c>
      <c r="L15">
        <v>19</v>
      </c>
      <c r="M15" t="s">
        <v>9</v>
      </c>
      <c r="N15" t="s">
        <v>1357</v>
      </c>
      <c r="O15" t="s">
        <v>354</v>
      </c>
      <c r="P15" t="s">
        <v>12</v>
      </c>
      <c r="Q15" t="s">
        <v>31</v>
      </c>
      <c r="R15" t="s">
        <v>3862</v>
      </c>
      <c r="S15" t="s">
        <v>1546</v>
      </c>
      <c r="T15" t="s">
        <v>3811</v>
      </c>
      <c r="U15" t="s">
        <v>1600</v>
      </c>
      <c r="V15" t="s">
        <v>1741</v>
      </c>
      <c r="W15" t="s">
        <v>1742</v>
      </c>
      <c r="X15" t="s">
        <v>1739</v>
      </c>
    </row>
    <row r="16" spans="1:24" x14ac:dyDescent="0.3">
      <c r="A16" t="s">
        <v>1823</v>
      </c>
      <c r="B16" s="2">
        <v>45829</v>
      </c>
      <c r="C16" t="s">
        <v>1080</v>
      </c>
      <c r="D16" t="s">
        <v>1579</v>
      </c>
      <c r="E16" t="s">
        <v>1784</v>
      </c>
      <c r="F16" s="4">
        <v>4</v>
      </c>
      <c r="G16">
        <v>403.47</v>
      </c>
      <c r="H16">
        <v>0.28999999999999998</v>
      </c>
      <c r="I16" t="s">
        <v>1809</v>
      </c>
      <c r="J16">
        <v>1145.8548000000001</v>
      </c>
      <c r="K16" t="s">
        <v>1081</v>
      </c>
      <c r="L16">
        <v>31</v>
      </c>
      <c r="M16" t="s">
        <v>9</v>
      </c>
      <c r="N16" t="s">
        <v>1082</v>
      </c>
      <c r="O16" t="s">
        <v>51</v>
      </c>
      <c r="P16" t="s">
        <v>12</v>
      </c>
      <c r="Q16" t="s">
        <v>31</v>
      </c>
      <c r="R16" t="s">
        <v>3850</v>
      </c>
      <c r="S16" t="s">
        <v>1549</v>
      </c>
      <c r="T16" t="s">
        <v>3851</v>
      </c>
      <c r="U16" t="s">
        <v>1580</v>
      </c>
      <c r="V16" t="s">
        <v>1741</v>
      </c>
      <c r="W16" t="s">
        <v>1742</v>
      </c>
      <c r="X16" t="s">
        <v>1739</v>
      </c>
    </row>
    <row r="17" spans="1:24" x14ac:dyDescent="0.3">
      <c r="A17" t="s">
        <v>1824</v>
      </c>
      <c r="B17" s="2">
        <v>45636</v>
      </c>
      <c r="C17" t="s">
        <v>1333</v>
      </c>
      <c r="D17" t="s">
        <v>1603</v>
      </c>
      <c r="E17" t="s">
        <v>1769</v>
      </c>
      <c r="F17" s="4">
        <v>2.4785461887935387</v>
      </c>
      <c r="G17">
        <v>871.34</v>
      </c>
      <c r="H17">
        <v>0.04</v>
      </c>
      <c r="I17" t="s">
        <v>1812</v>
      </c>
      <c r="J17">
        <v>2509.4591999999998</v>
      </c>
      <c r="K17" t="s">
        <v>1334</v>
      </c>
      <c r="L17">
        <v>61</v>
      </c>
      <c r="M17" t="s">
        <v>9</v>
      </c>
      <c r="N17" t="s">
        <v>1335</v>
      </c>
      <c r="O17" t="s">
        <v>106</v>
      </c>
      <c r="P17" t="s">
        <v>12</v>
      </c>
      <c r="Q17" t="s">
        <v>31</v>
      </c>
      <c r="R17" t="s">
        <v>3864</v>
      </c>
      <c r="S17" t="s">
        <v>1530</v>
      </c>
      <c r="T17" t="s">
        <v>3813</v>
      </c>
      <c r="U17" t="s">
        <v>1604</v>
      </c>
      <c r="V17" t="s">
        <v>1770</v>
      </c>
      <c r="W17" t="s">
        <v>1746</v>
      </c>
      <c r="X17" t="s">
        <v>1739</v>
      </c>
    </row>
    <row r="18" spans="1:24" x14ac:dyDescent="0.3">
      <c r="A18" t="s">
        <v>1825</v>
      </c>
      <c r="B18" s="2">
        <v>45913</v>
      </c>
      <c r="C18" t="s">
        <v>870</v>
      </c>
      <c r="D18" t="s">
        <v>1661</v>
      </c>
      <c r="E18" t="s">
        <v>1796</v>
      </c>
      <c r="F18" s="4">
        <v>2</v>
      </c>
      <c r="G18">
        <v>451.98</v>
      </c>
      <c r="H18">
        <v>0.25</v>
      </c>
      <c r="I18" t="s">
        <v>1807</v>
      </c>
      <c r="J18">
        <v>677.97</v>
      </c>
      <c r="K18" t="s">
        <v>871</v>
      </c>
      <c r="L18">
        <v>22</v>
      </c>
      <c r="M18" t="s">
        <v>16</v>
      </c>
      <c r="N18" t="s">
        <v>872</v>
      </c>
      <c r="O18" t="s">
        <v>181</v>
      </c>
      <c r="P18" t="s">
        <v>12</v>
      </c>
      <c r="Q18" t="s">
        <v>13</v>
      </c>
      <c r="R18" t="s">
        <v>3897</v>
      </c>
      <c r="S18" t="s">
        <v>1549</v>
      </c>
      <c r="T18" t="s">
        <v>3828</v>
      </c>
      <c r="U18" t="s">
        <v>1662</v>
      </c>
      <c r="V18" t="s">
        <v>1741</v>
      </c>
      <c r="W18" t="s">
        <v>1742</v>
      </c>
      <c r="X18" t="s">
        <v>1739</v>
      </c>
    </row>
    <row r="19" spans="1:24" x14ac:dyDescent="0.3">
      <c r="A19" t="s">
        <v>1826</v>
      </c>
      <c r="B19" s="2">
        <v>45637</v>
      </c>
      <c r="C19" t="s">
        <v>285</v>
      </c>
      <c r="D19" t="s">
        <v>1585</v>
      </c>
      <c r="E19" t="s">
        <v>1752</v>
      </c>
      <c r="F19" s="4">
        <v>2</v>
      </c>
      <c r="G19">
        <v>502.69</v>
      </c>
      <c r="H19">
        <v>0.23</v>
      </c>
      <c r="I19" t="s">
        <v>1807</v>
      </c>
      <c r="J19">
        <v>774.14260000000002</v>
      </c>
      <c r="K19" t="s">
        <v>286</v>
      </c>
      <c r="L19">
        <v>61</v>
      </c>
      <c r="M19" t="s">
        <v>16</v>
      </c>
      <c r="N19" t="s">
        <v>287</v>
      </c>
      <c r="O19" t="s">
        <v>288</v>
      </c>
      <c r="P19" t="s">
        <v>12</v>
      </c>
      <c r="Q19" t="s">
        <v>19</v>
      </c>
      <c r="R19" t="s">
        <v>3854</v>
      </c>
      <c r="S19" t="s">
        <v>1527</v>
      </c>
      <c r="T19" t="s">
        <v>3836</v>
      </c>
      <c r="U19" t="s">
        <v>1586</v>
      </c>
      <c r="V19" t="s">
        <v>1753</v>
      </c>
      <c r="W19" t="s">
        <v>1746</v>
      </c>
      <c r="X19" t="s">
        <v>1755</v>
      </c>
    </row>
    <row r="20" spans="1:24" x14ac:dyDescent="0.3">
      <c r="A20" t="s">
        <v>1827</v>
      </c>
      <c r="B20" s="2">
        <v>45517</v>
      </c>
      <c r="C20" t="s">
        <v>333</v>
      </c>
      <c r="D20" t="s">
        <v>1609</v>
      </c>
      <c r="E20" t="s">
        <v>1752</v>
      </c>
      <c r="F20" s="4">
        <v>2</v>
      </c>
      <c r="G20">
        <v>559.23</v>
      </c>
      <c r="H20">
        <v>0.25</v>
      </c>
      <c r="I20" t="s">
        <v>1812</v>
      </c>
      <c r="J20">
        <v>838.84500000000003</v>
      </c>
      <c r="K20" t="s">
        <v>334</v>
      </c>
      <c r="L20">
        <v>62</v>
      </c>
      <c r="M20" t="s">
        <v>16</v>
      </c>
      <c r="N20" t="s">
        <v>335</v>
      </c>
      <c r="O20" t="s">
        <v>181</v>
      </c>
      <c r="P20" t="s">
        <v>12</v>
      </c>
      <c r="Q20" t="s">
        <v>13</v>
      </c>
      <c r="R20" t="s">
        <v>3868</v>
      </c>
      <c r="S20" t="s">
        <v>1546</v>
      </c>
      <c r="T20" t="s">
        <v>3869</v>
      </c>
      <c r="U20" t="s">
        <v>1610</v>
      </c>
      <c r="V20" t="s">
        <v>1753</v>
      </c>
      <c r="W20" t="s">
        <v>1746</v>
      </c>
      <c r="X20" t="s">
        <v>1755</v>
      </c>
    </row>
    <row r="21" spans="1:24" x14ac:dyDescent="0.3">
      <c r="A21" t="s">
        <v>1828</v>
      </c>
      <c r="B21" s="2">
        <v>45369</v>
      </c>
      <c r="C21" t="s">
        <v>761</v>
      </c>
      <c r="D21" t="s">
        <v>1651</v>
      </c>
      <c r="E21" t="s">
        <v>1780</v>
      </c>
      <c r="F21" s="4">
        <v>4</v>
      </c>
      <c r="G21">
        <v>513.95973205257826</v>
      </c>
      <c r="H21">
        <v>0.04</v>
      </c>
      <c r="I21" t="s">
        <v>1812</v>
      </c>
      <c r="J21">
        <v>1782.4512</v>
      </c>
      <c r="K21" t="s">
        <v>762</v>
      </c>
      <c r="L21">
        <v>59</v>
      </c>
      <c r="M21" t="s">
        <v>16</v>
      </c>
      <c r="N21" t="s">
        <v>763</v>
      </c>
      <c r="O21" t="s">
        <v>181</v>
      </c>
      <c r="P21" t="s">
        <v>12</v>
      </c>
      <c r="Q21" t="s">
        <v>19</v>
      </c>
      <c r="R21" t="s">
        <v>3892</v>
      </c>
      <c r="S21" t="s">
        <v>1541</v>
      </c>
      <c r="T21" t="s">
        <v>3881</v>
      </c>
      <c r="U21" t="s">
        <v>1652</v>
      </c>
      <c r="V21" t="s">
        <v>1741</v>
      </c>
      <c r="W21" t="s">
        <v>1742</v>
      </c>
      <c r="X21" t="s">
        <v>1739</v>
      </c>
    </row>
    <row r="22" spans="1:24" x14ac:dyDescent="0.3">
      <c r="A22" t="s">
        <v>1829</v>
      </c>
      <c r="B22" s="2">
        <v>45843</v>
      </c>
      <c r="C22" t="s">
        <v>482</v>
      </c>
      <c r="D22" t="s">
        <v>1675</v>
      </c>
      <c r="E22" t="s">
        <v>1790</v>
      </c>
      <c r="F22" s="4">
        <v>3</v>
      </c>
      <c r="G22">
        <v>986.04</v>
      </c>
      <c r="H22">
        <v>0.27</v>
      </c>
      <c r="I22" t="s">
        <v>1812</v>
      </c>
      <c r="J22">
        <v>2159.4276</v>
      </c>
      <c r="K22" t="s">
        <v>483</v>
      </c>
      <c r="L22">
        <v>46</v>
      </c>
      <c r="M22" t="s">
        <v>9</v>
      </c>
      <c r="N22" t="s">
        <v>484</v>
      </c>
      <c r="O22" t="s">
        <v>181</v>
      </c>
      <c r="P22" t="s">
        <v>12</v>
      </c>
      <c r="Q22" t="s">
        <v>26</v>
      </c>
      <c r="R22" t="s">
        <v>3905</v>
      </c>
      <c r="S22" t="s">
        <v>1549</v>
      </c>
      <c r="T22" t="s">
        <v>3828</v>
      </c>
      <c r="U22" t="s">
        <v>1676</v>
      </c>
      <c r="V22" t="s">
        <v>1741</v>
      </c>
      <c r="W22" t="s">
        <v>1742</v>
      </c>
      <c r="X22" t="s">
        <v>1739</v>
      </c>
    </row>
    <row r="23" spans="1:24" x14ac:dyDescent="0.3">
      <c r="A23" t="s">
        <v>1830</v>
      </c>
      <c r="B23" s="2">
        <v>45447</v>
      </c>
      <c r="C23" t="s">
        <v>1222</v>
      </c>
      <c r="D23" t="s">
        <v>1617</v>
      </c>
      <c r="E23" t="s">
        <v>1793</v>
      </c>
      <c r="F23" s="4">
        <v>1</v>
      </c>
      <c r="G23">
        <v>589.55999999999995</v>
      </c>
      <c r="H23">
        <v>0.22</v>
      </c>
      <c r="I23" t="s">
        <v>1807</v>
      </c>
      <c r="J23">
        <v>459.85680000000002</v>
      </c>
      <c r="K23" t="s">
        <v>1223</v>
      </c>
      <c r="L23">
        <v>62</v>
      </c>
      <c r="M23" t="s">
        <v>16</v>
      </c>
      <c r="N23" t="s">
        <v>1224</v>
      </c>
      <c r="O23" t="s">
        <v>58</v>
      </c>
      <c r="P23" t="s">
        <v>12</v>
      </c>
      <c r="Q23" t="s">
        <v>31</v>
      </c>
      <c r="R23" t="s">
        <v>3873</v>
      </c>
      <c r="S23" t="s">
        <v>1546</v>
      </c>
      <c r="T23" t="s">
        <v>3811</v>
      </c>
      <c r="U23" t="s">
        <v>1618</v>
      </c>
      <c r="V23" t="s">
        <v>1741</v>
      </c>
      <c r="W23" t="s">
        <v>1742</v>
      </c>
      <c r="X23" t="s">
        <v>1739</v>
      </c>
    </row>
    <row r="24" spans="1:24" x14ac:dyDescent="0.3">
      <c r="A24" t="s">
        <v>1831</v>
      </c>
      <c r="B24" s="2">
        <v>45394</v>
      </c>
      <c r="C24" t="s">
        <v>1450</v>
      </c>
      <c r="D24" t="s">
        <v>1669</v>
      </c>
      <c r="E24" t="s">
        <v>1772</v>
      </c>
      <c r="F24" s="4">
        <v>3</v>
      </c>
      <c r="G24">
        <v>979.42</v>
      </c>
      <c r="H24">
        <v>0.03</v>
      </c>
      <c r="I24" t="s">
        <v>1809</v>
      </c>
      <c r="J24">
        <v>2850.1122</v>
      </c>
      <c r="K24" t="s">
        <v>1451</v>
      </c>
      <c r="L24">
        <v>41</v>
      </c>
      <c r="M24" t="s">
        <v>16</v>
      </c>
      <c r="N24" t="s">
        <v>1452</v>
      </c>
      <c r="O24" t="s">
        <v>96</v>
      </c>
      <c r="P24" t="s">
        <v>12</v>
      </c>
      <c r="Q24" t="s">
        <v>13</v>
      </c>
      <c r="R24" t="s">
        <v>3902</v>
      </c>
      <c r="S24" t="s">
        <v>1530</v>
      </c>
      <c r="T24" t="s">
        <v>3818</v>
      </c>
      <c r="U24" t="s">
        <v>1670</v>
      </c>
      <c r="V24" t="s">
        <v>1741</v>
      </c>
      <c r="W24" t="s">
        <v>1742</v>
      </c>
      <c r="X24" t="s">
        <v>1739</v>
      </c>
    </row>
    <row r="25" spans="1:24" x14ac:dyDescent="0.3">
      <c r="A25" t="s">
        <v>1832</v>
      </c>
      <c r="B25" s="2">
        <v>45466</v>
      </c>
      <c r="C25" t="s">
        <v>1138</v>
      </c>
      <c r="D25" t="s">
        <v>1555</v>
      </c>
      <c r="E25" t="s">
        <v>1765</v>
      </c>
      <c r="F25" s="4">
        <v>1</v>
      </c>
      <c r="G25">
        <v>719.28</v>
      </c>
      <c r="H25">
        <v>0.08</v>
      </c>
      <c r="I25" t="s">
        <v>1807</v>
      </c>
      <c r="J25">
        <v>661.73760000000004</v>
      </c>
      <c r="K25" t="s">
        <v>1139</v>
      </c>
      <c r="L25">
        <v>20</v>
      </c>
      <c r="M25" t="s">
        <v>16</v>
      </c>
      <c r="N25" t="s">
        <v>1140</v>
      </c>
      <c r="O25" t="s">
        <v>58</v>
      </c>
      <c r="P25" t="s">
        <v>12</v>
      </c>
      <c r="Q25" t="s">
        <v>19</v>
      </c>
      <c r="R25" t="s">
        <v>3832</v>
      </c>
      <c r="S25" t="s">
        <v>1541</v>
      </c>
      <c r="T25" t="s">
        <v>3833</v>
      </c>
      <c r="U25" t="s">
        <v>1556</v>
      </c>
      <c r="V25" t="s">
        <v>1766</v>
      </c>
      <c r="W25" t="s">
        <v>1767</v>
      </c>
      <c r="X25" t="s">
        <v>1755</v>
      </c>
    </row>
    <row r="26" spans="1:24" x14ac:dyDescent="0.3">
      <c r="A26" t="s">
        <v>1833</v>
      </c>
      <c r="B26" s="2">
        <v>45908</v>
      </c>
      <c r="C26" t="s">
        <v>607</v>
      </c>
      <c r="D26" t="s">
        <v>1665</v>
      </c>
      <c r="E26" t="s">
        <v>1759</v>
      </c>
      <c r="F26" s="4">
        <v>3</v>
      </c>
      <c r="G26">
        <v>77.599999999999994</v>
      </c>
      <c r="H26">
        <v>7.0000000000000007E-2</v>
      </c>
      <c r="I26" t="s">
        <v>1807</v>
      </c>
      <c r="J26">
        <v>216.50399999999999</v>
      </c>
      <c r="K26" t="s">
        <v>608</v>
      </c>
      <c r="L26">
        <v>60</v>
      </c>
      <c r="M26" t="s">
        <v>16</v>
      </c>
      <c r="N26" t="s">
        <v>609</v>
      </c>
      <c r="O26" t="s">
        <v>113</v>
      </c>
      <c r="P26" t="s">
        <v>12</v>
      </c>
      <c r="Q26" t="s">
        <v>31</v>
      </c>
      <c r="R26" t="s">
        <v>3899</v>
      </c>
      <c r="S26" t="s">
        <v>1546</v>
      </c>
      <c r="T26" t="s">
        <v>3820</v>
      </c>
      <c r="U26" t="s">
        <v>1666</v>
      </c>
      <c r="V26" t="s">
        <v>1760</v>
      </c>
      <c r="W26" t="s">
        <v>1737</v>
      </c>
      <c r="X26" t="s">
        <v>1755</v>
      </c>
    </row>
    <row r="27" spans="1:24" x14ac:dyDescent="0.3">
      <c r="A27" t="s">
        <v>1834</v>
      </c>
      <c r="B27" s="2">
        <v>45552</v>
      </c>
      <c r="C27" t="s">
        <v>1177</v>
      </c>
      <c r="D27" t="s">
        <v>1538</v>
      </c>
      <c r="E27" t="s">
        <v>1749</v>
      </c>
      <c r="F27" s="4">
        <v>4</v>
      </c>
      <c r="G27">
        <v>852.71</v>
      </c>
      <c r="H27">
        <v>0.14000000000000001</v>
      </c>
      <c r="I27" t="s">
        <v>1809</v>
      </c>
      <c r="J27">
        <v>2933.3224</v>
      </c>
      <c r="K27" t="s">
        <v>1178</v>
      </c>
      <c r="L27">
        <v>20</v>
      </c>
      <c r="M27" t="s">
        <v>16</v>
      </c>
      <c r="N27" t="s">
        <v>1179</v>
      </c>
      <c r="O27" t="s">
        <v>22</v>
      </c>
      <c r="P27" t="s">
        <v>12</v>
      </c>
      <c r="Q27" t="s">
        <v>31</v>
      </c>
      <c r="R27" t="s">
        <v>3880</v>
      </c>
      <c r="S27" t="s">
        <v>1541</v>
      </c>
      <c r="T27" t="s">
        <v>3881</v>
      </c>
      <c r="U27" t="s">
        <v>1630</v>
      </c>
      <c r="V27" t="s">
        <v>1750</v>
      </c>
      <c r="W27" t="s">
        <v>1742</v>
      </c>
      <c r="X27" t="s">
        <v>1748</v>
      </c>
    </row>
    <row r="28" spans="1:24" x14ac:dyDescent="0.3">
      <c r="A28" t="s">
        <v>1835</v>
      </c>
      <c r="B28" s="2">
        <v>45294</v>
      </c>
      <c r="C28" t="s">
        <v>687</v>
      </c>
      <c r="D28" t="s">
        <v>1727</v>
      </c>
      <c r="E28" t="s">
        <v>1765</v>
      </c>
      <c r="F28" s="4">
        <v>4</v>
      </c>
      <c r="G28">
        <v>156.16</v>
      </c>
      <c r="H28">
        <v>0.14786802030456855</v>
      </c>
      <c r="I28" t="s">
        <v>1807</v>
      </c>
      <c r="J28">
        <v>599.65440000000001</v>
      </c>
      <c r="K28" t="s">
        <v>688</v>
      </c>
      <c r="L28">
        <v>61</v>
      </c>
      <c r="M28" t="s">
        <v>9</v>
      </c>
      <c r="N28" t="s">
        <v>689</v>
      </c>
      <c r="O28" t="s">
        <v>18</v>
      </c>
      <c r="P28" t="s">
        <v>12</v>
      </c>
      <c r="Q28" t="s">
        <v>19</v>
      </c>
      <c r="R28" t="s">
        <v>3931</v>
      </c>
      <c r="S28" t="s">
        <v>1546</v>
      </c>
      <c r="T28" t="s">
        <v>3826</v>
      </c>
      <c r="U28" t="s">
        <v>1728</v>
      </c>
      <c r="V28" t="s">
        <v>1766</v>
      </c>
      <c r="W28" t="s">
        <v>1767</v>
      </c>
      <c r="X28" t="s">
        <v>1755</v>
      </c>
    </row>
    <row r="29" spans="1:24" x14ac:dyDescent="0.3">
      <c r="A29" t="s">
        <v>1836</v>
      </c>
      <c r="B29" s="2">
        <v>45710</v>
      </c>
      <c r="C29" t="s">
        <v>648</v>
      </c>
      <c r="D29" t="s">
        <v>1685</v>
      </c>
      <c r="E29" t="s">
        <v>1765</v>
      </c>
      <c r="F29" s="4">
        <v>3</v>
      </c>
      <c r="G29">
        <v>815.49</v>
      </c>
      <c r="H29">
        <v>0.17</v>
      </c>
      <c r="I29" t="s">
        <v>1807</v>
      </c>
      <c r="J29">
        <v>2030.5700999999999</v>
      </c>
      <c r="K29" t="s">
        <v>649</v>
      </c>
      <c r="L29">
        <v>25</v>
      </c>
      <c r="M29" t="s">
        <v>16</v>
      </c>
      <c r="N29" t="s">
        <v>650</v>
      </c>
      <c r="O29" t="s">
        <v>429</v>
      </c>
      <c r="P29" t="s">
        <v>12</v>
      </c>
      <c r="Q29" t="s">
        <v>19</v>
      </c>
      <c r="R29" t="s">
        <v>3910</v>
      </c>
      <c r="S29" t="s">
        <v>1546</v>
      </c>
      <c r="T29" t="s">
        <v>3838</v>
      </c>
      <c r="U29" t="s">
        <v>1686</v>
      </c>
      <c r="V29" t="s">
        <v>1766</v>
      </c>
      <c r="W29" t="s">
        <v>1767</v>
      </c>
      <c r="X29" t="s">
        <v>1755</v>
      </c>
    </row>
    <row r="30" spans="1:24" x14ac:dyDescent="0.3">
      <c r="A30" t="s">
        <v>1837</v>
      </c>
      <c r="B30" s="2">
        <v>45923</v>
      </c>
      <c r="C30" t="s">
        <v>494</v>
      </c>
      <c r="D30" t="s">
        <v>1557</v>
      </c>
      <c r="E30" t="s">
        <v>1744</v>
      </c>
      <c r="F30" s="4">
        <v>2</v>
      </c>
      <c r="G30">
        <v>74.209999999999994</v>
      </c>
      <c r="H30">
        <v>0.11</v>
      </c>
      <c r="I30" t="s">
        <v>1809</v>
      </c>
      <c r="J30">
        <v>132.09379999999999</v>
      </c>
      <c r="K30" t="s">
        <v>495</v>
      </c>
      <c r="L30">
        <v>33</v>
      </c>
      <c r="M30" t="s">
        <v>9</v>
      </c>
      <c r="N30" t="s">
        <v>496</v>
      </c>
      <c r="O30" t="s">
        <v>319</v>
      </c>
      <c r="P30" t="s">
        <v>12</v>
      </c>
      <c r="Q30" t="s">
        <v>26</v>
      </c>
      <c r="R30" t="s">
        <v>3834</v>
      </c>
      <c r="S30" t="s">
        <v>1546</v>
      </c>
      <c r="T30" t="s">
        <v>3820</v>
      </c>
      <c r="U30" t="s">
        <v>1558</v>
      </c>
      <c r="V30" t="s">
        <v>1745</v>
      </c>
      <c r="W30" t="s">
        <v>1746</v>
      </c>
      <c r="X30" t="s">
        <v>1748</v>
      </c>
    </row>
    <row r="31" spans="1:24" x14ac:dyDescent="0.3">
      <c r="A31" t="s">
        <v>1838</v>
      </c>
      <c r="B31" s="2">
        <v>45302</v>
      </c>
      <c r="C31" t="s">
        <v>1080</v>
      </c>
      <c r="D31" t="s">
        <v>1729</v>
      </c>
      <c r="E31" t="s">
        <v>1749</v>
      </c>
      <c r="F31" s="4">
        <v>2.4776422764227641</v>
      </c>
      <c r="G31">
        <v>451.67</v>
      </c>
      <c r="H31">
        <v>0.15</v>
      </c>
      <c r="I31" t="s">
        <v>1807</v>
      </c>
      <c r="J31">
        <v>1535.6780000000001</v>
      </c>
      <c r="K31" t="s">
        <v>1081</v>
      </c>
      <c r="L31">
        <v>31</v>
      </c>
      <c r="M31" t="s">
        <v>9</v>
      </c>
      <c r="N31" t="s">
        <v>1082</v>
      </c>
      <c r="O31" t="s">
        <v>51</v>
      </c>
      <c r="P31" t="s">
        <v>12</v>
      </c>
      <c r="Q31" t="s">
        <v>31</v>
      </c>
      <c r="R31" t="s">
        <v>3932</v>
      </c>
      <c r="S31" t="s">
        <v>1527</v>
      </c>
      <c r="T31" t="s">
        <v>3830</v>
      </c>
      <c r="U31" t="s">
        <v>1730</v>
      </c>
      <c r="V31" t="s">
        <v>1750</v>
      </c>
      <c r="W31" t="s">
        <v>1742</v>
      </c>
      <c r="X31" t="s">
        <v>1748</v>
      </c>
    </row>
    <row r="32" spans="1:24" x14ac:dyDescent="0.3">
      <c r="A32" t="s">
        <v>1839</v>
      </c>
      <c r="B32" s="2">
        <v>45217</v>
      </c>
      <c r="C32" t="s">
        <v>118</v>
      </c>
      <c r="D32" t="s">
        <v>1538</v>
      </c>
      <c r="E32" t="s">
        <v>1796</v>
      </c>
      <c r="F32" s="4">
        <v>1</v>
      </c>
      <c r="G32">
        <v>429.38</v>
      </c>
      <c r="H32">
        <v>0.13</v>
      </c>
      <c r="I32" t="s">
        <v>1809</v>
      </c>
      <c r="J32">
        <v>373.56060000000002</v>
      </c>
      <c r="K32" t="s">
        <v>119</v>
      </c>
      <c r="L32">
        <v>54</v>
      </c>
      <c r="M32" t="s">
        <v>16</v>
      </c>
      <c r="N32" t="s">
        <v>120</v>
      </c>
      <c r="O32" t="s">
        <v>88</v>
      </c>
      <c r="P32" t="s">
        <v>12</v>
      </c>
      <c r="Q32" t="s">
        <v>19</v>
      </c>
      <c r="R32" t="s">
        <v>3880</v>
      </c>
      <c r="S32" t="s">
        <v>1541</v>
      </c>
      <c r="T32" t="s">
        <v>3881</v>
      </c>
      <c r="U32" t="s">
        <v>1630</v>
      </c>
      <c r="V32" t="s">
        <v>1741</v>
      </c>
      <c r="W32" t="s">
        <v>1742</v>
      </c>
      <c r="X32" t="s">
        <v>1739</v>
      </c>
    </row>
    <row r="33" spans="1:24" x14ac:dyDescent="0.3">
      <c r="A33" t="s">
        <v>1840</v>
      </c>
      <c r="B33" s="2">
        <v>45593</v>
      </c>
      <c r="C33" t="s">
        <v>1267</v>
      </c>
      <c r="D33" t="s">
        <v>1637</v>
      </c>
      <c r="E33" t="s">
        <v>1777</v>
      </c>
      <c r="F33" s="4">
        <v>2</v>
      </c>
      <c r="G33">
        <v>148.96</v>
      </c>
      <c r="H33">
        <v>0.03</v>
      </c>
      <c r="I33" t="s">
        <v>1812</v>
      </c>
      <c r="J33">
        <v>288.98239999999998</v>
      </c>
      <c r="K33" t="s">
        <v>1268</v>
      </c>
      <c r="L33">
        <v>59</v>
      </c>
      <c r="M33" t="s">
        <v>16</v>
      </c>
      <c r="N33" t="s">
        <v>201</v>
      </c>
      <c r="O33" t="s">
        <v>155</v>
      </c>
      <c r="P33" t="s">
        <v>12</v>
      </c>
      <c r="Q33" t="s">
        <v>13</v>
      </c>
      <c r="R33" t="s">
        <v>3885</v>
      </c>
      <c r="S33" t="s">
        <v>1530</v>
      </c>
      <c r="T33" t="s">
        <v>3818</v>
      </c>
      <c r="U33" t="s">
        <v>1638</v>
      </c>
      <c r="V33" t="s">
        <v>1741</v>
      </c>
      <c r="W33" t="s">
        <v>1742</v>
      </c>
      <c r="X33" t="s">
        <v>1739</v>
      </c>
    </row>
    <row r="34" spans="1:24" x14ac:dyDescent="0.3">
      <c r="A34" t="s">
        <v>1841</v>
      </c>
      <c r="B34" s="2">
        <v>45597</v>
      </c>
      <c r="C34" t="s">
        <v>1226</v>
      </c>
      <c r="D34" t="s">
        <v>1681</v>
      </c>
      <c r="E34" t="s">
        <v>1765</v>
      </c>
      <c r="F34" s="4">
        <v>4</v>
      </c>
      <c r="G34">
        <v>313.83</v>
      </c>
      <c r="H34">
        <v>0.08</v>
      </c>
      <c r="I34" t="s">
        <v>1807</v>
      </c>
      <c r="J34">
        <v>1154.8943999999999</v>
      </c>
      <c r="K34" t="s">
        <v>1227</v>
      </c>
      <c r="L34">
        <v>27</v>
      </c>
      <c r="M34" t="s">
        <v>9</v>
      </c>
      <c r="N34" t="s">
        <v>1228</v>
      </c>
      <c r="O34" t="s">
        <v>47</v>
      </c>
      <c r="P34" t="s">
        <v>12</v>
      </c>
      <c r="Q34" t="s">
        <v>26</v>
      </c>
      <c r="R34" t="s">
        <v>3908</v>
      </c>
      <c r="S34" t="s">
        <v>1530</v>
      </c>
      <c r="T34" t="s">
        <v>3866</v>
      </c>
      <c r="U34" t="s">
        <v>1682</v>
      </c>
      <c r="V34" t="s">
        <v>1766</v>
      </c>
      <c r="W34" t="s">
        <v>1767</v>
      </c>
      <c r="X34" t="s">
        <v>1755</v>
      </c>
    </row>
    <row r="35" spans="1:24" x14ac:dyDescent="0.3">
      <c r="A35" t="s">
        <v>1842</v>
      </c>
      <c r="B35" s="2">
        <v>45620</v>
      </c>
      <c r="C35" t="s">
        <v>1384</v>
      </c>
      <c r="D35" t="s">
        <v>1555</v>
      </c>
      <c r="E35" t="s">
        <v>1759</v>
      </c>
      <c r="F35" s="4">
        <v>2</v>
      </c>
      <c r="G35">
        <v>717.31</v>
      </c>
      <c r="H35">
        <v>0.15</v>
      </c>
      <c r="I35" t="s">
        <v>1807</v>
      </c>
      <c r="J35">
        <v>1219.4269999999999</v>
      </c>
      <c r="K35" t="s">
        <v>1385</v>
      </c>
      <c r="L35">
        <v>60</v>
      </c>
      <c r="M35" t="s">
        <v>9</v>
      </c>
      <c r="N35" t="s">
        <v>1386</v>
      </c>
      <c r="O35" t="s">
        <v>99</v>
      </c>
      <c r="P35" t="s">
        <v>12</v>
      </c>
      <c r="Q35" t="s">
        <v>19</v>
      </c>
      <c r="R35" t="s">
        <v>3832</v>
      </c>
      <c r="S35" t="s">
        <v>1541</v>
      </c>
      <c r="T35" t="s">
        <v>3833</v>
      </c>
      <c r="U35" t="s">
        <v>1556</v>
      </c>
      <c r="V35" t="s">
        <v>1760</v>
      </c>
      <c r="W35" t="s">
        <v>1737</v>
      </c>
      <c r="X35" t="s">
        <v>1755</v>
      </c>
    </row>
    <row r="36" spans="1:24" x14ac:dyDescent="0.3">
      <c r="A36" t="s">
        <v>1843</v>
      </c>
      <c r="B36" s="2">
        <v>45215</v>
      </c>
      <c r="C36" t="s">
        <v>1069</v>
      </c>
      <c r="D36" t="s">
        <v>1689</v>
      </c>
      <c r="E36" t="s">
        <v>1740</v>
      </c>
      <c r="F36" s="4">
        <v>2.4781059063136457</v>
      </c>
      <c r="G36">
        <v>873.22</v>
      </c>
      <c r="H36">
        <v>0.18</v>
      </c>
      <c r="I36" t="s">
        <v>1807</v>
      </c>
      <c r="J36">
        <v>2148.1212</v>
      </c>
      <c r="K36" t="s">
        <v>1070</v>
      </c>
      <c r="L36">
        <v>33</v>
      </c>
      <c r="M36" t="s">
        <v>9</v>
      </c>
      <c r="N36" t="s">
        <v>1071</v>
      </c>
      <c r="O36" t="s">
        <v>230</v>
      </c>
      <c r="P36" t="s">
        <v>12</v>
      </c>
      <c r="Q36" t="s">
        <v>13</v>
      </c>
      <c r="R36" t="s">
        <v>3912</v>
      </c>
      <c r="S36" t="s">
        <v>1527</v>
      </c>
      <c r="T36" t="s">
        <v>3824</v>
      </c>
      <c r="U36" t="s">
        <v>1690</v>
      </c>
      <c r="V36" t="s">
        <v>1741</v>
      </c>
      <c r="W36" t="s">
        <v>1742</v>
      </c>
      <c r="X36" t="s">
        <v>1739</v>
      </c>
    </row>
    <row r="37" spans="1:24" x14ac:dyDescent="0.3">
      <c r="A37" t="s">
        <v>1844</v>
      </c>
      <c r="B37" s="2">
        <v>45878</v>
      </c>
      <c r="C37" t="s">
        <v>702</v>
      </c>
      <c r="D37" t="s">
        <v>1563</v>
      </c>
      <c r="E37" t="s">
        <v>1749</v>
      </c>
      <c r="F37" s="4">
        <v>4</v>
      </c>
      <c r="G37">
        <v>109.36</v>
      </c>
      <c r="H37">
        <v>0.19</v>
      </c>
      <c r="I37" t="s">
        <v>1812</v>
      </c>
      <c r="J37">
        <v>354.32639999999998</v>
      </c>
      <c r="K37" t="s">
        <v>703</v>
      </c>
      <c r="L37">
        <v>47</v>
      </c>
      <c r="M37" t="s">
        <v>16</v>
      </c>
      <c r="N37" t="s">
        <v>704</v>
      </c>
      <c r="O37" t="s">
        <v>30</v>
      </c>
      <c r="P37" t="s">
        <v>12</v>
      </c>
      <c r="Q37" t="s">
        <v>19</v>
      </c>
      <c r="R37" t="s">
        <v>3839</v>
      </c>
      <c r="S37" t="s">
        <v>1541</v>
      </c>
      <c r="T37" t="s">
        <v>3840</v>
      </c>
      <c r="U37" t="s">
        <v>1564</v>
      </c>
      <c r="V37" t="s">
        <v>1750</v>
      </c>
      <c r="W37" t="s">
        <v>1742</v>
      </c>
      <c r="X37" t="s">
        <v>1748</v>
      </c>
    </row>
    <row r="38" spans="1:24" x14ac:dyDescent="0.3">
      <c r="A38" t="s">
        <v>1845</v>
      </c>
      <c r="B38" s="2">
        <v>45635</v>
      </c>
      <c r="C38" t="s">
        <v>307</v>
      </c>
      <c r="D38" t="s">
        <v>1538</v>
      </c>
      <c r="E38" t="s">
        <v>1762</v>
      </c>
      <c r="F38" s="4">
        <v>3</v>
      </c>
      <c r="G38">
        <v>559.52</v>
      </c>
      <c r="H38">
        <v>0.16</v>
      </c>
      <c r="I38" t="s">
        <v>1809</v>
      </c>
      <c r="J38">
        <v>1409.9903999999999</v>
      </c>
      <c r="K38" t="s">
        <v>3938</v>
      </c>
      <c r="L38">
        <v>58</v>
      </c>
      <c r="M38" t="s">
        <v>16</v>
      </c>
      <c r="N38" t="s">
        <v>308</v>
      </c>
      <c r="O38" t="s">
        <v>309</v>
      </c>
      <c r="P38" t="s">
        <v>12</v>
      </c>
      <c r="Q38" t="s">
        <v>13</v>
      </c>
      <c r="R38" t="s">
        <v>3880</v>
      </c>
      <c r="S38" t="s">
        <v>1541</v>
      </c>
      <c r="T38" t="s">
        <v>3881</v>
      </c>
      <c r="U38" t="s">
        <v>1630</v>
      </c>
      <c r="V38" t="s">
        <v>1763</v>
      </c>
      <c r="W38" t="s">
        <v>1746</v>
      </c>
      <c r="X38" t="s">
        <v>1755</v>
      </c>
    </row>
    <row r="39" spans="1:24" x14ac:dyDescent="0.3">
      <c r="A39" t="s">
        <v>1846</v>
      </c>
      <c r="B39" s="2">
        <v>45329</v>
      </c>
      <c r="C39" t="s">
        <v>1496</v>
      </c>
      <c r="D39" t="s">
        <v>1551</v>
      </c>
      <c r="E39" t="s">
        <v>1790</v>
      </c>
      <c r="F39" s="4">
        <v>3</v>
      </c>
      <c r="G39">
        <v>121.76</v>
      </c>
      <c r="H39">
        <v>0.27</v>
      </c>
      <c r="I39" t="s">
        <v>1809</v>
      </c>
      <c r="J39">
        <v>266.65440000000001</v>
      </c>
      <c r="K39" t="s">
        <v>1497</v>
      </c>
      <c r="L39">
        <v>28</v>
      </c>
      <c r="M39" t="s">
        <v>9</v>
      </c>
      <c r="N39" t="s">
        <v>1498</v>
      </c>
      <c r="O39" t="s">
        <v>247</v>
      </c>
      <c r="P39" t="s">
        <v>12</v>
      </c>
      <c r="Q39" t="s">
        <v>19</v>
      </c>
      <c r="R39" t="s">
        <v>3829</v>
      </c>
      <c r="S39" t="s">
        <v>1527</v>
      </c>
      <c r="T39" t="s">
        <v>3830</v>
      </c>
      <c r="U39" t="s">
        <v>1552</v>
      </c>
      <c r="V39" t="s">
        <v>1741</v>
      </c>
      <c r="W39" t="s">
        <v>1742</v>
      </c>
      <c r="X39" t="s">
        <v>1739</v>
      </c>
    </row>
    <row r="40" spans="1:24" x14ac:dyDescent="0.3">
      <c r="A40" t="s">
        <v>1847</v>
      </c>
      <c r="B40" s="2">
        <v>45378</v>
      </c>
      <c r="C40" t="s">
        <v>616</v>
      </c>
      <c r="D40" t="s">
        <v>1597</v>
      </c>
      <c r="E40" t="s">
        <v>1780</v>
      </c>
      <c r="F40" s="4">
        <v>4</v>
      </c>
      <c r="G40">
        <v>735.32</v>
      </c>
      <c r="H40">
        <v>0.06</v>
      </c>
      <c r="I40" t="s">
        <v>1812</v>
      </c>
      <c r="J40">
        <v>2764.8031999999998</v>
      </c>
      <c r="K40" t="s">
        <v>617</v>
      </c>
      <c r="L40">
        <v>21</v>
      </c>
      <c r="M40" t="s">
        <v>9</v>
      </c>
      <c r="N40" t="s">
        <v>618</v>
      </c>
      <c r="O40" t="s">
        <v>582</v>
      </c>
      <c r="P40" t="s">
        <v>12</v>
      </c>
      <c r="Q40" t="s">
        <v>13</v>
      </c>
      <c r="R40" t="s">
        <v>3861</v>
      </c>
      <c r="S40" t="s">
        <v>1527</v>
      </c>
      <c r="T40" t="s">
        <v>3836</v>
      </c>
      <c r="U40" t="s">
        <v>1598</v>
      </c>
      <c r="V40" t="s">
        <v>1741</v>
      </c>
      <c r="W40" t="s">
        <v>1742</v>
      </c>
      <c r="X40" t="s">
        <v>1739</v>
      </c>
    </row>
    <row r="41" spans="1:24" x14ac:dyDescent="0.3">
      <c r="A41" t="s">
        <v>1848</v>
      </c>
      <c r="B41" s="2">
        <v>45264</v>
      </c>
      <c r="C41" t="s">
        <v>1321</v>
      </c>
      <c r="D41" t="s">
        <v>1719</v>
      </c>
      <c r="E41" t="s">
        <v>1749</v>
      </c>
      <c r="F41" s="4">
        <v>2</v>
      </c>
      <c r="G41">
        <v>600.73</v>
      </c>
      <c r="H41">
        <v>0.08</v>
      </c>
      <c r="I41" t="s">
        <v>1807</v>
      </c>
      <c r="J41">
        <v>1105.3432</v>
      </c>
      <c r="K41" t="s">
        <v>1322</v>
      </c>
      <c r="L41">
        <v>37</v>
      </c>
      <c r="M41" t="s">
        <v>9</v>
      </c>
      <c r="N41" t="s">
        <v>1323</v>
      </c>
      <c r="O41" t="s">
        <v>30</v>
      </c>
      <c r="P41" t="s">
        <v>12</v>
      </c>
      <c r="Q41" t="s">
        <v>19</v>
      </c>
      <c r="R41" t="s">
        <v>3927</v>
      </c>
      <c r="S41" t="s">
        <v>1541</v>
      </c>
      <c r="T41" t="s">
        <v>3822</v>
      </c>
      <c r="U41" t="s">
        <v>1720</v>
      </c>
      <c r="V41" t="s">
        <v>1750</v>
      </c>
      <c r="W41" t="s">
        <v>1742</v>
      </c>
      <c r="X41" t="s">
        <v>1748</v>
      </c>
    </row>
    <row r="42" spans="1:24" x14ac:dyDescent="0.3">
      <c r="A42" t="s">
        <v>1849</v>
      </c>
      <c r="B42" s="2">
        <v>45486</v>
      </c>
      <c r="C42" t="s">
        <v>261</v>
      </c>
      <c r="D42" t="s">
        <v>1583</v>
      </c>
      <c r="E42" t="s">
        <v>1796</v>
      </c>
      <c r="F42" s="4">
        <v>2</v>
      </c>
      <c r="G42">
        <v>873.86</v>
      </c>
      <c r="H42">
        <v>7.0000000000000007E-2</v>
      </c>
      <c r="I42" t="s">
        <v>1812</v>
      </c>
      <c r="J42">
        <v>1625.3796</v>
      </c>
      <c r="K42" t="s">
        <v>262</v>
      </c>
      <c r="L42">
        <v>56</v>
      </c>
      <c r="M42" t="s">
        <v>16</v>
      </c>
      <c r="N42" t="s">
        <v>263</v>
      </c>
      <c r="O42" t="s">
        <v>264</v>
      </c>
      <c r="P42" t="s">
        <v>12</v>
      </c>
      <c r="Q42" t="s">
        <v>13</v>
      </c>
      <c r="R42" t="s">
        <v>3853</v>
      </c>
      <c r="S42" t="s">
        <v>1546</v>
      </c>
      <c r="T42" t="s">
        <v>3826</v>
      </c>
      <c r="U42" t="s">
        <v>1584</v>
      </c>
      <c r="V42" t="s">
        <v>1741</v>
      </c>
      <c r="W42" t="s">
        <v>1742</v>
      </c>
      <c r="X42" t="s">
        <v>1739</v>
      </c>
    </row>
    <row r="43" spans="1:24" x14ac:dyDescent="0.3">
      <c r="A43" t="s">
        <v>1850</v>
      </c>
      <c r="B43" s="2">
        <v>45241</v>
      </c>
      <c r="C43" t="s">
        <v>945</v>
      </c>
      <c r="D43" t="s">
        <v>1577</v>
      </c>
      <c r="E43" t="s">
        <v>1765</v>
      </c>
      <c r="F43" s="4">
        <v>3</v>
      </c>
      <c r="G43">
        <v>342.47</v>
      </c>
      <c r="H43">
        <v>0.08</v>
      </c>
      <c r="I43" t="s">
        <v>1809</v>
      </c>
      <c r="J43">
        <v>945.21720000000016</v>
      </c>
      <c r="K43" t="s">
        <v>946</v>
      </c>
      <c r="L43">
        <v>23</v>
      </c>
      <c r="M43" t="s">
        <v>16</v>
      </c>
      <c r="N43" t="s">
        <v>947</v>
      </c>
      <c r="O43" t="s">
        <v>133</v>
      </c>
      <c r="P43" t="s">
        <v>12</v>
      </c>
      <c r="Q43" t="s">
        <v>13</v>
      </c>
      <c r="R43" t="s">
        <v>3849</v>
      </c>
      <c r="S43" t="s">
        <v>1530</v>
      </c>
      <c r="T43" t="s">
        <v>3813</v>
      </c>
      <c r="U43" t="s">
        <v>1578</v>
      </c>
      <c r="V43" t="s">
        <v>1766</v>
      </c>
      <c r="W43" t="s">
        <v>1767</v>
      </c>
      <c r="X43" t="s">
        <v>1755</v>
      </c>
    </row>
    <row r="44" spans="1:24" x14ac:dyDescent="0.3">
      <c r="A44" t="s">
        <v>1851</v>
      </c>
      <c r="B44" s="2">
        <v>45649</v>
      </c>
      <c r="C44" t="s">
        <v>1042</v>
      </c>
      <c r="D44" t="s">
        <v>1589</v>
      </c>
      <c r="E44" t="s">
        <v>1769</v>
      </c>
      <c r="F44" s="4">
        <v>2</v>
      </c>
      <c r="G44">
        <v>915.15</v>
      </c>
      <c r="H44">
        <v>0.16</v>
      </c>
      <c r="I44" t="s">
        <v>1809</v>
      </c>
      <c r="J44">
        <v>1537.452</v>
      </c>
      <c r="K44" t="s">
        <v>1043</v>
      </c>
      <c r="L44">
        <v>58</v>
      </c>
      <c r="M44" t="s">
        <v>16</v>
      </c>
      <c r="N44" t="s">
        <v>1044</v>
      </c>
      <c r="O44" t="s">
        <v>11</v>
      </c>
      <c r="P44" t="s">
        <v>12</v>
      </c>
      <c r="Q44" t="s">
        <v>19</v>
      </c>
      <c r="R44" t="s">
        <v>3856</v>
      </c>
      <c r="S44" t="s">
        <v>1527</v>
      </c>
      <c r="T44" t="s">
        <v>3836</v>
      </c>
      <c r="U44" t="s">
        <v>1590</v>
      </c>
      <c r="V44" t="s">
        <v>1770</v>
      </c>
      <c r="W44" t="s">
        <v>1746</v>
      </c>
      <c r="X44" t="s">
        <v>1739</v>
      </c>
    </row>
    <row r="45" spans="1:24" x14ac:dyDescent="0.3">
      <c r="A45" t="s">
        <v>1852</v>
      </c>
      <c r="B45" s="2">
        <v>45677</v>
      </c>
      <c r="C45" t="s">
        <v>301</v>
      </c>
      <c r="D45" t="s">
        <v>1597</v>
      </c>
      <c r="E45" t="s">
        <v>1790</v>
      </c>
      <c r="F45" s="4">
        <v>2.4764826175869121</v>
      </c>
      <c r="G45">
        <v>863.11</v>
      </c>
      <c r="H45">
        <v>0.28000000000000003</v>
      </c>
      <c r="I45" t="s">
        <v>1809</v>
      </c>
      <c r="J45">
        <v>1864.3176000000001</v>
      </c>
      <c r="K45" t="s">
        <v>302</v>
      </c>
      <c r="L45">
        <v>36</v>
      </c>
      <c r="M45" t="s">
        <v>9</v>
      </c>
      <c r="N45" t="s">
        <v>303</v>
      </c>
      <c r="O45" t="s">
        <v>251</v>
      </c>
      <c r="P45" t="s">
        <v>12</v>
      </c>
      <c r="Q45" t="s">
        <v>19</v>
      </c>
      <c r="R45" t="s">
        <v>3861</v>
      </c>
      <c r="S45" t="s">
        <v>1527</v>
      </c>
      <c r="T45" t="s">
        <v>3836</v>
      </c>
      <c r="U45" t="s">
        <v>1598</v>
      </c>
      <c r="V45" t="s">
        <v>1741</v>
      </c>
      <c r="W45" t="s">
        <v>1742</v>
      </c>
      <c r="X45" t="s">
        <v>1739</v>
      </c>
    </row>
    <row r="46" spans="1:24" x14ac:dyDescent="0.3">
      <c r="A46" t="s">
        <v>1853</v>
      </c>
      <c r="B46" s="2">
        <v>45538</v>
      </c>
      <c r="C46" t="s">
        <v>657</v>
      </c>
      <c r="D46" t="s">
        <v>1617</v>
      </c>
      <c r="E46" t="s">
        <v>1777</v>
      </c>
      <c r="F46" s="4">
        <v>2</v>
      </c>
      <c r="G46">
        <v>209.32</v>
      </c>
      <c r="H46">
        <v>0.23</v>
      </c>
      <c r="I46" t="s">
        <v>1812</v>
      </c>
      <c r="J46">
        <v>322.3528</v>
      </c>
      <c r="K46" t="s">
        <v>658</v>
      </c>
      <c r="L46">
        <v>52</v>
      </c>
      <c r="M46" t="s">
        <v>9</v>
      </c>
      <c r="N46" t="s">
        <v>659</v>
      </c>
      <c r="O46" t="s">
        <v>264</v>
      </c>
      <c r="P46" t="s">
        <v>12</v>
      </c>
      <c r="Q46" t="s">
        <v>19</v>
      </c>
      <c r="R46" t="s">
        <v>3873</v>
      </c>
      <c r="S46" t="s">
        <v>1546</v>
      </c>
      <c r="T46" t="s">
        <v>3811</v>
      </c>
      <c r="U46" t="s">
        <v>1618</v>
      </c>
      <c r="V46" t="s">
        <v>1741</v>
      </c>
      <c r="W46" t="s">
        <v>1742</v>
      </c>
      <c r="X46" t="s">
        <v>1739</v>
      </c>
    </row>
    <row r="47" spans="1:24" x14ac:dyDescent="0.3">
      <c r="A47" t="s">
        <v>1854</v>
      </c>
      <c r="B47" s="2">
        <v>45606</v>
      </c>
      <c r="C47" t="s">
        <v>1433</v>
      </c>
      <c r="D47" t="s">
        <v>1649</v>
      </c>
      <c r="E47" t="s">
        <v>1765</v>
      </c>
      <c r="F47" s="4">
        <v>4</v>
      </c>
      <c r="G47">
        <v>288.60000000000002</v>
      </c>
      <c r="H47">
        <v>0.09</v>
      </c>
      <c r="I47" t="s">
        <v>1809</v>
      </c>
      <c r="J47">
        <v>1050.5039999999999</v>
      </c>
      <c r="K47" t="s">
        <v>1434</v>
      </c>
      <c r="L47">
        <v>42</v>
      </c>
      <c r="M47" t="s">
        <v>9</v>
      </c>
      <c r="N47" t="s">
        <v>1435</v>
      </c>
      <c r="O47" t="s">
        <v>47</v>
      </c>
      <c r="P47" t="s">
        <v>12</v>
      </c>
      <c r="Q47" t="s">
        <v>13</v>
      </c>
      <c r="R47" t="s">
        <v>3891</v>
      </c>
      <c r="S47" t="s">
        <v>1541</v>
      </c>
      <c r="T47" t="s">
        <v>3833</v>
      </c>
      <c r="U47" t="s">
        <v>1650</v>
      </c>
      <c r="V47" t="s">
        <v>1766</v>
      </c>
      <c r="W47" t="s">
        <v>1767</v>
      </c>
      <c r="X47" t="s">
        <v>1755</v>
      </c>
    </row>
    <row r="48" spans="1:24" x14ac:dyDescent="0.3">
      <c r="A48" t="s">
        <v>1855</v>
      </c>
      <c r="B48" s="2">
        <v>45570</v>
      </c>
      <c r="C48" t="s">
        <v>255</v>
      </c>
      <c r="D48" t="s">
        <v>1687</v>
      </c>
      <c r="E48" t="s">
        <v>1787</v>
      </c>
      <c r="F48" s="4">
        <v>1</v>
      </c>
      <c r="G48">
        <v>418.69</v>
      </c>
      <c r="H48">
        <v>0.06</v>
      </c>
      <c r="I48" t="s">
        <v>1809</v>
      </c>
      <c r="J48">
        <v>393.5686</v>
      </c>
      <c r="K48" t="s">
        <v>256</v>
      </c>
      <c r="L48">
        <v>61</v>
      </c>
      <c r="M48" t="s">
        <v>16</v>
      </c>
      <c r="N48" t="s">
        <v>257</v>
      </c>
      <c r="O48" t="s">
        <v>230</v>
      </c>
      <c r="P48" t="s">
        <v>12</v>
      </c>
      <c r="Q48" t="s">
        <v>13</v>
      </c>
      <c r="R48" t="s">
        <v>3911</v>
      </c>
      <c r="S48" t="s">
        <v>1527</v>
      </c>
      <c r="T48" t="s">
        <v>3836</v>
      </c>
      <c r="U48" t="s">
        <v>1688</v>
      </c>
      <c r="V48" t="s">
        <v>1741</v>
      </c>
      <c r="W48" t="s">
        <v>1742</v>
      </c>
      <c r="X48" t="s">
        <v>1739</v>
      </c>
    </row>
    <row r="49" spans="1:24" x14ac:dyDescent="0.3">
      <c r="A49" t="s">
        <v>1856</v>
      </c>
      <c r="B49" s="2">
        <v>45466</v>
      </c>
      <c r="C49" t="s">
        <v>44</v>
      </c>
      <c r="D49" t="s">
        <v>1591</v>
      </c>
      <c r="E49" t="s">
        <v>1775</v>
      </c>
      <c r="F49" s="4">
        <v>1</v>
      </c>
      <c r="G49">
        <v>135.78</v>
      </c>
      <c r="H49">
        <v>0.14000000000000001</v>
      </c>
      <c r="I49" t="s">
        <v>1809</v>
      </c>
      <c r="J49">
        <v>116.77079999999999</v>
      </c>
      <c r="K49" t="s">
        <v>45</v>
      </c>
      <c r="L49">
        <v>64</v>
      </c>
      <c r="M49" t="s">
        <v>9</v>
      </c>
      <c r="N49" t="s">
        <v>46</v>
      </c>
      <c r="O49" t="s">
        <v>47</v>
      </c>
      <c r="P49" t="s">
        <v>12</v>
      </c>
      <c r="Q49" t="s">
        <v>13</v>
      </c>
      <c r="R49" t="s">
        <v>3857</v>
      </c>
      <c r="S49" t="s">
        <v>1527</v>
      </c>
      <c r="T49" t="s">
        <v>3830</v>
      </c>
      <c r="U49" t="s">
        <v>1592</v>
      </c>
      <c r="V49" t="s">
        <v>1741</v>
      </c>
      <c r="W49" t="s">
        <v>1742</v>
      </c>
      <c r="X49" t="s">
        <v>1739</v>
      </c>
    </row>
    <row r="50" spans="1:24" x14ac:dyDescent="0.3">
      <c r="A50" t="s">
        <v>1857</v>
      </c>
      <c r="B50" s="2">
        <v>45218</v>
      </c>
      <c r="C50" t="s">
        <v>657</v>
      </c>
      <c r="D50" t="s">
        <v>1619</v>
      </c>
      <c r="E50" t="s">
        <v>1790</v>
      </c>
      <c r="F50" s="4">
        <v>1</v>
      </c>
      <c r="G50">
        <v>517.13</v>
      </c>
      <c r="H50">
        <v>0.28000000000000003</v>
      </c>
      <c r="I50" t="s">
        <v>1807</v>
      </c>
      <c r="J50">
        <v>372.33359999999999</v>
      </c>
      <c r="K50" t="s">
        <v>658</v>
      </c>
      <c r="L50">
        <v>52</v>
      </c>
      <c r="M50" t="s">
        <v>9</v>
      </c>
      <c r="N50" t="s">
        <v>659</v>
      </c>
      <c r="O50" t="s">
        <v>264</v>
      </c>
      <c r="P50" t="s">
        <v>12</v>
      </c>
      <c r="Q50" t="s">
        <v>19</v>
      </c>
      <c r="R50" t="s">
        <v>3874</v>
      </c>
      <c r="S50" t="s">
        <v>1549</v>
      </c>
      <c r="T50" t="s">
        <v>3828</v>
      </c>
      <c r="U50" t="s">
        <v>1620</v>
      </c>
      <c r="V50" t="s">
        <v>1741</v>
      </c>
      <c r="W50" t="s">
        <v>1742</v>
      </c>
      <c r="X50" t="s">
        <v>1739</v>
      </c>
    </row>
    <row r="51" spans="1:24" x14ac:dyDescent="0.3">
      <c r="A51" t="s">
        <v>1858</v>
      </c>
      <c r="B51" s="2">
        <v>45607</v>
      </c>
      <c r="C51" t="s">
        <v>1290</v>
      </c>
      <c r="D51" t="s">
        <v>1573</v>
      </c>
      <c r="E51" t="s">
        <v>1787</v>
      </c>
      <c r="F51" s="4">
        <v>2</v>
      </c>
      <c r="G51">
        <v>384.66</v>
      </c>
      <c r="H51">
        <v>0.08</v>
      </c>
      <c r="I51" t="s">
        <v>1812</v>
      </c>
      <c r="J51">
        <v>707.77440000000013</v>
      </c>
      <c r="K51" t="s">
        <v>3949</v>
      </c>
      <c r="L51">
        <v>45</v>
      </c>
      <c r="M51" t="s">
        <v>16</v>
      </c>
      <c r="N51" t="s">
        <v>1291</v>
      </c>
      <c r="O51" t="s">
        <v>11</v>
      </c>
      <c r="P51" t="s">
        <v>12</v>
      </c>
      <c r="Q51" t="s">
        <v>26</v>
      </c>
      <c r="R51" t="s">
        <v>3846</v>
      </c>
      <c r="S51" t="s">
        <v>1527</v>
      </c>
      <c r="T51" t="s">
        <v>3847</v>
      </c>
      <c r="U51" t="s">
        <v>1574</v>
      </c>
      <c r="V51" t="s">
        <v>1741</v>
      </c>
      <c r="W51" t="s">
        <v>1742</v>
      </c>
      <c r="X51" t="s">
        <v>1739</v>
      </c>
    </row>
    <row r="52" spans="1:24" x14ac:dyDescent="0.3">
      <c r="A52" t="s">
        <v>1859</v>
      </c>
      <c r="B52" s="2">
        <v>45291</v>
      </c>
      <c r="C52" t="s">
        <v>255</v>
      </c>
      <c r="D52" t="s">
        <v>1635</v>
      </c>
      <c r="E52" t="s">
        <v>1769</v>
      </c>
      <c r="F52" s="4">
        <v>3</v>
      </c>
      <c r="G52">
        <v>83.7</v>
      </c>
      <c r="H52">
        <v>0.24</v>
      </c>
      <c r="I52" t="s">
        <v>1809</v>
      </c>
      <c r="J52">
        <v>190.83600000000001</v>
      </c>
      <c r="K52" t="s">
        <v>256</v>
      </c>
      <c r="L52">
        <v>61</v>
      </c>
      <c r="M52" t="s">
        <v>16</v>
      </c>
      <c r="N52" t="s">
        <v>257</v>
      </c>
      <c r="O52" t="s">
        <v>230</v>
      </c>
      <c r="P52" t="s">
        <v>12</v>
      </c>
      <c r="Q52" t="s">
        <v>13</v>
      </c>
      <c r="R52" t="s">
        <v>3884</v>
      </c>
      <c r="S52" t="s">
        <v>1549</v>
      </c>
      <c r="T52" t="s">
        <v>3859</v>
      </c>
      <c r="U52" t="s">
        <v>1636</v>
      </c>
      <c r="V52" t="s">
        <v>1770</v>
      </c>
      <c r="W52" t="s">
        <v>1746</v>
      </c>
      <c r="X52" t="s">
        <v>1739</v>
      </c>
    </row>
    <row r="53" spans="1:24" x14ac:dyDescent="0.3">
      <c r="A53" t="s">
        <v>1860</v>
      </c>
      <c r="B53" s="2">
        <v>45689</v>
      </c>
      <c r="C53" t="s">
        <v>476</v>
      </c>
      <c r="D53" t="s">
        <v>1669</v>
      </c>
      <c r="E53" t="s">
        <v>1762</v>
      </c>
      <c r="F53" s="4">
        <v>3</v>
      </c>
      <c r="G53">
        <v>76.569999999999993</v>
      </c>
      <c r="H53">
        <v>0.26</v>
      </c>
      <c r="I53" t="s">
        <v>1807</v>
      </c>
      <c r="J53">
        <v>169.9854</v>
      </c>
      <c r="K53" t="s">
        <v>477</v>
      </c>
      <c r="L53">
        <v>46</v>
      </c>
      <c r="M53" t="s">
        <v>9</v>
      </c>
      <c r="N53" t="s">
        <v>478</v>
      </c>
      <c r="O53" t="s">
        <v>66</v>
      </c>
      <c r="P53" t="s">
        <v>12</v>
      </c>
      <c r="Q53" t="s">
        <v>26</v>
      </c>
      <c r="R53" t="s">
        <v>3902</v>
      </c>
      <c r="S53" t="s">
        <v>1530</v>
      </c>
      <c r="T53" t="s">
        <v>3818</v>
      </c>
      <c r="U53" t="s">
        <v>1670</v>
      </c>
      <c r="V53" t="s">
        <v>1763</v>
      </c>
      <c r="W53" t="s">
        <v>1746</v>
      </c>
      <c r="X53" t="s">
        <v>1755</v>
      </c>
    </row>
    <row r="54" spans="1:24" x14ac:dyDescent="0.3">
      <c r="A54" t="s">
        <v>1861</v>
      </c>
      <c r="B54" s="2">
        <v>45894</v>
      </c>
      <c r="C54" t="s">
        <v>494</v>
      </c>
      <c r="D54" t="s">
        <v>1709</v>
      </c>
      <c r="E54" t="s">
        <v>1759</v>
      </c>
      <c r="F54" s="4">
        <v>3</v>
      </c>
      <c r="G54">
        <v>514.48704008221978</v>
      </c>
      <c r="H54">
        <v>0.14785089974293064</v>
      </c>
      <c r="I54" t="s">
        <v>1807</v>
      </c>
      <c r="J54">
        <v>486.06330000000003</v>
      </c>
      <c r="K54" t="s">
        <v>495</v>
      </c>
      <c r="L54">
        <v>33</v>
      </c>
      <c r="M54" t="s">
        <v>9</v>
      </c>
      <c r="N54" t="s">
        <v>496</v>
      </c>
      <c r="O54" t="s">
        <v>319</v>
      </c>
      <c r="P54" t="s">
        <v>12</v>
      </c>
      <c r="Q54" t="s">
        <v>26</v>
      </c>
      <c r="R54" t="s">
        <v>3922</v>
      </c>
      <c r="S54" t="s">
        <v>1541</v>
      </c>
      <c r="T54" t="s">
        <v>3878</v>
      </c>
      <c r="U54" t="s">
        <v>1710</v>
      </c>
      <c r="V54" t="s">
        <v>1760</v>
      </c>
      <c r="W54" t="s">
        <v>1737</v>
      </c>
      <c r="X54" t="s">
        <v>1755</v>
      </c>
    </row>
    <row r="55" spans="1:24" x14ac:dyDescent="0.3">
      <c r="A55" t="s">
        <v>1862</v>
      </c>
      <c r="B55" s="2">
        <v>45677</v>
      </c>
      <c r="C55" t="s">
        <v>1010</v>
      </c>
      <c r="D55" t="s">
        <v>1571</v>
      </c>
      <c r="E55" t="s">
        <v>1765</v>
      </c>
      <c r="F55" s="4">
        <v>1</v>
      </c>
      <c r="G55">
        <v>900.35</v>
      </c>
      <c r="H55">
        <v>0.13</v>
      </c>
      <c r="I55" t="s">
        <v>1812</v>
      </c>
      <c r="J55">
        <v>783.30449999999996</v>
      </c>
      <c r="K55" t="s">
        <v>3945</v>
      </c>
      <c r="L55">
        <v>60</v>
      </c>
      <c r="M55" t="s">
        <v>9</v>
      </c>
      <c r="N55" t="s">
        <v>1011</v>
      </c>
      <c r="O55" t="s">
        <v>96</v>
      </c>
      <c r="P55" t="s">
        <v>12</v>
      </c>
      <c r="Q55" t="s">
        <v>26</v>
      </c>
      <c r="R55" t="s">
        <v>3845</v>
      </c>
      <c r="S55" t="s">
        <v>1549</v>
      </c>
      <c r="T55" t="s">
        <v>3820</v>
      </c>
      <c r="U55" t="s">
        <v>1572</v>
      </c>
      <c r="V55" t="s">
        <v>1766</v>
      </c>
      <c r="W55" t="s">
        <v>1767</v>
      </c>
      <c r="X55" t="s">
        <v>1755</v>
      </c>
    </row>
    <row r="56" spans="1:24" x14ac:dyDescent="0.3">
      <c r="A56" t="s">
        <v>1863</v>
      </c>
      <c r="B56" s="2">
        <v>45706</v>
      </c>
      <c r="C56" t="s">
        <v>336</v>
      </c>
      <c r="D56" t="s">
        <v>1611</v>
      </c>
      <c r="E56" t="s">
        <v>1772</v>
      </c>
      <c r="F56" s="4">
        <v>4</v>
      </c>
      <c r="G56">
        <v>428.09</v>
      </c>
      <c r="H56">
        <v>7.0000000000000007E-2</v>
      </c>
      <c r="I56" t="s">
        <v>1807</v>
      </c>
      <c r="J56">
        <v>1592.4947999999999</v>
      </c>
      <c r="K56" t="s">
        <v>337</v>
      </c>
      <c r="L56">
        <v>30</v>
      </c>
      <c r="M56" t="s">
        <v>16</v>
      </c>
      <c r="N56" t="s">
        <v>338</v>
      </c>
      <c r="O56" t="s">
        <v>58</v>
      </c>
      <c r="P56" t="s">
        <v>12</v>
      </c>
      <c r="Q56" t="s">
        <v>19</v>
      </c>
      <c r="R56" t="s">
        <v>3870</v>
      </c>
      <c r="S56" t="s">
        <v>1546</v>
      </c>
      <c r="T56" t="s">
        <v>3826</v>
      </c>
      <c r="U56" t="s">
        <v>1612</v>
      </c>
      <c r="V56" t="s">
        <v>1741</v>
      </c>
      <c r="W56" t="s">
        <v>1742</v>
      </c>
      <c r="X56" t="s">
        <v>1739</v>
      </c>
    </row>
    <row r="57" spans="1:24" x14ac:dyDescent="0.3">
      <c r="A57" t="s">
        <v>1864</v>
      </c>
      <c r="B57" s="2">
        <v>45589</v>
      </c>
      <c r="C57" t="s">
        <v>1278</v>
      </c>
      <c r="D57" t="s">
        <v>1629</v>
      </c>
      <c r="E57" t="s">
        <v>1775</v>
      </c>
      <c r="F57" s="4">
        <v>2</v>
      </c>
      <c r="G57">
        <v>559.71</v>
      </c>
      <c r="H57">
        <v>0.3</v>
      </c>
      <c r="I57" t="s">
        <v>1812</v>
      </c>
      <c r="J57">
        <v>783.59400000000005</v>
      </c>
      <c r="K57" t="s">
        <v>1279</v>
      </c>
      <c r="L57">
        <v>64</v>
      </c>
      <c r="M57" t="s">
        <v>16</v>
      </c>
      <c r="N57" t="s">
        <v>1280</v>
      </c>
      <c r="O57" t="s">
        <v>319</v>
      </c>
      <c r="P57" t="s">
        <v>12</v>
      </c>
      <c r="Q57" t="s">
        <v>19</v>
      </c>
      <c r="R57" t="s">
        <v>3880</v>
      </c>
      <c r="S57" t="s">
        <v>1541</v>
      </c>
      <c r="T57" t="s">
        <v>3881</v>
      </c>
      <c r="U57" t="s">
        <v>1630</v>
      </c>
      <c r="V57" t="s">
        <v>1741</v>
      </c>
      <c r="W57" t="s">
        <v>1742</v>
      </c>
      <c r="X57" t="s">
        <v>1739</v>
      </c>
    </row>
    <row r="58" spans="1:24" x14ac:dyDescent="0.3">
      <c r="A58" t="s">
        <v>1865</v>
      </c>
      <c r="B58" s="2">
        <v>45282</v>
      </c>
      <c r="C58" t="s">
        <v>289</v>
      </c>
      <c r="D58" t="s">
        <v>1599</v>
      </c>
      <c r="E58" t="s">
        <v>1759</v>
      </c>
      <c r="F58" s="4">
        <v>2</v>
      </c>
      <c r="G58">
        <v>833.7</v>
      </c>
      <c r="H58">
        <v>0.06</v>
      </c>
      <c r="I58" t="s">
        <v>1809</v>
      </c>
      <c r="J58">
        <v>1567.356</v>
      </c>
      <c r="K58" t="s">
        <v>290</v>
      </c>
      <c r="L58">
        <v>34</v>
      </c>
      <c r="M58" t="s">
        <v>16</v>
      </c>
      <c r="N58" t="s">
        <v>291</v>
      </c>
      <c r="O58" t="s">
        <v>230</v>
      </c>
      <c r="P58" t="s">
        <v>12</v>
      </c>
      <c r="Q58" t="s">
        <v>26</v>
      </c>
      <c r="R58" t="s">
        <v>3862</v>
      </c>
      <c r="S58" t="s">
        <v>1546</v>
      </c>
      <c r="T58" t="s">
        <v>3811</v>
      </c>
      <c r="U58" t="s">
        <v>1600</v>
      </c>
      <c r="V58" t="s">
        <v>1760</v>
      </c>
      <c r="W58" t="s">
        <v>1737</v>
      </c>
      <c r="X58" t="s">
        <v>1755</v>
      </c>
    </row>
    <row r="59" spans="1:24" x14ac:dyDescent="0.3">
      <c r="A59" t="s">
        <v>1866</v>
      </c>
      <c r="B59" s="2">
        <v>45462</v>
      </c>
      <c r="C59" t="s">
        <v>1424</v>
      </c>
      <c r="D59" t="s">
        <v>1625</v>
      </c>
      <c r="E59" t="s">
        <v>1782</v>
      </c>
      <c r="F59" s="4">
        <v>2</v>
      </c>
      <c r="G59">
        <v>680.16</v>
      </c>
      <c r="H59">
        <v>0.28000000000000003</v>
      </c>
      <c r="I59" t="s">
        <v>1807</v>
      </c>
      <c r="J59">
        <v>979.43039999999996</v>
      </c>
      <c r="K59" t="s">
        <v>1425</v>
      </c>
      <c r="L59">
        <v>45</v>
      </c>
      <c r="M59" t="s">
        <v>9</v>
      </c>
      <c r="N59" t="s">
        <v>1426</v>
      </c>
      <c r="O59" t="s">
        <v>170</v>
      </c>
      <c r="P59" t="s">
        <v>12</v>
      </c>
      <c r="Q59" t="s">
        <v>13</v>
      </c>
      <c r="R59" t="s">
        <v>3877</v>
      </c>
      <c r="S59" t="s">
        <v>1541</v>
      </c>
      <c r="T59" t="s">
        <v>3878</v>
      </c>
      <c r="U59" t="s">
        <v>1626</v>
      </c>
      <c r="V59" t="s">
        <v>1741</v>
      </c>
      <c r="W59" t="s">
        <v>1742</v>
      </c>
      <c r="X59" t="s">
        <v>1739</v>
      </c>
    </row>
    <row r="60" spans="1:24" x14ac:dyDescent="0.3">
      <c r="A60" t="s">
        <v>1867</v>
      </c>
      <c r="B60" s="2">
        <v>45633</v>
      </c>
      <c r="C60" t="s">
        <v>1243</v>
      </c>
      <c r="D60" t="s">
        <v>1561</v>
      </c>
      <c r="E60" t="s">
        <v>1762</v>
      </c>
      <c r="F60" s="4">
        <v>4</v>
      </c>
      <c r="G60">
        <v>733.42</v>
      </c>
      <c r="H60">
        <v>0.147798969072165</v>
      </c>
      <c r="I60" t="s">
        <v>1809</v>
      </c>
      <c r="J60">
        <v>2552.3015999999998</v>
      </c>
      <c r="K60" t="s">
        <v>1244</v>
      </c>
      <c r="L60">
        <v>18</v>
      </c>
      <c r="M60" t="s">
        <v>16</v>
      </c>
      <c r="N60" t="s">
        <v>1245</v>
      </c>
      <c r="O60" t="s">
        <v>288</v>
      </c>
      <c r="P60" t="s">
        <v>12</v>
      </c>
      <c r="Q60" t="s">
        <v>31</v>
      </c>
      <c r="R60" t="s">
        <v>3837</v>
      </c>
      <c r="S60" t="s">
        <v>1546</v>
      </c>
      <c r="T60" t="s">
        <v>3838</v>
      </c>
      <c r="U60" t="s">
        <v>1562</v>
      </c>
      <c r="V60" t="s">
        <v>1763</v>
      </c>
      <c r="W60" t="s">
        <v>1746</v>
      </c>
      <c r="X60" t="s">
        <v>1755</v>
      </c>
    </row>
    <row r="61" spans="1:24" x14ac:dyDescent="0.3">
      <c r="A61" t="s">
        <v>1868</v>
      </c>
      <c r="B61" s="2">
        <v>45257</v>
      </c>
      <c r="C61" t="s">
        <v>1135</v>
      </c>
      <c r="D61" t="s">
        <v>1709</v>
      </c>
      <c r="E61" t="s">
        <v>1775</v>
      </c>
      <c r="F61" s="4">
        <v>1</v>
      </c>
      <c r="G61">
        <v>996.33</v>
      </c>
      <c r="H61">
        <v>0.23</v>
      </c>
      <c r="I61" t="s">
        <v>1809</v>
      </c>
      <c r="J61">
        <v>767.17410000000007</v>
      </c>
      <c r="K61" t="s">
        <v>1136</v>
      </c>
      <c r="L61">
        <v>34</v>
      </c>
      <c r="M61" t="s">
        <v>16</v>
      </c>
      <c r="N61" t="s">
        <v>1137</v>
      </c>
      <c r="O61" t="s">
        <v>25</v>
      </c>
      <c r="P61" t="s">
        <v>12</v>
      </c>
      <c r="Q61" t="s">
        <v>26</v>
      </c>
      <c r="R61" t="s">
        <v>3922</v>
      </c>
      <c r="S61" t="s">
        <v>1541</v>
      </c>
      <c r="T61" t="s">
        <v>3878</v>
      </c>
      <c r="U61" t="s">
        <v>1710</v>
      </c>
      <c r="V61" t="s">
        <v>1741</v>
      </c>
      <c r="W61" t="s">
        <v>1742</v>
      </c>
      <c r="X61" t="s">
        <v>1739</v>
      </c>
    </row>
    <row r="62" spans="1:24" x14ac:dyDescent="0.3">
      <c r="A62" t="s">
        <v>1869</v>
      </c>
      <c r="B62" s="2">
        <v>45854</v>
      </c>
      <c r="C62" t="s">
        <v>1255</v>
      </c>
      <c r="D62" t="s">
        <v>1593</v>
      </c>
      <c r="E62" t="s">
        <v>1772</v>
      </c>
      <c r="F62" s="4">
        <v>1</v>
      </c>
      <c r="G62">
        <v>198.83</v>
      </c>
      <c r="H62">
        <v>0.09</v>
      </c>
      <c r="I62" t="s">
        <v>1812</v>
      </c>
      <c r="J62">
        <v>180.93530000000001</v>
      </c>
      <c r="K62" t="s">
        <v>1256</v>
      </c>
      <c r="L62">
        <v>55</v>
      </c>
      <c r="M62" t="s">
        <v>9</v>
      </c>
      <c r="N62" t="s">
        <v>1257</v>
      </c>
      <c r="O62" t="s">
        <v>88</v>
      </c>
      <c r="P62" t="s">
        <v>12</v>
      </c>
      <c r="Q62" t="s">
        <v>13</v>
      </c>
      <c r="R62" t="s">
        <v>3858</v>
      </c>
      <c r="S62" t="s">
        <v>1549</v>
      </c>
      <c r="T62" t="s">
        <v>3859</v>
      </c>
      <c r="U62" t="s">
        <v>1594</v>
      </c>
      <c r="V62" t="s">
        <v>1741</v>
      </c>
      <c r="W62" t="s">
        <v>1742</v>
      </c>
      <c r="X62" t="s">
        <v>1739</v>
      </c>
    </row>
    <row r="63" spans="1:24" x14ac:dyDescent="0.3">
      <c r="A63" t="s">
        <v>1870</v>
      </c>
      <c r="B63" s="2">
        <v>45716</v>
      </c>
      <c r="C63" t="s">
        <v>761</v>
      </c>
      <c r="D63" t="s">
        <v>1569</v>
      </c>
      <c r="E63" t="s">
        <v>1762</v>
      </c>
      <c r="F63" s="4">
        <v>1</v>
      </c>
      <c r="G63">
        <v>374.92</v>
      </c>
      <c r="H63">
        <v>0.18</v>
      </c>
      <c r="I63" t="s">
        <v>1809</v>
      </c>
      <c r="J63">
        <v>307.43439999999998</v>
      </c>
      <c r="K63" t="s">
        <v>762</v>
      </c>
      <c r="L63">
        <v>59</v>
      </c>
      <c r="M63" t="s">
        <v>16</v>
      </c>
      <c r="N63" t="s">
        <v>763</v>
      </c>
      <c r="O63" t="s">
        <v>181</v>
      </c>
      <c r="P63" t="s">
        <v>12</v>
      </c>
      <c r="Q63" t="s">
        <v>19</v>
      </c>
      <c r="R63" t="s">
        <v>3843</v>
      </c>
      <c r="S63" t="s">
        <v>1549</v>
      </c>
      <c r="T63" t="s">
        <v>3844</v>
      </c>
      <c r="U63" t="s">
        <v>1570</v>
      </c>
      <c r="V63" t="s">
        <v>1763</v>
      </c>
      <c r="W63" t="s">
        <v>1746</v>
      </c>
      <c r="X63" t="s">
        <v>1755</v>
      </c>
    </row>
    <row r="64" spans="1:24" x14ac:dyDescent="0.3">
      <c r="A64" t="s">
        <v>1871</v>
      </c>
      <c r="B64" s="2">
        <v>45515</v>
      </c>
      <c r="C64" t="s">
        <v>1415</v>
      </c>
      <c r="D64" t="s">
        <v>1717</v>
      </c>
      <c r="E64" t="s">
        <v>1787</v>
      </c>
      <c r="F64" s="4">
        <v>1</v>
      </c>
      <c r="G64">
        <v>468.94</v>
      </c>
      <c r="H64">
        <v>0.12</v>
      </c>
      <c r="I64" t="s">
        <v>1807</v>
      </c>
      <c r="J64">
        <v>412.66719999999998</v>
      </c>
      <c r="K64" t="s">
        <v>1416</v>
      </c>
      <c r="L64">
        <v>28</v>
      </c>
      <c r="M64" t="s">
        <v>16</v>
      </c>
      <c r="N64" t="s">
        <v>1417</v>
      </c>
      <c r="O64" t="s">
        <v>74</v>
      </c>
      <c r="P64" t="s">
        <v>12</v>
      </c>
      <c r="Q64" t="s">
        <v>19</v>
      </c>
      <c r="R64" t="s">
        <v>3926</v>
      </c>
      <c r="S64" t="s">
        <v>1546</v>
      </c>
      <c r="T64" t="s">
        <v>3811</v>
      </c>
      <c r="U64" t="s">
        <v>1718</v>
      </c>
      <c r="V64" t="s">
        <v>1741</v>
      </c>
      <c r="W64" t="s">
        <v>1742</v>
      </c>
      <c r="X64" t="s">
        <v>1739</v>
      </c>
    </row>
    <row r="65" spans="1:24" x14ac:dyDescent="0.3">
      <c r="A65" t="s">
        <v>1872</v>
      </c>
      <c r="B65" s="2">
        <v>45927</v>
      </c>
      <c r="C65" t="s">
        <v>430</v>
      </c>
      <c r="D65" t="s">
        <v>1709</v>
      </c>
      <c r="E65" t="s">
        <v>1777</v>
      </c>
      <c r="F65" s="4">
        <v>2</v>
      </c>
      <c r="G65">
        <v>121.37</v>
      </c>
      <c r="H65">
        <v>0.05</v>
      </c>
      <c r="I65" t="s">
        <v>1807</v>
      </c>
      <c r="J65">
        <v>230.60300000000001</v>
      </c>
      <c r="K65" t="s">
        <v>431</v>
      </c>
      <c r="L65">
        <v>39</v>
      </c>
      <c r="M65" t="s">
        <v>9</v>
      </c>
      <c r="N65" t="s">
        <v>432</v>
      </c>
      <c r="O65" t="s">
        <v>133</v>
      </c>
      <c r="P65" t="s">
        <v>12</v>
      </c>
      <c r="Q65" t="s">
        <v>13</v>
      </c>
      <c r="R65" t="s">
        <v>3922</v>
      </c>
      <c r="S65" t="s">
        <v>1541</v>
      </c>
      <c r="T65" t="s">
        <v>3878</v>
      </c>
      <c r="U65" t="s">
        <v>1710</v>
      </c>
      <c r="V65" t="s">
        <v>1741</v>
      </c>
      <c r="W65" t="s">
        <v>1742</v>
      </c>
      <c r="X65" t="s">
        <v>1739</v>
      </c>
    </row>
    <row r="66" spans="1:24" x14ac:dyDescent="0.3">
      <c r="A66" t="s">
        <v>1873</v>
      </c>
      <c r="B66" s="2">
        <v>45914</v>
      </c>
      <c r="C66" t="s">
        <v>808</v>
      </c>
      <c r="D66" t="s">
        <v>1637</v>
      </c>
      <c r="E66" t="s">
        <v>1772</v>
      </c>
      <c r="F66" s="4">
        <v>3</v>
      </c>
      <c r="G66">
        <v>480.06</v>
      </c>
      <c r="H66">
        <v>0.01</v>
      </c>
      <c r="I66" t="s">
        <v>1807</v>
      </c>
      <c r="J66">
        <v>1088.6371340062115</v>
      </c>
      <c r="K66" t="s">
        <v>809</v>
      </c>
      <c r="L66">
        <v>57</v>
      </c>
      <c r="M66" t="s">
        <v>9</v>
      </c>
      <c r="N66" t="s">
        <v>810</v>
      </c>
      <c r="O66" t="s">
        <v>25</v>
      </c>
      <c r="P66" t="s">
        <v>12</v>
      </c>
      <c r="Q66" t="s">
        <v>13</v>
      </c>
      <c r="R66" t="s">
        <v>3885</v>
      </c>
      <c r="S66" t="s">
        <v>1530</v>
      </c>
      <c r="T66" t="s">
        <v>3818</v>
      </c>
      <c r="U66" t="s">
        <v>1638</v>
      </c>
      <c r="V66" t="s">
        <v>1741</v>
      </c>
      <c r="W66" t="s">
        <v>1742</v>
      </c>
      <c r="X66" t="s">
        <v>1739</v>
      </c>
    </row>
    <row r="67" spans="1:24" x14ac:dyDescent="0.3">
      <c r="A67" t="s">
        <v>1874</v>
      </c>
      <c r="B67" s="2">
        <v>45290</v>
      </c>
      <c r="C67" t="s">
        <v>536</v>
      </c>
      <c r="D67" t="s">
        <v>1729</v>
      </c>
      <c r="E67" t="s">
        <v>1790</v>
      </c>
      <c r="F67" s="4">
        <v>2</v>
      </c>
      <c r="G67">
        <v>856.57</v>
      </c>
      <c r="H67">
        <v>0.24</v>
      </c>
      <c r="I67" t="s">
        <v>1807</v>
      </c>
      <c r="J67">
        <v>1301.9864</v>
      </c>
      <c r="K67" t="s">
        <v>537</v>
      </c>
      <c r="L67">
        <v>21</v>
      </c>
      <c r="M67" t="s">
        <v>9</v>
      </c>
      <c r="N67" t="s">
        <v>538</v>
      </c>
      <c r="O67" t="s">
        <v>234</v>
      </c>
      <c r="P67" t="s">
        <v>12</v>
      </c>
      <c r="Q67" t="s">
        <v>31</v>
      </c>
      <c r="R67" t="s">
        <v>3932</v>
      </c>
      <c r="S67" t="s">
        <v>1527</v>
      </c>
      <c r="T67" t="s">
        <v>3830</v>
      </c>
      <c r="U67" t="s">
        <v>1730</v>
      </c>
      <c r="V67" t="s">
        <v>1741</v>
      </c>
      <c r="W67" t="s">
        <v>1742</v>
      </c>
      <c r="X67" t="s">
        <v>1739</v>
      </c>
    </row>
    <row r="68" spans="1:24" x14ac:dyDescent="0.3">
      <c r="A68" t="s">
        <v>1875</v>
      </c>
      <c r="B68" s="2">
        <v>45213</v>
      </c>
      <c r="C68" t="s">
        <v>850</v>
      </c>
      <c r="D68" t="s">
        <v>1685</v>
      </c>
      <c r="E68" t="s">
        <v>1744</v>
      </c>
      <c r="F68" s="4">
        <v>4</v>
      </c>
      <c r="G68">
        <v>814.25</v>
      </c>
      <c r="H68">
        <v>0.18</v>
      </c>
      <c r="I68" t="s">
        <v>1807</v>
      </c>
      <c r="J68">
        <v>2670.74</v>
      </c>
      <c r="K68" t="s">
        <v>851</v>
      </c>
      <c r="L68">
        <v>31</v>
      </c>
      <c r="M68" t="s">
        <v>16</v>
      </c>
      <c r="N68" t="s">
        <v>852</v>
      </c>
      <c r="O68" t="s">
        <v>30</v>
      </c>
      <c r="P68" t="s">
        <v>12</v>
      </c>
      <c r="Q68" t="s">
        <v>31</v>
      </c>
      <c r="R68" t="s">
        <v>3910</v>
      </c>
      <c r="S68" t="s">
        <v>1546</v>
      </c>
      <c r="T68" t="s">
        <v>3838</v>
      </c>
      <c r="U68" t="s">
        <v>1686</v>
      </c>
      <c r="V68" t="s">
        <v>1745</v>
      </c>
      <c r="W68" t="s">
        <v>1746</v>
      </c>
      <c r="X68" t="s">
        <v>1748</v>
      </c>
    </row>
    <row r="69" spans="1:24" x14ac:dyDescent="0.3">
      <c r="A69" t="s">
        <v>1876</v>
      </c>
      <c r="B69" s="2">
        <v>45255</v>
      </c>
      <c r="C69" t="s">
        <v>1470</v>
      </c>
      <c r="D69" t="s">
        <v>1555</v>
      </c>
      <c r="E69" t="s">
        <v>1744</v>
      </c>
      <c r="F69" s="4">
        <v>1</v>
      </c>
      <c r="G69">
        <v>989.17</v>
      </c>
      <c r="H69">
        <v>0.2</v>
      </c>
      <c r="I69" t="s">
        <v>1809</v>
      </c>
      <c r="J69">
        <v>791.33600000000001</v>
      </c>
      <c r="K69" t="s">
        <v>1259</v>
      </c>
      <c r="L69">
        <v>32</v>
      </c>
      <c r="M69" t="s">
        <v>9</v>
      </c>
      <c r="N69" t="s">
        <v>1471</v>
      </c>
      <c r="O69" t="s">
        <v>181</v>
      </c>
      <c r="P69" t="s">
        <v>12</v>
      </c>
      <c r="Q69" t="s">
        <v>13</v>
      </c>
      <c r="R69" t="s">
        <v>3832</v>
      </c>
      <c r="S69" t="s">
        <v>1541</v>
      </c>
      <c r="T69" t="s">
        <v>3833</v>
      </c>
      <c r="U69" t="s">
        <v>1556</v>
      </c>
      <c r="V69" t="s">
        <v>1745</v>
      </c>
      <c r="W69" t="s">
        <v>1746</v>
      </c>
      <c r="X69" t="s">
        <v>1748</v>
      </c>
    </row>
    <row r="70" spans="1:24" x14ac:dyDescent="0.3">
      <c r="A70" t="s">
        <v>1877</v>
      </c>
      <c r="B70" s="2">
        <v>45270</v>
      </c>
      <c r="C70" t="s">
        <v>1150</v>
      </c>
      <c r="D70" t="s">
        <v>1675</v>
      </c>
      <c r="E70" t="s">
        <v>1772</v>
      </c>
      <c r="F70" s="4">
        <v>4</v>
      </c>
      <c r="G70">
        <v>62.48</v>
      </c>
      <c r="H70">
        <v>0.18</v>
      </c>
      <c r="I70" t="s">
        <v>1807</v>
      </c>
      <c r="J70">
        <v>204.93440000000001</v>
      </c>
      <c r="K70" t="s">
        <v>1151</v>
      </c>
      <c r="L70">
        <v>37</v>
      </c>
      <c r="M70" t="s">
        <v>16</v>
      </c>
      <c r="N70" t="s">
        <v>1152</v>
      </c>
      <c r="O70" t="s">
        <v>25</v>
      </c>
      <c r="P70" t="s">
        <v>12</v>
      </c>
      <c r="Q70" t="s">
        <v>26</v>
      </c>
      <c r="R70" t="s">
        <v>3905</v>
      </c>
      <c r="S70" t="s">
        <v>1549</v>
      </c>
      <c r="T70" t="s">
        <v>3828</v>
      </c>
      <c r="U70" t="s">
        <v>1676</v>
      </c>
      <c r="V70" t="s">
        <v>1741</v>
      </c>
      <c r="W70" t="s">
        <v>1742</v>
      </c>
      <c r="X70" t="s">
        <v>1739</v>
      </c>
    </row>
    <row r="71" spans="1:24" x14ac:dyDescent="0.3">
      <c r="A71" t="s">
        <v>1878</v>
      </c>
      <c r="B71" s="2">
        <v>45897</v>
      </c>
      <c r="C71" t="s">
        <v>1297</v>
      </c>
      <c r="D71" t="s">
        <v>1557</v>
      </c>
      <c r="E71" t="s">
        <v>1787</v>
      </c>
      <c r="F71" s="4">
        <v>4</v>
      </c>
      <c r="G71">
        <v>561.24</v>
      </c>
      <c r="H71">
        <v>0.24</v>
      </c>
      <c r="I71" t="s">
        <v>1807</v>
      </c>
      <c r="J71">
        <v>1706.1695999999999</v>
      </c>
      <c r="K71" t="s">
        <v>1298</v>
      </c>
      <c r="L71">
        <v>53</v>
      </c>
      <c r="M71" t="s">
        <v>9</v>
      </c>
      <c r="N71" t="s">
        <v>1299</v>
      </c>
      <c r="O71" t="s">
        <v>62</v>
      </c>
      <c r="P71" t="s">
        <v>12</v>
      </c>
      <c r="Q71" t="s">
        <v>31</v>
      </c>
      <c r="R71" t="s">
        <v>3834</v>
      </c>
      <c r="S71" t="s">
        <v>1546</v>
      </c>
      <c r="T71" t="s">
        <v>3820</v>
      </c>
      <c r="U71" t="s">
        <v>1558</v>
      </c>
      <c r="V71" t="s">
        <v>1741</v>
      </c>
      <c r="W71" t="s">
        <v>1742</v>
      </c>
      <c r="X71" t="s">
        <v>1739</v>
      </c>
    </row>
    <row r="72" spans="1:24" x14ac:dyDescent="0.3">
      <c r="A72" t="s">
        <v>1879</v>
      </c>
      <c r="B72" s="2">
        <v>45849</v>
      </c>
      <c r="C72" t="s">
        <v>215</v>
      </c>
      <c r="D72" t="s">
        <v>1651</v>
      </c>
      <c r="E72" t="s">
        <v>1756</v>
      </c>
      <c r="F72" s="4">
        <v>3</v>
      </c>
      <c r="G72">
        <v>92.24</v>
      </c>
      <c r="H72">
        <v>0.28000000000000003</v>
      </c>
      <c r="I72" t="s">
        <v>1812</v>
      </c>
      <c r="J72">
        <v>1087.997808251168</v>
      </c>
      <c r="K72" t="s">
        <v>216</v>
      </c>
      <c r="L72">
        <v>53</v>
      </c>
      <c r="M72" t="s">
        <v>9</v>
      </c>
      <c r="N72" t="s">
        <v>217</v>
      </c>
      <c r="O72" t="s">
        <v>139</v>
      </c>
      <c r="P72" t="s">
        <v>12</v>
      </c>
      <c r="Q72" t="s">
        <v>19</v>
      </c>
      <c r="R72" t="s">
        <v>3892</v>
      </c>
      <c r="S72" t="s">
        <v>1541</v>
      </c>
      <c r="T72" t="s">
        <v>3881</v>
      </c>
      <c r="U72" t="s">
        <v>1652</v>
      </c>
      <c r="V72" t="s">
        <v>1757</v>
      </c>
      <c r="W72" t="s">
        <v>1742</v>
      </c>
      <c r="X72" t="s">
        <v>1748</v>
      </c>
    </row>
    <row r="73" spans="1:24" x14ac:dyDescent="0.3">
      <c r="A73" t="s">
        <v>1880</v>
      </c>
      <c r="B73" s="2">
        <v>45889</v>
      </c>
      <c r="C73" t="s">
        <v>554</v>
      </c>
      <c r="D73" t="s">
        <v>1675</v>
      </c>
      <c r="E73" t="s">
        <v>1740</v>
      </c>
      <c r="F73" s="4">
        <v>2</v>
      </c>
      <c r="G73">
        <v>668.3</v>
      </c>
      <c r="H73">
        <v>7.0000000000000007E-2</v>
      </c>
      <c r="I73" t="s">
        <v>1807</v>
      </c>
      <c r="J73">
        <v>1243.038</v>
      </c>
      <c r="K73" t="s">
        <v>555</v>
      </c>
      <c r="L73">
        <v>64</v>
      </c>
      <c r="M73" t="s">
        <v>9</v>
      </c>
      <c r="N73" t="s">
        <v>556</v>
      </c>
      <c r="O73" t="s">
        <v>247</v>
      </c>
      <c r="P73" t="s">
        <v>12</v>
      </c>
      <c r="Q73" t="s">
        <v>19</v>
      </c>
      <c r="R73" t="s">
        <v>3905</v>
      </c>
      <c r="S73" t="s">
        <v>1549</v>
      </c>
      <c r="T73" t="s">
        <v>3828</v>
      </c>
      <c r="U73" t="s">
        <v>1676</v>
      </c>
      <c r="V73" t="s">
        <v>1741</v>
      </c>
      <c r="W73" t="s">
        <v>1742</v>
      </c>
      <c r="X73" t="s">
        <v>1739</v>
      </c>
    </row>
    <row r="74" spans="1:24" x14ac:dyDescent="0.3">
      <c r="A74" t="s">
        <v>1881</v>
      </c>
      <c r="B74" s="2">
        <v>45533</v>
      </c>
      <c r="C74" t="s">
        <v>1258</v>
      </c>
      <c r="D74" t="s">
        <v>1607</v>
      </c>
      <c r="E74" t="s">
        <v>1756</v>
      </c>
      <c r="F74" s="4">
        <v>1</v>
      </c>
      <c r="G74">
        <v>553.82000000000005</v>
      </c>
      <c r="H74">
        <v>0.09</v>
      </c>
      <c r="I74" t="s">
        <v>1807</v>
      </c>
      <c r="J74">
        <v>503.97620000000012</v>
      </c>
      <c r="K74" t="s">
        <v>1259</v>
      </c>
      <c r="L74">
        <v>48</v>
      </c>
      <c r="M74" t="s">
        <v>16</v>
      </c>
      <c r="N74" t="s">
        <v>1260</v>
      </c>
      <c r="O74" t="s">
        <v>838</v>
      </c>
      <c r="P74" t="s">
        <v>12</v>
      </c>
      <c r="Q74" t="s">
        <v>13</v>
      </c>
      <c r="R74" t="s">
        <v>3867</v>
      </c>
      <c r="S74" t="s">
        <v>1549</v>
      </c>
      <c r="T74" t="s">
        <v>3851</v>
      </c>
      <c r="U74" t="s">
        <v>1608</v>
      </c>
      <c r="V74" t="s">
        <v>1757</v>
      </c>
      <c r="W74" t="s">
        <v>1742</v>
      </c>
      <c r="X74" t="s">
        <v>1748</v>
      </c>
    </row>
    <row r="75" spans="1:24" x14ac:dyDescent="0.3">
      <c r="A75" t="s">
        <v>1882</v>
      </c>
      <c r="B75" s="2">
        <v>45626</v>
      </c>
      <c r="C75" t="s">
        <v>146</v>
      </c>
      <c r="D75" t="s">
        <v>1621</v>
      </c>
      <c r="E75" t="s">
        <v>1775</v>
      </c>
      <c r="F75" s="4">
        <v>2</v>
      </c>
      <c r="G75">
        <v>556.42999999999995</v>
      </c>
      <c r="H75">
        <v>0.13</v>
      </c>
      <c r="I75" t="s">
        <v>1807</v>
      </c>
      <c r="J75">
        <v>968.18819999999994</v>
      </c>
      <c r="K75" t="s">
        <v>147</v>
      </c>
      <c r="L75">
        <v>35</v>
      </c>
      <c r="M75" t="s">
        <v>16</v>
      </c>
      <c r="N75" t="s">
        <v>148</v>
      </c>
      <c r="O75" t="s">
        <v>39</v>
      </c>
      <c r="P75" t="s">
        <v>12</v>
      </c>
      <c r="Q75" t="s">
        <v>19</v>
      </c>
      <c r="R75" t="s">
        <v>3875</v>
      </c>
      <c r="S75" t="s">
        <v>1549</v>
      </c>
      <c r="T75" t="s">
        <v>3859</v>
      </c>
      <c r="U75" t="s">
        <v>1622</v>
      </c>
      <c r="V75" t="s">
        <v>1741</v>
      </c>
      <c r="W75" t="s">
        <v>1742</v>
      </c>
      <c r="X75" t="s">
        <v>1739</v>
      </c>
    </row>
    <row r="76" spans="1:24" x14ac:dyDescent="0.3">
      <c r="A76" t="s">
        <v>1883</v>
      </c>
      <c r="B76" s="2">
        <v>45942</v>
      </c>
      <c r="C76" t="s">
        <v>861</v>
      </c>
      <c r="D76" t="s">
        <v>1571</v>
      </c>
      <c r="E76" t="s">
        <v>1765</v>
      </c>
      <c r="F76" s="4">
        <v>1</v>
      </c>
      <c r="G76">
        <v>184.98</v>
      </c>
      <c r="H76">
        <v>0.1</v>
      </c>
      <c r="I76" t="s">
        <v>1812</v>
      </c>
      <c r="J76">
        <v>166.482</v>
      </c>
      <c r="K76" t="s">
        <v>862</v>
      </c>
      <c r="L76">
        <v>38</v>
      </c>
      <c r="M76" t="s">
        <v>9</v>
      </c>
      <c r="N76" t="s">
        <v>863</v>
      </c>
      <c r="O76" t="s">
        <v>309</v>
      </c>
      <c r="P76" t="s">
        <v>12</v>
      </c>
      <c r="Q76" t="s">
        <v>26</v>
      </c>
      <c r="R76" t="s">
        <v>3845</v>
      </c>
      <c r="S76" t="s">
        <v>1549</v>
      </c>
      <c r="T76" t="s">
        <v>3820</v>
      </c>
      <c r="U76" t="s">
        <v>1572</v>
      </c>
      <c r="V76" t="s">
        <v>1766</v>
      </c>
      <c r="W76" t="s">
        <v>1767</v>
      </c>
      <c r="X76" t="s">
        <v>1755</v>
      </c>
    </row>
    <row r="77" spans="1:24" x14ac:dyDescent="0.3">
      <c r="A77" t="s">
        <v>1884</v>
      </c>
      <c r="B77" s="2">
        <v>45500</v>
      </c>
      <c r="C77" t="s">
        <v>140</v>
      </c>
      <c r="D77" t="s">
        <v>1725</v>
      </c>
      <c r="E77" t="s">
        <v>1777</v>
      </c>
      <c r="F77" s="4">
        <v>4</v>
      </c>
      <c r="G77">
        <v>700.18</v>
      </c>
      <c r="H77">
        <v>0.23</v>
      </c>
      <c r="I77" t="s">
        <v>1807</v>
      </c>
      <c r="J77">
        <v>2156.5544</v>
      </c>
      <c r="K77" t="s">
        <v>141</v>
      </c>
      <c r="L77">
        <v>20</v>
      </c>
      <c r="M77" t="s">
        <v>16</v>
      </c>
      <c r="N77" t="s">
        <v>142</v>
      </c>
      <c r="O77" t="s">
        <v>18</v>
      </c>
      <c r="P77" t="s">
        <v>12</v>
      </c>
      <c r="Q77" t="s">
        <v>31</v>
      </c>
      <c r="R77" t="s">
        <v>3930</v>
      </c>
      <c r="S77" t="s">
        <v>1549</v>
      </c>
      <c r="T77" t="s">
        <v>3859</v>
      </c>
      <c r="U77" t="s">
        <v>1726</v>
      </c>
      <c r="V77" t="s">
        <v>1741</v>
      </c>
      <c r="W77" t="s">
        <v>1742</v>
      </c>
      <c r="X77" t="s">
        <v>1739</v>
      </c>
    </row>
    <row r="78" spans="1:24" x14ac:dyDescent="0.3">
      <c r="A78" t="s">
        <v>1885</v>
      </c>
      <c r="B78" s="2">
        <v>45285</v>
      </c>
      <c r="C78" t="s">
        <v>85</v>
      </c>
      <c r="D78" t="s">
        <v>1683</v>
      </c>
      <c r="E78" t="s">
        <v>1772</v>
      </c>
      <c r="F78" s="4">
        <v>2</v>
      </c>
      <c r="G78">
        <v>686.31</v>
      </c>
      <c r="H78">
        <v>0.25</v>
      </c>
      <c r="I78" t="s">
        <v>1807</v>
      </c>
      <c r="J78">
        <v>1029.4649999999999</v>
      </c>
      <c r="K78" t="s">
        <v>86</v>
      </c>
      <c r="L78">
        <v>59</v>
      </c>
      <c r="M78" t="s">
        <v>9</v>
      </c>
      <c r="N78" t="s">
        <v>87</v>
      </c>
      <c r="O78" t="s">
        <v>88</v>
      </c>
      <c r="P78" t="s">
        <v>12</v>
      </c>
      <c r="Q78" t="s">
        <v>19</v>
      </c>
      <c r="R78" t="s">
        <v>3909</v>
      </c>
      <c r="S78" t="s">
        <v>1546</v>
      </c>
      <c r="T78" t="s">
        <v>3811</v>
      </c>
      <c r="U78" t="s">
        <v>1684</v>
      </c>
      <c r="V78" t="s">
        <v>1741</v>
      </c>
      <c r="W78" t="s">
        <v>1742</v>
      </c>
      <c r="X78" t="s">
        <v>1739</v>
      </c>
    </row>
    <row r="79" spans="1:24" x14ac:dyDescent="0.3">
      <c r="A79" t="s">
        <v>1886</v>
      </c>
      <c r="B79" s="2">
        <v>45800</v>
      </c>
      <c r="C79" t="s">
        <v>40</v>
      </c>
      <c r="D79" t="s">
        <v>1665</v>
      </c>
      <c r="E79" t="s">
        <v>1784</v>
      </c>
      <c r="F79" s="4">
        <v>1</v>
      </c>
      <c r="G79">
        <v>687.82</v>
      </c>
      <c r="H79">
        <v>0.27</v>
      </c>
      <c r="I79" t="s">
        <v>1812</v>
      </c>
      <c r="J79">
        <v>502.10860000000002</v>
      </c>
      <c r="K79" t="s">
        <v>41</v>
      </c>
      <c r="L79">
        <v>53</v>
      </c>
      <c r="M79" t="s">
        <v>16</v>
      </c>
      <c r="N79" t="s">
        <v>42</v>
      </c>
      <c r="O79" t="s">
        <v>43</v>
      </c>
      <c r="P79" t="s">
        <v>12</v>
      </c>
      <c r="Q79" t="s">
        <v>26</v>
      </c>
      <c r="R79" t="s">
        <v>3899</v>
      </c>
      <c r="S79" t="s">
        <v>1546</v>
      </c>
      <c r="T79" t="s">
        <v>3820</v>
      </c>
      <c r="U79" t="s">
        <v>1666</v>
      </c>
      <c r="V79" t="s">
        <v>1741</v>
      </c>
      <c r="W79" t="s">
        <v>1742</v>
      </c>
      <c r="X79" t="s">
        <v>1739</v>
      </c>
    </row>
    <row r="80" spans="1:24" x14ac:dyDescent="0.3">
      <c r="A80" t="s">
        <v>1887</v>
      </c>
      <c r="B80" s="2">
        <v>45609</v>
      </c>
      <c r="C80" t="s">
        <v>710</v>
      </c>
      <c r="D80" t="s">
        <v>1697</v>
      </c>
      <c r="E80" t="s">
        <v>1765</v>
      </c>
      <c r="F80" s="4">
        <v>2</v>
      </c>
      <c r="G80">
        <v>900.55</v>
      </c>
      <c r="H80">
        <v>0.16</v>
      </c>
      <c r="I80" t="s">
        <v>1807</v>
      </c>
      <c r="J80">
        <v>1512.924</v>
      </c>
      <c r="K80" t="s">
        <v>711</v>
      </c>
      <c r="L80">
        <v>35</v>
      </c>
      <c r="M80" t="s">
        <v>9</v>
      </c>
      <c r="N80" t="s">
        <v>712</v>
      </c>
      <c r="O80" t="s">
        <v>81</v>
      </c>
      <c r="P80" t="s">
        <v>12</v>
      </c>
      <c r="Q80" t="s">
        <v>19</v>
      </c>
      <c r="R80" t="s">
        <v>3916</v>
      </c>
      <c r="S80" t="s">
        <v>1541</v>
      </c>
      <c r="T80" t="s">
        <v>3822</v>
      </c>
      <c r="U80" t="s">
        <v>1698</v>
      </c>
      <c r="V80" t="s">
        <v>1766</v>
      </c>
      <c r="W80" t="s">
        <v>1767</v>
      </c>
      <c r="X80" t="s">
        <v>1755</v>
      </c>
    </row>
    <row r="81" spans="1:24" x14ac:dyDescent="0.3">
      <c r="A81" t="s">
        <v>1888</v>
      </c>
      <c r="B81" s="2">
        <v>45268</v>
      </c>
      <c r="C81" t="s">
        <v>397</v>
      </c>
      <c r="D81" t="s">
        <v>1573</v>
      </c>
      <c r="E81" t="s">
        <v>1744</v>
      </c>
      <c r="F81" s="4">
        <v>1</v>
      </c>
      <c r="G81">
        <v>341.17</v>
      </c>
      <c r="H81">
        <v>0.15</v>
      </c>
      <c r="I81" t="s">
        <v>1807</v>
      </c>
      <c r="J81">
        <v>289.99450000000002</v>
      </c>
      <c r="K81" t="s">
        <v>398</v>
      </c>
      <c r="L81">
        <v>18</v>
      </c>
      <c r="M81" t="s">
        <v>16</v>
      </c>
      <c r="N81" t="s">
        <v>399</v>
      </c>
      <c r="O81" t="s">
        <v>18</v>
      </c>
      <c r="P81" t="s">
        <v>12</v>
      </c>
      <c r="Q81" t="s">
        <v>19</v>
      </c>
      <c r="R81" t="s">
        <v>3846</v>
      </c>
      <c r="S81" t="s">
        <v>1527</v>
      </c>
      <c r="T81" t="s">
        <v>3847</v>
      </c>
      <c r="U81" t="s">
        <v>1574</v>
      </c>
      <c r="V81" t="s">
        <v>1745</v>
      </c>
      <c r="W81" t="s">
        <v>1746</v>
      </c>
      <c r="X81" t="s">
        <v>1748</v>
      </c>
    </row>
    <row r="82" spans="1:24" x14ac:dyDescent="0.3">
      <c r="A82" t="s">
        <v>1889</v>
      </c>
      <c r="B82" s="2">
        <v>45885</v>
      </c>
      <c r="C82" t="s">
        <v>576</v>
      </c>
      <c r="D82" t="s">
        <v>1635</v>
      </c>
      <c r="E82" t="s">
        <v>1765</v>
      </c>
      <c r="F82" s="4">
        <v>1</v>
      </c>
      <c r="G82">
        <v>442.27</v>
      </c>
      <c r="H82">
        <v>0.06</v>
      </c>
      <c r="I82" t="s">
        <v>1812</v>
      </c>
      <c r="J82">
        <v>415.73379999999997</v>
      </c>
      <c r="K82" t="s">
        <v>577</v>
      </c>
      <c r="L82">
        <v>55</v>
      </c>
      <c r="M82" t="s">
        <v>9</v>
      </c>
      <c r="N82" t="s">
        <v>578</v>
      </c>
      <c r="O82" t="s">
        <v>170</v>
      </c>
      <c r="P82" t="s">
        <v>12</v>
      </c>
      <c r="Q82" t="s">
        <v>31</v>
      </c>
      <c r="R82" t="s">
        <v>3884</v>
      </c>
      <c r="S82" t="s">
        <v>1549</v>
      </c>
      <c r="T82" t="s">
        <v>3859</v>
      </c>
      <c r="U82" t="s">
        <v>1636</v>
      </c>
      <c r="V82" t="s">
        <v>1766</v>
      </c>
      <c r="W82" t="s">
        <v>1767</v>
      </c>
      <c r="X82" t="s">
        <v>1755</v>
      </c>
    </row>
    <row r="83" spans="1:24" x14ac:dyDescent="0.3">
      <c r="A83" t="s">
        <v>1890</v>
      </c>
      <c r="B83" s="2">
        <v>45616</v>
      </c>
      <c r="C83" t="s">
        <v>803</v>
      </c>
      <c r="D83" t="s">
        <v>1673</v>
      </c>
      <c r="E83" t="s">
        <v>1769</v>
      </c>
      <c r="F83" s="4">
        <v>1</v>
      </c>
      <c r="G83">
        <v>363.73</v>
      </c>
      <c r="H83">
        <v>0.25</v>
      </c>
      <c r="I83" t="s">
        <v>1809</v>
      </c>
      <c r="J83">
        <v>272.79750000000001</v>
      </c>
      <c r="K83" t="s">
        <v>3941</v>
      </c>
      <c r="L83">
        <v>34</v>
      </c>
      <c r="M83" t="s">
        <v>9</v>
      </c>
      <c r="N83" t="s">
        <v>804</v>
      </c>
      <c r="O83" t="s">
        <v>319</v>
      </c>
      <c r="P83" t="s">
        <v>12</v>
      </c>
      <c r="Q83" t="s">
        <v>26</v>
      </c>
      <c r="R83" t="s">
        <v>3904</v>
      </c>
      <c r="S83" t="s">
        <v>1541</v>
      </c>
      <c r="T83" t="s">
        <v>3833</v>
      </c>
      <c r="U83" t="s">
        <v>1674</v>
      </c>
      <c r="V83" t="s">
        <v>1770</v>
      </c>
      <c r="W83" t="s">
        <v>1746</v>
      </c>
      <c r="X83" t="s">
        <v>1739</v>
      </c>
    </row>
    <row r="84" spans="1:24" x14ac:dyDescent="0.3">
      <c r="A84" t="s">
        <v>1891</v>
      </c>
      <c r="B84" s="2">
        <v>45518</v>
      </c>
      <c r="C84" t="s">
        <v>1168</v>
      </c>
      <c r="D84" t="s">
        <v>1713</v>
      </c>
      <c r="E84" t="s">
        <v>1790</v>
      </c>
      <c r="F84" s="4">
        <v>2</v>
      </c>
      <c r="G84">
        <v>601.33000000000004</v>
      </c>
      <c r="H84">
        <v>0.16</v>
      </c>
      <c r="I84" t="s">
        <v>1809</v>
      </c>
      <c r="J84">
        <v>1010.2344000000001</v>
      </c>
      <c r="K84" t="s">
        <v>1169</v>
      </c>
      <c r="L84">
        <v>34</v>
      </c>
      <c r="M84" t="s">
        <v>16</v>
      </c>
      <c r="N84" t="s">
        <v>1170</v>
      </c>
      <c r="O84" t="s">
        <v>92</v>
      </c>
      <c r="P84" t="s">
        <v>12</v>
      </c>
      <c r="Q84" t="s">
        <v>26</v>
      </c>
      <c r="R84" t="s">
        <v>3924</v>
      </c>
      <c r="S84" t="s">
        <v>1530</v>
      </c>
      <c r="T84" t="s">
        <v>3866</v>
      </c>
      <c r="U84" t="s">
        <v>1714</v>
      </c>
      <c r="V84" t="s">
        <v>1741</v>
      </c>
      <c r="W84" t="s">
        <v>1742</v>
      </c>
      <c r="X84" t="s">
        <v>1739</v>
      </c>
    </row>
    <row r="85" spans="1:24" x14ac:dyDescent="0.3">
      <c r="A85" t="s">
        <v>1892</v>
      </c>
      <c r="B85" s="2">
        <v>45427</v>
      </c>
      <c r="C85" t="s">
        <v>1240</v>
      </c>
      <c r="D85" t="s">
        <v>1565</v>
      </c>
      <c r="E85" t="s">
        <v>1793</v>
      </c>
      <c r="F85" s="4">
        <v>4</v>
      </c>
      <c r="G85">
        <v>34.39</v>
      </c>
      <c r="H85">
        <v>0.03</v>
      </c>
      <c r="I85" t="s">
        <v>1809</v>
      </c>
      <c r="J85">
        <v>133.4332</v>
      </c>
      <c r="K85" t="s">
        <v>1241</v>
      </c>
      <c r="L85">
        <v>22</v>
      </c>
      <c r="M85" t="s">
        <v>16</v>
      </c>
      <c r="N85" t="s">
        <v>1242</v>
      </c>
      <c r="O85" t="s">
        <v>323</v>
      </c>
      <c r="P85" t="s">
        <v>12</v>
      </c>
      <c r="Q85" t="s">
        <v>26</v>
      </c>
      <c r="R85" t="s">
        <v>3841</v>
      </c>
      <c r="S85" t="s">
        <v>1549</v>
      </c>
      <c r="T85" t="s">
        <v>3820</v>
      </c>
      <c r="U85" t="s">
        <v>1566</v>
      </c>
      <c r="V85" t="s">
        <v>1741</v>
      </c>
      <c r="W85" t="s">
        <v>1742</v>
      </c>
      <c r="X85" t="s">
        <v>1739</v>
      </c>
    </row>
    <row r="86" spans="1:24" x14ac:dyDescent="0.3">
      <c r="A86" t="s">
        <v>1893</v>
      </c>
      <c r="B86" s="2">
        <v>45268</v>
      </c>
      <c r="C86" t="s">
        <v>1297</v>
      </c>
      <c r="D86" t="s">
        <v>1623</v>
      </c>
      <c r="E86" t="s">
        <v>1790</v>
      </c>
      <c r="F86" s="4">
        <v>1</v>
      </c>
      <c r="G86">
        <v>773.57</v>
      </c>
      <c r="H86">
        <v>0.05</v>
      </c>
      <c r="I86" t="s">
        <v>1812</v>
      </c>
      <c r="J86">
        <v>1090.0558237722053</v>
      </c>
      <c r="K86" t="s">
        <v>1298</v>
      </c>
      <c r="L86">
        <v>53</v>
      </c>
      <c r="M86" t="s">
        <v>9</v>
      </c>
      <c r="N86" t="s">
        <v>1299</v>
      </c>
      <c r="O86" t="s">
        <v>62</v>
      </c>
      <c r="P86" t="s">
        <v>12</v>
      </c>
      <c r="Q86" t="s">
        <v>31</v>
      </c>
      <c r="R86" t="s">
        <v>3876</v>
      </c>
      <c r="S86" t="s">
        <v>1530</v>
      </c>
      <c r="T86" t="s">
        <v>3815</v>
      </c>
      <c r="U86" t="s">
        <v>1624</v>
      </c>
      <c r="V86" t="s">
        <v>1741</v>
      </c>
      <c r="W86" t="s">
        <v>1742</v>
      </c>
      <c r="X86" t="s">
        <v>1739</v>
      </c>
    </row>
    <row r="87" spans="1:24" x14ac:dyDescent="0.3">
      <c r="A87" t="s">
        <v>1894</v>
      </c>
      <c r="B87" s="2">
        <v>45282</v>
      </c>
      <c r="C87" t="s">
        <v>202</v>
      </c>
      <c r="D87" t="s">
        <v>1707</v>
      </c>
      <c r="E87" t="s">
        <v>1762</v>
      </c>
      <c r="F87" s="4">
        <v>4</v>
      </c>
      <c r="G87">
        <v>127.1</v>
      </c>
      <c r="H87">
        <v>0.24</v>
      </c>
      <c r="I87" t="s">
        <v>1812</v>
      </c>
      <c r="J87">
        <v>386.38400000000001</v>
      </c>
      <c r="K87" t="s">
        <v>203</v>
      </c>
      <c r="L87">
        <v>56</v>
      </c>
      <c r="M87" t="s">
        <v>16</v>
      </c>
      <c r="N87" t="s">
        <v>204</v>
      </c>
      <c r="O87" t="s">
        <v>96</v>
      </c>
      <c r="P87" t="s">
        <v>12</v>
      </c>
      <c r="Q87" t="s">
        <v>19</v>
      </c>
      <c r="R87" t="s">
        <v>3921</v>
      </c>
      <c r="S87" t="s">
        <v>1549</v>
      </c>
      <c r="T87" t="s">
        <v>3820</v>
      </c>
      <c r="U87" t="s">
        <v>1708</v>
      </c>
      <c r="V87" t="s">
        <v>1763</v>
      </c>
      <c r="W87" t="s">
        <v>1746</v>
      </c>
      <c r="X87" t="s">
        <v>1755</v>
      </c>
    </row>
    <row r="88" spans="1:24" x14ac:dyDescent="0.3">
      <c r="A88" t="s">
        <v>1895</v>
      </c>
      <c r="B88" s="2">
        <v>45545</v>
      </c>
      <c r="C88" t="s">
        <v>948</v>
      </c>
      <c r="D88" t="s">
        <v>1571</v>
      </c>
      <c r="E88" t="s">
        <v>1749</v>
      </c>
      <c r="F88" s="4">
        <v>3</v>
      </c>
      <c r="G88">
        <v>899.58</v>
      </c>
      <c r="H88">
        <v>0.28000000000000003</v>
      </c>
      <c r="I88" t="s">
        <v>1809</v>
      </c>
      <c r="J88">
        <v>1943.0927999999999</v>
      </c>
      <c r="K88" t="s">
        <v>949</v>
      </c>
      <c r="L88">
        <v>41</v>
      </c>
      <c r="M88" t="s">
        <v>9</v>
      </c>
      <c r="N88" t="s">
        <v>950</v>
      </c>
      <c r="O88" t="s">
        <v>92</v>
      </c>
      <c r="P88" t="s">
        <v>12</v>
      </c>
      <c r="Q88" t="s">
        <v>19</v>
      </c>
      <c r="R88" t="s">
        <v>3845</v>
      </c>
      <c r="S88" t="s">
        <v>1549</v>
      </c>
      <c r="T88" t="s">
        <v>3820</v>
      </c>
      <c r="U88" t="s">
        <v>1572</v>
      </c>
      <c r="V88" t="s">
        <v>1750</v>
      </c>
      <c r="W88" t="s">
        <v>1742</v>
      </c>
      <c r="X88" t="s">
        <v>1748</v>
      </c>
    </row>
    <row r="89" spans="1:24" x14ac:dyDescent="0.3">
      <c r="A89" t="s">
        <v>1896</v>
      </c>
      <c r="B89" s="2">
        <v>45755</v>
      </c>
      <c r="C89" t="s">
        <v>1018</v>
      </c>
      <c r="D89" t="s">
        <v>1529</v>
      </c>
      <c r="E89" t="s">
        <v>1772</v>
      </c>
      <c r="F89" s="4">
        <v>3</v>
      </c>
      <c r="G89">
        <v>964.39</v>
      </c>
      <c r="H89">
        <v>0.04</v>
      </c>
      <c r="I89" t="s">
        <v>1807</v>
      </c>
      <c r="J89">
        <v>2777.4432000000002</v>
      </c>
      <c r="K89" t="s">
        <v>1019</v>
      </c>
      <c r="L89">
        <v>46</v>
      </c>
      <c r="M89" t="s">
        <v>9</v>
      </c>
      <c r="N89" t="s">
        <v>1020</v>
      </c>
      <c r="O89" t="s">
        <v>58</v>
      </c>
      <c r="P89" t="s">
        <v>12</v>
      </c>
      <c r="Q89" t="s">
        <v>26</v>
      </c>
      <c r="R89" t="s">
        <v>3812</v>
      </c>
      <c r="S89" t="s">
        <v>1530</v>
      </c>
      <c r="T89" t="s">
        <v>3813</v>
      </c>
      <c r="U89" t="s">
        <v>1531</v>
      </c>
      <c r="V89" t="s">
        <v>1741</v>
      </c>
      <c r="W89" t="s">
        <v>1742</v>
      </c>
      <c r="X89" t="s">
        <v>1739</v>
      </c>
    </row>
    <row r="90" spans="1:24" x14ac:dyDescent="0.3">
      <c r="A90" t="s">
        <v>1897</v>
      </c>
      <c r="B90" s="2">
        <v>45588</v>
      </c>
      <c r="C90" t="s">
        <v>598</v>
      </c>
      <c r="D90" t="s">
        <v>1607</v>
      </c>
      <c r="E90" t="s">
        <v>1735</v>
      </c>
      <c r="F90" s="4">
        <v>2</v>
      </c>
      <c r="G90">
        <v>217.83</v>
      </c>
      <c r="H90">
        <v>0.14000000000000001</v>
      </c>
      <c r="I90" t="s">
        <v>1809</v>
      </c>
      <c r="J90">
        <v>374.66759999999999</v>
      </c>
      <c r="K90" t="s">
        <v>599</v>
      </c>
      <c r="L90">
        <v>46</v>
      </c>
      <c r="M90" t="s">
        <v>16</v>
      </c>
      <c r="N90" t="s">
        <v>600</v>
      </c>
      <c r="O90" t="s">
        <v>58</v>
      </c>
      <c r="P90" t="s">
        <v>12</v>
      </c>
      <c r="Q90" t="s">
        <v>19</v>
      </c>
      <c r="R90" t="s">
        <v>3867</v>
      </c>
      <c r="S90" t="s">
        <v>1549</v>
      </c>
      <c r="T90" t="s">
        <v>3851</v>
      </c>
      <c r="U90" t="s">
        <v>1608</v>
      </c>
      <c r="V90" t="s">
        <v>1736</v>
      </c>
      <c r="W90" t="s">
        <v>1737</v>
      </c>
      <c r="X90" t="s">
        <v>1739</v>
      </c>
    </row>
    <row r="91" spans="1:24" x14ac:dyDescent="0.3">
      <c r="A91" t="s">
        <v>1898</v>
      </c>
      <c r="B91" s="2">
        <v>45848</v>
      </c>
      <c r="C91" t="s">
        <v>479</v>
      </c>
      <c r="D91" t="s">
        <v>1565</v>
      </c>
      <c r="E91" t="s">
        <v>1740</v>
      </c>
      <c r="F91" s="4">
        <v>4</v>
      </c>
      <c r="G91">
        <v>187.71</v>
      </c>
      <c r="H91">
        <v>0.06</v>
      </c>
      <c r="I91" t="s">
        <v>1812</v>
      </c>
      <c r="J91">
        <v>705.78959999999995</v>
      </c>
      <c r="K91" t="s">
        <v>480</v>
      </c>
      <c r="L91">
        <v>62</v>
      </c>
      <c r="M91" t="s">
        <v>16</v>
      </c>
      <c r="N91" t="s">
        <v>481</v>
      </c>
      <c r="O91" t="s">
        <v>22</v>
      </c>
      <c r="P91" t="s">
        <v>12</v>
      </c>
      <c r="Q91" t="s">
        <v>26</v>
      </c>
      <c r="R91" t="s">
        <v>3841</v>
      </c>
      <c r="S91" t="s">
        <v>1549</v>
      </c>
      <c r="T91" t="s">
        <v>3820</v>
      </c>
      <c r="U91" t="s">
        <v>1566</v>
      </c>
      <c r="V91" t="s">
        <v>1741</v>
      </c>
      <c r="W91" t="s">
        <v>1742</v>
      </c>
      <c r="X91" t="s">
        <v>1739</v>
      </c>
    </row>
    <row r="92" spans="1:24" x14ac:dyDescent="0.3">
      <c r="A92" t="s">
        <v>1899</v>
      </c>
      <c r="B92" s="2">
        <v>45577</v>
      </c>
      <c r="C92" t="s">
        <v>52</v>
      </c>
      <c r="D92" t="s">
        <v>1597</v>
      </c>
      <c r="E92" t="s">
        <v>1793</v>
      </c>
      <c r="F92" s="4">
        <v>2</v>
      </c>
      <c r="G92">
        <v>350.12</v>
      </c>
      <c r="H92">
        <v>0.12</v>
      </c>
      <c r="I92" t="s">
        <v>1812</v>
      </c>
      <c r="J92">
        <v>616.21119999999996</v>
      </c>
      <c r="K92" t="s">
        <v>53</v>
      </c>
      <c r="L92">
        <v>28</v>
      </c>
      <c r="M92" t="s">
        <v>16</v>
      </c>
      <c r="N92" t="s">
        <v>54</v>
      </c>
      <c r="O92" t="s">
        <v>51</v>
      </c>
      <c r="P92" t="s">
        <v>12</v>
      </c>
      <c r="Q92" t="s">
        <v>26</v>
      </c>
      <c r="R92" t="s">
        <v>3861</v>
      </c>
      <c r="S92" t="s">
        <v>1527</v>
      </c>
      <c r="T92" t="s">
        <v>3836</v>
      </c>
      <c r="U92" t="s">
        <v>1598</v>
      </c>
      <c r="V92" t="s">
        <v>1741</v>
      </c>
      <c r="W92" t="s">
        <v>1742</v>
      </c>
      <c r="X92" t="s">
        <v>1739</v>
      </c>
    </row>
    <row r="93" spans="1:24" x14ac:dyDescent="0.3">
      <c r="A93" t="s">
        <v>1900</v>
      </c>
      <c r="B93" s="2">
        <v>45312</v>
      </c>
      <c r="C93" t="s">
        <v>1249</v>
      </c>
      <c r="D93" t="s">
        <v>1563</v>
      </c>
      <c r="E93" t="s">
        <v>1740</v>
      </c>
      <c r="F93" s="4">
        <v>4</v>
      </c>
      <c r="G93">
        <v>102.19</v>
      </c>
      <c r="H93">
        <v>0.17</v>
      </c>
      <c r="I93" t="s">
        <v>1809</v>
      </c>
      <c r="J93">
        <v>339.27080000000001</v>
      </c>
      <c r="K93" t="s">
        <v>1250</v>
      </c>
      <c r="L93">
        <v>33</v>
      </c>
      <c r="M93" t="s">
        <v>9</v>
      </c>
      <c r="N93" t="s">
        <v>1251</v>
      </c>
      <c r="O93" t="s">
        <v>319</v>
      </c>
      <c r="P93" t="s">
        <v>12</v>
      </c>
      <c r="Q93" t="s">
        <v>13</v>
      </c>
      <c r="R93" t="s">
        <v>3839</v>
      </c>
      <c r="S93" t="s">
        <v>1541</v>
      </c>
      <c r="T93" t="s">
        <v>3840</v>
      </c>
      <c r="U93" t="s">
        <v>1564</v>
      </c>
      <c r="V93" t="s">
        <v>1741</v>
      </c>
      <c r="W93" t="s">
        <v>1742</v>
      </c>
      <c r="X93" t="s">
        <v>1739</v>
      </c>
    </row>
    <row r="94" spans="1:24" x14ac:dyDescent="0.3">
      <c r="A94" t="s">
        <v>1901</v>
      </c>
      <c r="B94" s="2">
        <v>45350</v>
      </c>
      <c r="C94" t="s">
        <v>40</v>
      </c>
      <c r="D94" t="s">
        <v>1703</v>
      </c>
      <c r="E94" t="s">
        <v>1752</v>
      </c>
      <c r="F94" s="4">
        <v>1</v>
      </c>
      <c r="G94">
        <v>696.53</v>
      </c>
      <c r="H94">
        <v>0.17</v>
      </c>
      <c r="I94" t="s">
        <v>1807</v>
      </c>
      <c r="J94">
        <v>578.11989999999992</v>
      </c>
      <c r="K94" t="s">
        <v>41</v>
      </c>
      <c r="L94">
        <v>53</v>
      </c>
      <c r="M94" t="s">
        <v>16</v>
      </c>
      <c r="N94" t="s">
        <v>42</v>
      </c>
      <c r="O94" t="s">
        <v>43</v>
      </c>
      <c r="P94" t="s">
        <v>12</v>
      </c>
      <c r="Q94" t="s">
        <v>26</v>
      </c>
      <c r="R94" t="s">
        <v>3919</v>
      </c>
      <c r="S94" t="s">
        <v>1527</v>
      </c>
      <c r="T94" t="s">
        <v>3830</v>
      </c>
      <c r="U94" t="s">
        <v>1704</v>
      </c>
      <c r="V94" t="s">
        <v>1753</v>
      </c>
      <c r="W94" t="s">
        <v>1746</v>
      </c>
      <c r="X94" t="s">
        <v>1755</v>
      </c>
    </row>
    <row r="95" spans="1:24" x14ac:dyDescent="0.3">
      <c r="A95" t="s">
        <v>1902</v>
      </c>
      <c r="B95" s="2">
        <v>45657</v>
      </c>
      <c r="C95" t="s">
        <v>238</v>
      </c>
      <c r="D95" t="s">
        <v>1569</v>
      </c>
      <c r="E95" t="s">
        <v>1752</v>
      </c>
      <c r="F95" s="4">
        <v>2</v>
      </c>
      <c r="G95">
        <v>327.52</v>
      </c>
      <c r="H95">
        <v>0.15</v>
      </c>
      <c r="I95" t="s">
        <v>1809</v>
      </c>
      <c r="J95">
        <v>556.78399999999999</v>
      </c>
      <c r="K95" t="s">
        <v>239</v>
      </c>
      <c r="L95">
        <v>27</v>
      </c>
      <c r="M95" t="s">
        <v>16</v>
      </c>
      <c r="N95" t="s">
        <v>240</v>
      </c>
      <c r="O95" t="s">
        <v>181</v>
      </c>
      <c r="P95" t="s">
        <v>12</v>
      </c>
      <c r="Q95" t="s">
        <v>31</v>
      </c>
      <c r="R95" t="s">
        <v>3843</v>
      </c>
      <c r="S95" t="s">
        <v>1549</v>
      </c>
      <c r="T95" t="s">
        <v>3844</v>
      </c>
      <c r="U95" t="s">
        <v>1570</v>
      </c>
      <c r="V95" t="s">
        <v>1753</v>
      </c>
      <c r="W95" t="s">
        <v>1746</v>
      </c>
      <c r="X95" t="s">
        <v>1755</v>
      </c>
    </row>
    <row r="96" spans="1:24" x14ac:dyDescent="0.3">
      <c r="A96" t="s">
        <v>1903</v>
      </c>
      <c r="B96" s="2">
        <v>45530</v>
      </c>
      <c r="C96" t="s">
        <v>933</v>
      </c>
      <c r="D96" t="s">
        <v>1725</v>
      </c>
      <c r="E96" t="s">
        <v>1796</v>
      </c>
      <c r="F96" s="4">
        <v>2</v>
      </c>
      <c r="G96">
        <v>569.36</v>
      </c>
      <c r="H96">
        <v>0.01</v>
      </c>
      <c r="I96" t="s">
        <v>1809</v>
      </c>
      <c r="J96">
        <v>1090.8604113385834</v>
      </c>
      <c r="K96" t="s">
        <v>934</v>
      </c>
      <c r="L96">
        <v>48</v>
      </c>
      <c r="M96" t="s">
        <v>16</v>
      </c>
      <c r="N96" t="s">
        <v>935</v>
      </c>
      <c r="O96" t="s">
        <v>429</v>
      </c>
      <c r="P96" t="s">
        <v>12</v>
      </c>
      <c r="Q96" t="s">
        <v>19</v>
      </c>
      <c r="R96" t="s">
        <v>3930</v>
      </c>
      <c r="S96" t="s">
        <v>1549</v>
      </c>
      <c r="T96" t="s">
        <v>3859</v>
      </c>
      <c r="U96" t="s">
        <v>1726</v>
      </c>
      <c r="V96" t="s">
        <v>1741</v>
      </c>
      <c r="W96" t="s">
        <v>1742</v>
      </c>
      <c r="X96" t="s">
        <v>1739</v>
      </c>
    </row>
    <row r="97" spans="1:24" x14ac:dyDescent="0.3">
      <c r="A97" t="s">
        <v>1904</v>
      </c>
      <c r="B97" s="2">
        <v>45556</v>
      </c>
      <c r="C97" t="s">
        <v>1001</v>
      </c>
      <c r="D97" t="s">
        <v>1729</v>
      </c>
      <c r="E97" t="s">
        <v>1759</v>
      </c>
      <c r="F97" s="4">
        <v>2</v>
      </c>
      <c r="G97">
        <v>68.290000000000006</v>
      </c>
      <c r="H97">
        <v>0.14000000000000001</v>
      </c>
      <c r="I97" t="s">
        <v>1812</v>
      </c>
      <c r="J97">
        <v>117.4588</v>
      </c>
      <c r="K97" t="s">
        <v>1002</v>
      </c>
      <c r="L97">
        <v>54</v>
      </c>
      <c r="M97" t="s">
        <v>9</v>
      </c>
      <c r="N97" t="s">
        <v>1003</v>
      </c>
      <c r="O97" t="s">
        <v>234</v>
      </c>
      <c r="P97" t="s">
        <v>12</v>
      </c>
      <c r="Q97" t="s">
        <v>26</v>
      </c>
      <c r="R97" t="s">
        <v>3932</v>
      </c>
      <c r="S97" t="s">
        <v>1527</v>
      </c>
      <c r="T97" t="s">
        <v>3830</v>
      </c>
      <c r="U97" t="s">
        <v>1730</v>
      </c>
      <c r="V97" t="s">
        <v>1760</v>
      </c>
      <c r="W97" t="s">
        <v>1737</v>
      </c>
      <c r="X97" t="s">
        <v>1755</v>
      </c>
    </row>
    <row r="98" spans="1:24" x14ac:dyDescent="0.3">
      <c r="A98" t="s">
        <v>1905</v>
      </c>
      <c r="B98" s="2">
        <v>45523</v>
      </c>
      <c r="C98" t="s">
        <v>776</v>
      </c>
      <c r="D98" t="s">
        <v>1631</v>
      </c>
      <c r="E98" t="s">
        <v>1772</v>
      </c>
      <c r="F98" s="4">
        <v>1</v>
      </c>
      <c r="G98">
        <v>842.9</v>
      </c>
      <c r="H98">
        <v>0.06</v>
      </c>
      <c r="I98" t="s">
        <v>1812</v>
      </c>
      <c r="J98">
        <v>792.32599999999991</v>
      </c>
      <c r="K98" t="s">
        <v>777</v>
      </c>
      <c r="L98">
        <v>57</v>
      </c>
      <c r="M98" t="s">
        <v>16</v>
      </c>
      <c r="N98" t="s">
        <v>778</v>
      </c>
      <c r="O98" t="s">
        <v>117</v>
      </c>
      <c r="P98" t="s">
        <v>12</v>
      </c>
      <c r="Q98" t="s">
        <v>26</v>
      </c>
      <c r="R98" t="s">
        <v>3882</v>
      </c>
      <c r="S98" t="s">
        <v>1549</v>
      </c>
      <c r="T98" t="s">
        <v>3828</v>
      </c>
      <c r="U98" t="s">
        <v>1632</v>
      </c>
      <c r="V98" t="s">
        <v>1741</v>
      </c>
      <c r="W98" t="s">
        <v>1742</v>
      </c>
      <c r="X98" t="s">
        <v>1739</v>
      </c>
    </row>
    <row r="99" spans="1:24" x14ac:dyDescent="0.3">
      <c r="A99" t="s">
        <v>1906</v>
      </c>
      <c r="B99" s="2">
        <v>45587</v>
      </c>
      <c r="C99" t="s">
        <v>903</v>
      </c>
      <c r="D99" t="s">
        <v>1534</v>
      </c>
      <c r="E99" t="s">
        <v>1749</v>
      </c>
      <c r="F99" s="4">
        <v>3</v>
      </c>
      <c r="G99">
        <v>751.94</v>
      </c>
      <c r="H99">
        <v>0.26</v>
      </c>
      <c r="I99" t="s">
        <v>1809</v>
      </c>
      <c r="J99">
        <v>1669.3068000000001</v>
      </c>
      <c r="K99" t="s">
        <v>904</v>
      </c>
      <c r="L99">
        <v>58</v>
      </c>
      <c r="M99" t="s">
        <v>9</v>
      </c>
      <c r="N99" t="s">
        <v>905</v>
      </c>
      <c r="O99" t="s">
        <v>170</v>
      </c>
      <c r="P99" t="s">
        <v>12</v>
      </c>
      <c r="Q99" t="s">
        <v>13</v>
      </c>
      <c r="R99" t="s">
        <v>3856</v>
      </c>
      <c r="S99" t="s">
        <v>1527</v>
      </c>
      <c r="T99" t="s">
        <v>3836</v>
      </c>
      <c r="U99" t="s">
        <v>1590</v>
      </c>
      <c r="V99" t="s">
        <v>1750</v>
      </c>
      <c r="W99" t="s">
        <v>1742</v>
      </c>
      <c r="X99" t="s">
        <v>1748</v>
      </c>
    </row>
    <row r="100" spans="1:24" x14ac:dyDescent="0.3">
      <c r="A100" t="s">
        <v>1907</v>
      </c>
      <c r="B100" s="2">
        <v>45580</v>
      </c>
      <c r="C100" t="s">
        <v>444</v>
      </c>
      <c r="D100" t="s">
        <v>1643</v>
      </c>
      <c r="E100" t="s">
        <v>1762</v>
      </c>
      <c r="F100" s="4">
        <v>4</v>
      </c>
      <c r="G100">
        <v>476.28</v>
      </c>
      <c r="H100">
        <v>0.17</v>
      </c>
      <c r="I100" t="s">
        <v>1807</v>
      </c>
      <c r="J100">
        <v>1581.2496000000001</v>
      </c>
      <c r="K100" t="s">
        <v>445</v>
      </c>
      <c r="L100">
        <v>57</v>
      </c>
      <c r="M100" t="s">
        <v>16</v>
      </c>
      <c r="N100" t="s">
        <v>446</v>
      </c>
      <c r="O100" t="s">
        <v>22</v>
      </c>
      <c r="P100" t="s">
        <v>12</v>
      </c>
      <c r="Q100" t="s">
        <v>26</v>
      </c>
      <c r="R100" t="s">
        <v>3888</v>
      </c>
      <c r="S100" t="s">
        <v>1527</v>
      </c>
      <c r="T100" t="s">
        <v>3836</v>
      </c>
      <c r="U100" t="s">
        <v>1644</v>
      </c>
      <c r="V100" t="s">
        <v>1763</v>
      </c>
      <c r="W100" t="s">
        <v>1746</v>
      </c>
      <c r="X100" t="s">
        <v>1755</v>
      </c>
    </row>
    <row r="101" spans="1:24" x14ac:dyDescent="0.3">
      <c r="A101" t="s">
        <v>1908</v>
      </c>
      <c r="B101" s="2">
        <v>45479</v>
      </c>
      <c r="C101" t="s">
        <v>1012</v>
      </c>
      <c r="D101" t="s">
        <v>1639</v>
      </c>
      <c r="E101" t="s">
        <v>1749</v>
      </c>
      <c r="F101" s="4">
        <v>3</v>
      </c>
      <c r="G101">
        <v>541.99</v>
      </c>
      <c r="H101">
        <v>0.24</v>
      </c>
      <c r="I101" t="s">
        <v>1812</v>
      </c>
      <c r="J101">
        <v>1235.7372</v>
      </c>
      <c r="K101" t="s">
        <v>1013</v>
      </c>
      <c r="L101">
        <v>58</v>
      </c>
      <c r="M101" t="s">
        <v>16</v>
      </c>
      <c r="N101" t="s">
        <v>1014</v>
      </c>
      <c r="O101" t="s">
        <v>319</v>
      </c>
      <c r="P101" t="s">
        <v>12</v>
      </c>
      <c r="Q101" t="s">
        <v>26</v>
      </c>
      <c r="R101" t="s">
        <v>3886</v>
      </c>
      <c r="S101" t="s">
        <v>1549</v>
      </c>
      <c r="T101" t="s">
        <v>3820</v>
      </c>
      <c r="U101" t="s">
        <v>1640</v>
      </c>
      <c r="V101" t="s">
        <v>1750</v>
      </c>
      <c r="W101" t="s">
        <v>1742</v>
      </c>
      <c r="X101" t="s">
        <v>1748</v>
      </c>
    </row>
    <row r="102" spans="1:24" x14ac:dyDescent="0.3">
      <c r="A102" t="s">
        <v>1909</v>
      </c>
      <c r="B102" s="2">
        <v>45677</v>
      </c>
      <c r="C102" t="s">
        <v>1141</v>
      </c>
      <c r="D102" t="s">
        <v>1597</v>
      </c>
      <c r="E102" t="s">
        <v>1756</v>
      </c>
      <c r="F102" s="4">
        <v>2</v>
      </c>
      <c r="G102">
        <v>401.5</v>
      </c>
      <c r="H102">
        <v>0.18</v>
      </c>
      <c r="I102" t="s">
        <v>1807</v>
      </c>
      <c r="J102">
        <v>658.46</v>
      </c>
      <c r="K102" t="s">
        <v>1142</v>
      </c>
      <c r="L102">
        <v>45</v>
      </c>
      <c r="M102" t="s">
        <v>9</v>
      </c>
      <c r="N102" t="s">
        <v>1143</v>
      </c>
      <c r="O102" t="s">
        <v>170</v>
      </c>
      <c r="P102" t="s">
        <v>12</v>
      </c>
      <c r="Q102" t="s">
        <v>19</v>
      </c>
      <c r="R102" t="s">
        <v>3861</v>
      </c>
      <c r="S102" t="s">
        <v>1527</v>
      </c>
      <c r="T102" t="s">
        <v>3836</v>
      </c>
      <c r="U102" t="s">
        <v>1598</v>
      </c>
      <c r="V102" t="s">
        <v>1757</v>
      </c>
      <c r="W102" t="s">
        <v>1742</v>
      </c>
      <c r="X102" t="s">
        <v>1748</v>
      </c>
    </row>
    <row r="103" spans="1:24" x14ac:dyDescent="0.3">
      <c r="A103" t="s">
        <v>1910</v>
      </c>
      <c r="B103" s="2">
        <v>45453</v>
      </c>
      <c r="C103" t="s">
        <v>301</v>
      </c>
      <c r="D103" t="s">
        <v>1581</v>
      </c>
      <c r="E103" t="s">
        <v>1780</v>
      </c>
      <c r="F103" s="4">
        <v>3</v>
      </c>
      <c r="G103">
        <v>359.56</v>
      </c>
      <c r="H103">
        <v>0.17</v>
      </c>
      <c r="I103" t="s">
        <v>1809</v>
      </c>
      <c r="J103">
        <v>895.30439999999999</v>
      </c>
      <c r="K103" t="s">
        <v>302</v>
      </c>
      <c r="L103">
        <v>36</v>
      </c>
      <c r="M103" t="s">
        <v>9</v>
      </c>
      <c r="N103" t="s">
        <v>303</v>
      </c>
      <c r="O103" t="s">
        <v>251</v>
      </c>
      <c r="P103" t="s">
        <v>12</v>
      </c>
      <c r="Q103" t="s">
        <v>19</v>
      </c>
      <c r="R103" t="s">
        <v>3852</v>
      </c>
      <c r="S103" t="s">
        <v>1530</v>
      </c>
      <c r="T103" t="s">
        <v>3820</v>
      </c>
      <c r="U103" t="s">
        <v>1582</v>
      </c>
      <c r="V103" t="s">
        <v>1741</v>
      </c>
      <c r="W103" t="s">
        <v>1742</v>
      </c>
      <c r="X103" t="s">
        <v>1739</v>
      </c>
    </row>
    <row r="104" spans="1:24" x14ac:dyDescent="0.3">
      <c r="A104" t="s">
        <v>1911</v>
      </c>
      <c r="B104" s="2">
        <v>45552</v>
      </c>
      <c r="C104" t="s">
        <v>342</v>
      </c>
      <c r="D104" t="s">
        <v>1691</v>
      </c>
      <c r="E104" t="s">
        <v>1777</v>
      </c>
      <c r="F104" s="4">
        <v>2</v>
      </c>
      <c r="G104">
        <v>471.88</v>
      </c>
      <c r="H104">
        <v>0.24</v>
      </c>
      <c r="I104" t="s">
        <v>1809</v>
      </c>
      <c r="J104">
        <v>717.25760000000002</v>
      </c>
      <c r="K104" t="s">
        <v>343</v>
      </c>
      <c r="L104">
        <v>24</v>
      </c>
      <c r="M104" t="s">
        <v>9</v>
      </c>
      <c r="N104" t="s">
        <v>344</v>
      </c>
      <c r="O104" t="s">
        <v>39</v>
      </c>
      <c r="P104" t="s">
        <v>12</v>
      </c>
      <c r="Q104" t="s">
        <v>31</v>
      </c>
      <c r="R104" t="s">
        <v>3913</v>
      </c>
      <c r="S104" t="s">
        <v>1527</v>
      </c>
      <c r="T104" t="s">
        <v>3830</v>
      </c>
      <c r="U104" t="s">
        <v>1692</v>
      </c>
      <c r="V104" t="s">
        <v>1741</v>
      </c>
      <c r="W104" t="s">
        <v>1742</v>
      </c>
      <c r="X104" t="s">
        <v>1739</v>
      </c>
    </row>
    <row r="105" spans="1:24" x14ac:dyDescent="0.3">
      <c r="A105" t="s">
        <v>1912</v>
      </c>
      <c r="B105" s="2">
        <v>45907</v>
      </c>
      <c r="C105" t="s">
        <v>595</v>
      </c>
      <c r="D105" t="s">
        <v>1599</v>
      </c>
      <c r="E105" t="s">
        <v>1752</v>
      </c>
      <c r="F105" s="4">
        <v>4</v>
      </c>
      <c r="G105">
        <v>925.19</v>
      </c>
      <c r="H105">
        <v>0.19</v>
      </c>
      <c r="I105" t="s">
        <v>1809</v>
      </c>
      <c r="J105">
        <v>2997.615600000001</v>
      </c>
      <c r="K105" t="s">
        <v>596</v>
      </c>
      <c r="L105">
        <v>18</v>
      </c>
      <c r="M105" t="s">
        <v>9</v>
      </c>
      <c r="N105" t="s">
        <v>597</v>
      </c>
      <c r="O105" t="s">
        <v>96</v>
      </c>
      <c r="P105" t="s">
        <v>12</v>
      </c>
      <c r="Q105" t="s">
        <v>31</v>
      </c>
      <c r="R105" t="s">
        <v>3862</v>
      </c>
      <c r="S105" t="s">
        <v>1546</v>
      </c>
      <c r="T105" t="s">
        <v>3811</v>
      </c>
      <c r="U105" t="s">
        <v>1600</v>
      </c>
      <c r="V105" t="s">
        <v>1753</v>
      </c>
      <c r="W105" t="s">
        <v>1746</v>
      </c>
      <c r="X105" t="s">
        <v>1755</v>
      </c>
    </row>
    <row r="106" spans="1:24" x14ac:dyDescent="0.3">
      <c r="A106" t="s">
        <v>1913</v>
      </c>
      <c r="B106" s="2">
        <v>45330</v>
      </c>
      <c r="C106" t="s">
        <v>121</v>
      </c>
      <c r="D106" t="s">
        <v>1703</v>
      </c>
      <c r="E106" t="s">
        <v>1775</v>
      </c>
      <c r="F106" s="4">
        <v>2</v>
      </c>
      <c r="G106">
        <v>879.63</v>
      </c>
      <c r="H106">
        <v>7.0000000000000007E-2</v>
      </c>
      <c r="I106" t="s">
        <v>1812</v>
      </c>
      <c r="J106">
        <v>1636.1117999999999</v>
      </c>
      <c r="K106" t="s">
        <v>122</v>
      </c>
      <c r="L106">
        <v>64</v>
      </c>
      <c r="M106" t="s">
        <v>16</v>
      </c>
      <c r="N106" t="s">
        <v>123</v>
      </c>
      <c r="O106" t="s">
        <v>30</v>
      </c>
      <c r="P106" t="s">
        <v>12</v>
      </c>
      <c r="Q106" t="s">
        <v>31</v>
      </c>
      <c r="R106" t="s">
        <v>3919</v>
      </c>
      <c r="S106" t="s">
        <v>1527</v>
      </c>
      <c r="T106" t="s">
        <v>3830</v>
      </c>
      <c r="U106" t="s">
        <v>1704</v>
      </c>
      <c r="V106" t="s">
        <v>1741</v>
      </c>
      <c r="W106" t="s">
        <v>1742</v>
      </c>
      <c r="X106" t="s">
        <v>1739</v>
      </c>
    </row>
    <row r="107" spans="1:24" x14ac:dyDescent="0.3">
      <c r="A107" t="s">
        <v>1914</v>
      </c>
      <c r="B107" s="2">
        <v>45214</v>
      </c>
      <c r="C107" t="s">
        <v>20</v>
      </c>
      <c r="D107" t="s">
        <v>1689</v>
      </c>
      <c r="E107" t="s">
        <v>1790</v>
      </c>
      <c r="F107" s="4">
        <v>2</v>
      </c>
      <c r="G107">
        <v>418.23</v>
      </c>
      <c r="H107">
        <v>0.28000000000000003</v>
      </c>
      <c r="I107" t="s">
        <v>1807</v>
      </c>
      <c r="J107">
        <v>602.25120000000004</v>
      </c>
      <c r="K107" t="s">
        <v>3933</v>
      </c>
      <c r="L107">
        <v>59</v>
      </c>
      <c r="M107" t="s">
        <v>16</v>
      </c>
      <c r="N107" t="s">
        <v>21</v>
      </c>
      <c r="O107" t="s">
        <v>22</v>
      </c>
      <c r="P107" t="s">
        <v>12</v>
      </c>
      <c r="Q107" t="s">
        <v>19</v>
      </c>
      <c r="R107" t="s">
        <v>3912</v>
      </c>
      <c r="S107" t="s">
        <v>1527</v>
      </c>
      <c r="T107" t="s">
        <v>3824</v>
      </c>
      <c r="U107" t="s">
        <v>1690</v>
      </c>
      <c r="V107" t="s">
        <v>1741</v>
      </c>
      <c r="W107" t="s">
        <v>1742</v>
      </c>
      <c r="X107" t="s">
        <v>1739</v>
      </c>
    </row>
    <row r="108" spans="1:24" x14ac:dyDescent="0.3">
      <c r="A108" t="s">
        <v>1915</v>
      </c>
      <c r="B108" s="2">
        <v>45891</v>
      </c>
      <c r="C108" t="s">
        <v>850</v>
      </c>
      <c r="D108" t="s">
        <v>1569</v>
      </c>
      <c r="E108" t="s">
        <v>1793</v>
      </c>
      <c r="F108" s="4">
        <v>3</v>
      </c>
      <c r="G108">
        <v>551.72</v>
      </c>
      <c r="H108">
        <v>0.03</v>
      </c>
      <c r="I108" t="s">
        <v>1812</v>
      </c>
      <c r="J108">
        <v>1605.5052000000001</v>
      </c>
      <c r="K108" t="s">
        <v>851</v>
      </c>
      <c r="L108">
        <v>31</v>
      </c>
      <c r="M108" t="s">
        <v>16</v>
      </c>
      <c r="N108" t="s">
        <v>852</v>
      </c>
      <c r="O108" t="s">
        <v>30</v>
      </c>
      <c r="P108" t="s">
        <v>12</v>
      </c>
      <c r="Q108" t="s">
        <v>31</v>
      </c>
      <c r="R108" t="s">
        <v>3843</v>
      </c>
      <c r="S108" t="s">
        <v>1549</v>
      </c>
      <c r="T108" t="s">
        <v>3844</v>
      </c>
      <c r="U108" t="s">
        <v>1570</v>
      </c>
      <c r="V108" t="s">
        <v>1741</v>
      </c>
      <c r="W108" t="s">
        <v>1742</v>
      </c>
      <c r="X108" t="s">
        <v>1739</v>
      </c>
    </row>
    <row r="109" spans="1:24" x14ac:dyDescent="0.3">
      <c r="A109" t="s">
        <v>1916</v>
      </c>
      <c r="B109" s="2">
        <v>45323</v>
      </c>
      <c r="C109" t="s">
        <v>1051</v>
      </c>
      <c r="D109" t="s">
        <v>1703</v>
      </c>
      <c r="E109" t="s">
        <v>1762</v>
      </c>
      <c r="F109" s="4">
        <v>4</v>
      </c>
      <c r="G109">
        <v>525.61</v>
      </c>
      <c r="H109">
        <v>0.02</v>
      </c>
      <c r="I109" t="s">
        <v>1809</v>
      </c>
      <c r="J109">
        <v>2060.3912</v>
      </c>
      <c r="K109" t="s">
        <v>1052</v>
      </c>
      <c r="L109">
        <v>52</v>
      </c>
      <c r="M109" t="s">
        <v>16</v>
      </c>
      <c r="N109" t="s">
        <v>1053</v>
      </c>
      <c r="O109" t="s">
        <v>166</v>
      </c>
      <c r="P109" t="s">
        <v>12</v>
      </c>
      <c r="Q109" t="s">
        <v>31</v>
      </c>
      <c r="R109" t="s">
        <v>3919</v>
      </c>
      <c r="S109" t="s">
        <v>1527</v>
      </c>
      <c r="T109" t="s">
        <v>3830</v>
      </c>
      <c r="U109" t="s">
        <v>1704</v>
      </c>
      <c r="V109" t="s">
        <v>1763</v>
      </c>
      <c r="W109" t="s">
        <v>1746</v>
      </c>
      <c r="X109" t="s">
        <v>1755</v>
      </c>
    </row>
    <row r="110" spans="1:24" x14ac:dyDescent="0.3">
      <c r="A110" t="s">
        <v>1917</v>
      </c>
      <c r="B110" s="2">
        <v>45785</v>
      </c>
      <c r="C110" t="s">
        <v>159</v>
      </c>
      <c r="D110" t="s">
        <v>1575</v>
      </c>
      <c r="E110" t="s">
        <v>1780</v>
      </c>
      <c r="F110" s="4">
        <v>3</v>
      </c>
      <c r="G110">
        <v>815.3</v>
      </c>
      <c r="H110">
        <v>0.03</v>
      </c>
      <c r="I110" t="s">
        <v>1807</v>
      </c>
      <c r="J110">
        <v>2372.5230000000001</v>
      </c>
      <c r="K110" t="s">
        <v>160</v>
      </c>
      <c r="L110">
        <v>19</v>
      </c>
      <c r="M110" t="s">
        <v>9</v>
      </c>
      <c r="N110" t="s">
        <v>161</v>
      </c>
      <c r="O110" t="s">
        <v>162</v>
      </c>
      <c r="P110" t="s">
        <v>12</v>
      </c>
      <c r="Q110" t="s">
        <v>19</v>
      </c>
      <c r="R110" t="s">
        <v>3848</v>
      </c>
      <c r="S110" t="s">
        <v>1549</v>
      </c>
      <c r="T110" t="s">
        <v>3844</v>
      </c>
      <c r="U110" t="s">
        <v>1576</v>
      </c>
      <c r="V110" t="s">
        <v>1741</v>
      </c>
      <c r="W110" t="s">
        <v>1742</v>
      </c>
      <c r="X110" t="s">
        <v>1739</v>
      </c>
    </row>
    <row r="111" spans="1:24" x14ac:dyDescent="0.3">
      <c r="A111" t="s">
        <v>1918</v>
      </c>
      <c r="B111" s="2">
        <v>45738</v>
      </c>
      <c r="C111" t="s">
        <v>690</v>
      </c>
      <c r="D111" t="s">
        <v>1713</v>
      </c>
      <c r="E111" t="s">
        <v>1735</v>
      </c>
      <c r="F111" s="4">
        <v>3</v>
      </c>
      <c r="G111">
        <v>376.46</v>
      </c>
      <c r="H111">
        <v>0.09</v>
      </c>
      <c r="I111" t="s">
        <v>1812</v>
      </c>
      <c r="J111">
        <v>1027.7357999999999</v>
      </c>
      <c r="K111" t="s">
        <v>691</v>
      </c>
      <c r="L111">
        <v>50</v>
      </c>
      <c r="M111" t="s">
        <v>16</v>
      </c>
      <c r="N111" t="s">
        <v>692</v>
      </c>
      <c r="O111" t="s">
        <v>66</v>
      </c>
      <c r="P111" t="s">
        <v>12</v>
      </c>
      <c r="Q111" t="s">
        <v>13</v>
      </c>
      <c r="R111" t="s">
        <v>3924</v>
      </c>
      <c r="S111" t="s">
        <v>1530</v>
      </c>
      <c r="T111" t="s">
        <v>3866</v>
      </c>
      <c r="U111" t="s">
        <v>1714</v>
      </c>
      <c r="V111" t="s">
        <v>1736</v>
      </c>
      <c r="W111" t="s">
        <v>1737</v>
      </c>
      <c r="X111" t="s">
        <v>1739</v>
      </c>
    </row>
    <row r="112" spans="1:24" x14ac:dyDescent="0.3">
      <c r="A112" t="s">
        <v>1919</v>
      </c>
      <c r="B112" s="2">
        <v>45851</v>
      </c>
      <c r="C112" t="s">
        <v>40</v>
      </c>
      <c r="D112" t="s">
        <v>1615</v>
      </c>
      <c r="E112" t="s">
        <v>1765</v>
      </c>
      <c r="F112" s="4">
        <v>4</v>
      </c>
      <c r="G112">
        <v>239.83</v>
      </c>
      <c r="H112">
        <v>0.08</v>
      </c>
      <c r="I112" t="s">
        <v>1807</v>
      </c>
      <c r="J112">
        <v>882.57440000000008</v>
      </c>
      <c r="K112" t="s">
        <v>41</v>
      </c>
      <c r="L112">
        <v>53</v>
      </c>
      <c r="M112" t="s">
        <v>16</v>
      </c>
      <c r="N112" t="s">
        <v>42</v>
      </c>
      <c r="O112" t="s">
        <v>43</v>
      </c>
      <c r="P112" t="s">
        <v>12</v>
      </c>
      <c r="Q112" t="s">
        <v>26</v>
      </c>
      <c r="R112" t="s">
        <v>3872</v>
      </c>
      <c r="S112" t="s">
        <v>1546</v>
      </c>
      <c r="T112" t="s">
        <v>3820</v>
      </c>
      <c r="U112" t="s">
        <v>1616</v>
      </c>
      <c r="V112" t="s">
        <v>1766</v>
      </c>
      <c r="W112" t="s">
        <v>1767</v>
      </c>
      <c r="X112" t="s">
        <v>1755</v>
      </c>
    </row>
    <row r="113" spans="1:24" x14ac:dyDescent="0.3">
      <c r="A113" t="s">
        <v>1920</v>
      </c>
      <c r="B113" s="2">
        <v>45798</v>
      </c>
      <c r="C113" t="s">
        <v>409</v>
      </c>
      <c r="D113" t="s">
        <v>1711</v>
      </c>
      <c r="E113" t="s">
        <v>1749</v>
      </c>
      <c r="F113" s="4">
        <v>2</v>
      </c>
      <c r="G113">
        <v>845.71</v>
      </c>
      <c r="H113">
        <v>0.01</v>
      </c>
      <c r="I113" t="s">
        <v>1809</v>
      </c>
      <c r="J113">
        <v>1674.5057999999999</v>
      </c>
      <c r="K113" t="s">
        <v>410</v>
      </c>
      <c r="L113">
        <v>44</v>
      </c>
      <c r="M113" t="s">
        <v>16</v>
      </c>
      <c r="N113" t="s">
        <v>411</v>
      </c>
      <c r="O113" t="s">
        <v>234</v>
      </c>
      <c r="P113" t="s">
        <v>12</v>
      </c>
      <c r="Q113" t="s">
        <v>26</v>
      </c>
      <c r="R113" t="s">
        <v>3923</v>
      </c>
      <c r="S113" t="s">
        <v>1546</v>
      </c>
      <c r="T113" t="s">
        <v>3820</v>
      </c>
      <c r="U113" t="s">
        <v>1712</v>
      </c>
      <c r="V113" t="s">
        <v>1750</v>
      </c>
      <c r="W113" t="s">
        <v>1742</v>
      </c>
      <c r="X113" t="s">
        <v>1748</v>
      </c>
    </row>
    <row r="114" spans="1:24" x14ac:dyDescent="0.3">
      <c r="A114" t="s">
        <v>1921</v>
      </c>
      <c r="B114" s="2">
        <v>45705</v>
      </c>
      <c r="C114" t="s">
        <v>310</v>
      </c>
      <c r="D114" t="s">
        <v>1683</v>
      </c>
      <c r="E114" t="s">
        <v>1780</v>
      </c>
      <c r="F114" s="4">
        <v>3</v>
      </c>
      <c r="G114">
        <v>948.69</v>
      </c>
      <c r="H114">
        <v>0.28999999999999998</v>
      </c>
      <c r="I114" t="s">
        <v>1807</v>
      </c>
      <c r="J114">
        <v>2020.7097000000001</v>
      </c>
      <c r="K114" t="s">
        <v>3939</v>
      </c>
      <c r="L114">
        <v>58</v>
      </c>
      <c r="M114" t="s">
        <v>9</v>
      </c>
      <c r="N114" t="s">
        <v>311</v>
      </c>
      <c r="O114" t="s">
        <v>312</v>
      </c>
      <c r="P114" t="s">
        <v>12</v>
      </c>
      <c r="Q114" t="s">
        <v>26</v>
      </c>
      <c r="R114" t="s">
        <v>3909</v>
      </c>
      <c r="S114" t="s">
        <v>1546</v>
      </c>
      <c r="T114" t="s">
        <v>3811</v>
      </c>
      <c r="U114" t="s">
        <v>1684</v>
      </c>
      <c r="V114" t="s">
        <v>1741</v>
      </c>
      <c r="W114" t="s">
        <v>1742</v>
      </c>
      <c r="X114" t="s">
        <v>1739</v>
      </c>
    </row>
    <row r="115" spans="1:24" x14ac:dyDescent="0.3">
      <c r="A115" t="s">
        <v>1922</v>
      </c>
      <c r="B115" s="2">
        <v>45413</v>
      </c>
      <c r="C115" t="s">
        <v>1424</v>
      </c>
      <c r="D115" t="s">
        <v>1585</v>
      </c>
      <c r="E115" t="s">
        <v>1772</v>
      </c>
      <c r="F115" s="4">
        <v>1</v>
      </c>
      <c r="G115">
        <v>281.97000000000003</v>
      </c>
      <c r="H115">
        <v>0.2</v>
      </c>
      <c r="I115" t="s">
        <v>1809</v>
      </c>
      <c r="J115">
        <v>225.57599999999999</v>
      </c>
      <c r="K115" t="s">
        <v>1425</v>
      </c>
      <c r="L115">
        <v>45</v>
      </c>
      <c r="M115" t="s">
        <v>9</v>
      </c>
      <c r="N115" t="s">
        <v>1426</v>
      </c>
      <c r="O115" t="s">
        <v>170</v>
      </c>
      <c r="P115" t="s">
        <v>12</v>
      </c>
      <c r="Q115" t="s">
        <v>13</v>
      </c>
      <c r="R115" t="s">
        <v>3854</v>
      </c>
      <c r="S115" t="s">
        <v>1527</v>
      </c>
      <c r="T115" t="s">
        <v>3836</v>
      </c>
      <c r="U115" t="s">
        <v>1586</v>
      </c>
      <c r="V115" t="s">
        <v>1741</v>
      </c>
      <c r="W115" t="s">
        <v>1742</v>
      </c>
      <c r="X115" t="s">
        <v>1739</v>
      </c>
    </row>
    <row r="116" spans="1:24" x14ac:dyDescent="0.3">
      <c r="A116" t="s">
        <v>1923</v>
      </c>
      <c r="B116" s="2">
        <v>45482</v>
      </c>
      <c r="C116" t="s">
        <v>506</v>
      </c>
      <c r="D116" t="s">
        <v>1713</v>
      </c>
      <c r="E116" t="s">
        <v>1752</v>
      </c>
      <c r="F116" s="4">
        <v>2</v>
      </c>
      <c r="G116">
        <v>731.01</v>
      </c>
      <c r="H116">
        <v>0.05</v>
      </c>
      <c r="I116" t="s">
        <v>1809</v>
      </c>
      <c r="J116">
        <v>1388.9190000000001</v>
      </c>
      <c r="K116" t="s">
        <v>507</v>
      </c>
      <c r="L116">
        <v>31</v>
      </c>
      <c r="M116" t="s">
        <v>9</v>
      </c>
      <c r="N116" t="s">
        <v>508</v>
      </c>
      <c r="O116" t="s">
        <v>113</v>
      </c>
      <c r="P116" t="s">
        <v>12</v>
      </c>
      <c r="Q116" t="s">
        <v>19</v>
      </c>
      <c r="R116" t="s">
        <v>3924</v>
      </c>
      <c r="S116" t="s">
        <v>1530</v>
      </c>
      <c r="T116" t="s">
        <v>3866</v>
      </c>
      <c r="U116" t="s">
        <v>1714</v>
      </c>
      <c r="V116" t="s">
        <v>1753</v>
      </c>
      <c r="W116" t="s">
        <v>1746</v>
      </c>
      <c r="X116" t="s">
        <v>1755</v>
      </c>
    </row>
    <row r="117" spans="1:24" x14ac:dyDescent="0.3">
      <c r="A117" t="s">
        <v>1924</v>
      </c>
      <c r="B117" s="2">
        <v>45925</v>
      </c>
      <c r="C117" t="s">
        <v>814</v>
      </c>
      <c r="D117" t="s">
        <v>1701</v>
      </c>
      <c r="E117" t="s">
        <v>1762</v>
      </c>
      <c r="F117" s="4">
        <v>4</v>
      </c>
      <c r="G117">
        <v>930.85</v>
      </c>
      <c r="H117">
        <v>0.13</v>
      </c>
      <c r="I117" t="s">
        <v>1809</v>
      </c>
      <c r="J117">
        <v>3239.3580000000002</v>
      </c>
      <c r="K117" t="s">
        <v>815</v>
      </c>
      <c r="L117">
        <v>24</v>
      </c>
      <c r="M117" t="s">
        <v>16</v>
      </c>
      <c r="N117" t="s">
        <v>816</v>
      </c>
      <c r="O117" t="s">
        <v>709</v>
      </c>
      <c r="P117" t="s">
        <v>12</v>
      </c>
      <c r="Q117" t="s">
        <v>31</v>
      </c>
      <c r="R117" t="s">
        <v>3918</v>
      </c>
      <c r="S117" t="s">
        <v>1530</v>
      </c>
      <c r="T117" t="s">
        <v>3820</v>
      </c>
      <c r="U117" t="s">
        <v>1702</v>
      </c>
      <c r="V117" t="s">
        <v>1763</v>
      </c>
      <c r="W117" t="s">
        <v>1746</v>
      </c>
      <c r="X117" t="s">
        <v>1755</v>
      </c>
    </row>
    <row r="118" spans="1:24" x14ac:dyDescent="0.3">
      <c r="A118" t="s">
        <v>1925</v>
      </c>
      <c r="B118" s="2">
        <v>45420</v>
      </c>
      <c r="C118" t="s">
        <v>1287</v>
      </c>
      <c r="D118" t="s">
        <v>1534</v>
      </c>
      <c r="E118" t="s">
        <v>1765</v>
      </c>
      <c r="F118" s="4">
        <v>4</v>
      </c>
      <c r="G118">
        <v>770.77</v>
      </c>
      <c r="H118">
        <v>0.22</v>
      </c>
      <c r="I118" t="s">
        <v>1807</v>
      </c>
      <c r="J118">
        <v>2404.8024</v>
      </c>
      <c r="K118" t="s">
        <v>1288</v>
      </c>
      <c r="L118">
        <v>60</v>
      </c>
      <c r="M118" t="s">
        <v>9</v>
      </c>
      <c r="N118" t="s">
        <v>1289</v>
      </c>
      <c r="O118" t="s">
        <v>309</v>
      </c>
      <c r="P118" t="s">
        <v>12</v>
      </c>
      <c r="Q118" t="s">
        <v>13</v>
      </c>
      <c r="R118" t="s">
        <v>3856</v>
      </c>
      <c r="S118" t="s">
        <v>1527</v>
      </c>
      <c r="T118" t="s">
        <v>3836</v>
      </c>
      <c r="U118" t="s">
        <v>1590</v>
      </c>
      <c r="V118" t="s">
        <v>1766</v>
      </c>
      <c r="W118" t="s">
        <v>1767</v>
      </c>
      <c r="X118" t="s">
        <v>1755</v>
      </c>
    </row>
    <row r="119" spans="1:24" x14ac:dyDescent="0.3">
      <c r="A119" t="s">
        <v>1926</v>
      </c>
      <c r="B119" s="2">
        <v>45554</v>
      </c>
      <c r="C119" t="s">
        <v>244</v>
      </c>
      <c r="D119" t="s">
        <v>1623</v>
      </c>
      <c r="E119" t="s">
        <v>1752</v>
      </c>
      <c r="F119" s="4">
        <v>3</v>
      </c>
      <c r="G119">
        <v>479.63</v>
      </c>
      <c r="H119">
        <v>0.3</v>
      </c>
      <c r="I119" t="s">
        <v>1809</v>
      </c>
      <c r="J119">
        <v>1007.223</v>
      </c>
      <c r="K119" t="s">
        <v>245</v>
      </c>
      <c r="L119">
        <v>24</v>
      </c>
      <c r="M119" t="s">
        <v>16</v>
      </c>
      <c r="N119" t="s">
        <v>246</v>
      </c>
      <c r="O119" t="s">
        <v>247</v>
      </c>
      <c r="P119" t="s">
        <v>12</v>
      </c>
      <c r="Q119" t="s">
        <v>31</v>
      </c>
      <c r="R119" t="s">
        <v>3876</v>
      </c>
      <c r="S119" t="s">
        <v>1530</v>
      </c>
      <c r="T119" t="s">
        <v>3815</v>
      </c>
      <c r="U119" t="s">
        <v>1624</v>
      </c>
      <c r="V119" t="s">
        <v>1753</v>
      </c>
      <c r="W119" t="s">
        <v>1746</v>
      </c>
      <c r="X119" t="s">
        <v>1755</v>
      </c>
    </row>
    <row r="120" spans="1:24" x14ac:dyDescent="0.3">
      <c r="A120" t="s">
        <v>1927</v>
      </c>
      <c r="B120" s="2">
        <v>45405</v>
      </c>
      <c r="C120" t="s">
        <v>367</v>
      </c>
      <c r="D120" t="s">
        <v>1609</v>
      </c>
      <c r="E120" t="s">
        <v>1775</v>
      </c>
      <c r="F120" s="4">
        <v>1</v>
      </c>
      <c r="G120">
        <v>165</v>
      </c>
      <c r="H120">
        <v>0.3</v>
      </c>
      <c r="I120" t="s">
        <v>1812</v>
      </c>
      <c r="J120">
        <v>115.5</v>
      </c>
      <c r="K120" t="s">
        <v>368</v>
      </c>
      <c r="L120">
        <v>53</v>
      </c>
      <c r="M120" t="s">
        <v>16</v>
      </c>
      <c r="N120" t="s">
        <v>369</v>
      </c>
      <c r="O120" t="s">
        <v>247</v>
      </c>
      <c r="P120" t="s">
        <v>12</v>
      </c>
      <c r="Q120" t="s">
        <v>13</v>
      </c>
      <c r="R120" t="s">
        <v>3868</v>
      </c>
      <c r="S120" t="s">
        <v>1546</v>
      </c>
      <c r="T120" t="s">
        <v>3869</v>
      </c>
      <c r="U120" t="s">
        <v>1610</v>
      </c>
      <c r="V120" t="s">
        <v>1741</v>
      </c>
      <c r="W120" t="s">
        <v>1742</v>
      </c>
      <c r="X120" t="s">
        <v>1739</v>
      </c>
    </row>
    <row r="121" spans="1:24" x14ac:dyDescent="0.3">
      <c r="A121" t="s">
        <v>1928</v>
      </c>
      <c r="B121" s="2">
        <v>45503</v>
      </c>
      <c r="C121" t="s">
        <v>524</v>
      </c>
      <c r="D121" t="s">
        <v>1569</v>
      </c>
      <c r="E121" t="s">
        <v>1765</v>
      </c>
      <c r="F121" s="4">
        <v>2</v>
      </c>
      <c r="G121">
        <v>151.51</v>
      </c>
      <c r="H121">
        <v>0.28999999999999998</v>
      </c>
      <c r="I121" t="s">
        <v>1812</v>
      </c>
      <c r="J121">
        <v>215.14420000000001</v>
      </c>
      <c r="K121" t="s">
        <v>525</v>
      </c>
      <c r="L121">
        <v>46</v>
      </c>
      <c r="M121" t="s">
        <v>16</v>
      </c>
      <c r="N121" t="s">
        <v>526</v>
      </c>
      <c r="O121" t="s">
        <v>170</v>
      </c>
      <c r="P121" t="s">
        <v>12</v>
      </c>
      <c r="Q121" t="s">
        <v>26</v>
      </c>
      <c r="R121" t="s">
        <v>3843</v>
      </c>
      <c r="S121" t="s">
        <v>1549</v>
      </c>
      <c r="T121" t="s">
        <v>3844</v>
      </c>
      <c r="U121" t="s">
        <v>1570</v>
      </c>
      <c r="V121" t="s">
        <v>1766</v>
      </c>
      <c r="W121" t="s">
        <v>1767</v>
      </c>
      <c r="X121" t="s">
        <v>1755</v>
      </c>
    </row>
    <row r="122" spans="1:24" x14ac:dyDescent="0.3">
      <c r="A122" t="s">
        <v>1929</v>
      </c>
      <c r="B122" s="2">
        <v>45274</v>
      </c>
      <c r="C122" t="s">
        <v>737</v>
      </c>
      <c r="D122" t="s">
        <v>1593</v>
      </c>
      <c r="E122" t="s">
        <v>1790</v>
      </c>
      <c r="F122" s="4">
        <v>2</v>
      </c>
      <c r="G122">
        <v>872.93</v>
      </c>
      <c r="H122">
        <v>0.28999999999999998</v>
      </c>
      <c r="I122" t="s">
        <v>1812</v>
      </c>
      <c r="J122">
        <v>1239.5606</v>
      </c>
      <c r="K122" t="s">
        <v>738</v>
      </c>
      <c r="L122">
        <v>27</v>
      </c>
      <c r="M122" t="s">
        <v>16</v>
      </c>
      <c r="N122" t="s">
        <v>739</v>
      </c>
      <c r="O122" t="s">
        <v>312</v>
      </c>
      <c r="P122" t="s">
        <v>12</v>
      </c>
      <c r="Q122" t="s">
        <v>26</v>
      </c>
      <c r="R122" t="s">
        <v>3858</v>
      </c>
      <c r="S122" t="s">
        <v>1549</v>
      </c>
      <c r="T122" t="s">
        <v>3859</v>
      </c>
      <c r="U122" t="s">
        <v>1594</v>
      </c>
      <c r="V122" t="s">
        <v>1741</v>
      </c>
      <c r="W122" t="s">
        <v>1742</v>
      </c>
      <c r="X122" t="s">
        <v>1739</v>
      </c>
    </row>
    <row r="123" spans="1:24" x14ac:dyDescent="0.3">
      <c r="A123" t="s">
        <v>1930</v>
      </c>
      <c r="B123" s="2">
        <v>45558</v>
      </c>
      <c r="C123" t="s">
        <v>835</v>
      </c>
      <c r="D123" t="s">
        <v>1575</v>
      </c>
      <c r="E123" t="s">
        <v>1772</v>
      </c>
      <c r="F123" s="4">
        <v>3</v>
      </c>
      <c r="G123">
        <v>432.4</v>
      </c>
      <c r="H123">
        <v>0.04</v>
      </c>
      <c r="I123" t="s">
        <v>1807</v>
      </c>
      <c r="J123">
        <v>1245.3119999999999</v>
      </c>
      <c r="K123" t="s">
        <v>836</v>
      </c>
      <c r="L123">
        <v>38</v>
      </c>
      <c r="M123" t="s">
        <v>9</v>
      </c>
      <c r="N123" t="s">
        <v>837</v>
      </c>
      <c r="O123" t="s">
        <v>838</v>
      </c>
      <c r="P123" t="s">
        <v>12</v>
      </c>
      <c r="Q123" t="s">
        <v>13</v>
      </c>
      <c r="R123" t="s">
        <v>3848</v>
      </c>
      <c r="S123" t="s">
        <v>1549</v>
      </c>
      <c r="T123" t="s">
        <v>3844</v>
      </c>
      <c r="U123" t="s">
        <v>1576</v>
      </c>
      <c r="V123" t="s">
        <v>1741</v>
      </c>
      <c r="W123" t="s">
        <v>1742</v>
      </c>
      <c r="X123" t="s">
        <v>1739</v>
      </c>
    </row>
    <row r="124" spans="1:24" x14ac:dyDescent="0.3">
      <c r="A124" t="s">
        <v>1931</v>
      </c>
      <c r="B124" s="2">
        <v>45886</v>
      </c>
      <c r="C124" t="s">
        <v>1051</v>
      </c>
      <c r="D124" t="s">
        <v>1631</v>
      </c>
      <c r="E124" t="s">
        <v>1762</v>
      </c>
      <c r="F124" s="4">
        <v>2</v>
      </c>
      <c r="G124">
        <v>197.76</v>
      </c>
      <c r="H124">
        <v>0.04</v>
      </c>
      <c r="I124" t="s">
        <v>1807</v>
      </c>
      <c r="J124">
        <v>379.69920000000002</v>
      </c>
      <c r="K124" t="s">
        <v>1052</v>
      </c>
      <c r="L124">
        <v>52</v>
      </c>
      <c r="M124" t="s">
        <v>16</v>
      </c>
      <c r="N124" t="s">
        <v>1053</v>
      </c>
      <c r="O124" t="s">
        <v>166</v>
      </c>
      <c r="P124" t="s">
        <v>12</v>
      </c>
      <c r="Q124" t="s">
        <v>31</v>
      </c>
      <c r="R124" t="s">
        <v>3882</v>
      </c>
      <c r="S124" t="s">
        <v>1549</v>
      </c>
      <c r="T124" t="s">
        <v>3828</v>
      </c>
      <c r="U124" t="s">
        <v>1632</v>
      </c>
      <c r="V124" t="s">
        <v>1763</v>
      </c>
      <c r="W124" t="s">
        <v>1746</v>
      </c>
      <c r="X124" t="s">
        <v>1755</v>
      </c>
    </row>
    <row r="125" spans="1:24" x14ac:dyDescent="0.3">
      <c r="A125" t="s">
        <v>1932</v>
      </c>
      <c r="B125" s="2">
        <v>45674</v>
      </c>
      <c r="C125" t="s">
        <v>1450</v>
      </c>
      <c r="D125" t="s">
        <v>1611</v>
      </c>
      <c r="E125" t="s">
        <v>1744</v>
      </c>
      <c r="F125" s="4">
        <v>3</v>
      </c>
      <c r="G125">
        <v>334.6</v>
      </c>
      <c r="H125">
        <v>0.11</v>
      </c>
      <c r="I125" t="s">
        <v>1809</v>
      </c>
      <c r="J125">
        <v>893.38200000000006</v>
      </c>
      <c r="K125" t="s">
        <v>1451</v>
      </c>
      <c r="L125">
        <v>41</v>
      </c>
      <c r="M125" t="s">
        <v>16</v>
      </c>
      <c r="N125" t="s">
        <v>1452</v>
      </c>
      <c r="O125" t="s">
        <v>96</v>
      </c>
      <c r="P125" t="s">
        <v>12</v>
      </c>
      <c r="Q125" t="s">
        <v>13</v>
      </c>
      <c r="R125" t="s">
        <v>3870</v>
      </c>
      <c r="S125" t="s">
        <v>1546</v>
      </c>
      <c r="T125" t="s">
        <v>3826</v>
      </c>
      <c r="U125" t="s">
        <v>1612</v>
      </c>
      <c r="V125" t="s">
        <v>1745</v>
      </c>
      <c r="W125" t="s">
        <v>1746</v>
      </c>
      <c r="X125" t="s">
        <v>1748</v>
      </c>
    </row>
    <row r="126" spans="1:24" x14ac:dyDescent="0.3">
      <c r="A126" t="s">
        <v>1933</v>
      </c>
      <c r="B126" s="2">
        <v>45777</v>
      </c>
      <c r="C126" t="s">
        <v>310</v>
      </c>
      <c r="D126" t="s">
        <v>1559</v>
      </c>
      <c r="E126" t="s">
        <v>1749</v>
      </c>
      <c r="F126" s="4">
        <v>2</v>
      </c>
      <c r="G126">
        <v>44.35</v>
      </c>
      <c r="H126">
        <v>0.2</v>
      </c>
      <c r="I126" t="s">
        <v>1812</v>
      </c>
      <c r="J126">
        <v>70.960000000000008</v>
      </c>
      <c r="K126" t="s">
        <v>3939</v>
      </c>
      <c r="L126">
        <v>58</v>
      </c>
      <c r="M126" t="s">
        <v>9</v>
      </c>
      <c r="N126" t="s">
        <v>311</v>
      </c>
      <c r="O126" t="s">
        <v>312</v>
      </c>
      <c r="P126" t="s">
        <v>12</v>
      </c>
      <c r="Q126" t="s">
        <v>26</v>
      </c>
      <c r="R126" t="s">
        <v>3835</v>
      </c>
      <c r="S126" t="s">
        <v>1527</v>
      </c>
      <c r="T126" t="s">
        <v>3836</v>
      </c>
      <c r="U126" t="s">
        <v>1560</v>
      </c>
      <c r="V126" t="s">
        <v>1750</v>
      </c>
      <c r="W126" t="s">
        <v>1742</v>
      </c>
      <c r="X126" t="s">
        <v>1748</v>
      </c>
    </row>
    <row r="127" spans="1:24" x14ac:dyDescent="0.3">
      <c r="A127" t="s">
        <v>1934</v>
      </c>
      <c r="B127" s="2">
        <v>45598</v>
      </c>
      <c r="C127" t="s">
        <v>1513</v>
      </c>
      <c r="D127" t="s">
        <v>1545</v>
      </c>
      <c r="E127" t="s">
        <v>1759</v>
      </c>
      <c r="F127" s="4">
        <v>1</v>
      </c>
      <c r="G127">
        <v>846.31</v>
      </c>
      <c r="H127">
        <v>0.05</v>
      </c>
      <c r="I127" t="s">
        <v>1809</v>
      </c>
      <c r="J127">
        <v>803.9944999999999</v>
      </c>
      <c r="K127" t="s">
        <v>1514</v>
      </c>
      <c r="L127">
        <v>27</v>
      </c>
      <c r="M127" t="s">
        <v>16</v>
      </c>
      <c r="N127" t="s">
        <v>1515</v>
      </c>
      <c r="O127" t="s">
        <v>230</v>
      </c>
      <c r="P127" t="s">
        <v>12</v>
      </c>
      <c r="Q127" t="s">
        <v>31</v>
      </c>
      <c r="R127" t="s">
        <v>3912</v>
      </c>
      <c r="S127" t="s">
        <v>1527</v>
      </c>
      <c r="T127" t="s">
        <v>3824</v>
      </c>
      <c r="U127" t="s">
        <v>1690</v>
      </c>
      <c r="V127" t="s">
        <v>1760</v>
      </c>
      <c r="W127" t="s">
        <v>1737</v>
      </c>
      <c r="X127" t="s">
        <v>1755</v>
      </c>
    </row>
    <row r="128" spans="1:24" x14ac:dyDescent="0.3">
      <c r="A128" t="s">
        <v>1935</v>
      </c>
      <c r="B128" s="2">
        <v>45884</v>
      </c>
      <c r="C128" t="s">
        <v>444</v>
      </c>
      <c r="D128" t="s">
        <v>1601</v>
      </c>
      <c r="E128" t="s">
        <v>1777</v>
      </c>
      <c r="F128" s="4">
        <v>1</v>
      </c>
      <c r="G128">
        <v>996.48</v>
      </c>
      <c r="H128">
        <v>7.0000000000000007E-2</v>
      </c>
      <c r="I128" t="s">
        <v>1812</v>
      </c>
      <c r="J128">
        <v>926.7263999999999</v>
      </c>
      <c r="K128" t="s">
        <v>445</v>
      </c>
      <c r="L128">
        <v>57</v>
      </c>
      <c r="M128" t="s">
        <v>16</v>
      </c>
      <c r="N128" t="s">
        <v>446</v>
      </c>
      <c r="O128" t="s">
        <v>22</v>
      </c>
      <c r="P128" t="s">
        <v>12</v>
      </c>
      <c r="Q128" t="s">
        <v>26</v>
      </c>
      <c r="R128" t="s">
        <v>3863</v>
      </c>
      <c r="S128" t="s">
        <v>1527</v>
      </c>
      <c r="T128" t="s">
        <v>3824</v>
      </c>
      <c r="U128" t="s">
        <v>1602</v>
      </c>
      <c r="V128" t="s">
        <v>1741</v>
      </c>
      <c r="W128" t="s">
        <v>1742</v>
      </c>
      <c r="X128" t="s">
        <v>1739</v>
      </c>
    </row>
    <row r="129" spans="1:24" x14ac:dyDescent="0.3">
      <c r="A129" t="s">
        <v>1936</v>
      </c>
      <c r="B129" s="2">
        <v>45916</v>
      </c>
      <c r="C129" t="s">
        <v>873</v>
      </c>
      <c r="D129" t="s">
        <v>1717</v>
      </c>
      <c r="E129" t="s">
        <v>1759</v>
      </c>
      <c r="F129" s="4">
        <v>3</v>
      </c>
      <c r="G129">
        <v>949.19</v>
      </c>
      <c r="H129">
        <v>0.03</v>
      </c>
      <c r="I129" t="s">
        <v>1812</v>
      </c>
      <c r="J129">
        <v>2762.1428999999998</v>
      </c>
      <c r="K129" t="s">
        <v>874</v>
      </c>
      <c r="L129">
        <v>42</v>
      </c>
      <c r="M129" t="s">
        <v>16</v>
      </c>
      <c r="N129" t="s">
        <v>875</v>
      </c>
      <c r="O129" t="s">
        <v>271</v>
      </c>
      <c r="P129" t="s">
        <v>12</v>
      </c>
      <c r="Q129" t="s">
        <v>19</v>
      </c>
      <c r="R129" t="s">
        <v>3926</v>
      </c>
      <c r="S129" t="s">
        <v>1546</v>
      </c>
      <c r="T129" t="s">
        <v>3811</v>
      </c>
      <c r="U129" t="s">
        <v>1718</v>
      </c>
      <c r="V129" t="s">
        <v>1760</v>
      </c>
      <c r="W129" t="s">
        <v>1737</v>
      </c>
      <c r="X129" t="s">
        <v>1755</v>
      </c>
    </row>
    <row r="130" spans="1:24" x14ac:dyDescent="0.3">
      <c r="A130" t="s">
        <v>1937</v>
      </c>
      <c r="B130" s="2">
        <v>45347</v>
      </c>
      <c r="C130" t="s">
        <v>1225</v>
      </c>
      <c r="D130" t="s">
        <v>1719</v>
      </c>
      <c r="E130" t="s">
        <v>1769</v>
      </c>
      <c r="F130" s="4">
        <v>2</v>
      </c>
      <c r="G130">
        <v>724.97</v>
      </c>
      <c r="H130">
        <v>0.1</v>
      </c>
      <c r="I130" t="s">
        <v>1807</v>
      </c>
      <c r="J130">
        <v>1304.9459999999999</v>
      </c>
      <c r="K130" t="s">
        <v>3948</v>
      </c>
      <c r="L130">
        <v>54</v>
      </c>
      <c r="M130" t="s">
        <v>9</v>
      </c>
      <c r="N130" t="s">
        <v>123</v>
      </c>
      <c r="O130" t="s">
        <v>62</v>
      </c>
      <c r="P130" t="s">
        <v>12</v>
      </c>
      <c r="Q130" t="s">
        <v>19</v>
      </c>
      <c r="R130" t="s">
        <v>3927</v>
      </c>
      <c r="S130" t="s">
        <v>1541</v>
      </c>
      <c r="T130" t="s">
        <v>3822</v>
      </c>
      <c r="U130" t="s">
        <v>1720</v>
      </c>
      <c r="V130" t="s">
        <v>1770</v>
      </c>
      <c r="W130" t="s">
        <v>1746</v>
      </c>
      <c r="X130" t="s">
        <v>1739</v>
      </c>
    </row>
    <row r="131" spans="1:24" x14ac:dyDescent="0.3">
      <c r="A131" t="s">
        <v>1938</v>
      </c>
      <c r="B131" s="2">
        <v>45723</v>
      </c>
      <c r="C131" t="s">
        <v>983</v>
      </c>
      <c r="D131" t="s">
        <v>1529</v>
      </c>
      <c r="E131" t="s">
        <v>1787</v>
      </c>
      <c r="F131" s="4">
        <v>1</v>
      </c>
      <c r="G131">
        <v>783.25</v>
      </c>
      <c r="H131">
        <v>0.3</v>
      </c>
      <c r="I131" t="s">
        <v>1807</v>
      </c>
      <c r="J131">
        <v>548.27499999999998</v>
      </c>
      <c r="K131" t="s">
        <v>984</v>
      </c>
      <c r="L131">
        <v>34</v>
      </c>
      <c r="M131" t="s">
        <v>9</v>
      </c>
      <c r="N131" t="s">
        <v>985</v>
      </c>
      <c r="O131" t="s">
        <v>709</v>
      </c>
      <c r="P131" t="s">
        <v>12</v>
      </c>
      <c r="Q131" t="s">
        <v>31</v>
      </c>
      <c r="R131" t="s">
        <v>3812</v>
      </c>
      <c r="S131" t="s">
        <v>1530</v>
      </c>
      <c r="T131" t="s">
        <v>3813</v>
      </c>
      <c r="U131" t="s">
        <v>1531</v>
      </c>
      <c r="V131" t="s">
        <v>1741</v>
      </c>
      <c r="W131" t="s">
        <v>1742</v>
      </c>
      <c r="X131" t="s">
        <v>1739</v>
      </c>
    </row>
    <row r="132" spans="1:24" x14ac:dyDescent="0.3">
      <c r="A132" t="s">
        <v>1939</v>
      </c>
      <c r="B132" s="2">
        <v>45495</v>
      </c>
      <c r="C132" t="s">
        <v>1066</v>
      </c>
      <c r="D132" t="s">
        <v>1565</v>
      </c>
      <c r="E132" t="s">
        <v>1749</v>
      </c>
      <c r="F132" s="4">
        <v>1</v>
      </c>
      <c r="G132">
        <v>942.38</v>
      </c>
      <c r="H132">
        <v>0.17</v>
      </c>
      <c r="I132" t="s">
        <v>1807</v>
      </c>
      <c r="J132">
        <v>782.17539999999997</v>
      </c>
      <c r="K132" t="s">
        <v>1067</v>
      </c>
      <c r="L132">
        <v>39</v>
      </c>
      <c r="M132" t="s">
        <v>9</v>
      </c>
      <c r="N132" t="s">
        <v>1068</v>
      </c>
      <c r="O132" t="s">
        <v>284</v>
      </c>
      <c r="P132" t="s">
        <v>12</v>
      </c>
      <c r="Q132" t="s">
        <v>26</v>
      </c>
      <c r="R132" t="s">
        <v>3841</v>
      </c>
      <c r="S132" t="s">
        <v>1549</v>
      </c>
      <c r="T132" t="s">
        <v>3820</v>
      </c>
      <c r="U132" t="s">
        <v>1566</v>
      </c>
      <c r="V132" t="s">
        <v>1750</v>
      </c>
      <c r="W132" t="s">
        <v>1742</v>
      </c>
      <c r="X132" t="s">
        <v>1748</v>
      </c>
    </row>
    <row r="133" spans="1:24" x14ac:dyDescent="0.3">
      <c r="A133" t="s">
        <v>1940</v>
      </c>
      <c r="B133" s="2">
        <v>45444</v>
      </c>
      <c r="C133" t="s">
        <v>1507</v>
      </c>
      <c r="D133" t="s">
        <v>1633</v>
      </c>
      <c r="E133" t="s">
        <v>1775</v>
      </c>
      <c r="F133" s="4">
        <v>3</v>
      </c>
      <c r="G133">
        <v>298.35000000000002</v>
      </c>
      <c r="H133">
        <v>0.05</v>
      </c>
      <c r="I133" t="s">
        <v>1812</v>
      </c>
      <c r="J133">
        <v>850.29750000000001</v>
      </c>
      <c r="K133" t="s">
        <v>1508</v>
      </c>
      <c r="L133">
        <v>47</v>
      </c>
      <c r="M133" t="s">
        <v>16</v>
      </c>
      <c r="N133" t="s">
        <v>1509</v>
      </c>
      <c r="O133" t="s">
        <v>25</v>
      </c>
      <c r="P133" t="s">
        <v>12</v>
      </c>
      <c r="Q133" t="s">
        <v>26</v>
      </c>
      <c r="R133" t="s">
        <v>3883</v>
      </c>
      <c r="S133" t="s">
        <v>1546</v>
      </c>
      <c r="T133" t="s">
        <v>3820</v>
      </c>
      <c r="U133" t="s">
        <v>1634</v>
      </c>
      <c r="V133" t="s">
        <v>1741</v>
      </c>
      <c r="W133" t="s">
        <v>1742</v>
      </c>
      <c r="X133" t="s">
        <v>1739</v>
      </c>
    </row>
    <row r="134" spans="1:24" x14ac:dyDescent="0.3">
      <c r="A134" t="s">
        <v>1941</v>
      </c>
      <c r="B134" s="2">
        <v>45662</v>
      </c>
      <c r="C134" t="s">
        <v>542</v>
      </c>
      <c r="D134" t="s">
        <v>1627</v>
      </c>
      <c r="E134" t="s">
        <v>1777</v>
      </c>
      <c r="F134" s="4">
        <v>4</v>
      </c>
      <c r="G134">
        <v>950.04</v>
      </c>
      <c r="H134">
        <v>0.13</v>
      </c>
      <c r="I134" t="s">
        <v>1809</v>
      </c>
      <c r="J134">
        <v>3306.1392000000001</v>
      </c>
      <c r="K134" t="s">
        <v>543</v>
      </c>
      <c r="L134">
        <v>47</v>
      </c>
      <c r="M134" t="s">
        <v>16</v>
      </c>
      <c r="N134" t="s">
        <v>544</v>
      </c>
      <c r="O134" t="s">
        <v>81</v>
      </c>
      <c r="P134" t="s">
        <v>12</v>
      </c>
      <c r="Q134" t="s">
        <v>31</v>
      </c>
      <c r="R134" t="s">
        <v>3879</v>
      </c>
      <c r="S134" t="s">
        <v>1546</v>
      </c>
      <c r="T134" t="s">
        <v>3820</v>
      </c>
      <c r="U134" t="s">
        <v>1628</v>
      </c>
      <c r="V134" t="s">
        <v>1741</v>
      </c>
      <c r="W134" t="s">
        <v>1742</v>
      </c>
      <c r="X134" t="s">
        <v>1739</v>
      </c>
    </row>
    <row r="135" spans="1:24" x14ac:dyDescent="0.3">
      <c r="A135" t="s">
        <v>1942</v>
      </c>
      <c r="B135" s="2">
        <v>45910</v>
      </c>
      <c r="C135" t="s">
        <v>1024</v>
      </c>
      <c r="D135" t="s">
        <v>1645</v>
      </c>
      <c r="E135" t="s">
        <v>1752</v>
      </c>
      <c r="F135" s="4">
        <v>2</v>
      </c>
      <c r="G135">
        <v>267.19</v>
      </c>
      <c r="H135">
        <v>7.0000000000000007E-2</v>
      </c>
      <c r="I135" t="s">
        <v>1807</v>
      </c>
      <c r="J135">
        <v>496.97340000000003</v>
      </c>
      <c r="K135" t="s">
        <v>1025</v>
      </c>
      <c r="L135">
        <v>54</v>
      </c>
      <c r="M135" t="s">
        <v>9</v>
      </c>
      <c r="N135" t="s">
        <v>1026</v>
      </c>
      <c r="O135" t="s">
        <v>198</v>
      </c>
      <c r="P135" t="s">
        <v>12</v>
      </c>
      <c r="Q135" t="s">
        <v>26</v>
      </c>
      <c r="R135" t="s">
        <v>3889</v>
      </c>
      <c r="S135" t="s">
        <v>1549</v>
      </c>
      <c r="T135" t="s">
        <v>3828</v>
      </c>
      <c r="U135" t="s">
        <v>1646</v>
      </c>
      <c r="V135" t="s">
        <v>1753</v>
      </c>
      <c r="W135" t="s">
        <v>1746</v>
      </c>
      <c r="X135" t="s">
        <v>1755</v>
      </c>
    </row>
    <row r="136" spans="1:24" x14ac:dyDescent="0.3">
      <c r="A136" t="s">
        <v>1943</v>
      </c>
      <c r="B136" s="2">
        <v>45827</v>
      </c>
      <c r="C136" t="s">
        <v>651</v>
      </c>
      <c r="D136" t="s">
        <v>1705</v>
      </c>
      <c r="E136" t="s">
        <v>1784</v>
      </c>
      <c r="F136" s="4">
        <v>4</v>
      </c>
      <c r="G136">
        <v>72.63</v>
      </c>
      <c r="H136">
        <v>0.06</v>
      </c>
      <c r="I136" t="s">
        <v>1809</v>
      </c>
      <c r="J136">
        <v>273.08879999999999</v>
      </c>
      <c r="K136" t="s">
        <v>652</v>
      </c>
      <c r="L136">
        <v>37</v>
      </c>
      <c r="M136" t="s">
        <v>16</v>
      </c>
      <c r="N136" t="s">
        <v>653</v>
      </c>
      <c r="O136" t="s">
        <v>155</v>
      </c>
      <c r="P136" t="s">
        <v>12</v>
      </c>
      <c r="Q136" t="s">
        <v>26</v>
      </c>
      <c r="R136" t="s">
        <v>3920</v>
      </c>
      <c r="S136" t="s">
        <v>1527</v>
      </c>
      <c r="T136" t="s">
        <v>3824</v>
      </c>
      <c r="U136" t="s">
        <v>1706</v>
      </c>
      <c r="V136" t="s">
        <v>1741</v>
      </c>
      <c r="W136" t="s">
        <v>1742</v>
      </c>
      <c r="X136" t="s">
        <v>1739</v>
      </c>
    </row>
    <row r="137" spans="1:24" x14ac:dyDescent="0.3">
      <c r="A137" t="s">
        <v>1944</v>
      </c>
      <c r="B137" s="2">
        <v>45544</v>
      </c>
      <c r="C137" t="s">
        <v>1309</v>
      </c>
      <c r="D137" t="s">
        <v>1637</v>
      </c>
      <c r="E137" t="s">
        <v>1756</v>
      </c>
      <c r="F137" s="4">
        <v>3</v>
      </c>
      <c r="G137">
        <v>576.52</v>
      </c>
      <c r="H137">
        <v>0.22</v>
      </c>
      <c r="I137" t="s">
        <v>1812</v>
      </c>
      <c r="J137">
        <v>1349.0568000000001</v>
      </c>
      <c r="K137" t="s">
        <v>1310</v>
      </c>
      <c r="L137">
        <v>27</v>
      </c>
      <c r="M137" t="s">
        <v>16</v>
      </c>
      <c r="N137" t="s">
        <v>1311</v>
      </c>
      <c r="O137" t="s">
        <v>429</v>
      </c>
      <c r="P137" t="s">
        <v>12</v>
      </c>
      <c r="Q137" t="s">
        <v>13</v>
      </c>
      <c r="R137" t="s">
        <v>3885</v>
      </c>
      <c r="S137" t="s">
        <v>1530</v>
      </c>
      <c r="T137" t="s">
        <v>3818</v>
      </c>
      <c r="U137" t="s">
        <v>1638</v>
      </c>
      <c r="V137" t="s">
        <v>1757</v>
      </c>
      <c r="W137" t="s">
        <v>1742</v>
      </c>
      <c r="X137" t="s">
        <v>1748</v>
      </c>
    </row>
    <row r="138" spans="1:24" x14ac:dyDescent="0.3">
      <c r="A138" t="s">
        <v>1945</v>
      </c>
      <c r="B138" s="2">
        <v>45751</v>
      </c>
      <c r="C138" t="s">
        <v>1083</v>
      </c>
      <c r="D138" t="s">
        <v>1673</v>
      </c>
      <c r="E138" t="s">
        <v>1769</v>
      </c>
      <c r="F138" s="4">
        <v>3</v>
      </c>
      <c r="G138">
        <v>849.36</v>
      </c>
      <c r="H138">
        <v>0.03</v>
      </c>
      <c r="I138" t="s">
        <v>1807</v>
      </c>
      <c r="J138">
        <v>2471.6376</v>
      </c>
      <c r="K138" t="s">
        <v>1084</v>
      </c>
      <c r="L138">
        <v>26</v>
      </c>
      <c r="M138" t="s">
        <v>9</v>
      </c>
      <c r="N138" t="s">
        <v>1085</v>
      </c>
      <c r="O138" t="s">
        <v>162</v>
      </c>
      <c r="P138" t="s">
        <v>12</v>
      </c>
      <c r="Q138" t="s">
        <v>26</v>
      </c>
      <c r="R138" t="s">
        <v>3904</v>
      </c>
      <c r="S138" t="s">
        <v>1541</v>
      </c>
      <c r="T138" t="s">
        <v>3833</v>
      </c>
      <c r="U138" t="s">
        <v>1674</v>
      </c>
      <c r="V138" t="s">
        <v>1770</v>
      </c>
      <c r="W138" t="s">
        <v>1746</v>
      </c>
      <c r="X138" t="s">
        <v>1739</v>
      </c>
    </row>
    <row r="139" spans="1:24" x14ac:dyDescent="0.3">
      <c r="A139" t="s">
        <v>1946</v>
      </c>
      <c r="B139" s="2">
        <v>45392</v>
      </c>
      <c r="C139" t="s">
        <v>1442</v>
      </c>
      <c r="D139" t="s">
        <v>1631</v>
      </c>
      <c r="E139" t="s">
        <v>1759</v>
      </c>
      <c r="F139" s="4">
        <v>1</v>
      </c>
      <c r="G139">
        <v>245.85</v>
      </c>
      <c r="H139">
        <v>0.18</v>
      </c>
      <c r="I139" t="s">
        <v>1812</v>
      </c>
      <c r="J139">
        <v>201.59700000000001</v>
      </c>
      <c r="K139" t="s">
        <v>1443</v>
      </c>
      <c r="L139">
        <v>32</v>
      </c>
      <c r="M139" t="s">
        <v>16</v>
      </c>
      <c r="N139" t="s">
        <v>1444</v>
      </c>
      <c r="O139" t="s">
        <v>319</v>
      </c>
      <c r="P139" t="s">
        <v>12</v>
      </c>
      <c r="Q139" t="s">
        <v>26</v>
      </c>
      <c r="R139" t="s">
        <v>3882</v>
      </c>
      <c r="S139" t="s">
        <v>1549</v>
      </c>
      <c r="T139" t="s">
        <v>3828</v>
      </c>
      <c r="U139" t="s">
        <v>1632</v>
      </c>
      <c r="V139" t="s">
        <v>1760</v>
      </c>
      <c r="W139" t="s">
        <v>1737</v>
      </c>
      <c r="X139" t="s">
        <v>1755</v>
      </c>
    </row>
    <row r="140" spans="1:24" x14ac:dyDescent="0.3">
      <c r="A140" t="s">
        <v>1947</v>
      </c>
      <c r="B140" s="2">
        <v>45589</v>
      </c>
      <c r="C140" t="s">
        <v>583</v>
      </c>
      <c r="D140" t="s">
        <v>1725</v>
      </c>
      <c r="E140" t="s">
        <v>1772</v>
      </c>
      <c r="F140" s="4">
        <v>3</v>
      </c>
      <c r="G140">
        <v>237.68</v>
      </c>
      <c r="H140">
        <v>0.1</v>
      </c>
      <c r="I140" t="s">
        <v>1812</v>
      </c>
      <c r="J140">
        <v>641.73599999999999</v>
      </c>
      <c r="K140" t="s">
        <v>584</v>
      </c>
      <c r="L140">
        <v>43</v>
      </c>
      <c r="M140" t="s">
        <v>16</v>
      </c>
      <c r="N140" t="s">
        <v>585</v>
      </c>
      <c r="O140" t="s">
        <v>312</v>
      </c>
      <c r="P140" t="s">
        <v>12</v>
      </c>
      <c r="Q140" t="s">
        <v>26</v>
      </c>
      <c r="R140" t="s">
        <v>3930</v>
      </c>
      <c r="S140" t="s">
        <v>1549</v>
      </c>
      <c r="T140" t="s">
        <v>3859</v>
      </c>
      <c r="U140" t="s">
        <v>1726</v>
      </c>
      <c r="V140" t="s">
        <v>1741</v>
      </c>
      <c r="W140" t="s">
        <v>1742</v>
      </c>
      <c r="X140" t="s">
        <v>1739</v>
      </c>
    </row>
    <row r="141" spans="1:24" x14ac:dyDescent="0.3">
      <c r="A141" t="s">
        <v>1948</v>
      </c>
      <c r="B141" s="2">
        <v>45756</v>
      </c>
      <c r="C141" t="s">
        <v>1048</v>
      </c>
      <c r="D141" t="s">
        <v>1673</v>
      </c>
      <c r="E141" t="s">
        <v>1782</v>
      </c>
      <c r="F141" s="4">
        <v>4</v>
      </c>
      <c r="G141">
        <v>715.85</v>
      </c>
      <c r="H141">
        <v>0.25</v>
      </c>
      <c r="I141" t="s">
        <v>1809</v>
      </c>
      <c r="J141">
        <v>2147.5500000000002</v>
      </c>
      <c r="K141" t="s">
        <v>1049</v>
      </c>
      <c r="L141">
        <v>46</v>
      </c>
      <c r="M141" t="s">
        <v>16</v>
      </c>
      <c r="N141" t="s">
        <v>1050</v>
      </c>
      <c r="O141" t="s">
        <v>11</v>
      </c>
      <c r="P141" t="s">
        <v>12</v>
      </c>
      <c r="Q141" t="s">
        <v>26</v>
      </c>
      <c r="R141" t="s">
        <v>3904</v>
      </c>
      <c r="S141" t="s">
        <v>1541</v>
      </c>
      <c r="T141" t="s">
        <v>3833</v>
      </c>
      <c r="U141" t="s">
        <v>1674</v>
      </c>
      <c r="V141" t="s">
        <v>1741</v>
      </c>
      <c r="W141" t="s">
        <v>1742</v>
      </c>
      <c r="X141" t="s">
        <v>1739</v>
      </c>
    </row>
    <row r="142" spans="1:24" x14ac:dyDescent="0.3">
      <c r="A142" t="s">
        <v>1949</v>
      </c>
      <c r="B142" s="2">
        <v>45255</v>
      </c>
      <c r="C142" t="s">
        <v>562</v>
      </c>
      <c r="D142" t="s">
        <v>1711</v>
      </c>
      <c r="E142" t="s">
        <v>1756</v>
      </c>
      <c r="F142" s="4">
        <v>2</v>
      </c>
      <c r="G142">
        <v>478.85</v>
      </c>
      <c r="H142">
        <v>0.01</v>
      </c>
      <c r="I142" t="s">
        <v>1812</v>
      </c>
      <c r="J142">
        <v>948.12300000000005</v>
      </c>
      <c r="K142" t="s">
        <v>563</v>
      </c>
      <c r="L142">
        <v>41</v>
      </c>
      <c r="M142" t="s">
        <v>16</v>
      </c>
      <c r="N142" t="s">
        <v>564</v>
      </c>
      <c r="O142" t="s">
        <v>251</v>
      </c>
      <c r="P142" t="s">
        <v>12</v>
      </c>
      <c r="Q142" t="s">
        <v>19</v>
      </c>
      <c r="R142" t="s">
        <v>3923</v>
      </c>
      <c r="S142" t="s">
        <v>1546</v>
      </c>
      <c r="T142" t="s">
        <v>3820</v>
      </c>
      <c r="U142" t="s">
        <v>1712</v>
      </c>
      <c r="V142" t="s">
        <v>1757</v>
      </c>
      <c r="W142" t="s">
        <v>1742</v>
      </c>
      <c r="X142" t="s">
        <v>1748</v>
      </c>
    </row>
    <row r="143" spans="1:24" x14ac:dyDescent="0.3">
      <c r="A143" t="s">
        <v>1950</v>
      </c>
      <c r="B143" s="2">
        <v>45718</v>
      </c>
      <c r="C143" t="s">
        <v>391</v>
      </c>
      <c r="D143" t="s">
        <v>1625</v>
      </c>
      <c r="E143" t="s">
        <v>1735</v>
      </c>
      <c r="F143" s="4">
        <v>1</v>
      </c>
      <c r="G143">
        <v>503.95</v>
      </c>
      <c r="H143">
        <v>0.26</v>
      </c>
      <c r="I143" t="s">
        <v>1812</v>
      </c>
      <c r="J143">
        <v>372.923</v>
      </c>
      <c r="K143" t="s">
        <v>392</v>
      </c>
      <c r="L143">
        <v>30</v>
      </c>
      <c r="M143" t="s">
        <v>9</v>
      </c>
      <c r="N143" t="s">
        <v>393</v>
      </c>
      <c r="O143" t="s">
        <v>230</v>
      </c>
      <c r="P143" t="s">
        <v>12</v>
      </c>
      <c r="Q143" t="s">
        <v>13</v>
      </c>
      <c r="R143" t="s">
        <v>3877</v>
      </c>
      <c r="S143" t="s">
        <v>1541</v>
      </c>
      <c r="T143" t="s">
        <v>3878</v>
      </c>
      <c r="U143" t="s">
        <v>1626</v>
      </c>
      <c r="V143" t="s">
        <v>1736</v>
      </c>
      <c r="W143" t="s">
        <v>1737</v>
      </c>
      <c r="X143" t="s">
        <v>1739</v>
      </c>
    </row>
    <row r="144" spans="1:24" x14ac:dyDescent="0.3">
      <c r="A144" t="s">
        <v>1951</v>
      </c>
      <c r="B144" s="2">
        <v>45573</v>
      </c>
      <c r="C144" t="s">
        <v>1229</v>
      </c>
      <c r="D144" t="s">
        <v>1663</v>
      </c>
      <c r="E144" t="s">
        <v>1777</v>
      </c>
      <c r="F144" s="4">
        <v>2</v>
      </c>
      <c r="G144">
        <v>975.48</v>
      </c>
      <c r="H144">
        <v>0.26</v>
      </c>
      <c r="I144" t="s">
        <v>1812</v>
      </c>
      <c r="J144">
        <v>1443.7103999999999</v>
      </c>
      <c r="K144" t="s">
        <v>1230</v>
      </c>
      <c r="L144">
        <v>57</v>
      </c>
      <c r="M144" t="s">
        <v>16</v>
      </c>
      <c r="N144" t="s">
        <v>1231</v>
      </c>
      <c r="O144" t="s">
        <v>429</v>
      </c>
      <c r="P144" t="s">
        <v>12</v>
      </c>
      <c r="Q144" t="s">
        <v>26</v>
      </c>
      <c r="R144" t="s">
        <v>3898</v>
      </c>
      <c r="S144" t="s">
        <v>1541</v>
      </c>
      <c r="T144" t="s">
        <v>3833</v>
      </c>
      <c r="U144" t="s">
        <v>1664</v>
      </c>
      <c r="V144" t="s">
        <v>1741</v>
      </c>
      <c r="W144" t="s">
        <v>1742</v>
      </c>
      <c r="X144" t="s">
        <v>1739</v>
      </c>
    </row>
    <row r="145" spans="1:24" x14ac:dyDescent="0.3">
      <c r="A145" t="s">
        <v>1952</v>
      </c>
      <c r="B145" s="2">
        <v>45884</v>
      </c>
      <c r="C145" t="s">
        <v>1235</v>
      </c>
      <c r="D145" t="s">
        <v>1599</v>
      </c>
      <c r="E145" t="s">
        <v>1787</v>
      </c>
      <c r="F145" s="4">
        <v>4</v>
      </c>
      <c r="G145">
        <v>450.12</v>
      </c>
      <c r="H145">
        <v>0.28999999999999998</v>
      </c>
      <c r="I145" t="s">
        <v>1812</v>
      </c>
      <c r="J145">
        <v>1278.3407999999999</v>
      </c>
      <c r="K145" t="s">
        <v>1236</v>
      </c>
      <c r="L145">
        <v>31</v>
      </c>
      <c r="M145" t="s">
        <v>9</v>
      </c>
      <c r="N145" t="s">
        <v>1237</v>
      </c>
      <c r="O145" t="s">
        <v>181</v>
      </c>
      <c r="P145" t="s">
        <v>12</v>
      </c>
      <c r="Q145" t="s">
        <v>19</v>
      </c>
      <c r="R145" t="s">
        <v>3862</v>
      </c>
      <c r="S145" t="s">
        <v>1546</v>
      </c>
      <c r="T145" t="s">
        <v>3811</v>
      </c>
      <c r="U145" t="s">
        <v>1600</v>
      </c>
      <c r="V145" t="s">
        <v>1741</v>
      </c>
      <c r="W145" t="s">
        <v>1742</v>
      </c>
      <c r="X145" t="s">
        <v>1739</v>
      </c>
    </row>
    <row r="146" spans="1:24" x14ac:dyDescent="0.3">
      <c r="A146" t="s">
        <v>1953</v>
      </c>
      <c r="B146" s="2">
        <v>45448</v>
      </c>
      <c r="C146" t="s">
        <v>1333</v>
      </c>
      <c r="D146" t="s">
        <v>1603</v>
      </c>
      <c r="E146" t="s">
        <v>1765</v>
      </c>
      <c r="F146" s="4">
        <v>3</v>
      </c>
      <c r="G146">
        <v>237.24</v>
      </c>
      <c r="H146">
        <v>0.24</v>
      </c>
      <c r="I146" t="s">
        <v>1809</v>
      </c>
      <c r="J146">
        <v>540.90719999999999</v>
      </c>
      <c r="K146" t="s">
        <v>1334</v>
      </c>
      <c r="L146">
        <v>61</v>
      </c>
      <c r="M146" t="s">
        <v>9</v>
      </c>
      <c r="N146" t="s">
        <v>1335</v>
      </c>
      <c r="O146" t="s">
        <v>106</v>
      </c>
      <c r="P146" t="s">
        <v>12</v>
      </c>
      <c r="Q146" t="s">
        <v>31</v>
      </c>
      <c r="R146" t="s">
        <v>3864</v>
      </c>
      <c r="S146" t="s">
        <v>1530</v>
      </c>
      <c r="T146" t="s">
        <v>3813</v>
      </c>
      <c r="U146" t="s">
        <v>1604</v>
      </c>
      <c r="V146" t="s">
        <v>1766</v>
      </c>
      <c r="W146" t="s">
        <v>1767</v>
      </c>
      <c r="X146" t="s">
        <v>1755</v>
      </c>
    </row>
    <row r="147" spans="1:24" x14ac:dyDescent="0.3">
      <c r="A147" t="s">
        <v>1954</v>
      </c>
      <c r="B147" s="2">
        <v>45522</v>
      </c>
      <c r="C147" t="s">
        <v>1401</v>
      </c>
      <c r="D147" t="s">
        <v>1639</v>
      </c>
      <c r="E147" t="s">
        <v>1784</v>
      </c>
      <c r="F147" s="4">
        <v>2</v>
      </c>
      <c r="G147">
        <v>536.84</v>
      </c>
      <c r="H147">
        <v>0.09</v>
      </c>
      <c r="I147" t="s">
        <v>1812</v>
      </c>
      <c r="J147">
        <v>977.04880000000014</v>
      </c>
      <c r="K147" t="s">
        <v>673</v>
      </c>
      <c r="L147">
        <v>35</v>
      </c>
      <c r="M147" t="s">
        <v>9</v>
      </c>
      <c r="N147" t="s">
        <v>1402</v>
      </c>
      <c r="O147" t="s">
        <v>312</v>
      </c>
      <c r="P147" t="s">
        <v>12</v>
      </c>
      <c r="Q147" t="s">
        <v>13</v>
      </c>
      <c r="R147" t="s">
        <v>3886</v>
      </c>
      <c r="S147" t="s">
        <v>1549</v>
      </c>
      <c r="T147" t="s">
        <v>3820</v>
      </c>
      <c r="U147" t="s">
        <v>1640</v>
      </c>
      <c r="V147" t="s">
        <v>1741</v>
      </c>
      <c r="W147" t="s">
        <v>1742</v>
      </c>
      <c r="X147" t="s">
        <v>1739</v>
      </c>
    </row>
    <row r="148" spans="1:24" x14ac:dyDescent="0.3">
      <c r="A148" t="s">
        <v>1955</v>
      </c>
      <c r="B148" s="2">
        <v>45626</v>
      </c>
      <c r="C148" t="s">
        <v>1355</v>
      </c>
      <c r="D148" t="s">
        <v>1603</v>
      </c>
      <c r="E148" t="s">
        <v>1796</v>
      </c>
      <c r="F148" s="4">
        <v>3</v>
      </c>
      <c r="G148">
        <v>584.41</v>
      </c>
      <c r="H148">
        <v>0</v>
      </c>
      <c r="I148" t="s">
        <v>1812</v>
      </c>
      <c r="J148">
        <v>1753.23</v>
      </c>
      <c r="K148" t="s">
        <v>1356</v>
      </c>
      <c r="L148">
        <v>19</v>
      </c>
      <c r="M148" t="s">
        <v>9</v>
      </c>
      <c r="N148" t="s">
        <v>1357</v>
      </c>
      <c r="O148" t="s">
        <v>354</v>
      </c>
      <c r="P148" t="s">
        <v>12</v>
      </c>
      <c r="Q148" t="s">
        <v>31</v>
      </c>
      <c r="R148" t="s">
        <v>3864</v>
      </c>
      <c r="S148" t="s">
        <v>1530</v>
      </c>
      <c r="T148" t="s">
        <v>3813</v>
      </c>
      <c r="U148" t="s">
        <v>1604</v>
      </c>
      <c r="V148" t="s">
        <v>1741</v>
      </c>
      <c r="W148" t="s">
        <v>1742</v>
      </c>
      <c r="X148" t="s">
        <v>1739</v>
      </c>
    </row>
    <row r="149" spans="1:24" x14ac:dyDescent="0.3">
      <c r="A149" t="s">
        <v>1956</v>
      </c>
      <c r="B149" s="2">
        <v>45617</v>
      </c>
      <c r="C149" t="s">
        <v>923</v>
      </c>
      <c r="D149" t="s">
        <v>1695</v>
      </c>
      <c r="E149" t="s">
        <v>1796</v>
      </c>
      <c r="F149" s="4">
        <v>1</v>
      </c>
      <c r="G149">
        <v>653.87</v>
      </c>
      <c r="H149">
        <v>0.14000000000000001</v>
      </c>
      <c r="I149" t="s">
        <v>1809</v>
      </c>
      <c r="J149">
        <v>562.32820000000004</v>
      </c>
      <c r="K149" t="s">
        <v>924</v>
      </c>
      <c r="L149">
        <v>19</v>
      </c>
      <c r="M149" t="s">
        <v>16</v>
      </c>
      <c r="N149" t="s">
        <v>567</v>
      </c>
      <c r="O149" t="s">
        <v>66</v>
      </c>
      <c r="P149" t="s">
        <v>12</v>
      </c>
      <c r="Q149" t="s">
        <v>19</v>
      </c>
      <c r="R149" t="s">
        <v>3915</v>
      </c>
      <c r="S149" t="s">
        <v>1549</v>
      </c>
      <c r="T149" t="s">
        <v>3828</v>
      </c>
      <c r="U149" t="s">
        <v>1696</v>
      </c>
      <c r="V149" t="s">
        <v>1741</v>
      </c>
      <c r="W149" t="s">
        <v>1742</v>
      </c>
      <c r="X149" t="s">
        <v>1739</v>
      </c>
    </row>
    <row r="150" spans="1:24" x14ac:dyDescent="0.3">
      <c r="A150" t="s">
        <v>1957</v>
      </c>
      <c r="B150" s="2">
        <v>45878</v>
      </c>
      <c r="C150" t="s">
        <v>1499</v>
      </c>
      <c r="D150" t="s">
        <v>1705</v>
      </c>
      <c r="E150" t="s">
        <v>1735</v>
      </c>
      <c r="F150" s="4">
        <v>1</v>
      </c>
      <c r="G150">
        <v>652.03</v>
      </c>
      <c r="H150">
        <v>0.27</v>
      </c>
      <c r="I150" t="s">
        <v>1807</v>
      </c>
      <c r="J150">
        <v>475.9819</v>
      </c>
      <c r="K150" t="s">
        <v>1500</v>
      </c>
      <c r="L150">
        <v>21</v>
      </c>
      <c r="M150" t="s">
        <v>9</v>
      </c>
      <c r="N150" t="s">
        <v>84</v>
      </c>
      <c r="O150" t="s">
        <v>22</v>
      </c>
      <c r="P150" t="s">
        <v>12</v>
      </c>
      <c r="Q150" t="s">
        <v>31</v>
      </c>
      <c r="R150" t="s">
        <v>3920</v>
      </c>
      <c r="S150" t="s">
        <v>1527</v>
      </c>
      <c r="T150" t="s">
        <v>3824</v>
      </c>
      <c r="U150" t="s">
        <v>1706</v>
      </c>
      <c r="V150" t="s">
        <v>1736</v>
      </c>
      <c r="W150" t="s">
        <v>1737</v>
      </c>
      <c r="X150" t="s">
        <v>1739</v>
      </c>
    </row>
    <row r="151" spans="1:24" x14ac:dyDescent="0.3">
      <c r="A151" t="s">
        <v>1958</v>
      </c>
      <c r="B151" s="2">
        <v>45502</v>
      </c>
      <c r="C151" t="s">
        <v>330</v>
      </c>
      <c r="D151" t="s">
        <v>1538</v>
      </c>
      <c r="E151" t="s">
        <v>1777</v>
      </c>
      <c r="F151" s="4">
        <v>3</v>
      </c>
      <c r="G151">
        <v>513.36</v>
      </c>
      <c r="H151">
        <v>7.0000000000000007E-2</v>
      </c>
      <c r="I151" t="s">
        <v>1812</v>
      </c>
      <c r="J151">
        <v>1432.2744</v>
      </c>
      <c r="K151" t="s">
        <v>331</v>
      </c>
      <c r="L151">
        <v>43</v>
      </c>
      <c r="M151" t="s">
        <v>16</v>
      </c>
      <c r="N151" t="s">
        <v>332</v>
      </c>
      <c r="O151" t="s">
        <v>312</v>
      </c>
      <c r="P151" t="s">
        <v>12</v>
      </c>
      <c r="Q151" t="s">
        <v>13</v>
      </c>
      <c r="R151" t="s">
        <v>3880</v>
      </c>
      <c r="S151" t="s">
        <v>1541</v>
      </c>
      <c r="T151" t="s">
        <v>3881</v>
      </c>
      <c r="U151" t="s">
        <v>1630</v>
      </c>
      <c r="V151" t="s">
        <v>1741</v>
      </c>
      <c r="W151" t="s">
        <v>1742</v>
      </c>
      <c r="X151" t="s">
        <v>1739</v>
      </c>
    </row>
    <row r="152" spans="1:24" x14ac:dyDescent="0.3">
      <c r="A152" t="s">
        <v>1959</v>
      </c>
      <c r="B152" s="2">
        <v>45433</v>
      </c>
      <c r="C152" t="s">
        <v>248</v>
      </c>
      <c r="D152" t="s">
        <v>1635</v>
      </c>
      <c r="E152" t="s">
        <v>1756</v>
      </c>
      <c r="F152" s="4">
        <v>4</v>
      </c>
      <c r="G152">
        <v>355.64</v>
      </c>
      <c r="H152">
        <v>0.16</v>
      </c>
      <c r="I152" t="s">
        <v>1812</v>
      </c>
      <c r="J152">
        <v>1194.9503999999999</v>
      </c>
      <c r="K152" t="s">
        <v>249</v>
      </c>
      <c r="L152">
        <v>24</v>
      </c>
      <c r="M152" t="s">
        <v>16</v>
      </c>
      <c r="N152" t="s">
        <v>250</v>
      </c>
      <c r="O152" t="s">
        <v>251</v>
      </c>
      <c r="P152" t="s">
        <v>12</v>
      </c>
      <c r="Q152" t="s">
        <v>31</v>
      </c>
      <c r="R152" t="s">
        <v>3884</v>
      </c>
      <c r="S152" t="s">
        <v>1549</v>
      </c>
      <c r="T152" t="s">
        <v>3859</v>
      </c>
      <c r="U152" t="s">
        <v>1636</v>
      </c>
      <c r="V152" t="s">
        <v>1757</v>
      </c>
      <c r="W152" t="s">
        <v>1742</v>
      </c>
      <c r="X152" t="s">
        <v>1748</v>
      </c>
    </row>
    <row r="153" spans="1:24" x14ac:dyDescent="0.3">
      <c r="A153" t="s">
        <v>1960</v>
      </c>
      <c r="B153" s="2">
        <v>45594</v>
      </c>
      <c r="C153" t="s">
        <v>97</v>
      </c>
      <c r="D153" t="s">
        <v>1557</v>
      </c>
      <c r="E153" t="s">
        <v>1765</v>
      </c>
      <c r="F153" s="4">
        <v>4</v>
      </c>
      <c r="G153">
        <v>535.4</v>
      </c>
      <c r="H153">
        <v>0.26</v>
      </c>
      <c r="I153" t="s">
        <v>1809</v>
      </c>
      <c r="J153">
        <v>1584.7840000000001</v>
      </c>
      <c r="K153" t="s">
        <v>3953</v>
      </c>
      <c r="L153">
        <v>52</v>
      </c>
      <c r="M153" t="s">
        <v>16</v>
      </c>
      <c r="N153" t="s">
        <v>98</v>
      </c>
      <c r="O153" t="s">
        <v>99</v>
      </c>
      <c r="P153" t="s">
        <v>12</v>
      </c>
      <c r="Q153" t="s">
        <v>31</v>
      </c>
      <c r="R153" t="s">
        <v>3834</v>
      </c>
      <c r="S153" t="s">
        <v>1546</v>
      </c>
      <c r="T153" t="s">
        <v>3820</v>
      </c>
      <c r="U153" t="s">
        <v>1558</v>
      </c>
      <c r="V153" t="s">
        <v>1766</v>
      </c>
      <c r="W153" t="s">
        <v>1767</v>
      </c>
      <c r="X153" t="s">
        <v>1755</v>
      </c>
    </row>
    <row r="154" spans="1:24" x14ac:dyDescent="0.3">
      <c r="A154" t="s">
        <v>1961</v>
      </c>
      <c r="B154" s="2">
        <v>45798</v>
      </c>
      <c r="C154" t="s">
        <v>773</v>
      </c>
      <c r="D154" t="s">
        <v>1669</v>
      </c>
      <c r="E154" t="s">
        <v>1796</v>
      </c>
      <c r="F154" s="4">
        <v>2</v>
      </c>
      <c r="G154">
        <v>108.74</v>
      </c>
      <c r="H154">
        <v>0.11</v>
      </c>
      <c r="I154" t="s">
        <v>1809</v>
      </c>
      <c r="J154">
        <v>193.55719999999999</v>
      </c>
      <c r="K154" t="s">
        <v>774</v>
      </c>
      <c r="L154">
        <v>19</v>
      </c>
      <c r="M154" t="s">
        <v>9</v>
      </c>
      <c r="N154" t="s">
        <v>775</v>
      </c>
      <c r="O154" t="s">
        <v>354</v>
      </c>
      <c r="P154" t="s">
        <v>12</v>
      </c>
      <c r="Q154" t="s">
        <v>13</v>
      </c>
      <c r="R154" t="s">
        <v>3902</v>
      </c>
      <c r="S154" t="s">
        <v>1530</v>
      </c>
      <c r="T154" t="s">
        <v>3818</v>
      </c>
      <c r="U154" t="s">
        <v>1670</v>
      </c>
      <c r="V154" t="s">
        <v>1741</v>
      </c>
      <c r="W154" t="s">
        <v>1742</v>
      </c>
      <c r="X154" t="s">
        <v>1739</v>
      </c>
    </row>
    <row r="155" spans="1:24" x14ac:dyDescent="0.3">
      <c r="A155" t="s">
        <v>1962</v>
      </c>
      <c r="B155" s="2">
        <v>45579</v>
      </c>
      <c r="C155" t="s">
        <v>980</v>
      </c>
      <c r="D155" t="s">
        <v>1553</v>
      </c>
      <c r="E155" t="s">
        <v>1796</v>
      </c>
      <c r="F155" s="4">
        <v>3</v>
      </c>
      <c r="G155">
        <v>591.98</v>
      </c>
      <c r="H155">
        <v>0.16</v>
      </c>
      <c r="I155" t="s">
        <v>1807</v>
      </c>
      <c r="J155">
        <v>1491.7896000000001</v>
      </c>
      <c r="K155" t="s">
        <v>981</v>
      </c>
      <c r="L155">
        <v>49</v>
      </c>
      <c r="M155" t="s">
        <v>9</v>
      </c>
      <c r="N155" t="s">
        <v>982</v>
      </c>
      <c r="O155" t="s">
        <v>74</v>
      </c>
      <c r="P155" t="s">
        <v>12</v>
      </c>
      <c r="Q155" t="s">
        <v>31</v>
      </c>
      <c r="R155" t="s">
        <v>3831</v>
      </c>
      <c r="S155" t="s">
        <v>1546</v>
      </c>
      <c r="T155" t="s">
        <v>3820</v>
      </c>
      <c r="U155" t="s">
        <v>1554</v>
      </c>
      <c r="V155" t="s">
        <v>1741</v>
      </c>
      <c r="W155" t="s">
        <v>1742</v>
      </c>
      <c r="X155" t="s">
        <v>1739</v>
      </c>
    </row>
    <row r="156" spans="1:24" x14ac:dyDescent="0.3">
      <c r="A156" t="s">
        <v>1963</v>
      </c>
      <c r="B156" s="2">
        <v>45613</v>
      </c>
      <c r="C156" t="s">
        <v>1246</v>
      </c>
      <c r="D156" t="s">
        <v>1627</v>
      </c>
      <c r="E156" t="s">
        <v>1744</v>
      </c>
      <c r="F156" s="4">
        <v>1</v>
      </c>
      <c r="G156">
        <v>345.06</v>
      </c>
      <c r="H156">
        <v>0.13</v>
      </c>
      <c r="I156" t="s">
        <v>1812</v>
      </c>
      <c r="J156">
        <v>300.2022</v>
      </c>
      <c r="K156" t="s">
        <v>1247</v>
      </c>
      <c r="L156">
        <v>23</v>
      </c>
      <c r="M156" t="s">
        <v>16</v>
      </c>
      <c r="N156" t="s">
        <v>1248</v>
      </c>
      <c r="O156" t="s">
        <v>323</v>
      </c>
      <c r="P156" t="s">
        <v>12</v>
      </c>
      <c r="Q156" t="s">
        <v>13</v>
      </c>
      <c r="R156" t="s">
        <v>3879</v>
      </c>
      <c r="S156" t="s">
        <v>1546</v>
      </c>
      <c r="T156" t="s">
        <v>3820</v>
      </c>
      <c r="U156" t="s">
        <v>1628</v>
      </c>
      <c r="V156" t="s">
        <v>1745</v>
      </c>
      <c r="W156" t="s">
        <v>1746</v>
      </c>
      <c r="X156" t="s">
        <v>1748</v>
      </c>
    </row>
    <row r="157" spans="1:24" x14ac:dyDescent="0.3">
      <c r="A157" t="s">
        <v>1964</v>
      </c>
      <c r="B157" s="2">
        <v>45745</v>
      </c>
      <c r="C157" t="s">
        <v>959</v>
      </c>
      <c r="D157" t="s">
        <v>1717</v>
      </c>
      <c r="E157" t="s">
        <v>1777</v>
      </c>
      <c r="F157" s="4">
        <v>4</v>
      </c>
      <c r="G157">
        <v>986.41</v>
      </c>
      <c r="H157">
        <v>0.22</v>
      </c>
      <c r="I157" t="s">
        <v>1807</v>
      </c>
      <c r="J157">
        <v>3077.5992000000001</v>
      </c>
      <c r="K157" t="s">
        <v>960</v>
      </c>
      <c r="L157">
        <v>60</v>
      </c>
      <c r="M157" t="s">
        <v>16</v>
      </c>
      <c r="N157" t="s">
        <v>961</v>
      </c>
      <c r="O157" t="s">
        <v>22</v>
      </c>
      <c r="P157" t="s">
        <v>12</v>
      </c>
      <c r="Q157" t="s">
        <v>26</v>
      </c>
      <c r="R157" t="s">
        <v>3926</v>
      </c>
      <c r="S157" t="s">
        <v>1546</v>
      </c>
      <c r="T157" t="s">
        <v>3811</v>
      </c>
      <c r="U157" t="s">
        <v>1718</v>
      </c>
      <c r="V157" t="s">
        <v>1741</v>
      </c>
      <c r="W157" t="s">
        <v>1742</v>
      </c>
      <c r="X157" t="s">
        <v>1739</v>
      </c>
    </row>
    <row r="158" spans="1:24" x14ac:dyDescent="0.3">
      <c r="A158" t="s">
        <v>1965</v>
      </c>
      <c r="B158" s="2">
        <v>45494</v>
      </c>
      <c r="C158" t="s">
        <v>995</v>
      </c>
      <c r="D158" t="s">
        <v>1629</v>
      </c>
      <c r="E158" t="s">
        <v>1735</v>
      </c>
      <c r="F158" s="4">
        <v>2</v>
      </c>
      <c r="G158">
        <v>921.52</v>
      </c>
      <c r="H158">
        <v>0</v>
      </c>
      <c r="I158" t="s">
        <v>1809</v>
      </c>
      <c r="J158">
        <v>1843.04</v>
      </c>
      <c r="K158" t="s">
        <v>996</v>
      </c>
      <c r="L158">
        <v>34</v>
      </c>
      <c r="M158" t="s">
        <v>16</v>
      </c>
      <c r="N158" t="s">
        <v>997</v>
      </c>
      <c r="O158" t="s">
        <v>309</v>
      </c>
      <c r="P158" t="s">
        <v>12</v>
      </c>
      <c r="Q158" t="s">
        <v>19</v>
      </c>
      <c r="R158" t="s">
        <v>3880</v>
      </c>
      <c r="S158" t="s">
        <v>1541</v>
      </c>
      <c r="T158" t="s">
        <v>3881</v>
      </c>
      <c r="U158" t="s">
        <v>1630</v>
      </c>
      <c r="V158" t="s">
        <v>1736</v>
      </c>
      <c r="W158" t="s">
        <v>1737</v>
      </c>
      <c r="X158" t="s">
        <v>1739</v>
      </c>
    </row>
    <row r="159" spans="1:24" x14ac:dyDescent="0.3">
      <c r="A159" t="s">
        <v>1966</v>
      </c>
      <c r="B159" s="2">
        <v>45883</v>
      </c>
      <c r="C159" t="s">
        <v>342</v>
      </c>
      <c r="D159" t="s">
        <v>1641</v>
      </c>
      <c r="E159" t="s">
        <v>1756</v>
      </c>
      <c r="F159" s="4">
        <v>1</v>
      </c>
      <c r="G159">
        <v>83.1</v>
      </c>
      <c r="H159">
        <v>0.04</v>
      </c>
      <c r="I159" t="s">
        <v>1809</v>
      </c>
      <c r="J159">
        <v>79.775999999999996</v>
      </c>
      <c r="K159" t="s">
        <v>343</v>
      </c>
      <c r="L159">
        <v>24</v>
      </c>
      <c r="M159" t="s">
        <v>9</v>
      </c>
      <c r="N159" t="s">
        <v>344</v>
      </c>
      <c r="O159" t="s">
        <v>39</v>
      </c>
      <c r="P159" t="s">
        <v>12</v>
      </c>
      <c r="Q159" t="s">
        <v>31</v>
      </c>
      <c r="R159" t="s">
        <v>3887</v>
      </c>
      <c r="S159" t="s">
        <v>1527</v>
      </c>
      <c r="T159" t="s">
        <v>3836</v>
      </c>
      <c r="U159" t="s">
        <v>1642</v>
      </c>
      <c r="V159" t="s">
        <v>1757</v>
      </c>
      <c r="W159" t="s">
        <v>1742</v>
      </c>
      <c r="X159" t="s">
        <v>1748</v>
      </c>
    </row>
    <row r="160" spans="1:24" x14ac:dyDescent="0.3">
      <c r="A160" t="s">
        <v>1967</v>
      </c>
      <c r="B160" s="2">
        <v>45601</v>
      </c>
      <c r="C160" t="s">
        <v>1141</v>
      </c>
      <c r="D160" t="s">
        <v>1587</v>
      </c>
      <c r="E160" t="s">
        <v>1775</v>
      </c>
      <c r="F160" s="4">
        <v>2</v>
      </c>
      <c r="G160">
        <v>60.98</v>
      </c>
      <c r="H160">
        <v>0.23</v>
      </c>
      <c r="I160" t="s">
        <v>1809</v>
      </c>
      <c r="J160">
        <v>93.909199999999998</v>
      </c>
      <c r="K160" t="s">
        <v>1142</v>
      </c>
      <c r="L160">
        <v>45</v>
      </c>
      <c r="M160" t="s">
        <v>9</v>
      </c>
      <c r="N160" t="s">
        <v>1143</v>
      </c>
      <c r="O160" t="s">
        <v>170</v>
      </c>
      <c r="P160" t="s">
        <v>12</v>
      </c>
      <c r="Q160" t="s">
        <v>19</v>
      </c>
      <c r="R160" t="s">
        <v>3855</v>
      </c>
      <c r="S160" t="s">
        <v>1549</v>
      </c>
      <c r="T160" t="s">
        <v>3820</v>
      </c>
      <c r="U160" t="s">
        <v>1588</v>
      </c>
      <c r="V160" t="s">
        <v>1741</v>
      </c>
      <c r="W160" t="s">
        <v>1742</v>
      </c>
      <c r="X160" t="s">
        <v>1739</v>
      </c>
    </row>
    <row r="161" spans="1:24" x14ac:dyDescent="0.3">
      <c r="A161" t="s">
        <v>1968</v>
      </c>
      <c r="B161" s="2">
        <v>45454</v>
      </c>
      <c r="C161" t="s">
        <v>1216</v>
      </c>
      <c r="D161" t="s">
        <v>1709</v>
      </c>
      <c r="E161" t="s">
        <v>1787</v>
      </c>
      <c r="F161" s="4">
        <v>2</v>
      </c>
      <c r="G161">
        <v>122.23</v>
      </c>
      <c r="H161">
        <v>0.21</v>
      </c>
      <c r="I161" t="s">
        <v>1812</v>
      </c>
      <c r="J161">
        <v>193.1234</v>
      </c>
      <c r="K161" t="s">
        <v>1217</v>
      </c>
      <c r="L161">
        <v>50</v>
      </c>
      <c r="M161" t="s">
        <v>9</v>
      </c>
      <c r="N161" t="s">
        <v>1218</v>
      </c>
      <c r="O161" t="s">
        <v>166</v>
      </c>
      <c r="P161" t="s">
        <v>12</v>
      </c>
      <c r="Q161" t="s">
        <v>26</v>
      </c>
      <c r="R161" t="s">
        <v>3922</v>
      </c>
      <c r="S161" t="s">
        <v>1541</v>
      </c>
      <c r="T161" t="s">
        <v>3878</v>
      </c>
      <c r="U161" t="s">
        <v>1710</v>
      </c>
      <c r="V161" t="s">
        <v>1741</v>
      </c>
      <c r="W161" t="s">
        <v>1742</v>
      </c>
      <c r="X161" t="s">
        <v>1739</v>
      </c>
    </row>
    <row r="162" spans="1:24" x14ac:dyDescent="0.3">
      <c r="A162" t="s">
        <v>1969</v>
      </c>
      <c r="B162" s="2">
        <v>45918</v>
      </c>
      <c r="C162" t="s">
        <v>89</v>
      </c>
      <c r="D162" t="s">
        <v>1671</v>
      </c>
      <c r="E162" t="s">
        <v>1793</v>
      </c>
      <c r="F162" s="4">
        <v>2</v>
      </c>
      <c r="G162">
        <v>623.38</v>
      </c>
      <c r="H162">
        <v>0.13</v>
      </c>
      <c r="I162" t="s">
        <v>1807</v>
      </c>
      <c r="J162">
        <v>1084.6812</v>
      </c>
      <c r="K162" t="s">
        <v>90</v>
      </c>
      <c r="L162">
        <v>36</v>
      </c>
      <c r="M162" t="s">
        <v>16</v>
      </c>
      <c r="N162" t="s">
        <v>91</v>
      </c>
      <c r="O162" t="s">
        <v>92</v>
      </c>
      <c r="P162" t="s">
        <v>12</v>
      </c>
      <c r="Q162" t="s">
        <v>31</v>
      </c>
      <c r="R162" t="s">
        <v>3903</v>
      </c>
      <c r="S162" t="s">
        <v>1527</v>
      </c>
      <c r="T162" t="s">
        <v>3847</v>
      </c>
      <c r="U162" t="s">
        <v>1672</v>
      </c>
      <c r="V162" t="s">
        <v>1741</v>
      </c>
      <c r="W162" t="s">
        <v>1742</v>
      </c>
      <c r="X162" t="s">
        <v>1739</v>
      </c>
    </row>
    <row r="163" spans="1:24" x14ac:dyDescent="0.3">
      <c r="A163" t="s">
        <v>1970</v>
      </c>
      <c r="B163" s="2">
        <v>45729</v>
      </c>
      <c r="C163" t="s">
        <v>215</v>
      </c>
      <c r="D163" t="s">
        <v>1671</v>
      </c>
      <c r="E163" t="s">
        <v>1735</v>
      </c>
      <c r="F163" s="4">
        <v>1</v>
      </c>
      <c r="G163">
        <v>479.58</v>
      </c>
      <c r="H163">
        <v>0.05</v>
      </c>
      <c r="I163" t="s">
        <v>1809</v>
      </c>
      <c r="J163">
        <v>455.60099999999989</v>
      </c>
      <c r="K163" t="s">
        <v>216</v>
      </c>
      <c r="L163">
        <v>53</v>
      </c>
      <c r="M163" t="s">
        <v>9</v>
      </c>
      <c r="N163" t="s">
        <v>217</v>
      </c>
      <c r="O163" t="s">
        <v>139</v>
      </c>
      <c r="P163" t="s">
        <v>12</v>
      </c>
      <c r="Q163" t="s">
        <v>19</v>
      </c>
      <c r="R163" t="s">
        <v>3903</v>
      </c>
      <c r="S163" t="s">
        <v>1527</v>
      </c>
      <c r="T163" t="s">
        <v>3847</v>
      </c>
      <c r="U163" t="s">
        <v>1672</v>
      </c>
      <c r="V163" t="s">
        <v>1736</v>
      </c>
      <c r="W163" t="s">
        <v>1737</v>
      </c>
      <c r="X163" t="s">
        <v>1739</v>
      </c>
    </row>
    <row r="164" spans="1:24" x14ac:dyDescent="0.3">
      <c r="A164" t="s">
        <v>1971</v>
      </c>
      <c r="B164" s="2">
        <v>45276</v>
      </c>
      <c r="C164" t="s">
        <v>933</v>
      </c>
      <c r="D164" t="s">
        <v>1677</v>
      </c>
      <c r="E164" t="s">
        <v>1759</v>
      </c>
      <c r="F164" s="4">
        <v>3</v>
      </c>
      <c r="G164">
        <v>369.32</v>
      </c>
      <c r="H164">
        <v>0.14000000000000001</v>
      </c>
      <c r="I164" t="s">
        <v>1809</v>
      </c>
      <c r="J164">
        <v>952.84559999999999</v>
      </c>
      <c r="K164" t="s">
        <v>934</v>
      </c>
      <c r="L164">
        <v>48</v>
      </c>
      <c r="M164" t="s">
        <v>16</v>
      </c>
      <c r="N164" t="s">
        <v>935</v>
      </c>
      <c r="O164" t="s">
        <v>429</v>
      </c>
      <c r="P164" t="s">
        <v>12</v>
      </c>
      <c r="Q164" t="s">
        <v>19</v>
      </c>
      <c r="R164" t="s">
        <v>3906</v>
      </c>
      <c r="S164" t="s">
        <v>1549</v>
      </c>
      <c r="T164" t="s">
        <v>3859</v>
      </c>
      <c r="U164" t="s">
        <v>1678</v>
      </c>
      <c r="V164" t="s">
        <v>1760</v>
      </c>
      <c r="W164" t="s">
        <v>1737</v>
      </c>
      <c r="X164" t="s">
        <v>1755</v>
      </c>
    </row>
    <row r="165" spans="1:24" x14ac:dyDescent="0.3">
      <c r="A165" t="s">
        <v>1972</v>
      </c>
      <c r="B165" s="2">
        <v>45851</v>
      </c>
      <c r="C165" t="s">
        <v>275</v>
      </c>
      <c r="D165" t="s">
        <v>1595</v>
      </c>
      <c r="E165" t="s">
        <v>1740</v>
      </c>
      <c r="F165" s="4">
        <v>1</v>
      </c>
      <c r="G165">
        <v>488.31</v>
      </c>
      <c r="H165">
        <v>0.03</v>
      </c>
      <c r="I165" t="s">
        <v>1809</v>
      </c>
      <c r="J165">
        <v>473.66070000000002</v>
      </c>
      <c r="K165" t="s">
        <v>276</v>
      </c>
      <c r="L165">
        <v>29</v>
      </c>
      <c r="M165" t="s">
        <v>9</v>
      </c>
      <c r="N165" t="s">
        <v>277</v>
      </c>
      <c r="O165" t="s">
        <v>96</v>
      </c>
      <c r="P165" t="s">
        <v>12</v>
      </c>
      <c r="Q165" t="s">
        <v>13</v>
      </c>
      <c r="R165" t="s">
        <v>3860</v>
      </c>
      <c r="S165" t="s">
        <v>1541</v>
      </c>
      <c r="T165" t="s">
        <v>3822</v>
      </c>
      <c r="U165" t="s">
        <v>1596</v>
      </c>
      <c r="V165" t="s">
        <v>1741</v>
      </c>
      <c r="W165" t="s">
        <v>1742</v>
      </c>
      <c r="X165" t="s">
        <v>1739</v>
      </c>
    </row>
    <row r="166" spans="1:24" x14ac:dyDescent="0.3">
      <c r="A166" t="s">
        <v>1973</v>
      </c>
      <c r="B166" s="2">
        <v>45418</v>
      </c>
      <c r="C166" t="s">
        <v>870</v>
      </c>
      <c r="D166" t="s">
        <v>1639</v>
      </c>
      <c r="E166" t="s">
        <v>1777</v>
      </c>
      <c r="F166" s="4">
        <v>4</v>
      </c>
      <c r="G166">
        <v>164.04</v>
      </c>
      <c r="H166">
        <v>0.26</v>
      </c>
      <c r="I166" t="s">
        <v>1807</v>
      </c>
      <c r="J166">
        <v>485.55839999999989</v>
      </c>
      <c r="K166" t="s">
        <v>871</v>
      </c>
      <c r="L166">
        <v>22</v>
      </c>
      <c r="M166" t="s">
        <v>16</v>
      </c>
      <c r="N166" t="s">
        <v>872</v>
      </c>
      <c r="O166" t="s">
        <v>181</v>
      </c>
      <c r="P166" t="s">
        <v>12</v>
      </c>
      <c r="Q166" t="s">
        <v>13</v>
      </c>
      <c r="R166" t="s">
        <v>3886</v>
      </c>
      <c r="S166" t="s">
        <v>1549</v>
      </c>
      <c r="T166" t="s">
        <v>3820</v>
      </c>
      <c r="U166" t="s">
        <v>1640</v>
      </c>
      <c r="V166" t="s">
        <v>1741</v>
      </c>
      <c r="W166" t="s">
        <v>1742</v>
      </c>
      <c r="X166" t="s">
        <v>1739</v>
      </c>
    </row>
    <row r="167" spans="1:24" x14ac:dyDescent="0.3">
      <c r="A167" t="s">
        <v>1974</v>
      </c>
      <c r="B167" s="2">
        <v>45508</v>
      </c>
      <c r="C167" t="s">
        <v>265</v>
      </c>
      <c r="D167" t="s">
        <v>1551</v>
      </c>
      <c r="E167" t="s">
        <v>1790</v>
      </c>
      <c r="F167" s="4">
        <v>3</v>
      </c>
      <c r="G167">
        <v>707.95</v>
      </c>
      <c r="H167">
        <v>0.18</v>
      </c>
      <c r="I167" t="s">
        <v>1809</v>
      </c>
      <c r="J167">
        <v>1741.557</v>
      </c>
      <c r="K167" t="s">
        <v>266</v>
      </c>
      <c r="L167">
        <v>58</v>
      </c>
      <c r="M167" t="s">
        <v>9</v>
      </c>
      <c r="N167" t="s">
        <v>267</v>
      </c>
      <c r="O167" t="s">
        <v>43</v>
      </c>
      <c r="P167" t="s">
        <v>12</v>
      </c>
      <c r="Q167" t="s">
        <v>31</v>
      </c>
      <c r="R167" t="s">
        <v>3829</v>
      </c>
      <c r="S167" t="s">
        <v>1527</v>
      </c>
      <c r="T167" t="s">
        <v>3830</v>
      </c>
      <c r="U167" t="s">
        <v>1552</v>
      </c>
      <c r="V167" t="s">
        <v>1741</v>
      </c>
      <c r="W167" t="s">
        <v>1742</v>
      </c>
      <c r="X167" t="s">
        <v>1739</v>
      </c>
    </row>
    <row r="168" spans="1:24" x14ac:dyDescent="0.3">
      <c r="A168" t="s">
        <v>1975</v>
      </c>
      <c r="B168" s="2">
        <v>45269</v>
      </c>
      <c r="C168" t="s">
        <v>925</v>
      </c>
      <c r="D168" t="s">
        <v>1669</v>
      </c>
      <c r="E168" t="s">
        <v>1765</v>
      </c>
      <c r="F168" s="4">
        <v>4</v>
      </c>
      <c r="G168">
        <v>714.47</v>
      </c>
      <c r="H168">
        <v>0.18</v>
      </c>
      <c r="I168" t="s">
        <v>1812</v>
      </c>
      <c r="J168">
        <v>2343.4616000000001</v>
      </c>
      <c r="K168" t="s">
        <v>926</v>
      </c>
      <c r="L168">
        <v>28</v>
      </c>
      <c r="M168" t="s">
        <v>16</v>
      </c>
      <c r="N168" t="s">
        <v>927</v>
      </c>
      <c r="O168" t="s">
        <v>62</v>
      </c>
      <c r="P168" t="s">
        <v>12</v>
      </c>
      <c r="Q168" t="s">
        <v>26</v>
      </c>
      <c r="R168" t="s">
        <v>3902</v>
      </c>
      <c r="S168" t="s">
        <v>1530</v>
      </c>
      <c r="T168" t="s">
        <v>3818</v>
      </c>
      <c r="U168" t="s">
        <v>1670</v>
      </c>
      <c r="V168" t="s">
        <v>1766</v>
      </c>
      <c r="W168" t="s">
        <v>1767</v>
      </c>
      <c r="X168" t="s">
        <v>1755</v>
      </c>
    </row>
    <row r="169" spans="1:24" x14ac:dyDescent="0.3">
      <c r="A169" t="s">
        <v>1976</v>
      </c>
      <c r="B169" s="2">
        <v>45866</v>
      </c>
      <c r="C169" t="s">
        <v>1275</v>
      </c>
      <c r="D169" t="s">
        <v>1689</v>
      </c>
      <c r="E169" t="s">
        <v>1762</v>
      </c>
      <c r="F169" s="4">
        <v>4</v>
      </c>
      <c r="G169">
        <v>422.09</v>
      </c>
      <c r="H169">
        <v>0.04</v>
      </c>
      <c r="I169" t="s">
        <v>1807</v>
      </c>
      <c r="J169">
        <v>1620.8255999999999</v>
      </c>
      <c r="K169" t="s">
        <v>1276</v>
      </c>
      <c r="L169">
        <v>46</v>
      </c>
      <c r="M169" t="s">
        <v>9</v>
      </c>
      <c r="N169" t="s">
        <v>1277</v>
      </c>
      <c r="O169" t="s">
        <v>162</v>
      </c>
      <c r="P169" t="s">
        <v>12</v>
      </c>
      <c r="Q169" t="s">
        <v>31</v>
      </c>
      <c r="R169" t="s">
        <v>3912</v>
      </c>
      <c r="S169" t="s">
        <v>1527</v>
      </c>
      <c r="T169" t="s">
        <v>3824</v>
      </c>
      <c r="U169" t="s">
        <v>1690</v>
      </c>
      <c r="V169" t="s">
        <v>1763</v>
      </c>
      <c r="W169" t="s">
        <v>1746</v>
      </c>
      <c r="X169" t="s">
        <v>1755</v>
      </c>
    </row>
    <row r="170" spans="1:24" x14ac:dyDescent="0.3">
      <c r="A170" t="s">
        <v>1977</v>
      </c>
      <c r="B170" s="2">
        <v>45462</v>
      </c>
      <c r="C170" t="s">
        <v>376</v>
      </c>
      <c r="D170" t="s">
        <v>1591</v>
      </c>
      <c r="E170" t="s">
        <v>1769</v>
      </c>
      <c r="F170" s="4">
        <v>1</v>
      </c>
      <c r="G170">
        <v>998.19</v>
      </c>
      <c r="H170">
        <v>0.2</v>
      </c>
      <c r="I170" t="s">
        <v>1807</v>
      </c>
      <c r="J170">
        <v>798.55200000000013</v>
      </c>
      <c r="K170" t="s">
        <v>377</v>
      </c>
      <c r="L170">
        <v>27</v>
      </c>
      <c r="M170" t="s">
        <v>9</v>
      </c>
      <c r="N170" t="s">
        <v>378</v>
      </c>
      <c r="O170" t="s">
        <v>47</v>
      </c>
      <c r="P170" t="s">
        <v>12</v>
      </c>
      <c r="Q170" t="s">
        <v>26</v>
      </c>
      <c r="R170" t="s">
        <v>3857</v>
      </c>
      <c r="S170" t="s">
        <v>1527</v>
      </c>
      <c r="T170" t="s">
        <v>3830</v>
      </c>
      <c r="U170" t="s">
        <v>1592</v>
      </c>
      <c r="V170" t="s">
        <v>1770</v>
      </c>
      <c r="W170" t="s">
        <v>1746</v>
      </c>
      <c r="X170" t="s">
        <v>1739</v>
      </c>
    </row>
    <row r="171" spans="1:24" x14ac:dyDescent="0.3">
      <c r="A171" t="s">
        <v>1978</v>
      </c>
      <c r="B171" s="2">
        <v>45313</v>
      </c>
      <c r="C171" t="s">
        <v>1153</v>
      </c>
      <c r="D171" t="s">
        <v>1675</v>
      </c>
      <c r="E171" t="s">
        <v>1762</v>
      </c>
      <c r="F171" s="4">
        <v>2</v>
      </c>
      <c r="G171">
        <v>343.42</v>
      </c>
      <c r="H171">
        <v>0.12</v>
      </c>
      <c r="I171" t="s">
        <v>1812</v>
      </c>
      <c r="J171">
        <v>604.41920000000005</v>
      </c>
      <c r="K171" t="s">
        <v>1154</v>
      </c>
      <c r="L171">
        <v>60</v>
      </c>
      <c r="M171" t="s">
        <v>9</v>
      </c>
      <c r="N171" t="s">
        <v>1155</v>
      </c>
      <c r="O171" t="s">
        <v>429</v>
      </c>
      <c r="P171" t="s">
        <v>12</v>
      </c>
      <c r="Q171" t="s">
        <v>13</v>
      </c>
      <c r="R171" t="s">
        <v>3905</v>
      </c>
      <c r="S171" t="s">
        <v>1549</v>
      </c>
      <c r="T171" t="s">
        <v>3828</v>
      </c>
      <c r="U171" t="s">
        <v>1676</v>
      </c>
      <c r="V171" t="s">
        <v>1763</v>
      </c>
      <c r="W171" t="s">
        <v>1746</v>
      </c>
      <c r="X171" t="s">
        <v>1755</v>
      </c>
    </row>
    <row r="172" spans="1:24" x14ac:dyDescent="0.3">
      <c r="A172" t="s">
        <v>1979</v>
      </c>
      <c r="B172" s="2">
        <v>45390</v>
      </c>
      <c r="C172" t="s">
        <v>811</v>
      </c>
      <c r="D172" t="s">
        <v>1599</v>
      </c>
      <c r="E172" t="s">
        <v>1759</v>
      </c>
      <c r="F172" s="4">
        <v>1</v>
      </c>
      <c r="G172">
        <v>152.16999999999999</v>
      </c>
      <c r="H172">
        <v>0.28000000000000003</v>
      </c>
      <c r="I172" t="s">
        <v>1812</v>
      </c>
      <c r="J172">
        <v>109.5624</v>
      </c>
      <c r="K172" t="s">
        <v>812</v>
      </c>
      <c r="L172">
        <v>42</v>
      </c>
      <c r="M172" t="s">
        <v>9</v>
      </c>
      <c r="N172" t="s">
        <v>813</v>
      </c>
      <c r="O172" t="s">
        <v>288</v>
      </c>
      <c r="P172" t="s">
        <v>12</v>
      </c>
      <c r="Q172" t="s">
        <v>19</v>
      </c>
      <c r="R172" t="s">
        <v>3862</v>
      </c>
      <c r="S172" t="s">
        <v>1546</v>
      </c>
      <c r="T172" t="s">
        <v>3811</v>
      </c>
      <c r="U172" t="s">
        <v>1600</v>
      </c>
      <c r="V172" t="s">
        <v>1760</v>
      </c>
      <c r="W172" t="s">
        <v>1737</v>
      </c>
      <c r="X172" t="s">
        <v>1755</v>
      </c>
    </row>
    <row r="173" spans="1:24" x14ac:dyDescent="0.3">
      <c r="A173" t="s">
        <v>1980</v>
      </c>
      <c r="B173" s="2">
        <v>45795</v>
      </c>
      <c r="C173" t="s">
        <v>573</v>
      </c>
      <c r="D173" t="s">
        <v>1629</v>
      </c>
      <c r="E173" t="s">
        <v>1775</v>
      </c>
      <c r="F173" s="4">
        <v>1</v>
      </c>
      <c r="G173">
        <v>325.08</v>
      </c>
      <c r="H173">
        <v>0.26</v>
      </c>
      <c r="I173" t="s">
        <v>1809</v>
      </c>
      <c r="J173">
        <v>240.5592</v>
      </c>
      <c r="K173" t="s">
        <v>574</v>
      </c>
      <c r="L173">
        <v>48</v>
      </c>
      <c r="M173" t="s">
        <v>9</v>
      </c>
      <c r="N173" t="s">
        <v>575</v>
      </c>
      <c r="O173" t="s">
        <v>99</v>
      </c>
      <c r="P173" t="s">
        <v>12</v>
      </c>
      <c r="Q173" t="s">
        <v>19</v>
      </c>
      <c r="R173" t="s">
        <v>3880</v>
      </c>
      <c r="S173" t="s">
        <v>1541</v>
      </c>
      <c r="T173" t="s">
        <v>3881</v>
      </c>
      <c r="U173" t="s">
        <v>1630</v>
      </c>
      <c r="V173" t="s">
        <v>1741</v>
      </c>
      <c r="W173" t="s">
        <v>1742</v>
      </c>
      <c r="X173" t="s">
        <v>1739</v>
      </c>
    </row>
    <row r="174" spans="1:24" x14ac:dyDescent="0.3">
      <c r="A174" t="s">
        <v>1981</v>
      </c>
      <c r="B174" s="2">
        <v>45267</v>
      </c>
      <c r="C174" t="s">
        <v>1069</v>
      </c>
      <c r="D174" t="s">
        <v>1709</v>
      </c>
      <c r="E174" t="s">
        <v>1772</v>
      </c>
      <c r="F174" s="4">
        <v>2</v>
      </c>
      <c r="G174">
        <v>827.92</v>
      </c>
      <c r="H174">
        <v>0.25</v>
      </c>
      <c r="I174" t="s">
        <v>1812</v>
      </c>
      <c r="J174">
        <v>1241.8800000000001</v>
      </c>
      <c r="K174" t="s">
        <v>1070</v>
      </c>
      <c r="L174">
        <v>33</v>
      </c>
      <c r="M174" t="s">
        <v>9</v>
      </c>
      <c r="N174" t="s">
        <v>1071</v>
      </c>
      <c r="O174" t="s">
        <v>230</v>
      </c>
      <c r="P174" t="s">
        <v>12</v>
      </c>
      <c r="Q174" t="s">
        <v>13</v>
      </c>
      <c r="R174" t="s">
        <v>3922</v>
      </c>
      <c r="S174" t="s">
        <v>1541</v>
      </c>
      <c r="T174" t="s">
        <v>3878</v>
      </c>
      <c r="U174" t="s">
        <v>1710</v>
      </c>
      <c r="V174" t="s">
        <v>1741</v>
      </c>
      <c r="W174" t="s">
        <v>1742</v>
      </c>
      <c r="X174" t="s">
        <v>1739</v>
      </c>
    </row>
    <row r="175" spans="1:24" x14ac:dyDescent="0.3">
      <c r="A175" t="s">
        <v>1982</v>
      </c>
      <c r="B175" s="2">
        <v>45314</v>
      </c>
      <c r="C175" t="s">
        <v>1475</v>
      </c>
      <c r="D175" t="s">
        <v>1583</v>
      </c>
      <c r="E175" t="s">
        <v>1744</v>
      </c>
      <c r="F175" s="4">
        <v>2</v>
      </c>
      <c r="G175">
        <v>593.47</v>
      </c>
      <c r="H175">
        <v>0.1</v>
      </c>
      <c r="I175" t="s">
        <v>1812</v>
      </c>
      <c r="J175">
        <v>1068.2460000000001</v>
      </c>
      <c r="K175" t="s">
        <v>1476</v>
      </c>
      <c r="L175">
        <v>22</v>
      </c>
      <c r="M175" t="s">
        <v>16</v>
      </c>
      <c r="N175" t="s">
        <v>1477</v>
      </c>
      <c r="O175" t="s">
        <v>284</v>
      </c>
      <c r="P175" t="s">
        <v>12</v>
      </c>
      <c r="Q175" t="s">
        <v>26</v>
      </c>
      <c r="R175" t="s">
        <v>3853</v>
      </c>
      <c r="S175" t="s">
        <v>1546</v>
      </c>
      <c r="T175" t="s">
        <v>3826</v>
      </c>
      <c r="U175" t="s">
        <v>1584</v>
      </c>
      <c r="V175" t="s">
        <v>1745</v>
      </c>
      <c r="W175" t="s">
        <v>1746</v>
      </c>
      <c r="X175" t="s">
        <v>1748</v>
      </c>
    </row>
    <row r="176" spans="1:24" x14ac:dyDescent="0.3">
      <c r="A176" t="s">
        <v>1983</v>
      </c>
      <c r="B176" s="2">
        <v>45267</v>
      </c>
      <c r="C176" t="s">
        <v>920</v>
      </c>
      <c r="D176" t="s">
        <v>1571</v>
      </c>
      <c r="E176" t="s">
        <v>1762</v>
      </c>
      <c r="F176" s="4">
        <v>4</v>
      </c>
      <c r="G176">
        <v>756.28</v>
      </c>
      <c r="H176">
        <v>0.05</v>
      </c>
      <c r="I176" t="s">
        <v>1812</v>
      </c>
      <c r="J176">
        <v>2873.864</v>
      </c>
      <c r="K176" t="s">
        <v>921</v>
      </c>
      <c r="L176">
        <v>29</v>
      </c>
      <c r="M176" t="s">
        <v>9</v>
      </c>
      <c r="N176" t="s">
        <v>922</v>
      </c>
      <c r="O176" t="s">
        <v>323</v>
      </c>
      <c r="P176" t="s">
        <v>12</v>
      </c>
      <c r="Q176" t="s">
        <v>19</v>
      </c>
      <c r="R176" t="s">
        <v>3845</v>
      </c>
      <c r="S176" t="s">
        <v>1549</v>
      </c>
      <c r="T176" t="s">
        <v>3820</v>
      </c>
      <c r="U176" t="s">
        <v>1572</v>
      </c>
      <c r="V176" t="s">
        <v>1763</v>
      </c>
      <c r="W176" t="s">
        <v>1746</v>
      </c>
      <c r="X176" t="s">
        <v>1755</v>
      </c>
    </row>
    <row r="177" spans="1:24" x14ac:dyDescent="0.3">
      <c r="A177" t="s">
        <v>1984</v>
      </c>
      <c r="B177" s="2">
        <v>45641</v>
      </c>
      <c r="C177" t="s">
        <v>1165</v>
      </c>
      <c r="D177" t="s">
        <v>1715</v>
      </c>
      <c r="E177" t="s">
        <v>1740</v>
      </c>
      <c r="F177" s="4">
        <v>2</v>
      </c>
      <c r="G177">
        <v>707.65</v>
      </c>
      <c r="H177">
        <v>0.14000000000000001</v>
      </c>
      <c r="I177" t="s">
        <v>1807</v>
      </c>
      <c r="J177">
        <v>1217.1579999999999</v>
      </c>
      <c r="K177" t="s">
        <v>1166</v>
      </c>
      <c r="L177">
        <v>44</v>
      </c>
      <c r="M177" t="s">
        <v>16</v>
      </c>
      <c r="N177" t="s">
        <v>1167</v>
      </c>
      <c r="O177" t="s">
        <v>429</v>
      </c>
      <c r="P177" t="s">
        <v>12</v>
      </c>
      <c r="Q177" t="s">
        <v>13</v>
      </c>
      <c r="R177" t="s">
        <v>3925</v>
      </c>
      <c r="S177" t="s">
        <v>1527</v>
      </c>
      <c r="T177" t="s">
        <v>3838</v>
      </c>
      <c r="U177" t="s">
        <v>1716</v>
      </c>
      <c r="V177" t="s">
        <v>1741</v>
      </c>
      <c r="W177" t="s">
        <v>1742</v>
      </c>
      <c r="X177" t="s">
        <v>1739</v>
      </c>
    </row>
    <row r="178" spans="1:24" x14ac:dyDescent="0.3">
      <c r="A178" t="s">
        <v>1985</v>
      </c>
      <c r="B178" s="2">
        <v>45371</v>
      </c>
      <c r="C178" t="s">
        <v>436</v>
      </c>
      <c r="D178" t="s">
        <v>1581</v>
      </c>
      <c r="E178" t="s">
        <v>1784</v>
      </c>
      <c r="F178" s="4">
        <v>1</v>
      </c>
      <c r="G178">
        <v>857.35</v>
      </c>
      <c r="H178">
        <v>0.28000000000000003</v>
      </c>
      <c r="I178" t="s">
        <v>1809</v>
      </c>
      <c r="J178">
        <v>617.29200000000003</v>
      </c>
      <c r="K178" t="s">
        <v>437</v>
      </c>
      <c r="L178">
        <v>43</v>
      </c>
      <c r="M178" t="s">
        <v>16</v>
      </c>
      <c r="N178" t="s">
        <v>438</v>
      </c>
      <c r="O178" t="s">
        <v>288</v>
      </c>
      <c r="P178" t="s">
        <v>12</v>
      </c>
      <c r="Q178" t="s">
        <v>31</v>
      </c>
      <c r="R178" t="s">
        <v>3852</v>
      </c>
      <c r="S178" t="s">
        <v>1530</v>
      </c>
      <c r="T178" t="s">
        <v>3820</v>
      </c>
      <c r="U178" t="s">
        <v>1582</v>
      </c>
      <c r="V178" t="s">
        <v>1741</v>
      </c>
      <c r="W178" t="s">
        <v>1742</v>
      </c>
      <c r="X178" t="s">
        <v>1739</v>
      </c>
    </row>
    <row r="179" spans="1:24" x14ac:dyDescent="0.3">
      <c r="A179" t="s">
        <v>1986</v>
      </c>
      <c r="B179" s="2">
        <v>45670</v>
      </c>
      <c r="C179" t="s">
        <v>1516</v>
      </c>
      <c r="D179" t="s">
        <v>1641</v>
      </c>
      <c r="E179" t="s">
        <v>1765</v>
      </c>
      <c r="F179" s="4">
        <v>1</v>
      </c>
      <c r="G179">
        <v>79</v>
      </c>
      <c r="H179">
        <v>0.04</v>
      </c>
      <c r="I179" t="s">
        <v>1809</v>
      </c>
      <c r="J179">
        <v>75.84</v>
      </c>
      <c r="K179" t="s">
        <v>1517</v>
      </c>
      <c r="L179" s="7">
        <v>27</v>
      </c>
      <c r="M179" s="7" t="s">
        <v>16</v>
      </c>
      <c r="N179" t="s">
        <v>1518</v>
      </c>
      <c r="O179" t="s">
        <v>35</v>
      </c>
      <c r="P179" t="s">
        <v>12</v>
      </c>
      <c r="Q179" t="s">
        <v>19</v>
      </c>
      <c r="R179" t="s">
        <v>3887</v>
      </c>
      <c r="S179" t="s">
        <v>1527</v>
      </c>
      <c r="T179" t="s">
        <v>3836</v>
      </c>
      <c r="U179" t="s">
        <v>1642</v>
      </c>
      <c r="V179" t="s">
        <v>1766</v>
      </c>
      <c r="W179" t="s">
        <v>1767</v>
      </c>
      <c r="X179" t="s">
        <v>1755</v>
      </c>
    </row>
    <row r="180" spans="1:24" x14ac:dyDescent="0.3">
      <c r="A180" t="s">
        <v>1987</v>
      </c>
      <c r="B180" s="2">
        <v>45885</v>
      </c>
      <c r="C180" t="s">
        <v>241</v>
      </c>
      <c r="D180" t="s">
        <v>1719</v>
      </c>
      <c r="E180" t="s">
        <v>1756</v>
      </c>
      <c r="F180" s="4">
        <v>4</v>
      </c>
      <c r="G180">
        <v>638.91</v>
      </c>
      <c r="H180">
        <v>0</v>
      </c>
      <c r="I180" t="s">
        <v>1812</v>
      </c>
      <c r="J180">
        <v>2555.64</v>
      </c>
      <c r="K180" t="s">
        <v>242</v>
      </c>
      <c r="L180">
        <v>58</v>
      </c>
      <c r="M180" t="s">
        <v>9</v>
      </c>
      <c r="N180" t="s">
        <v>243</v>
      </c>
      <c r="O180" t="s">
        <v>47</v>
      </c>
      <c r="P180" t="s">
        <v>12</v>
      </c>
      <c r="Q180" t="s">
        <v>31</v>
      </c>
      <c r="R180" t="s">
        <v>3927</v>
      </c>
      <c r="S180" t="s">
        <v>1541</v>
      </c>
      <c r="T180" t="s">
        <v>3822</v>
      </c>
      <c r="U180" t="s">
        <v>1720</v>
      </c>
      <c r="V180" t="s">
        <v>1757</v>
      </c>
      <c r="W180" t="s">
        <v>1742</v>
      </c>
      <c r="X180" t="s">
        <v>1748</v>
      </c>
    </row>
    <row r="181" spans="1:24" x14ac:dyDescent="0.3">
      <c r="A181" t="s">
        <v>1988</v>
      </c>
      <c r="B181" s="2">
        <v>45812</v>
      </c>
      <c r="C181" t="s">
        <v>292</v>
      </c>
      <c r="D181" t="s">
        <v>1621</v>
      </c>
      <c r="E181" t="s">
        <v>1735</v>
      </c>
      <c r="F181" s="4">
        <v>2</v>
      </c>
      <c r="G181">
        <v>522.16999999999996</v>
      </c>
      <c r="H181">
        <v>0.27</v>
      </c>
      <c r="I181" t="s">
        <v>1807</v>
      </c>
      <c r="J181">
        <v>762.36819999999989</v>
      </c>
      <c r="K181" t="s">
        <v>293</v>
      </c>
      <c r="L181">
        <v>53</v>
      </c>
      <c r="M181" t="s">
        <v>9</v>
      </c>
      <c r="N181" t="s">
        <v>294</v>
      </c>
      <c r="O181" t="s">
        <v>133</v>
      </c>
      <c r="P181" t="s">
        <v>12</v>
      </c>
      <c r="Q181" t="s">
        <v>19</v>
      </c>
      <c r="R181" t="s">
        <v>3875</v>
      </c>
      <c r="S181" t="s">
        <v>1549</v>
      </c>
      <c r="T181" t="s">
        <v>3859</v>
      </c>
      <c r="U181" t="s">
        <v>1622</v>
      </c>
      <c r="V181" t="s">
        <v>1736</v>
      </c>
      <c r="W181" t="s">
        <v>1737</v>
      </c>
      <c r="X181" t="s">
        <v>1739</v>
      </c>
    </row>
    <row r="182" spans="1:24" x14ac:dyDescent="0.3">
      <c r="A182" t="s">
        <v>1989</v>
      </c>
      <c r="B182" s="2">
        <v>45235</v>
      </c>
      <c r="C182" t="s">
        <v>1456</v>
      </c>
      <c r="D182" t="s">
        <v>1609</v>
      </c>
      <c r="E182" t="s">
        <v>1777</v>
      </c>
      <c r="F182" s="4">
        <v>3</v>
      </c>
      <c r="G182">
        <v>954.29</v>
      </c>
      <c r="H182">
        <v>0.27</v>
      </c>
      <c r="I182" t="s">
        <v>1807</v>
      </c>
      <c r="J182">
        <v>2089.8951000000002</v>
      </c>
      <c r="K182" t="s">
        <v>3951</v>
      </c>
      <c r="L182">
        <v>40</v>
      </c>
      <c r="M182" t="s">
        <v>9</v>
      </c>
      <c r="N182" t="s">
        <v>1457</v>
      </c>
      <c r="O182" t="s">
        <v>39</v>
      </c>
      <c r="P182" t="s">
        <v>12</v>
      </c>
      <c r="Q182" t="s">
        <v>13</v>
      </c>
      <c r="R182" t="s">
        <v>3868</v>
      </c>
      <c r="S182" t="s">
        <v>1546</v>
      </c>
      <c r="T182" t="s">
        <v>3869</v>
      </c>
      <c r="U182" t="s">
        <v>1610</v>
      </c>
      <c r="V182" t="s">
        <v>1741</v>
      </c>
      <c r="W182" t="s">
        <v>1742</v>
      </c>
      <c r="X182" t="s">
        <v>1739</v>
      </c>
    </row>
    <row r="183" spans="1:24" x14ac:dyDescent="0.3">
      <c r="A183" t="s">
        <v>1990</v>
      </c>
      <c r="B183" s="2">
        <v>45710</v>
      </c>
      <c r="C183" t="s">
        <v>1409</v>
      </c>
      <c r="D183" t="s">
        <v>1597</v>
      </c>
      <c r="E183" t="s">
        <v>1780</v>
      </c>
      <c r="F183" s="4">
        <v>3</v>
      </c>
      <c r="G183">
        <v>53.92</v>
      </c>
      <c r="H183">
        <v>0.15</v>
      </c>
      <c r="I183" t="s">
        <v>1809</v>
      </c>
      <c r="J183">
        <v>137.49600000000001</v>
      </c>
      <c r="K183" t="s">
        <v>1410</v>
      </c>
      <c r="L183">
        <v>36</v>
      </c>
      <c r="M183" t="s">
        <v>16</v>
      </c>
      <c r="N183" t="s">
        <v>1411</v>
      </c>
      <c r="O183" t="s">
        <v>43</v>
      </c>
      <c r="P183" t="s">
        <v>12</v>
      </c>
      <c r="Q183" t="s">
        <v>31</v>
      </c>
      <c r="R183" t="s">
        <v>3861</v>
      </c>
      <c r="S183" t="s">
        <v>1527</v>
      </c>
      <c r="T183" t="s">
        <v>3836</v>
      </c>
      <c r="U183" t="s">
        <v>1598</v>
      </c>
      <c r="V183" t="s">
        <v>1741</v>
      </c>
      <c r="W183" t="s">
        <v>1742</v>
      </c>
      <c r="X183" t="s">
        <v>1739</v>
      </c>
    </row>
    <row r="184" spans="1:24" x14ac:dyDescent="0.3">
      <c r="A184" t="s">
        <v>1991</v>
      </c>
      <c r="B184" s="2">
        <v>45753</v>
      </c>
      <c r="C184" t="s">
        <v>1222</v>
      </c>
      <c r="D184" t="s">
        <v>1599</v>
      </c>
      <c r="E184" t="s">
        <v>1735</v>
      </c>
      <c r="F184" s="4">
        <v>4</v>
      </c>
      <c r="G184">
        <v>741.88</v>
      </c>
      <c r="H184">
        <v>0.02</v>
      </c>
      <c r="I184" t="s">
        <v>1812</v>
      </c>
      <c r="J184">
        <v>2908.1696000000002</v>
      </c>
      <c r="K184" t="s">
        <v>1223</v>
      </c>
      <c r="L184">
        <v>62</v>
      </c>
      <c r="M184" t="s">
        <v>16</v>
      </c>
      <c r="N184" t="s">
        <v>1224</v>
      </c>
      <c r="O184" t="s">
        <v>58</v>
      </c>
      <c r="P184" t="s">
        <v>12</v>
      </c>
      <c r="Q184" t="s">
        <v>31</v>
      </c>
      <c r="R184" t="s">
        <v>3862</v>
      </c>
      <c r="S184" t="s">
        <v>1546</v>
      </c>
      <c r="T184" t="s">
        <v>3811</v>
      </c>
      <c r="U184" t="s">
        <v>1600</v>
      </c>
      <c r="V184" t="s">
        <v>1736</v>
      </c>
      <c r="W184" t="s">
        <v>1737</v>
      </c>
      <c r="X184" t="s">
        <v>1739</v>
      </c>
    </row>
    <row r="185" spans="1:24" x14ac:dyDescent="0.3">
      <c r="A185" t="s">
        <v>1992</v>
      </c>
      <c r="B185" s="2">
        <v>45594</v>
      </c>
      <c r="C185" t="s">
        <v>134</v>
      </c>
      <c r="D185" t="s">
        <v>1623</v>
      </c>
      <c r="E185" t="s">
        <v>1749</v>
      </c>
      <c r="F185" s="4">
        <v>1</v>
      </c>
      <c r="G185">
        <v>547.09</v>
      </c>
      <c r="H185">
        <v>0.01</v>
      </c>
      <c r="I185" t="s">
        <v>1809</v>
      </c>
      <c r="J185">
        <v>541.6191</v>
      </c>
      <c r="K185" t="s">
        <v>3935</v>
      </c>
      <c r="L185">
        <v>27</v>
      </c>
      <c r="M185" t="s">
        <v>16</v>
      </c>
      <c r="N185" t="s">
        <v>135</v>
      </c>
      <c r="O185" t="s">
        <v>96</v>
      </c>
      <c r="P185" t="s">
        <v>12</v>
      </c>
      <c r="Q185" t="s">
        <v>19</v>
      </c>
      <c r="R185" t="s">
        <v>3876</v>
      </c>
      <c r="S185" t="s">
        <v>1530</v>
      </c>
      <c r="T185" t="s">
        <v>3815</v>
      </c>
      <c r="U185" t="s">
        <v>1624</v>
      </c>
      <c r="V185" t="s">
        <v>1750</v>
      </c>
      <c r="W185" t="s">
        <v>1742</v>
      </c>
      <c r="X185" t="s">
        <v>1748</v>
      </c>
    </row>
    <row r="186" spans="1:24" x14ac:dyDescent="0.3">
      <c r="A186" t="s">
        <v>1993</v>
      </c>
      <c r="B186" s="2">
        <v>45686</v>
      </c>
      <c r="C186" t="s">
        <v>1487</v>
      </c>
      <c r="D186" t="s">
        <v>1709</v>
      </c>
      <c r="E186" t="s">
        <v>1749</v>
      </c>
      <c r="F186" s="4">
        <v>1</v>
      </c>
      <c r="G186">
        <v>789.35</v>
      </c>
      <c r="H186">
        <v>0.14000000000000001</v>
      </c>
      <c r="I186" t="s">
        <v>1809</v>
      </c>
      <c r="J186">
        <v>678.84100000000001</v>
      </c>
      <c r="K186" t="s">
        <v>1488</v>
      </c>
      <c r="L186">
        <v>23</v>
      </c>
      <c r="M186" t="s">
        <v>9</v>
      </c>
      <c r="N186" t="s">
        <v>1489</v>
      </c>
      <c r="O186" t="s">
        <v>251</v>
      </c>
      <c r="P186" t="s">
        <v>12</v>
      </c>
      <c r="Q186" t="s">
        <v>31</v>
      </c>
      <c r="R186" t="s">
        <v>3922</v>
      </c>
      <c r="S186" t="s">
        <v>1541</v>
      </c>
      <c r="T186" t="s">
        <v>3878</v>
      </c>
      <c r="U186" t="s">
        <v>1710</v>
      </c>
      <c r="V186" t="s">
        <v>1750</v>
      </c>
      <c r="W186" t="s">
        <v>1742</v>
      </c>
      <c r="X186" t="s">
        <v>1748</v>
      </c>
    </row>
    <row r="187" spans="1:24" x14ac:dyDescent="0.3">
      <c r="A187" t="s">
        <v>1994</v>
      </c>
      <c r="B187" s="2">
        <v>45354</v>
      </c>
      <c r="C187" t="s">
        <v>1312</v>
      </c>
      <c r="D187" t="s">
        <v>1657</v>
      </c>
      <c r="E187" t="s">
        <v>1749</v>
      </c>
      <c r="F187" s="4">
        <v>3</v>
      </c>
      <c r="G187">
        <v>476.78</v>
      </c>
      <c r="H187">
        <v>0.09</v>
      </c>
      <c r="I187" t="s">
        <v>1812</v>
      </c>
      <c r="J187">
        <v>1301.6094000000001</v>
      </c>
      <c r="K187" t="s">
        <v>1313</v>
      </c>
      <c r="L187">
        <v>43</v>
      </c>
      <c r="M187" t="s">
        <v>9</v>
      </c>
      <c r="N187" t="s">
        <v>1314</v>
      </c>
      <c r="O187" t="s">
        <v>323</v>
      </c>
      <c r="P187" t="s">
        <v>12</v>
      </c>
      <c r="Q187" t="s">
        <v>26</v>
      </c>
      <c r="R187" t="s">
        <v>3895</v>
      </c>
      <c r="S187" t="s">
        <v>1541</v>
      </c>
      <c r="T187" t="s">
        <v>3822</v>
      </c>
      <c r="U187" t="s">
        <v>1658</v>
      </c>
      <c r="V187" t="s">
        <v>1750</v>
      </c>
      <c r="W187" t="s">
        <v>1742</v>
      </c>
      <c r="X187" t="s">
        <v>1748</v>
      </c>
    </row>
    <row r="188" spans="1:24" x14ac:dyDescent="0.3">
      <c r="A188" t="s">
        <v>1995</v>
      </c>
      <c r="B188" s="2">
        <v>45600</v>
      </c>
      <c r="C188" t="s">
        <v>1384</v>
      </c>
      <c r="D188" t="s">
        <v>1689</v>
      </c>
      <c r="E188" t="s">
        <v>1793</v>
      </c>
      <c r="F188" s="4">
        <v>2</v>
      </c>
      <c r="G188">
        <v>504.26</v>
      </c>
      <c r="H188">
        <v>0.04</v>
      </c>
      <c r="I188" t="s">
        <v>1809</v>
      </c>
      <c r="J188">
        <v>968.17919999999992</v>
      </c>
      <c r="K188" t="s">
        <v>1385</v>
      </c>
      <c r="L188">
        <v>60</v>
      </c>
      <c r="M188" t="s">
        <v>9</v>
      </c>
      <c r="N188" t="s">
        <v>1386</v>
      </c>
      <c r="O188" t="s">
        <v>99</v>
      </c>
      <c r="P188" t="s">
        <v>12</v>
      </c>
      <c r="Q188" t="s">
        <v>19</v>
      </c>
      <c r="R188" t="s">
        <v>3912</v>
      </c>
      <c r="S188" t="s">
        <v>1527</v>
      </c>
      <c r="T188" t="s">
        <v>3824</v>
      </c>
      <c r="U188" t="s">
        <v>1690</v>
      </c>
      <c r="V188" t="s">
        <v>1741</v>
      </c>
      <c r="W188" t="s">
        <v>1742</v>
      </c>
      <c r="X188" t="s">
        <v>1739</v>
      </c>
    </row>
    <row r="189" spans="1:24" x14ac:dyDescent="0.3">
      <c r="A189" t="s">
        <v>1996</v>
      </c>
      <c r="B189" s="2">
        <v>45538</v>
      </c>
      <c r="C189" t="s">
        <v>858</v>
      </c>
      <c r="D189" t="s">
        <v>1693</v>
      </c>
      <c r="E189" t="s">
        <v>1759</v>
      </c>
      <c r="F189" s="4">
        <v>2</v>
      </c>
      <c r="G189">
        <v>549.33000000000004</v>
      </c>
      <c r="H189">
        <v>0.01</v>
      </c>
      <c r="I189" t="s">
        <v>1812</v>
      </c>
      <c r="J189">
        <v>1087.6733999999999</v>
      </c>
      <c r="K189" t="s">
        <v>859</v>
      </c>
      <c r="L189">
        <v>23</v>
      </c>
      <c r="M189" t="s">
        <v>9</v>
      </c>
      <c r="N189" t="s">
        <v>860</v>
      </c>
      <c r="O189" t="s">
        <v>30</v>
      </c>
      <c r="P189" t="s">
        <v>12</v>
      </c>
      <c r="Q189" t="s">
        <v>13</v>
      </c>
      <c r="R189" t="s">
        <v>3914</v>
      </c>
      <c r="S189" t="s">
        <v>1549</v>
      </c>
      <c r="T189" t="s">
        <v>3844</v>
      </c>
      <c r="U189" t="s">
        <v>1694</v>
      </c>
      <c r="V189" t="s">
        <v>1760</v>
      </c>
      <c r="W189" t="s">
        <v>1737</v>
      </c>
      <c r="X189" t="s">
        <v>1755</v>
      </c>
    </row>
    <row r="190" spans="1:24" x14ac:dyDescent="0.3">
      <c r="A190" t="s">
        <v>1997</v>
      </c>
      <c r="B190" s="2">
        <v>45411</v>
      </c>
      <c r="C190" t="s">
        <v>1180</v>
      </c>
      <c r="D190" t="s">
        <v>1536</v>
      </c>
      <c r="E190" t="s">
        <v>1749</v>
      </c>
      <c r="F190" s="4">
        <v>3</v>
      </c>
      <c r="G190">
        <v>620.22</v>
      </c>
      <c r="H190">
        <v>0.04</v>
      </c>
      <c r="I190" t="s">
        <v>1807</v>
      </c>
      <c r="J190">
        <v>1786.2336</v>
      </c>
      <c r="K190" t="s">
        <v>1181</v>
      </c>
      <c r="L190">
        <v>27</v>
      </c>
      <c r="M190" t="s">
        <v>16</v>
      </c>
      <c r="N190" t="s">
        <v>1182</v>
      </c>
      <c r="O190" t="s">
        <v>30</v>
      </c>
      <c r="P190" t="s">
        <v>12</v>
      </c>
      <c r="Q190" t="s">
        <v>13</v>
      </c>
      <c r="R190" t="s">
        <v>3868</v>
      </c>
      <c r="S190" t="s">
        <v>1546</v>
      </c>
      <c r="T190" t="s">
        <v>3869</v>
      </c>
      <c r="U190" t="s">
        <v>1610</v>
      </c>
      <c r="V190" t="s">
        <v>1750</v>
      </c>
      <c r="W190" t="s">
        <v>1742</v>
      </c>
      <c r="X190" t="s">
        <v>1748</v>
      </c>
    </row>
    <row r="191" spans="1:24" x14ac:dyDescent="0.3">
      <c r="A191" t="s">
        <v>1998</v>
      </c>
      <c r="B191" s="2">
        <v>45411</v>
      </c>
      <c r="C191" t="s">
        <v>324</v>
      </c>
      <c r="D191" t="s">
        <v>1623</v>
      </c>
      <c r="E191" t="s">
        <v>1749</v>
      </c>
      <c r="F191" s="4">
        <v>1</v>
      </c>
      <c r="G191">
        <v>580.76</v>
      </c>
      <c r="H191">
        <v>0.1</v>
      </c>
      <c r="I191" t="s">
        <v>1812</v>
      </c>
      <c r="J191">
        <v>522.68399999999997</v>
      </c>
      <c r="K191" t="s">
        <v>325</v>
      </c>
      <c r="L191">
        <v>44</v>
      </c>
      <c r="M191" t="s">
        <v>16</v>
      </c>
      <c r="N191" t="s">
        <v>326</v>
      </c>
      <c r="O191" t="s">
        <v>133</v>
      </c>
      <c r="P191" t="s">
        <v>12</v>
      </c>
      <c r="Q191" t="s">
        <v>31</v>
      </c>
      <c r="R191" t="s">
        <v>3876</v>
      </c>
      <c r="S191" t="s">
        <v>1530</v>
      </c>
      <c r="T191" t="s">
        <v>3815</v>
      </c>
      <c r="U191" t="s">
        <v>1624</v>
      </c>
      <c r="V191" t="s">
        <v>1750</v>
      </c>
      <c r="W191" t="s">
        <v>1742</v>
      </c>
      <c r="X191" t="s">
        <v>1748</v>
      </c>
    </row>
    <row r="192" spans="1:24" x14ac:dyDescent="0.3">
      <c r="A192" t="s">
        <v>1999</v>
      </c>
      <c r="B192" s="2">
        <v>45775</v>
      </c>
      <c r="C192" t="s">
        <v>1039</v>
      </c>
      <c r="D192" t="s">
        <v>1673</v>
      </c>
      <c r="E192" t="s">
        <v>1769</v>
      </c>
      <c r="F192" s="4">
        <v>3</v>
      </c>
      <c r="G192">
        <v>444.55</v>
      </c>
      <c r="H192">
        <v>0.14000000000000001</v>
      </c>
      <c r="I192" t="s">
        <v>1809</v>
      </c>
      <c r="J192">
        <v>1146.9390000000001</v>
      </c>
      <c r="K192" t="s">
        <v>1040</v>
      </c>
      <c r="L192">
        <v>37</v>
      </c>
      <c r="M192" t="s">
        <v>9</v>
      </c>
      <c r="N192" t="s">
        <v>1041</v>
      </c>
      <c r="O192" t="s">
        <v>166</v>
      </c>
      <c r="P192" t="s">
        <v>12</v>
      </c>
      <c r="Q192" t="s">
        <v>31</v>
      </c>
      <c r="R192" t="s">
        <v>3904</v>
      </c>
      <c r="S192" t="s">
        <v>1541</v>
      </c>
      <c r="T192" t="s">
        <v>3833</v>
      </c>
      <c r="U192" t="s">
        <v>1674</v>
      </c>
      <c r="V192" t="s">
        <v>1770</v>
      </c>
      <c r="W192" t="s">
        <v>1746</v>
      </c>
      <c r="X192" t="s">
        <v>1739</v>
      </c>
    </row>
    <row r="193" spans="1:24" x14ac:dyDescent="0.3">
      <c r="A193" t="s">
        <v>2000</v>
      </c>
      <c r="B193" s="2">
        <v>45459</v>
      </c>
      <c r="C193" t="s">
        <v>465</v>
      </c>
      <c r="D193" t="s">
        <v>1623</v>
      </c>
      <c r="E193" t="s">
        <v>1793</v>
      </c>
      <c r="F193" s="4">
        <v>1</v>
      </c>
      <c r="G193">
        <v>804.9</v>
      </c>
      <c r="H193">
        <v>0.03</v>
      </c>
      <c r="I193" t="s">
        <v>1809</v>
      </c>
      <c r="J193">
        <v>780.75299999999993</v>
      </c>
      <c r="K193" t="s">
        <v>466</v>
      </c>
      <c r="L193">
        <v>32</v>
      </c>
      <c r="M193" t="s">
        <v>9</v>
      </c>
      <c r="N193" t="s">
        <v>390</v>
      </c>
      <c r="O193" t="s">
        <v>284</v>
      </c>
      <c r="P193" t="s">
        <v>12</v>
      </c>
      <c r="Q193" t="s">
        <v>13</v>
      </c>
      <c r="R193" t="s">
        <v>3876</v>
      </c>
      <c r="S193" t="s">
        <v>1530</v>
      </c>
      <c r="T193" t="s">
        <v>3815</v>
      </c>
      <c r="U193" t="s">
        <v>1624</v>
      </c>
      <c r="V193" t="s">
        <v>1741</v>
      </c>
      <c r="W193" t="s">
        <v>1742</v>
      </c>
      <c r="X193" t="s">
        <v>1739</v>
      </c>
    </row>
    <row r="194" spans="1:24" x14ac:dyDescent="0.3">
      <c r="A194" t="s">
        <v>2001</v>
      </c>
      <c r="B194" s="2">
        <v>45617</v>
      </c>
      <c r="C194" t="s">
        <v>1300</v>
      </c>
      <c r="D194" t="s">
        <v>1715</v>
      </c>
      <c r="E194" t="s">
        <v>1782</v>
      </c>
      <c r="F194" s="4">
        <v>3</v>
      </c>
      <c r="G194">
        <v>361.65</v>
      </c>
      <c r="H194">
        <v>0.15</v>
      </c>
      <c r="I194" t="s">
        <v>1812</v>
      </c>
      <c r="J194">
        <v>922.20749999999987</v>
      </c>
      <c r="K194" t="s">
        <v>1301</v>
      </c>
      <c r="L194">
        <v>40</v>
      </c>
      <c r="M194" t="s">
        <v>9</v>
      </c>
      <c r="N194" t="s">
        <v>1302</v>
      </c>
      <c r="O194" t="s">
        <v>11</v>
      </c>
      <c r="P194" t="s">
        <v>12</v>
      </c>
      <c r="Q194" t="s">
        <v>26</v>
      </c>
      <c r="R194" t="s">
        <v>3925</v>
      </c>
      <c r="S194" t="s">
        <v>1527</v>
      </c>
      <c r="T194" t="s">
        <v>3838</v>
      </c>
      <c r="U194" t="s">
        <v>1716</v>
      </c>
      <c r="V194" t="s">
        <v>1741</v>
      </c>
      <c r="W194" t="s">
        <v>1742</v>
      </c>
      <c r="X194" t="s">
        <v>1739</v>
      </c>
    </row>
    <row r="195" spans="1:24" x14ac:dyDescent="0.3">
      <c r="A195" t="s">
        <v>2002</v>
      </c>
      <c r="B195" s="2">
        <v>45763</v>
      </c>
      <c r="C195" t="s">
        <v>536</v>
      </c>
      <c r="D195" t="s">
        <v>1543</v>
      </c>
      <c r="E195" t="s">
        <v>1752</v>
      </c>
      <c r="F195" s="4">
        <v>1</v>
      </c>
      <c r="G195">
        <v>271.76</v>
      </c>
      <c r="H195">
        <v>0.03</v>
      </c>
      <c r="I195" t="s">
        <v>1807</v>
      </c>
      <c r="J195">
        <v>263.60719999999998</v>
      </c>
      <c r="K195" t="s">
        <v>537</v>
      </c>
      <c r="L195">
        <v>21</v>
      </c>
      <c r="M195" t="s">
        <v>9</v>
      </c>
      <c r="N195" t="s">
        <v>538</v>
      </c>
      <c r="O195" t="s">
        <v>234</v>
      </c>
      <c r="P195" t="s">
        <v>12</v>
      </c>
      <c r="Q195" t="s">
        <v>31</v>
      </c>
      <c r="R195" t="s">
        <v>3902</v>
      </c>
      <c r="S195" t="s">
        <v>1530</v>
      </c>
      <c r="T195" t="s">
        <v>3818</v>
      </c>
      <c r="U195" t="s">
        <v>1670</v>
      </c>
      <c r="V195" t="s">
        <v>1753</v>
      </c>
      <c r="W195" t="s">
        <v>1746</v>
      </c>
      <c r="X195" t="s">
        <v>1755</v>
      </c>
    </row>
    <row r="196" spans="1:24" x14ac:dyDescent="0.3">
      <c r="A196" t="s">
        <v>2003</v>
      </c>
      <c r="B196" s="2">
        <v>45618</v>
      </c>
      <c r="C196" t="s">
        <v>1007</v>
      </c>
      <c r="D196" t="s">
        <v>1629</v>
      </c>
      <c r="E196" t="s">
        <v>1772</v>
      </c>
      <c r="F196" s="4">
        <v>3</v>
      </c>
      <c r="G196">
        <v>958.15</v>
      </c>
      <c r="H196">
        <v>0.24</v>
      </c>
      <c r="I196" t="s">
        <v>1812</v>
      </c>
      <c r="J196">
        <v>2184.5819999999999</v>
      </c>
      <c r="K196" t="s">
        <v>1008</v>
      </c>
      <c r="L196">
        <v>58</v>
      </c>
      <c r="M196" t="s">
        <v>9</v>
      </c>
      <c r="N196" t="s">
        <v>1009</v>
      </c>
      <c r="O196" t="s">
        <v>11</v>
      </c>
      <c r="P196" t="s">
        <v>12</v>
      </c>
      <c r="Q196" t="s">
        <v>19</v>
      </c>
      <c r="R196" t="s">
        <v>3880</v>
      </c>
      <c r="S196" t="s">
        <v>1541</v>
      </c>
      <c r="T196" t="s">
        <v>3881</v>
      </c>
      <c r="U196" t="s">
        <v>1630</v>
      </c>
      <c r="V196" t="s">
        <v>1741</v>
      </c>
      <c r="W196" t="s">
        <v>1742</v>
      </c>
      <c r="X196" t="s">
        <v>1739</v>
      </c>
    </row>
    <row r="197" spans="1:24" x14ac:dyDescent="0.3">
      <c r="A197" t="s">
        <v>2004</v>
      </c>
      <c r="B197" s="2">
        <v>45290</v>
      </c>
      <c r="C197" t="s">
        <v>1309</v>
      </c>
      <c r="D197" t="s">
        <v>1651</v>
      </c>
      <c r="E197" t="s">
        <v>1790</v>
      </c>
      <c r="F197" s="4">
        <v>1</v>
      </c>
      <c r="G197">
        <v>889.19</v>
      </c>
      <c r="H197">
        <v>0.03</v>
      </c>
      <c r="I197" t="s">
        <v>1807</v>
      </c>
      <c r="J197">
        <v>862.51430000000005</v>
      </c>
      <c r="K197" t="s">
        <v>1310</v>
      </c>
      <c r="L197">
        <v>27</v>
      </c>
      <c r="M197" t="s">
        <v>16</v>
      </c>
      <c r="N197" t="s">
        <v>1311</v>
      </c>
      <c r="O197" t="s">
        <v>429</v>
      </c>
      <c r="P197" t="s">
        <v>12</v>
      </c>
      <c r="Q197" t="s">
        <v>13</v>
      </c>
      <c r="R197" t="s">
        <v>3892</v>
      </c>
      <c r="S197" t="s">
        <v>1541</v>
      </c>
      <c r="T197" t="s">
        <v>3881</v>
      </c>
      <c r="U197" t="s">
        <v>1652</v>
      </c>
      <c r="V197" t="s">
        <v>1741</v>
      </c>
      <c r="W197" t="s">
        <v>1742</v>
      </c>
      <c r="X197" t="s">
        <v>1739</v>
      </c>
    </row>
    <row r="198" spans="1:24" x14ac:dyDescent="0.3">
      <c r="A198" t="s">
        <v>2005</v>
      </c>
      <c r="B198" s="2">
        <v>45904</v>
      </c>
      <c r="C198" t="s">
        <v>1415</v>
      </c>
      <c r="D198" t="s">
        <v>1645</v>
      </c>
      <c r="E198" t="s">
        <v>1787</v>
      </c>
      <c r="F198" s="4">
        <v>4</v>
      </c>
      <c r="G198">
        <v>689.67</v>
      </c>
      <c r="H198">
        <v>0.05</v>
      </c>
      <c r="I198" t="s">
        <v>1812</v>
      </c>
      <c r="J198">
        <v>2620.7460000000001</v>
      </c>
      <c r="K198" t="s">
        <v>1416</v>
      </c>
      <c r="L198">
        <v>28</v>
      </c>
      <c r="M198" t="s">
        <v>16</v>
      </c>
      <c r="N198" t="s">
        <v>1417</v>
      </c>
      <c r="O198" t="s">
        <v>74</v>
      </c>
      <c r="P198" t="s">
        <v>12</v>
      </c>
      <c r="Q198" t="s">
        <v>19</v>
      </c>
      <c r="R198" t="s">
        <v>3889</v>
      </c>
      <c r="S198" t="s">
        <v>1549</v>
      </c>
      <c r="T198" t="s">
        <v>3828</v>
      </c>
      <c r="U198" t="s">
        <v>1646</v>
      </c>
      <c r="V198" t="s">
        <v>1741</v>
      </c>
      <c r="W198" t="s">
        <v>1742</v>
      </c>
      <c r="X198" t="s">
        <v>1739</v>
      </c>
    </row>
    <row r="199" spans="1:24" x14ac:dyDescent="0.3">
      <c r="A199" t="s">
        <v>2006</v>
      </c>
      <c r="B199" s="2">
        <v>45227</v>
      </c>
      <c r="C199" t="s">
        <v>456</v>
      </c>
      <c r="D199" t="s">
        <v>1619</v>
      </c>
      <c r="E199" t="s">
        <v>1775</v>
      </c>
      <c r="F199" s="4">
        <v>1</v>
      </c>
      <c r="G199">
        <v>541.24</v>
      </c>
      <c r="H199">
        <v>0.03</v>
      </c>
      <c r="I199" t="s">
        <v>1809</v>
      </c>
      <c r="J199">
        <v>525.00279999999998</v>
      </c>
      <c r="K199" t="s">
        <v>457</v>
      </c>
      <c r="L199">
        <v>29</v>
      </c>
      <c r="M199" t="s">
        <v>9</v>
      </c>
      <c r="N199" t="s">
        <v>458</v>
      </c>
      <c r="O199" t="s">
        <v>155</v>
      </c>
      <c r="P199" t="s">
        <v>12</v>
      </c>
      <c r="Q199" t="s">
        <v>19</v>
      </c>
      <c r="R199" t="s">
        <v>3874</v>
      </c>
      <c r="S199" t="s">
        <v>1549</v>
      </c>
      <c r="T199" t="s">
        <v>3828</v>
      </c>
      <c r="U199" t="s">
        <v>1620</v>
      </c>
      <c r="V199" t="s">
        <v>1741</v>
      </c>
      <c r="W199" t="s">
        <v>1742</v>
      </c>
      <c r="X199" t="s">
        <v>1739</v>
      </c>
    </row>
    <row r="200" spans="1:24" x14ac:dyDescent="0.3">
      <c r="A200" t="s">
        <v>2007</v>
      </c>
      <c r="B200" s="2">
        <v>45600</v>
      </c>
      <c r="C200" t="s">
        <v>1370</v>
      </c>
      <c r="D200" t="s">
        <v>1693</v>
      </c>
      <c r="E200" t="s">
        <v>1759</v>
      </c>
      <c r="F200" s="4">
        <v>1</v>
      </c>
      <c r="G200">
        <v>454.71</v>
      </c>
      <c r="H200">
        <v>0.16</v>
      </c>
      <c r="I200" t="s">
        <v>1809</v>
      </c>
      <c r="J200">
        <v>381.95639999999997</v>
      </c>
      <c r="K200" t="s">
        <v>1371</v>
      </c>
      <c r="L200">
        <v>29</v>
      </c>
      <c r="M200" t="s">
        <v>9</v>
      </c>
      <c r="N200" t="s">
        <v>1372</v>
      </c>
      <c r="O200" t="s">
        <v>838</v>
      </c>
      <c r="P200" t="s">
        <v>12</v>
      </c>
      <c r="Q200" t="s">
        <v>26</v>
      </c>
      <c r="R200" t="s">
        <v>3914</v>
      </c>
      <c r="S200" t="s">
        <v>1549</v>
      </c>
      <c r="T200" t="s">
        <v>3844</v>
      </c>
      <c r="U200" t="s">
        <v>1694</v>
      </c>
      <c r="V200" t="s">
        <v>1760</v>
      </c>
      <c r="W200" t="s">
        <v>1737</v>
      </c>
      <c r="X200" t="s">
        <v>1755</v>
      </c>
    </row>
    <row r="201" spans="1:24" x14ac:dyDescent="0.3">
      <c r="A201" t="s">
        <v>2008</v>
      </c>
      <c r="B201" s="2">
        <v>45646</v>
      </c>
      <c r="C201" t="s">
        <v>149</v>
      </c>
      <c r="D201" t="s">
        <v>1663</v>
      </c>
      <c r="E201" t="s">
        <v>1756</v>
      </c>
      <c r="F201" s="4">
        <v>2</v>
      </c>
      <c r="G201">
        <v>397.63</v>
      </c>
      <c r="H201">
        <v>0.26</v>
      </c>
      <c r="I201" t="s">
        <v>1807</v>
      </c>
      <c r="J201">
        <v>588.49239999999998</v>
      </c>
      <c r="K201" t="s">
        <v>150</v>
      </c>
      <c r="L201">
        <v>55</v>
      </c>
      <c r="M201" t="s">
        <v>16</v>
      </c>
      <c r="N201" t="s">
        <v>151</v>
      </c>
      <c r="O201" t="s">
        <v>18</v>
      </c>
      <c r="P201" t="s">
        <v>12</v>
      </c>
      <c r="Q201" t="s">
        <v>26</v>
      </c>
      <c r="R201" t="s">
        <v>3898</v>
      </c>
      <c r="S201" t="s">
        <v>1541</v>
      </c>
      <c r="T201" t="s">
        <v>3833</v>
      </c>
      <c r="U201" t="s">
        <v>1664</v>
      </c>
      <c r="V201" t="s">
        <v>1757</v>
      </c>
      <c r="W201" t="s">
        <v>1742</v>
      </c>
      <c r="X201" t="s">
        <v>1748</v>
      </c>
    </row>
    <row r="202" spans="1:24" x14ac:dyDescent="0.3">
      <c r="A202" t="s">
        <v>2009</v>
      </c>
      <c r="B202" s="2">
        <v>45725</v>
      </c>
      <c r="C202" t="s">
        <v>560</v>
      </c>
      <c r="D202" t="s">
        <v>1697</v>
      </c>
      <c r="E202" t="s">
        <v>1759</v>
      </c>
      <c r="F202" s="4">
        <v>3</v>
      </c>
      <c r="G202">
        <v>748.56</v>
      </c>
      <c r="H202">
        <v>0.26</v>
      </c>
      <c r="I202" t="s">
        <v>1809</v>
      </c>
      <c r="J202">
        <v>1661.8032000000001</v>
      </c>
      <c r="K202" t="s">
        <v>3940</v>
      </c>
      <c r="L202">
        <v>44</v>
      </c>
      <c r="M202" t="s">
        <v>16</v>
      </c>
      <c r="N202" t="s">
        <v>561</v>
      </c>
      <c r="O202" t="s">
        <v>113</v>
      </c>
      <c r="P202" t="s">
        <v>12</v>
      </c>
      <c r="Q202" t="s">
        <v>13</v>
      </c>
      <c r="R202" t="s">
        <v>3916</v>
      </c>
      <c r="S202" t="s">
        <v>1541</v>
      </c>
      <c r="T202" t="s">
        <v>3822</v>
      </c>
      <c r="U202" t="s">
        <v>1698</v>
      </c>
      <c r="V202" t="s">
        <v>1760</v>
      </c>
      <c r="W202" t="s">
        <v>1737</v>
      </c>
      <c r="X202" t="s">
        <v>1755</v>
      </c>
    </row>
    <row r="203" spans="1:24" x14ac:dyDescent="0.3">
      <c r="A203" t="s">
        <v>2010</v>
      </c>
      <c r="B203" s="2">
        <v>45742</v>
      </c>
      <c r="C203" t="s">
        <v>482</v>
      </c>
      <c r="D203" t="s">
        <v>1597</v>
      </c>
      <c r="E203" t="s">
        <v>1752</v>
      </c>
      <c r="F203" s="4">
        <v>1</v>
      </c>
      <c r="G203">
        <v>885.72</v>
      </c>
      <c r="H203">
        <v>0.15</v>
      </c>
      <c r="I203" t="s">
        <v>1807</v>
      </c>
      <c r="J203">
        <v>752.86199999999997</v>
      </c>
      <c r="K203" t="s">
        <v>483</v>
      </c>
      <c r="L203">
        <v>46</v>
      </c>
      <c r="M203" t="s">
        <v>9</v>
      </c>
      <c r="N203" t="s">
        <v>484</v>
      </c>
      <c r="O203" t="s">
        <v>181</v>
      </c>
      <c r="P203" t="s">
        <v>12</v>
      </c>
      <c r="Q203" t="s">
        <v>26</v>
      </c>
      <c r="R203" t="s">
        <v>3861</v>
      </c>
      <c r="S203" t="s">
        <v>1527</v>
      </c>
      <c r="T203" t="s">
        <v>3836</v>
      </c>
      <c r="U203" t="s">
        <v>1598</v>
      </c>
      <c r="V203" t="s">
        <v>1753</v>
      </c>
      <c r="W203" t="s">
        <v>1746</v>
      </c>
      <c r="X203" t="s">
        <v>1755</v>
      </c>
    </row>
    <row r="204" spans="1:24" x14ac:dyDescent="0.3">
      <c r="A204" t="s">
        <v>2011</v>
      </c>
      <c r="B204" s="2">
        <v>45750</v>
      </c>
      <c r="C204" t="s">
        <v>376</v>
      </c>
      <c r="D204" t="s">
        <v>1655</v>
      </c>
      <c r="E204" t="s">
        <v>1740</v>
      </c>
      <c r="F204" s="4">
        <v>4</v>
      </c>
      <c r="G204">
        <v>408.07</v>
      </c>
      <c r="H204">
        <v>0.28000000000000003</v>
      </c>
      <c r="I204" t="s">
        <v>1812</v>
      </c>
      <c r="J204">
        <v>1175.2416000000001</v>
      </c>
      <c r="K204" t="s">
        <v>377</v>
      </c>
      <c r="L204">
        <v>27</v>
      </c>
      <c r="M204" t="s">
        <v>9</v>
      </c>
      <c r="N204" t="s">
        <v>378</v>
      </c>
      <c r="O204" t="s">
        <v>47</v>
      </c>
      <c r="P204" t="s">
        <v>12</v>
      </c>
      <c r="Q204" t="s">
        <v>26</v>
      </c>
      <c r="R204" t="s">
        <v>3894</v>
      </c>
      <c r="S204" t="s">
        <v>1546</v>
      </c>
      <c r="T204" t="s">
        <v>3811</v>
      </c>
      <c r="U204" t="s">
        <v>1656</v>
      </c>
      <c r="V204" t="s">
        <v>1741</v>
      </c>
      <c r="W204" t="s">
        <v>1742</v>
      </c>
      <c r="X204" t="s">
        <v>1739</v>
      </c>
    </row>
    <row r="205" spans="1:24" x14ac:dyDescent="0.3">
      <c r="A205" t="s">
        <v>2012</v>
      </c>
      <c r="B205" s="2">
        <v>45327</v>
      </c>
      <c r="C205" t="s">
        <v>1439</v>
      </c>
      <c r="D205" t="s">
        <v>1599</v>
      </c>
      <c r="E205" t="s">
        <v>1769</v>
      </c>
      <c r="F205" s="4">
        <v>2</v>
      </c>
      <c r="G205">
        <v>597.07000000000005</v>
      </c>
      <c r="H205">
        <v>0.28000000000000003</v>
      </c>
      <c r="I205" t="s">
        <v>1809</v>
      </c>
      <c r="J205">
        <v>859.7808</v>
      </c>
      <c r="K205" t="s">
        <v>1440</v>
      </c>
      <c r="L205">
        <v>53</v>
      </c>
      <c r="M205" t="s">
        <v>9</v>
      </c>
      <c r="N205" t="s">
        <v>1441</v>
      </c>
      <c r="O205" t="s">
        <v>709</v>
      </c>
      <c r="P205" t="s">
        <v>12</v>
      </c>
      <c r="Q205" t="s">
        <v>31</v>
      </c>
      <c r="R205" t="s">
        <v>3862</v>
      </c>
      <c r="S205" t="s">
        <v>1546</v>
      </c>
      <c r="T205" t="s">
        <v>3811</v>
      </c>
      <c r="U205" t="s">
        <v>1600</v>
      </c>
      <c r="V205" t="s">
        <v>1770</v>
      </c>
      <c r="W205" t="s">
        <v>1746</v>
      </c>
      <c r="X205" t="s">
        <v>1739</v>
      </c>
    </row>
    <row r="206" spans="1:24" x14ac:dyDescent="0.3">
      <c r="A206" t="s">
        <v>2013</v>
      </c>
      <c r="B206" s="2">
        <v>45465</v>
      </c>
      <c r="C206" t="s">
        <v>97</v>
      </c>
      <c r="D206" t="s">
        <v>1665</v>
      </c>
      <c r="E206" t="s">
        <v>1769</v>
      </c>
      <c r="F206" s="4">
        <v>3</v>
      </c>
      <c r="G206">
        <v>723.47</v>
      </c>
      <c r="H206">
        <v>0.12</v>
      </c>
      <c r="I206" t="s">
        <v>1812</v>
      </c>
      <c r="J206">
        <v>1909.9608000000001</v>
      </c>
      <c r="K206" t="s">
        <v>3953</v>
      </c>
      <c r="L206">
        <v>52</v>
      </c>
      <c r="M206" t="s">
        <v>16</v>
      </c>
      <c r="N206" t="s">
        <v>98</v>
      </c>
      <c r="O206" t="s">
        <v>99</v>
      </c>
      <c r="P206" t="s">
        <v>12</v>
      </c>
      <c r="Q206" t="s">
        <v>31</v>
      </c>
      <c r="R206" t="s">
        <v>3899</v>
      </c>
      <c r="S206" t="s">
        <v>1546</v>
      </c>
      <c r="T206" t="s">
        <v>3820</v>
      </c>
      <c r="U206" t="s">
        <v>1666</v>
      </c>
      <c r="V206" t="s">
        <v>1770</v>
      </c>
      <c r="W206" t="s">
        <v>1746</v>
      </c>
      <c r="X206" t="s">
        <v>1739</v>
      </c>
    </row>
    <row r="207" spans="1:24" x14ac:dyDescent="0.3">
      <c r="A207" t="s">
        <v>2014</v>
      </c>
      <c r="B207" s="2">
        <v>45883</v>
      </c>
      <c r="C207" t="s">
        <v>1339</v>
      </c>
      <c r="D207" t="s">
        <v>1707</v>
      </c>
      <c r="E207" t="s">
        <v>1756</v>
      </c>
      <c r="F207" s="4">
        <v>1</v>
      </c>
      <c r="G207">
        <v>479.93</v>
      </c>
      <c r="H207">
        <v>0.22</v>
      </c>
      <c r="I207" t="s">
        <v>1807</v>
      </c>
      <c r="J207">
        <v>374.34539999999998</v>
      </c>
      <c r="K207" t="s">
        <v>1340</v>
      </c>
      <c r="L207">
        <v>59</v>
      </c>
      <c r="M207" t="s">
        <v>16</v>
      </c>
      <c r="N207" t="s">
        <v>591</v>
      </c>
      <c r="O207" t="s">
        <v>47</v>
      </c>
      <c r="P207" t="s">
        <v>12</v>
      </c>
      <c r="Q207" t="s">
        <v>19</v>
      </c>
      <c r="R207" t="s">
        <v>3921</v>
      </c>
      <c r="S207" t="s">
        <v>1549</v>
      </c>
      <c r="T207" t="s">
        <v>3820</v>
      </c>
      <c r="U207" t="s">
        <v>1708</v>
      </c>
      <c r="V207" t="s">
        <v>1757</v>
      </c>
      <c r="W207" t="s">
        <v>1742</v>
      </c>
      <c r="X207" t="s">
        <v>1748</v>
      </c>
    </row>
    <row r="208" spans="1:24" x14ac:dyDescent="0.3">
      <c r="A208" t="s">
        <v>2015</v>
      </c>
      <c r="B208" s="2">
        <v>45445</v>
      </c>
      <c r="C208" t="s">
        <v>773</v>
      </c>
      <c r="D208" t="s">
        <v>1599</v>
      </c>
      <c r="E208" t="s">
        <v>1787</v>
      </c>
      <c r="F208" s="4">
        <v>4</v>
      </c>
      <c r="G208">
        <v>362.81</v>
      </c>
      <c r="H208">
        <v>0.21</v>
      </c>
      <c r="I208" t="s">
        <v>1812</v>
      </c>
      <c r="J208">
        <v>1146.4795999999999</v>
      </c>
      <c r="K208" t="s">
        <v>774</v>
      </c>
      <c r="L208">
        <v>19</v>
      </c>
      <c r="M208" t="s">
        <v>9</v>
      </c>
      <c r="N208" t="s">
        <v>775</v>
      </c>
      <c r="O208" t="s">
        <v>354</v>
      </c>
      <c r="P208" t="s">
        <v>12</v>
      </c>
      <c r="Q208" t="s">
        <v>13</v>
      </c>
      <c r="R208" t="s">
        <v>3862</v>
      </c>
      <c r="S208" t="s">
        <v>1546</v>
      </c>
      <c r="T208" t="s">
        <v>3811</v>
      </c>
      <c r="U208" t="s">
        <v>1600</v>
      </c>
      <c r="V208" t="s">
        <v>1741</v>
      </c>
      <c r="W208" t="s">
        <v>1742</v>
      </c>
      <c r="X208" t="s">
        <v>1739</v>
      </c>
    </row>
    <row r="209" spans="1:24" x14ac:dyDescent="0.3">
      <c r="A209" t="s">
        <v>2016</v>
      </c>
      <c r="B209" s="2">
        <v>45640</v>
      </c>
      <c r="C209" t="s">
        <v>604</v>
      </c>
      <c r="D209" t="s">
        <v>1689</v>
      </c>
      <c r="E209" t="s">
        <v>1749</v>
      </c>
      <c r="F209" s="4">
        <v>1</v>
      </c>
      <c r="G209">
        <v>127.11</v>
      </c>
      <c r="H209">
        <v>0.01</v>
      </c>
      <c r="I209" t="s">
        <v>1809</v>
      </c>
      <c r="J209">
        <v>125.8389</v>
      </c>
      <c r="K209" t="s">
        <v>605</v>
      </c>
      <c r="L209">
        <v>53</v>
      </c>
      <c r="M209" t="s">
        <v>9</v>
      </c>
      <c r="N209" t="s">
        <v>606</v>
      </c>
      <c r="O209" t="s">
        <v>88</v>
      </c>
      <c r="P209" t="s">
        <v>12</v>
      </c>
      <c r="Q209" t="s">
        <v>19</v>
      </c>
      <c r="R209" t="s">
        <v>3912</v>
      </c>
      <c r="S209" t="s">
        <v>1527</v>
      </c>
      <c r="T209" t="s">
        <v>3824</v>
      </c>
      <c r="U209" t="s">
        <v>1690</v>
      </c>
      <c r="V209" t="s">
        <v>1750</v>
      </c>
      <c r="W209" t="s">
        <v>1742</v>
      </c>
      <c r="X209" t="s">
        <v>1748</v>
      </c>
    </row>
    <row r="210" spans="1:24" x14ac:dyDescent="0.3">
      <c r="A210" t="s">
        <v>2017</v>
      </c>
      <c r="B210" s="2">
        <v>45411</v>
      </c>
      <c r="C210" t="s">
        <v>601</v>
      </c>
      <c r="D210" t="s">
        <v>1599</v>
      </c>
      <c r="E210" t="s">
        <v>1790</v>
      </c>
      <c r="F210" s="4">
        <v>4</v>
      </c>
      <c r="G210">
        <v>931.26</v>
      </c>
      <c r="H210">
        <v>0.04</v>
      </c>
      <c r="I210" t="s">
        <v>1807</v>
      </c>
      <c r="J210">
        <v>3576.0383999999999</v>
      </c>
      <c r="K210" t="s">
        <v>602</v>
      </c>
      <c r="L210">
        <v>54</v>
      </c>
      <c r="M210" t="s">
        <v>16</v>
      </c>
      <c r="N210" t="s">
        <v>603</v>
      </c>
      <c r="O210" t="s">
        <v>18</v>
      </c>
      <c r="P210" t="s">
        <v>12</v>
      </c>
      <c r="Q210" t="s">
        <v>31</v>
      </c>
      <c r="R210" t="s">
        <v>3862</v>
      </c>
      <c r="S210" t="s">
        <v>1546</v>
      </c>
      <c r="T210" t="s">
        <v>3811</v>
      </c>
      <c r="U210" t="s">
        <v>1600</v>
      </c>
      <c r="V210" t="s">
        <v>1741</v>
      </c>
      <c r="W210" t="s">
        <v>1742</v>
      </c>
      <c r="X210" t="s">
        <v>1739</v>
      </c>
    </row>
    <row r="211" spans="1:24" x14ac:dyDescent="0.3">
      <c r="A211" t="s">
        <v>2018</v>
      </c>
      <c r="B211" s="2">
        <v>45224</v>
      </c>
      <c r="C211" t="s">
        <v>1147</v>
      </c>
      <c r="D211" t="s">
        <v>1665</v>
      </c>
      <c r="E211" t="s">
        <v>1765</v>
      </c>
      <c r="F211" s="4">
        <v>1</v>
      </c>
      <c r="G211">
        <v>620.80999999999995</v>
      </c>
      <c r="H211">
        <v>0.04</v>
      </c>
      <c r="I211" t="s">
        <v>1809</v>
      </c>
      <c r="J211">
        <v>595.97759999999994</v>
      </c>
      <c r="K211" t="s">
        <v>1148</v>
      </c>
      <c r="L211">
        <v>28</v>
      </c>
      <c r="M211" t="s">
        <v>9</v>
      </c>
      <c r="N211" t="s">
        <v>1149</v>
      </c>
      <c r="O211" t="s">
        <v>47</v>
      </c>
      <c r="P211" t="s">
        <v>12</v>
      </c>
      <c r="Q211" t="s">
        <v>19</v>
      </c>
      <c r="R211" t="s">
        <v>3899</v>
      </c>
      <c r="S211" t="s">
        <v>1546</v>
      </c>
      <c r="T211" t="s">
        <v>3820</v>
      </c>
      <c r="U211" t="s">
        <v>1666</v>
      </c>
      <c r="V211" t="s">
        <v>1766</v>
      </c>
      <c r="W211" t="s">
        <v>1767</v>
      </c>
      <c r="X211" t="s">
        <v>1755</v>
      </c>
    </row>
    <row r="212" spans="1:24" x14ac:dyDescent="0.3">
      <c r="A212" t="s">
        <v>2019</v>
      </c>
      <c r="B212" s="2">
        <v>45497</v>
      </c>
      <c r="C212" t="s">
        <v>333</v>
      </c>
      <c r="D212" t="s">
        <v>1631</v>
      </c>
      <c r="E212" t="s">
        <v>1744</v>
      </c>
      <c r="F212" s="4">
        <v>1</v>
      </c>
      <c r="G212">
        <v>823.26</v>
      </c>
      <c r="H212">
        <v>0.27</v>
      </c>
      <c r="I212" t="s">
        <v>1812</v>
      </c>
      <c r="J212">
        <v>600.97979999999995</v>
      </c>
      <c r="K212" t="s">
        <v>334</v>
      </c>
      <c r="L212">
        <v>62</v>
      </c>
      <c r="M212" t="s">
        <v>16</v>
      </c>
      <c r="N212" t="s">
        <v>335</v>
      </c>
      <c r="O212" t="s">
        <v>181</v>
      </c>
      <c r="P212" t="s">
        <v>12</v>
      </c>
      <c r="Q212" t="s">
        <v>13</v>
      </c>
      <c r="R212" t="s">
        <v>3882</v>
      </c>
      <c r="S212" t="s">
        <v>1549</v>
      </c>
      <c r="T212" t="s">
        <v>3828</v>
      </c>
      <c r="U212" t="s">
        <v>1632</v>
      </c>
      <c r="V212" t="s">
        <v>1745</v>
      </c>
      <c r="W212" t="s">
        <v>1746</v>
      </c>
      <c r="X212" t="s">
        <v>1748</v>
      </c>
    </row>
    <row r="213" spans="1:24" x14ac:dyDescent="0.3">
      <c r="A213" t="s">
        <v>2020</v>
      </c>
      <c r="B213" s="2">
        <v>45807</v>
      </c>
      <c r="C213" t="s">
        <v>59</v>
      </c>
      <c r="D213" t="s">
        <v>1585</v>
      </c>
      <c r="E213" t="s">
        <v>1765</v>
      </c>
      <c r="F213" s="4">
        <v>3</v>
      </c>
      <c r="G213">
        <v>681.01</v>
      </c>
      <c r="H213">
        <v>0.27</v>
      </c>
      <c r="I213" t="s">
        <v>1812</v>
      </c>
      <c r="J213">
        <v>1491.4119000000001</v>
      </c>
      <c r="K213" t="s">
        <v>60</v>
      </c>
      <c r="L213">
        <v>32</v>
      </c>
      <c r="M213" t="s">
        <v>16</v>
      </c>
      <c r="N213" t="s">
        <v>61</v>
      </c>
      <c r="O213" t="s">
        <v>62</v>
      </c>
      <c r="P213" t="s">
        <v>12</v>
      </c>
      <c r="Q213" t="s">
        <v>19</v>
      </c>
      <c r="R213" t="s">
        <v>3854</v>
      </c>
      <c r="S213" t="s">
        <v>1527</v>
      </c>
      <c r="T213" t="s">
        <v>3836</v>
      </c>
      <c r="U213" t="s">
        <v>1586</v>
      </c>
      <c r="V213" t="s">
        <v>1766</v>
      </c>
      <c r="W213" t="s">
        <v>1767</v>
      </c>
      <c r="X213" t="s">
        <v>1755</v>
      </c>
    </row>
    <row r="214" spans="1:24" x14ac:dyDescent="0.3">
      <c r="A214" t="s">
        <v>2021</v>
      </c>
      <c r="B214" s="2">
        <v>45942</v>
      </c>
      <c r="C214" t="s">
        <v>1352</v>
      </c>
      <c r="D214" t="s">
        <v>1643</v>
      </c>
      <c r="E214" t="s">
        <v>1796</v>
      </c>
      <c r="F214" s="4">
        <v>4</v>
      </c>
      <c r="G214">
        <v>119.83</v>
      </c>
      <c r="H214">
        <v>0.13</v>
      </c>
      <c r="I214" t="s">
        <v>1807</v>
      </c>
      <c r="J214">
        <v>417.00839999999999</v>
      </c>
      <c r="K214" t="s">
        <v>1353</v>
      </c>
      <c r="L214">
        <v>51</v>
      </c>
      <c r="M214" t="s">
        <v>9</v>
      </c>
      <c r="N214" t="s">
        <v>1354</v>
      </c>
      <c r="O214" t="s">
        <v>35</v>
      </c>
      <c r="P214" t="s">
        <v>12</v>
      </c>
      <c r="Q214" t="s">
        <v>26</v>
      </c>
      <c r="R214" t="s">
        <v>3888</v>
      </c>
      <c r="S214" t="s">
        <v>1527</v>
      </c>
      <c r="T214" t="s">
        <v>3836</v>
      </c>
      <c r="U214" t="s">
        <v>1644</v>
      </c>
      <c r="V214" t="s">
        <v>1741</v>
      </c>
      <c r="W214" t="s">
        <v>1742</v>
      </c>
      <c r="X214" t="s">
        <v>1739</v>
      </c>
    </row>
    <row r="215" spans="1:24" x14ac:dyDescent="0.3">
      <c r="A215" t="s">
        <v>2022</v>
      </c>
      <c r="B215" s="2">
        <v>45314</v>
      </c>
      <c r="C215" t="s">
        <v>959</v>
      </c>
      <c r="D215" t="s">
        <v>1687</v>
      </c>
      <c r="E215" t="s">
        <v>1744</v>
      </c>
      <c r="F215" s="4">
        <v>1</v>
      </c>
      <c r="G215">
        <v>575.66</v>
      </c>
      <c r="H215">
        <v>0.03</v>
      </c>
      <c r="I215" t="s">
        <v>1809</v>
      </c>
      <c r="J215">
        <v>558.39019999999994</v>
      </c>
      <c r="K215" t="s">
        <v>960</v>
      </c>
      <c r="L215">
        <v>60</v>
      </c>
      <c r="M215" t="s">
        <v>16</v>
      </c>
      <c r="N215" t="s">
        <v>961</v>
      </c>
      <c r="O215" t="s">
        <v>22</v>
      </c>
      <c r="P215" t="s">
        <v>12</v>
      </c>
      <c r="Q215" t="s">
        <v>26</v>
      </c>
      <c r="R215" t="s">
        <v>3911</v>
      </c>
      <c r="S215" t="s">
        <v>1527</v>
      </c>
      <c r="T215" t="s">
        <v>3836</v>
      </c>
      <c r="U215" t="s">
        <v>1688</v>
      </c>
      <c r="V215" t="s">
        <v>1745</v>
      </c>
      <c r="W215" t="s">
        <v>1746</v>
      </c>
      <c r="X215" t="s">
        <v>1748</v>
      </c>
    </row>
    <row r="216" spans="1:24" x14ac:dyDescent="0.3">
      <c r="A216" t="s">
        <v>2023</v>
      </c>
      <c r="B216" s="2">
        <v>45943</v>
      </c>
      <c r="C216" t="s">
        <v>645</v>
      </c>
      <c r="D216" t="s">
        <v>1627</v>
      </c>
      <c r="E216" t="s">
        <v>1787</v>
      </c>
      <c r="F216" s="4">
        <v>1</v>
      </c>
      <c r="G216">
        <v>775.84</v>
      </c>
      <c r="H216">
        <v>0.26</v>
      </c>
      <c r="I216" t="s">
        <v>1807</v>
      </c>
      <c r="J216">
        <v>574.12160000000006</v>
      </c>
      <c r="K216" t="s">
        <v>646</v>
      </c>
      <c r="L216">
        <v>30</v>
      </c>
      <c r="M216" t="s">
        <v>9</v>
      </c>
      <c r="N216" t="s">
        <v>647</v>
      </c>
      <c r="O216" t="s">
        <v>234</v>
      </c>
      <c r="P216" t="s">
        <v>12</v>
      </c>
      <c r="Q216" t="s">
        <v>26</v>
      </c>
      <c r="R216" t="s">
        <v>3879</v>
      </c>
      <c r="S216" t="s">
        <v>1546</v>
      </c>
      <c r="T216" t="s">
        <v>3820</v>
      </c>
      <c r="U216" t="s">
        <v>1628</v>
      </c>
      <c r="V216" t="s">
        <v>1741</v>
      </c>
      <c r="W216" t="s">
        <v>1742</v>
      </c>
      <c r="X216" t="s">
        <v>1739</v>
      </c>
    </row>
    <row r="217" spans="1:24" x14ac:dyDescent="0.3">
      <c r="A217" t="s">
        <v>2024</v>
      </c>
      <c r="B217" s="2">
        <v>45356</v>
      </c>
      <c r="C217" t="s">
        <v>1355</v>
      </c>
      <c r="D217" t="s">
        <v>1559</v>
      </c>
      <c r="E217" t="s">
        <v>1769</v>
      </c>
      <c r="F217" s="4">
        <v>3</v>
      </c>
      <c r="G217">
        <v>318.43</v>
      </c>
      <c r="H217">
        <v>0.05</v>
      </c>
      <c r="I217" t="s">
        <v>1807</v>
      </c>
      <c r="J217">
        <v>907.52549999999997</v>
      </c>
      <c r="K217" t="s">
        <v>1356</v>
      </c>
      <c r="L217">
        <v>19</v>
      </c>
      <c r="M217" t="s">
        <v>9</v>
      </c>
      <c r="N217" t="s">
        <v>1357</v>
      </c>
      <c r="O217" t="s">
        <v>354</v>
      </c>
      <c r="P217" t="s">
        <v>12</v>
      </c>
      <c r="Q217" t="s">
        <v>31</v>
      </c>
      <c r="R217" t="s">
        <v>3835</v>
      </c>
      <c r="S217" t="s">
        <v>1527</v>
      </c>
      <c r="T217" t="s">
        <v>3836</v>
      </c>
      <c r="U217" t="s">
        <v>1560</v>
      </c>
      <c r="V217" t="s">
        <v>1770</v>
      </c>
      <c r="W217" t="s">
        <v>1746</v>
      </c>
      <c r="X217" t="s">
        <v>1739</v>
      </c>
    </row>
    <row r="218" spans="1:24" x14ac:dyDescent="0.3">
      <c r="A218" t="s">
        <v>2025</v>
      </c>
      <c r="B218" s="2">
        <v>45854</v>
      </c>
      <c r="C218" t="s">
        <v>509</v>
      </c>
      <c r="D218" t="s">
        <v>1675</v>
      </c>
      <c r="E218" t="s">
        <v>1765</v>
      </c>
      <c r="F218" s="4">
        <v>3</v>
      </c>
      <c r="G218">
        <v>141.6</v>
      </c>
      <c r="H218">
        <v>0.08</v>
      </c>
      <c r="I218" t="s">
        <v>1812</v>
      </c>
      <c r="J218">
        <v>390.81599999999997</v>
      </c>
      <c r="K218" t="s">
        <v>510</v>
      </c>
      <c r="L218">
        <v>35</v>
      </c>
      <c r="M218" t="s">
        <v>16</v>
      </c>
      <c r="N218" t="s">
        <v>511</v>
      </c>
      <c r="O218" t="s">
        <v>18</v>
      </c>
      <c r="P218" t="s">
        <v>12</v>
      </c>
      <c r="Q218" t="s">
        <v>26</v>
      </c>
      <c r="R218" t="s">
        <v>3905</v>
      </c>
      <c r="S218" t="s">
        <v>1549</v>
      </c>
      <c r="T218" t="s">
        <v>3828</v>
      </c>
      <c r="U218" t="s">
        <v>1676</v>
      </c>
      <c r="V218" t="s">
        <v>1766</v>
      </c>
      <c r="W218" t="s">
        <v>1767</v>
      </c>
      <c r="X218" t="s">
        <v>1755</v>
      </c>
    </row>
    <row r="219" spans="1:24" x14ac:dyDescent="0.3">
      <c r="A219" t="s">
        <v>2026</v>
      </c>
      <c r="B219" s="2">
        <v>45219</v>
      </c>
      <c r="C219" t="s">
        <v>842</v>
      </c>
      <c r="D219" t="s">
        <v>1561</v>
      </c>
      <c r="E219" t="s">
        <v>1796</v>
      </c>
      <c r="F219" s="4">
        <v>1</v>
      </c>
      <c r="G219">
        <v>332.82</v>
      </c>
      <c r="H219">
        <v>0.14000000000000001</v>
      </c>
      <c r="I219" t="s">
        <v>1809</v>
      </c>
      <c r="J219">
        <v>286.22519999999997</v>
      </c>
      <c r="K219" t="s">
        <v>843</v>
      </c>
      <c r="L219">
        <v>18</v>
      </c>
      <c r="M219" t="s">
        <v>9</v>
      </c>
      <c r="N219" t="s">
        <v>844</v>
      </c>
      <c r="O219" t="s">
        <v>582</v>
      </c>
      <c r="P219" t="s">
        <v>12</v>
      </c>
      <c r="Q219" t="s">
        <v>26</v>
      </c>
      <c r="R219" t="s">
        <v>3837</v>
      </c>
      <c r="S219" t="s">
        <v>1546</v>
      </c>
      <c r="T219" t="s">
        <v>3838</v>
      </c>
      <c r="U219" t="s">
        <v>1562</v>
      </c>
      <c r="V219" t="s">
        <v>1741</v>
      </c>
      <c r="W219" t="s">
        <v>1742</v>
      </c>
      <c r="X219" t="s">
        <v>1739</v>
      </c>
    </row>
    <row r="220" spans="1:24" x14ac:dyDescent="0.3">
      <c r="A220" t="s">
        <v>2027</v>
      </c>
      <c r="B220" s="2">
        <v>45447</v>
      </c>
      <c r="C220" t="s">
        <v>782</v>
      </c>
      <c r="D220" t="s">
        <v>1675</v>
      </c>
      <c r="E220" t="s">
        <v>1740</v>
      </c>
      <c r="F220" s="4">
        <v>4</v>
      </c>
      <c r="G220">
        <v>640.97</v>
      </c>
      <c r="H220">
        <v>0.11</v>
      </c>
      <c r="I220" t="s">
        <v>1812</v>
      </c>
      <c r="J220">
        <v>2281.8532</v>
      </c>
      <c r="K220" t="s">
        <v>783</v>
      </c>
      <c r="L220">
        <v>32</v>
      </c>
      <c r="M220" t="s">
        <v>9</v>
      </c>
      <c r="N220" t="s">
        <v>784</v>
      </c>
      <c r="O220" t="s">
        <v>288</v>
      </c>
      <c r="P220" t="s">
        <v>12</v>
      </c>
      <c r="Q220" t="s">
        <v>26</v>
      </c>
      <c r="R220" t="s">
        <v>3905</v>
      </c>
      <c r="S220" t="s">
        <v>1549</v>
      </c>
      <c r="T220" t="s">
        <v>3828</v>
      </c>
      <c r="U220" t="s">
        <v>1676</v>
      </c>
      <c r="V220" t="s">
        <v>1741</v>
      </c>
      <c r="W220" t="s">
        <v>1742</v>
      </c>
      <c r="X220" t="s">
        <v>1739</v>
      </c>
    </row>
    <row r="221" spans="1:24" x14ac:dyDescent="0.3">
      <c r="A221" t="s">
        <v>2028</v>
      </c>
      <c r="B221" s="2">
        <v>45225</v>
      </c>
      <c r="C221" t="s">
        <v>657</v>
      </c>
      <c r="D221" t="s">
        <v>1711</v>
      </c>
      <c r="E221" t="s">
        <v>1784</v>
      </c>
      <c r="F221" s="4">
        <v>4</v>
      </c>
      <c r="G221">
        <v>75.37</v>
      </c>
      <c r="H221">
        <v>0.02</v>
      </c>
      <c r="I221" t="s">
        <v>1812</v>
      </c>
      <c r="J221">
        <v>295.4504</v>
      </c>
      <c r="K221" t="s">
        <v>658</v>
      </c>
      <c r="L221">
        <v>52</v>
      </c>
      <c r="M221" t="s">
        <v>9</v>
      </c>
      <c r="N221" t="s">
        <v>659</v>
      </c>
      <c r="O221" t="s">
        <v>264</v>
      </c>
      <c r="P221" t="s">
        <v>12</v>
      </c>
      <c r="Q221" t="s">
        <v>19</v>
      </c>
      <c r="R221" t="s">
        <v>3923</v>
      </c>
      <c r="S221" t="s">
        <v>1546</v>
      </c>
      <c r="T221" t="s">
        <v>3820</v>
      </c>
      <c r="U221" t="s">
        <v>1712</v>
      </c>
      <c r="V221" t="s">
        <v>1741</v>
      </c>
      <c r="W221" t="s">
        <v>1742</v>
      </c>
      <c r="X221" t="s">
        <v>1739</v>
      </c>
    </row>
    <row r="222" spans="1:24" x14ac:dyDescent="0.3">
      <c r="A222" t="s">
        <v>2029</v>
      </c>
      <c r="B222" s="2">
        <v>45754</v>
      </c>
      <c r="C222" t="s">
        <v>272</v>
      </c>
      <c r="D222" t="s">
        <v>1563</v>
      </c>
      <c r="E222" t="s">
        <v>1793</v>
      </c>
      <c r="F222" s="4">
        <v>3</v>
      </c>
      <c r="G222">
        <v>434.55</v>
      </c>
      <c r="H222">
        <v>0.08</v>
      </c>
      <c r="I222" t="s">
        <v>1812</v>
      </c>
      <c r="J222">
        <v>1199.3579999999999</v>
      </c>
      <c r="K222" t="s">
        <v>273</v>
      </c>
      <c r="L222">
        <v>37</v>
      </c>
      <c r="M222" t="s">
        <v>9</v>
      </c>
      <c r="N222" t="s">
        <v>274</v>
      </c>
      <c r="O222" t="s">
        <v>30</v>
      </c>
      <c r="P222" t="s">
        <v>12</v>
      </c>
      <c r="Q222" t="s">
        <v>13</v>
      </c>
      <c r="R222" t="s">
        <v>3839</v>
      </c>
      <c r="S222" t="s">
        <v>1541</v>
      </c>
      <c r="T222" t="s">
        <v>3840</v>
      </c>
      <c r="U222" t="s">
        <v>1564</v>
      </c>
      <c r="V222" t="s">
        <v>1741</v>
      </c>
      <c r="W222" t="s">
        <v>1742</v>
      </c>
      <c r="X222" t="s">
        <v>1739</v>
      </c>
    </row>
    <row r="223" spans="1:24" x14ac:dyDescent="0.3">
      <c r="A223" t="s">
        <v>2030</v>
      </c>
      <c r="B223" s="2">
        <v>45729</v>
      </c>
      <c r="C223" t="s">
        <v>348</v>
      </c>
      <c r="D223" t="s">
        <v>1583</v>
      </c>
      <c r="E223" t="s">
        <v>1782</v>
      </c>
      <c r="F223" s="4">
        <v>4</v>
      </c>
      <c r="G223">
        <v>652.28</v>
      </c>
      <c r="H223">
        <v>0.15</v>
      </c>
      <c r="I223" t="s">
        <v>1807</v>
      </c>
      <c r="J223">
        <v>2217.752</v>
      </c>
      <c r="K223" t="s">
        <v>349</v>
      </c>
      <c r="L223">
        <v>53</v>
      </c>
      <c r="M223" t="s">
        <v>16</v>
      </c>
      <c r="N223" t="s">
        <v>350</v>
      </c>
      <c r="O223" t="s">
        <v>234</v>
      </c>
      <c r="P223" t="s">
        <v>12</v>
      </c>
      <c r="Q223" t="s">
        <v>31</v>
      </c>
      <c r="R223" t="s">
        <v>3853</v>
      </c>
      <c r="S223" t="s">
        <v>1546</v>
      </c>
      <c r="T223" t="s">
        <v>3826</v>
      </c>
      <c r="U223" t="s">
        <v>1584</v>
      </c>
      <c r="V223" t="s">
        <v>1741</v>
      </c>
      <c r="W223" t="s">
        <v>1742</v>
      </c>
      <c r="X223" t="s">
        <v>1739</v>
      </c>
    </row>
    <row r="224" spans="1:24" x14ac:dyDescent="0.3">
      <c r="A224" t="s">
        <v>2031</v>
      </c>
      <c r="B224" s="2">
        <v>45480</v>
      </c>
      <c r="C224" t="s">
        <v>850</v>
      </c>
      <c r="D224" t="s">
        <v>1683</v>
      </c>
      <c r="E224" t="s">
        <v>1790</v>
      </c>
      <c r="F224" s="4">
        <v>3</v>
      </c>
      <c r="G224">
        <v>207.8</v>
      </c>
      <c r="H224">
        <v>0.15</v>
      </c>
      <c r="I224" t="s">
        <v>1807</v>
      </c>
      <c r="J224">
        <v>529.8900000000001</v>
      </c>
      <c r="K224" t="s">
        <v>851</v>
      </c>
      <c r="L224">
        <v>31</v>
      </c>
      <c r="M224" t="s">
        <v>16</v>
      </c>
      <c r="N224" t="s">
        <v>852</v>
      </c>
      <c r="O224" t="s">
        <v>30</v>
      </c>
      <c r="P224" t="s">
        <v>12</v>
      </c>
      <c r="Q224" t="s">
        <v>31</v>
      </c>
      <c r="R224" t="s">
        <v>3909</v>
      </c>
      <c r="S224" t="s">
        <v>1546</v>
      </c>
      <c r="T224" t="s">
        <v>3811</v>
      </c>
      <c r="U224" t="s">
        <v>1684</v>
      </c>
      <c r="V224" t="s">
        <v>1741</v>
      </c>
      <c r="W224" t="s">
        <v>1742</v>
      </c>
      <c r="X224" t="s">
        <v>1739</v>
      </c>
    </row>
    <row r="225" spans="1:24" x14ac:dyDescent="0.3">
      <c r="A225" t="s">
        <v>2032</v>
      </c>
      <c r="B225" s="2">
        <v>45361</v>
      </c>
      <c r="C225" t="s">
        <v>1504</v>
      </c>
      <c r="D225" t="s">
        <v>1653</v>
      </c>
      <c r="E225" t="s">
        <v>1784</v>
      </c>
      <c r="F225" s="4">
        <v>4</v>
      </c>
      <c r="G225">
        <v>385.5</v>
      </c>
      <c r="H225">
        <v>0.03</v>
      </c>
      <c r="I225" t="s">
        <v>1809</v>
      </c>
      <c r="J225">
        <v>1495.74</v>
      </c>
      <c r="K225" t="s">
        <v>1505</v>
      </c>
      <c r="L225">
        <v>56</v>
      </c>
      <c r="M225" t="s">
        <v>9</v>
      </c>
      <c r="N225" t="s">
        <v>1506</v>
      </c>
      <c r="O225" t="s">
        <v>92</v>
      </c>
      <c r="P225" t="s">
        <v>12</v>
      </c>
      <c r="Q225" t="s">
        <v>26</v>
      </c>
      <c r="R225" t="s">
        <v>3893</v>
      </c>
      <c r="S225" t="s">
        <v>1549</v>
      </c>
      <c r="T225" t="s">
        <v>3844</v>
      </c>
      <c r="U225" t="s">
        <v>1654</v>
      </c>
      <c r="V225" t="s">
        <v>1741</v>
      </c>
      <c r="W225" t="s">
        <v>1742</v>
      </c>
      <c r="X225" t="s">
        <v>1739</v>
      </c>
    </row>
    <row r="226" spans="1:24" x14ac:dyDescent="0.3">
      <c r="A226" t="s">
        <v>2033</v>
      </c>
      <c r="B226" s="2">
        <v>45915</v>
      </c>
      <c r="C226" t="s">
        <v>339</v>
      </c>
      <c r="D226" t="s">
        <v>1661</v>
      </c>
      <c r="E226" t="s">
        <v>1759</v>
      </c>
      <c r="F226" s="4">
        <v>3</v>
      </c>
      <c r="G226">
        <v>548.19000000000005</v>
      </c>
      <c r="H226">
        <v>0.12</v>
      </c>
      <c r="I226" t="s">
        <v>1807</v>
      </c>
      <c r="J226">
        <v>1447.2216000000001</v>
      </c>
      <c r="K226" t="s">
        <v>340</v>
      </c>
      <c r="L226">
        <v>36</v>
      </c>
      <c r="M226" t="s">
        <v>9</v>
      </c>
      <c r="N226" t="s">
        <v>341</v>
      </c>
      <c r="O226" t="s">
        <v>323</v>
      </c>
      <c r="P226" t="s">
        <v>12</v>
      </c>
      <c r="Q226" t="s">
        <v>19</v>
      </c>
      <c r="R226" t="s">
        <v>3897</v>
      </c>
      <c r="S226" t="s">
        <v>1549</v>
      </c>
      <c r="T226" t="s">
        <v>3828</v>
      </c>
      <c r="U226" t="s">
        <v>1662</v>
      </c>
      <c r="V226" t="s">
        <v>1760</v>
      </c>
      <c r="W226" t="s">
        <v>1737</v>
      </c>
      <c r="X226" t="s">
        <v>1755</v>
      </c>
    </row>
    <row r="227" spans="1:24" x14ac:dyDescent="0.3">
      <c r="A227" t="s">
        <v>2034</v>
      </c>
      <c r="B227" s="2">
        <v>45607</v>
      </c>
      <c r="C227" t="s">
        <v>252</v>
      </c>
      <c r="D227" t="s">
        <v>1677</v>
      </c>
      <c r="E227" t="s">
        <v>1769</v>
      </c>
      <c r="F227" s="4">
        <v>3</v>
      </c>
      <c r="G227">
        <v>927.6</v>
      </c>
      <c r="H227">
        <v>0.09</v>
      </c>
      <c r="I227" t="s">
        <v>1807</v>
      </c>
      <c r="J227">
        <v>2532.348</v>
      </c>
      <c r="K227" t="s">
        <v>253</v>
      </c>
      <c r="L227">
        <v>29</v>
      </c>
      <c r="M227" t="s">
        <v>16</v>
      </c>
      <c r="N227" t="s">
        <v>254</v>
      </c>
      <c r="O227" t="s">
        <v>88</v>
      </c>
      <c r="P227" t="s">
        <v>12</v>
      </c>
      <c r="Q227" t="s">
        <v>19</v>
      </c>
      <c r="R227" t="s">
        <v>3906</v>
      </c>
      <c r="S227" t="s">
        <v>1549</v>
      </c>
      <c r="T227" t="s">
        <v>3859</v>
      </c>
      <c r="U227" t="s">
        <v>1678</v>
      </c>
      <c r="V227" t="s">
        <v>1770</v>
      </c>
      <c r="W227" t="s">
        <v>1746</v>
      </c>
      <c r="X227" t="s">
        <v>1739</v>
      </c>
    </row>
    <row r="228" spans="1:24" x14ac:dyDescent="0.3">
      <c r="A228" t="s">
        <v>2035</v>
      </c>
      <c r="B228" s="2">
        <v>45666</v>
      </c>
      <c r="C228" t="s">
        <v>842</v>
      </c>
      <c r="D228" t="s">
        <v>1653</v>
      </c>
      <c r="E228" t="s">
        <v>1749</v>
      </c>
      <c r="F228" s="4">
        <v>4</v>
      </c>
      <c r="G228">
        <v>585.04</v>
      </c>
      <c r="H228">
        <v>0.22</v>
      </c>
      <c r="I228" t="s">
        <v>1809</v>
      </c>
      <c r="J228">
        <v>1825.3248000000001</v>
      </c>
      <c r="K228" t="s">
        <v>843</v>
      </c>
      <c r="L228">
        <v>18</v>
      </c>
      <c r="M228" t="s">
        <v>9</v>
      </c>
      <c r="N228" t="s">
        <v>844</v>
      </c>
      <c r="O228" t="s">
        <v>582</v>
      </c>
      <c r="P228" t="s">
        <v>12</v>
      </c>
      <c r="Q228" t="s">
        <v>26</v>
      </c>
      <c r="R228" t="s">
        <v>3893</v>
      </c>
      <c r="S228" t="s">
        <v>1549</v>
      </c>
      <c r="T228" t="s">
        <v>3844</v>
      </c>
      <c r="U228" t="s">
        <v>1654</v>
      </c>
      <c r="V228" t="s">
        <v>1750</v>
      </c>
      <c r="W228" t="s">
        <v>1742</v>
      </c>
      <c r="X228" t="s">
        <v>1748</v>
      </c>
    </row>
    <row r="229" spans="1:24" x14ac:dyDescent="0.3">
      <c r="A229" t="s">
        <v>2036</v>
      </c>
      <c r="B229" s="2">
        <v>45406</v>
      </c>
      <c r="C229" t="s">
        <v>1516</v>
      </c>
      <c r="D229" t="s">
        <v>1609</v>
      </c>
      <c r="E229" t="s">
        <v>1744</v>
      </c>
      <c r="F229" s="4">
        <v>2</v>
      </c>
      <c r="G229">
        <v>999.89</v>
      </c>
      <c r="H229">
        <v>0.09</v>
      </c>
      <c r="I229" t="s">
        <v>1807</v>
      </c>
      <c r="J229">
        <v>1819.7998</v>
      </c>
      <c r="K229" t="s">
        <v>1517</v>
      </c>
      <c r="L229" s="7">
        <v>27</v>
      </c>
      <c r="M229" s="7" t="s">
        <v>16</v>
      </c>
      <c r="N229" t="s">
        <v>1518</v>
      </c>
      <c r="O229" t="s">
        <v>35</v>
      </c>
      <c r="P229" t="s">
        <v>12</v>
      </c>
      <c r="Q229" t="s">
        <v>19</v>
      </c>
      <c r="R229" t="s">
        <v>3868</v>
      </c>
      <c r="S229" t="s">
        <v>1546</v>
      </c>
      <c r="T229" t="s">
        <v>3869</v>
      </c>
      <c r="U229" t="s">
        <v>1610</v>
      </c>
      <c r="V229" t="s">
        <v>1745</v>
      </c>
      <c r="W229" t="s">
        <v>1746</v>
      </c>
      <c r="X229" t="s">
        <v>1748</v>
      </c>
    </row>
    <row r="230" spans="1:24" x14ac:dyDescent="0.3">
      <c r="A230" t="s">
        <v>2037</v>
      </c>
      <c r="B230" s="2">
        <v>45284</v>
      </c>
      <c r="C230" t="s">
        <v>373</v>
      </c>
      <c r="D230" t="s">
        <v>1681</v>
      </c>
      <c r="E230" t="s">
        <v>1749</v>
      </c>
      <c r="F230" s="4">
        <v>2</v>
      </c>
      <c r="G230">
        <v>848.98</v>
      </c>
      <c r="H230">
        <v>0.04</v>
      </c>
      <c r="I230" t="s">
        <v>1809</v>
      </c>
      <c r="J230">
        <v>1630.0416</v>
      </c>
      <c r="K230" t="s">
        <v>374</v>
      </c>
      <c r="L230">
        <v>38</v>
      </c>
      <c r="M230" t="s">
        <v>9</v>
      </c>
      <c r="N230" t="s">
        <v>375</v>
      </c>
      <c r="O230" t="s">
        <v>18</v>
      </c>
      <c r="P230" t="s">
        <v>12</v>
      </c>
      <c r="Q230" t="s">
        <v>19</v>
      </c>
      <c r="R230" t="s">
        <v>3908</v>
      </c>
      <c r="S230" t="s">
        <v>1530</v>
      </c>
      <c r="T230" t="s">
        <v>3866</v>
      </c>
      <c r="U230" t="s">
        <v>1682</v>
      </c>
      <c r="V230" t="s">
        <v>1750</v>
      </c>
      <c r="W230" t="s">
        <v>1742</v>
      </c>
      <c r="X230" t="s">
        <v>1748</v>
      </c>
    </row>
    <row r="231" spans="1:24" x14ac:dyDescent="0.3">
      <c r="A231" t="s">
        <v>2038</v>
      </c>
      <c r="B231" s="2">
        <v>45348</v>
      </c>
      <c r="C231" t="s">
        <v>476</v>
      </c>
      <c r="D231" t="s">
        <v>1651</v>
      </c>
      <c r="E231" t="s">
        <v>1782</v>
      </c>
      <c r="F231" s="4">
        <v>3</v>
      </c>
      <c r="G231">
        <v>769.56</v>
      </c>
      <c r="H231">
        <v>0.08</v>
      </c>
      <c r="I231" t="s">
        <v>1807</v>
      </c>
      <c r="J231">
        <v>2123.9856</v>
      </c>
      <c r="K231" t="s">
        <v>477</v>
      </c>
      <c r="L231">
        <v>46</v>
      </c>
      <c r="M231" t="s">
        <v>9</v>
      </c>
      <c r="N231" t="s">
        <v>478</v>
      </c>
      <c r="O231" t="s">
        <v>66</v>
      </c>
      <c r="P231" t="s">
        <v>12</v>
      </c>
      <c r="Q231" t="s">
        <v>26</v>
      </c>
      <c r="R231" t="s">
        <v>3892</v>
      </c>
      <c r="S231" t="s">
        <v>1541</v>
      </c>
      <c r="T231" t="s">
        <v>3881</v>
      </c>
      <c r="U231" t="s">
        <v>1652</v>
      </c>
      <c r="V231" t="s">
        <v>1741</v>
      </c>
      <c r="W231" t="s">
        <v>1742</v>
      </c>
      <c r="X231" t="s">
        <v>1739</v>
      </c>
    </row>
    <row r="232" spans="1:24" x14ac:dyDescent="0.3">
      <c r="A232" t="s">
        <v>2039</v>
      </c>
      <c r="B232" s="2">
        <v>45676</v>
      </c>
      <c r="C232" t="s">
        <v>185</v>
      </c>
      <c r="D232" t="s">
        <v>1627</v>
      </c>
      <c r="E232" t="s">
        <v>1780</v>
      </c>
      <c r="F232" s="4">
        <v>3</v>
      </c>
      <c r="G232">
        <v>449.88</v>
      </c>
      <c r="H232">
        <v>0.1</v>
      </c>
      <c r="I232" t="s">
        <v>1809</v>
      </c>
      <c r="J232">
        <v>1214.6759999999999</v>
      </c>
      <c r="K232" t="s">
        <v>186</v>
      </c>
      <c r="L232">
        <v>61</v>
      </c>
      <c r="M232" t="s">
        <v>16</v>
      </c>
      <c r="N232" t="s">
        <v>187</v>
      </c>
      <c r="O232" t="s">
        <v>25</v>
      </c>
      <c r="P232" t="s">
        <v>12</v>
      </c>
      <c r="Q232" t="s">
        <v>13</v>
      </c>
      <c r="R232" t="s">
        <v>3879</v>
      </c>
      <c r="S232" t="s">
        <v>1546</v>
      </c>
      <c r="T232" t="s">
        <v>3820</v>
      </c>
      <c r="U232" t="s">
        <v>1628</v>
      </c>
      <c r="V232" t="s">
        <v>1741</v>
      </c>
      <c r="W232" t="s">
        <v>1742</v>
      </c>
      <c r="X232" t="s">
        <v>1739</v>
      </c>
    </row>
    <row r="233" spans="1:24" x14ac:dyDescent="0.3">
      <c r="A233" t="s">
        <v>2040</v>
      </c>
      <c r="B233" s="2">
        <v>45863</v>
      </c>
      <c r="C233" t="s">
        <v>867</v>
      </c>
      <c r="D233" t="s">
        <v>1669</v>
      </c>
      <c r="E233" t="s">
        <v>1777</v>
      </c>
      <c r="F233" s="4">
        <v>4</v>
      </c>
      <c r="G233">
        <v>383.74</v>
      </c>
      <c r="H233">
        <v>0.01</v>
      </c>
      <c r="I233" t="s">
        <v>1807</v>
      </c>
      <c r="J233">
        <v>1519.6104</v>
      </c>
      <c r="K233" t="s">
        <v>868</v>
      </c>
      <c r="L233">
        <v>38</v>
      </c>
      <c r="M233" t="s">
        <v>9</v>
      </c>
      <c r="N233" t="s">
        <v>869</v>
      </c>
      <c r="O233" t="s">
        <v>582</v>
      </c>
      <c r="P233" t="s">
        <v>12</v>
      </c>
      <c r="Q233" t="s">
        <v>13</v>
      </c>
      <c r="R233" t="s">
        <v>3902</v>
      </c>
      <c r="S233" t="s">
        <v>1530</v>
      </c>
      <c r="T233" t="s">
        <v>3818</v>
      </c>
      <c r="U233" t="s">
        <v>1670</v>
      </c>
      <c r="V233" t="s">
        <v>1741</v>
      </c>
      <c r="W233" t="s">
        <v>1742</v>
      </c>
      <c r="X233" t="s">
        <v>1739</v>
      </c>
    </row>
    <row r="234" spans="1:24" x14ac:dyDescent="0.3">
      <c r="A234" t="s">
        <v>2041</v>
      </c>
      <c r="B234" s="2">
        <v>45409</v>
      </c>
      <c r="C234" t="s">
        <v>494</v>
      </c>
      <c r="D234" t="s">
        <v>1647</v>
      </c>
      <c r="E234" t="s">
        <v>1772</v>
      </c>
      <c r="F234" s="4">
        <v>4</v>
      </c>
      <c r="G234">
        <v>794.97</v>
      </c>
      <c r="H234">
        <v>0.24</v>
      </c>
      <c r="I234" t="s">
        <v>1809</v>
      </c>
      <c r="J234">
        <v>2416.7087999999999</v>
      </c>
      <c r="K234" t="s">
        <v>495</v>
      </c>
      <c r="L234">
        <v>33</v>
      </c>
      <c r="M234" t="s">
        <v>9</v>
      </c>
      <c r="N234" t="s">
        <v>496</v>
      </c>
      <c r="O234" t="s">
        <v>319</v>
      </c>
      <c r="P234" t="s">
        <v>12</v>
      </c>
      <c r="Q234" t="s">
        <v>26</v>
      </c>
      <c r="R234" t="s">
        <v>3890</v>
      </c>
      <c r="S234" t="s">
        <v>1530</v>
      </c>
      <c r="T234" t="s">
        <v>3820</v>
      </c>
      <c r="U234" t="s">
        <v>1648</v>
      </c>
      <c r="V234" t="s">
        <v>1741</v>
      </c>
      <c r="W234" t="s">
        <v>1742</v>
      </c>
      <c r="X234" t="s">
        <v>1739</v>
      </c>
    </row>
    <row r="235" spans="1:24" x14ac:dyDescent="0.3">
      <c r="A235" t="s">
        <v>2042</v>
      </c>
      <c r="B235" s="2">
        <v>45880</v>
      </c>
      <c r="C235" t="s">
        <v>52</v>
      </c>
      <c r="D235" t="s">
        <v>1689</v>
      </c>
      <c r="E235" t="s">
        <v>1756</v>
      </c>
      <c r="F235" s="4">
        <v>1</v>
      </c>
      <c r="G235">
        <v>989.63</v>
      </c>
      <c r="H235">
        <v>0.05</v>
      </c>
      <c r="I235" t="s">
        <v>1809</v>
      </c>
      <c r="J235">
        <v>940.1484999999999</v>
      </c>
      <c r="K235" t="s">
        <v>53</v>
      </c>
      <c r="L235">
        <v>28</v>
      </c>
      <c r="M235" t="s">
        <v>16</v>
      </c>
      <c r="N235" t="s">
        <v>54</v>
      </c>
      <c r="O235" t="s">
        <v>51</v>
      </c>
      <c r="P235" t="s">
        <v>12</v>
      </c>
      <c r="Q235" t="s">
        <v>26</v>
      </c>
      <c r="R235" t="s">
        <v>3912</v>
      </c>
      <c r="S235" t="s">
        <v>1527</v>
      </c>
      <c r="T235" t="s">
        <v>3824</v>
      </c>
      <c r="U235" t="s">
        <v>1690</v>
      </c>
      <c r="V235" t="s">
        <v>1757</v>
      </c>
      <c r="W235" t="s">
        <v>1742</v>
      </c>
      <c r="X235" t="s">
        <v>1748</v>
      </c>
    </row>
    <row r="236" spans="1:24" x14ac:dyDescent="0.3">
      <c r="A236" t="s">
        <v>2043</v>
      </c>
      <c r="B236" s="2">
        <v>45731</v>
      </c>
      <c r="C236" t="s">
        <v>1042</v>
      </c>
      <c r="D236" t="s">
        <v>1639</v>
      </c>
      <c r="E236" t="s">
        <v>1735</v>
      </c>
      <c r="F236" s="4">
        <v>1</v>
      </c>
      <c r="G236">
        <v>447.16</v>
      </c>
      <c r="H236">
        <v>0.22</v>
      </c>
      <c r="I236" t="s">
        <v>1812</v>
      </c>
      <c r="J236">
        <v>348.78480000000002</v>
      </c>
      <c r="K236" t="s">
        <v>1043</v>
      </c>
      <c r="L236">
        <v>58</v>
      </c>
      <c r="M236" t="s">
        <v>16</v>
      </c>
      <c r="N236" t="s">
        <v>1044</v>
      </c>
      <c r="O236" t="s">
        <v>11</v>
      </c>
      <c r="P236" t="s">
        <v>12</v>
      </c>
      <c r="Q236" t="s">
        <v>19</v>
      </c>
      <c r="R236" t="s">
        <v>3886</v>
      </c>
      <c r="S236" t="s">
        <v>1549</v>
      </c>
      <c r="T236" t="s">
        <v>3820</v>
      </c>
      <c r="U236" t="s">
        <v>1640</v>
      </c>
      <c r="V236" t="s">
        <v>1736</v>
      </c>
      <c r="W236" t="s">
        <v>1737</v>
      </c>
      <c r="X236" t="s">
        <v>1739</v>
      </c>
    </row>
    <row r="237" spans="1:24" x14ac:dyDescent="0.3">
      <c r="A237" t="s">
        <v>2044</v>
      </c>
      <c r="B237" s="2">
        <v>45671</v>
      </c>
      <c r="C237" t="s">
        <v>44</v>
      </c>
      <c r="D237" t="s">
        <v>1719</v>
      </c>
      <c r="E237" t="s">
        <v>1759</v>
      </c>
      <c r="F237" s="4">
        <v>1</v>
      </c>
      <c r="G237">
        <v>946.9</v>
      </c>
      <c r="H237">
        <v>0.28999999999999998</v>
      </c>
      <c r="I237" t="s">
        <v>1812</v>
      </c>
      <c r="J237">
        <v>672.29899999999998</v>
      </c>
      <c r="K237" t="s">
        <v>45</v>
      </c>
      <c r="L237">
        <v>64</v>
      </c>
      <c r="M237" t="s">
        <v>9</v>
      </c>
      <c r="N237" t="s">
        <v>46</v>
      </c>
      <c r="O237" t="s">
        <v>47</v>
      </c>
      <c r="P237" t="s">
        <v>12</v>
      </c>
      <c r="Q237" t="s">
        <v>13</v>
      </c>
      <c r="R237" t="s">
        <v>3927</v>
      </c>
      <c r="S237" t="s">
        <v>1541</v>
      </c>
      <c r="T237" t="s">
        <v>3822</v>
      </c>
      <c r="U237" t="s">
        <v>1720</v>
      </c>
      <c r="V237" t="s">
        <v>1760</v>
      </c>
      <c r="W237" t="s">
        <v>1737</v>
      </c>
      <c r="X237" t="s">
        <v>1755</v>
      </c>
    </row>
    <row r="238" spans="1:24" x14ac:dyDescent="0.3">
      <c r="A238" t="s">
        <v>2045</v>
      </c>
      <c r="B238" s="2">
        <v>45809</v>
      </c>
      <c r="C238" t="s">
        <v>557</v>
      </c>
      <c r="D238" t="s">
        <v>1565</v>
      </c>
      <c r="E238" t="s">
        <v>1735</v>
      </c>
      <c r="F238" s="4">
        <v>4</v>
      </c>
      <c r="G238">
        <v>469.68</v>
      </c>
      <c r="H238">
        <v>0.19</v>
      </c>
      <c r="I238" t="s">
        <v>1807</v>
      </c>
      <c r="J238">
        <v>1521.7632000000001</v>
      </c>
      <c r="K238" t="s">
        <v>558</v>
      </c>
      <c r="L238">
        <v>18</v>
      </c>
      <c r="M238" t="s">
        <v>9</v>
      </c>
      <c r="N238" t="s">
        <v>559</v>
      </c>
      <c r="O238" t="s">
        <v>47</v>
      </c>
      <c r="P238" t="s">
        <v>12</v>
      </c>
      <c r="Q238" t="s">
        <v>26</v>
      </c>
      <c r="R238" t="s">
        <v>3841</v>
      </c>
      <c r="S238" t="s">
        <v>1549</v>
      </c>
      <c r="T238" t="s">
        <v>3820</v>
      </c>
      <c r="U238" t="s">
        <v>1566</v>
      </c>
      <c r="V238" t="s">
        <v>1736</v>
      </c>
      <c r="W238" t="s">
        <v>1737</v>
      </c>
      <c r="X238" t="s">
        <v>1739</v>
      </c>
    </row>
    <row r="239" spans="1:24" x14ac:dyDescent="0.3">
      <c r="A239" t="s">
        <v>2046</v>
      </c>
      <c r="B239" s="2">
        <v>45559</v>
      </c>
      <c r="C239" t="s">
        <v>1501</v>
      </c>
      <c r="D239" t="s">
        <v>1587</v>
      </c>
      <c r="E239" t="s">
        <v>1790</v>
      </c>
      <c r="F239" s="4">
        <v>4</v>
      </c>
      <c r="G239">
        <v>320.64</v>
      </c>
      <c r="H239">
        <v>0.2</v>
      </c>
      <c r="I239" t="s">
        <v>1812</v>
      </c>
      <c r="J239">
        <v>1026.048</v>
      </c>
      <c r="K239" t="s">
        <v>1502</v>
      </c>
      <c r="L239">
        <v>23</v>
      </c>
      <c r="M239" t="s">
        <v>16</v>
      </c>
      <c r="N239" t="s">
        <v>1503</v>
      </c>
      <c r="O239" t="s">
        <v>354</v>
      </c>
      <c r="P239" t="s">
        <v>12</v>
      </c>
      <c r="Q239" t="s">
        <v>13</v>
      </c>
      <c r="R239" t="s">
        <v>3855</v>
      </c>
      <c r="S239" t="s">
        <v>1549</v>
      </c>
      <c r="T239" t="s">
        <v>3820</v>
      </c>
      <c r="U239" t="s">
        <v>1588</v>
      </c>
      <c r="V239" t="s">
        <v>1741</v>
      </c>
      <c r="W239" t="s">
        <v>1742</v>
      </c>
      <c r="X239" t="s">
        <v>1739</v>
      </c>
    </row>
    <row r="240" spans="1:24" x14ac:dyDescent="0.3">
      <c r="A240" t="s">
        <v>2047</v>
      </c>
      <c r="B240" s="2">
        <v>45253</v>
      </c>
      <c r="C240" t="s">
        <v>456</v>
      </c>
      <c r="D240" t="s">
        <v>1561</v>
      </c>
      <c r="E240" t="s">
        <v>1756</v>
      </c>
      <c r="F240" s="4">
        <v>1</v>
      </c>
      <c r="G240">
        <v>594.44000000000005</v>
      </c>
      <c r="H240">
        <v>0.21</v>
      </c>
      <c r="I240" t="s">
        <v>1807</v>
      </c>
      <c r="J240">
        <v>469.60759999999999</v>
      </c>
      <c r="K240" t="s">
        <v>457</v>
      </c>
      <c r="L240">
        <v>29</v>
      </c>
      <c r="M240" t="s">
        <v>9</v>
      </c>
      <c r="N240" t="s">
        <v>458</v>
      </c>
      <c r="O240" t="s">
        <v>155</v>
      </c>
      <c r="P240" t="s">
        <v>12</v>
      </c>
      <c r="Q240" t="s">
        <v>19</v>
      </c>
      <c r="R240" t="s">
        <v>3837</v>
      </c>
      <c r="S240" t="s">
        <v>1546</v>
      </c>
      <c r="T240" t="s">
        <v>3838</v>
      </c>
      <c r="U240" t="s">
        <v>1562</v>
      </c>
      <c r="V240" t="s">
        <v>1757</v>
      </c>
      <c r="W240" t="s">
        <v>1742</v>
      </c>
      <c r="X240" t="s">
        <v>1748</v>
      </c>
    </row>
    <row r="241" spans="1:24" x14ac:dyDescent="0.3">
      <c r="A241" t="s">
        <v>2048</v>
      </c>
      <c r="B241" s="2">
        <v>45861</v>
      </c>
      <c r="C241" t="s">
        <v>696</v>
      </c>
      <c r="D241" t="s">
        <v>1703</v>
      </c>
      <c r="E241" t="s">
        <v>1765</v>
      </c>
      <c r="F241" s="4">
        <v>3</v>
      </c>
      <c r="G241">
        <v>91.7</v>
      </c>
      <c r="H241">
        <v>0.08</v>
      </c>
      <c r="I241" t="s">
        <v>1812</v>
      </c>
      <c r="J241">
        <v>253.09200000000001</v>
      </c>
      <c r="K241" t="s">
        <v>697</v>
      </c>
      <c r="L241">
        <v>42</v>
      </c>
      <c r="M241" t="s">
        <v>9</v>
      </c>
      <c r="N241" t="s">
        <v>698</v>
      </c>
      <c r="O241" t="s">
        <v>30</v>
      </c>
      <c r="P241" t="s">
        <v>12</v>
      </c>
      <c r="Q241" t="s">
        <v>19</v>
      </c>
      <c r="R241" t="s">
        <v>3919</v>
      </c>
      <c r="S241" t="s">
        <v>1527</v>
      </c>
      <c r="T241" t="s">
        <v>3830</v>
      </c>
      <c r="U241" t="s">
        <v>1704</v>
      </c>
      <c r="V241" t="s">
        <v>1766</v>
      </c>
      <c r="W241" t="s">
        <v>1767</v>
      </c>
      <c r="X241" t="s">
        <v>1755</v>
      </c>
    </row>
    <row r="242" spans="1:24" x14ac:dyDescent="0.3">
      <c r="A242" t="s">
        <v>2049</v>
      </c>
      <c r="B242" s="2">
        <v>45917</v>
      </c>
      <c r="C242" t="s">
        <v>127</v>
      </c>
      <c r="D242" t="s">
        <v>1655</v>
      </c>
      <c r="E242" t="s">
        <v>1777</v>
      </c>
      <c r="F242" s="4">
        <v>3</v>
      </c>
      <c r="G242">
        <v>741.33</v>
      </c>
      <c r="H242">
        <v>0.03</v>
      </c>
      <c r="I242" t="s">
        <v>1807</v>
      </c>
      <c r="J242">
        <v>2157.2703000000001</v>
      </c>
      <c r="K242" t="s">
        <v>128</v>
      </c>
      <c r="L242">
        <v>48</v>
      </c>
      <c r="M242" t="s">
        <v>16</v>
      </c>
      <c r="N242" t="s">
        <v>129</v>
      </c>
      <c r="O242" t="s">
        <v>35</v>
      </c>
      <c r="P242" t="s">
        <v>12</v>
      </c>
      <c r="Q242" t="s">
        <v>31</v>
      </c>
      <c r="R242" t="s">
        <v>3894</v>
      </c>
      <c r="S242" t="s">
        <v>1546</v>
      </c>
      <c r="T242" t="s">
        <v>3811</v>
      </c>
      <c r="U242" t="s">
        <v>1656</v>
      </c>
      <c r="V242" t="s">
        <v>1741</v>
      </c>
      <c r="W242" t="s">
        <v>1742</v>
      </c>
      <c r="X242" t="s">
        <v>1739</v>
      </c>
    </row>
    <row r="243" spans="1:24" x14ac:dyDescent="0.3">
      <c r="A243" t="s">
        <v>2050</v>
      </c>
      <c r="B243" s="2">
        <v>45754</v>
      </c>
      <c r="C243" t="s">
        <v>1450</v>
      </c>
      <c r="D243" t="s">
        <v>1563</v>
      </c>
      <c r="E243" t="s">
        <v>1796</v>
      </c>
      <c r="F243" s="4">
        <v>1</v>
      </c>
      <c r="G243">
        <v>922.78</v>
      </c>
      <c r="H243">
        <v>0.28999999999999998</v>
      </c>
      <c r="I243" t="s">
        <v>1812</v>
      </c>
      <c r="J243">
        <v>655.17379999999991</v>
      </c>
      <c r="K243" t="s">
        <v>1451</v>
      </c>
      <c r="L243">
        <v>41</v>
      </c>
      <c r="M243" t="s">
        <v>16</v>
      </c>
      <c r="N243" t="s">
        <v>1452</v>
      </c>
      <c r="O243" t="s">
        <v>96</v>
      </c>
      <c r="P243" t="s">
        <v>12</v>
      </c>
      <c r="Q243" t="s">
        <v>13</v>
      </c>
      <c r="R243" t="s">
        <v>3839</v>
      </c>
      <c r="S243" t="s">
        <v>1541</v>
      </c>
      <c r="T243" t="s">
        <v>3840</v>
      </c>
      <c r="U243" t="s">
        <v>1564</v>
      </c>
      <c r="V243" t="s">
        <v>1741</v>
      </c>
      <c r="W243" t="s">
        <v>1742</v>
      </c>
      <c r="X243" t="s">
        <v>1739</v>
      </c>
    </row>
    <row r="244" spans="1:24" x14ac:dyDescent="0.3">
      <c r="A244" t="s">
        <v>2051</v>
      </c>
      <c r="B244" s="2">
        <v>45312</v>
      </c>
      <c r="C244" t="s">
        <v>1012</v>
      </c>
      <c r="D244" t="s">
        <v>1545</v>
      </c>
      <c r="E244" t="s">
        <v>1787</v>
      </c>
      <c r="F244" s="4">
        <v>1</v>
      </c>
      <c r="G244">
        <v>394.35</v>
      </c>
      <c r="H244">
        <v>0.09</v>
      </c>
      <c r="I244" t="s">
        <v>1809</v>
      </c>
      <c r="J244">
        <v>358.85849999999999</v>
      </c>
      <c r="K244" t="s">
        <v>1013</v>
      </c>
      <c r="L244">
        <v>58</v>
      </c>
      <c r="M244" t="s">
        <v>16</v>
      </c>
      <c r="N244" t="s">
        <v>1014</v>
      </c>
      <c r="O244" t="s">
        <v>319</v>
      </c>
      <c r="P244" t="s">
        <v>12</v>
      </c>
      <c r="Q244" t="s">
        <v>26</v>
      </c>
      <c r="R244" t="s">
        <v>3912</v>
      </c>
      <c r="S244" t="s">
        <v>1527</v>
      </c>
      <c r="T244" t="s">
        <v>3824</v>
      </c>
      <c r="U244" t="s">
        <v>1690</v>
      </c>
      <c r="V244" t="s">
        <v>1741</v>
      </c>
      <c r="W244" t="s">
        <v>1742</v>
      </c>
      <c r="X244" t="s">
        <v>1739</v>
      </c>
    </row>
    <row r="245" spans="1:24" x14ac:dyDescent="0.3">
      <c r="A245" t="s">
        <v>2052</v>
      </c>
      <c r="B245" s="2">
        <v>45480</v>
      </c>
      <c r="C245" t="s">
        <v>1126</v>
      </c>
      <c r="D245" t="s">
        <v>1661</v>
      </c>
      <c r="E245" t="s">
        <v>1775</v>
      </c>
      <c r="F245" s="4">
        <v>2</v>
      </c>
      <c r="G245">
        <v>703.95</v>
      </c>
      <c r="H245">
        <v>0.03</v>
      </c>
      <c r="I245" t="s">
        <v>1807</v>
      </c>
      <c r="J245">
        <v>1365.663</v>
      </c>
      <c r="K245" t="s">
        <v>1127</v>
      </c>
      <c r="L245">
        <v>63</v>
      </c>
      <c r="M245" t="s">
        <v>16</v>
      </c>
      <c r="N245" t="s">
        <v>1128</v>
      </c>
      <c r="O245" t="s">
        <v>133</v>
      </c>
      <c r="P245" t="s">
        <v>12</v>
      </c>
      <c r="Q245" t="s">
        <v>26</v>
      </c>
      <c r="R245" t="s">
        <v>3897</v>
      </c>
      <c r="S245" t="s">
        <v>1549</v>
      </c>
      <c r="T245" t="s">
        <v>3828</v>
      </c>
      <c r="U245" t="s">
        <v>1662</v>
      </c>
      <c r="V245" t="s">
        <v>1741</v>
      </c>
      <c r="W245" t="s">
        <v>1742</v>
      </c>
      <c r="X245" t="s">
        <v>1739</v>
      </c>
    </row>
    <row r="246" spans="1:24" x14ac:dyDescent="0.3">
      <c r="A246" t="s">
        <v>2053</v>
      </c>
      <c r="B246" s="2">
        <v>45780</v>
      </c>
      <c r="C246" t="s">
        <v>648</v>
      </c>
      <c r="D246" t="s">
        <v>1559</v>
      </c>
      <c r="E246" t="s">
        <v>1735</v>
      </c>
      <c r="F246" s="4">
        <v>4</v>
      </c>
      <c r="G246">
        <v>452.67</v>
      </c>
      <c r="H246">
        <v>0.28000000000000003</v>
      </c>
      <c r="I246" t="s">
        <v>1809</v>
      </c>
      <c r="J246">
        <v>1303.6895999999999</v>
      </c>
      <c r="K246" t="s">
        <v>649</v>
      </c>
      <c r="L246">
        <v>25</v>
      </c>
      <c r="M246" t="s">
        <v>16</v>
      </c>
      <c r="N246" t="s">
        <v>650</v>
      </c>
      <c r="O246" t="s">
        <v>429</v>
      </c>
      <c r="P246" t="s">
        <v>12</v>
      </c>
      <c r="Q246" t="s">
        <v>19</v>
      </c>
      <c r="R246" t="s">
        <v>3835</v>
      </c>
      <c r="S246" t="s">
        <v>1527</v>
      </c>
      <c r="T246" t="s">
        <v>3836</v>
      </c>
      <c r="U246" t="s">
        <v>1560</v>
      </c>
      <c r="V246" t="s">
        <v>1736</v>
      </c>
      <c r="W246" t="s">
        <v>1737</v>
      </c>
      <c r="X246" t="s">
        <v>1739</v>
      </c>
    </row>
    <row r="247" spans="1:24" x14ac:dyDescent="0.3">
      <c r="A247" t="s">
        <v>2054</v>
      </c>
      <c r="B247" s="2">
        <v>45349</v>
      </c>
      <c r="C247" t="s">
        <v>1412</v>
      </c>
      <c r="D247" t="s">
        <v>1545</v>
      </c>
      <c r="E247" t="s">
        <v>1762</v>
      </c>
      <c r="F247" s="4">
        <v>2</v>
      </c>
      <c r="G247">
        <v>377.3</v>
      </c>
      <c r="H247">
        <v>0.15</v>
      </c>
      <c r="I247" t="s">
        <v>1809</v>
      </c>
      <c r="J247">
        <v>641.41</v>
      </c>
      <c r="K247" t="s">
        <v>1413</v>
      </c>
      <c r="L247">
        <v>45</v>
      </c>
      <c r="M247" t="s">
        <v>16</v>
      </c>
      <c r="N247" t="s">
        <v>1414</v>
      </c>
      <c r="O247" t="s">
        <v>166</v>
      </c>
      <c r="P247" t="s">
        <v>12</v>
      </c>
      <c r="Q247" t="s">
        <v>26</v>
      </c>
      <c r="R247" t="s">
        <v>3912</v>
      </c>
      <c r="S247" t="s">
        <v>1527</v>
      </c>
      <c r="T247" t="s">
        <v>3824</v>
      </c>
      <c r="U247" t="s">
        <v>1690</v>
      </c>
      <c r="V247" t="s">
        <v>1763</v>
      </c>
      <c r="W247" t="s">
        <v>1746</v>
      </c>
      <c r="X247" t="s">
        <v>1755</v>
      </c>
    </row>
    <row r="248" spans="1:24" x14ac:dyDescent="0.3">
      <c r="A248" t="s">
        <v>2055</v>
      </c>
      <c r="B248" s="2">
        <v>45846</v>
      </c>
      <c r="C248" t="s">
        <v>1069</v>
      </c>
      <c r="D248" t="s">
        <v>1679</v>
      </c>
      <c r="E248" t="s">
        <v>1762</v>
      </c>
      <c r="F248" s="4">
        <v>2</v>
      </c>
      <c r="G248">
        <v>130.47999999999999</v>
      </c>
      <c r="H248">
        <v>0.23</v>
      </c>
      <c r="I248" t="s">
        <v>1809</v>
      </c>
      <c r="J248">
        <v>200.9392</v>
      </c>
      <c r="K248" t="s">
        <v>1070</v>
      </c>
      <c r="L248">
        <v>33</v>
      </c>
      <c r="M248" t="s">
        <v>9</v>
      </c>
      <c r="N248" t="s">
        <v>1071</v>
      </c>
      <c r="O248" t="s">
        <v>230</v>
      </c>
      <c r="P248" t="s">
        <v>12</v>
      </c>
      <c r="Q248" t="s">
        <v>13</v>
      </c>
      <c r="R248" t="s">
        <v>3907</v>
      </c>
      <c r="S248" t="s">
        <v>1546</v>
      </c>
      <c r="T248" t="s">
        <v>3826</v>
      </c>
      <c r="U248" t="s">
        <v>1680</v>
      </c>
      <c r="V248" t="s">
        <v>1763</v>
      </c>
      <c r="W248" t="s">
        <v>1746</v>
      </c>
      <c r="X248" t="s">
        <v>1755</v>
      </c>
    </row>
    <row r="249" spans="1:24" x14ac:dyDescent="0.3">
      <c r="A249" t="s">
        <v>2056</v>
      </c>
      <c r="B249" s="2">
        <v>45729</v>
      </c>
      <c r="C249" t="s">
        <v>1333</v>
      </c>
      <c r="D249" t="s">
        <v>1719</v>
      </c>
      <c r="E249" t="s">
        <v>1777</v>
      </c>
      <c r="F249" s="4">
        <v>1</v>
      </c>
      <c r="G249">
        <v>809.45</v>
      </c>
      <c r="H249">
        <v>0.09</v>
      </c>
      <c r="I249" t="s">
        <v>1812</v>
      </c>
      <c r="J249">
        <v>736.59950000000003</v>
      </c>
      <c r="K249" t="s">
        <v>1334</v>
      </c>
      <c r="L249">
        <v>61</v>
      </c>
      <c r="M249" t="s">
        <v>9</v>
      </c>
      <c r="N249" t="s">
        <v>1335</v>
      </c>
      <c r="O249" t="s">
        <v>106</v>
      </c>
      <c r="P249" t="s">
        <v>12</v>
      </c>
      <c r="Q249" t="s">
        <v>31</v>
      </c>
      <c r="R249" t="s">
        <v>3927</v>
      </c>
      <c r="S249" t="s">
        <v>1541</v>
      </c>
      <c r="T249" t="s">
        <v>3822</v>
      </c>
      <c r="U249" t="s">
        <v>1720</v>
      </c>
      <c r="V249" t="s">
        <v>1741</v>
      </c>
      <c r="W249" t="s">
        <v>1742</v>
      </c>
      <c r="X249" t="s">
        <v>1739</v>
      </c>
    </row>
    <row r="250" spans="1:24" x14ac:dyDescent="0.3">
      <c r="A250" t="s">
        <v>2057</v>
      </c>
      <c r="B250" s="2">
        <v>45768</v>
      </c>
      <c r="C250" t="s">
        <v>298</v>
      </c>
      <c r="D250" t="s">
        <v>1621</v>
      </c>
      <c r="E250" t="s">
        <v>1769</v>
      </c>
      <c r="F250" s="4">
        <v>3</v>
      </c>
      <c r="G250">
        <v>499.12</v>
      </c>
      <c r="H250">
        <v>0.05</v>
      </c>
      <c r="I250" t="s">
        <v>1809</v>
      </c>
      <c r="J250">
        <v>1422.492</v>
      </c>
      <c r="K250" t="s">
        <v>299</v>
      </c>
      <c r="L250">
        <v>26</v>
      </c>
      <c r="M250" t="s">
        <v>16</v>
      </c>
      <c r="N250" t="s">
        <v>300</v>
      </c>
      <c r="O250" t="s">
        <v>81</v>
      </c>
      <c r="P250" t="s">
        <v>12</v>
      </c>
      <c r="Q250" t="s">
        <v>26</v>
      </c>
      <c r="R250" t="s">
        <v>3875</v>
      </c>
      <c r="S250" t="s">
        <v>1549</v>
      </c>
      <c r="T250" t="s">
        <v>3859</v>
      </c>
      <c r="U250" t="s">
        <v>1622</v>
      </c>
      <c r="V250" t="s">
        <v>1770</v>
      </c>
      <c r="W250" t="s">
        <v>1746</v>
      </c>
      <c r="X250" t="s">
        <v>1739</v>
      </c>
    </row>
    <row r="251" spans="1:24" x14ac:dyDescent="0.3">
      <c r="A251" t="s">
        <v>2058</v>
      </c>
      <c r="B251" s="2">
        <v>45606</v>
      </c>
      <c r="C251" t="s">
        <v>100</v>
      </c>
      <c r="D251" t="s">
        <v>1667</v>
      </c>
      <c r="E251" t="s">
        <v>1749</v>
      </c>
      <c r="F251" s="4">
        <v>2</v>
      </c>
      <c r="G251">
        <v>894.58</v>
      </c>
      <c r="H251">
        <v>0.25</v>
      </c>
      <c r="I251" t="s">
        <v>1807</v>
      </c>
      <c r="J251">
        <v>1341.87</v>
      </c>
      <c r="K251" t="s">
        <v>101</v>
      </c>
      <c r="L251">
        <v>40</v>
      </c>
      <c r="M251" t="s">
        <v>9</v>
      </c>
      <c r="N251" t="s">
        <v>102</v>
      </c>
      <c r="O251" t="s">
        <v>35</v>
      </c>
      <c r="P251" t="s">
        <v>12</v>
      </c>
      <c r="Q251" t="s">
        <v>31</v>
      </c>
      <c r="R251" t="s">
        <v>3900</v>
      </c>
      <c r="S251" t="s">
        <v>1527</v>
      </c>
      <c r="T251" t="s">
        <v>3901</v>
      </c>
      <c r="U251" t="s">
        <v>1668</v>
      </c>
      <c r="V251" t="s">
        <v>1750</v>
      </c>
      <c r="W251" t="s">
        <v>1742</v>
      </c>
      <c r="X251" t="s">
        <v>1748</v>
      </c>
    </row>
    <row r="252" spans="1:24" x14ac:dyDescent="0.3">
      <c r="A252" t="s">
        <v>2059</v>
      </c>
      <c r="B252" s="2">
        <v>45513</v>
      </c>
      <c r="C252" t="s">
        <v>444</v>
      </c>
      <c r="D252" t="s">
        <v>1681</v>
      </c>
      <c r="E252" t="s">
        <v>1769</v>
      </c>
      <c r="F252" s="4">
        <v>4</v>
      </c>
      <c r="G252">
        <v>578.39</v>
      </c>
      <c r="H252">
        <v>0.01</v>
      </c>
      <c r="I252" t="s">
        <v>1807</v>
      </c>
      <c r="J252">
        <v>2290.4243999999999</v>
      </c>
      <c r="K252" t="s">
        <v>445</v>
      </c>
      <c r="L252">
        <v>57</v>
      </c>
      <c r="M252" t="s">
        <v>16</v>
      </c>
      <c r="N252" t="s">
        <v>446</v>
      </c>
      <c r="O252" t="s">
        <v>22</v>
      </c>
      <c r="P252" t="s">
        <v>12</v>
      </c>
      <c r="Q252" t="s">
        <v>26</v>
      </c>
      <c r="R252" t="s">
        <v>3908</v>
      </c>
      <c r="S252" t="s">
        <v>1530</v>
      </c>
      <c r="T252" t="s">
        <v>3866</v>
      </c>
      <c r="U252" t="s">
        <v>1682</v>
      </c>
      <c r="V252" t="s">
        <v>1770</v>
      </c>
      <c r="W252" t="s">
        <v>1746</v>
      </c>
      <c r="X252" t="s">
        <v>1739</v>
      </c>
    </row>
    <row r="253" spans="1:24" x14ac:dyDescent="0.3">
      <c r="A253" t="s">
        <v>2060</v>
      </c>
      <c r="B253" s="2">
        <v>45356</v>
      </c>
      <c r="C253" t="s">
        <v>1475</v>
      </c>
      <c r="D253" t="s">
        <v>1613</v>
      </c>
      <c r="E253" t="s">
        <v>1790</v>
      </c>
      <c r="F253" s="4">
        <v>4</v>
      </c>
      <c r="G253">
        <v>982.45</v>
      </c>
      <c r="H253">
        <v>0.2</v>
      </c>
      <c r="I253" t="s">
        <v>1809</v>
      </c>
      <c r="J253">
        <v>3143.84</v>
      </c>
      <c r="K253" t="s">
        <v>1476</v>
      </c>
      <c r="L253">
        <v>22</v>
      </c>
      <c r="M253" t="s">
        <v>16</v>
      </c>
      <c r="N253" t="s">
        <v>1477</v>
      </c>
      <c r="O253" t="s">
        <v>284</v>
      </c>
      <c r="P253" t="s">
        <v>12</v>
      </c>
      <c r="Q253" t="s">
        <v>26</v>
      </c>
      <c r="R253" t="s">
        <v>3871</v>
      </c>
      <c r="S253" t="s">
        <v>1549</v>
      </c>
      <c r="T253" t="s">
        <v>3828</v>
      </c>
      <c r="U253" t="s">
        <v>1614</v>
      </c>
      <c r="V253" t="s">
        <v>1741</v>
      </c>
      <c r="W253" t="s">
        <v>1742</v>
      </c>
      <c r="X253" t="s">
        <v>1739</v>
      </c>
    </row>
    <row r="254" spans="1:24" x14ac:dyDescent="0.3">
      <c r="A254" t="s">
        <v>2061</v>
      </c>
      <c r="B254" s="2">
        <v>45925</v>
      </c>
      <c r="C254" t="s">
        <v>1373</v>
      </c>
      <c r="D254" t="s">
        <v>1727</v>
      </c>
      <c r="E254" t="s">
        <v>1796</v>
      </c>
      <c r="F254" s="4">
        <v>1</v>
      </c>
      <c r="G254">
        <v>549.52</v>
      </c>
      <c r="H254">
        <v>0.1</v>
      </c>
      <c r="I254" t="s">
        <v>1809</v>
      </c>
      <c r="J254">
        <v>494.56799999999998</v>
      </c>
      <c r="K254" t="s">
        <v>1374</v>
      </c>
      <c r="L254">
        <v>59</v>
      </c>
      <c r="M254" t="s">
        <v>9</v>
      </c>
      <c r="N254" t="s">
        <v>1375</v>
      </c>
      <c r="O254" t="s">
        <v>25</v>
      </c>
      <c r="P254" t="s">
        <v>12</v>
      </c>
      <c r="Q254" t="s">
        <v>26</v>
      </c>
      <c r="R254" t="s">
        <v>3931</v>
      </c>
      <c r="S254" t="s">
        <v>1546</v>
      </c>
      <c r="T254" t="s">
        <v>3826</v>
      </c>
      <c r="U254" t="s">
        <v>1728</v>
      </c>
      <c r="V254" t="s">
        <v>1741</v>
      </c>
      <c r="W254" t="s">
        <v>1742</v>
      </c>
      <c r="X254" t="s">
        <v>1739</v>
      </c>
    </row>
    <row r="255" spans="1:24" x14ac:dyDescent="0.3">
      <c r="A255" t="s">
        <v>2062</v>
      </c>
      <c r="B255" s="2">
        <v>45876</v>
      </c>
      <c r="C255" t="s">
        <v>764</v>
      </c>
      <c r="D255" t="s">
        <v>1715</v>
      </c>
      <c r="E255" t="s">
        <v>1793</v>
      </c>
      <c r="F255" s="4">
        <v>2</v>
      </c>
      <c r="G255">
        <v>239.92</v>
      </c>
      <c r="H255">
        <v>0.16</v>
      </c>
      <c r="I255" t="s">
        <v>1807</v>
      </c>
      <c r="J255">
        <v>403.06560000000002</v>
      </c>
      <c r="K255" t="s">
        <v>765</v>
      </c>
      <c r="L255">
        <v>31</v>
      </c>
      <c r="M255" t="s">
        <v>9</v>
      </c>
      <c r="N255" t="s">
        <v>766</v>
      </c>
      <c r="O255" t="s">
        <v>155</v>
      </c>
      <c r="P255" t="s">
        <v>12</v>
      </c>
      <c r="Q255" t="s">
        <v>19</v>
      </c>
      <c r="R255" t="s">
        <v>3925</v>
      </c>
      <c r="S255" t="s">
        <v>1527</v>
      </c>
      <c r="T255" t="s">
        <v>3838</v>
      </c>
      <c r="U255" t="s">
        <v>1716</v>
      </c>
      <c r="V255" t="s">
        <v>1741</v>
      </c>
      <c r="W255" t="s">
        <v>1742</v>
      </c>
      <c r="X255" t="s">
        <v>1739</v>
      </c>
    </row>
    <row r="256" spans="1:24" x14ac:dyDescent="0.3">
      <c r="A256" t="s">
        <v>2063</v>
      </c>
      <c r="B256" s="2">
        <v>45338</v>
      </c>
      <c r="C256" t="s">
        <v>295</v>
      </c>
      <c r="D256" t="s">
        <v>1715</v>
      </c>
      <c r="E256" t="s">
        <v>1759</v>
      </c>
      <c r="F256" s="4">
        <v>2</v>
      </c>
      <c r="G256">
        <v>878.05</v>
      </c>
      <c r="H256">
        <v>0.11</v>
      </c>
      <c r="I256" t="s">
        <v>1809</v>
      </c>
      <c r="J256">
        <v>1562.9290000000001</v>
      </c>
      <c r="K256" t="s">
        <v>296</v>
      </c>
      <c r="L256">
        <v>48</v>
      </c>
      <c r="M256" t="s">
        <v>16</v>
      </c>
      <c r="N256" t="s">
        <v>297</v>
      </c>
      <c r="O256" t="s">
        <v>247</v>
      </c>
      <c r="P256" t="s">
        <v>12</v>
      </c>
      <c r="Q256" t="s">
        <v>26</v>
      </c>
      <c r="R256" t="s">
        <v>3925</v>
      </c>
      <c r="S256" t="s">
        <v>1527</v>
      </c>
      <c r="T256" t="s">
        <v>3838</v>
      </c>
      <c r="U256" t="s">
        <v>1716</v>
      </c>
      <c r="V256" t="s">
        <v>1760</v>
      </c>
      <c r="W256" t="s">
        <v>1737</v>
      </c>
      <c r="X256" t="s">
        <v>1755</v>
      </c>
    </row>
    <row r="257" spans="1:24" x14ac:dyDescent="0.3">
      <c r="A257" t="s">
        <v>2064</v>
      </c>
      <c r="B257" s="2">
        <v>45746</v>
      </c>
      <c r="C257" t="s">
        <v>171</v>
      </c>
      <c r="D257" t="s">
        <v>1529</v>
      </c>
      <c r="E257" t="s">
        <v>1769</v>
      </c>
      <c r="F257" s="4">
        <v>3</v>
      </c>
      <c r="G257">
        <v>546.96</v>
      </c>
      <c r="H257">
        <v>0.19</v>
      </c>
      <c r="I257" t="s">
        <v>1807</v>
      </c>
      <c r="J257">
        <v>1329.1128000000001</v>
      </c>
      <c r="K257" t="s">
        <v>172</v>
      </c>
      <c r="L257">
        <v>54</v>
      </c>
      <c r="M257" t="s">
        <v>9</v>
      </c>
      <c r="N257" t="s">
        <v>173</v>
      </c>
      <c r="O257" t="s">
        <v>99</v>
      </c>
      <c r="P257" t="s">
        <v>12</v>
      </c>
      <c r="Q257" t="s">
        <v>26</v>
      </c>
      <c r="R257" t="s">
        <v>3812</v>
      </c>
      <c r="S257" t="s">
        <v>1530</v>
      </c>
      <c r="T257" t="s">
        <v>3813</v>
      </c>
      <c r="U257" t="s">
        <v>1531</v>
      </c>
      <c r="V257" t="s">
        <v>1770</v>
      </c>
      <c r="W257" t="s">
        <v>1746</v>
      </c>
      <c r="X257" t="s">
        <v>1739</v>
      </c>
    </row>
    <row r="258" spans="1:24" x14ac:dyDescent="0.3">
      <c r="A258" t="s">
        <v>2065</v>
      </c>
      <c r="B258" s="2">
        <v>45706</v>
      </c>
      <c r="C258" t="s">
        <v>1436</v>
      </c>
      <c r="D258" t="s">
        <v>1565</v>
      </c>
      <c r="E258" t="s">
        <v>1772</v>
      </c>
      <c r="F258" s="4">
        <v>2</v>
      </c>
      <c r="G258">
        <v>71.77</v>
      </c>
      <c r="H258">
        <v>0.22</v>
      </c>
      <c r="I258" t="s">
        <v>1807</v>
      </c>
      <c r="J258">
        <v>111.96120000000001</v>
      </c>
      <c r="K258" t="s">
        <v>1437</v>
      </c>
      <c r="L258">
        <v>42</v>
      </c>
      <c r="M258" t="s">
        <v>9</v>
      </c>
      <c r="N258" t="s">
        <v>1438</v>
      </c>
      <c r="O258" t="s">
        <v>66</v>
      </c>
      <c r="P258" t="s">
        <v>12</v>
      </c>
      <c r="Q258" t="s">
        <v>19</v>
      </c>
      <c r="R258" t="s">
        <v>3841</v>
      </c>
      <c r="S258" t="s">
        <v>1549</v>
      </c>
      <c r="T258" t="s">
        <v>3820</v>
      </c>
      <c r="U258" t="s">
        <v>1566</v>
      </c>
      <c r="V258" t="s">
        <v>1741</v>
      </c>
      <c r="W258" t="s">
        <v>1742</v>
      </c>
      <c r="X258" t="s">
        <v>1739</v>
      </c>
    </row>
    <row r="259" spans="1:24" x14ac:dyDescent="0.3">
      <c r="A259" t="s">
        <v>2066</v>
      </c>
      <c r="B259" s="2">
        <v>45717</v>
      </c>
      <c r="C259" t="s">
        <v>63</v>
      </c>
      <c r="D259" t="s">
        <v>1579</v>
      </c>
      <c r="E259" t="s">
        <v>1740</v>
      </c>
      <c r="F259" s="4">
        <v>2</v>
      </c>
      <c r="G259">
        <v>679.86</v>
      </c>
      <c r="H259">
        <v>0.22</v>
      </c>
      <c r="I259" t="s">
        <v>1812</v>
      </c>
      <c r="J259">
        <v>1060.5816</v>
      </c>
      <c r="K259" t="s">
        <v>64</v>
      </c>
      <c r="L259">
        <v>53</v>
      </c>
      <c r="M259" t="s">
        <v>16</v>
      </c>
      <c r="N259" t="s">
        <v>65</v>
      </c>
      <c r="O259" t="s">
        <v>66</v>
      </c>
      <c r="P259" t="s">
        <v>12</v>
      </c>
      <c r="Q259" t="s">
        <v>31</v>
      </c>
      <c r="R259" t="s">
        <v>3850</v>
      </c>
      <c r="S259" t="s">
        <v>1549</v>
      </c>
      <c r="T259" t="s">
        <v>3851</v>
      </c>
      <c r="U259" t="s">
        <v>1580</v>
      </c>
      <c r="V259" t="s">
        <v>1741</v>
      </c>
      <c r="W259" t="s">
        <v>1742</v>
      </c>
      <c r="X259" t="s">
        <v>1739</v>
      </c>
    </row>
    <row r="260" spans="1:24" x14ac:dyDescent="0.3">
      <c r="A260" t="s">
        <v>2067</v>
      </c>
      <c r="B260" s="2">
        <v>45300</v>
      </c>
      <c r="C260" t="s">
        <v>459</v>
      </c>
      <c r="D260" t="s">
        <v>1601</v>
      </c>
      <c r="E260" t="s">
        <v>1790</v>
      </c>
      <c r="F260" s="4">
        <v>1</v>
      </c>
      <c r="G260">
        <v>222.94</v>
      </c>
      <c r="H260">
        <v>0.19</v>
      </c>
      <c r="I260" t="s">
        <v>1807</v>
      </c>
      <c r="J260">
        <v>180.5814</v>
      </c>
      <c r="K260" t="s">
        <v>460</v>
      </c>
      <c r="L260">
        <v>55</v>
      </c>
      <c r="M260" t="s">
        <v>16</v>
      </c>
      <c r="N260" t="s">
        <v>461</v>
      </c>
      <c r="O260" t="s">
        <v>70</v>
      </c>
      <c r="P260" t="s">
        <v>12</v>
      </c>
      <c r="Q260" t="s">
        <v>31</v>
      </c>
      <c r="R260" t="s">
        <v>3863</v>
      </c>
      <c r="S260" t="s">
        <v>1527</v>
      </c>
      <c r="T260" t="s">
        <v>3824</v>
      </c>
      <c r="U260" t="s">
        <v>1602</v>
      </c>
      <c r="V260" t="s">
        <v>1741</v>
      </c>
      <c r="W260" t="s">
        <v>1742</v>
      </c>
      <c r="X260" t="s">
        <v>1739</v>
      </c>
    </row>
    <row r="261" spans="1:24" x14ac:dyDescent="0.3">
      <c r="A261" t="s">
        <v>2068</v>
      </c>
      <c r="B261" s="2">
        <v>45773</v>
      </c>
      <c r="C261" t="s">
        <v>788</v>
      </c>
      <c r="D261" t="s">
        <v>1601</v>
      </c>
      <c r="E261" t="s">
        <v>1744</v>
      </c>
      <c r="F261" s="4">
        <v>2</v>
      </c>
      <c r="G261">
        <v>355.3</v>
      </c>
      <c r="H261">
        <v>0.14837931034482768</v>
      </c>
      <c r="I261" t="s">
        <v>1809</v>
      </c>
      <c r="J261">
        <v>589.798</v>
      </c>
      <c r="K261" t="s">
        <v>789</v>
      </c>
      <c r="L261">
        <v>41</v>
      </c>
      <c r="M261" t="s">
        <v>16</v>
      </c>
      <c r="N261" t="s">
        <v>790</v>
      </c>
      <c r="O261" t="s">
        <v>181</v>
      </c>
      <c r="P261" t="s">
        <v>12</v>
      </c>
      <c r="Q261" t="s">
        <v>13</v>
      </c>
      <c r="R261" t="s">
        <v>3863</v>
      </c>
      <c r="S261" t="s">
        <v>1527</v>
      </c>
      <c r="T261" t="s">
        <v>3824</v>
      </c>
      <c r="U261" t="s">
        <v>1602</v>
      </c>
      <c r="V261" t="s">
        <v>1745</v>
      </c>
      <c r="W261" t="s">
        <v>1746</v>
      </c>
      <c r="X261" t="s">
        <v>1748</v>
      </c>
    </row>
    <row r="262" spans="1:24" x14ac:dyDescent="0.3">
      <c r="A262" t="s">
        <v>2069</v>
      </c>
      <c r="B262" s="2">
        <v>45497</v>
      </c>
      <c r="C262" t="s">
        <v>361</v>
      </c>
      <c r="D262" t="s">
        <v>1709</v>
      </c>
      <c r="E262" t="s">
        <v>1796</v>
      </c>
      <c r="F262" s="4">
        <v>4</v>
      </c>
      <c r="G262">
        <v>611.29999999999995</v>
      </c>
      <c r="H262">
        <v>0.11</v>
      </c>
      <c r="I262" t="s">
        <v>1809</v>
      </c>
      <c r="J262">
        <v>2176.2280000000001</v>
      </c>
      <c r="K262" t="s">
        <v>362</v>
      </c>
      <c r="L262">
        <v>64</v>
      </c>
      <c r="M262" t="s">
        <v>9</v>
      </c>
      <c r="N262" t="s">
        <v>363</v>
      </c>
      <c r="O262" t="s">
        <v>166</v>
      </c>
      <c r="P262" t="s">
        <v>12</v>
      </c>
      <c r="Q262" t="s">
        <v>26</v>
      </c>
      <c r="R262" t="s">
        <v>3922</v>
      </c>
      <c r="S262" t="s">
        <v>1541</v>
      </c>
      <c r="T262" t="s">
        <v>3878</v>
      </c>
      <c r="U262" t="s">
        <v>1710</v>
      </c>
      <c r="V262" t="s">
        <v>1741</v>
      </c>
      <c r="W262" t="s">
        <v>1742</v>
      </c>
      <c r="X262" t="s">
        <v>1739</v>
      </c>
    </row>
    <row r="263" spans="1:24" x14ac:dyDescent="0.3">
      <c r="A263" t="s">
        <v>2070</v>
      </c>
      <c r="B263" s="2">
        <v>45742</v>
      </c>
      <c r="C263" t="s">
        <v>1036</v>
      </c>
      <c r="D263" t="s">
        <v>1526</v>
      </c>
      <c r="E263" t="s">
        <v>1765</v>
      </c>
      <c r="F263" s="4">
        <v>4</v>
      </c>
      <c r="G263">
        <v>849.21</v>
      </c>
      <c r="H263">
        <v>7.0000000000000007E-2</v>
      </c>
      <c r="I263" t="s">
        <v>1807</v>
      </c>
      <c r="J263">
        <v>3159.0612000000001</v>
      </c>
      <c r="K263" t="s">
        <v>1037</v>
      </c>
      <c r="L263">
        <v>50</v>
      </c>
      <c r="M263" t="s">
        <v>16</v>
      </c>
      <c r="N263" t="s">
        <v>1038</v>
      </c>
      <c r="O263" t="s">
        <v>81</v>
      </c>
      <c r="P263" t="s">
        <v>12</v>
      </c>
      <c r="Q263" t="s">
        <v>13</v>
      </c>
      <c r="R263" t="s">
        <v>3810</v>
      </c>
      <c r="S263" t="s">
        <v>1546</v>
      </c>
      <c r="T263" t="s">
        <v>3811</v>
      </c>
      <c r="U263" t="s">
        <v>1528</v>
      </c>
      <c r="V263" t="s">
        <v>1766</v>
      </c>
      <c r="W263" t="s">
        <v>1767</v>
      </c>
      <c r="X263" t="s">
        <v>1755</v>
      </c>
    </row>
    <row r="264" spans="1:24" x14ac:dyDescent="0.3">
      <c r="A264" t="s">
        <v>2071</v>
      </c>
      <c r="B264" s="2">
        <v>45713</v>
      </c>
      <c r="C264" t="s">
        <v>675</v>
      </c>
      <c r="D264" t="s">
        <v>1615</v>
      </c>
      <c r="E264" t="s">
        <v>1762</v>
      </c>
      <c r="F264" s="4">
        <v>3</v>
      </c>
      <c r="G264">
        <v>553.12</v>
      </c>
      <c r="H264">
        <v>0.28000000000000003</v>
      </c>
      <c r="I264" t="s">
        <v>1812</v>
      </c>
      <c r="J264">
        <v>1194.7392</v>
      </c>
      <c r="K264" t="s">
        <v>676</v>
      </c>
      <c r="L264">
        <v>48</v>
      </c>
      <c r="M264" t="s">
        <v>9</v>
      </c>
      <c r="N264" t="s">
        <v>677</v>
      </c>
      <c r="O264" t="s">
        <v>429</v>
      </c>
      <c r="P264" t="s">
        <v>12</v>
      </c>
      <c r="Q264" t="s">
        <v>19</v>
      </c>
      <c r="R264" t="s">
        <v>3872</v>
      </c>
      <c r="S264" t="s">
        <v>1546</v>
      </c>
      <c r="T264" t="s">
        <v>3820</v>
      </c>
      <c r="U264" t="s">
        <v>1616</v>
      </c>
      <c r="V264" t="s">
        <v>1763</v>
      </c>
      <c r="W264" t="s">
        <v>1746</v>
      </c>
      <c r="X264" t="s">
        <v>1755</v>
      </c>
    </row>
    <row r="265" spans="1:24" x14ac:dyDescent="0.3">
      <c r="A265" t="s">
        <v>2072</v>
      </c>
      <c r="B265" s="2">
        <v>45826</v>
      </c>
      <c r="C265" t="s">
        <v>888</v>
      </c>
      <c r="D265" t="s">
        <v>1713</v>
      </c>
      <c r="E265" t="s">
        <v>1769</v>
      </c>
      <c r="F265" s="4">
        <v>2</v>
      </c>
      <c r="G265">
        <v>903.08</v>
      </c>
      <c r="H265">
        <v>0.18</v>
      </c>
      <c r="I265" t="s">
        <v>1812</v>
      </c>
      <c r="J265">
        <v>1481.0512000000001</v>
      </c>
      <c r="K265" t="s">
        <v>889</v>
      </c>
      <c r="L265">
        <v>54</v>
      </c>
      <c r="M265" t="s">
        <v>16</v>
      </c>
      <c r="N265" t="s">
        <v>890</v>
      </c>
      <c r="O265" t="s">
        <v>88</v>
      </c>
      <c r="P265" t="s">
        <v>12</v>
      </c>
      <c r="Q265" t="s">
        <v>13</v>
      </c>
      <c r="R265" t="s">
        <v>3924</v>
      </c>
      <c r="S265" t="s">
        <v>1530</v>
      </c>
      <c r="T265" t="s">
        <v>3866</v>
      </c>
      <c r="U265" t="s">
        <v>1714</v>
      </c>
      <c r="V265" t="s">
        <v>1770</v>
      </c>
      <c r="W265" t="s">
        <v>1746</v>
      </c>
      <c r="X265" t="s">
        <v>1739</v>
      </c>
    </row>
    <row r="266" spans="1:24" x14ac:dyDescent="0.3">
      <c r="A266" t="s">
        <v>2073</v>
      </c>
      <c r="B266" s="2">
        <v>45648</v>
      </c>
      <c r="C266" t="s">
        <v>1456</v>
      </c>
      <c r="D266" t="s">
        <v>1563</v>
      </c>
      <c r="E266" t="s">
        <v>1775</v>
      </c>
      <c r="F266" s="4">
        <v>4</v>
      </c>
      <c r="G266">
        <v>640.23</v>
      </c>
      <c r="H266">
        <v>0.06</v>
      </c>
      <c r="I266" t="s">
        <v>1812</v>
      </c>
      <c r="J266">
        <v>2407.2647999999999</v>
      </c>
      <c r="K266" t="s">
        <v>3951</v>
      </c>
      <c r="L266">
        <v>40</v>
      </c>
      <c r="M266" t="s">
        <v>9</v>
      </c>
      <c r="N266" t="s">
        <v>1457</v>
      </c>
      <c r="O266" t="s">
        <v>39</v>
      </c>
      <c r="P266" t="s">
        <v>12</v>
      </c>
      <c r="Q266" t="s">
        <v>13</v>
      </c>
      <c r="R266" t="s">
        <v>3839</v>
      </c>
      <c r="S266" t="s">
        <v>1541</v>
      </c>
      <c r="T266" t="s">
        <v>3840</v>
      </c>
      <c r="U266" t="s">
        <v>1564</v>
      </c>
      <c r="V266" t="s">
        <v>1741</v>
      </c>
      <c r="W266" t="s">
        <v>1742</v>
      </c>
      <c r="X266" t="s">
        <v>1739</v>
      </c>
    </row>
    <row r="267" spans="1:24" x14ac:dyDescent="0.3">
      <c r="A267" t="s">
        <v>2074</v>
      </c>
      <c r="B267" s="2">
        <v>45836</v>
      </c>
      <c r="C267" t="s">
        <v>473</v>
      </c>
      <c r="D267" t="s">
        <v>1573</v>
      </c>
      <c r="E267" t="s">
        <v>1759</v>
      </c>
      <c r="F267" s="4">
        <v>1</v>
      </c>
      <c r="G267">
        <v>518</v>
      </c>
      <c r="H267">
        <v>0.25</v>
      </c>
      <c r="I267" t="s">
        <v>1807</v>
      </c>
      <c r="J267">
        <v>388.5</v>
      </c>
      <c r="K267" t="s">
        <v>474</v>
      </c>
      <c r="L267">
        <v>37</v>
      </c>
      <c r="M267" t="s">
        <v>9</v>
      </c>
      <c r="N267" t="s">
        <v>475</v>
      </c>
      <c r="O267" t="s">
        <v>30</v>
      </c>
      <c r="P267" t="s">
        <v>12</v>
      </c>
      <c r="Q267" t="s">
        <v>26</v>
      </c>
      <c r="R267" t="s">
        <v>3846</v>
      </c>
      <c r="S267" t="s">
        <v>1527</v>
      </c>
      <c r="T267" t="s">
        <v>3847</v>
      </c>
      <c r="U267" t="s">
        <v>1574</v>
      </c>
      <c r="V267" t="s">
        <v>1760</v>
      </c>
      <c r="W267" t="s">
        <v>1737</v>
      </c>
      <c r="X267" t="s">
        <v>1755</v>
      </c>
    </row>
    <row r="268" spans="1:24" x14ac:dyDescent="0.3">
      <c r="A268" t="s">
        <v>2075</v>
      </c>
      <c r="B268" s="2">
        <v>45437</v>
      </c>
      <c r="C268" t="s">
        <v>1327</v>
      </c>
      <c r="D268" t="s">
        <v>1659</v>
      </c>
      <c r="E268" t="s">
        <v>1752</v>
      </c>
      <c r="F268" s="4">
        <v>4</v>
      </c>
      <c r="G268">
        <v>779.25</v>
      </c>
      <c r="H268">
        <v>0.25</v>
      </c>
      <c r="I268" t="s">
        <v>1807</v>
      </c>
      <c r="J268">
        <v>2337.75</v>
      </c>
      <c r="K268" t="s">
        <v>1328</v>
      </c>
      <c r="L268">
        <v>48</v>
      </c>
      <c r="M268" t="s">
        <v>16</v>
      </c>
      <c r="N268" t="s">
        <v>1329</v>
      </c>
      <c r="O268" t="s">
        <v>58</v>
      </c>
      <c r="P268" t="s">
        <v>12</v>
      </c>
      <c r="Q268" t="s">
        <v>31</v>
      </c>
      <c r="R268" t="s">
        <v>3896</v>
      </c>
      <c r="S268" t="s">
        <v>1541</v>
      </c>
      <c r="T268" t="s">
        <v>3878</v>
      </c>
      <c r="U268" t="s">
        <v>1660</v>
      </c>
      <c r="V268" t="s">
        <v>1753</v>
      </c>
      <c r="W268" t="s">
        <v>1746</v>
      </c>
      <c r="X268" t="s">
        <v>1755</v>
      </c>
    </row>
    <row r="269" spans="1:24" x14ac:dyDescent="0.3">
      <c r="A269" t="s">
        <v>2076</v>
      </c>
      <c r="B269" s="2">
        <v>45807</v>
      </c>
      <c r="C269" t="s">
        <v>406</v>
      </c>
      <c r="D269" t="s">
        <v>1697</v>
      </c>
      <c r="E269" t="s">
        <v>1762</v>
      </c>
      <c r="F269" s="4">
        <v>2</v>
      </c>
      <c r="G269">
        <v>467.75</v>
      </c>
      <c r="H269">
        <v>0.26</v>
      </c>
      <c r="I269" t="s">
        <v>1807</v>
      </c>
      <c r="J269">
        <v>692.27</v>
      </c>
      <c r="K269" t="s">
        <v>407</v>
      </c>
      <c r="L269">
        <v>40</v>
      </c>
      <c r="M269" t="s">
        <v>9</v>
      </c>
      <c r="N269" t="s">
        <v>408</v>
      </c>
      <c r="O269" t="s">
        <v>70</v>
      </c>
      <c r="P269" t="s">
        <v>12</v>
      </c>
      <c r="Q269" t="s">
        <v>19</v>
      </c>
      <c r="R269" t="s">
        <v>3916</v>
      </c>
      <c r="S269" t="s">
        <v>1541</v>
      </c>
      <c r="T269" t="s">
        <v>3822</v>
      </c>
      <c r="U269" t="s">
        <v>1698</v>
      </c>
      <c r="V269" t="s">
        <v>1763</v>
      </c>
      <c r="W269" t="s">
        <v>1746</v>
      </c>
      <c r="X269" t="s">
        <v>1755</v>
      </c>
    </row>
    <row r="270" spans="1:24" x14ac:dyDescent="0.3">
      <c r="A270" t="s">
        <v>2077</v>
      </c>
      <c r="B270" s="2">
        <v>45555</v>
      </c>
      <c r="C270" t="s">
        <v>1249</v>
      </c>
      <c r="D270" t="s">
        <v>1711</v>
      </c>
      <c r="E270" t="s">
        <v>1793</v>
      </c>
      <c r="F270" s="4">
        <v>3</v>
      </c>
      <c r="G270">
        <v>510.1924321201617</v>
      </c>
      <c r="H270">
        <v>0.06</v>
      </c>
      <c r="I270" t="s">
        <v>1807</v>
      </c>
      <c r="J270">
        <v>315.24779999999998</v>
      </c>
      <c r="K270" t="s">
        <v>1250</v>
      </c>
      <c r="L270">
        <v>33</v>
      </c>
      <c r="M270" t="s">
        <v>9</v>
      </c>
      <c r="N270" t="s">
        <v>1251</v>
      </c>
      <c r="O270" t="s">
        <v>319</v>
      </c>
      <c r="P270" t="s">
        <v>12</v>
      </c>
      <c r="Q270" t="s">
        <v>13</v>
      </c>
      <c r="R270" t="s">
        <v>3923</v>
      </c>
      <c r="S270" t="s">
        <v>1546</v>
      </c>
      <c r="T270" t="s">
        <v>3820</v>
      </c>
      <c r="U270" t="s">
        <v>1712</v>
      </c>
      <c r="V270" t="s">
        <v>1741</v>
      </c>
      <c r="W270" t="s">
        <v>1742</v>
      </c>
      <c r="X270" t="s">
        <v>1739</v>
      </c>
    </row>
    <row r="271" spans="1:24" x14ac:dyDescent="0.3">
      <c r="A271" t="s">
        <v>2078</v>
      </c>
      <c r="B271" s="2">
        <v>45803</v>
      </c>
      <c r="C271" t="s">
        <v>705</v>
      </c>
      <c r="D271" t="s">
        <v>1605</v>
      </c>
      <c r="E271" t="s">
        <v>1735</v>
      </c>
      <c r="F271" s="4">
        <v>4</v>
      </c>
      <c r="G271">
        <v>747.01</v>
      </c>
      <c r="H271">
        <v>0.13</v>
      </c>
      <c r="I271" t="s">
        <v>1809</v>
      </c>
      <c r="J271">
        <v>2599.5947999999999</v>
      </c>
      <c r="K271" t="s">
        <v>706</v>
      </c>
      <c r="L271">
        <v>50</v>
      </c>
      <c r="M271" t="s">
        <v>16</v>
      </c>
      <c r="N271" t="s">
        <v>3809</v>
      </c>
      <c r="O271" t="s">
        <v>88</v>
      </c>
      <c r="P271" t="s">
        <v>12</v>
      </c>
      <c r="Q271" t="s">
        <v>13</v>
      </c>
      <c r="R271" t="s">
        <v>3865</v>
      </c>
      <c r="S271" t="s">
        <v>1530</v>
      </c>
      <c r="T271" t="s">
        <v>3866</v>
      </c>
      <c r="U271" t="s">
        <v>1606</v>
      </c>
      <c r="V271" t="s">
        <v>1736</v>
      </c>
      <c r="W271" t="s">
        <v>1737</v>
      </c>
      <c r="X271" t="s">
        <v>1739</v>
      </c>
    </row>
    <row r="272" spans="1:24" x14ac:dyDescent="0.3">
      <c r="A272" t="s">
        <v>2079</v>
      </c>
      <c r="B272" s="2">
        <v>45735</v>
      </c>
      <c r="C272" t="s">
        <v>355</v>
      </c>
      <c r="D272" t="s">
        <v>1709</v>
      </c>
      <c r="E272" t="s">
        <v>1777</v>
      </c>
      <c r="F272" s="4">
        <v>4</v>
      </c>
      <c r="G272">
        <v>461.83</v>
      </c>
      <c r="H272">
        <v>0.28000000000000003</v>
      </c>
      <c r="I272" t="s">
        <v>1809</v>
      </c>
      <c r="J272">
        <v>1330.0704000000001</v>
      </c>
      <c r="K272" t="s">
        <v>356</v>
      </c>
      <c r="L272">
        <v>34</v>
      </c>
      <c r="M272" t="s">
        <v>16</v>
      </c>
      <c r="N272" t="s">
        <v>357</v>
      </c>
      <c r="O272" t="s">
        <v>117</v>
      </c>
      <c r="P272" t="s">
        <v>12</v>
      </c>
      <c r="Q272" t="s">
        <v>13</v>
      </c>
      <c r="R272" t="s">
        <v>3922</v>
      </c>
      <c r="S272" t="s">
        <v>1541</v>
      </c>
      <c r="T272" t="s">
        <v>3878</v>
      </c>
      <c r="U272" t="s">
        <v>1710</v>
      </c>
      <c r="V272" t="s">
        <v>1741</v>
      </c>
      <c r="W272" t="s">
        <v>1742</v>
      </c>
      <c r="X272" t="s">
        <v>1739</v>
      </c>
    </row>
    <row r="273" spans="1:24" x14ac:dyDescent="0.3">
      <c r="A273" t="s">
        <v>2080</v>
      </c>
      <c r="B273" s="2">
        <v>45750</v>
      </c>
      <c r="C273" t="s">
        <v>453</v>
      </c>
      <c r="D273" t="s">
        <v>1671</v>
      </c>
      <c r="E273" t="s">
        <v>1765</v>
      </c>
      <c r="F273" s="4">
        <v>2</v>
      </c>
      <c r="G273">
        <v>105.15</v>
      </c>
      <c r="H273">
        <v>0.06</v>
      </c>
      <c r="I273" t="s">
        <v>1807</v>
      </c>
      <c r="J273">
        <v>197.68199999999999</v>
      </c>
      <c r="K273" t="s">
        <v>454</v>
      </c>
      <c r="L273">
        <v>33</v>
      </c>
      <c r="M273" t="s">
        <v>16</v>
      </c>
      <c r="N273" t="s">
        <v>455</v>
      </c>
      <c r="O273" t="s">
        <v>74</v>
      </c>
      <c r="P273" t="s">
        <v>12</v>
      </c>
      <c r="Q273" t="s">
        <v>13</v>
      </c>
      <c r="R273" t="s">
        <v>3903</v>
      </c>
      <c r="S273" t="s">
        <v>1527</v>
      </c>
      <c r="T273" t="s">
        <v>3847</v>
      </c>
      <c r="U273" t="s">
        <v>1672</v>
      </c>
      <c r="V273" t="s">
        <v>1766</v>
      </c>
      <c r="W273" t="s">
        <v>1767</v>
      </c>
      <c r="X273" t="s">
        <v>1755</v>
      </c>
    </row>
    <row r="274" spans="1:24" x14ac:dyDescent="0.3">
      <c r="A274" t="s">
        <v>2081</v>
      </c>
      <c r="B274" s="2">
        <v>45693</v>
      </c>
      <c r="C274" t="s">
        <v>134</v>
      </c>
      <c r="D274" t="s">
        <v>1577</v>
      </c>
      <c r="E274" t="s">
        <v>1749</v>
      </c>
      <c r="F274" s="4">
        <v>3</v>
      </c>
      <c r="G274">
        <v>610.24</v>
      </c>
      <c r="H274">
        <v>0.17</v>
      </c>
      <c r="I274" t="s">
        <v>1812</v>
      </c>
      <c r="J274">
        <v>1519.4975999999999</v>
      </c>
      <c r="K274" t="s">
        <v>3935</v>
      </c>
      <c r="L274">
        <v>27</v>
      </c>
      <c r="M274" t="s">
        <v>16</v>
      </c>
      <c r="N274" t="s">
        <v>135</v>
      </c>
      <c r="O274" t="s">
        <v>96</v>
      </c>
      <c r="P274" t="s">
        <v>12</v>
      </c>
      <c r="Q274" t="s">
        <v>19</v>
      </c>
      <c r="R274" t="s">
        <v>3849</v>
      </c>
      <c r="S274" t="s">
        <v>1530</v>
      </c>
      <c r="T274" t="s">
        <v>3813</v>
      </c>
      <c r="U274" t="s">
        <v>1578</v>
      </c>
      <c r="V274" t="s">
        <v>1750</v>
      </c>
      <c r="W274" t="s">
        <v>1742</v>
      </c>
      <c r="X274" t="s">
        <v>1748</v>
      </c>
    </row>
    <row r="275" spans="1:24" x14ac:dyDescent="0.3">
      <c r="A275" t="s">
        <v>2082</v>
      </c>
      <c r="B275" s="2">
        <v>45667</v>
      </c>
      <c r="C275" t="s">
        <v>974</v>
      </c>
      <c r="D275" t="s">
        <v>1679</v>
      </c>
      <c r="E275" t="s">
        <v>1765</v>
      </c>
      <c r="F275" s="4">
        <v>1</v>
      </c>
      <c r="G275">
        <v>872.12</v>
      </c>
      <c r="H275">
        <v>7.0000000000000007E-2</v>
      </c>
      <c r="I275" t="s">
        <v>1809</v>
      </c>
      <c r="J275">
        <v>811.07159999999999</v>
      </c>
      <c r="K275" t="s">
        <v>975</v>
      </c>
      <c r="L275">
        <v>62</v>
      </c>
      <c r="M275" t="s">
        <v>9</v>
      </c>
      <c r="N275" t="s">
        <v>976</v>
      </c>
      <c r="O275" t="s">
        <v>92</v>
      </c>
      <c r="P275" t="s">
        <v>12</v>
      </c>
      <c r="Q275" t="s">
        <v>31</v>
      </c>
      <c r="R275" t="s">
        <v>3907</v>
      </c>
      <c r="S275" t="s">
        <v>1546</v>
      </c>
      <c r="T275" t="s">
        <v>3826</v>
      </c>
      <c r="U275" t="s">
        <v>1680</v>
      </c>
      <c r="V275" t="s">
        <v>1766</v>
      </c>
      <c r="W275" t="s">
        <v>1767</v>
      </c>
      <c r="X275" t="s">
        <v>1755</v>
      </c>
    </row>
    <row r="276" spans="1:24" x14ac:dyDescent="0.3">
      <c r="A276" t="s">
        <v>2083</v>
      </c>
      <c r="B276" s="2">
        <v>45316</v>
      </c>
      <c r="C276" t="s">
        <v>1327</v>
      </c>
      <c r="D276" t="s">
        <v>1551</v>
      </c>
      <c r="E276" t="s">
        <v>1740</v>
      </c>
      <c r="F276" s="4">
        <v>1</v>
      </c>
      <c r="G276">
        <v>406.79</v>
      </c>
      <c r="H276">
        <v>0.03</v>
      </c>
      <c r="I276" t="s">
        <v>1812</v>
      </c>
      <c r="J276">
        <v>394.58629999999999</v>
      </c>
      <c r="K276" t="s">
        <v>1328</v>
      </c>
      <c r="L276">
        <v>48</v>
      </c>
      <c r="M276" t="s">
        <v>16</v>
      </c>
      <c r="N276" t="s">
        <v>1329</v>
      </c>
      <c r="O276" t="s">
        <v>58</v>
      </c>
      <c r="P276" t="s">
        <v>12</v>
      </c>
      <c r="Q276" t="s">
        <v>31</v>
      </c>
      <c r="R276" t="s">
        <v>3829</v>
      </c>
      <c r="S276" t="s">
        <v>1527</v>
      </c>
      <c r="T276" t="s">
        <v>3830</v>
      </c>
      <c r="U276" t="s">
        <v>1552</v>
      </c>
      <c r="V276" t="s">
        <v>1741</v>
      </c>
      <c r="W276" t="s">
        <v>1742</v>
      </c>
      <c r="X276" t="s">
        <v>1739</v>
      </c>
    </row>
    <row r="277" spans="1:24" x14ac:dyDescent="0.3">
      <c r="A277" t="s">
        <v>2084</v>
      </c>
      <c r="B277" s="2">
        <v>45932</v>
      </c>
      <c r="C277" t="s">
        <v>1150</v>
      </c>
      <c r="D277" t="s">
        <v>1639</v>
      </c>
      <c r="E277" t="s">
        <v>1782</v>
      </c>
      <c r="F277" s="4">
        <v>1</v>
      </c>
      <c r="G277">
        <v>606.01</v>
      </c>
      <c r="H277">
        <v>0.04</v>
      </c>
      <c r="I277" t="s">
        <v>1809</v>
      </c>
      <c r="J277">
        <v>581.76959999999997</v>
      </c>
      <c r="K277" t="s">
        <v>1151</v>
      </c>
      <c r="L277">
        <v>37</v>
      </c>
      <c r="M277" t="s">
        <v>16</v>
      </c>
      <c r="N277" t="s">
        <v>1152</v>
      </c>
      <c r="O277" t="s">
        <v>25</v>
      </c>
      <c r="P277" t="s">
        <v>12</v>
      </c>
      <c r="Q277" t="s">
        <v>26</v>
      </c>
      <c r="R277" t="s">
        <v>3886</v>
      </c>
      <c r="S277" t="s">
        <v>1549</v>
      </c>
      <c r="T277" t="s">
        <v>3820</v>
      </c>
      <c r="U277" t="s">
        <v>1640</v>
      </c>
      <c r="V277" t="s">
        <v>1741</v>
      </c>
      <c r="W277" t="s">
        <v>1742</v>
      </c>
      <c r="X277" t="s">
        <v>1739</v>
      </c>
    </row>
    <row r="278" spans="1:24" x14ac:dyDescent="0.3">
      <c r="A278" t="s">
        <v>2085</v>
      </c>
      <c r="B278" s="2">
        <v>45483</v>
      </c>
      <c r="C278" t="s">
        <v>1083</v>
      </c>
      <c r="D278" t="s">
        <v>1565</v>
      </c>
      <c r="E278" t="s">
        <v>1756</v>
      </c>
      <c r="F278" s="4">
        <v>4</v>
      </c>
      <c r="G278">
        <v>322.58</v>
      </c>
      <c r="H278">
        <v>0.06</v>
      </c>
      <c r="I278" t="s">
        <v>1807</v>
      </c>
      <c r="J278">
        <v>1212.9007999999999</v>
      </c>
      <c r="K278" t="s">
        <v>1084</v>
      </c>
      <c r="L278">
        <v>26</v>
      </c>
      <c r="M278" t="s">
        <v>9</v>
      </c>
      <c r="N278" t="s">
        <v>1085</v>
      </c>
      <c r="O278" t="s">
        <v>162</v>
      </c>
      <c r="P278" t="s">
        <v>12</v>
      </c>
      <c r="Q278" t="s">
        <v>26</v>
      </c>
      <c r="R278" t="s">
        <v>3841</v>
      </c>
      <c r="S278" t="s">
        <v>1549</v>
      </c>
      <c r="T278" t="s">
        <v>3820</v>
      </c>
      <c r="U278" t="s">
        <v>1566</v>
      </c>
      <c r="V278" t="s">
        <v>1757</v>
      </c>
      <c r="W278" t="s">
        <v>1742</v>
      </c>
      <c r="X278" t="s">
        <v>1748</v>
      </c>
    </row>
    <row r="279" spans="1:24" x14ac:dyDescent="0.3">
      <c r="A279" t="s">
        <v>2086</v>
      </c>
      <c r="B279" s="2">
        <v>45661</v>
      </c>
      <c r="C279" t="s">
        <v>1472</v>
      </c>
      <c r="D279" t="s">
        <v>1685</v>
      </c>
      <c r="E279" t="s">
        <v>1793</v>
      </c>
      <c r="F279" s="4">
        <v>4</v>
      </c>
      <c r="G279">
        <v>463.17</v>
      </c>
      <c r="H279">
        <v>0.06</v>
      </c>
      <c r="I279" t="s">
        <v>1809</v>
      </c>
      <c r="J279">
        <v>1741.5192</v>
      </c>
      <c r="K279" t="s">
        <v>1473</v>
      </c>
      <c r="L279">
        <v>46</v>
      </c>
      <c r="M279" t="s">
        <v>16</v>
      </c>
      <c r="N279" t="s">
        <v>1474</v>
      </c>
      <c r="O279" t="s">
        <v>709</v>
      </c>
      <c r="P279" t="s">
        <v>12</v>
      </c>
      <c r="Q279" t="s">
        <v>26</v>
      </c>
      <c r="R279" t="s">
        <v>3910</v>
      </c>
      <c r="S279" t="s">
        <v>1546</v>
      </c>
      <c r="T279" t="s">
        <v>3838</v>
      </c>
      <c r="U279" t="s">
        <v>1686</v>
      </c>
      <c r="V279" t="s">
        <v>1741</v>
      </c>
      <c r="W279" t="s">
        <v>1742</v>
      </c>
      <c r="X279" t="s">
        <v>1739</v>
      </c>
    </row>
    <row r="280" spans="1:24" x14ac:dyDescent="0.3">
      <c r="A280" t="s">
        <v>2087</v>
      </c>
      <c r="B280" s="2">
        <v>45798</v>
      </c>
      <c r="C280" t="s">
        <v>986</v>
      </c>
      <c r="D280" t="s">
        <v>1581</v>
      </c>
      <c r="E280" t="s">
        <v>1762</v>
      </c>
      <c r="F280" s="4">
        <v>4</v>
      </c>
      <c r="G280">
        <v>285.82</v>
      </c>
      <c r="H280">
        <v>0.18</v>
      </c>
      <c r="I280" t="s">
        <v>1809</v>
      </c>
      <c r="J280">
        <v>937.4896</v>
      </c>
      <c r="K280" t="s">
        <v>987</v>
      </c>
      <c r="L280">
        <v>64</v>
      </c>
      <c r="M280" t="s">
        <v>16</v>
      </c>
      <c r="N280" t="s">
        <v>988</v>
      </c>
      <c r="O280" t="s">
        <v>139</v>
      </c>
      <c r="P280" t="s">
        <v>12</v>
      </c>
      <c r="Q280" t="s">
        <v>13</v>
      </c>
      <c r="R280" t="s">
        <v>3852</v>
      </c>
      <c r="S280" t="s">
        <v>1530</v>
      </c>
      <c r="T280" t="s">
        <v>3820</v>
      </c>
      <c r="U280" t="s">
        <v>1582</v>
      </c>
      <c r="V280" t="s">
        <v>1763</v>
      </c>
      <c r="W280" t="s">
        <v>1746</v>
      </c>
      <c r="X280" t="s">
        <v>1755</v>
      </c>
    </row>
    <row r="281" spans="1:24" x14ac:dyDescent="0.3">
      <c r="A281" t="s">
        <v>2088</v>
      </c>
      <c r="B281" s="2">
        <v>45868</v>
      </c>
      <c r="C281" t="s">
        <v>1015</v>
      </c>
      <c r="D281" t="s">
        <v>1605</v>
      </c>
      <c r="E281" t="s">
        <v>1775</v>
      </c>
      <c r="F281" s="4">
        <v>3</v>
      </c>
      <c r="G281">
        <v>995.38</v>
      </c>
      <c r="H281">
        <v>0.1</v>
      </c>
      <c r="I281" t="s">
        <v>1809</v>
      </c>
      <c r="J281">
        <v>2687.5259999999998</v>
      </c>
      <c r="K281" t="s">
        <v>1016</v>
      </c>
      <c r="L281">
        <v>62</v>
      </c>
      <c r="M281" t="s">
        <v>16</v>
      </c>
      <c r="N281" t="s">
        <v>1017</v>
      </c>
      <c r="O281" t="s">
        <v>214</v>
      </c>
      <c r="P281" t="s">
        <v>12</v>
      </c>
      <c r="Q281" t="s">
        <v>13</v>
      </c>
      <c r="R281" t="s">
        <v>3865</v>
      </c>
      <c r="S281" t="s">
        <v>1530</v>
      </c>
      <c r="T281" t="s">
        <v>3866</v>
      </c>
      <c r="U281" t="s">
        <v>1606</v>
      </c>
      <c r="V281" t="s">
        <v>1741</v>
      </c>
      <c r="W281" t="s">
        <v>1742</v>
      </c>
      <c r="X281" t="s">
        <v>1739</v>
      </c>
    </row>
    <row r="282" spans="1:24" x14ac:dyDescent="0.3">
      <c r="A282" t="s">
        <v>2089</v>
      </c>
      <c r="B282" s="2">
        <v>45757</v>
      </c>
      <c r="C282" t="s">
        <v>409</v>
      </c>
      <c r="D282" t="s">
        <v>1655</v>
      </c>
      <c r="E282" t="s">
        <v>1765</v>
      </c>
      <c r="F282" s="4">
        <v>1</v>
      </c>
      <c r="G282">
        <v>329.31</v>
      </c>
      <c r="H282">
        <v>0.09</v>
      </c>
      <c r="I282" t="s">
        <v>1807</v>
      </c>
      <c r="J282">
        <v>299.6721</v>
      </c>
      <c r="K282" t="s">
        <v>410</v>
      </c>
      <c r="L282">
        <v>44</v>
      </c>
      <c r="M282" t="s">
        <v>16</v>
      </c>
      <c r="N282" t="s">
        <v>411</v>
      </c>
      <c r="O282" t="s">
        <v>234</v>
      </c>
      <c r="P282" t="s">
        <v>12</v>
      </c>
      <c r="Q282" t="s">
        <v>26</v>
      </c>
      <c r="R282" t="s">
        <v>3894</v>
      </c>
      <c r="S282" t="s">
        <v>1546</v>
      </c>
      <c r="T282" t="s">
        <v>3811</v>
      </c>
      <c r="U282" t="s">
        <v>1656</v>
      </c>
      <c r="V282" t="s">
        <v>1766</v>
      </c>
      <c r="W282" t="s">
        <v>1767</v>
      </c>
      <c r="X282" t="s">
        <v>1755</v>
      </c>
    </row>
    <row r="283" spans="1:24" x14ac:dyDescent="0.3">
      <c r="A283" t="s">
        <v>2090</v>
      </c>
      <c r="B283" s="2">
        <v>45475</v>
      </c>
      <c r="C283" t="s">
        <v>1490</v>
      </c>
      <c r="D283" t="s">
        <v>1625</v>
      </c>
      <c r="E283" t="s">
        <v>1787</v>
      </c>
      <c r="F283" s="4">
        <v>3</v>
      </c>
      <c r="G283">
        <v>64.2</v>
      </c>
      <c r="H283">
        <v>0.08</v>
      </c>
      <c r="I283" t="s">
        <v>1812</v>
      </c>
      <c r="J283">
        <v>177.19200000000001</v>
      </c>
      <c r="K283" t="s">
        <v>1491</v>
      </c>
      <c r="L283">
        <v>52</v>
      </c>
      <c r="M283" t="s">
        <v>16</v>
      </c>
      <c r="N283" t="s">
        <v>1492</v>
      </c>
      <c r="O283" t="s">
        <v>139</v>
      </c>
      <c r="P283" t="s">
        <v>12</v>
      </c>
      <c r="Q283" t="s">
        <v>19</v>
      </c>
      <c r="R283" t="s">
        <v>3877</v>
      </c>
      <c r="S283" t="s">
        <v>1541</v>
      </c>
      <c r="T283" t="s">
        <v>3878</v>
      </c>
      <c r="U283" t="s">
        <v>1626</v>
      </c>
      <c r="V283" t="s">
        <v>1741</v>
      </c>
      <c r="W283" t="s">
        <v>1742</v>
      </c>
      <c r="X283" t="s">
        <v>1739</v>
      </c>
    </row>
    <row r="284" spans="1:24" x14ac:dyDescent="0.3">
      <c r="A284" t="s">
        <v>2091</v>
      </c>
      <c r="B284" s="2">
        <v>45829</v>
      </c>
      <c r="C284" t="s">
        <v>829</v>
      </c>
      <c r="D284" t="s">
        <v>1553</v>
      </c>
      <c r="E284" t="s">
        <v>1780</v>
      </c>
      <c r="F284" s="4">
        <v>3</v>
      </c>
      <c r="G284">
        <v>697.13</v>
      </c>
      <c r="H284">
        <v>0.25</v>
      </c>
      <c r="I284" t="s">
        <v>1812</v>
      </c>
      <c r="J284">
        <v>1568.5425</v>
      </c>
      <c r="K284" t="s">
        <v>830</v>
      </c>
      <c r="L284">
        <v>50</v>
      </c>
      <c r="M284" t="s">
        <v>9</v>
      </c>
      <c r="N284" t="s">
        <v>831</v>
      </c>
      <c r="O284" t="s">
        <v>66</v>
      </c>
      <c r="P284" t="s">
        <v>12</v>
      </c>
      <c r="Q284" t="s">
        <v>31</v>
      </c>
      <c r="R284" t="s">
        <v>3831</v>
      </c>
      <c r="S284" t="s">
        <v>1546</v>
      </c>
      <c r="T284" t="s">
        <v>3820</v>
      </c>
      <c r="U284" t="s">
        <v>1554</v>
      </c>
      <c r="V284" t="s">
        <v>1741</v>
      </c>
      <c r="W284" t="s">
        <v>1742</v>
      </c>
      <c r="X284" t="s">
        <v>1739</v>
      </c>
    </row>
    <row r="285" spans="1:24" x14ac:dyDescent="0.3">
      <c r="A285" t="s">
        <v>2092</v>
      </c>
      <c r="B285" s="2">
        <v>45639</v>
      </c>
      <c r="C285" t="s">
        <v>97</v>
      </c>
      <c r="D285" t="s">
        <v>1548</v>
      </c>
      <c r="E285" t="s">
        <v>1756</v>
      </c>
      <c r="F285" s="4">
        <v>3</v>
      </c>
      <c r="G285">
        <v>134.30000000000001</v>
      </c>
      <c r="H285">
        <v>0.14000000000000001</v>
      </c>
      <c r="I285" t="s">
        <v>1807</v>
      </c>
      <c r="J285">
        <v>346.49400000000003</v>
      </c>
      <c r="K285" t="s">
        <v>3953</v>
      </c>
      <c r="L285">
        <v>52</v>
      </c>
      <c r="M285" t="s">
        <v>16</v>
      </c>
      <c r="N285" t="s">
        <v>98</v>
      </c>
      <c r="O285" t="s">
        <v>99</v>
      </c>
      <c r="P285" t="s">
        <v>12</v>
      </c>
      <c r="Q285" t="s">
        <v>31</v>
      </c>
      <c r="R285" t="s">
        <v>3922</v>
      </c>
      <c r="S285" t="s">
        <v>1541</v>
      </c>
      <c r="T285" t="s">
        <v>3878</v>
      </c>
      <c r="U285" t="s">
        <v>1710</v>
      </c>
      <c r="V285" t="s">
        <v>1757</v>
      </c>
      <c r="W285" t="s">
        <v>1742</v>
      </c>
      <c r="X285" t="s">
        <v>1748</v>
      </c>
    </row>
    <row r="286" spans="1:24" x14ac:dyDescent="0.3">
      <c r="A286" t="s">
        <v>2093</v>
      </c>
      <c r="B286" s="2">
        <v>45518</v>
      </c>
      <c r="C286" t="s">
        <v>823</v>
      </c>
      <c r="D286" t="s">
        <v>1699</v>
      </c>
      <c r="E286" t="s">
        <v>1780</v>
      </c>
      <c r="F286" s="4">
        <v>1</v>
      </c>
      <c r="G286">
        <v>520.92999999999995</v>
      </c>
      <c r="H286">
        <v>0.15</v>
      </c>
      <c r="I286" t="s">
        <v>1807</v>
      </c>
      <c r="J286">
        <v>442.79050000000001</v>
      </c>
      <c r="K286" t="s">
        <v>824</v>
      </c>
      <c r="L286">
        <v>27</v>
      </c>
      <c r="M286" t="s">
        <v>16</v>
      </c>
      <c r="N286" t="s">
        <v>825</v>
      </c>
      <c r="O286" t="s">
        <v>133</v>
      </c>
      <c r="P286" t="s">
        <v>12</v>
      </c>
      <c r="Q286" t="s">
        <v>19</v>
      </c>
      <c r="R286" t="s">
        <v>3917</v>
      </c>
      <c r="S286" t="s">
        <v>1527</v>
      </c>
      <c r="T286" t="s">
        <v>3901</v>
      </c>
      <c r="U286" t="s">
        <v>1700</v>
      </c>
      <c r="V286" t="s">
        <v>1741</v>
      </c>
      <c r="W286" t="s">
        <v>1742</v>
      </c>
      <c r="X286" t="s">
        <v>1739</v>
      </c>
    </row>
    <row r="287" spans="1:24" x14ac:dyDescent="0.3">
      <c r="A287" t="s">
        <v>2094</v>
      </c>
      <c r="B287" s="2">
        <v>45721</v>
      </c>
      <c r="C287" t="s">
        <v>721</v>
      </c>
      <c r="D287" t="s">
        <v>1569</v>
      </c>
      <c r="E287" t="s">
        <v>1762</v>
      </c>
      <c r="F287" s="4">
        <v>2</v>
      </c>
      <c r="G287">
        <v>350.12</v>
      </c>
      <c r="H287">
        <v>0.21</v>
      </c>
      <c r="I287" t="s">
        <v>1812</v>
      </c>
      <c r="J287">
        <v>553.18960000000004</v>
      </c>
      <c r="K287" t="s">
        <v>722</v>
      </c>
      <c r="L287">
        <v>54</v>
      </c>
      <c r="M287" t="s">
        <v>9</v>
      </c>
      <c r="N287" t="s">
        <v>723</v>
      </c>
      <c r="O287" t="s">
        <v>117</v>
      </c>
      <c r="P287" t="s">
        <v>12</v>
      </c>
      <c r="Q287" t="s">
        <v>19</v>
      </c>
      <c r="R287" t="s">
        <v>3843</v>
      </c>
      <c r="S287" t="s">
        <v>1549</v>
      </c>
      <c r="T287" t="s">
        <v>3844</v>
      </c>
      <c r="U287" t="s">
        <v>1570</v>
      </c>
      <c r="V287" t="s">
        <v>1763</v>
      </c>
      <c r="W287" t="s">
        <v>1746</v>
      </c>
      <c r="X287" t="s">
        <v>1755</v>
      </c>
    </row>
    <row r="288" spans="1:24" x14ac:dyDescent="0.3">
      <c r="A288" t="s">
        <v>2095</v>
      </c>
      <c r="B288" s="2">
        <v>45308</v>
      </c>
      <c r="C288" t="s">
        <v>1421</v>
      </c>
      <c r="D288" t="s">
        <v>1627</v>
      </c>
      <c r="E288" t="s">
        <v>1796</v>
      </c>
      <c r="F288" s="4">
        <v>3</v>
      </c>
      <c r="G288">
        <v>807.95</v>
      </c>
      <c r="H288">
        <v>0.1</v>
      </c>
      <c r="I288" t="s">
        <v>1809</v>
      </c>
      <c r="J288">
        <v>2181.4650000000011</v>
      </c>
      <c r="K288" t="s">
        <v>1422</v>
      </c>
      <c r="L288">
        <v>63</v>
      </c>
      <c r="M288" t="s">
        <v>16</v>
      </c>
      <c r="N288" t="s">
        <v>1423</v>
      </c>
      <c r="O288" t="s">
        <v>198</v>
      </c>
      <c r="P288" t="s">
        <v>12</v>
      </c>
      <c r="Q288" t="s">
        <v>31</v>
      </c>
      <c r="R288" t="s">
        <v>3879</v>
      </c>
      <c r="S288" t="s">
        <v>1546</v>
      </c>
      <c r="T288" t="s">
        <v>3820</v>
      </c>
      <c r="U288" t="s">
        <v>1628</v>
      </c>
      <c r="V288" t="s">
        <v>1741</v>
      </c>
      <c r="W288" t="s">
        <v>1742</v>
      </c>
      <c r="X288" t="s">
        <v>1739</v>
      </c>
    </row>
    <row r="289" spans="1:24" x14ac:dyDescent="0.3">
      <c r="A289" t="s">
        <v>2096</v>
      </c>
      <c r="B289" s="2">
        <v>45889</v>
      </c>
      <c r="C289" t="s">
        <v>1042</v>
      </c>
      <c r="D289" t="s">
        <v>1607</v>
      </c>
      <c r="E289" t="s">
        <v>1759</v>
      </c>
      <c r="F289" s="4">
        <v>4</v>
      </c>
      <c r="G289">
        <v>766.03</v>
      </c>
      <c r="H289">
        <v>0.28999999999999998</v>
      </c>
      <c r="I289" t="s">
        <v>1809</v>
      </c>
      <c r="J289">
        <v>2175.5252</v>
      </c>
      <c r="K289" t="s">
        <v>1043</v>
      </c>
      <c r="L289">
        <v>58</v>
      </c>
      <c r="M289" t="s">
        <v>16</v>
      </c>
      <c r="N289" t="s">
        <v>1044</v>
      </c>
      <c r="O289" t="s">
        <v>11</v>
      </c>
      <c r="P289" t="s">
        <v>12</v>
      </c>
      <c r="Q289" t="s">
        <v>19</v>
      </c>
      <c r="R289" t="s">
        <v>3867</v>
      </c>
      <c r="S289" t="s">
        <v>1549</v>
      </c>
      <c r="T289" t="s">
        <v>3851</v>
      </c>
      <c r="U289" t="s">
        <v>1608</v>
      </c>
      <c r="V289" t="s">
        <v>1760</v>
      </c>
      <c r="W289" t="s">
        <v>1737</v>
      </c>
      <c r="X289" t="s">
        <v>1755</v>
      </c>
    </row>
    <row r="290" spans="1:24" x14ac:dyDescent="0.3">
      <c r="A290" t="s">
        <v>2097</v>
      </c>
      <c r="B290" s="2">
        <v>45386</v>
      </c>
      <c r="C290" t="s">
        <v>595</v>
      </c>
      <c r="D290" t="s">
        <v>1645</v>
      </c>
      <c r="E290" t="s">
        <v>1765</v>
      </c>
      <c r="F290" s="4">
        <v>3</v>
      </c>
      <c r="G290">
        <v>545.1</v>
      </c>
      <c r="H290">
        <v>0.08</v>
      </c>
      <c r="I290" t="s">
        <v>1812</v>
      </c>
      <c r="J290">
        <v>1504.4760000000001</v>
      </c>
      <c r="K290" t="s">
        <v>596</v>
      </c>
      <c r="L290">
        <v>18</v>
      </c>
      <c r="M290" t="s">
        <v>9</v>
      </c>
      <c r="N290" t="s">
        <v>597</v>
      </c>
      <c r="O290" t="s">
        <v>96</v>
      </c>
      <c r="P290" t="s">
        <v>12</v>
      </c>
      <c r="Q290" t="s">
        <v>31</v>
      </c>
      <c r="R290" t="s">
        <v>3889</v>
      </c>
      <c r="S290" t="s">
        <v>1549</v>
      </c>
      <c r="T290" t="s">
        <v>3828</v>
      </c>
      <c r="U290" t="s">
        <v>1646</v>
      </c>
      <c r="V290" t="s">
        <v>1766</v>
      </c>
      <c r="W290" t="s">
        <v>1767</v>
      </c>
      <c r="X290" t="s">
        <v>1755</v>
      </c>
    </row>
    <row r="291" spans="1:24" x14ac:dyDescent="0.3">
      <c r="A291" t="s">
        <v>2098</v>
      </c>
      <c r="B291" s="2">
        <v>45438</v>
      </c>
      <c r="C291" t="s">
        <v>832</v>
      </c>
      <c r="D291" t="s">
        <v>1661</v>
      </c>
      <c r="E291" t="s">
        <v>1762</v>
      </c>
      <c r="F291" s="4">
        <v>1</v>
      </c>
      <c r="G291">
        <v>203.61</v>
      </c>
      <c r="H291">
        <v>0.24</v>
      </c>
      <c r="I291" t="s">
        <v>1812</v>
      </c>
      <c r="J291">
        <v>154.74359999999999</v>
      </c>
      <c r="K291" t="s">
        <v>833</v>
      </c>
      <c r="L291">
        <v>25</v>
      </c>
      <c r="M291" t="s">
        <v>9</v>
      </c>
      <c r="N291" t="s">
        <v>834</v>
      </c>
      <c r="O291" t="s">
        <v>323</v>
      </c>
      <c r="P291" t="s">
        <v>12</v>
      </c>
      <c r="Q291" t="s">
        <v>26</v>
      </c>
      <c r="R291" t="s">
        <v>3897</v>
      </c>
      <c r="S291" t="s">
        <v>1549</v>
      </c>
      <c r="T291" t="s">
        <v>3828</v>
      </c>
      <c r="U291" t="s">
        <v>1662</v>
      </c>
      <c r="V291" t="s">
        <v>1763</v>
      </c>
      <c r="W291" t="s">
        <v>1746</v>
      </c>
      <c r="X291" t="s">
        <v>1755</v>
      </c>
    </row>
    <row r="292" spans="1:24" x14ac:dyDescent="0.3">
      <c r="A292" t="s">
        <v>2099</v>
      </c>
      <c r="B292" s="2">
        <v>45856</v>
      </c>
      <c r="C292" t="s">
        <v>1281</v>
      </c>
      <c r="D292" t="s">
        <v>1725</v>
      </c>
      <c r="E292" t="s">
        <v>1784</v>
      </c>
      <c r="F292" s="4">
        <v>4</v>
      </c>
      <c r="G292">
        <v>493.8</v>
      </c>
      <c r="H292">
        <v>0.24</v>
      </c>
      <c r="I292" t="s">
        <v>1812</v>
      </c>
      <c r="J292">
        <v>1501.152</v>
      </c>
      <c r="K292" t="s">
        <v>1282</v>
      </c>
      <c r="L292">
        <v>60</v>
      </c>
      <c r="M292" t="s">
        <v>16</v>
      </c>
      <c r="N292" t="s">
        <v>1283</v>
      </c>
      <c r="O292" t="s">
        <v>11</v>
      </c>
      <c r="P292" t="s">
        <v>12</v>
      </c>
      <c r="Q292" t="s">
        <v>26</v>
      </c>
      <c r="R292" t="s">
        <v>3930</v>
      </c>
      <c r="S292" t="s">
        <v>1549</v>
      </c>
      <c r="T292" t="s">
        <v>3859</v>
      </c>
      <c r="U292" t="s">
        <v>1726</v>
      </c>
      <c r="V292" t="s">
        <v>1741</v>
      </c>
      <c r="W292" t="s">
        <v>1742</v>
      </c>
      <c r="X292" t="s">
        <v>1739</v>
      </c>
    </row>
    <row r="293" spans="1:24" x14ac:dyDescent="0.3">
      <c r="A293" t="s">
        <v>2100</v>
      </c>
      <c r="B293" s="2">
        <v>45485</v>
      </c>
      <c r="C293" t="s">
        <v>78</v>
      </c>
      <c r="D293" t="s">
        <v>1613</v>
      </c>
      <c r="E293" t="s">
        <v>1790</v>
      </c>
      <c r="F293" s="4">
        <v>1</v>
      </c>
      <c r="G293">
        <v>640.54999999999995</v>
      </c>
      <c r="H293">
        <v>0.25</v>
      </c>
      <c r="I293" t="s">
        <v>1807</v>
      </c>
      <c r="J293">
        <v>480.41250000000002</v>
      </c>
      <c r="K293" t="s">
        <v>79</v>
      </c>
      <c r="L293">
        <v>43</v>
      </c>
      <c r="M293" t="s">
        <v>9</v>
      </c>
      <c r="N293" t="s">
        <v>80</v>
      </c>
      <c r="O293" t="s">
        <v>81</v>
      </c>
      <c r="P293" t="s">
        <v>12</v>
      </c>
      <c r="Q293" t="s">
        <v>19</v>
      </c>
      <c r="R293" t="s">
        <v>3871</v>
      </c>
      <c r="S293" t="s">
        <v>1549</v>
      </c>
      <c r="T293" t="s">
        <v>3828</v>
      </c>
      <c r="U293" t="s">
        <v>1614</v>
      </c>
      <c r="V293" t="s">
        <v>1741</v>
      </c>
      <c r="W293" t="s">
        <v>1742</v>
      </c>
      <c r="X293" t="s">
        <v>1739</v>
      </c>
    </row>
    <row r="294" spans="1:24" x14ac:dyDescent="0.3">
      <c r="A294" t="s">
        <v>2101</v>
      </c>
      <c r="B294" s="2">
        <v>45545</v>
      </c>
      <c r="C294" t="s">
        <v>409</v>
      </c>
      <c r="D294" t="s">
        <v>1679</v>
      </c>
      <c r="E294" t="s">
        <v>1752</v>
      </c>
      <c r="F294" s="4">
        <v>1</v>
      </c>
      <c r="G294">
        <v>702.53</v>
      </c>
      <c r="H294">
        <v>0.3</v>
      </c>
      <c r="I294" t="s">
        <v>1807</v>
      </c>
      <c r="J294">
        <v>491.77100000000002</v>
      </c>
      <c r="K294" t="s">
        <v>410</v>
      </c>
      <c r="L294">
        <v>44</v>
      </c>
      <c r="M294" t="s">
        <v>16</v>
      </c>
      <c r="N294" t="s">
        <v>411</v>
      </c>
      <c r="O294" t="s">
        <v>234</v>
      </c>
      <c r="P294" t="s">
        <v>12</v>
      </c>
      <c r="Q294" t="s">
        <v>26</v>
      </c>
      <c r="R294" t="s">
        <v>3907</v>
      </c>
      <c r="S294" t="s">
        <v>1546</v>
      </c>
      <c r="T294" t="s">
        <v>3826</v>
      </c>
      <c r="U294" t="s">
        <v>1680</v>
      </c>
      <c r="V294" t="s">
        <v>1753</v>
      </c>
      <c r="W294" t="s">
        <v>1746</v>
      </c>
      <c r="X294" t="s">
        <v>1755</v>
      </c>
    </row>
    <row r="295" spans="1:24" x14ac:dyDescent="0.3">
      <c r="A295" t="s">
        <v>2102</v>
      </c>
      <c r="B295" s="2">
        <v>45826</v>
      </c>
      <c r="C295" t="s">
        <v>718</v>
      </c>
      <c r="D295" t="s">
        <v>1609</v>
      </c>
      <c r="E295" t="s">
        <v>1765</v>
      </c>
      <c r="F295" s="4">
        <v>4</v>
      </c>
      <c r="G295">
        <v>139.94</v>
      </c>
      <c r="H295">
        <v>0.24</v>
      </c>
      <c r="I295" t="s">
        <v>1807</v>
      </c>
      <c r="J295">
        <v>425.41759999999999</v>
      </c>
      <c r="K295" t="s">
        <v>719</v>
      </c>
      <c r="L295">
        <v>46</v>
      </c>
      <c r="M295" t="s">
        <v>16</v>
      </c>
      <c r="N295" t="s">
        <v>720</v>
      </c>
      <c r="O295" t="s">
        <v>113</v>
      </c>
      <c r="P295" t="s">
        <v>12</v>
      </c>
      <c r="Q295" t="s">
        <v>31</v>
      </c>
      <c r="R295" t="s">
        <v>3868</v>
      </c>
      <c r="S295" t="s">
        <v>1546</v>
      </c>
      <c r="T295" t="s">
        <v>3869</v>
      </c>
      <c r="U295" t="s">
        <v>1610</v>
      </c>
      <c r="V295" t="s">
        <v>1766</v>
      </c>
      <c r="W295" t="s">
        <v>1767</v>
      </c>
      <c r="X295" t="s">
        <v>1755</v>
      </c>
    </row>
    <row r="296" spans="1:24" x14ac:dyDescent="0.3">
      <c r="A296" t="s">
        <v>2103</v>
      </c>
      <c r="B296" s="2">
        <v>45654</v>
      </c>
      <c r="C296" t="s">
        <v>873</v>
      </c>
      <c r="D296" t="s">
        <v>1569</v>
      </c>
      <c r="E296" t="s">
        <v>1765</v>
      </c>
      <c r="F296" s="4">
        <v>2</v>
      </c>
      <c r="G296">
        <v>230.85</v>
      </c>
      <c r="H296">
        <v>0.18</v>
      </c>
      <c r="I296" t="s">
        <v>1807</v>
      </c>
      <c r="J296">
        <v>378.59399999999999</v>
      </c>
      <c r="K296" t="s">
        <v>874</v>
      </c>
      <c r="L296">
        <v>42</v>
      </c>
      <c r="M296" t="s">
        <v>16</v>
      </c>
      <c r="N296" t="s">
        <v>875</v>
      </c>
      <c r="O296" t="s">
        <v>271</v>
      </c>
      <c r="P296" t="s">
        <v>12</v>
      </c>
      <c r="Q296" t="s">
        <v>19</v>
      </c>
      <c r="R296" t="s">
        <v>3843</v>
      </c>
      <c r="S296" t="s">
        <v>1549</v>
      </c>
      <c r="T296" t="s">
        <v>3844</v>
      </c>
      <c r="U296" t="s">
        <v>1570</v>
      </c>
      <c r="V296" t="s">
        <v>1766</v>
      </c>
      <c r="W296" t="s">
        <v>1767</v>
      </c>
      <c r="X296" t="s">
        <v>1755</v>
      </c>
    </row>
    <row r="297" spans="1:24" x14ac:dyDescent="0.3">
      <c r="A297" t="s">
        <v>2104</v>
      </c>
      <c r="B297" s="2">
        <v>45556</v>
      </c>
      <c r="C297" t="s">
        <v>681</v>
      </c>
      <c r="D297" t="s">
        <v>1701</v>
      </c>
      <c r="E297" t="s">
        <v>1790</v>
      </c>
      <c r="F297" s="4">
        <v>4</v>
      </c>
      <c r="G297">
        <v>626.35</v>
      </c>
      <c r="H297">
        <v>0.25</v>
      </c>
      <c r="I297" t="s">
        <v>1812</v>
      </c>
      <c r="J297">
        <v>1879.05</v>
      </c>
      <c r="K297" t="s">
        <v>682</v>
      </c>
      <c r="L297">
        <v>63</v>
      </c>
      <c r="M297" t="s">
        <v>16</v>
      </c>
      <c r="N297" t="s">
        <v>683</v>
      </c>
      <c r="O297" t="s">
        <v>92</v>
      </c>
      <c r="P297" t="s">
        <v>12</v>
      </c>
      <c r="Q297" t="s">
        <v>31</v>
      </c>
      <c r="R297" t="s">
        <v>3918</v>
      </c>
      <c r="S297" t="s">
        <v>1530</v>
      </c>
      <c r="T297" t="s">
        <v>3820</v>
      </c>
      <c r="U297" t="s">
        <v>1702</v>
      </c>
      <c r="V297" t="s">
        <v>1741</v>
      </c>
      <c r="W297" t="s">
        <v>1742</v>
      </c>
      <c r="X297" t="s">
        <v>1739</v>
      </c>
    </row>
    <row r="298" spans="1:24" x14ac:dyDescent="0.3">
      <c r="A298" t="s">
        <v>2105</v>
      </c>
      <c r="B298" s="2">
        <v>45434</v>
      </c>
      <c r="C298" t="s">
        <v>295</v>
      </c>
      <c r="D298" t="s">
        <v>1613</v>
      </c>
      <c r="E298" t="s">
        <v>1782</v>
      </c>
      <c r="F298" s="4">
        <v>4</v>
      </c>
      <c r="G298">
        <v>108.55</v>
      </c>
      <c r="H298">
        <v>0.18</v>
      </c>
      <c r="I298" t="s">
        <v>1809</v>
      </c>
      <c r="J298">
        <v>356.04399999999998</v>
      </c>
      <c r="K298" t="s">
        <v>296</v>
      </c>
      <c r="L298">
        <v>48</v>
      </c>
      <c r="M298" t="s">
        <v>16</v>
      </c>
      <c r="N298" t="s">
        <v>297</v>
      </c>
      <c r="O298" t="s">
        <v>247</v>
      </c>
      <c r="P298" t="s">
        <v>12</v>
      </c>
      <c r="Q298" t="s">
        <v>26</v>
      </c>
      <c r="R298" t="s">
        <v>3871</v>
      </c>
      <c r="S298" t="s">
        <v>1549</v>
      </c>
      <c r="T298" t="s">
        <v>3828</v>
      </c>
      <c r="U298" t="s">
        <v>1614</v>
      </c>
      <c r="V298" t="s">
        <v>1741</v>
      </c>
      <c r="W298" t="s">
        <v>1742</v>
      </c>
      <c r="X298" t="s">
        <v>1739</v>
      </c>
    </row>
    <row r="299" spans="1:24" x14ac:dyDescent="0.3">
      <c r="A299" t="s">
        <v>2106</v>
      </c>
      <c r="B299" s="2">
        <v>45871</v>
      </c>
      <c r="C299" t="s">
        <v>622</v>
      </c>
      <c r="D299" t="s">
        <v>1565</v>
      </c>
      <c r="E299" t="s">
        <v>1740</v>
      </c>
      <c r="F299" s="4">
        <v>4</v>
      </c>
      <c r="G299">
        <v>353.67</v>
      </c>
      <c r="H299">
        <v>0.03</v>
      </c>
      <c r="I299" t="s">
        <v>1812</v>
      </c>
      <c r="J299">
        <v>1372.2396000000001</v>
      </c>
      <c r="K299" t="s">
        <v>623</v>
      </c>
      <c r="L299">
        <v>26</v>
      </c>
      <c r="M299" t="s">
        <v>9</v>
      </c>
      <c r="N299" t="s">
        <v>624</v>
      </c>
      <c r="O299" t="s">
        <v>25</v>
      </c>
      <c r="P299" t="s">
        <v>12</v>
      </c>
      <c r="Q299" t="s">
        <v>26</v>
      </c>
      <c r="R299" t="s">
        <v>3841</v>
      </c>
      <c r="S299" t="s">
        <v>1549</v>
      </c>
      <c r="T299" t="s">
        <v>3820</v>
      </c>
      <c r="U299" t="s">
        <v>1566</v>
      </c>
      <c r="V299" t="s">
        <v>1741</v>
      </c>
      <c r="W299" t="s">
        <v>1742</v>
      </c>
      <c r="X299" t="s">
        <v>1739</v>
      </c>
    </row>
    <row r="300" spans="1:24" x14ac:dyDescent="0.3">
      <c r="A300" t="s">
        <v>2107</v>
      </c>
      <c r="B300" s="2">
        <v>45583</v>
      </c>
      <c r="C300" t="s">
        <v>238</v>
      </c>
      <c r="D300" t="s">
        <v>1711</v>
      </c>
      <c r="E300" t="s">
        <v>1740</v>
      </c>
      <c r="F300" s="4">
        <v>4</v>
      </c>
      <c r="G300">
        <v>61.98</v>
      </c>
      <c r="H300">
        <v>0.16</v>
      </c>
      <c r="I300" t="s">
        <v>1807</v>
      </c>
      <c r="J300">
        <v>208.25280000000001</v>
      </c>
      <c r="K300" t="s">
        <v>239</v>
      </c>
      <c r="L300">
        <v>27</v>
      </c>
      <c r="M300" t="s">
        <v>16</v>
      </c>
      <c r="N300" t="s">
        <v>240</v>
      </c>
      <c r="O300" t="s">
        <v>181</v>
      </c>
      <c r="P300" t="s">
        <v>12</v>
      </c>
      <c r="Q300" t="s">
        <v>31</v>
      </c>
      <c r="R300" t="s">
        <v>3923</v>
      </c>
      <c r="S300" t="s">
        <v>1546</v>
      </c>
      <c r="T300" t="s">
        <v>3820</v>
      </c>
      <c r="U300" t="s">
        <v>1712</v>
      </c>
      <c r="V300" t="s">
        <v>1741</v>
      </c>
      <c r="W300" t="s">
        <v>1742</v>
      </c>
      <c r="X300" t="s">
        <v>1739</v>
      </c>
    </row>
    <row r="301" spans="1:24" x14ac:dyDescent="0.3">
      <c r="A301" t="s">
        <v>2108</v>
      </c>
      <c r="B301" s="2">
        <v>45348</v>
      </c>
      <c r="C301" t="s">
        <v>696</v>
      </c>
      <c r="D301" t="s">
        <v>1575</v>
      </c>
      <c r="E301" t="s">
        <v>1796</v>
      </c>
      <c r="F301" s="4">
        <v>2</v>
      </c>
      <c r="G301">
        <v>873.1</v>
      </c>
      <c r="H301">
        <v>0.12</v>
      </c>
      <c r="I301" t="s">
        <v>1809</v>
      </c>
      <c r="J301">
        <v>1536.6559999999999</v>
      </c>
      <c r="K301" t="s">
        <v>697</v>
      </c>
      <c r="L301">
        <v>42</v>
      </c>
      <c r="M301" t="s">
        <v>9</v>
      </c>
      <c r="N301" t="s">
        <v>698</v>
      </c>
      <c r="O301" t="s">
        <v>30</v>
      </c>
      <c r="P301" t="s">
        <v>12</v>
      </c>
      <c r="Q301" t="s">
        <v>19</v>
      </c>
      <c r="R301" t="s">
        <v>3848</v>
      </c>
      <c r="S301" t="s">
        <v>1549</v>
      </c>
      <c r="T301" t="s">
        <v>3844</v>
      </c>
      <c r="U301" t="s">
        <v>1576</v>
      </c>
      <c r="V301" t="s">
        <v>1741</v>
      </c>
      <c r="W301" t="s">
        <v>1742</v>
      </c>
      <c r="X301" t="s">
        <v>1739</v>
      </c>
    </row>
    <row r="302" spans="1:24" x14ac:dyDescent="0.3">
      <c r="A302" t="s">
        <v>2109</v>
      </c>
      <c r="B302" s="2">
        <v>45268</v>
      </c>
      <c r="C302" t="s">
        <v>642</v>
      </c>
      <c r="D302" t="s">
        <v>1555</v>
      </c>
      <c r="E302" t="s">
        <v>1784</v>
      </c>
      <c r="F302" s="4">
        <v>4</v>
      </c>
      <c r="G302">
        <v>889.47</v>
      </c>
      <c r="H302">
        <v>0.24</v>
      </c>
      <c r="I302" t="s">
        <v>1807</v>
      </c>
      <c r="J302">
        <v>2703.9888000000001</v>
      </c>
      <c r="K302" t="s">
        <v>643</v>
      </c>
      <c r="L302">
        <v>46</v>
      </c>
      <c r="M302" t="s">
        <v>9</v>
      </c>
      <c r="N302" t="s">
        <v>644</v>
      </c>
      <c r="O302" t="s">
        <v>170</v>
      </c>
      <c r="P302" t="s">
        <v>12</v>
      </c>
      <c r="Q302" t="s">
        <v>26</v>
      </c>
      <c r="R302" t="s">
        <v>3832</v>
      </c>
      <c r="S302" t="s">
        <v>1541</v>
      </c>
      <c r="T302" t="s">
        <v>3833</v>
      </c>
      <c r="U302" t="s">
        <v>1556</v>
      </c>
      <c r="V302" t="s">
        <v>1741</v>
      </c>
      <c r="W302" t="s">
        <v>1742</v>
      </c>
      <c r="X302" t="s">
        <v>1739</v>
      </c>
    </row>
    <row r="303" spans="1:24" x14ac:dyDescent="0.3">
      <c r="A303" t="s">
        <v>2110</v>
      </c>
      <c r="B303" s="2">
        <v>45596</v>
      </c>
      <c r="C303" t="s">
        <v>118</v>
      </c>
      <c r="D303" t="s">
        <v>1679</v>
      </c>
      <c r="E303" t="s">
        <v>1775</v>
      </c>
      <c r="F303" s="4">
        <v>3</v>
      </c>
      <c r="G303">
        <v>803.76</v>
      </c>
      <c r="H303">
        <v>0.19</v>
      </c>
      <c r="I303" t="s">
        <v>1812</v>
      </c>
      <c r="J303">
        <v>1953.1368</v>
      </c>
      <c r="K303" t="s">
        <v>119</v>
      </c>
      <c r="L303">
        <v>54</v>
      </c>
      <c r="M303" t="s">
        <v>16</v>
      </c>
      <c r="N303" t="s">
        <v>120</v>
      </c>
      <c r="O303" t="s">
        <v>88</v>
      </c>
      <c r="P303" t="s">
        <v>12</v>
      </c>
      <c r="Q303" t="s">
        <v>19</v>
      </c>
      <c r="R303" t="s">
        <v>3907</v>
      </c>
      <c r="S303" t="s">
        <v>1546</v>
      </c>
      <c r="T303" t="s">
        <v>3826</v>
      </c>
      <c r="U303" t="s">
        <v>1680</v>
      </c>
      <c r="V303" t="s">
        <v>1741</v>
      </c>
      <c r="W303" t="s">
        <v>1742</v>
      </c>
      <c r="X303" t="s">
        <v>1739</v>
      </c>
    </row>
    <row r="304" spans="1:24" x14ac:dyDescent="0.3">
      <c r="A304" t="s">
        <v>2111</v>
      </c>
      <c r="B304" s="2">
        <v>45624</v>
      </c>
      <c r="C304" t="s">
        <v>1427</v>
      </c>
      <c r="D304" t="s">
        <v>1681</v>
      </c>
      <c r="E304" t="s">
        <v>1756</v>
      </c>
      <c r="F304" s="4">
        <v>2</v>
      </c>
      <c r="G304">
        <v>865.14</v>
      </c>
      <c r="H304">
        <v>0.2</v>
      </c>
      <c r="I304" t="s">
        <v>1809</v>
      </c>
      <c r="J304">
        <v>1384.2239999999999</v>
      </c>
      <c r="K304" t="s">
        <v>1428</v>
      </c>
      <c r="L304">
        <v>19</v>
      </c>
      <c r="M304" t="s">
        <v>9</v>
      </c>
      <c r="N304" t="s">
        <v>1429</v>
      </c>
      <c r="O304" t="s">
        <v>170</v>
      </c>
      <c r="P304" t="s">
        <v>12</v>
      </c>
      <c r="Q304" t="s">
        <v>26</v>
      </c>
      <c r="R304" t="s">
        <v>3908</v>
      </c>
      <c r="S304" t="s">
        <v>1530</v>
      </c>
      <c r="T304" t="s">
        <v>3866</v>
      </c>
      <c r="U304" t="s">
        <v>1682</v>
      </c>
      <c r="V304" t="s">
        <v>1757</v>
      </c>
      <c r="W304" t="s">
        <v>1742</v>
      </c>
      <c r="X304" t="s">
        <v>1748</v>
      </c>
    </row>
    <row r="305" spans="1:24" x14ac:dyDescent="0.3">
      <c r="A305" t="s">
        <v>2112</v>
      </c>
      <c r="B305" s="2">
        <v>45813</v>
      </c>
      <c r="C305" t="s">
        <v>342</v>
      </c>
      <c r="D305" t="s">
        <v>1593</v>
      </c>
      <c r="E305" t="s">
        <v>1769</v>
      </c>
      <c r="F305" s="4">
        <v>2</v>
      </c>
      <c r="G305">
        <v>916.49</v>
      </c>
      <c r="H305">
        <v>0.3</v>
      </c>
      <c r="I305" t="s">
        <v>1812</v>
      </c>
      <c r="J305">
        <v>1283.086</v>
      </c>
      <c r="K305" t="s">
        <v>343</v>
      </c>
      <c r="L305">
        <v>24</v>
      </c>
      <c r="M305" t="s">
        <v>9</v>
      </c>
      <c r="N305" t="s">
        <v>344</v>
      </c>
      <c r="O305" t="s">
        <v>39</v>
      </c>
      <c r="P305" t="s">
        <v>12</v>
      </c>
      <c r="Q305" t="s">
        <v>31</v>
      </c>
      <c r="R305" t="s">
        <v>3858</v>
      </c>
      <c r="S305" t="s">
        <v>1549</v>
      </c>
      <c r="T305" t="s">
        <v>3859</v>
      </c>
      <c r="U305" t="s">
        <v>1594</v>
      </c>
      <c r="V305" t="s">
        <v>1770</v>
      </c>
      <c r="W305" t="s">
        <v>1746</v>
      </c>
      <c r="X305" t="s">
        <v>1739</v>
      </c>
    </row>
    <row r="306" spans="1:24" x14ac:dyDescent="0.3">
      <c r="A306" t="s">
        <v>2113</v>
      </c>
      <c r="B306" s="2">
        <v>45615</v>
      </c>
      <c r="C306" t="s">
        <v>163</v>
      </c>
      <c r="D306" t="s">
        <v>1633</v>
      </c>
      <c r="E306" t="s">
        <v>1777</v>
      </c>
      <c r="F306" s="4">
        <v>3</v>
      </c>
      <c r="G306">
        <v>781.39</v>
      </c>
      <c r="H306">
        <v>0.12</v>
      </c>
      <c r="I306" t="s">
        <v>1807</v>
      </c>
      <c r="J306">
        <v>2062.8696</v>
      </c>
      <c r="K306" t="s">
        <v>164</v>
      </c>
      <c r="L306">
        <v>45</v>
      </c>
      <c r="M306" t="s">
        <v>9</v>
      </c>
      <c r="N306" t="s">
        <v>165</v>
      </c>
      <c r="O306" t="s">
        <v>166</v>
      </c>
      <c r="P306" t="s">
        <v>12</v>
      </c>
      <c r="Q306" t="s">
        <v>19</v>
      </c>
      <c r="R306" t="s">
        <v>3883</v>
      </c>
      <c r="S306" t="s">
        <v>1546</v>
      </c>
      <c r="T306" t="s">
        <v>3820</v>
      </c>
      <c r="U306" t="s">
        <v>1634</v>
      </c>
      <c r="V306" t="s">
        <v>1741</v>
      </c>
      <c r="W306" t="s">
        <v>1742</v>
      </c>
      <c r="X306" t="s">
        <v>1739</v>
      </c>
    </row>
    <row r="307" spans="1:24" x14ac:dyDescent="0.3">
      <c r="A307" t="s">
        <v>2114</v>
      </c>
      <c r="B307" s="2">
        <v>45431</v>
      </c>
      <c r="C307" t="s">
        <v>681</v>
      </c>
      <c r="D307" t="s">
        <v>1607</v>
      </c>
      <c r="E307" t="s">
        <v>1777</v>
      </c>
      <c r="F307" s="4">
        <v>4</v>
      </c>
      <c r="G307">
        <v>619.74</v>
      </c>
      <c r="H307">
        <v>0.13</v>
      </c>
      <c r="I307" t="s">
        <v>1812</v>
      </c>
      <c r="J307">
        <v>2156.6952000000001</v>
      </c>
      <c r="K307" t="s">
        <v>682</v>
      </c>
      <c r="L307">
        <v>63</v>
      </c>
      <c r="M307" t="s">
        <v>16</v>
      </c>
      <c r="N307" t="s">
        <v>683</v>
      </c>
      <c r="O307" t="s">
        <v>92</v>
      </c>
      <c r="P307" t="s">
        <v>12</v>
      </c>
      <c r="Q307" t="s">
        <v>31</v>
      </c>
      <c r="R307" t="s">
        <v>3867</v>
      </c>
      <c r="S307" t="s">
        <v>1549</v>
      </c>
      <c r="T307" t="s">
        <v>3851</v>
      </c>
      <c r="U307" t="s">
        <v>1608</v>
      </c>
      <c r="V307" t="s">
        <v>1741</v>
      </c>
      <c r="W307" t="s">
        <v>1742</v>
      </c>
      <c r="X307" t="s">
        <v>1739</v>
      </c>
    </row>
    <row r="308" spans="1:24" x14ac:dyDescent="0.3">
      <c r="A308" t="s">
        <v>2115</v>
      </c>
      <c r="B308" s="2">
        <v>45679</v>
      </c>
      <c r="C308" t="s">
        <v>1464</v>
      </c>
      <c r="D308" t="s">
        <v>1655</v>
      </c>
      <c r="E308" t="s">
        <v>1782</v>
      </c>
      <c r="F308" s="4">
        <v>2</v>
      </c>
      <c r="G308">
        <v>837.76</v>
      </c>
      <c r="H308">
        <v>0.03</v>
      </c>
      <c r="I308" t="s">
        <v>1812</v>
      </c>
      <c r="J308">
        <v>1625.2544</v>
      </c>
      <c r="K308" t="s">
        <v>1465</v>
      </c>
      <c r="L308">
        <v>26</v>
      </c>
      <c r="M308" t="s">
        <v>9</v>
      </c>
      <c r="N308" t="s">
        <v>1466</v>
      </c>
      <c r="O308" t="s">
        <v>81</v>
      </c>
      <c r="P308" t="s">
        <v>12</v>
      </c>
      <c r="Q308" t="s">
        <v>13</v>
      </c>
      <c r="R308" t="s">
        <v>3894</v>
      </c>
      <c r="S308" t="s">
        <v>1546</v>
      </c>
      <c r="T308" t="s">
        <v>3811</v>
      </c>
      <c r="U308" t="s">
        <v>1656</v>
      </c>
      <c r="V308" t="s">
        <v>1741</v>
      </c>
      <c r="W308" t="s">
        <v>1742</v>
      </c>
      <c r="X308" t="s">
        <v>1739</v>
      </c>
    </row>
    <row r="309" spans="1:24" x14ac:dyDescent="0.3">
      <c r="A309" t="s">
        <v>2116</v>
      </c>
      <c r="B309" s="2">
        <v>45842</v>
      </c>
      <c r="C309" t="s">
        <v>1379</v>
      </c>
      <c r="D309" t="s">
        <v>1711</v>
      </c>
      <c r="E309" t="s">
        <v>1740</v>
      </c>
      <c r="F309" s="4">
        <v>3</v>
      </c>
      <c r="G309">
        <v>135.94</v>
      </c>
      <c r="H309">
        <v>0.2</v>
      </c>
      <c r="I309" t="s">
        <v>1807</v>
      </c>
      <c r="J309">
        <v>326.25599999999997</v>
      </c>
      <c r="K309" t="s">
        <v>1380</v>
      </c>
      <c r="L309">
        <v>60</v>
      </c>
      <c r="M309" t="s">
        <v>16</v>
      </c>
      <c r="N309" t="s">
        <v>559</v>
      </c>
      <c r="O309" t="s">
        <v>230</v>
      </c>
      <c r="P309" t="s">
        <v>12</v>
      </c>
      <c r="Q309" t="s">
        <v>13</v>
      </c>
      <c r="R309" t="s">
        <v>3923</v>
      </c>
      <c r="S309" t="s">
        <v>1546</v>
      </c>
      <c r="T309" t="s">
        <v>3820</v>
      </c>
      <c r="U309" t="s">
        <v>1712</v>
      </c>
      <c r="V309" t="s">
        <v>1741</v>
      </c>
      <c r="W309" t="s">
        <v>1742</v>
      </c>
      <c r="X309" t="s">
        <v>1739</v>
      </c>
    </row>
    <row r="310" spans="1:24" x14ac:dyDescent="0.3">
      <c r="A310" t="s">
        <v>2117</v>
      </c>
      <c r="B310" s="2">
        <v>45796</v>
      </c>
      <c r="C310" t="s">
        <v>1458</v>
      </c>
      <c r="D310" t="s">
        <v>1679</v>
      </c>
      <c r="E310" t="s">
        <v>1740</v>
      </c>
      <c r="F310" s="4">
        <v>4</v>
      </c>
      <c r="G310">
        <v>396.53</v>
      </c>
      <c r="H310">
        <v>7.0000000000000007E-2</v>
      </c>
      <c r="I310" t="s">
        <v>1809</v>
      </c>
      <c r="J310">
        <v>1475.0916</v>
      </c>
      <c r="K310" t="s">
        <v>1459</v>
      </c>
      <c r="L310">
        <v>33</v>
      </c>
      <c r="M310" t="s">
        <v>9</v>
      </c>
      <c r="N310" t="s">
        <v>1460</v>
      </c>
      <c r="O310" t="s">
        <v>43</v>
      </c>
      <c r="P310" t="s">
        <v>12</v>
      </c>
      <c r="Q310" t="s">
        <v>26</v>
      </c>
      <c r="R310" t="s">
        <v>3907</v>
      </c>
      <c r="S310" t="s">
        <v>1546</v>
      </c>
      <c r="T310" t="s">
        <v>3826</v>
      </c>
      <c r="U310" t="s">
        <v>1680</v>
      </c>
      <c r="V310" t="s">
        <v>1741</v>
      </c>
      <c r="W310" t="s">
        <v>1742</v>
      </c>
      <c r="X310" t="s">
        <v>1739</v>
      </c>
    </row>
    <row r="311" spans="1:24" x14ac:dyDescent="0.3">
      <c r="A311" t="s">
        <v>2118</v>
      </c>
      <c r="B311" s="2">
        <v>45264</v>
      </c>
      <c r="C311" t="s">
        <v>707</v>
      </c>
      <c r="D311" t="s">
        <v>1589</v>
      </c>
      <c r="E311" t="s">
        <v>1782</v>
      </c>
      <c r="F311" s="4">
        <v>2</v>
      </c>
      <c r="G311">
        <v>722.45</v>
      </c>
      <c r="H311">
        <v>0.22</v>
      </c>
      <c r="I311" t="s">
        <v>1809</v>
      </c>
      <c r="J311">
        <v>1127.0219999999999</v>
      </c>
      <c r="K311" t="s">
        <v>708</v>
      </c>
      <c r="L311">
        <v>38</v>
      </c>
      <c r="M311" t="s">
        <v>9</v>
      </c>
      <c r="N311" t="s">
        <v>3957</v>
      </c>
      <c r="O311" t="s">
        <v>709</v>
      </c>
      <c r="P311" t="s">
        <v>12</v>
      </c>
      <c r="Q311" t="s">
        <v>26</v>
      </c>
      <c r="R311" t="s">
        <v>3856</v>
      </c>
      <c r="S311" t="s">
        <v>1527</v>
      </c>
      <c r="T311" t="s">
        <v>3836</v>
      </c>
      <c r="U311" t="s">
        <v>1590</v>
      </c>
      <c r="V311" t="s">
        <v>1741</v>
      </c>
      <c r="W311" t="s">
        <v>1742</v>
      </c>
      <c r="X311" t="s">
        <v>1739</v>
      </c>
    </row>
    <row r="312" spans="1:24" x14ac:dyDescent="0.3">
      <c r="A312" t="s">
        <v>2119</v>
      </c>
      <c r="B312" s="2">
        <v>45504</v>
      </c>
      <c r="C312" t="s">
        <v>178</v>
      </c>
      <c r="D312" t="s">
        <v>1659</v>
      </c>
      <c r="E312" t="s">
        <v>1744</v>
      </c>
      <c r="F312" s="4">
        <v>2</v>
      </c>
      <c r="G312">
        <v>138.41</v>
      </c>
      <c r="H312">
        <v>0.02</v>
      </c>
      <c r="I312" t="s">
        <v>1807</v>
      </c>
      <c r="J312">
        <v>271.28359999999998</v>
      </c>
      <c r="K312" t="s">
        <v>179</v>
      </c>
      <c r="L312">
        <v>54</v>
      </c>
      <c r="M312" t="s">
        <v>9</v>
      </c>
      <c r="N312" t="s">
        <v>180</v>
      </c>
      <c r="O312" t="s">
        <v>181</v>
      </c>
      <c r="P312" t="s">
        <v>12</v>
      </c>
      <c r="Q312" t="s">
        <v>31</v>
      </c>
      <c r="R312" t="s">
        <v>3896</v>
      </c>
      <c r="S312" t="s">
        <v>1541</v>
      </c>
      <c r="T312" t="s">
        <v>3878</v>
      </c>
      <c r="U312" t="s">
        <v>1660</v>
      </c>
      <c r="V312" t="s">
        <v>1745</v>
      </c>
      <c r="W312" t="s">
        <v>1746</v>
      </c>
      <c r="X312" t="s">
        <v>1748</v>
      </c>
    </row>
    <row r="313" spans="1:24" x14ac:dyDescent="0.3">
      <c r="A313" t="s">
        <v>2120</v>
      </c>
      <c r="B313" s="2">
        <v>45679</v>
      </c>
      <c r="C313" t="s">
        <v>430</v>
      </c>
      <c r="D313" t="s">
        <v>1691</v>
      </c>
      <c r="E313" t="s">
        <v>1744</v>
      </c>
      <c r="F313" s="4">
        <v>4</v>
      </c>
      <c r="G313">
        <v>741.51</v>
      </c>
      <c r="H313">
        <v>0.09</v>
      </c>
      <c r="I313" t="s">
        <v>1812</v>
      </c>
      <c r="J313">
        <v>2699.0963999999999</v>
      </c>
      <c r="K313" t="s">
        <v>431</v>
      </c>
      <c r="L313">
        <v>39</v>
      </c>
      <c r="M313" t="s">
        <v>9</v>
      </c>
      <c r="N313" t="s">
        <v>432</v>
      </c>
      <c r="O313" t="s">
        <v>133</v>
      </c>
      <c r="P313" t="s">
        <v>12</v>
      </c>
      <c r="Q313" t="s">
        <v>13</v>
      </c>
      <c r="R313" t="s">
        <v>3913</v>
      </c>
      <c r="S313" t="s">
        <v>1527</v>
      </c>
      <c r="T313" t="s">
        <v>3830</v>
      </c>
      <c r="U313" t="s">
        <v>1692</v>
      </c>
      <c r="V313" t="s">
        <v>1745</v>
      </c>
      <c r="W313" t="s">
        <v>1746</v>
      </c>
      <c r="X313" t="s">
        <v>1748</v>
      </c>
    </row>
    <row r="314" spans="1:24" x14ac:dyDescent="0.3">
      <c r="A314" t="s">
        <v>2121</v>
      </c>
      <c r="B314" s="2">
        <v>45611</v>
      </c>
      <c r="C314" t="s">
        <v>100</v>
      </c>
      <c r="D314" t="s">
        <v>1691</v>
      </c>
      <c r="E314" t="s">
        <v>1790</v>
      </c>
      <c r="F314" s="4">
        <v>2</v>
      </c>
      <c r="G314">
        <v>588.9</v>
      </c>
      <c r="H314">
        <v>0.19</v>
      </c>
      <c r="I314" t="s">
        <v>1809</v>
      </c>
      <c r="J314">
        <v>954.01800000000003</v>
      </c>
      <c r="K314" t="s">
        <v>101</v>
      </c>
      <c r="L314">
        <v>40</v>
      </c>
      <c r="M314" t="s">
        <v>9</v>
      </c>
      <c r="N314" t="s">
        <v>102</v>
      </c>
      <c r="O314" t="s">
        <v>35</v>
      </c>
      <c r="P314" t="s">
        <v>12</v>
      </c>
      <c r="Q314" t="s">
        <v>31</v>
      </c>
      <c r="R314" t="s">
        <v>3913</v>
      </c>
      <c r="S314" t="s">
        <v>1527</v>
      </c>
      <c r="T314" t="s">
        <v>3830</v>
      </c>
      <c r="U314" t="s">
        <v>1692</v>
      </c>
      <c r="V314" t="s">
        <v>1741</v>
      </c>
      <c r="W314" t="s">
        <v>1742</v>
      </c>
      <c r="X314" t="s">
        <v>1739</v>
      </c>
    </row>
    <row r="315" spans="1:24" x14ac:dyDescent="0.3">
      <c r="A315" t="s">
        <v>2122</v>
      </c>
      <c r="B315" s="2">
        <v>45389</v>
      </c>
      <c r="C315" t="s">
        <v>951</v>
      </c>
      <c r="D315" t="s">
        <v>1631</v>
      </c>
      <c r="E315" t="s">
        <v>1744</v>
      </c>
      <c r="F315" s="4">
        <v>1</v>
      </c>
      <c r="G315">
        <v>88.92</v>
      </c>
      <c r="H315">
        <v>0.19</v>
      </c>
      <c r="I315" t="s">
        <v>1809</v>
      </c>
      <c r="J315">
        <v>72.025200000000012</v>
      </c>
      <c r="K315" t="s">
        <v>3944</v>
      </c>
      <c r="L315">
        <v>64</v>
      </c>
      <c r="M315" t="s">
        <v>9</v>
      </c>
      <c r="N315" t="s">
        <v>952</v>
      </c>
      <c r="O315" t="s">
        <v>62</v>
      </c>
      <c r="P315" t="s">
        <v>12</v>
      </c>
      <c r="Q315" t="s">
        <v>31</v>
      </c>
      <c r="R315" t="s">
        <v>3882</v>
      </c>
      <c r="S315" t="s">
        <v>1549</v>
      </c>
      <c r="T315" t="s">
        <v>3828</v>
      </c>
      <c r="U315" t="s">
        <v>1632</v>
      </c>
      <c r="V315" t="s">
        <v>1745</v>
      </c>
      <c r="W315" t="s">
        <v>1746</v>
      </c>
      <c r="X315" t="s">
        <v>1748</v>
      </c>
    </row>
    <row r="316" spans="1:24" x14ac:dyDescent="0.3">
      <c r="A316" t="s">
        <v>2123</v>
      </c>
      <c r="B316" s="2">
        <v>45339</v>
      </c>
      <c r="C316" t="s">
        <v>406</v>
      </c>
      <c r="D316" t="s">
        <v>1653</v>
      </c>
      <c r="E316" t="s">
        <v>1787</v>
      </c>
      <c r="F316" s="4">
        <v>1</v>
      </c>
      <c r="G316">
        <v>299.13</v>
      </c>
      <c r="H316">
        <v>0.1</v>
      </c>
      <c r="I316" t="s">
        <v>1812</v>
      </c>
      <c r="J316">
        <v>269.21699999999998</v>
      </c>
      <c r="K316" t="s">
        <v>407</v>
      </c>
      <c r="L316">
        <v>40</v>
      </c>
      <c r="M316" t="s">
        <v>9</v>
      </c>
      <c r="N316" t="s">
        <v>408</v>
      </c>
      <c r="O316" t="s">
        <v>70</v>
      </c>
      <c r="P316" t="s">
        <v>12</v>
      </c>
      <c r="Q316" t="s">
        <v>19</v>
      </c>
      <c r="R316" t="s">
        <v>3893</v>
      </c>
      <c r="S316" t="s">
        <v>1549</v>
      </c>
      <c r="T316" t="s">
        <v>3844</v>
      </c>
      <c r="U316" t="s">
        <v>1654</v>
      </c>
      <c r="V316" t="s">
        <v>1741</v>
      </c>
      <c r="W316" t="s">
        <v>1742</v>
      </c>
      <c r="X316" t="s">
        <v>1739</v>
      </c>
    </row>
    <row r="317" spans="1:24" x14ac:dyDescent="0.3">
      <c r="A317" t="s">
        <v>2124</v>
      </c>
      <c r="B317" s="2">
        <v>45433</v>
      </c>
      <c r="C317" t="s">
        <v>400</v>
      </c>
      <c r="D317" t="s">
        <v>1685</v>
      </c>
      <c r="E317" t="s">
        <v>1749</v>
      </c>
      <c r="F317" s="4">
        <v>2</v>
      </c>
      <c r="G317">
        <v>548.29999999999995</v>
      </c>
      <c r="H317">
        <v>0.23</v>
      </c>
      <c r="I317" t="s">
        <v>1807</v>
      </c>
      <c r="J317">
        <v>844.38199999999995</v>
      </c>
      <c r="K317" t="s">
        <v>401</v>
      </c>
      <c r="L317">
        <v>21</v>
      </c>
      <c r="M317" t="s">
        <v>16</v>
      </c>
      <c r="N317" t="s">
        <v>402</v>
      </c>
      <c r="O317" t="s">
        <v>214</v>
      </c>
      <c r="P317" t="s">
        <v>12</v>
      </c>
      <c r="Q317" t="s">
        <v>19</v>
      </c>
      <c r="R317" t="s">
        <v>3910</v>
      </c>
      <c r="S317" t="s">
        <v>1546</v>
      </c>
      <c r="T317" t="s">
        <v>3838</v>
      </c>
      <c r="U317" t="s">
        <v>1686</v>
      </c>
      <c r="V317" t="s">
        <v>1750</v>
      </c>
      <c r="W317" t="s">
        <v>1742</v>
      </c>
      <c r="X317" t="s">
        <v>1748</v>
      </c>
    </row>
    <row r="318" spans="1:24" x14ac:dyDescent="0.3">
      <c r="A318" t="s">
        <v>2125</v>
      </c>
      <c r="B318" s="2">
        <v>45435</v>
      </c>
      <c r="C318" t="s">
        <v>829</v>
      </c>
      <c r="D318" t="s">
        <v>1639</v>
      </c>
      <c r="E318" t="s">
        <v>1772</v>
      </c>
      <c r="F318" s="4">
        <v>3</v>
      </c>
      <c r="G318">
        <v>977.55</v>
      </c>
      <c r="H318">
        <v>0.02</v>
      </c>
      <c r="I318" t="s">
        <v>1809</v>
      </c>
      <c r="J318">
        <v>2873.9969999999989</v>
      </c>
      <c r="K318" t="s">
        <v>830</v>
      </c>
      <c r="L318">
        <v>50</v>
      </c>
      <c r="M318" t="s">
        <v>9</v>
      </c>
      <c r="N318" t="s">
        <v>831</v>
      </c>
      <c r="O318" t="s">
        <v>66</v>
      </c>
      <c r="P318" t="s">
        <v>12</v>
      </c>
      <c r="Q318" t="s">
        <v>31</v>
      </c>
      <c r="R318" t="s">
        <v>3886</v>
      </c>
      <c r="S318" t="s">
        <v>1549</v>
      </c>
      <c r="T318" t="s">
        <v>3820</v>
      </c>
      <c r="U318" t="s">
        <v>1640</v>
      </c>
      <c r="V318" t="s">
        <v>1741</v>
      </c>
      <c r="W318" t="s">
        <v>1742</v>
      </c>
      <c r="X318" t="s">
        <v>1739</v>
      </c>
    </row>
    <row r="319" spans="1:24" x14ac:dyDescent="0.3">
      <c r="A319" t="s">
        <v>2126</v>
      </c>
      <c r="B319" s="2">
        <v>45823</v>
      </c>
      <c r="C319" t="s">
        <v>1075</v>
      </c>
      <c r="D319" t="s">
        <v>1619</v>
      </c>
      <c r="E319" t="s">
        <v>1793</v>
      </c>
      <c r="F319" s="4">
        <v>1</v>
      </c>
      <c r="G319">
        <v>459.42</v>
      </c>
      <c r="H319">
        <v>0.28000000000000003</v>
      </c>
      <c r="I319" t="s">
        <v>1812</v>
      </c>
      <c r="J319">
        <v>330.7824</v>
      </c>
      <c r="K319" t="s">
        <v>1076</v>
      </c>
      <c r="L319">
        <v>39</v>
      </c>
      <c r="M319" t="s">
        <v>16</v>
      </c>
      <c r="N319" t="s">
        <v>1077</v>
      </c>
      <c r="O319" t="s">
        <v>234</v>
      </c>
      <c r="P319" t="s">
        <v>12</v>
      </c>
      <c r="Q319" t="s">
        <v>19</v>
      </c>
      <c r="R319" t="s">
        <v>3874</v>
      </c>
      <c r="S319" t="s">
        <v>1549</v>
      </c>
      <c r="T319" t="s">
        <v>3828</v>
      </c>
      <c r="U319" t="s">
        <v>1620</v>
      </c>
      <c r="V319" t="s">
        <v>1741</v>
      </c>
      <c r="W319" t="s">
        <v>1742</v>
      </c>
      <c r="X319" t="s">
        <v>1739</v>
      </c>
    </row>
    <row r="320" spans="1:24" x14ac:dyDescent="0.3">
      <c r="A320" t="s">
        <v>2127</v>
      </c>
      <c r="B320" s="2">
        <v>45663</v>
      </c>
      <c r="C320" t="s">
        <v>313</v>
      </c>
      <c r="D320" t="s">
        <v>1532</v>
      </c>
      <c r="E320" t="s">
        <v>1752</v>
      </c>
      <c r="F320" s="4">
        <v>2</v>
      </c>
      <c r="G320">
        <v>123.19</v>
      </c>
      <c r="H320">
        <v>0.19</v>
      </c>
      <c r="I320" t="s">
        <v>1807</v>
      </c>
      <c r="J320">
        <v>199.56780000000001</v>
      </c>
      <c r="K320" t="s">
        <v>314</v>
      </c>
      <c r="L320">
        <v>43</v>
      </c>
      <c r="M320" t="s">
        <v>9</v>
      </c>
      <c r="N320" t="s">
        <v>315</v>
      </c>
      <c r="O320" t="s">
        <v>288</v>
      </c>
      <c r="P320" t="s">
        <v>12</v>
      </c>
      <c r="Q320" t="s">
        <v>31</v>
      </c>
      <c r="R320" t="s">
        <v>3843</v>
      </c>
      <c r="S320" t="s">
        <v>1549</v>
      </c>
      <c r="T320" t="s">
        <v>3844</v>
      </c>
      <c r="U320" t="s">
        <v>1570</v>
      </c>
      <c r="V320" t="s">
        <v>1753</v>
      </c>
      <c r="W320" t="s">
        <v>1746</v>
      </c>
      <c r="X320" t="s">
        <v>1755</v>
      </c>
    </row>
    <row r="321" spans="1:24" x14ac:dyDescent="0.3">
      <c r="A321" t="s">
        <v>2128</v>
      </c>
      <c r="B321" s="2">
        <v>45879</v>
      </c>
      <c r="C321" t="s">
        <v>1109</v>
      </c>
      <c r="D321" t="s">
        <v>1641</v>
      </c>
      <c r="E321" t="s">
        <v>1796</v>
      </c>
      <c r="F321" s="4">
        <v>1</v>
      </c>
      <c r="G321">
        <v>222.95</v>
      </c>
      <c r="H321">
        <v>0.02</v>
      </c>
      <c r="I321" t="s">
        <v>1809</v>
      </c>
      <c r="J321">
        <v>218.49100000000001</v>
      </c>
      <c r="K321" t="s">
        <v>1110</v>
      </c>
      <c r="L321">
        <v>32</v>
      </c>
      <c r="M321" t="s">
        <v>9</v>
      </c>
      <c r="N321" t="s">
        <v>1111</v>
      </c>
      <c r="O321" t="s">
        <v>309</v>
      </c>
      <c r="P321" t="s">
        <v>12</v>
      </c>
      <c r="Q321" t="s">
        <v>13</v>
      </c>
      <c r="R321" t="s">
        <v>3887</v>
      </c>
      <c r="S321" t="s">
        <v>1527</v>
      </c>
      <c r="T321" t="s">
        <v>3836</v>
      </c>
      <c r="U321" t="s">
        <v>1642</v>
      </c>
      <c r="V321" t="s">
        <v>1741</v>
      </c>
      <c r="W321" t="s">
        <v>1742</v>
      </c>
      <c r="X321" t="s">
        <v>1739</v>
      </c>
    </row>
    <row r="322" spans="1:24" x14ac:dyDescent="0.3">
      <c r="A322" t="s">
        <v>2129</v>
      </c>
      <c r="B322" s="2">
        <v>45840</v>
      </c>
      <c r="C322" t="s">
        <v>1033</v>
      </c>
      <c r="D322" t="s">
        <v>1595</v>
      </c>
      <c r="E322" t="s">
        <v>1752</v>
      </c>
      <c r="F322" s="4">
        <v>3</v>
      </c>
      <c r="G322">
        <v>601.92999999999995</v>
      </c>
      <c r="H322">
        <v>0.14000000000000001</v>
      </c>
      <c r="I322" t="s">
        <v>1807</v>
      </c>
      <c r="J322">
        <v>1552.9793999999999</v>
      </c>
      <c r="K322" t="s">
        <v>1034</v>
      </c>
      <c r="L322">
        <v>64</v>
      </c>
      <c r="M322" t="s">
        <v>16</v>
      </c>
      <c r="N322" t="s">
        <v>1035</v>
      </c>
      <c r="O322" t="s">
        <v>99</v>
      </c>
      <c r="P322" t="s">
        <v>12</v>
      </c>
      <c r="Q322" t="s">
        <v>26</v>
      </c>
      <c r="R322" t="s">
        <v>3860</v>
      </c>
      <c r="S322" t="s">
        <v>1541</v>
      </c>
      <c r="T322" t="s">
        <v>3822</v>
      </c>
      <c r="U322" t="s">
        <v>1596</v>
      </c>
      <c r="V322" t="s">
        <v>1753</v>
      </c>
      <c r="W322" t="s">
        <v>1746</v>
      </c>
      <c r="X322" t="s">
        <v>1755</v>
      </c>
    </row>
    <row r="323" spans="1:24" x14ac:dyDescent="0.3">
      <c r="A323" t="s">
        <v>2130</v>
      </c>
      <c r="B323" s="2">
        <v>45380</v>
      </c>
      <c r="C323" t="s">
        <v>930</v>
      </c>
      <c r="D323" t="s">
        <v>1669</v>
      </c>
      <c r="E323" t="s">
        <v>1744</v>
      </c>
      <c r="F323" s="4">
        <v>1</v>
      </c>
      <c r="G323">
        <v>564.1</v>
      </c>
      <c r="H323">
        <v>0.03</v>
      </c>
      <c r="I323" t="s">
        <v>1807</v>
      </c>
      <c r="J323">
        <v>547.17700000000002</v>
      </c>
      <c r="K323" t="s">
        <v>931</v>
      </c>
      <c r="L323">
        <v>64</v>
      </c>
      <c r="M323" t="s">
        <v>9</v>
      </c>
      <c r="N323" t="s">
        <v>932</v>
      </c>
      <c r="O323" t="s">
        <v>113</v>
      </c>
      <c r="P323" t="s">
        <v>12</v>
      </c>
      <c r="Q323" t="s">
        <v>31</v>
      </c>
      <c r="R323" t="s">
        <v>3902</v>
      </c>
      <c r="S323" t="s">
        <v>1530</v>
      </c>
      <c r="T323" t="s">
        <v>3818</v>
      </c>
      <c r="U323" t="s">
        <v>1670</v>
      </c>
      <c r="V323" t="s">
        <v>1745</v>
      </c>
      <c r="W323" t="s">
        <v>1746</v>
      </c>
      <c r="X323" t="s">
        <v>1748</v>
      </c>
    </row>
    <row r="324" spans="1:24" x14ac:dyDescent="0.3">
      <c r="A324" t="s">
        <v>2131</v>
      </c>
      <c r="B324" s="2">
        <v>45672</v>
      </c>
      <c r="C324" t="s">
        <v>336</v>
      </c>
      <c r="D324" t="s">
        <v>1691</v>
      </c>
      <c r="E324" t="s">
        <v>1756</v>
      </c>
      <c r="F324" s="4">
        <v>1</v>
      </c>
      <c r="G324">
        <v>516.62</v>
      </c>
      <c r="H324">
        <v>0.18</v>
      </c>
      <c r="I324" t="s">
        <v>1807</v>
      </c>
      <c r="J324">
        <v>423.62840000000011</v>
      </c>
      <c r="K324" t="s">
        <v>337</v>
      </c>
      <c r="L324">
        <v>30</v>
      </c>
      <c r="M324" t="s">
        <v>16</v>
      </c>
      <c r="N324" t="s">
        <v>338</v>
      </c>
      <c r="O324" t="s">
        <v>58</v>
      </c>
      <c r="P324" t="s">
        <v>12</v>
      </c>
      <c r="Q324" t="s">
        <v>19</v>
      </c>
      <c r="R324" t="s">
        <v>3913</v>
      </c>
      <c r="S324" t="s">
        <v>1527</v>
      </c>
      <c r="T324" t="s">
        <v>3830</v>
      </c>
      <c r="U324" t="s">
        <v>1692</v>
      </c>
      <c r="V324" t="s">
        <v>1757</v>
      </c>
      <c r="W324" t="s">
        <v>1742</v>
      </c>
      <c r="X324" t="s">
        <v>1748</v>
      </c>
    </row>
    <row r="325" spans="1:24" x14ac:dyDescent="0.3">
      <c r="A325" t="s">
        <v>2132</v>
      </c>
      <c r="B325" s="2">
        <v>45497</v>
      </c>
      <c r="C325" t="s">
        <v>1341</v>
      </c>
      <c r="D325" t="s">
        <v>1657</v>
      </c>
      <c r="E325" t="s">
        <v>1777</v>
      </c>
      <c r="F325" s="4">
        <v>1</v>
      </c>
      <c r="G325">
        <v>934.75</v>
      </c>
      <c r="H325">
        <v>0.11</v>
      </c>
      <c r="I325" t="s">
        <v>1809</v>
      </c>
      <c r="J325">
        <v>831.92750000000001</v>
      </c>
      <c r="K325" t="s">
        <v>1342</v>
      </c>
      <c r="L325">
        <v>53</v>
      </c>
      <c r="M325" t="s">
        <v>9</v>
      </c>
      <c r="N325" t="s">
        <v>1343</v>
      </c>
      <c r="O325" t="s">
        <v>234</v>
      </c>
      <c r="P325" t="s">
        <v>12</v>
      </c>
      <c r="Q325" t="s">
        <v>19</v>
      </c>
      <c r="R325" t="s">
        <v>3895</v>
      </c>
      <c r="S325" t="s">
        <v>1541</v>
      </c>
      <c r="T325" t="s">
        <v>3822</v>
      </c>
      <c r="U325" t="s">
        <v>1658</v>
      </c>
      <c r="V325" t="s">
        <v>1741</v>
      </c>
      <c r="W325" t="s">
        <v>1742</v>
      </c>
      <c r="X325" t="s">
        <v>1739</v>
      </c>
    </row>
    <row r="326" spans="1:24" x14ac:dyDescent="0.3">
      <c r="A326" t="s">
        <v>2133</v>
      </c>
      <c r="B326" s="2">
        <v>45407</v>
      </c>
      <c r="C326" t="s">
        <v>746</v>
      </c>
      <c r="D326" t="s">
        <v>1727</v>
      </c>
      <c r="E326" t="s">
        <v>1762</v>
      </c>
      <c r="F326" s="4">
        <v>4</v>
      </c>
      <c r="G326">
        <v>548.44000000000005</v>
      </c>
      <c r="H326">
        <v>0.05</v>
      </c>
      <c r="I326" t="s">
        <v>1809</v>
      </c>
      <c r="J326">
        <v>2084.0720000000001</v>
      </c>
      <c r="K326" t="s">
        <v>747</v>
      </c>
      <c r="L326">
        <v>28</v>
      </c>
      <c r="M326" t="s">
        <v>16</v>
      </c>
      <c r="N326" t="s">
        <v>748</v>
      </c>
      <c r="O326" t="s">
        <v>62</v>
      </c>
      <c r="P326" t="s">
        <v>12</v>
      </c>
      <c r="Q326" t="s">
        <v>13</v>
      </c>
      <c r="R326" t="s">
        <v>3931</v>
      </c>
      <c r="S326" t="s">
        <v>1546</v>
      </c>
      <c r="T326" t="s">
        <v>3826</v>
      </c>
      <c r="U326" t="s">
        <v>1728</v>
      </c>
      <c r="V326" t="s">
        <v>1763</v>
      </c>
      <c r="W326" t="s">
        <v>1746</v>
      </c>
      <c r="X326" t="s">
        <v>1755</v>
      </c>
    </row>
    <row r="327" spans="1:24" x14ac:dyDescent="0.3">
      <c r="A327" t="s">
        <v>2134</v>
      </c>
      <c r="B327" s="2">
        <v>45764</v>
      </c>
      <c r="C327" t="s">
        <v>63</v>
      </c>
      <c r="D327" t="s">
        <v>1605</v>
      </c>
      <c r="E327" t="s">
        <v>1749</v>
      </c>
      <c r="F327" s="4">
        <v>3</v>
      </c>
      <c r="G327">
        <v>361.11</v>
      </c>
      <c r="H327">
        <v>0.06</v>
      </c>
      <c r="I327" t="s">
        <v>1807</v>
      </c>
      <c r="J327">
        <v>1018.3302</v>
      </c>
      <c r="K327" t="s">
        <v>64</v>
      </c>
      <c r="L327">
        <v>53</v>
      </c>
      <c r="M327" t="s">
        <v>16</v>
      </c>
      <c r="N327" t="s">
        <v>65</v>
      </c>
      <c r="O327" t="s">
        <v>66</v>
      </c>
      <c r="P327" t="s">
        <v>12</v>
      </c>
      <c r="Q327" t="s">
        <v>31</v>
      </c>
      <c r="R327" t="s">
        <v>3865</v>
      </c>
      <c r="S327" t="s">
        <v>1530</v>
      </c>
      <c r="T327" t="s">
        <v>3866</v>
      </c>
      <c r="U327" t="s">
        <v>1606</v>
      </c>
      <c r="V327" t="s">
        <v>1750</v>
      </c>
      <c r="W327" t="s">
        <v>1742</v>
      </c>
      <c r="X327" t="s">
        <v>1748</v>
      </c>
    </row>
    <row r="328" spans="1:24" x14ac:dyDescent="0.3">
      <c r="A328" t="s">
        <v>2135</v>
      </c>
      <c r="B328" s="2">
        <v>45924</v>
      </c>
      <c r="C328" t="s">
        <v>610</v>
      </c>
      <c r="D328" t="s">
        <v>1557</v>
      </c>
      <c r="E328" t="s">
        <v>1740</v>
      </c>
      <c r="F328" s="4">
        <v>2</v>
      </c>
      <c r="G328">
        <v>610.37</v>
      </c>
      <c r="H328">
        <v>0.1</v>
      </c>
      <c r="I328" t="s">
        <v>1809</v>
      </c>
      <c r="J328">
        <v>1098.6659999999999</v>
      </c>
      <c r="K328" t="s">
        <v>611</v>
      </c>
      <c r="L328">
        <v>42</v>
      </c>
      <c r="M328" t="s">
        <v>9</v>
      </c>
      <c r="N328" t="s">
        <v>612</v>
      </c>
      <c r="O328" t="s">
        <v>22</v>
      </c>
      <c r="P328" t="s">
        <v>12</v>
      </c>
      <c r="Q328" t="s">
        <v>19</v>
      </c>
      <c r="R328" t="s">
        <v>3834</v>
      </c>
      <c r="S328" t="s">
        <v>1546</v>
      </c>
      <c r="T328" t="s">
        <v>3820</v>
      </c>
      <c r="U328" t="s">
        <v>1558</v>
      </c>
      <c r="V328" t="s">
        <v>1741</v>
      </c>
      <c r="W328" t="s">
        <v>1742</v>
      </c>
      <c r="X328" t="s">
        <v>1739</v>
      </c>
    </row>
    <row r="329" spans="1:24" x14ac:dyDescent="0.3">
      <c r="A329" t="s">
        <v>2136</v>
      </c>
      <c r="B329" s="2">
        <v>45240</v>
      </c>
      <c r="C329" t="s">
        <v>1039</v>
      </c>
      <c r="D329" t="s">
        <v>1633</v>
      </c>
      <c r="E329" t="s">
        <v>1787</v>
      </c>
      <c r="F329" s="4">
        <v>1</v>
      </c>
      <c r="G329">
        <v>272.2</v>
      </c>
      <c r="H329">
        <v>0.3</v>
      </c>
      <c r="I329" t="s">
        <v>1807</v>
      </c>
      <c r="J329">
        <v>190.54</v>
      </c>
      <c r="K329" t="s">
        <v>1040</v>
      </c>
      <c r="L329">
        <v>37</v>
      </c>
      <c r="M329" t="s">
        <v>9</v>
      </c>
      <c r="N329" t="s">
        <v>1041</v>
      </c>
      <c r="O329" t="s">
        <v>166</v>
      </c>
      <c r="P329" t="s">
        <v>12</v>
      </c>
      <c r="Q329" t="s">
        <v>31</v>
      </c>
      <c r="R329" t="s">
        <v>3883</v>
      </c>
      <c r="S329" t="s">
        <v>1546</v>
      </c>
      <c r="T329" t="s">
        <v>3820</v>
      </c>
      <c r="U329" t="s">
        <v>1634</v>
      </c>
      <c r="V329" t="s">
        <v>1741</v>
      </c>
      <c r="W329" t="s">
        <v>1742</v>
      </c>
      <c r="X329" t="s">
        <v>1739</v>
      </c>
    </row>
    <row r="330" spans="1:24" x14ac:dyDescent="0.3">
      <c r="A330" t="s">
        <v>2137</v>
      </c>
      <c r="B330" s="2">
        <v>45349</v>
      </c>
      <c r="C330" t="s">
        <v>1341</v>
      </c>
      <c r="D330" t="s">
        <v>1685</v>
      </c>
      <c r="E330" t="s">
        <v>1759</v>
      </c>
      <c r="F330" s="4">
        <v>3</v>
      </c>
      <c r="G330">
        <v>573.1</v>
      </c>
      <c r="H330">
        <v>0.16</v>
      </c>
      <c r="I330" t="s">
        <v>1812</v>
      </c>
      <c r="J330">
        <v>1444.212</v>
      </c>
      <c r="K330" t="s">
        <v>1342</v>
      </c>
      <c r="L330">
        <v>53</v>
      </c>
      <c r="M330" t="s">
        <v>9</v>
      </c>
      <c r="N330" t="s">
        <v>1343</v>
      </c>
      <c r="O330" t="s">
        <v>234</v>
      </c>
      <c r="P330" t="s">
        <v>12</v>
      </c>
      <c r="Q330" t="s">
        <v>19</v>
      </c>
      <c r="R330" t="s">
        <v>3910</v>
      </c>
      <c r="S330" t="s">
        <v>1546</v>
      </c>
      <c r="T330" t="s">
        <v>3838</v>
      </c>
      <c r="U330" t="s">
        <v>1686</v>
      </c>
      <c r="V330" t="s">
        <v>1760</v>
      </c>
      <c r="W330" t="s">
        <v>1737</v>
      </c>
      <c r="X330" t="s">
        <v>1755</v>
      </c>
    </row>
    <row r="331" spans="1:24" x14ac:dyDescent="0.3">
      <c r="A331" t="s">
        <v>2138</v>
      </c>
      <c r="B331" s="2">
        <v>45756</v>
      </c>
      <c r="C331" t="s">
        <v>1004</v>
      </c>
      <c r="D331" t="s">
        <v>1540</v>
      </c>
      <c r="E331" t="s">
        <v>1735</v>
      </c>
      <c r="F331" s="4">
        <v>4</v>
      </c>
      <c r="G331">
        <v>24.72</v>
      </c>
      <c r="H331">
        <v>0.28000000000000003</v>
      </c>
      <c r="I331" t="s">
        <v>1807</v>
      </c>
      <c r="J331">
        <v>71.193599999999989</v>
      </c>
      <c r="K331" t="s">
        <v>1005</v>
      </c>
      <c r="L331">
        <v>64</v>
      </c>
      <c r="M331" t="s">
        <v>16</v>
      </c>
      <c r="N331" t="s">
        <v>1006</v>
      </c>
      <c r="O331" t="s">
        <v>838</v>
      </c>
      <c r="P331" t="s">
        <v>12</v>
      </c>
      <c r="Q331" t="s">
        <v>26</v>
      </c>
      <c r="R331" t="s">
        <v>3891</v>
      </c>
      <c r="S331" t="s">
        <v>1541</v>
      </c>
      <c r="T331" t="s">
        <v>3833</v>
      </c>
      <c r="U331" t="s">
        <v>1650</v>
      </c>
      <c r="V331" t="s">
        <v>1736</v>
      </c>
      <c r="W331" t="s">
        <v>1737</v>
      </c>
      <c r="X331" t="s">
        <v>1739</v>
      </c>
    </row>
    <row r="332" spans="1:24" x14ac:dyDescent="0.3">
      <c r="A332" t="s">
        <v>2139</v>
      </c>
      <c r="B332" s="2">
        <v>45478</v>
      </c>
      <c r="C332" t="s">
        <v>797</v>
      </c>
      <c r="D332" t="s">
        <v>1548</v>
      </c>
      <c r="E332" t="s">
        <v>1769</v>
      </c>
      <c r="F332" s="4">
        <v>3</v>
      </c>
      <c r="G332">
        <v>268.89</v>
      </c>
      <c r="H332">
        <v>7.0000000000000007E-2</v>
      </c>
      <c r="I332" t="s">
        <v>1812</v>
      </c>
      <c r="J332">
        <v>750.20309999999995</v>
      </c>
      <c r="K332" t="s">
        <v>798</v>
      </c>
      <c r="L332">
        <v>26</v>
      </c>
      <c r="M332" t="s">
        <v>9</v>
      </c>
      <c r="N332" t="s">
        <v>799</v>
      </c>
      <c r="O332" t="s">
        <v>22</v>
      </c>
      <c r="P332" t="s">
        <v>12</v>
      </c>
      <c r="Q332" t="s">
        <v>31</v>
      </c>
      <c r="R332" t="s">
        <v>3922</v>
      </c>
      <c r="S332" t="s">
        <v>1541</v>
      </c>
      <c r="T332" t="s">
        <v>3878</v>
      </c>
      <c r="U332" t="s">
        <v>1710</v>
      </c>
      <c r="V332" t="s">
        <v>1770</v>
      </c>
      <c r="W332" t="s">
        <v>1746</v>
      </c>
      <c r="X332" t="s">
        <v>1739</v>
      </c>
    </row>
    <row r="333" spans="1:24" x14ac:dyDescent="0.3">
      <c r="A333" t="s">
        <v>2140</v>
      </c>
      <c r="B333" s="2">
        <v>45890</v>
      </c>
      <c r="C333" t="s">
        <v>814</v>
      </c>
      <c r="D333" t="s">
        <v>1667</v>
      </c>
      <c r="E333" t="s">
        <v>1769</v>
      </c>
      <c r="F333" s="4">
        <v>1</v>
      </c>
      <c r="G333">
        <v>78.5</v>
      </c>
      <c r="H333">
        <v>0.17</v>
      </c>
      <c r="I333" t="s">
        <v>1812</v>
      </c>
      <c r="J333">
        <v>65.155000000000001</v>
      </c>
      <c r="K333" t="s">
        <v>815</v>
      </c>
      <c r="L333">
        <v>24</v>
      </c>
      <c r="M333" t="s">
        <v>16</v>
      </c>
      <c r="N333" t="s">
        <v>816</v>
      </c>
      <c r="O333" t="s">
        <v>709</v>
      </c>
      <c r="P333" t="s">
        <v>12</v>
      </c>
      <c r="Q333" t="s">
        <v>31</v>
      </c>
      <c r="R333" t="s">
        <v>3900</v>
      </c>
      <c r="S333" t="s">
        <v>1527</v>
      </c>
      <c r="T333" t="s">
        <v>3901</v>
      </c>
      <c r="U333" t="s">
        <v>1668</v>
      </c>
      <c r="V333" t="s">
        <v>1770</v>
      </c>
      <c r="W333" t="s">
        <v>1746</v>
      </c>
      <c r="X333" t="s">
        <v>1739</v>
      </c>
    </row>
    <row r="334" spans="1:24" x14ac:dyDescent="0.3">
      <c r="A334" t="s">
        <v>2141</v>
      </c>
      <c r="B334" s="2">
        <v>45815</v>
      </c>
      <c r="C334" t="s">
        <v>450</v>
      </c>
      <c r="D334" t="s">
        <v>1603</v>
      </c>
      <c r="E334" t="s">
        <v>1752</v>
      </c>
      <c r="F334" s="4">
        <v>3</v>
      </c>
      <c r="G334">
        <v>399.42</v>
      </c>
      <c r="H334">
        <v>0.02</v>
      </c>
      <c r="I334" t="s">
        <v>1807</v>
      </c>
      <c r="J334">
        <v>1174.2947999999999</v>
      </c>
      <c r="K334" t="s">
        <v>451</v>
      </c>
      <c r="L334">
        <v>54</v>
      </c>
      <c r="M334" t="s">
        <v>9</v>
      </c>
      <c r="N334" t="s">
        <v>452</v>
      </c>
      <c r="O334" t="s">
        <v>247</v>
      </c>
      <c r="P334" t="s">
        <v>12</v>
      </c>
      <c r="Q334" t="s">
        <v>26</v>
      </c>
      <c r="R334" t="s">
        <v>3864</v>
      </c>
      <c r="S334" t="s">
        <v>1530</v>
      </c>
      <c r="T334" t="s">
        <v>3813</v>
      </c>
      <c r="U334" t="s">
        <v>1604</v>
      </c>
      <c r="V334" t="s">
        <v>1753</v>
      </c>
      <c r="W334" t="s">
        <v>1746</v>
      </c>
      <c r="X334" t="s">
        <v>1755</v>
      </c>
    </row>
    <row r="335" spans="1:24" x14ac:dyDescent="0.3">
      <c r="A335" t="s">
        <v>2142</v>
      </c>
      <c r="B335" s="2">
        <v>45891</v>
      </c>
      <c r="C335" t="s">
        <v>304</v>
      </c>
      <c r="D335" t="s">
        <v>1593</v>
      </c>
      <c r="E335" t="s">
        <v>1796</v>
      </c>
      <c r="F335" s="4">
        <v>3</v>
      </c>
      <c r="G335">
        <v>455.82</v>
      </c>
      <c r="H335">
        <v>0.01</v>
      </c>
      <c r="I335" t="s">
        <v>1809</v>
      </c>
      <c r="J335">
        <v>1353.7854</v>
      </c>
      <c r="K335" t="s">
        <v>305</v>
      </c>
      <c r="L335">
        <v>19</v>
      </c>
      <c r="M335" t="s">
        <v>16</v>
      </c>
      <c r="N335" t="s">
        <v>306</v>
      </c>
      <c r="O335" t="s">
        <v>51</v>
      </c>
      <c r="P335" t="s">
        <v>12</v>
      </c>
      <c r="Q335" t="s">
        <v>31</v>
      </c>
      <c r="R335" t="s">
        <v>3858</v>
      </c>
      <c r="S335" t="s">
        <v>1549</v>
      </c>
      <c r="T335" t="s">
        <v>3859</v>
      </c>
      <c r="U335" t="s">
        <v>1594</v>
      </c>
      <c r="V335" t="s">
        <v>1741</v>
      </c>
      <c r="W335" t="s">
        <v>1742</v>
      </c>
      <c r="X335" t="s">
        <v>1739</v>
      </c>
    </row>
    <row r="336" spans="1:24" x14ac:dyDescent="0.3">
      <c r="A336" t="s">
        <v>2143</v>
      </c>
      <c r="B336" s="2">
        <v>45609</v>
      </c>
      <c r="C336" t="s">
        <v>1083</v>
      </c>
      <c r="D336" t="s">
        <v>1631</v>
      </c>
      <c r="E336" t="s">
        <v>1756</v>
      </c>
      <c r="F336" s="4">
        <v>2</v>
      </c>
      <c r="G336">
        <v>613.23</v>
      </c>
      <c r="H336">
        <v>0.15</v>
      </c>
      <c r="I336" t="s">
        <v>1809</v>
      </c>
      <c r="J336">
        <v>1042.491</v>
      </c>
      <c r="K336" t="s">
        <v>1084</v>
      </c>
      <c r="L336">
        <v>26</v>
      </c>
      <c r="M336" t="s">
        <v>9</v>
      </c>
      <c r="N336" t="s">
        <v>1085</v>
      </c>
      <c r="O336" t="s">
        <v>162</v>
      </c>
      <c r="P336" t="s">
        <v>12</v>
      </c>
      <c r="Q336" t="s">
        <v>26</v>
      </c>
      <c r="R336" t="s">
        <v>3882</v>
      </c>
      <c r="S336" t="s">
        <v>1549</v>
      </c>
      <c r="T336" t="s">
        <v>3828</v>
      </c>
      <c r="U336" t="s">
        <v>1632</v>
      </c>
      <c r="V336" t="s">
        <v>1757</v>
      </c>
      <c r="W336" t="s">
        <v>1742</v>
      </c>
      <c r="X336" t="s">
        <v>1748</v>
      </c>
    </row>
    <row r="337" spans="1:24" x14ac:dyDescent="0.3">
      <c r="A337" t="s">
        <v>2144</v>
      </c>
      <c r="B337" s="2">
        <v>45309</v>
      </c>
      <c r="C337" t="s">
        <v>1398</v>
      </c>
      <c r="D337" t="s">
        <v>1532</v>
      </c>
      <c r="E337" t="s">
        <v>1782</v>
      </c>
      <c r="F337" s="4">
        <v>4</v>
      </c>
      <c r="G337">
        <v>971.9</v>
      </c>
      <c r="H337">
        <v>0.28000000000000003</v>
      </c>
      <c r="I337" t="s">
        <v>1809</v>
      </c>
      <c r="J337">
        <v>2799.0720000000001</v>
      </c>
      <c r="K337" t="s">
        <v>1399</v>
      </c>
      <c r="L337">
        <v>29</v>
      </c>
      <c r="M337" t="s">
        <v>16</v>
      </c>
      <c r="N337" t="s">
        <v>1400</v>
      </c>
      <c r="O337" t="s">
        <v>51</v>
      </c>
      <c r="P337" t="s">
        <v>12</v>
      </c>
      <c r="Q337" t="s">
        <v>31</v>
      </c>
      <c r="R337" t="s">
        <v>3843</v>
      </c>
      <c r="S337" t="s">
        <v>1549</v>
      </c>
      <c r="T337" t="s">
        <v>3844</v>
      </c>
      <c r="U337" t="s">
        <v>1570</v>
      </c>
      <c r="V337" t="s">
        <v>1741</v>
      </c>
      <c r="W337" t="s">
        <v>1742</v>
      </c>
      <c r="X337" t="s">
        <v>1739</v>
      </c>
    </row>
    <row r="338" spans="1:24" x14ac:dyDescent="0.3">
      <c r="A338" t="s">
        <v>2145</v>
      </c>
      <c r="B338" s="2">
        <v>45519</v>
      </c>
      <c r="C338" t="s">
        <v>136</v>
      </c>
      <c r="D338" t="s">
        <v>1587</v>
      </c>
      <c r="E338" t="s">
        <v>1762</v>
      </c>
      <c r="F338" s="4">
        <v>3</v>
      </c>
      <c r="G338">
        <v>884.92</v>
      </c>
      <c r="H338">
        <v>0.06</v>
      </c>
      <c r="I338" t="s">
        <v>1809</v>
      </c>
      <c r="J338">
        <v>2495.4744000000001</v>
      </c>
      <c r="K338" t="s">
        <v>137</v>
      </c>
      <c r="L338">
        <v>52</v>
      </c>
      <c r="M338" t="s">
        <v>9</v>
      </c>
      <c r="N338" t="s">
        <v>138</v>
      </c>
      <c r="O338" t="s">
        <v>139</v>
      </c>
      <c r="P338" t="s">
        <v>12</v>
      </c>
      <c r="Q338" t="s">
        <v>19</v>
      </c>
      <c r="R338" t="s">
        <v>3855</v>
      </c>
      <c r="S338" t="s">
        <v>1549</v>
      </c>
      <c r="T338" t="s">
        <v>3820</v>
      </c>
      <c r="U338" t="s">
        <v>1588</v>
      </c>
      <c r="V338" t="s">
        <v>1763</v>
      </c>
      <c r="W338" t="s">
        <v>1746</v>
      </c>
      <c r="X338" t="s">
        <v>1755</v>
      </c>
    </row>
    <row r="339" spans="1:24" x14ac:dyDescent="0.3">
      <c r="A339" t="s">
        <v>2146</v>
      </c>
      <c r="B339" s="2">
        <v>45921</v>
      </c>
      <c r="C339" t="s">
        <v>310</v>
      </c>
      <c r="D339" t="s">
        <v>1545</v>
      </c>
      <c r="E339" t="s">
        <v>1769</v>
      </c>
      <c r="F339" s="4">
        <v>1</v>
      </c>
      <c r="G339">
        <v>125</v>
      </c>
      <c r="H339">
        <v>0.23</v>
      </c>
      <c r="I339" t="s">
        <v>1807</v>
      </c>
      <c r="J339">
        <v>96.25</v>
      </c>
      <c r="K339" t="s">
        <v>3939</v>
      </c>
      <c r="L339">
        <v>58</v>
      </c>
      <c r="M339" t="s">
        <v>9</v>
      </c>
      <c r="N339" t="s">
        <v>311</v>
      </c>
      <c r="O339" t="s">
        <v>312</v>
      </c>
      <c r="P339" t="s">
        <v>12</v>
      </c>
      <c r="Q339" t="s">
        <v>26</v>
      </c>
      <c r="R339" t="s">
        <v>3912</v>
      </c>
      <c r="S339" t="s">
        <v>1527</v>
      </c>
      <c r="T339" t="s">
        <v>3824</v>
      </c>
      <c r="U339" t="s">
        <v>1690</v>
      </c>
      <c r="V339" t="s">
        <v>1770</v>
      </c>
      <c r="W339" t="s">
        <v>1746</v>
      </c>
      <c r="X339" t="s">
        <v>1739</v>
      </c>
    </row>
    <row r="340" spans="1:24" x14ac:dyDescent="0.3">
      <c r="A340" t="s">
        <v>2147</v>
      </c>
      <c r="B340" s="2">
        <v>45465</v>
      </c>
      <c r="C340" t="s">
        <v>436</v>
      </c>
      <c r="D340" t="s">
        <v>1551</v>
      </c>
      <c r="E340" t="s">
        <v>1784</v>
      </c>
      <c r="F340" s="4">
        <v>2</v>
      </c>
      <c r="G340">
        <v>188.25</v>
      </c>
      <c r="H340">
        <v>0.08</v>
      </c>
      <c r="I340" t="s">
        <v>1809</v>
      </c>
      <c r="J340">
        <v>346.38</v>
      </c>
      <c r="K340" t="s">
        <v>437</v>
      </c>
      <c r="L340">
        <v>43</v>
      </c>
      <c r="M340" t="s">
        <v>16</v>
      </c>
      <c r="N340" t="s">
        <v>438</v>
      </c>
      <c r="O340" t="s">
        <v>288</v>
      </c>
      <c r="P340" t="s">
        <v>12</v>
      </c>
      <c r="Q340" t="s">
        <v>31</v>
      </c>
      <c r="R340" t="s">
        <v>3829</v>
      </c>
      <c r="S340" t="s">
        <v>1527</v>
      </c>
      <c r="T340" t="s">
        <v>3830</v>
      </c>
      <c r="U340" t="s">
        <v>1552</v>
      </c>
      <c r="V340" t="s">
        <v>1741</v>
      </c>
      <c r="W340" t="s">
        <v>1742</v>
      </c>
      <c r="X340" t="s">
        <v>1739</v>
      </c>
    </row>
    <row r="341" spans="1:24" x14ac:dyDescent="0.3">
      <c r="A341" t="s">
        <v>2148</v>
      </c>
      <c r="B341" s="2">
        <v>45303</v>
      </c>
      <c r="C341" t="s">
        <v>713</v>
      </c>
      <c r="D341" t="s">
        <v>1623</v>
      </c>
      <c r="E341" t="s">
        <v>1759</v>
      </c>
      <c r="F341" s="4">
        <v>4</v>
      </c>
      <c r="G341">
        <v>344.12</v>
      </c>
      <c r="H341">
        <v>0.25</v>
      </c>
      <c r="I341" t="s">
        <v>1809</v>
      </c>
      <c r="J341">
        <v>1032.3599999999999</v>
      </c>
      <c r="K341" t="s">
        <v>714</v>
      </c>
      <c r="L341">
        <v>50</v>
      </c>
      <c r="M341" t="s">
        <v>9</v>
      </c>
      <c r="N341" t="s">
        <v>715</v>
      </c>
      <c r="O341" t="s">
        <v>230</v>
      </c>
      <c r="P341" t="s">
        <v>12</v>
      </c>
      <c r="Q341" t="s">
        <v>19</v>
      </c>
      <c r="R341" t="s">
        <v>3876</v>
      </c>
      <c r="S341" t="s">
        <v>1530</v>
      </c>
      <c r="T341" t="s">
        <v>3815</v>
      </c>
      <c r="U341" t="s">
        <v>1624</v>
      </c>
      <c r="V341" t="s">
        <v>1760</v>
      </c>
      <c r="W341" t="s">
        <v>1737</v>
      </c>
      <c r="X341" t="s">
        <v>1755</v>
      </c>
    </row>
    <row r="342" spans="1:24" x14ac:dyDescent="0.3">
      <c r="A342" t="s">
        <v>2149</v>
      </c>
      <c r="B342" s="2">
        <v>45218</v>
      </c>
      <c r="C342" t="s">
        <v>178</v>
      </c>
      <c r="D342" t="s">
        <v>1565</v>
      </c>
      <c r="E342" t="s">
        <v>1796</v>
      </c>
      <c r="F342" s="4">
        <v>3</v>
      </c>
      <c r="G342">
        <v>997.95</v>
      </c>
      <c r="H342">
        <v>0.09</v>
      </c>
      <c r="I342" t="s">
        <v>1812</v>
      </c>
      <c r="J342">
        <v>2724.4034999999999</v>
      </c>
      <c r="K342" t="s">
        <v>179</v>
      </c>
      <c r="L342">
        <v>54</v>
      </c>
      <c r="M342" t="s">
        <v>9</v>
      </c>
      <c r="N342" t="s">
        <v>180</v>
      </c>
      <c r="O342" t="s">
        <v>181</v>
      </c>
      <c r="P342" t="s">
        <v>12</v>
      </c>
      <c r="Q342" t="s">
        <v>31</v>
      </c>
      <c r="R342" t="s">
        <v>3841</v>
      </c>
      <c r="S342" t="s">
        <v>1549</v>
      </c>
      <c r="T342" t="s">
        <v>3820</v>
      </c>
      <c r="U342" t="s">
        <v>1566</v>
      </c>
      <c r="V342" t="s">
        <v>1741</v>
      </c>
      <c r="W342" t="s">
        <v>1742</v>
      </c>
      <c r="X342" t="s">
        <v>1739</v>
      </c>
    </row>
    <row r="343" spans="1:24" x14ac:dyDescent="0.3">
      <c r="A343" t="s">
        <v>2150</v>
      </c>
      <c r="B343" s="2">
        <v>45727</v>
      </c>
      <c r="C343" t="s">
        <v>500</v>
      </c>
      <c r="D343" t="s">
        <v>1553</v>
      </c>
      <c r="E343" t="s">
        <v>1784</v>
      </c>
      <c r="F343" s="4">
        <v>3</v>
      </c>
      <c r="G343">
        <v>121.64</v>
      </c>
      <c r="H343">
        <v>7.0000000000000007E-2</v>
      </c>
      <c r="I343" t="s">
        <v>1809</v>
      </c>
      <c r="J343">
        <v>339.37560000000002</v>
      </c>
      <c r="K343" t="s">
        <v>501</v>
      </c>
      <c r="L343">
        <v>25</v>
      </c>
      <c r="M343" t="s">
        <v>16</v>
      </c>
      <c r="N343" t="s">
        <v>502</v>
      </c>
      <c r="O343" t="s">
        <v>309</v>
      </c>
      <c r="P343" t="s">
        <v>12</v>
      </c>
      <c r="Q343" t="s">
        <v>13</v>
      </c>
      <c r="R343" t="s">
        <v>3831</v>
      </c>
      <c r="S343" t="s">
        <v>1546</v>
      </c>
      <c r="T343" t="s">
        <v>3820</v>
      </c>
      <c r="U343" t="s">
        <v>1554</v>
      </c>
      <c r="V343" t="s">
        <v>1741</v>
      </c>
      <c r="W343" t="s">
        <v>1742</v>
      </c>
      <c r="X343" t="s">
        <v>1739</v>
      </c>
    </row>
    <row r="344" spans="1:24" x14ac:dyDescent="0.3">
      <c r="A344" t="s">
        <v>2151</v>
      </c>
      <c r="B344" s="2">
        <v>45557</v>
      </c>
      <c r="C344" t="s">
        <v>710</v>
      </c>
      <c r="D344" t="s">
        <v>1667</v>
      </c>
      <c r="E344" t="s">
        <v>1772</v>
      </c>
      <c r="F344" s="4">
        <v>2</v>
      </c>
      <c r="G344">
        <v>692.72</v>
      </c>
      <c r="H344">
        <v>0.13</v>
      </c>
      <c r="I344" t="s">
        <v>1809</v>
      </c>
      <c r="J344">
        <v>1205.3327999999999</v>
      </c>
      <c r="K344" t="s">
        <v>711</v>
      </c>
      <c r="L344">
        <v>35</v>
      </c>
      <c r="M344" t="s">
        <v>9</v>
      </c>
      <c r="N344" t="s">
        <v>712</v>
      </c>
      <c r="O344" t="s">
        <v>81</v>
      </c>
      <c r="P344" t="s">
        <v>12</v>
      </c>
      <c r="Q344" t="s">
        <v>19</v>
      </c>
      <c r="R344" t="s">
        <v>3900</v>
      </c>
      <c r="S344" t="s">
        <v>1527</v>
      </c>
      <c r="T344" t="s">
        <v>3901</v>
      </c>
      <c r="U344" t="s">
        <v>1668</v>
      </c>
      <c r="V344" t="s">
        <v>1741</v>
      </c>
      <c r="W344" t="s">
        <v>1742</v>
      </c>
      <c r="X344" t="s">
        <v>1739</v>
      </c>
    </row>
    <row r="345" spans="1:24" x14ac:dyDescent="0.3">
      <c r="A345" t="s">
        <v>2152</v>
      </c>
      <c r="B345" s="2">
        <v>45623</v>
      </c>
      <c r="C345" t="s">
        <v>114</v>
      </c>
      <c r="D345" t="s">
        <v>1579</v>
      </c>
      <c r="E345" t="s">
        <v>1796</v>
      </c>
      <c r="F345" s="4">
        <v>3</v>
      </c>
      <c r="G345">
        <v>794.59</v>
      </c>
      <c r="H345">
        <v>0.03</v>
      </c>
      <c r="I345" t="s">
        <v>1809</v>
      </c>
      <c r="J345">
        <v>2312.2568999999999</v>
      </c>
      <c r="K345" t="s">
        <v>115</v>
      </c>
      <c r="L345">
        <v>27</v>
      </c>
      <c r="M345" t="s">
        <v>16</v>
      </c>
      <c r="N345" t="s">
        <v>116</v>
      </c>
      <c r="O345" t="s">
        <v>117</v>
      </c>
      <c r="P345" t="s">
        <v>12</v>
      </c>
      <c r="Q345" t="s">
        <v>19</v>
      </c>
      <c r="R345" t="s">
        <v>3850</v>
      </c>
      <c r="S345" t="s">
        <v>1549</v>
      </c>
      <c r="T345" t="s">
        <v>3851</v>
      </c>
      <c r="U345" t="s">
        <v>1580</v>
      </c>
      <c r="V345" t="s">
        <v>1741</v>
      </c>
      <c r="W345" t="s">
        <v>1742</v>
      </c>
      <c r="X345" t="s">
        <v>1739</v>
      </c>
    </row>
    <row r="346" spans="1:24" x14ac:dyDescent="0.3">
      <c r="A346" t="s">
        <v>2153</v>
      </c>
      <c r="B346" s="2">
        <v>45224</v>
      </c>
      <c r="C346" t="s">
        <v>67</v>
      </c>
      <c r="D346" t="s">
        <v>1583</v>
      </c>
      <c r="E346" t="s">
        <v>1769</v>
      </c>
      <c r="F346" s="4">
        <v>1</v>
      </c>
      <c r="G346">
        <v>907.95</v>
      </c>
      <c r="H346">
        <v>0.1</v>
      </c>
      <c r="I346" t="s">
        <v>1809</v>
      </c>
      <c r="J346">
        <v>817.15500000000009</v>
      </c>
      <c r="K346" t="s">
        <v>68</v>
      </c>
      <c r="L346">
        <v>49</v>
      </c>
      <c r="M346" t="s">
        <v>16</v>
      </c>
      <c r="N346" t="s">
        <v>69</v>
      </c>
      <c r="O346" t="s">
        <v>70</v>
      </c>
      <c r="P346" t="s">
        <v>12</v>
      </c>
      <c r="Q346" t="s">
        <v>31</v>
      </c>
      <c r="R346" t="s">
        <v>3853</v>
      </c>
      <c r="S346" t="s">
        <v>1546</v>
      </c>
      <c r="T346" t="s">
        <v>3826</v>
      </c>
      <c r="U346" t="s">
        <v>1584</v>
      </c>
      <c r="V346" t="s">
        <v>1770</v>
      </c>
      <c r="W346" t="s">
        <v>1746</v>
      </c>
      <c r="X346" t="s">
        <v>1739</v>
      </c>
    </row>
    <row r="347" spans="1:24" x14ac:dyDescent="0.3">
      <c r="A347" t="s">
        <v>2154</v>
      </c>
      <c r="B347" s="2">
        <v>45940</v>
      </c>
      <c r="C347" t="s">
        <v>903</v>
      </c>
      <c r="D347" t="s">
        <v>1631</v>
      </c>
      <c r="E347" t="s">
        <v>1735</v>
      </c>
      <c r="F347" s="4">
        <v>2</v>
      </c>
      <c r="G347">
        <v>660.81</v>
      </c>
      <c r="H347">
        <v>0.18</v>
      </c>
      <c r="I347" t="s">
        <v>1807</v>
      </c>
      <c r="J347">
        <v>1083.7284</v>
      </c>
      <c r="K347" t="s">
        <v>904</v>
      </c>
      <c r="L347">
        <v>58</v>
      </c>
      <c r="M347" t="s">
        <v>9</v>
      </c>
      <c r="N347" t="s">
        <v>905</v>
      </c>
      <c r="O347" t="s">
        <v>170</v>
      </c>
      <c r="P347" t="s">
        <v>12</v>
      </c>
      <c r="Q347" t="s">
        <v>13</v>
      </c>
      <c r="R347" t="s">
        <v>3882</v>
      </c>
      <c r="S347" t="s">
        <v>1549</v>
      </c>
      <c r="T347" t="s">
        <v>3828</v>
      </c>
      <c r="U347" t="s">
        <v>1632</v>
      </c>
      <c r="V347" t="s">
        <v>1736</v>
      </c>
      <c r="W347" t="s">
        <v>1737</v>
      </c>
      <c r="X347" t="s">
        <v>1739</v>
      </c>
    </row>
    <row r="348" spans="1:24" x14ac:dyDescent="0.3">
      <c r="A348" t="s">
        <v>2155</v>
      </c>
      <c r="B348" s="2">
        <v>45915</v>
      </c>
      <c r="C348" t="s">
        <v>224</v>
      </c>
      <c r="D348" t="s">
        <v>1633</v>
      </c>
      <c r="E348" t="s">
        <v>1765</v>
      </c>
      <c r="F348" s="4">
        <v>3</v>
      </c>
      <c r="G348">
        <v>564.94000000000005</v>
      </c>
      <c r="H348">
        <v>0.22</v>
      </c>
      <c r="I348" t="s">
        <v>1812</v>
      </c>
      <c r="J348">
        <v>1321.9595999999999</v>
      </c>
      <c r="K348" t="s">
        <v>225</v>
      </c>
      <c r="L348">
        <v>50</v>
      </c>
      <c r="M348" t="s">
        <v>9</v>
      </c>
      <c r="N348" t="s">
        <v>226</v>
      </c>
      <c r="O348" t="s">
        <v>113</v>
      </c>
      <c r="P348" t="s">
        <v>12</v>
      </c>
      <c r="Q348" t="s">
        <v>31</v>
      </c>
      <c r="R348" t="s">
        <v>3883</v>
      </c>
      <c r="S348" t="s">
        <v>1546</v>
      </c>
      <c r="T348" t="s">
        <v>3820</v>
      </c>
      <c r="U348" t="s">
        <v>1634</v>
      </c>
      <c r="V348" t="s">
        <v>1766</v>
      </c>
      <c r="W348" t="s">
        <v>1767</v>
      </c>
      <c r="X348" t="s">
        <v>1755</v>
      </c>
    </row>
    <row r="349" spans="1:24" x14ac:dyDescent="0.3">
      <c r="A349" t="s">
        <v>2156</v>
      </c>
      <c r="B349" s="2">
        <v>45541</v>
      </c>
      <c r="C349" t="s">
        <v>202</v>
      </c>
      <c r="D349" t="s">
        <v>1561</v>
      </c>
      <c r="E349" t="s">
        <v>1784</v>
      </c>
      <c r="F349" s="4">
        <v>2</v>
      </c>
      <c r="G349">
        <v>280.37</v>
      </c>
      <c r="H349">
        <v>0.22</v>
      </c>
      <c r="I349" t="s">
        <v>1812</v>
      </c>
      <c r="J349">
        <v>437.37720000000002</v>
      </c>
      <c r="K349" t="s">
        <v>203</v>
      </c>
      <c r="L349">
        <v>56</v>
      </c>
      <c r="M349" t="s">
        <v>16</v>
      </c>
      <c r="N349" t="s">
        <v>204</v>
      </c>
      <c r="O349" t="s">
        <v>96</v>
      </c>
      <c r="P349" t="s">
        <v>12</v>
      </c>
      <c r="Q349" t="s">
        <v>19</v>
      </c>
      <c r="R349" t="s">
        <v>3837</v>
      </c>
      <c r="S349" t="s">
        <v>1546</v>
      </c>
      <c r="T349" t="s">
        <v>3838</v>
      </c>
      <c r="U349" t="s">
        <v>1562</v>
      </c>
      <c r="V349" t="s">
        <v>1741</v>
      </c>
      <c r="W349" t="s">
        <v>1742</v>
      </c>
      <c r="X349" t="s">
        <v>1739</v>
      </c>
    </row>
    <row r="350" spans="1:24" x14ac:dyDescent="0.3">
      <c r="A350" t="s">
        <v>2157</v>
      </c>
      <c r="B350" s="2">
        <v>45489</v>
      </c>
      <c r="C350" t="s">
        <v>1150</v>
      </c>
      <c r="D350" t="s">
        <v>1631</v>
      </c>
      <c r="E350" t="s">
        <v>1749</v>
      </c>
      <c r="F350" s="4">
        <v>2</v>
      </c>
      <c r="G350">
        <v>85.23</v>
      </c>
      <c r="H350">
        <v>0.13</v>
      </c>
      <c r="I350" t="s">
        <v>1807</v>
      </c>
      <c r="J350">
        <v>148.30019999999999</v>
      </c>
      <c r="K350" t="s">
        <v>1151</v>
      </c>
      <c r="L350">
        <v>37</v>
      </c>
      <c r="M350" t="s">
        <v>16</v>
      </c>
      <c r="N350" t="s">
        <v>1152</v>
      </c>
      <c r="O350" t="s">
        <v>25</v>
      </c>
      <c r="P350" t="s">
        <v>12</v>
      </c>
      <c r="Q350" t="s">
        <v>26</v>
      </c>
      <c r="R350" t="s">
        <v>3882</v>
      </c>
      <c r="S350" t="s">
        <v>1549</v>
      </c>
      <c r="T350" t="s">
        <v>3828</v>
      </c>
      <c r="U350" t="s">
        <v>1632</v>
      </c>
      <c r="V350" t="s">
        <v>1750</v>
      </c>
      <c r="W350" t="s">
        <v>1742</v>
      </c>
      <c r="X350" t="s">
        <v>1748</v>
      </c>
    </row>
    <row r="351" spans="1:24" x14ac:dyDescent="0.3">
      <c r="A351" t="s">
        <v>2158</v>
      </c>
      <c r="B351" s="2">
        <v>45748</v>
      </c>
      <c r="C351" t="s">
        <v>974</v>
      </c>
      <c r="D351" t="s">
        <v>1585</v>
      </c>
      <c r="E351" t="s">
        <v>1780</v>
      </c>
      <c r="F351" s="4">
        <v>2</v>
      </c>
      <c r="G351">
        <v>563.29999999999995</v>
      </c>
      <c r="H351">
        <v>0.26</v>
      </c>
      <c r="I351" t="s">
        <v>1807</v>
      </c>
      <c r="J351">
        <v>833.68399999999997</v>
      </c>
      <c r="K351" t="s">
        <v>975</v>
      </c>
      <c r="L351">
        <v>62</v>
      </c>
      <c r="M351" t="s">
        <v>9</v>
      </c>
      <c r="N351" t="s">
        <v>976</v>
      </c>
      <c r="O351" t="s">
        <v>92</v>
      </c>
      <c r="P351" t="s">
        <v>12</v>
      </c>
      <c r="Q351" t="s">
        <v>31</v>
      </c>
      <c r="R351" t="s">
        <v>3854</v>
      </c>
      <c r="S351" t="s">
        <v>1527</v>
      </c>
      <c r="T351" t="s">
        <v>3836</v>
      </c>
      <c r="U351" t="s">
        <v>1586</v>
      </c>
      <c r="V351" t="s">
        <v>1741</v>
      </c>
      <c r="W351" t="s">
        <v>1742</v>
      </c>
      <c r="X351" t="s">
        <v>1739</v>
      </c>
    </row>
    <row r="352" spans="1:24" x14ac:dyDescent="0.3">
      <c r="A352" t="s">
        <v>2159</v>
      </c>
      <c r="B352" s="2">
        <v>45309</v>
      </c>
      <c r="C352" t="s">
        <v>134</v>
      </c>
      <c r="D352" t="s">
        <v>1691</v>
      </c>
      <c r="E352" t="s">
        <v>1793</v>
      </c>
      <c r="F352" s="4">
        <v>2</v>
      </c>
      <c r="G352">
        <v>827.81</v>
      </c>
      <c r="H352">
        <v>0.04</v>
      </c>
      <c r="I352" t="s">
        <v>1809</v>
      </c>
      <c r="J352">
        <v>1589.3951999999999</v>
      </c>
      <c r="K352" t="s">
        <v>3935</v>
      </c>
      <c r="L352">
        <v>27</v>
      </c>
      <c r="M352" t="s">
        <v>16</v>
      </c>
      <c r="N352" t="s">
        <v>135</v>
      </c>
      <c r="O352" t="s">
        <v>96</v>
      </c>
      <c r="P352" t="s">
        <v>12</v>
      </c>
      <c r="Q352" t="s">
        <v>19</v>
      </c>
      <c r="R352" t="s">
        <v>3913</v>
      </c>
      <c r="S352" t="s">
        <v>1527</v>
      </c>
      <c r="T352" t="s">
        <v>3830</v>
      </c>
      <c r="U352" t="s">
        <v>1692</v>
      </c>
      <c r="V352" t="s">
        <v>1741</v>
      </c>
      <c r="W352" t="s">
        <v>1742</v>
      </c>
      <c r="X352" t="s">
        <v>1739</v>
      </c>
    </row>
    <row r="353" spans="1:24" x14ac:dyDescent="0.3">
      <c r="A353" t="s">
        <v>2160</v>
      </c>
      <c r="B353" s="2">
        <v>45621</v>
      </c>
      <c r="C353" t="s">
        <v>690</v>
      </c>
      <c r="D353" t="s">
        <v>1555</v>
      </c>
      <c r="E353" t="s">
        <v>1793</v>
      </c>
      <c r="F353" s="4">
        <v>3</v>
      </c>
      <c r="G353">
        <v>877.71</v>
      </c>
      <c r="H353">
        <v>0.12</v>
      </c>
      <c r="I353" t="s">
        <v>1809</v>
      </c>
      <c r="J353">
        <v>2317.1543999999999</v>
      </c>
      <c r="K353" t="s">
        <v>691</v>
      </c>
      <c r="L353">
        <v>50</v>
      </c>
      <c r="M353" t="s">
        <v>16</v>
      </c>
      <c r="N353" t="s">
        <v>692</v>
      </c>
      <c r="O353" t="s">
        <v>66</v>
      </c>
      <c r="P353" t="s">
        <v>12</v>
      </c>
      <c r="Q353" t="s">
        <v>13</v>
      </c>
      <c r="R353" t="s">
        <v>3832</v>
      </c>
      <c r="S353" t="s">
        <v>1541</v>
      </c>
      <c r="T353" t="s">
        <v>3833</v>
      </c>
      <c r="U353" t="s">
        <v>1556</v>
      </c>
      <c r="V353" t="s">
        <v>1741</v>
      </c>
      <c r="W353" t="s">
        <v>1742</v>
      </c>
      <c r="X353" t="s">
        <v>1739</v>
      </c>
    </row>
    <row r="354" spans="1:24" x14ac:dyDescent="0.3">
      <c r="A354" t="s">
        <v>2161</v>
      </c>
      <c r="B354" s="2">
        <v>45603</v>
      </c>
      <c r="C354" t="s">
        <v>814</v>
      </c>
      <c r="D354" t="s">
        <v>1645</v>
      </c>
      <c r="E354" t="s">
        <v>1769</v>
      </c>
      <c r="F354" s="4">
        <v>4</v>
      </c>
      <c r="G354">
        <v>488.56</v>
      </c>
      <c r="H354">
        <v>0.26</v>
      </c>
      <c r="I354" t="s">
        <v>1812</v>
      </c>
      <c r="J354">
        <v>1446.1376</v>
      </c>
      <c r="K354" t="s">
        <v>815</v>
      </c>
      <c r="L354">
        <v>24</v>
      </c>
      <c r="M354" t="s">
        <v>16</v>
      </c>
      <c r="N354" t="s">
        <v>816</v>
      </c>
      <c r="O354" t="s">
        <v>709</v>
      </c>
      <c r="P354" t="s">
        <v>12</v>
      </c>
      <c r="Q354" t="s">
        <v>31</v>
      </c>
      <c r="R354" t="s">
        <v>3889</v>
      </c>
      <c r="S354" t="s">
        <v>1549</v>
      </c>
      <c r="T354" t="s">
        <v>3828</v>
      </c>
      <c r="U354" t="s">
        <v>1646</v>
      </c>
      <c r="V354" t="s">
        <v>1770</v>
      </c>
      <c r="W354" t="s">
        <v>1746</v>
      </c>
      <c r="X354" t="s">
        <v>1739</v>
      </c>
    </row>
    <row r="355" spans="1:24" x14ac:dyDescent="0.3">
      <c r="A355" t="s">
        <v>2162</v>
      </c>
      <c r="B355" s="2">
        <v>45501</v>
      </c>
      <c r="C355" t="s">
        <v>364</v>
      </c>
      <c r="D355" t="s">
        <v>1581</v>
      </c>
      <c r="E355" t="s">
        <v>1777</v>
      </c>
      <c r="F355" s="4">
        <v>4</v>
      </c>
      <c r="G355">
        <v>175.91</v>
      </c>
      <c r="H355">
        <v>0.13</v>
      </c>
      <c r="I355" t="s">
        <v>1809</v>
      </c>
      <c r="J355">
        <v>612.16679999999997</v>
      </c>
      <c r="K355" t="s">
        <v>365</v>
      </c>
      <c r="L355">
        <v>50</v>
      </c>
      <c r="M355" t="s">
        <v>16</v>
      </c>
      <c r="N355" t="s">
        <v>366</v>
      </c>
      <c r="O355" t="s">
        <v>81</v>
      </c>
      <c r="P355" t="s">
        <v>12</v>
      </c>
      <c r="Q355" t="s">
        <v>31</v>
      </c>
      <c r="R355" t="s">
        <v>3852</v>
      </c>
      <c r="S355" t="s">
        <v>1530</v>
      </c>
      <c r="T355" t="s">
        <v>3820</v>
      </c>
      <c r="U355" t="s">
        <v>1582</v>
      </c>
      <c r="V355" t="s">
        <v>1741</v>
      </c>
      <c r="W355" t="s">
        <v>1742</v>
      </c>
      <c r="X355" t="s">
        <v>1739</v>
      </c>
    </row>
    <row r="356" spans="1:24" x14ac:dyDescent="0.3">
      <c r="A356" t="s">
        <v>2163</v>
      </c>
      <c r="B356" s="2">
        <v>45398</v>
      </c>
      <c r="C356" t="s">
        <v>788</v>
      </c>
      <c r="D356" t="s">
        <v>1705</v>
      </c>
      <c r="E356" t="s">
        <v>1765</v>
      </c>
      <c r="F356" s="4">
        <v>4</v>
      </c>
      <c r="G356">
        <v>289.66000000000003</v>
      </c>
      <c r="H356">
        <v>0.25</v>
      </c>
      <c r="I356" t="s">
        <v>1812</v>
      </c>
      <c r="J356">
        <v>868.98</v>
      </c>
      <c r="K356" t="s">
        <v>789</v>
      </c>
      <c r="L356">
        <v>41</v>
      </c>
      <c r="M356" t="s">
        <v>16</v>
      </c>
      <c r="N356" t="s">
        <v>790</v>
      </c>
      <c r="O356" t="s">
        <v>181</v>
      </c>
      <c r="P356" t="s">
        <v>12</v>
      </c>
      <c r="Q356" t="s">
        <v>13</v>
      </c>
      <c r="R356" t="s">
        <v>3920</v>
      </c>
      <c r="S356" t="s">
        <v>1527</v>
      </c>
      <c r="T356" t="s">
        <v>3824</v>
      </c>
      <c r="U356" t="s">
        <v>1706</v>
      </c>
      <c r="V356" t="s">
        <v>1766</v>
      </c>
      <c r="W356" t="s">
        <v>1767</v>
      </c>
      <c r="X356" t="s">
        <v>1755</v>
      </c>
    </row>
    <row r="357" spans="1:24" x14ac:dyDescent="0.3">
      <c r="A357" t="s">
        <v>2164</v>
      </c>
      <c r="B357" s="2">
        <v>45304</v>
      </c>
      <c r="C357" t="s">
        <v>767</v>
      </c>
      <c r="D357" t="s">
        <v>1561</v>
      </c>
      <c r="E357" t="s">
        <v>1784</v>
      </c>
      <c r="F357" s="4">
        <v>2</v>
      </c>
      <c r="G357">
        <v>899.27</v>
      </c>
      <c r="H357">
        <v>0.17</v>
      </c>
      <c r="I357" t="s">
        <v>1807</v>
      </c>
      <c r="J357">
        <v>1492.7882</v>
      </c>
      <c r="K357" t="s">
        <v>768</v>
      </c>
      <c r="L357">
        <v>58</v>
      </c>
      <c r="M357" t="s">
        <v>16</v>
      </c>
      <c r="N357" t="s">
        <v>769</v>
      </c>
      <c r="O357" t="s">
        <v>284</v>
      </c>
      <c r="P357" t="s">
        <v>12</v>
      </c>
      <c r="Q357" t="s">
        <v>19</v>
      </c>
      <c r="R357" t="s">
        <v>3837</v>
      </c>
      <c r="S357" t="s">
        <v>1546</v>
      </c>
      <c r="T357" t="s">
        <v>3838</v>
      </c>
      <c r="U357" t="s">
        <v>1562</v>
      </c>
      <c r="V357" t="s">
        <v>1741</v>
      </c>
      <c r="W357" t="s">
        <v>1742</v>
      </c>
      <c r="X357" t="s">
        <v>1739</v>
      </c>
    </row>
    <row r="358" spans="1:24" x14ac:dyDescent="0.3">
      <c r="A358" t="s">
        <v>2165</v>
      </c>
      <c r="B358" s="2">
        <v>45299</v>
      </c>
      <c r="C358" t="s">
        <v>238</v>
      </c>
      <c r="D358" t="s">
        <v>1567</v>
      </c>
      <c r="E358" t="s">
        <v>1740</v>
      </c>
      <c r="F358" s="4">
        <v>1</v>
      </c>
      <c r="G358">
        <v>691.38</v>
      </c>
      <c r="H358">
        <v>0.11</v>
      </c>
      <c r="I358" t="s">
        <v>1812</v>
      </c>
      <c r="J358">
        <v>615.32820000000004</v>
      </c>
      <c r="K358" t="s">
        <v>239</v>
      </c>
      <c r="L358">
        <v>27</v>
      </c>
      <c r="M358" t="s">
        <v>16</v>
      </c>
      <c r="N358" t="s">
        <v>240</v>
      </c>
      <c r="O358" t="s">
        <v>181</v>
      </c>
      <c r="P358" t="s">
        <v>12</v>
      </c>
      <c r="Q358" t="s">
        <v>31</v>
      </c>
      <c r="R358" t="s">
        <v>3842</v>
      </c>
      <c r="S358" t="s">
        <v>1530</v>
      </c>
      <c r="T358" t="s">
        <v>3818</v>
      </c>
      <c r="U358" t="s">
        <v>1568</v>
      </c>
      <c r="V358" t="s">
        <v>1741</v>
      </c>
      <c r="W358" t="s">
        <v>1742</v>
      </c>
      <c r="X358" t="s">
        <v>1739</v>
      </c>
    </row>
    <row r="359" spans="1:24" x14ac:dyDescent="0.3">
      <c r="A359" t="s">
        <v>2166</v>
      </c>
      <c r="B359" s="2">
        <v>45564</v>
      </c>
      <c r="C359" t="s">
        <v>545</v>
      </c>
      <c r="D359" t="s">
        <v>1585</v>
      </c>
      <c r="E359" t="s">
        <v>1735</v>
      </c>
      <c r="F359" s="4">
        <v>3</v>
      </c>
      <c r="G359">
        <v>158.72</v>
      </c>
      <c r="H359">
        <v>0.13</v>
      </c>
      <c r="I359" t="s">
        <v>1807</v>
      </c>
      <c r="J359">
        <v>414.25920000000002</v>
      </c>
      <c r="K359" t="s">
        <v>546</v>
      </c>
      <c r="L359">
        <v>25</v>
      </c>
      <c r="M359" t="s">
        <v>16</v>
      </c>
      <c r="N359" t="s">
        <v>547</v>
      </c>
      <c r="O359" t="s">
        <v>191</v>
      </c>
      <c r="P359" t="s">
        <v>12</v>
      </c>
      <c r="Q359" t="s">
        <v>19</v>
      </c>
      <c r="R359" t="s">
        <v>3854</v>
      </c>
      <c r="S359" t="s">
        <v>1527</v>
      </c>
      <c r="T359" t="s">
        <v>3836</v>
      </c>
      <c r="U359" t="s">
        <v>1586</v>
      </c>
      <c r="V359" t="s">
        <v>1736</v>
      </c>
      <c r="W359" t="s">
        <v>1737</v>
      </c>
      <c r="X359" t="s">
        <v>1739</v>
      </c>
    </row>
    <row r="360" spans="1:24" x14ac:dyDescent="0.3">
      <c r="A360" t="s">
        <v>2167</v>
      </c>
      <c r="B360" s="2">
        <v>45413</v>
      </c>
      <c r="C360" t="s">
        <v>678</v>
      </c>
      <c r="D360" t="s">
        <v>1651</v>
      </c>
      <c r="E360" t="s">
        <v>1787</v>
      </c>
      <c r="F360" s="4">
        <v>4</v>
      </c>
      <c r="G360">
        <v>537.15</v>
      </c>
      <c r="H360">
        <v>0.06</v>
      </c>
      <c r="I360" t="s">
        <v>1812</v>
      </c>
      <c r="J360">
        <v>2019.684</v>
      </c>
      <c r="K360" t="s">
        <v>679</v>
      </c>
      <c r="L360">
        <v>20</v>
      </c>
      <c r="M360" t="s">
        <v>16</v>
      </c>
      <c r="N360" t="s">
        <v>680</v>
      </c>
      <c r="O360" t="s">
        <v>81</v>
      </c>
      <c r="P360" t="s">
        <v>12</v>
      </c>
      <c r="Q360" t="s">
        <v>31</v>
      </c>
      <c r="R360" t="s">
        <v>3892</v>
      </c>
      <c r="S360" t="s">
        <v>1541</v>
      </c>
      <c r="T360" t="s">
        <v>3881</v>
      </c>
      <c r="U360" t="s">
        <v>1652</v>
      </c>
      <c r="V360" t="s">
        <v>1741</v>
      </c>
      <c r="W360" t="s">
        <v>1742</v>
      </c>
      <c r="X360" t="s">
        <v>1739</v>
      </c>
    </row>
    <row r="361" spans="1:24" x14ac:dyDescent="0.3">
      <c r="A361" t="s">
        <v>2168</v>
      </c>
      <c r="B361" s="2">
        <v>45480</v>
      </c>
      <c r="C361" t="s">
        <v>1281</v>
      </c>
      <c r="D361" t="s">
        <v>1613</v>
      </c>
      <c r="E361" t="s">
        <v>1769</v>
      </c>
      <c r="F361" s="4">
        <v>3</v>
      </c>
      <c r="G361">
        <v>771.7</v>
      </c>
      <c r="H361">
        <v>0.05</v>
      </c>
      <c r="I361" t="s">
        <v>1812</v>
      </c>
      <c r="J361">
        <v>2199.3449999999998</v>
      </c>
      <c r="K361" t="s">
        <v>1282</v>
      </c>
      <c r="L361">
        <v>60</v>
      </c>
      <c r="M361" t="s">
        <v>16</v>
      </c>
      <c r="N361" t="s">
        <v>1283</v>
      </c>
      <c r="O361" t="s">
        <v>11</v>
      </c>
      <c r="P361" t="s">
        <v>12</v>
      </c>
      <c r="Q361" t="s">
        <v>26</v>
      </c>
      <c r="R361" t="s">
        <v>3871</v>
      </c>
      <c r="S361" t="s">
        <v>1549</v>
      </c>
      <c r="T361" t="s">
        <v>3828</v>
      </c>
      <c r="U361" t="s">
        <v>1614</v>
      </c>
      <c r="V361" t="s">
        <v>1770</v>
      </c>
      <c r="W361" t="s">
        <v>1746</v>
      </c>
      <c r="X361" t="s">
        <v>1739</v>
      </c>
    </row>
    <row r="362" spans="1:24" x14ac:dyDescent="0.3">
      <c r="A362" t="s">
        <v>2169</v>
      </c>
      <c r="B362" s="2">
        <v>45610</v>
      </c>
      <c r="C362" t="s">
        <v>376</v>
      </c>
      <c r="D362" t="s">
        <v>1707</v>
      </c>
      <c r="E362" t="s">
        <v>1740</v>
      </c>
      <c r="F362" s="4">
        <v>4</v>
      </c>
      <c r="G362">
        <v>677.25</v>
      </c>
      <c r="H362">
        <v>0.14000000000000001</v>
      </c>
      <c r="I362" t="s">
        <v>1809</v>
      </c>
      <c r="J362">
        <v>2329.7399999999998</v>
      </c>
      <c r="K362" t="s">
        <v>377</v>
      </c>
      <c r="L362">
        <v>27</v>
      </c>
      <c r="M362" t="s">
        <v>9</v>
      </c>
      <c r="N362" t="s">
        <v>378</v>
      </c>
      <c r="O362" t="s">
        <v>47</v>
      </c>
      <c r="P362" t="s">
        <v>12</v>
      </c>
      <c r="Q362" t="s">
        <v>26</v>
      </c>
      <c r="R362" t="s">
        <v>3921</v>
      </c>
      <c r="S362" t="s">
        <v>1549</v>
      </c>
      <c r="T362" t="s">
        <v>3820</v>
      </c>
      <c r="U362" t="s">
        <v>1708</v>
      </c>
      <c r="V362" t="s">
        <v>1741</v>
      </c>
      <c r="W362" t="s">
        <v>1742</v>
      </c>
      <c r="X362" t="s">
        <v>1739</v>
      </c>
    </row>
    <row r="363" spans="1:24" x14ac:dyDescent="0.3">
      <c r="A363" t="s">
        <v>2170</v>
      </c>
      <c r="B363" s="2">
        <v>45763</v>
      </c>
      <c r="C363" t="s">
        <v>358</v>
      </c>
      <c r="D363" t="s">
        <v>1727</v>
      </c>
      <c r="E363" t="s">
        <v>1775</v>
      </c>
      <c r="F363" s="4">
        <v>1</v>
      </c>
      <c r="G363">
        <v>645.48</v>
      </c>
      <c r="H363">
        <v>0.26</v>
      </c>
      <c r="I363" t="s">
        <v>1812</v>
      </c>
      <c r="J363">
        <v>477.65519999999998</v>
      </c>
      <c r="K363" t="s">
        <v>359</v>
      </c>
      <c r="L363">
        <v>21</v>
      </c>
      <c r="M363" t="s">
        <v>9</v>
      </c>
      <c r="N363" t="s">
        <v>360</v>
      </c>
      <c r="O363" t="s">
        <v>51</v>
      </c>
      <c r="P363" t="s">
        <v>12</v>
      </c>
      <c r="Q363" t="s">
        <v>26</v>
      </c>
      <c r="R363" t="s">
        <v>3931</v>
      </c>
      <c r="S363" t="s">
        <v>1546</v>
      </c>
      <c r="T363" t="s">
        <v>3826</v>
      </c>
      <c r="U363" t="s">
        <v>1728</v>
      </c>
      <c r="V363" t="s">
        <v>1741</v>
      </c>
      <c r="W363" t="s">
        <v>1742</v>
      </c>
      <c r="X363" t="s">
        <v>1739</v>
      </c>
    </row>
    <row r="364" spans="1:24" x14ac:dyDescent="0.3">
      <c r="A364" t="s">
        <v>2171</v>
      </c>
      <c r="B364" s="2">
        <v>45856</v>
      </c>
      <c r="C364" t="s">
        <v>1115</v>
      </c>
      <c r="D364" t="s">
        <v>1677</v>
      </c>
      <c r="E364" t="s">
        <v>1744</v>
      </c>
      <c r="F364" s="4">
        <v>2</v>
      </c>
      <c r="G364">
        <v>934</v>
      </c>
      <c r="H364">
        <v>0.3</v>
      </c>
      <c r="I364" t="s">
        <v>1812</v>
      </c>
      <c r="J364">
        <v>1307.5999999999999</v>
      </c>
      <c r="K364" t="s">
        <v>1116</v>
      </c>
      <c r="L364">
        <v>64</v>
      </c>
      <c r="M364" t="s">
        <v>9</v>
      </c>
      <c r="N364" t="s">
        <v>1117</v>
      </c>
      <c r="O364" t="s">
        <v>288</v>
      </c>
      <c r="P364" t="s">
        <v>12</v>
      </c>
      <c r="Q364" t="s">
        <v>19</v>
      </c>
      <c r="R364" t="s">
        <v>3906</v>
      </c>
      <c r="S364" t="s">
        <v>1549</v>
      </c>
      <c r="T364" t="s">
        <v>3859</v>
      </c>
      <c r="U364" t="s">
        <v>1678</v>
      </c>
      <c r="V364" t="s">
        <v>1745</v>
      </c>
      <c r="W364" t="s">
        <v>1746</v>
      </c>
      <c r="X364" t="s">
        <v>1748</v>
      </c>
    </row>
    <row r="365" spans="1:24" x14ac:dyDescent="0.3">
      <c r="A365" t="s">
        <v>2172</v>
      </c>
      <c r="B365" s="2">
        <v>45712</v>
      </c>
      <c r="C365" t="s">
        <v>1039</v>
      </c>
      <c r="D365" t="s">
        <v>1623</v>
      </c>
      <c r="E365" t="s">
        <v>1744</v>
      </c>
      <c r="F365" s="4">
        <v>1</v>
      </c>
      <c r="G365">
        <v>669.53</v>
      </c>
      <c r="H365">
        <v>0.2</v>
      </c>
      <c r="I365" t="s">
        <v>1807</v>
      </c>
      <c r="J365">
        <v>535.62400000000002</v>
      </c>
      <c r="K365" t="s">
        <v>1040</v>
      </c>
      <c r="L365">
        <v>37</v>
      </c>
      <c r="M365" t="s">
        <v>9</v>
      </c>
      <c r="N365" t="s">
        <v>1041</v>
      </c>
      <c r="O365" t="s">
        <v>166</v>
      </c>
      <c r="P365" t="s">
        <v>12</v>
      </c>
      <c r="Q365" t="s">
        <v>31</v>
      </c>
      <c r="R365" t="s">
        <v>3876</v>
      </c>
      <c r="S365" t="s">
        <v>1530</v>
      </c>
      <c r="T365" t="s">
        <v>3815</v>
      </c>
      <c r="U365" t="s">
        <v>1624</v>
      </c>
      <c r="V365" t="s">
        <v>1745</v>
      </c>
      <c r="W365" t="s">
        <v>1746</v>
      </c>
      <c r="X365" t="s">
        <v>1748</v>
      </c>
    </row>
    <row r="366" spans="1:24" x14ac:dyDescent="0.3">
      <c r="A366" t="s">
        <v>2173</v>
      </c>
      <c r="B366" s="2">
        <v>45723</v>
      </c>
      <c r="C366" t="s">
        <v>696</v>
      </c>
      <c r="D366" t="s">
        <v>1601</v>
      </c>
      <c r="E366" t="s">
        <v>1793</v>
      </c>
      <c r="F366" s="4">
        <v>1</v>
      </c>
      <c r="G366">
        <v>213.69</v>
      </c>
      <c r="H366">
        <v>0.28000000000000003</v>
      </c>
      <c r="I366" t="s">
        <v>1812</v>
      </c>
      <c r="J366">
        <v>153.85679999999999</v>
      </c>
      <c r="K366" t="s">
        <v>697</v>
      </c>
      <c r="L366">
        <v>42</v>
      </c>
      <c r="M366" t="s">
        <v>9</v>
      </c>
      <c r="N366" t="s">
        <v>698</v>
      </c>
      <c r="O366" t="s">
        <v>30</v>
      </c>
      <c r="P366" t="s">
        <v>12</v>
      </c>
      <c r="Q366" t="s">
        <v>19</v>
      </c>
      <c r="R366" t="s">
        <v>3863</v>
      </c>
      <c r="S366" t="s">
        <v>1527</v>
      </c>
      <c r="T366" t="s">
        <v>3824</v>
      </c>
      <c r="U366" t="s">
        <v>1602</v>
      </c>
      <c r="V366" t="s">
        <v>1741</v>
      </c>
      <c r="W366" t="s">
        <v>1742</v>
      </c>
      <c r="X366" t="s">
        <v>1739</v>
      </c>
    </row>
    <row r="367" spans="1:24" x14ac:dyDescent="0.3">
      <c r="A367" t="s">
        <v>2174</v>
      </c>
      <c r="B367" s="2">
        <v>45706</v>
      </c>
      <c r="C367" t="s">
        <v>278</v>
      </c>
      <c r="D367" t="s">
        <v>1573</v>
      </c>
      <c r="E367" t="s">
        <v>1796</v>
      </c>
      <c r="F367" s="4">
        <v>2</v>
      </c>
      <c r="G367">
        <v>99.1</v>
      </c>
      <c r="H367">
        <v>0.2</v>
      </c>
      <c r="I367" t="s">
        <v>1809</v>
      </c>
      <c r="J367">
        <v>158.56</v>
      </c>
      <c r="K367" t="s">
        <v>279</v>
      </c>
      <c r="L367">
        <v>21</v>
      </c>
      <c r="M367" t="s">
        <v>9</v>
      </c>
      <c r="N367" t="s">
        <v>280</v>
      </c>
      <c r="O367" t="s">
        <v>170</v>
      </c>
      <c r="P367" t="s">
        <v>12</v>
      </c>
      <c r="Q367" t="s">
        <v>13</v>
      </c>
      <c r="R367" t="s">
        <v>3846</v>
      </c>
      <c r="S367" t="s">
        <v>1527</v>
      </c>
      <c r="T367" t="s">
        <v>3847</v>
      </c>
      <c r="U367" t="s">
        <v>1574</v>
      </c>
      <c r="V367" t="s">
        <v>1741</v>
      </c>
      <c r="W367" t="s">
        <v>1742</v>
      </c>
      <c r="X367" t="s">
        <v>1739</v>
      </c>
    </row>
    <row r="368" spans="1:24" x14ac:dyDescent="0.3">
      <c r="A368" t="s">
        <v>2175</v>
      </c>
      <c r="B368" s="2">
        <v>45469</v>
      </c>
      <c r="C368" t="s">
        <v>1144</v>
      </c>
      <c r="D368" t="s">
        <v>1605</v>
      </c>
      <c r="E368" t="s">
        <v>1787</v>
      </c>
      <c r="F368" s="4">
        <v>1</v>
      </c>
      <c r="G368">
        <v>628.98</v>
      </c>
      <c r="H368">
        <v>0.03</v>
      </c>
      <c r="I368" t="s">
        <v>1812</v>
      </c>
      <c r="J368">
        <v>610.11059999999998</v>
      </c>
      <c r="K368" t="s">
        <v>1145</v>
      </c>
      <c r="L368">
        <v>21</v>
      </c>
      <c r="M368" t="s">
        <v>16</v>
      </c>
      <c r="N368" t="s">
        <v>1146</v>
      </c>
      <c r="O368" t="s">
        <v>251</v>
      </c>
      <c r="P368" t="s">
        <v>12</v>
      </c>
      <c r="Q368" t="s">
        <v>31</v>
      </c>
      <c r="R368" t="s">
        <v>3865</v>
      </c>
      <c r="S368" t="s">
        <v>1530</v>
      </c>
      <c r="T368" t="s">
        <v>3866</v>
      </c>
      <c r="U368" t="s">
        <v>1606</v>
      </c>
      <c r="V368" t="s">
        <v>1741</v>
      </c>
      <c r="W368" t="s">
        <v>1742</v>
      </c>
      <c r="X368" t="s">
        <v>1739</v>
      </c>
    </row>
    <row r="369" spans="1:24" x14ac:dyDescent="0.3">
      <c r="A369" t="s">
        <v>2176</v>
      </c>
      <c r="B369" s="2">
        <v>45711</v>
      </c>
      <c r="C369" t="s">
        <v>304</v>
      </c>
      <c r="D369" t="s">
        <v>1699</v>
      </c>
      <c r="E369" t="s">
        <v>1752</v>
      </c>
      <c r="F369" s="4">
        <v>3</v>
      </c>
      <c r="G369">
        <v>944.64</v>
      </c>
      <c r="H369">
        <v>0.26</v>
      </c>
      <c r="I369" t="s">
        <v>1807</v>
      </c>
      <c r="J369">
        <v>2097.1008000000002</v>
      </c>
      <c r="K369" t="s">
        <v>305</v>
      </c>
      <c r="L369">
        <v>19</v>
      </c>
      <c r="M369" t="s">
        <v>16</v>
      </c>
      <c r="N369" t="s">
        <v>306</v>
      </c>
      <c r="O369" t="s">
        <v>51</v>
      </c>
      <c r="P369" t="s">
        <v>12</v>
      </c>
      <c r="Q369" t="s">
        <v>31</v>
      </c>
      <c r="R369" t="s">
        <v>3917</v>
      </c>
      <c r="S369" t="s">
        <v>1527</v>
      </c>
      <c r="T369" t="s">
        <v>3901</v>
      </c>
      <c r="U369" t="s">
        <v>1700</v>
      </c>
      <c r="V369" t="s">
        <v>1753</v>
      </c>
      <c r="W369" t="s">
        <v>1746</v>
      </c>
      <c r="X369" t="s">
        <v>1755</v>
      </c>
    </row>
    <row r="370" spans="1:24" x14ac:dyDescent="0.3">
      <c r="A370" t="s">
        <v>2177</v>
      </c>
      <c r="B370" s="2">
        <v>45823</v>
      </c>
      <c r="C370" t="s">
        <v>1436</v>
      </c>
      <c r="D370" t="s">
        <v>1717</v>
      </c>
      <c r="E370" t="s">
        <v>1777</v>
      </c>
      <c r="F370" s="4">
        <v>2</v>
      </c>
      <c r="G370">
        <v>121.7</v>
      </c>
      <c r="H370">
        <v>0.06</v>
      </c>
      <c r="I370" t="s">
        <v>1812</v>
      </c>
      <c r="J370">
        <v>228.79599999999999</v>
      </c>
      <c r="K370" t="s">
        <v>1437</v>
      </c>
      <c r="L370">
        <v>42</v>
      </c>
      <c r="M370" t="s">
        <v>9</v>
      </c>
      <c r="N370" t="s">
        <v>1438</v>
      </c>
      <c r="O370" t="s">
        <v>66</v>
      </c>
      <c r="P370" t="s">
        <v>12</v>
      </c>
      <c r="Q370" t="s">
        <v>19</v>
      </c>
      <c r="R370" t="s">
        <v>3926</v>
      </c>
      <c r="S370" t="s">
        <v>1546</v>
      </c>
      <c r="T370" t="s">
        <v>3811</v>
      </c>
      <c r="U370" t="s">
        <v>1718</v>
      </c>
      <c r="V370" t="s">
        <v>1741</v>
      </c>
      <c r="W370" t="s">
        <v>1742</v>
      </c>
      <c r="X370" t="s">
        <v>1739</v>
      </c>
    </row>
    <row r="371" spans="1:24" x14ac:dyDescent="0.3">
      <c r="A371" t="s">
        <v>2178</v>
      </c>
      <c r="B371" s="2">
        <v>45217</v>
      </c>
      <c r="C371" t="s">
        <v>1370</v>
      </c>
      <c r="D371" t="s">
        <v>1661</v>
      </c>
      <c r="E371" t="s">
        <v>1749</v>
      </c>
      <c r="F371" s="4">
        <v>4</v>
      </c>
      <c r="G371">
        <v>269.49</v>
      </c>
      <c r="H371">
        <v>7.0000000000000007E-2</v>
      </c>
      <c r="I371" t="s">
        <v>1809</v>
      </c>
      <c r="J371">
        <v>1002.5028</v>
      </c>
      <c r="K371" t="s">
        <v>1371</v>
      </c>
      <c r="L371">
        <v>29</v>
      </c>
      <c r="M371" t="s">
        <v>9</v>
      </c>
      <c r="N371" t="s">
        <v>1372</v>
      </c>
      <c r="O371" t="s">
        <v>838</v>
      </c>
      <c r="P371" t="s">
        <v>12</v>
      </c>
      <c r="Q371" t="s">
        <v>26</v>
      </c>
      <c r="R371" t="s">
        <v>3897</v>
      </c>
      <c r="S371" t="s">
        <v>1549</v>
      </c>
      <c r="T371" t="s">
        <v>3828</v>
      </c>
      <c r="U371" t="s">
        <v>1662</v>
      </c>
      <c r="V371" t="s">
        <v>1750</v>
      </c>
      <c r="W371" t="s">
        <v>1742</v>
      </c>
      <c r="X371" t="s">
        <v>1748</v>
      </c>
    </row>
    <row r="372" spans="1:24" x14ac:dyDescent="0.3">
      <c r="A372" t="s">
        <v>2179</v>
      </c>
      <c r="B372" s="2">
        <v>45733</v>
      </c>
      <c r="C372" t="s">
        <v>348</v>
      </c>
      <c r="D372" t="s">
        <v>1575</v>
      </c>
      <c r="E372" t="s">
        <v>1793</v>
      </c>
      <c r="F372" s="4">
        <v>1</v>
      </c>
      <c r="G372">
        <v>678.2</v>
      </c>
      <c r="H372">
        <v>0.14000000000000001</v>
      </c>
      <c r="I372" t="s">
        <v>1807</v>
      </c>
      <c r="J372">
        <v>583.25200000000007</v>
      </c>
      <c r="K372" t="s">
        <v>349</v>
      </c>
      <c r="L372">
        <v>53</v>
      </c>
      <c r="M372" t="s">
        <v>16</v>
      </c>
      <c r="N372" t="s">
        <v>350</v>
      </c>
      <c r="O372" t="s">
        <v>234</v>
      </c>
      <c r="P372" t="s">
        <v>12</v>
      </c>
      <c r="Q372" t="s">
        <v>31</v>
      </c>
      <c r="R372" t="s">
        <v>3848</v>
      </c>
      <c r="S372" t="s">
        <v>1549</v>
      </c>
      <c r="T372" t="s">
        <v>3844</v>
      </c>
      <c r="U372" t="s">
        <v>1576</v>
      </c>
      <c r="V372" t="s">
        <v>1741</v>
      </c>
      <c r="W372" t="s">
        <v>1742</v>
      </c>
      <c r="X372" t="s">
        <v>1739</v>
      </c>
    </row>
    <row r="373" spans="1:24" x14ac:dyDescent="0.3">
      <c r="A373" t="s">
        <v>2180</v>
      </c>
      <c r="B373" s="2">
        <v>45520</v>
      </c>
      <c r="C373" t="s">
        <v>737</v>
      </c>
      <c r="D373" t="s">
        <v>1711</v>
      </c>
      <c r="E373" t="s">
        <v>1780</v>
      </c>
      <c r="F373" s="4">
        <v>1</v>
      </c>
      <c r="G373">
        <v>752.45</v>
      </c>
      <c r="H373">
        <v>0.21</v>
      </c>
      <c r="I373" t="s">
        <v>1812</v>
      </c>
      <c r="J373">
        <v>594.43550000000005</v>
      </c>
      <c r="K373" t="s">
        <v>738</v>
      </c>
      <c r="L373">
        <v>27</v>
      </c>
      <c r="M373" t="s">
        <v>16</v>
      </c>
      <c r="N373" t="s">
        <v>739</v>
      </c>
      <c r="O373" t="s">
        <v>312</v>
      </c>
      <c r="P373" t="s">
        <v>12</v>
      </c>
      <c r="Q373" t="s">
        <v>26</v>
      </c>
      <c r="R373" t="s">
        <v>3923</v>
      </c>
      <c r="S373" t="s">
        <v>1546</v>
      </c>
      <c r="T373" t="s">
        <v>3820</v>
      </c>
      <c r="U373" t="s">
        <v>1712</v>
      </c>
      <c r="V373" t="s">
        <v>1741</v>
      </c>
      <c r="W373" t="s">
        <v>1742</v>
      </c>
      <c r="X373" t="s">
        <v>1739</v>
      </c>
    </row>
    <row r="374" spans="1:24" x14ac:dyDescent="0.3">
      <c r="A374" t="s">
        <v>2181</v>
      </c>
      <c r="B374" s="2">
        <v>45373</v>
      </c>
      <c r="C374" t="s">
        <v>146</v>
      </c>
      <c r="D374" t="s">
        <v>1719</v>
      </c>
      <c r="E374" t="s">
        <v>1780</v>
      </c>
      <c r="F374" s="4">
        <v>2</v>
      </c>
      <c r="G374">
        <v>209.66</v>
      </c>
      <c r="H374">
        <v>0.21</v>
      </c>
      <c r="I374" t="s">
        <v>1807</v>
      </c>
      <c r="J374">
        <v>331.26280000000003</v>
      </c>
      <c r="K374" t="s">
        <v>147</v>
      </c>
      <c r="L374">
        <v>35</v>
      </c>
      <c r="M374" t="s">
        <v>16</v>
      </c>
      <c r="N374" t="s">
        <v>148</v>
      </c>
      <c r="O374" t="s">
        <v>39</v>
      </c>
      <c r="P374" t="s">
        <v>12</v>
      </c>
      <c r="Q374" t="s">
        <v>19</v>
      </c>
      <c r="R374" t="s">
        <v>3927</v>
      </c>
      <c r="S374" t="s">
        <v>1541</v>
      </c>
      <c r="T374" t="s">
        <v>3822</v>
      </c>
      <c r="U374" t="s">
        <v>1720</v>
      </c>
      <c r="V374" t="s">
        <v>1741</v>
      </c>
      <c r="W374" t="s">
        <v>1742</v>
      </c>
      <c r="X374" t="s">
        <v>1739</v>
      </c>
    </row>
    <row r="375" spans="1:24" x14ac:dyDescent="0.3">
      <c r="A375" t="s">
        <v>2182</v>
      </c>
      <c r="B375" s="2">
        <v>45688</v>
      </c>
      <c r="C375" t="s">
        <v>533</v>
      </c>
      <c r="D375" t="s">
        <v>1725</v>
      </c>
      <c r="E375" t="s">
        <v>1796</v>
      </c>
      <c r="F375" s="4">
        <v>2</v>
      </c>
      <c r="G375">
        <v>739.95</v>
      </c>
      <c r="H375">
        <v>0.1</v>
      </c>
      <c r="I375" t="s">
        <v>1812</v>
      </c>
      <c r="J375">
        <v>1331.91</v>
      </c>
      <c r="K375" t="s">
        <v>534</v>
      </c>
      <c r="L375">
        <v>37</v>
      </c>
      <c r="M375" t="s">
        <v>9</v>
      </c>
      <c r="N375" t="s">
        <v>535</v>
      </c>
      <c r="O375" t="s">
        <v>133</v>
      </c>
      <c r="P375" t="s">
        <v>12</v>
      </c>
      <c r="Q375" t="s">
        <v>31</v>
      </c>
      <c r="R375" t="s">
        <v>3930</v>
      </c>
      <c r="S375" t="s">
        <v>1549</v>
      </c>
      <c r="T375" t="s">
        <v>3859</v>
      </c>
      <c r="U375" t="s">
        <v>1726</v>
      </c>
      <c r="V375" t="s">
        <v>1741</v>
      </c>
      <c r="W375" t="s">
        <v>1742</v>
      </c>
      <c r="X375" t="s">
        <v>1739</v>
      </c>
    </row>
    <row r="376" spans="1:24" x14ac:dyDescent="0.3">
      <c r="A376" t="s">
        <v>2183</v>
      </c>
      <c r="B376" s="2">
        <v>45276</v>
      </c>
      <c r="C376" t="s">
        <v>1430</v>
      </c>
      <c r="D376" t="s">
        <v>1621</v>
      </c>
      <c r="E376" t="s">
        <v>1784</v>
      </c>
      <c r="F376" s="4">
        <v>1</v>
      </c>
      <c r="G376">
        <v>496.19</v>
      </c>
      <c r="H376">
        <v>0.08</v>
      </c>
      <c r="I376" t="s">
        <v>1812</v>
      </c>
      <c r="J376">
        <v>456.4948</v>
      </c>
      <c r="K376" t="s">
        <v>1431</v>
      </c>
      <c r="L376">
        <v>21</v>
      </c>
      <c r="M376" t="s">
        <v>16</v>
      </c>
      <c r="N376" t="s">
        <v>1432</v>
      </c>
      <c r="O376" t="s">
        <v>117</v>
      </c>
      <c r="P376" t="s">
        <v>12</v>
      </c>
      <c r="Q376" t="s">
        <v>13</v>
      </c>
      <c r="R376" t="s">
        <v>3875</v>
      </c>
      <c r="S376" t="s">
        <v>1549</v>
      </c>
      <c r="T376" t="s">
        <v>3859</v>
      </c>
      <c r="U376" t="s">
        <v>1622</v>
      </c>
      <c r="V376" t="s">
        <v>1741</v>
      </c>
      <c r="W376" t="s">
        <v>1742</v>
      </c>
      <c r="X376" t="s">
        <v>1739</v>
      </c>
    </row>
    <row r="377" spans="1:24" x14ac:dyDescent="0.3">
      <c r="A377" t="s">
        <v>2184</v>
      </c>
      <c r="B377" s="2">
        <v>45756</v>
      </c>
      <c r="C377" t="s">
        <v>171</v>
      </c>
      <c r="D377" t="s">
        <v>1548</v>
      </c>
      <c r="E377" t="s">
        <v>1777</v>
      </c>
      <c r="F377" s="4">
        <v>1</v>
      </c>
      <c r="G377">
        <v>306.36</v>
      </c>
      <c r="H377">
        <v>0.01</v>
      </c>
      <c r="I377" t="s">
        <v>1809</v>
      </c>
      <c r="J377">
        <v>303.29640000000001</v>
      </c>
      <c r="K377" t="s">
        <v>172</v>
      </c>
      <c r="L377">
        <v>54</v>
      </c>
      <c r="M377" t="s">
        <v>9</v>
      </c>
      <c r="N377" t="s">
        <v>173</v>
      </c>
      <c r="O377" t="s">
        <v>99</v>
      </c>
      <c r="P377" t="s">
        <v>12</v>
      </c>
      <c r="Q377" t="s">
        <v>26</v>
      </c>
      <c r="R377" t="s">
        <v>3922</v>
      </c>
      <c r="S377" t="s">
        <v>1541</v>
      </c>
      <c r="T377" t="s">
        <v>3878</v>
      </c>
      <c r="U377" t="s">
        <v>1710</v>
      </c>
      <c r="V377" t="s">
        <v>1741</v>
      </c>
      <c r="W377" t="s">
        <v>1742</v>
      </c>
      <c r="X377" t="s">
        <v>1739</v>
      </c>
    </row>
    <row r="378" spans="1:24" x14ac:dyDescent="0.3">
      <c r="A378" t="s">
        <v>2185</v>
      </c>
      <c r="B378" s="2">
        <v>45309</v>
      </c>
      <c r="C378" t="s">
        <v>412</v>
      </c>
      <c r="D378" t="s">
        <v>1677</v>
      </c>
      <c r="E378" t="s">
        <v>1752</v>
      </c>
      <c r="F378" s="4">
        <v>4</v>
      </c>
      <c r="G378">
        <v>693.16</v>
      </c>
      <c r="H378">
        <v>0.05</v>
      </c>
      <c r="I378" t="s">
        <v>1809</v>
      </c>
      <c r="J378">
        <v>2634.0079999999998</v>
      </c>
      <c r="K378" t="s">
        <v>413</v>
      </c>
      <c r="L378">
        <v>62</v>
      </c>
      <c r="M378" t="s">
        <v>9</v>
      </c>
      <c r="N378" t="s">
        <v>3955</v>
      </c>
      <c r="O378" t="s">
        <v>51</v>
      </c>
      <c r="P378" t="s">
        <v>12</v>
      </c>
      <c r="Q378" t="s">
        <v>19</v>
      </c>
      <c r="R378" t="s">
        <v>3906</v>
      </c>
      <c r="S378" t="s">
        <v>1549</v>
      </c>
      <c r="T378" t="s">
        <v>3859</v>
      </c>
      <c r="U378" t="s">
        <v>1678</v>
      </c>
      <c r="V378" t="s">
        <v>1753</v>
      </c>
      <c r="W378" t="s">
        <v>1746</v>
      </c>
      <c r="X378" t="s">
        <v>1755</v>
      </c>
    </row>
    <row r="379" spans="1:24" x14ac:dyDescent="0.3">
      <c r="A379" t="s">
        <v>2186</v>
      </c>
      <c r="B379" s="2">
        <v>45744</v>
      </c>
      <c r="C379" t="s">
        <v>1389</v>
      </c>
      <c r="D379" t="s">
        <v>1697</v>
      </c>
      <c r="E379" t="s">
        <v>1772</v>
      </c>
      <c r="F379" s="4">
        <v>1</v>
      </c>
      <c r="G379">
        <v>995.52</v>
      </c>
      <c r="H379">
        <v>0.22</v>
      </c>
      <c r="I379" t="s">
        <v>1809</v>
      </c>
      <c r="J379">
        <v>776.50559999999996</v>
      </c>
      <c r="K379" t="s">
        <v>1390</v>
      </c>
      <c r="L379">
        <v>59</v>
      </c>
      <c r="M379" t="s">
        <v>16</v>
      </c>
      <c r="N379" t="s">
        <v>1391</v>
      </c>
      <c r="O379" t="s">
        <v>191</v>
      </c>
      <c r="P379" t="s">
        <v>12</v>
      </c>
      <c r="Q379" t="s">
        <v>13</v>
      </c>
      <c r="R379" t="s">
        <v>3916</v>
      </c>
      <c r="S379" t="s">
        <v>1541</v>
      </c>
      <c r="T379" t="s">
        <v>3822</v>
      </c>
      <c r="U379" t="s">
        <v>1698</v>
      </c>
      <c r="V379" t="s">
        <v>1741</v>
      </c>
      <c r="W379" t="s">
        <v>1742</v>
      </c>
      <c r="X379" t="s">
        <v>1739</v>
      </c>
    </row>
    <row r="380" spans="1:24" x14ac:dyDescent="0.3">
      <c r="A380" t="s">
        <v>2187</v>
      </c>
      <c r="B380" s="2">
        <v>45535</v>
      </c>
      <c r="C380" t="s">
        <v>426</v>
      </c>
      <c r="D380" t="s">
        <v>1543</v>
      </c>
      <c r="E380" t="s">
        <v>1793</v>
      </c>
      <c r="F380" s="4">
        <v>4</v>
      </c>
      <c r="G380">
        <v>241.32</v>
      </c>
      <c r="H380">
        <v>0.28999999999999998</v>
      </c>
      <c r="I380" t="s">
        <v>1812</v>
      </c>
      <c r="J380">
        <v>685.34879999999998</v>
      </c>
      <c r="K380" t="s">
        <v>427</v>
      </c>
      <c r="L380">
        <v>62</v>
      </c>
      <c r="M380" t="s">
        <v>16</v>
      </c>
      <c r="N380" t="s">
        <v>428</v>
      </c>
      <c r="O380" t="s">
        <v>429</v>
      </c>
      <c r="P380" t="s">
        <v>12</v>
      </c>
      <c r="Q380" t="s">
        <v>19</v>
      </c>
      <c r="R380" t="s">
        <v>3902</v>
      </c>
      <c r="S380" t="s">
        <v>1530</v>
      </c>
      <c r="T380" t="s">
        <v>3818</v>
      </c>
      <c r="U380" t="s">
        <v>1670</v>
      </c>
      <c r="V380" t="s">
        <v>1741</v>
      </c>
      <c r="W380" t="s">
        <v>1742</v>
      </c>
      <c r="X380" t="s">
        <v>1739</v>
      </c>
    </row>
    <row r="381" spans="1:24" x14ac:dyDescent="0.3">
      <c r="A381" t="s">
        <v>2188</v>
      </c>
      <c r="B381" s="2">
        <v>45240</v>
      </c>
      <c r="C381" t="s">
        <v>761</v>
      </c>
      <c r="D381" t="s">
        <v>1687</v>
      </c>
      <c r="E381" t="s">
        <v>1740</v>
      </c>
      <c r="F381" s="4">
        <v>3</v>
      </c>
      <c r="G381">
        <v>636.03</v>
      </c>
      <c r="H381">
        <v>0.06</v>
      </c>
      <c r="I381" t="s">
        <v>1812</v>
      </c>
      <c r="J381">
        <v>1793.6045999999999</v>
      </c>
      <c r="K381" t="s">
        <v>762</v>
      </c>
      <c r="L381">
        <v>59</v>
      </c>
      <c r="M381" t="s">
        <v>16</v>
      </c>
      <c r="N381" t="s">
        <v>763</v>
      </c>
      <c r="O381" t="s">
        <v>181</v>
      </c>
      <c r="P381" t="s">
        <v>12</v>
      </c>
      <c r="Q381" t="s">
        <v>19</v>
      </c>
      <c r="R381" t="s">
        <v>3911</v>
      </c>
      <c r="S381" t="s">
        <v>1527</v>
      </c>
      <c r="T381" t="s">
        <v>3836</v>
      </c>
      <c r="U381" t="s">
        <v>1688</v>
      </c>
      <c r="V381" t="s">
        <v>1741</v>
      </c>
      <c r="W381" t="s">
        <v>1742</v>
      </c>
      <c r="X381" t="s">
        <v>1739</v>
      </c>
    </row>
    <row r="382" spans="1:24" x14ac:dyDescent="0.3">
      <c r="A382" t="s">
        <v>2189</v>
      </c>
      <c r="B382" s="2">
        <v>45275</v>
      </c>
      <c r="C382" t="s">
        <v>339</v>
      </c>
      <c r="D382" t="s">
        <v>1536</v>
      </c>
      <c r="E382" t="s">
        <v>1796</v>
      </c>
      <c r="F382" s="4">
        <v>4</v>
      </c>
      <c r="G382">
        <v>603.30999999999995</v>
      </c>
      <c r="H382">
        <v>0.15</v>
      </c>
      <c r="I382" t="s">
        <v>1807</v>
      </c>
      <c r="J382">
        <v>2051.2539999999999</v>
      </c>
      <c r="K382" t="s">
        <v>340</v>
      </c>
      <c r="L382">
        <v>36</v>
      </c>
      <c r="M382" t="s">
        <v>9</v>
      </c>
      <c r="N382" t="s">
        <v>341</v>
      </c>
      <c r="O382" t="s">
        <v>323</v>
      </c>
      <c r="P382" t="s">
        <v>12</v>
      </c>
      <c r="Q382" t="s">
        <v>19</v>
      </c>
      <c r="R382" t="s">
        <v>3868</v>
      </c>
      <c r="S382" t="s">
        <v>1546</v>
      </c>
      <c r="T382" t="s">
        <v>3869</v>
      </c>
      <c r="U382" t="s">
        <v>1610</v>
      </c>
      <c r="V382" t="s">
        <v>1741</v>
      </c>
      <c r="W382" t="s">
        <v>1742</v>
      </c>
      <c r="X382" t="s">
        <v>1739</v>
      </c>
    </row>
    <row r="383" spans="1:24" x14ac:dyDescent="0.3">
      <c r="A383" t="s">
        <v>2190</v>
      </c>
      <c r="B383" s="2">
        <v>45427</v>
      </c>
      <c r="C383" t="s">
        <v>272</v>
      </c>
      <c r="D383" t="s">
        <v>1709</v>
      </c>
      <c r="E383" t="s">
        <v>1772</v>
      </c>
      <c r="F383" s="4">
        <v>3</v>
      </c>
      <c r="G383">
        <v>437.96</v>
      </c>
      <c r="H383">
        <v>0.27</v>
      </c>
      <c r="I383" t="s">
        <v>1812</v>
      </c>
      <c r="J383">
        <v>959.13239999999985</v>
      </c>
      <c r="K383" t="s">
        <v>273</v>
      </c>
      <c r="L383">
        <v>37</v>
      </c>
      <c r="M383" t="s">
        <v>9</v>
      </c>
      <c r="N383" t="s">
        <v>274</v>
      </c>
      <c r="O383" t="s">
        <v>30</v>
      </c>
      <c r="P383" t="s">
        <v>12</v>
      </c>
      <c r="Q383" t="s">
        <v>13</v>
      </c>
      <c r="R383" t="s">
        <v>3922</v>
      </c>
      <c r="S383" t="s">
        <v>1541</v>
      </c>
      <c r="T383" t="s">
        <v>3878</v>
      </c>
      <c r="U383" t="s">
        <v>1710</v>
      </c>
      <c r="V383" t="s">
        <v>1741</v>
      </c>
      <c r="W383" t="s">
        <v>1742</v>
      </c>
      <c r="X383" t="s">
        <v>1739</v>
      </c>
    </row>
    <row r="384" spans="1:24" x14ac:dyDescent="0.3">
      <c r="A384" t="s">
        <v>2191</v>
      </c>
      <c r="B384" s="2">
        <v>45322</v>
      </c>
      <c r="C384" t="s">
        <v>672</v>
      </c>
      <c r="D384" t="s">
        <v>1599</v>
      </c>
      <c r="E384" t="s">
        <v>1752</v>
      </c>
      <c r="F384" s="4">
        <v>2</v>
      </c>
      <c r="G384">
        <v>56.91</v>
      </c>
      <c r="H384">
        <v>0.08</v>
      </c>
      <c r="I384" t="s">
        <v>1812</v>
      </c>
      <c r="J384">
        <v>104.7144</v>
      </c>
      <c r="K384" t="s">
        <v>673</v>
      </c>
      <c r="L384">
        <v>50</v>
      </c>
      <c r="M384" t="s">
        <v>16</v>
      </c>
      <c r="N384" t="s">
        <v>674</v>
      </c>
      <c r="O384" t="s">
        <v>323</v>
      </c>
      <c r="P384" t="s">
        <v>12</v>
      </c>
      <c r="Q384" t="s">
        <v>19</v>
      </c>
      <c r="R384" t="s">
        <v>3862</v>
      </c>
      <c r="S384" t="s">
        <v>1546</v>
      </c>
      <c r="T384" t="s">
        <v>3811</v>
      </c>
      <c r="U384" t="s">
        <v>1600</v>
      </c>
      <c r="V384" t="s">
        <v>1753</v>
      </c>
      <c r="W384" t="s">
        <v>1746</v>
      </c>
      <c r="X384" t="s">
        <v>1755</v>
      </c>
    </row>
    <row r="385" spans="1:24" x14ac:dyDescent="0.3">
      <c r="A385" t="s">
        <v>2192</v>
      </c>
      <c r="B385" s="2">
        <v>45266</v>
      </c>
      <c r="C385" t="s">
        <v>1039</v>
      </c>
      <c r="D385" t="s">
        <v>1683</v>
      </c>
      <c r="E385" t="s">
        <v>1759</v>
      </c>
      <c r="F385" s="4">
        <v>1</v>
      </c>
      <c r="G385">
        <v>141.79</v>
      </c>
      <c r="H385">
        <v>0.1</v>
      </c>
      <c r="I385" t="s">
        <v>1807</v>
      </c>
      <c r="J385">
        <v>127.611</v>
      </c>
      <c r="K385" t="s">
        <v>1040</v>
      </c>
      <c r="L385">
        <v>37</v>
      </c>
      <c r="M385" t="s">
        <v>9</v>
      </c>
      <c r="N385" t="s">
        <v>1041</v>
      </c>
      <c r="O385" t="s">
        <v>166</v>
      </c>
      <c r="P385" t="s">
        <v>12</v>
      </c>
      <c r="Q385" t="s">
        <v>31</v>
      </c>
      <c r="R385" t="s">
        <v>3909</v>
      </c>
      <c r="S385" t="s">
        <v>1546</v>
      </c>
      <c r="T385" t="s">
        <v>3811</v>
      </c>
      <c r="U385" t="s">
        <v>1684</v>
      </c>
      <c r="V385" t="s">
        <v>1760</v>
      </c>
      <c r="W385" t="s">
        <v>1737</v>
      </c>
      <c r="X385" t="s">
        <v>1755</v>
      </c>
    </row>
    <row r="386" spans="1:24" x14ac:dyDescent="0.3">
      <c r="A386" t="s">
        <v>2193</v>
      </c>
      <c r="B386" s="2">
        <v>45302</v>
      </c>
      <c r="C386" t="s">
        <v>1470</v>
      </c>
      <c r="D386" t="s">
        <v>1548</v>
      </c>
      <c r="E386" t="s">
        <v>1784</v>
      </c>
      <c r="F386" s="4">
        <v>4</v>
      </c>
      <c r="G386">
        <v>355.14</v>
      </c>
      <c r="H386">
        <v>0.16</v>
      </c>
      <c r="I386" t="s">
        <v>1812</v>
      </c>
      <c r="J386">
        <v>1193.2704000000001</v>
      </c>
      <c r="K386" t="s">
        <v>1259</v>
      </c>
      <c r="L386">
        <v>32</v>
      </c>
      <c r="M386" t="s">
        <v>9</v>
      </c>
      <c r="N386" t="s">
        <v>1471</v>
      </c>
      <c r="O386" t="s">
        <v>181</v>
      </c>
      <c r="P386" t="s">
        <v>12</v>
      </c>
      <c r="Q386" t="s">
        <v>13</v>
      </c>
      <c r="R386" t="s">
        <v>3922</v>
      </c>
      <c r="S386" t="s">
        <v>1541</v>
      </c>
      <c r="T386" t="s">
        <v>3878</v>
      </c>
      <c r="U386" t="s">
        <v>1710</v>
      </c>
      <c r="V386" t="s">
        <v>1741</v>
      </c>
      <c r="W386" t="s">
        <v>1742</v>
      </c>
      <c r="X386" t="s">
        <v>1739</v>
      </c>
    </row>
    <row r="387" spans="1:24" x14ac:dyDescent="0.3">
      <c r="A387" t="s">
        <v>2194</v>
      </c>
      <c r="B387" s="2">
        <v>45907</v>
      </c>
      <c r="C387" t="s">
        <v>681</v>
      </c>
      <c r="D387" t="s">
        <v>1607</v>
      </c>
      <c r="E387" t="s">
        <v>1759</v>
      </c>
      <c r="F387" s="4">
        <v>4</v>
      </c>
      <c r="G387">
        <v>960.38</v>
      </c>
      <c r="H387">
        <v>0.15</v>
      </c>
      <c r="I387" t="s">
        <v>1812</v>
      </c>
      <c r="J387">
        <v>3265.2919999999999</v>
      </c>
      <c r="K387" t="s">
        <v>682</v>
      </c>
      <c r="L387">
        <v>63</v>
      </c>
      <c r="M387" t="s">
        <v>16</v>
      </c>
      <c r="N387" t="s">
        <v>683</v>
      </c>
      <c r="O387" t="s">
        <v>92</v>
      </c>
      <c r="P387" t="s">
        <v>12</v>
      </c>
      <c r="Q387" t="s">
        <v>31</v>
      </c>
      <c r="R387" t="s">
        <v>3867</v>
      </c>
      <c r="S387" t="s">
        <v>1549</v>
      </c>
      <c r="T387" t="s">
        <v>3851</v>
      </c>
      <c r="U387" t="s">
        <v>1608</v>
      </c>
      <c r="V387" t="s">
        <v>1760</v>
      </c>
      <c r="W387" t="s">
        <v>1737</v>
      </c>
      <c r="X387" t="s">
        <v>1755</v>
      </c>
    </row>
    <row r="388" spans="1:24" x14ac:dyDescent="0.3">
      <c r="A388" t="s">
        <v>2195</v>
      </c>
      <c r="B388" s="2">
        <v>45433</v>
      </c>
      <c r="C388" t="s">
        <v>1290</v>
      </c>
      <c r="D388" t="s">
        <v>1669</v>
      </c>
      <c r="E388" t="s">
        <v>1787</v>
      </c>
      <c r="F388" s="4">
        <v>3</v>
      </c>
      <c r="G388">
        <v>847.21</v>
      </c>
      <c r="H388">
        <v>0.06</v>
      </c>
      <c r="I388" t="s">
        <v>1809</v>
      </c>
      <c r="J388">
        <v>2389.1322</v>
      </c>
      <c r="K388" t="s">
        <v>3949</v>
      </c>
      <c r="L388">
        <v>45</v>
      </c>
      <c r="M388" t="s">
        <v>16</v>
      </c>
      <c r="N388" t="s">
        <v>1291</v>
      </c>
      <c r="O388" t="s">
        <v>11</v>
      </c>
      <c r="P388" t="s">
        <v>12</v>
      </c>
      <c r="Q388" t="s">
        <v>26</v>
      </c>
      <c r="R388" t="s">
        <v>3902</v>
      </c>
      <c r="S388" t="s">
        <v>1530</v>
      </c>
      <c r="T388" t="s">
        <v>3818</v>
      </c>
      <c r="U388" t="s">
        <v>1670</v>
      </c>
      <c r="V388" t="s">
        <v>1741</v>
      </c>
      <c r="W388" t="s">
        <v>1742</v>
      </c>
      <c r="X388" t="s">
        <v>1739</v>
      </c>
    </row>
    <row r="389" spans="1:24" x14ac:dyDescent="0.3">
      <c r="A389" t="s">
        <v>2196</v>
      </c>
      <c r="B389" s="2">
        <v>45892</v>
      </c>
      <c r="C389" t="s">
        <v>241</v>
      </c>
      <c r="D389" t="s">
        <v>1691</v>
      </c>
      <c r="E389" t="s">
        <v>1772</v>
      </c>
      <c r="F389" s="4">
        <v>4</v>
      </c>
      <c r="G389">
        <v>773.81</v>
      </c>
      <c r="H389">
        <v>0.08</v>
      </c>
      <c r="I389" t="s">
        <v>1812</v>
      </c>
      <c r="J389">
        <v>2847.6208000000001</v>
      </c>
      <c r="K389" t="s">
        <v>242</v>
      </c>
      <c r="L389">
        <v>58</v>
      </c>
      <c r="M389" t="s">
        <v>9</v>
      </c>
      <c r="N389" t="s">
        <v>243</v>
      </c>
      <c r="O389" t="s">
        <v>47</v>
      </c>
      <c r="P389" t="s">
        <v>12</v>
      </c>
      <c r="Q389" t="s">
        <v>31</v>
      </c>
      <c r="R389" t="s">
        <v>3913</v>
      </c>
      <c r="S389" t="s">
        <v>1527</v>
      </c>
      <c r="T389" t="s">
        <v>3830</v>
      </c>
      <c r="U389" t="s">
        <v>1692</v>
      </c>
      <c r="V389" t="s">
        <v>1741</v>
      </c>
      <c r="W389" t="s">
        <v>1742</v>
      </c>
      <c r="X389" t="s">
        <v>1739</v>
      </c>
    </row>
    <row r="390" spans="1:24" x14ac:dyDescent="0.3">
      <c r="A390" t="s">
        <v>2197</v>
      </c>
      <c r="B390" s="2">
        <v>45780</v>
      </c>
      <c r="C390" t="s">
        <v>8</v>
      </c>
      <c r="D390" t="s">
        <v>1657</v>
      </c>
      <c r="E390" t="s">
        <v>1787</v>
      </c>
      <c r="F390" s="4">
        <v>1</v>
      </c>
      <c r="G390">
        <v>664.71</v>
      </c>
      <c r="H390">
        <v>0.1</v>
      </c>
      <c r="I390" t="s">
        <v>1809</v>
      </c>
      <c r="J390">
        <v>598.23900000000003</v>
      </c>
      <c r="K390" t="s">
        <v>3952</v>
      </c>
      <c r="L390">
        <v>26</v>
      </c>
      <c r="M390" t="s">
        <v>16</v>
      </c>
      <c r="N390" t="s">
        <v>10</v>
      </c>
      <c r="O390" t="s">
        <v>11</v>
      </c>
      <c r="P390" t="s">
        <v>12</v>
      </c>
      <c r="Q390" t="s">
        <v>19</v>
      </c>
      <c r="R390" t="s">
        <v>3895</v>
      </c>
      <c r="S390" t="s">
        <v>1541</v>
      </c>
      <c r="T390" t="s">
        <v>3822</v>
      </c>
      <c r="U390" t="s">
        <v>1658</v>
      </c>
      <c r="V390" t="s">
        <v>1741</v>
      </c>
      <c r="W390" t="s">
        <v>1742</v>
      </c>
      <c r="X390" t="s">
        <v>1739</v>
      </c>
    </row>
    <row r="391" spans="1:24" x14ac:dyDescent="0.3">
      <c r="A391" t="s">
        <v>2198</v>
      </c>
      <c r="B391" s="2">
        <v>45233</v>
      </c>
      <c r="C391" t="s">
        <v>1078</v>
      </c>
      <c r="D391" t="s">
        <v>1605</v>
      </c>
      <c r="E391" t="s">
        <v>1762</v>
      </c>
      <c r="F391" s="4">
        <v>4</v>
      </c>
      <c r="G391">
        <v>482.06</v>
      </c>
      <c r="H391">
        <v>7.0000000000000007E-2</v>
      </c>
      <c r="I391" t="s">
        <v>1809</v>
      </c>
      <c r="J391">
        <v>1793.2632000000001</v>
      </c>
      <c r="K391" t="s">
        <v>3946</v>
      </c>
      <c r="L391">
        <v>55</v>
      </c>
      <c r="M391" t="s">
        <v>9</v>
      </c>
      <c r="N391" t="s">
        <v>1079</v>
      </c>
      <c r="O391" t="s">
        <v>166</v>
      </c>
      <c r="P391" t="s">
        <v>12</v>
      </c>
      <c r="Q391" t="s">
        <v>13</v>
      </c>
      <c r="R391" t="s">
        <v>3865</v>
      </c>
      <c r="S391" t="s">
        <v>1530</v>
      </c>
      <c r="T391" t="s">
        <v>3866</v>
      </c>
      <c r="U391" t="s">
        <v>1606</v>
      </c>
      <c r="V391" t="s">
        <v>1763</v>
      </c>
      <c r="W391" t="s">
        <v>1746</v>
      </c>
      <c r="X391" t="s">
        <v>1755</v>
      </c>
    </row>
    <row r="392" spans="1:24" x14ac:dyDescent="0.3">
      <c r="A392" t="s">
        <v>2199</v>
      </c>
      <c r="B392" s="2">
        <v>45742</v>
      </c>
      <c r="C392" t="s">
        <v>316</v>
      </c>
      <c r="D392" t="s">
        <v>1645</v>
      </c>
      <c r="E392" t="s">
        <v>1749</v>
      </c>
      <c r="F392" s="4">
        <v>4</v>
      </c>
      <c r="G392">
        <v>995.55</v>
      </c>
      <c r="H392">
        <v>0.19</v>
      </c>
      <c r="I392" t="s">
        <v>1809</v>
      </c>
      <c r="J392">
        <v>3225.5819999999999</v>
      </c>
      <c r="K392" t="s">
        <v>317</v>
      </c>
      <c r="L392">
        <v>58</v>
      </c>
      <c r="M392" t="s">
        <v>16</v>
      </c>
      <c r="N392" t="s">
        <v>318</v>
      </c>
      <c r="O392" t="s">
        <v>319</v>
      </c>
      <c r="P392" t="s">
        <v>12</v>
      </c>
      <c r="Q392" t="s">
        <v>19</v>
      </c>
      <c r="R392" t="s">
        <v>3889</v>
      </c>
      <c r="S392" t="s">
        <v>1549</v>
      </c>
      <c r="T392" t="s">
        <v>3828</v>
      </c>
      <c r="U392" t="s">
        <v>1646</v>
      </c>
      <c r="V392" t="s">
        <v>1750</v>
      </c>
      <c r="W392" t="s">
        <v>1742</v>
      </c>
      <c r="X392" t="s">
        <v>1748</v>
      </c>
    </row>
    <row r="393" spans="1:24" x14ac:dyDescent="0.3">
      <c r="A393" t="s">
        <v>2200</v>
      </c>
      <c r="B393" s="2">
        <v>45478</v>
      </c>
      <c r="C393" t="s">
        <v>473</v>
      </c>
      <c r="D393" t="s">
        <v>1717</v>
      </c>
      <c r="E393" t="s">
        <v>1780</v>
      </c>
      <c r="F393" s="4">
        <v>2</v>
      </c>
      <c r="G393">
        <v>153.84</v>
      </c>
      <c r="H393">
        <v>0.27</v>
      </c>
      <c r="I393" t="s">
        <v>1809</v>
      </c>
      <c r="J393">
        <v>224.60640000000001</v>
      </c>
      <c r="K393" t="s">
        <v>474</v>
      </c>
      <c r="L393">
        <v>37</v>
      </c>
      <c r="M393" t="s">
        <v>9</v>
      </c>
      <c r="N393" t="s">
        <v>475</v>
      </c>
      <c r="O393" t="s">
        <v>30</v>
      </c>
      <c r="P393" t="s">
        <v>12</v>
      </c>
      <c r="Q393" t="s">
        <v>26</v>
      </c>
      <c r="R393" t="s">
        <v>3926</v>
      </c>
      <c r="S393" t="s">
        <v>1546</v>
      </c>
      <c r="T393" t="s">
        <v>3811</v>
      </c>
      <c r="U393" t="s">
        <v>1718</v>
      </c>
      <c r="V393" t="s">
        <v>1741</v>
      </c>
      <c r="W393" t="s">
        <v>1742</v>
      </c>
      <c r="X393" t="s">
        <v>1739</v>
      </c>
    </row>
    <row r="394" spans="1:24" x14ac:dyDescent="0.3">
      <c r="A394" t="s">
        <v>2201</v>
      </c>
      <c r="B394" s="2">
        <v>45789</v>
      </c>
      <c r="C394" t="s">
        <v>509</v>
      </c>
      <c r="D394" t="s">
        <v>1687</v>
      </c>
      <c r="E394" t="s">
        <v>1759</v>
      </c>
      <c r="F394" s="4">
        <v>3</v>
      </c>
      <c r="G394">
        <v>362.11</v>
      </c>
      <c r="H394">
        <v>0.23</v>
      </c>
      <c r="I394" t="s">
        <v>1812</v>
      </c>
      <c r="J394">
        <v>836.47409999999991</v>
      </c>
      <c r="K394" t="s">
        <v>510</v>
      </c>
      <c r="L394">
        <v>35</v>
      </c>
      <c r="M394" t="s">
        <v>16</v>
      </c>
      <c r="N394" t="s">
        <v>511</v>
      </c>
      <c r="O394" t="s">
        <v>18</v>
      </c>
      <c r="P394" t="s">
        <v>12</v>
      </c>
      <c r="Q394" t="s">
        <v>26</v>
      </c>
      <c r="R394" t="s">
        <v>3911</v>
      </c>
      <c r="S394" t="s">
        <v>1527</v>
      </c>
      <c r="T394" t="s">
        <v>3836</v>
      </c>
      <c r="U394" t="s">
        <v>1688</v>
      </c>
      <c r="V394" t="s">
        <v>1760</v>
      </c>
      <c r="W394" t="s">
        <v>1737</v>
      </c>
      <c r="X394" t="s">
        <v>1755</v>
      </c>
    </row>
    <row r="395" spans="1:24" x14ac:dyDescent="0.3">
      <c r="A395" t="s">
        <v>2202</v>
      </c>
      <c r="B395" s="2">
        <v>45561</v>
      </c>
      <c r="C395" t="s">
        <v>1439</v>
      </c>
      <c r="D395" t="s">
        <v>1617</v>
      </c>
      <c r="E395" t="s">
        <v>1765</v>
      </c>
      <c r="F395" s="4">
        <v>3</v>
      </c>
      <c r="G395">
        <v>112.26</v>
      </c>
      <c r="H395">
        <v>0.11</v>
      </c>
      <c r="I395" t="s">
        <v>1807</v>
      </c>
      <c r="J395">
        <v>299.73419999999999</v>
      </c>
      <c r="K395" t="s">
        <v>1440</v>
      </c>
      <c r="L395">
        <v>53</v>
      </c>
      <c r="M395" t="s">
        <v>9</v>
      </c>
      <c r="N395" t="s">
        <v>1441</v>
      </c>
      <c r="O395" t="s">
        <v>709</v>
      </c>
      <c r="P395" t="s">
        <v>12</v>
      </c>
      <c r="Q395" t="s">
        <v>31</v>
      </c>
      <c r="R395" t="s">
        <v>3873</v>
      </c>
      <c r="S395" t="s">
        <v>1546</v>
      </c>
      <c r="T395" t="s">
        <v>3811</v>
      </c>
      <c r="U395" t="s">
        <v>1618</v>
      </c>
      <c r="V395" t="s">
        <v>1766</v>
      </c>
      <c r="W395" t="s">
        <v>1767</v>
      </c>
      <c r="X395" t="s">
        <v>1755</v>
      </c>
    </row>
    <row r="396" spans="1:24" x14ac:dyDescent="0.3">
      <c r="A396" t="s">
        <v>2203</v>
      </c>
      <c r="B396" s="2">
        <v>45378</v>
      </c>
      <c r="C396" t="s">
        <v>657</v>
      </c>
      <c r="D396" t="s">
        <v>1719</v>
      </c>
      <c r="E396" t="s">
        <v>1796</v>
      </c>
      <c r="F396" s="4">
        <v>2</v>
      </c>
      <c r="G396">
        <v>962.81</v>
      </c>
      <c r="H396">
        <v>0.06</v>
      </c>
      <c r="I396" t="s">
        <v>1812</v>
      </c>
      <c r="J396">
        <v>1810.0827999999999</v>
      </c>
      <c r="K396" t="s">
        <v>658</v>
      </c>
      <c r="L396">
        <v>52</v>
      </c>
      <c r="M396" t="s">
        <v>9</v>
      </c>
      <c r="N396" t="s">
        <v>659</v>
      </c>
      <c r="O396" t="s">
        <v>264</v>
      </c>
      <c r="P396" t="s">
        <v>12</v>
      </c>
      <c r="Q396" t="s">
        <v>19</v>
      </c>
      <c r="R396" t="s">
        <v>3927</v>
      </c>
      <c r="S396" t="s">
        <v>1541</v>
      </c>
      <c r="T396" t="s">
        <v>3822</v>
      </c>
      <c r="U396" t="s">
        <v>1720</v>
      </c>
      <c r="V396" t="s">
        <v>1741</v>
      </c>
      <c r="W396" t="s">
        <v>1742</v>
      </c>
      <c r="X396" t="s">
        <v>1739</v>
      </c>
    </row>
    <row r="397" spans="1:24" x14ac:dyDescent="0.3">
      <c r="A397" t="s">
        <v>2204</v>
      </c>
      <c r="B397" s="2">
        <v>45308</v>
      </c>
      <c r="C397" t="s">
        <v>687</v>
      </c>
      <c r="D397" t="s">
        <v>1573</v>
      </c>
      <c r="E397" t="s">
        <v>1735</v>
      </c>
      <c r="F397" s="4">
        <v>4</v>
      </c>
      <c r="G397">
        <v>276.23</v>
      </c>
      <c r="H397">
        <v>0.12</v>
      </c>
      <c r="I397" t="s">
        <v>1807</v>
      </c>
      <c r="J397">
        <v>972.32960000000003</v>
      </c>
      <c r="K397" t="s">
        <v>688</v>
      </c>
      <c r="L397">
        <v>61</v>
      </c>
      <c r="M397" t="s">
        <v>9</v>
      </c>
      <c r="N397" t="s">
        <v>689</v>
      </c>
      <c r="O397" t="s">
        <v>18</v>
      </c>
      <c r="P397" t="s">
        <v>12</v>
      </c>
      <c r="Q397" t="s">
        <v>19</v>
      </c>
      <c r="R397" t="s">
        <v>3846</v>
      </c>
      <c r="S397" t="s">
        <v>1527</v>
      </c>
      <c r="T397" t="s">
        <v>3847</v>
      </c>
      <c r="U397" t="s">
        <v>1574</v>
      </c>
      <c r="V397" t="s">
        <v>1736</v>
      </c>
      <c r="W397" t="s">
        <v>1737</v>
      </c>
      <c r="X397" t="s">
        <v>1739</v>
      </c>
    </row>
    <row r="398" spans="1:24" x14ac:dyDescent="0.3">
      <c r="A398" t="s">
        <v>2205</v>
      </c>
      <c r="B398" s="2">
        <v>45407</v>
      </c>
      <c r="C398" t="s">
        <v>71</v>
      </c>
      <c r="D398" t="s">
        <v>1567</v>
      </c>
      <c r="E398" t="s">
        <v>1782</v>
      </c>
      <c r="F398" s="4">
        <v>3</v>
      </c>
      <c r="G398">
        <v>991.37</v>
      </c>
      <c r="H398">
        <v>0.1</v>
      </c>
      <c r="I398" t="s">
        <v>1809</v>
      </c>
      <c r="J398">
        <v>2676.6990000000001</v>
      </c>
      <c r="K398" t="s">
        <v>72</v>
      </c>
      <c r="L398">
        <v>24</v>
      </c>
      <c r="M398" t="s">
        <v>16</v>
      </c>
      <c r="N398" t="s">
        <v>73</v>
      </c>
      <c r="O398" t="s">
        <v>74</v>
      </c>
      <c r="P398" t="s">
        <v>12</v>
      </c>
      <c r="Q398" t="s">
        <v>19</v>
      </c>
      <c r="R398" t="s">
        <v>3842</v>
      </c>
      <c r="S398" t="s">
        <v>1530</v>
      </c>
      <c r="T398" t="s">
        <v>3818</v>
      </c>
      <c r="U398" t="s">
        <v>1568</v>
      </c>
      <c r="V398" t="s">
        <v>1741</v>
      </c>
      <c r="W398" t="s">
        <v>1742</v>
      </c>
      <c r="X398" t="s">
        <v>1739</v>
      </c>
    </row>
    <row r="399" spans="1:24" x14ac:dyDescent="0.3">
      <c r="A399" t="s">
        <v>2206</v>
      </c>
      <c r="B399" s="2">
        <v>45929</v>
      </c>
      <c r="C399" t="s">
        <v>554</v>
      </c>
      <c r="D399" t="s">
        <v>1573</v>
      </c>
      <c r="E399" t="s">
        <v>1780</v>
      </c>
      <c r="F399" s="4">
        <v>3</v>
      </c>
      <c r="G399">
        <v>977.47</v>
      </c>
      <c r="H399">
        <v>0.05</v>
      </c>
      <c r="I399" t="s">
        <v>1807</v>
      </c>
      <c r="J399">
        <v>2785.7894999999999</v>
      </c>
      <c r="K399" t="s">
        <v>555</v>
      </c>
      <c r="L399">
        <v>64</v>
      </c>
      <c r="M399" t="s">
        <v>9</v>
      </c>
      <c r="N399" t="s">
        <v>556</v>
      </c>
      <c r="O399" t="s">
        <v>247</v>
      </c>
      <c r="P399" t="s">
        <v>12</v>
      </c>
      <c r="Q399" t="s">
        <v>19</v>
      </c>
      <c r="R399" t="s">
        <v>3846</v>
      </c>
      <c r="S399" t="s">
        <v>1527</v>
      </c>
      <c r="T399" t="s">
        <v>3847</v>
      </c>
      <c r="U399" t="s">
        <v>1574</v>
      </c>
      <c r="V399" t="s">
        <v>1741</v>
      </c>
      <c r="W399" t="s">
        <v>1742</v>
      </c>
      <c r="X399" t="s">
        <v>1739</v>
      </c>
    </row>
    <row r="400" spans="1:24" x14ac:dyDescent="0.3">
      <c r="A400" t="s">
        <v>2207</v>
      </c>
      <c r="B400" s="2">
        <v>45844</v>
      </c>
      <c r="C400" t="s">
        <v>666</v>
      </c>
      <c r="D400" t="s">
        <v>1719</v>
      </c>
      <c r="E400" t="s">
        <v>1777</v>
      </c>
      <c r="F400" s="4">
        <v>2</v>
      </c>
      <c r="G400">
        <v>308.7</v>
      </c>
      <c r="H400">
        <v>0.2</v>
      </c>
      <c r="I400" t="s">
        <v>1809</v>
      </c>
      <c r="J400">
        <v>493.92</v>
      </c>
      <c r="K400" t="s">
        <v>667</v>
      </c>
      <c r="L400">
        <v>28</v>
      </c>
      <c r="M400" t="s">
        <v>16</v>
      </c>
      <c r="N400" t="s">
        <v>668</v>
      </c>
      <c r="O400" t="s">
        <v>234</v>
      </c>
      <c r="P400" t="s">
        <v>12</v>
      </c>
      <c r="Q400" t="s">
        <v>31</v>
      </c>
      <c r="R400" t="s">
        <v>3927</v>
      </c>
      <c r="S400" t="s">
        <v>1541</v>
      </c>
      <c r="T400" t="s">
        <v>3822</v>
      </c>
      <c r="U400" t="s">
        <v>1720</v>
      </c>
      <c r="V400" t="s">
        <v>1741</v>
      </c>
      <c r="W400" t="s">
        <v>1742</v>
      </c>
      <c r="X400" t="s">
        <v>1739</v>
      </c>
    </row>
    <row r="401" spans="1:24" x14ac:dyDescent="0.3">
      <c r="A401" t="s">
        <v>2208</v>
      </c>
      <c r="B401" s="2">
        <v>45579</v>
      </c>
      <c r="C401" t="s">
        <v>146</v>
      </c>
      <c r="D401" t="s">
        <v>1540</v>
      </c>
      <c r="E401" t="s">
        <v>1787</v>
      </c>
      <c r="F401" s="4">
        <v>2</v>
      </c>
      <c r="G401">
        <v>733.87</v>
      </c>
      <c r="H401">
        <v>0.1</v>
      </c>
      <c r="I401" t="s">
        <v>1809</v>
      </c>
      <c r="J401">
        <v>1320.9659999999999</v>
      </c>
      <c r="K401" t="s">
        <v>147</v>
      </c>
      <c r="L401">
        <v>35</v>
      </c>
      <c r="M401" t="s">
        <v>16</v>
      </c>
      <c r="N401" t="s">
        <v>148</v>
      </c>
      <c r="O401" t="s">
        <v>39</v>
      </c>
      <c r="P401" t="s">
        <v>12</v>
      </c>
      <c r="Q401" t="s">
        <v>19</v>
      </c>
      <c r="R401" t="s">
        <v>3891</v>
      </c>
      <c r="S401" t="s">
        <v>1541</v>
      </c>
      <c r="T401" t="s">
        <v>3833</v>
      </c>
      <c r="U401" t="s">
        <v>1650</v>
      </c>
      <c r="V401" t="s">
        <v>1741</v>
      </c>
      <c r="W401" t="s">
        <v>1742</v>
      </c>
      <c r="X401" t="s">
        <v>1739</v>
      </c>
    </row>
    <row r="402" spans="1:24" x14ac:dyDescent="0.3">
      <c r="A402" t="s">
        <v>2209</v>
      </c>
      <c r="B402" s="2">
        <v>45227</v>
      </c>
      <c r="C402" t="s">
        <v>336</v>
      </c>
      <c r="D402" t="s">
        <v>1569</v>
      </c>
      <c r="E402" t="s">
        <v>1787</v>
      </c>
      <c r="F402" s="4">
        <v>2</v>
      </c>
      <c r="G402">
        <v>22.47</v>
      </c>
      <c r="H402">
        <v>0.22</v>
      </c>
      <c r="I402" t="s">
        <v>1809</v>
      </c>
      <c r="J402">
        <v>35.053199999999997</v>
      </c>
      <c r="K402" t="s">
        <v>337</v>
      </c>
      <c r="L402">
        <v>30</v>
      </c>
      <c r="M402" t="s">
        <v>16</v>
      </c>
      <c r="N402" t="s">
        <v>338</v>
      </c>
      <c r="O402" t="s">
        <v>58</v>
      </c>
      <c r="P402" t="s">
        <v>12</v>
      </c>
      <c r="Q402" t="s">
        <v>19</v>
      </c>
      <c r="R402" t="s">
        <v>3843</v>
      </c>
      <c r="S402" t="s">
        <v>1549</v>
      </c>
      <c r="T402" t="s">
        <v>3844</v>
      </c>
      <c r="U402" t="s">
        <v>1570</v>
      </c>
      <c r="V402" t="s">
        <v>1741</v>
      </c>
      <c r="W402" t="s">
        <v>1742</v>
      </c>
      <c r="X402" t="s">
        <v>1739</v>
      </c>
    </row>
    <row r="403" spans="1:24" x14ac:dyDescent="0.3">
      <c r="A403" t="s">
        <v>2210</v>
      </c>
      <c r="B403" s="2">
        <v>45380</v>
      </c>
      <c r="C403" t="s">
        <v>1080</v>
      </c>
      <c r="D403" t="s">
        <v>1645</v>
      </c>
      <c r="E403" t="s">
        <v>1780</v>
      </c>
      <c r="F403" s="4">
        <v>4</v>
      </c>
      <c r="G403">
        <v>651.36</v>
      </c>
      <c r="H403">
        <v>0.13</v>
      </c>
      <c r="I403" t="s">
        <v>1807</v>
      </c>
      <c r="J403">
        <v>2266.7328000000002</v>
      </c>
      <c r="K403" t="s">
        <v>1081</v>
      </c>
      <c r="L403">
        <v>31</v>
      </c>
      <c r="M403" t="s">
        <v>9</v>
      </c>
      <c r="N403" t="s">
        <v>1082</v>
      </c>
      <c r="O403" t="s">
        <v>51</v>
      </c>
      <c r="P403" t="s">
        <v>12</v>
      </c>
      <c r="Q403" t="s">
        <v>31</v>
      </c>
      <c r="R403" t="s">
        <v>3889</v>
      </c>
      <c r="S403" t="s">
        <v>1549</v>
      </c>
      <c r="T403" t="s">
        <v>3828</v>
      </c>
      <c r="U403" t="s">
        <v>1646</v>
      </c>
      <c r="V403" t="s">
        <v>1741</v>
      </c>
      <c r="W403" t="s">
        <v>1742</v>
      </c>
      <c r="X403" t="s">
        <v>1739</v>
      </c>
    </row>
    <row r="404" spans="1:24" x14ac:dyDescent="0.3">
      <c r="A404" t="s">
        <v>2211</v>
      </c>
      <c r="B404" s="2">
        <v>45817</v>
      </c>
      <c r="C404" t="s">
        <v>928</v>
      </c>
      <c r="D404" t="s">
        <v>1559</v>
      </c>
      <c r="E404" t="s">
        <v>1772</v>
      </c>
      <c r="F404" s="4">
        <v>1</v>
      </c>
      <c r="G404">
        <v>753.39</v>
      </c>
      <c r="H404">
        <v>0.04</v>
      </c>
      <c r="I404" t="s">
        <v>1812</v>
      </c>
      <c r="J404">
        <v>723.25439999999992</v>
      </c>
      <c r="K404" t="s">
        <v>929</v>
      </c>
      <c r="L404">
        <v>47</v>
      </c>
      <c r="M404" t="s">
        <v>16</v>
      </c>
      <c r="N404" t="s">
        <v>294</v>
      </c>
      <c r="O404" t="s">
        <v>43</v>
      </c>
      <c r="P404" t="s">
        <v>12</v>
      </c>
      <c r="Q404" t="s">
        <v>26</v>
      </c>
      <c r="R404" t="s">
        <v>3835</v>
      </c>
      <c r="S404" t="s">
        <v>1527</v>
      </c>
      <c r="T404" t="s">
        <v>3836</v>
      </c>
      <c r="U404" t="s">
        <v>1560</v>
      </c>
      <c r="V404" t="s">
        <v>1741</v>
      </c>
      <c r="W404" t="s">
        <v>1742</v>
      </c>
      <c r="X404" t="s">
        <v>1739</v>
      </c>
    </row>
    <row r="405" spans="1:24" x14ac:dyDescent="0.3">
      <c r="A405" t="s">
        <v>2212</v>
      </c>
      <c r="B405" s="2">
        <v>45576</v>
      </c>
      <c r="C405" t="s">
        <v>651</v>
      </c>
      <c r="D405" t="s">
        <v>1673</v>
      </c>
      <c r="E405" t="s">
        <v>1777</v>
      </c>
      <c r="F405" s="4">
        <v>4</v>
      </c>
      <c r="G405">
        <v>849.17</v>
      </c>
      <c r="H405">
        <v>0.12</v>
      </c>
      <c r="I405" t="s">
        <v>1812</v>
      </c>
      <c r="J405">
        <v>2989.0783999999999</v>
      </c>
      <c r="K405" t="s">
        <v>652</v>
      </c>
      <c r="L405">
        <v>37</v>
      </c>
      <c r="M405" t="s">
        <v>16</v>
      </c>
      <c r="N405" t="s">
        <v>653</v>
      </c>
      <c r="O405" t="s">
        <v>155</v>
      </c>
      <c r="P405" t="s">
        <v>12</v>
      </c>
      <c r="Q405" t="s">
        <v>26</v>
      </c>
      <c r="R405" t="s">
        <v>3904</v>
      </c>
      <c r="S405" t="s">
        <v>1541</v>
      </c>
      <c r="T405" t="s">
        <v>3833</v>
      </c>
      <c r="U405" t="s">
        <v>1674</v>
      </c>
      <c r="V405" t="s">
        <v>1741</v>
      </c>
      <c r="W405" t="s">
        <v>1742</v>
      </c>
      <c r="X405" t="s">
        <v>1739</v>
      </c>
    </row>
    <row r="406" spans="1:24" x14ac:dyDescent="0.3">
      <c r="A406" t="s">
        <v>2213</v>
      </c>
      <c r="B406" s="2">
        <v>45495</v>
      </c>
      <c r="C406" t="s">
        <v>1171</v>
      </c>
      <c r="D406" t="s">
        <v>1571</v>
      </c>
      <c r="E406" t="s">
        <v>1735</v>
      </c>
      <c r="F406" s="4">
        <v>4</v>
      </c>
      <c r="G406">
        <v>585.45000000000005</v>
      </c>
      <c r="H406">
        <v>0.25</v>
      </c>
      <c r="I406" t="s">
        <v>1812</v>
      </c>
      <c r="J406">
        <v>1756.35</v>
      </c>
      <c r="K406" t="s">
        <v>1172</v>
      </c>
      <c r="L406">
        <v>23</v>
      </c>
      <c r="M406" t="s">
        <v>9</v>
      </c>
      <c r="N406" t="s">
        <v>1173</v>
      </c>
      <c r="O406" t="s">
        <v>264</v>
      </c>
      <c r="P406" t="s">
        <v>12</v>
      </c>
      <c r="Q406" t="s">
        <v>13</v>
      </c>
      <c r="R406" t="s">
        <v>3845</v>
      </c>
      <c r="S406" t="s">
        <v>1549</v>
      </c>
      <c r="T406" t="s">
        <v>3820</v>
      </c>
      <c r="U406" t="s">
        <v>1572</v>
      </c>
      <c r="V406" t="s">
        <v>1736</v>
      </c>
      <c r="W406" t="s">
        <v>1737</v>
      </c>
      <c r="X406" t="s">
        <v>1739</v>
      </c>
    </row>
    <row r="407" spans="1:24" x14ac:dyDescent="0.3">
      <c r="A407" t="s">
        <v>2214</v>
      </c>
      <c r="B407" s="2">
        <v>45628</v>
      </c>
      <c r="C407" t="s">
        <v>1450</v>
      </c>
      <c r="D407" t="s">
        <v>1681</v>
      </c>
      <c r="E407" t="s">
        <v>1787</v>
      </c>
      <c r="F407" s="4">
        <v>1</v>
      </c>
      <c r="G407">
        <v>745.15</v>
      </c>
      <c r="H407">
        <v>0.25</v>
      </c>
      <c r="I407" t="s">
        <v>1812</v>
      </c>
      <c r="J407">
        <v>558.86249999999995</v>
      </c>
      <c r="K407" t="s">
        <v>1451</v>
      </c>
      <c r="L407">
        <v>41</v>
      </c>
      <c r="M407" t="s">
        <v>16</v>
      </c>
      <c r="N407" t="s">
        <v>1452</v>
      </c>
      <c r="O407" t="s">
        <v>96</v>
      </c>
      <c r="P407" t="s">
        <v>12</v>
      </c>
      <c r="Q407" t="s">
        <v>13</v>
      </c>
      <c r="R407" t="s">
        <v>3908</v>
      </c>
      <c r="S407" t="s">
        <v>1530</v>
      </c>
      <c r="T407" t="s">
        <v>3866</v>
      </c>
      <c r="U407" t="s">
        <v>1682</v>
      </c>
      <c r="V407" t="s">
        <v>1741</v>
      </c>
      <c r="W407" t="s">
        <v>1742</v>
      </c>
      <c r="X407" t="s">
        <v>1739</v>
      </c>
    </row>
    <row r="408" spans="1:24" x14ac:dyDescent="0.3">
      <c r="A408" t="s">
        <v>2215</v>
      </c>
      <c r="B408" s="2">
        <v>45244</v>
      </c>
      <c r="C408" t="s">
        <v>188</v>
      </c>
      <c r="D408" t="s">
        <v>1729</v>
      </c>
      <c r="E408" t="s">
        <v>1744</v>
      </c>
      <c r="F408" s="4">
        <v>1</v>
      </c>
      <c r="G408">
        <v>848.69</v>
      </c>
      <c r="H408">
        <v>0.04</v>
      </c>
      <c r="I408" t="s">
        <v>1812</v>
      </c>
      <c r="J408">
        <v>814.74239999999998</v>
      </c>
      <c r="K408" t="s">
        <v>189</v>
      </c>
      <c r="L408">
        <v>23</v>
      </c>
      <c r="M408" t="s">
        <v>16</v>
      </c>
      <c r="N408" t="s">
        <v>190</v>
      </c>
      <c r="O408" t="s">
        <v>191</v>
      </c>
      <c r="P408" t="s">
        <v>12</v>
      </c>
      <c r="Q408" t="s">
        <v>13</v>
      </c>
      <c r="R408" t="s">
        <v>3932</v>
      </c>
      <c r="S408" t="s">
        <v>1527</v>
      </c>
      <c r="T408" t="s">
        <v>3830</v>
      </c>
      <c r="U408" t="s">
        <v>1730</v>
      </c>
      <c r="V408" t="s">
        <v>1745</v>
      </c>
      <c r="W408" t="s">
        <v>1746</v>
      </c>
      <c r="X408" t="s">
        <v>1748</v>
      </c>
    </row>
    <row r="409" spans="1:24" x14ac:dyDescent="0.3">
      <c r="A409" t="s">
        <v>2216</v>
      </c>
      <c r="B409" s="2">
        <v>45336</v>
      </c>
      <c r="C409" t="s">
        <v>1269</v>
      </c>
      <c r="D409" t="s">
        <v>1671</v>
      </c>
      <c r="E409" t="s">
        <v>1782</v>
      </c>
      <c r="F409" s="4">
        <v>2</v>
      </c>
      <c r="G409">
        <v>247.67</v>
      </c>
      <c r="H409">
        <v>0.1</v>
      </c>
      <c r="I409" t="s">
        <v>1809</v>
      </c>
      <c r="J409">
        <v>445.80599999999998</v>
      </c>
      <c r="K409" t="s">
        <v>1270</v>
      </c>
      <c r="L409">
        <v>35</v>
      </c>
      <c r="M409" t="s">
        <v>16</v>
      </c>
      <c r="N409" t="s">
        <v>1271</v>
      </c>
      <c r="O409" t="s">
        <v>106</v>
      </c>
      <c r="P409" t="s">
        <v>12</v>
      </c>
      <c r="Q409" t="s">
        <v>26</v>
      </c>
      <c r="R409" t="s">
        <v>3903</v>
      </c>
      <c r="S409" t="s">
        <v>1527</v>
      </c>
      <c r="T409" t="s">
        <v>3847</v>
      </c>
      <c r="U409" t="s">
        <v>1672</v>
      </c>
      <c r="V409" t="s">
        <v>1741</v>
      </c>
      <c r="W409" t="s">
        <v>1742</v>
      </c>
      <c r="X409" t="s">
        <v>1739</v>
      </c>
    </row>
    <row r="410" spans="1:24" x14ac:dyDescent="0.3">
      <c r="A410" t="s">
        <v>2217</v>
      </c>
      <c r="B410" s="2">
        <v>45465</v>
      </c>
      <c r="C410" t="s">
        <v>152</v>
      </c>
      <c r="D410" t="s">
        <v>1679</v>
      </c>
      <c r="E410" t="s">
        <v>1749</v>
      </c>
      <c r="F410" s="4">
        <v>3</v>
      </c>
      <c r="G410">
        <v>220.51</v>
      </c>
      <c r="H410">
        <v>0.02</v>
      </c>
      <c r="I410" t="s">
        <v>1809</v>
      </c>
      <c r="J410">
        <v>648.29939999999999</v>
      </c>
      <c r="K410" t="s">
        <v>153</v>
      </c>
      <c r="L410">
        <v>50</v>
      </c>
      <c r="M410" t="s">
        <v>9</v>
      </c>
      <c r="N410" t="s">
        <v>154</v>
      </c>
      <c r="O410" t="s">
        <v>155</v>
      </c>
      <c r="P410" t="s">
        <v>12</v>
      </c>
      <c r="Q410" t="s">
        <v>13</v>
      </c>
      <c r="R410" t="s">
        <v>3907</v>
      </c>
      <c r="S410" t="s">
        <v>1546</v>
      </c>
      <c r="T410" t="s">
        <v>3826</v>
      </c>
      <c r="U410" t="s">
        <v>1680</v>
      </c>
      <c r="V410" t="s">
        <v>1750</v>
      </c>
      <c r="W410" t="s">
        <v>1742</v>
      </c>
      <c r="X410" t="s">
        <v>1748</v>
      </c>
    </row>
    <row r="411" spans="1:24" x14ac:dyDescent="0.3">
      <c r="A411" t="s">
        <v>2218</v>
      </c>
      <c r="B411" s="2">
        <v>45837</v>
      </c>
      <c r="C411" t="s">
        <v>1018</v>
      </c>
      <c r="D411" t="s">
        <v>1561</v>
      </c>
      <c r="E411" t="s">
        <v>1787</v>
      </c>
      <c r="F411" s="4">
        <v>4</v>
      </c>
      <c r="G411">
        <v>370.63</v>
      </c>
      <c r="H411">
        <v>0.08</v>
      </c>
      <c r="I411" t="s">
        <v>1807</v>
      </c>
      <c r="J411">
        <v>1363.9184</v>
      </c>
      <c r="K411" t="s">
        <v>1019</v>
      </c>
      <c r="L411">
        <v>46</v>
      </c>
      <c r="M411" t="s">
        <v>9</v>
      </c>
      <c r="N411" t="s">
        <v>1020</v>
      </c>
      <c r="O411" t="s">
        <v>58</v>
      </c>
      <c r="P411" t="s">
        <v>12</v>
      </c>
      <c r="Q411" t="s">
        <v>26</v>
      </c>
      <c r="R411" t="s">
        <v>3837</v>
      </c>
      <c r="S411" t="s">
        <v>1546</v>
      </c>
      <c r="T411" t="s">
        <v>3838</v>
      </c>
      <c r="U411" t="s">
        <v>1562</v>
      </c>
      <c r="V411" t="s">
        <v>1741</v>
      </c>
      <c r="W411" t="s">
        <v>1742</v>
      </c>
      <c r="X411" t="s">
        <v>1739</v>
      </c>
    </row>
    <row r="412" spans="1:24" x14ac:dyDescent="0.3">
      <c r="A412" t="s">
        <v>2219</v>
      </c>
      <c r="B412" s="2">
        <v>45706</v>
      </c>
      <c r="C412" t="s">
        <v>1207</v>
      </c>
      <c r="D412" t="s">
        <v>1589</v>
      </c>
      <c r="E412" t="s">
        <v>1796</v>
      </c>
      <c r="F412" s="4">
        <v>4</v>
      </c>
      <c r="G412">
        <v>349.84</v>
      </c>
      <c r="H412">
        <v>0.11</v>
      </c>
      <c r="I412" t="s">
        <v>1807</v>
      </c>
      <c r="J412">
        <v>1245.4304</v>
      </c>
      <c r="K412" t="s">
        <v>1208</v>
      </c>
      <c r="L412">
        <v>46</v>
      </c>
      <c r="M412" t="s">
        <v>9</v>
      </c>
      <c r="N412" t="s">
        <v>1209</v>
      </c>
      <c r="O412" t="s">
        <v>35</v>
      </c>
      <c r="P412" t="s">
        <v>12</v>
      </c>
      <c r="Q412" t="s">
        <v>26</v>
      </c>
      <c r="R412" t="s">
        <v>3856</v>
      </c>
      <c r="S412" t="s">
        <v>1527</v>
      </c>
      <c r="T412" t="s">
        <v>3836</v>
      </c>
      <c r="U412" t="s">
        <v>1590</v>
      </c>
      <c r="V412" t="s">
        <v>1741</v>
      </c>
      <c r="W412" t="s">
        <v>1742</v>
      </c>
      <c r="X412" t="s">
        <v>1739</v>
      </c>
    </row>
    <row r="413" spans="1:24" x14ac:dyDescent="0.3">
      <c r="A413" t="s">
        <v>2220</v>
      </c>
      <c r="B413" s="2">
        <v>45823</v>
      </c>
      <c r="C413" t="s">
        <v>167</v>
      </c>
      <c r="D413" t="s">
        <v>1609</v>
      </c>
      <c r="E413" t="s">
        <v>1777</v>
      </c>
      <c r="F413" s="4">
        <v>1</v>
      </c>
      <c r="G413">
        <v>770.87</v>
      </c>
      <c r="H413">
        <v>0.1</v>
      </c>
      <c r="I413" t="s">
        <v>1812</v>
      </c>
      <c r="J413">
        <v>693.78300000000002</v>
      </c>
      <c r="K413" t="s">
        <v>168</v>
      </c>
      <c r="L413">
        <v>34</v>
      </c>
      <c r="M413" t="s">
        <v>9</v>
      </c>
      <c r="N413" t="s">
        <v>169</v>
      </c>
      <c r="O413" t="s">
        <v>170</v>
      </c>
      <c r="P413" t="s">
        <v>12</v>
      </c>
      <c r="Q413" t="s">
        <v>13</v>
      </c>
      <c r="R413" t="s">
        <v>3868</v>
      </c>
      <c r="S413" t="s">
        <v>1546</v>
      </c>
      <c r="T413" t="s">
        <v>3869</v>
      </c>
      <c r="U413" t="s">
        <v>1610</v>
      </c>
      <c r="V413" t="s">
        <v>1741</v>
      </c>
      <c r="W413" t="s">
        <v>1742</v>
      </c>
      <c r="X413" t="s">
        <v>1739</v>
      </c>
    </row>
    <row r="414" spans="1:24" x14ac:dyDescent="0.3">
      <c r="A414" t="s">
        <v>2221</v>
      </c>
      <c r="B414" s="2">
        <v>45518</v>
      </c>
      <c r="C414" t="s">
        <v>1458</v>
      </c>
      <c r="D414" t="s">
        <v>1729</v>
      </c>
      <c r="E414" t="s">
        <v>1790</v>
      </c>
      <c r="F414" s="4">
        <v>3</v>
      </c>
      <c r="G414">
        <v>507.33</v>
      </c>
      <c r="H414">
        <v>0.06</v>
      </c>
      <c r="I414" t="s">
        <v>1809</v>
      </c>
      <c r="J414">
        <v>1430.6705999999999</v>
      </c>
      <c r="K414" t="s">
        <v>1459</v>
      </c>
      <c r="L414">
        <v>33</v>
      </c>
      <c r="M414" t="s">
        <v>9</v>
      </c>
      <c r="N414" t="s">
        <v>1460</v>
      </c>
      <c r="O414" t="s">
        <v>43</v>
      </c>
      <c r="P414" t="s">
        <v>12</v>
      </c>
      <c r="Q414" t="s">
        <v>26</v>
      </c>
      <c r="R414" t="s">
        <v>3932</v>
      </c>
      <c r="S414" t="s">
        <v>1527</v>
      </c>
      <c r="T414" t="s">
        <v>3830</v>
      </c>
      <c r="U414" t="s">
        <v>1730</v>
      </c>
      <c r="V414" t="s">
        <v>1741</v>
      </c>
      <c r="W414" t="s">
        <v>1742</v>
      </c>
      <c r="X414" t="s">
        <v>1739</v>
      </c>
    </row>
    <row r="415" spans="1:24" x14ac:dyDescent="0.3">
      <c r="A415" t="s">
        <v>2222</v>
      </c>
      <c r="B415" s="2">
        <v>45863</v>
      </c>
      <c r="C415" t="s">
        <v>604</v>
      </c>
      <c r="D415" t="s">
        <v>1663</v>
      </c>
      <c r="E415" t="s">
        <v>1769</v>
      </c>
      <c r="F415" s="4">
        <v>1</v>
      </c>
      <c r="G415">
        <v>87.78</v>
      </c>
      <c r="H415">
        <v>0.06</v>
      </c>
      <c r="I415" t="s">
        <v>1807</v>
      </c>
      <c r="J415">
        <v>82.513199999999998</v>
      </c>
      <c r="K415" t="s">
        <v>605</v>
      </c>
      <c r="L415">
        <v>53</v>
      </c>
      <c r="M415" t="s">
        <v>9</v>
      </c>
      <c r="N415" t="s">
        <v>606</v>
      </c>
      <c r="O415" t="s">
        <v>88</v>
      </c>
      <c r="P415" t="s">
        <v>12</v>
      </c>
      <c r="Q415" t="s">
        <v>19</v>
      </c>
      <c r="R415" t="s">
        <v>3898</v>
      </c>
      <c r="S415" t="s">
        <v>1541</v>
      </c>
      <c r="T415" t="s">
        <v>3833</v>
      </c>
      <c r="U415" t="s">
        <v>1664</v>
      </c>
      <c r="V415" t="s">
        <v>1770</v>
      </c>
      <c r="W415" t="s">
        <v>1746</v>
      </c>
      <c r="X415" t="s">
        <v>1739</v>
      </c>
    </row>
    <row r="416" spans="1:24" x14ac:dyDescent="0.3">
      <c r="A416" t="s">
        <v>2223</v>
      </c>
      <c r="B416" s="2">
        <v>45666</v>
      </c>
      <c r="C416" t="s">
        <v>36</v>
      </c>
      <c r="D416" t="s">
        <v>1717</v>
      </c>
      <c r="E416" t="s">
        <v>1752</v>
      </c>
      <c r="F416" s="4">
        <v>2</v>
      </c>
      <c r="G416">
        <v>772.24</v>
      </c>
      <c r="H416">
        <v>0.22</v>
      </c>
      <c r="I416" t="s">
        <v>1807</v>
      </c>
      <c r="J416">
        <v>1204.6944000000001</v>
      </c>
      <c r="K416" t="s">
        <v>37</v>
      </c>
      <c r="L416">
        <v>29</v>
      </c>
      <c r="M416" t="s">
        <v>16</v>
      </c>
      <c r="N416" t="s">
        <v>38</v>
      </c>
      <c r="O416" t="s">
        <v>39</v>
      </c>
      <c r="P416" t="s">
        <v>12</v>
      </c>
      <c r="Q416" t="s">
        <v>19</v>
      </c>
      <c r="R416" t="s">
        <v>3926</v>
      </c>
      <c r="S416" t="s">
        <v>1546</v>
      </c>
      <c r="T416" t="s">
        <v>3811</v>
      </c>
      <c r="U416" t="s">
        <v>1718</v>
      </c>
      <c r="V416" t="s">
        <v>1753</v>
      </c>
      <c r="W416" t="s">
        <v>1746</v>
      </c>
      <c r="X416" t="s">
        <v>1755</v>
      </c>
    </row>
    <row r="417" spans="1:24" x14ac:dyDescent="0.3">
      <c r="A417" t="s">
        <v>2224</v>
      </c>
      <c r="B417" s="2">
        <v>45813</v>
      </c>
      <c r="C417" t="s">
        <v>178</v>
      </c>
      <c r="D417" t="s">
        <v>1671</v>
      </c>
      <c r="E417" t="s">
        <v>1782</v>
      </c>
      <c r="F417" s="4">
        <v>1</v>
      </c>
      <c r="G417">
        <v>108.27</v>
      </c>
      <c r="H417">
        <v>0.1</v>
      </c>
      <c r="I417" t="s">
        <v>1812</v>
      </c>
      <c r="J417">
        <v>97.442999999999998</v>
      </c>
      <c r="K417" t="s">
        <v>179</v>
      </c>
      <c r="L417">
        <v>54</v>
      </c>
      <c r="M417" t="s">
        <v>9</v>
      </c>
      <c r="N417" t="s">
        <v>180</v>
      </c>
      <c r="O417" t="s">
        <v>181</v>
      </c>
      <c r="P417" t="s">
        <v>12</v>
      </c>
      <c r="Q417" t="s">
        <v>31</v>
      </c>
      <c r="R417" t="s">
        <v>3903</v>
      </c>
      <c r="S417" t="s">
        <v>1527</v>
      </c>
      <c r="T417" t="s">
        <v>3847</v>
      </c>
      <c r="U417" t="s">
        <v>1672</v>
      </c>
      <c r="V417" t="s">
        <v>1741</v>
      </c>
      <c r="W417" t="s">
        <v>1742</v>
      </c>
      <c r="X417" t="s">
        <v>1739</v>
      </c>
    </row>
    <row r="418" spans="1:24" x14ac:dyDescent="0.3">
      <c r="A418" t="s">
        <v>2225</v>
      </c>
      <c r="B418" s="2">
        <v>45633</v>
      </c>
      <c r="C418" t="s">
        <v>1078</v>
      </c>
      <c r="D418" t="s">
        <v>1607</v>
      </c>
      <c r="E418" t="s">
        <v>1790</v>
      </c>
      <c r="F418" s="4">
        <v>2</v>
      </c>
      <c r="G418">
        <v>839.24</v>
      </c>
      <c r="H418">
        <v>0.21</v>
      </c>
      <c r="I418" t="s">
        <v>1809</v>
      </c>
      <c r="J418">
        <v>1325.9992</v>
      </c>
      <c r="K418" t="s">
        <v>3946</v>
      </c>
      <c r="L418">
        <v>55</v>
      </c>
      <c r="M418" t="s">
        <v>9</v>
      </c>
      <c r="N418" t="s">
        <v>1079</v>
      </c>
      <c r="O418" t="s">
        <v>166</v>
      </c>
      <c r="P418" t="s">
        <v>12</v>
      </c>
      <c r="Q418" t="s">
        <v>13</v>
      </c>
      <c r="R418" t="s">
        <v>3867</v>
      </c>
      <c r="S418" t="s">
        <v>1549</v>
      </c>
      <c r="T418" t="s">
        <v>3851</v>
      </c>
      <c r="U418" t="s">
        <v>1608</v>
      </c>
      <c r="V418" t="s">
        <v>1741</v>
      </c>
      <c r="W418" t="s">
        <v>1742</v>
      </c>
      <c r="X418" t="s">
        <v>1739</v>
      </c>
    </row>
    <row r="419" spans="1:24" x14ac:dyDescent="0.3">
      <c r="A419" t="s">
        <v>2226</v>
      </c>
      <c r="B419" s="2">
        <v>45331</v>
      </c>
      <c r="C419" t="s">
        <v>1183</v>
      </c>
      <c r="D419" t="s">
        <v>1647</v>
      </c>
      <c r="E419" t="s">
        <v>1772</v>
      </c>
      <c r="F419" s="4">
        <v>2</v>
      </c>
      <c r="G419">
        <v>466.27</v>
      </c>
      <c r="H419">
        <v>0.11</v>
      </c>
      <c r="I419" t="s">
        <v>1809</v>
      </c>
      <c r="J419">
        <v>829.9606</v>
      </c>
      <c r="K419" t="s">
        <v>1184</v>
      </c>
      <c r="L419">
        <v>52</v>
      </c>
      <c r="M419" t="s">
        <v>16</v>
      </c>
      <c r="N419" t="s">
        <v>1185</v>
      </c>
      <c r="O419" t="s">
        <v>312</v>
      </c>
      <c r="P419" t="s">
        <v>12</v>
      </c>
      <c r="Q419" t="s">
        <v>31</v>
      </c>
      <c r="R419" t="s">
        <v>3890</v>
      </c>
      <c r="S419" t="s">
        <v>1530</v>
      </c>
      <c r="T419" t="s">
        <v>3820</v>
      </c>
      <c r="U419" t="s">
        <v>1648</v>
      </c>
      <c r="V419" t="s">
        <v>1741</v>
      </c>
      <c r="W419" t="s">
        <v>1742</v>
      </c>
      <c r="X419" t="s">
        <v>1739</v>
      </c>
    </row>
    <row r="420" spans="1:24" x14ac:dyDescent="0.3">
      <c r="A420" t="s">
        <v>2227</v>
      </c>
      <c r="B420" s="2">
        <v>45942</v>
      </c>
      <c r="C420" t="s">
        <v>1226</v>
      </c>
      <c r="D420" t="s">
        <v>1655</v>
      </c>
      <c r="E420" t="s">
        <v>1782</v>
      </c>
      <c r="F420" s="4">
        <v>3</v>
      </c>
      <c r="G420">
        <v>969.83</v>
      </c>
      <c r="H420">
        <v>0.02</v>
      </c>
      <c r="I420" t="s">
        <v>1807</v>
      </c>
      <c r="J420">
        <v>2851.3002000000001</v>
      </c>
      <c r="K420" t="s">
        <v>1227</v>
      </c>
      <c r="L420">
        <v>27</v>
      </c>
      <c r="M420" t="s">
        <v>9</v>
      </c>
      <c r="N420" t="s">
        <v>1228</v>
      </c>
      <c r="O420" t="s">
        <v>47</v>
      </c>
      <c r="P420" t="s">
        <v>12</v>
      </c>
      <c r="Q420" t="s">
        <v>26</v>
      </c>
      <c r="R420" t="s">
        <v>3894</v>
      </c>
      <c r="S420" t="s">
        <v>1546</v>
      </c>
      <c r="T420" t="s">
        <v>3811</v>
      </c>
      <c r="U420" t="s">
        <v>1656</v>
      </c>
      <c r="V420" t="s">
        <v>1741</v>
      </c>
      <c r="W420" t="s">
        <v>1742</v>
      </c>
      <c r="X420" t="s">
        <v>1739</v>
      </c>
    </row>
    <row r="421" spans="1:24" x14ac:dyDescent="0.3">
      <c r="A421" t="s">
        <v>2228</v>
      </c>
      <c r="B421" s="2">
        <v>45824</v>
      </c>
      <c r="C421" t="s">
        <v>1281</v>
      </c>
      <c r="D421" t="s">
        <v>1713</v>
      </c>
      <c r="E421" t="s">
        <v>1796</v>
      </c>
      <c r="F421" s="4">
        <v>2</v>
      </c>
      <c r="G421">
        <v>782.11</v>
      </c>
      <c r="H421">
        <v>0.17</v>
      </c>
      <c r="I421" t="s">
        <v>1809</v>
      </c>
      <c r="J421">
        <v>1298.3026</v>
      </c>
      <c r="K421" t="s">
        <v>1282</v>
      </c>
      <c r="L421">
        <v>60</v>
      </c>
      <c r="M421" t="s">
        <v>16</v>
      </c>
      <c r="N421" t="s">
        <v>1283</v>
      </c>
      <c r="O421" t="s">
        <v>11</v>
      </c>
      <c r="P421" t="s">
        <v>12</v>
      </c>
      <c r="Q421" t="s">
        <v>26</v>
      </c>
      <c r="R421" t="s">
        <v>3924</v>
      </c>
      <c r="S421" t="s">
        <v>1530</v>
      </c>
      <c r="T421" t="s">
        <v>3866</v>
      </c>
      <c r="U421" t="s">
        <v>1714</v>
      </c>
      <c r="V421" t="s">
        <v>1741</v>
      </c>
      <c r="W421" t="s">
        <v>1742</v>
      </c>
      <c r="X421" t="s">
        <v>1739</v>
      </c>
    </row>
    <row r="422" spans="1:24" x14ac:dyDescent="0.3">
      <c r="A422" t="s">
        <v>2229</v>
      </c>
      <c r="B422" s="2">
        <v>45921</v>
      </c>
      <c r="C422" t="s">
        <v>1379</v>
      </c>
      <c r="D422" t="s">
        <v>1611</v>
      </c>
      <c r="E422" t="s">
        <v>1775</v>
      </c>
      <c r="F422" s="4">
        <v>2</v>
      </c>
      <c r="G422">
        <v>74.63</v>
      </c>
      <c r="H422">
        <v>0.01</v>
      </c>
      <c r="I422" t="s">
        <v>1809</v>
      </c>
      <c r="J422">
        <v>147.76740000000001</v>
      </c>
      <c r="K422" t="s">
        <v>1380</v>
      </c>
      <c r="L422">
        <v>60</v>
      </c>
      <c r="M422" t="s">
        <v>16</v>
      </c>
      <c r="N422" t="s">
        <v>559</v>
      </c>
      <c r="O422" t="s">
        <v>230</v>
      </c>
      <c r="P422" t="s">
        <v>12</v>
      </c>
      <c r="Q422" t="s">
        <v>13</v>
      </c>
      <c r="R422" t="s">
        <v>3870</v>
      </c>
      <c r="S422" t="s">
        <v>1546</v>
      </c>
      <c r="T422" t="s">
        <v>3826</v>
      </c>
      <c r="U422" t="s">
        <v>1612</v>
      </c>
      <c r="V422" t="s">
        <v>1741</v>
      </c>
      <c r="W422" t="s">
        <v>1742</v>
      </c>
      <c r="X422" t="s">
        <v>1739</v>
      </c>
    </row>
    <row r="423" spans="1:24" x14ac:dyDescent="0.3">
      <c r="A423" t="s">
        <v>2230</v>
      </c>
      <c r="B423" s="2">
        <v>45909</v>
      </c>
      <c r="C423" t="s">
        <v>159</v>
      </c>
      <c r="D423" t="s">
        <v>1701</v>
      </c>
      <c r="E423" t="s">
        <v>1759</v>
      </c>
      <c r="F423" s="4">
        <v>3</v>
      </c>
      <c r="G423">
        <v>522.78</v>
      </c>
      <c r="H423">
        <v>0.25</v>
      </c>
      <c r="I423" t="s">
        <v>1809</v>
      </c>
      <c r="J423">
        <v>1176.2550000000001</v>
      </c>
      <c r="K423" t="s">
        <v>160</v>
      </c>
      <c r="L423">
        <v>19</v>
      </c>
      <c r="M423" t="s">
        <v>9</v>
      </c>
      <c r="N423" t="s">
        <v>161</v>
      </c>
      <c r="O423" t="s">
        <v>162</v>
      </c>
      <c r="P423" t="s">
        <v>12</v>
      </c>
      <c r="Q423" t="s">
        <v>19</v>
      </c>
      <c r="R423" t="s">
        <v>3918</v>
      </c>
      <c r="S423" t="s">
        <v>1530</v>
      </c>
      <c r="T423" t="s">
        <v>3820</v>
      </c>
      <c r="U423" t="s">
        <v>1702</v>
      </c>
      <c r="V423" t="s">
        <v>1760</v>
      </c>
      <c r="W423" t="s">
        <v>1737</v>
      </c>
      <c r="X423" t="s">
        <v>1755</v>
      </c>
    </row>
    <row r="424" spans="1:24" x14ac:dyDescent="0.3">
      <c r="A424" t="s">
        <v>2231</v>
      </c>
      <c r="B424" s="2">
        <v>45853</v>
      </c>
      <c r="C424" t="s">
        <v>1051</v>
      </c>
      <c r="D424" t="s">
        <v>1557</v>
      </c>
      <c r="E424" t="s">
        <v>1784</v>
      </c>
      <c r="F424" s="4">
        <v>1</v>
      </c>
      <c r="G424">
        <v>206.45</v>
      </c>
      <c r="H424">
        <v>0.15</v>
      </c>
      <c r="I424" t="s">
        <v>1809</v>
      </c>
      <c r="J424">
        <v>175.48249999999999</v>
      </c>
      <c r="K424" t="s">
        <v>1052</v>
      </c>
      <c r="L424">
        <v>52</v>
      </c>
      <c r="M424" t="s">
        <v>16</v>
      </c>
      <c r="N424" t="s">
        <v>1053</v>
      </c>
      <c r="O424" t="s">
        <v>166</v>
      </c>
      <c r="P424" t="s">
        <v>12</v>
      </c>
      <c r="Q424" t="s">
        <v>31</v>
      </c>
      <c r="R424" t="s">
        <v>3834</v>
      </c>
      <c r="S424" t="s">
        <v>1546</v>
      </c>
      <c r="T424" t="s">
        <v>3820</v>
      </c>
      <c r="U424" t="s">
        <v>1558</v>
      </c>
      <c r="V424" t="s">
        <v>1741</v>
      </c>
      <c r="W424" t="s">
        <v>1742</v>
      </c>
      <c r="X424" t="s">
        <v>1739</v>
      </c>
    </row>
    <row r="425" spans="1:24" x14ac:dyDescent="0.3">
      <c r="A425" t="s">
        <v>2232</v>
      </c>
      <c r="B425" s="2">
        <v>45580</v>
      </c>
      <c r="C425" t="s">
        <v>485</v>
      </c>
      <c r="D425" t="s">
        <v>1669</v>
      </c>
      <c r="E425" t="s">
        <v>1756</v>
      </c>
      <c r="F425" s="4">
        <v>1</v>
      </c>
      <c r="G425">
        <v>815.53</v>
      </c>
      <c r="H425">
        <v>0.3</v>
      </c>
      <c r="I425" t="s">
        <v>1809</v>
      </c>
      <c r="J425">
        <v>570.87099999999998</v>
      </c>
      <c r="K425" t="s">
        <v>486</v>
      </c>
      <c r="L425">
        <v>32</v>
      </c>
      <c r="M425" t="s">
        <v>16</v>
      </c>
      <c r="N425" t="s">
        <v>487</v>
      </c>
      <c r="O425" t="s">
        <v>251</v>
      </c>
      <c r="P425" t="s">
        <v>12</v>
      </c>
      <c r="Q425" t="s">
        <v>19</v>
      </c>
      <c r="R425" t="s">
        <v>3902</v>
      </c>
      <c r="S425" t="s">
        <v>1530</v>
      </c>
      <c r="T425" t="s">
        <v>3818</v>
      </c>
      <c r="U425" t="s">
        <v>1670</v>
      </c>
      <c r="V425" t="s">
        <v>1757</v>
      </c>
      <c r="W425" t="s">
        <v>1742</v>
      </c>
      <c r="X425" t="s">
        <v>1748</v>
      </c>
    </row>
    <row r="426" spans="1:24" x14ac:dyDescent="0.3">
      <c r="A426" t="s">
        <v>2233</v>
      </c>
      <c r="B426" s="2">
        <v>45220</v>
      </c>
      <c r="C426" t="s">
        <v>146</v>
      </c>
      <c r="D426" t="s">
        <v>1689</v>
      </c>
      <c r="E426" t="s">
        <v>1780</v>
      </c>
      <c r="F426" s="4">
        <v>1</v>
      </c>
      <c r="G426">
        <v>823.61</v>
      </c>
      <c r="H426">
        <v>0.28000000000000003</v>
      </c>
      <c r="I426" t="s">
        <v>1812</v>
      </c>
      <c r="J426">
        <v>592.99919999999997</v>
      </c>
      <c r="K426" t="s">
        <v>147</v>
      </c>
      <c r="L426">
        <v>35</v>
      </c>
      <c r="M426" t="s">
        <v>16</v>
      </c>
      <c r="N426" t="s">
        <v>148</v>
      </c>
      <c r="O426" t="s">
        <v>39</v>
      </c>
      <c r="P426" t="s">
        <v>12</v>
      </c>
      <c r="Q426" t="s">
        <v>19</v>
      </c>
      <c r="R426" t="s">
        <v>3912</v>
      </c>
      <c r="S426" t="s">
        <v>1527</v>
      </c>
      <c r="T426" t="s">
        <v>3824</v>
      </c>
      <c r="U426" t="s">
        <v>1690</v>
      </c>
      <c r="V426" t="s">
        <v>1741</v>
      </c>
      <c r="W426" t="s">
        <v>1742</v>
      </c>
      <c r="X426" t="s">
        <v>1739</v>
      </c>
    </row>
    <row r="427" spans="1:24" x14ac:dyDescent="0.3">
      <c r="A427" t="s">
        <v>2234</v>
      </c>
      <c r="B427" s="2">
        <v>45807</v>
      </c>
      <c r="C427" t="s">
        <v>1456</v>
      </c>
      <c r="D427" t="s">
        <v>1705</v>
      </c>
      <c r="E427" t="s">
        <v>1769</v>
      </c>
      <c r="F427" s="4">
        <v>2</v>
      </c>
      <c r="G427">
        <v>209.96</v>
      </c>
      <c r="H427">
        <v>0</v>
      </c>
      <c r="I427" t="s">
        <v>1807</v>
      </c>
      <c r="J427">
        <v>419.92</v>
      </c>
      <c r="K427" t="s">
        <v>3951</v>
      </c>
      <c r="L427">
        <v>40</v>
      </c>
      <c r="M427" t="s">
        <v>9</v>
      </c>
      <c r="N427" t="s">
        <v>1457</v>
      </c>
      <c r="O427" t="s">
        <v>39</v>
      </c>
      <c r="P427" t="s">
        <v>12</v>
      </c>
      <c r="Q427" t="s">
        <v>13</v>
      </c>
      <c r="R427" t="s">
        <v>3920</v>
      </c>
      <c r="S427" t="s">
        <v>1527</v>
      </c>
      <c r="T427" t="s">
        <v>3824</v>
      </c>
      <c r="U427" t="s">
        <v>1706</v>
      </c>
      <c r="V427" t="s">
        <v>1770</v>
      </c>
      <c r="W427" t="s">
        <v>1746</v>
      </c>
      <c r="X427" t="s">
        <v>1739</v>
      </c>
    </row>
    <row r="428" spans="1:24" x14ac:dyDescent="0.3">
      <c r="A428" t="s">
        <v>2235</v>
      </c>
      <c r="B428" s="2">
        <v>45462</v>
      </c>
      <c r="C428" t="s">
        <v>573</v>
      </c>
      <c r="D428" t="s">
        <v>1526</v>
      </c>
      <c r="E428" t="s">
        <v>1787</v>
      </c>
      <c r="F428" s="4">
        <v>4</v>
      </c>
      <c r="G428">
        <v>897.93</v>
      </c>
      <c r="H428">
        <v>0.05</v>
      </c>
      <c r="I428" t="s">
        <v>1812</v>
      </c>
      <c r="J428">
        <v>3412.134</v>
      </c>
      <c r="K428" t="s">
        <v>574</v>
      </c>
      <c r="L428">
        <v>48</v>
      </c>
      <c r="M428" t="s">
        <v>9</v>
      </c>
      <c r="N428" t="s">
        <v>575</v>
      </c>
      <c r="O428" t="s">
        <v>99</v>
      </c>
      <c r="P428" t="s">
        <v>12</v>
      </c>
      <c r="Q428" t="s">
        <v>19</v>
      </c>
      <c r="R428" t="s">
        <v>3810</v>
      </c>
      <c r="S428" t="s">
        <v>1546</v>
      </c>
      <c r="T428" t="s">
        <v>3811</v>
      </c>
      <c r="U428" t="s">
        <v>1528</v>
      </c>
      <c r="V428" t="s">
        <v>1741</v>
      </c>
      <c r="W428" t="s">
        <v>1742</v>
      </c>
      <c r="X428" t="s">
        <v>1739</v>
      </c>
    </row>
    <row r="429" spans="1:24" x14ac:dyDescent="0.3">
      <c r="A429" t="s">
        <v>2236</v>
      </c>
      <c r="B429" s="2">
        <v>45646</v>
      </c>
      <c r="C429" t="s">
        <v>592</v>
      </c>
      <c r="D429" t="s">
        <v>1657</v>
      </c>
      <c r="E429" t="s">
        <v>1735</v>
      </c>
      <c r="F429" s="4">
        <v>4</v>
      </c>
      <c r="G429">
        <v>925.95</v>
      </c>
      <c r="H429">
        <v>0.16</v>
      </c>
      <c r="I429" t="s">
        <v>1812</v>
      </c>
      <c r="J429">
        <v>3111.192</v>
      </c>
      <c r="K429" t="s">
        <v>593</v>
      </c>
      <c r="L429">
        <v>23</v>
      </c>
      <c r="M429" t="s">
        <v>16</v>
      </c>
      <c r="N429" t="s">
        <v>594</v>
      </c>
      <c r="O429" t="s">
        <v>58</v>
      </c>
      <c r="P429" t="s">
        <v>12</v>
      </c>
      <c r="Q429" t="s">
        <v>26</v>
      </c>
      <c r="R429" t="s">
        <v>3895</v>
      </c>
      <c r="S429" t="s">
        <v>1541</v>
      </c>
      <c r="T429" t="s">
        <v>3822</v>
      </c>
      <c r="U429" t="s">
        <v>1658</v>
      </c>
      <c r="V429" t="s">
        <v>1736</v>
      </c>
      <c r="W429" t="s">
        <v>1737</v>
      </c>
      <c r="X429" t="s">
        <v>1739</v>
      </c>
    </row>
    <row r="430" spans="1:24" x14ac:dyDescent="0.3">
      <c r="A430" t="s">
        <v>2237</v>
      </c>
      <c r="B430" s="2">
        <v>45520</v>
      </c>
      <c r="C430" t="s">
        <v>301</v>
      </c>
      <c r="D430" t="s">
        <v>1633</v>
      </c>
      <c r="E430" t="s">
        <v>1759</v>
      </c>
      <c r="F430" s="4">
        <v>2</v>
      </c>
      <c r="G430">
        <v>573.09</v>
      </c>
      <c r="H430">
        <v>0.03</v>
      </c>
      <c r="I430" t="s">
        <v>1812</v>
      </c>
      <c r="J430">
        <v>1111.7945999999999</v>
      </c>
      <c r="K430" t="s">
        <v>302</v>
      </c>
      <c r="L430">
        <v>36</v>
      </c>
      <c r="M430" t="s">
        <v>9</v>
      </c>
      <c r="N430" t="s">
        <v>303</v>
      </c>
      <c r="O430" t="s">
        <v>251</v>
      </c>
      <c r="P430" t="s">
        <v>12</v>
      </c>
      <c r="Q430" t="s">
        <v>19</v>
      </c>
      <c r="R430" t="s">
        <v>3883</v>
      </c>
      <c r="S430" t="s">
        <v>1546</v>
      </c>
      <c r="T430" t="s">
        <v>3820</v>
      </c>
      <c r="U430" t="s">
        <v>1634</v>
      </c>
      <c r="V430" t="s">
        <v>1760</v>
      </c>
      <c r="W430" t="s">
        <v>1737</v>
      </c>
      <c r="X430" t="s">
        <v>1755</v>
      </c>
    </row>
    <row r="431" spans="1:24" x14ac:dyDescent="0.3">
      <c r="A431" t="s">
        <v>2238</v>
      </c>
      <c r="B431" s="2">
        <v>45731</v>
      </c>
      <c r="C431" t="s">
        <v>598</v>
      </c>
      <c r="D431" t="s">
        <v>1543</v>
      </c>
      <c r="E431" t="s">
        <v>1752</v>
      </c>
      <c r="F431" s="4">
        <v>4</v>
      </c>
      <c r="G431">
        <v>149.83000000000001</v>
      </c>
      <c r="H431">
        <v>0.02</v>
      </c>
      <c r="I431" t="s">
        <v>1807</v>
      </c>
      <c r="J431">
        <v>587.33360000000005</v>
      </c>
      <c r="K431" t="s">
        <v>599</v>
      </c>
      <c r="L431">
        <v>46</v>
      </c>
      <c r="M431" t="s">
        <v>16</v>
      </c>
      <c r="N431" t="s">
        <v>600</v>
      </c>
      <c r="O431" t="s">
        <v>58</v>
      </c>
      <c r="P431" t="s">
        <v>12</v>
      </c>
      <c r="Q431" t="s">
        <v>19</v>
      </c>
      <c r="R431" t="s">
        <v>3902</v>
      </c>
      <c r="S431" t="s">
        <v>1530</v>
      </c>
      <c r="T431" t="s">
        <v>3818</v>
      </c>
      <c r="U431" t="s">
        <v>1670</v>
      </c>
      <c r="V431" t="s">
        <v>1753</v>
      </c>
      <c r="W431" t="s">
        <v>1746</v>
      </c>
      <c r="X431" t="s">
        <v>1755</v>
      </c>
    </row>
    <row r="432" spans="1:24" x14ac:dyDescent="0.3">
      <c r="A432" t="s">
        <v>2239</v>
      </c>
      <c r="B432" s="2">
        <v>45445</v>
      </c>
      <c r="C432" t="s">
        <v>14</v>
      </c>
      <c r="D432" t="s">
        <v>1633</v>
      </c>
      <c r="E432" t="s">
        <v>1782</v>
      </c>
      <c r="F432" s="4">
        <v>3</v>
      </c>
      <c r="G432">
        <v>287.70999999999998</v>
      </c>
      <c r="H432">
        <v>0.03</v>
      </c>
      <c r="I432" t="s">
        <v>1812</v>
      </c>
      <c r="J432">
        <v>837.23609999999985</v>
      </c>
      <c r="K432" t="s">
        <v>15</v>
      </c>
      <c r="L432">
        <v>29</v>
      </c>
      <c r="M432" t="s">
        <v>16</v>
      </c>
      <c r="N432" t="s">
        <v>17</v>
      </c>
      <c r="O432" t="s">
        <v>18</v>
      </c>
      <c r="P432" t="s">
        <v>12</v>
      </c>
      <c r="Q432" t="s">
        <v>19</v>
      </c>
      <c r="R432" t="s">
        <v>3883</v>
      </c>
      <c r="S432" t="s">
        <v>1546</v>
      </c>
      <c r="T432" t="s">
        <v>3820</v>
      </c>
      <c r="U432" t="s">
        <v>1634</v>
      </c>
      <c r="V432" t="s">
        <v>1741</v>
      </c>
      <c r="W432" t="s">
        <v>1742</v>
      </c>
      <c r="X432" t="s">
        <v>1739</v>
      </c>
    </row>
    <row r="433" spans="1:24" x14ac:dyDescent="0.3">
      <c r="A433" t="s">
        <v>2240</v>
      </c>
      <c r="B433" s="2">
        <v>45860</v>
      </c>
      <c r="C433" t="s">
        <v>333</v>
      </c>
      <c r="D433" t="s">
        <v>1665</v>
      </c>
      <c r="E433" t="s">
        <v>1759</v>
      </c>
      <c r="F433" s="4">
        <v>2</v>
      </c>
      <c r="G433">
        <v>849.8</v>
      </c>
      <c r="H433">
        <v>0.06</v>
      </c>
      <c r="I433" t="s">
        <v>1812</v>
      </c>
      <c r="J433">
        <v>1597.624</v>
      </c>
      <c r="K433" t="s">
        <v>334</v>
      </c>
      <c r="L433">
        <v>62</v>
      </c>
      <c r="M433" t="s">
        <v>16</v>
      </c>
      <c r="N433" t="s">
        <v>335</v>
      </c>
      <c r="O433" t="s">
        <v>181</v>
      </c>
      <c r="P433" t="s">
        <v>12</v>
      </c>
      <c r="Q433" t="s">
        <v>13</v>
      </c>
      <c r="R433" t="s">
        <v>3899</v>
      </c>
      <c r="S433" t="s">
        <v>1546</v>
      </c>
      <c r="T433" t="s">
        <v>3820</v>
      </c>
      <c r="U433" t="s">
        <v>1666</v>
      </c>
      <c r="V433" t="s">
        <v>1760</v>
      </c>
      <c r="W433" t="s">
        <v>1737</v>
      </c>
      <c r="X433" t="s">
        <v>1755</v>
      </c>
    </row>
    <row r="434" spans="1:24" x14ac:dyDescent="0.3">
      <c r="A434" t="s">
        <v>2241</v>
      </c>
      <c r="B434" s="2">
        <v>45725</v>
      </c>
      <c r="C434" t="s">
        <v>75</v>
      </c>
      <c r="D434" t="s">
        <v>1613</v>
      </c>
      <c r="E434" t="s">
        <v>1749</v>
      </c>
      <c r="F434" s="4">
        <v>3</v>
      </c>
      <c r="G434">
        <v>482.58</v>
      </c>
      <c r="H434">
        <v>0.28000000000000003</v>
      </c>
      <c r="I434" t="s">
        <v>1809</v>
      </c>
      <c r="J434">
        <v>1042.3728000000001</v>
      </c>
      <c r="K434" t="s">
        <v>76</v>
      </c>
      <c r="L434">
        <v>60</v>
      </c>
      <c r="M434" t="s">
        <v>16</v>
      </c>
      <c r="N434" t="s">
        <v>77</v>
      </c>
      <c r="O434" t="s">
        <v>51</v>
      </c>
      <c r="P434" t="s">
        <v>12</v>
      </c>
      <c r="Q434" t="s">
        <v>26</v>
      </c>
      <c r="R434" t="s">
        <v>3871</v>
      </c>
      <c r="S434" t="s">
        <v>1549</v>
      </c>
      <c r="T434" t="s">
        <v>3828</v>
      </c>
      <c r="U434" t="s">
        <v>1614</v>
      </c>
      <c r="V434" t="s">
        <v>1750</v>
      </c>
      <c r="W434" t="s">
        <v>1742</v>
      </c>
      <c r="X434" t="s">
        <v>1748</v>
      </c>
    </row>
    <row r="435" spans="1:24" x14ac:dyDescent="0.3">
      <c r="A435" t="s">
        <v>2242</v>
      </c>
      <c r="B435" s="2">
        <v>45699</v>
      </c>
      <c r="C435" t="s">
        <v>394</v>
      </c>
      <c r="D435" t="s">
        <v>1649</v>
      </c>
      <c r="E435" t="s">
        <v>1744</v>
      </c>
      <c r="F435" s="4">
        <v>2</v>
      </c>
      <c r="G435">
        <v>64.7</v>
      </c>
      <c r="H435">
        <v>0</v>
      </c>
      <c r="I435" t="s">
        <v>1807</v>
      </c>
      <c r="J435">
        <v>129.4</v>
      </c>
      <c r="K435" t="s">
        <v>395</v>
      </c>
      <c r="L435">
        <v>53</v>
      </c>
      <c r="M435" t="s">
        <v>16</v>
      </c>
      <c r="N435" t="s">
        <v>396</v>
      </c>
      <c r="O435" t="s">
        <v>181</v>
      </c>
      <c r="P435" t="s">
        <v>12</v>
      </c>
      <c r="Q435" t="s">
        <v>26</v>
      </c>
      <c r="R435" t="s">
        <v>3891</v>
      </c>
      <c r="S435" t="s">
        <v>1541</v>
      </c>
      <c r="T435" t="s">
        <v>3833</v>
      </c>
      <c r="U435" t="s">
        <v>1650</v>
      </c>
      <c r="V435" t="s">
        <v>1745</v>
      </c>
      <c r="W435" t="s">
        <v>1746</v>
      </c>
      <c r="X435" t="s">
        <v>1748</v>
      </c>
    </row>
    <row r="436" spans="1:24" x14ac:dyDescent="0.3">
      <c r="A436" t="s">
        <v>2243</v>
      </c>
      <c r="B436" s="2">
        <v>45266</v>
      </c>
      <c r="C436" t="s">
        <v>494</v>
      </c>
      <c r="D436" t="s">
        <v>1538</v>
      </c>
      <c r="E436" t="s">
        <v>1756</v>
      </c>
      <c r="F436" s="4">
        <v>3</v>
      </c>
      <c r="G436">
        <v>589.83000000000004</v>
      </c>
      <c r="H436">
        <v>0.26</v>
      </c>
      <c r="I436" t="s">
        <v>1807</v>
      </c>
      <c r="J436">
        <v>1309.4226000000001</v>
      </c>
      <c r="K436" t="s">
        <v>495</v>
      </c>
      <c r="L436">
        <v>33</v>
      </c>
      <c r="M436" t="s">
        <v>9</v>
      </c>
      <c r="N436" t="s">
        <v>496</v>
      </c>
      <c r="O436" t="s">
        <v>319</v>
      </c>
      <c r="P436" t="s">
        <v>12</v>
      </c>
      <c r="Q436" t="s">
        <v>26</v>
      </c>
      <c r="R436" t="s">
        <v>3880</v>
      </c>
      <c r="S436" t="s">
        <v>1541</v>
      </c>
      <c r="T436" t="s">
        <v>3881</v>
      </c>
      <c r="U436" t="s">
        <v>1630</v>
      </c>
      <c r="V436" t="s">
        <v>1757</v>
      </c>
      <c r="W436" t="s">
        <v>1742</v>
      </c>
      <c r="X436" t="s">
        <v>1748</v>
      </c>
    </row>
    <row r="437" spans="1:24" x14ac:dyDescent="0.3">
      <c r="A437" t="s">
        <v>2244</v>
      </c>
      <c r="B437" s="2">
        <v>45889</v>
      </c>
      <c r="C437" t="s">
        <v>906</v>
      </c>
      <c r="D437" t="s">
        <v>1534</v>
      </c>
      <c r="E437" t="s">
        <v>1769</v>
      </c>
      <c r="F437" s="4">
        <v>4</v>
      </c>
      <c r="G437">
        <v>758.49</v>
      </c>
      <c r="H437">
        <v>0.16</v>
      </c>
      <c r="I437" t="s">
        <v>1812</v>
      </c>
      <c r="J437">
        <v>2548.5264000000002</v>
      </c>
      <c r="K437" t="s">
        <v>907</v>
      </c>
      <c r="L437">
        <v>45</v>
      </c>
      <c r="M437" t="s">
        <v>9</v>
      </c>
      <c r="N437" t="s">
        <v>908</v>
      </c>
      <c r="O437" t="s">
        <v>166</v>
      </c>
      <c r="P437" t="s">
        <v>12</v>
      </c>
      <c r="Q437" t="s">
        <v>13</v>
      </c>
      <c r="R437" t="s">
        <v>3856</v>
      </c>
      <c r="S437" t="s">
        <v>1527</v>
      </c>
      <c r="T437" t="s">
        <v>3836</v>
      </c>
      <c r="U437" t="s">
        <v>1590</v>
      </c>
      <c r="V437" t="s">
        <v>1770</v>
      </c>
      <c r="W437" t="s">
        <v>1746</v>
      </c>
      <c r="X437" t="s">
        <v>1739</v>
      </c>
    </row>
    <row r="438" spans="1:24" x14ac:dyDescent="0.3">
      <c r="A438" t="s">
        <v>2245</v>
      </c>
      <c r="B438" s="2">
        <v>45555</v>
      </c>
      <c r="C438" t="s">
        <v>199</v>
      </c>
      <c r="D438" t="s">
        <v>1605</v>
      </c>
      <c r="E438" t="s">
        <v>1777</v>
      </c>
      <c r="F438" s="4">
        <v>4</v>
      </c>
      <c r="G438">
        <v>747.56</v>
      </c>
      <c r="H438">
        <v>0.09</v>
      </c>
      <c r="I438" t="s">
        <v>1812</v>
      </c>
      <c r="J438">
        <v>2721.1183999999998</v>
      </c>
      <c r="K438" t="s">
        <v>200</v>
      </c>
      <c r="L438">
        <v>24</v>
      </c>
      <c r="M438" t="s">
        <v>9</v>
      </c>
      <c r="N438" t="s">
        <v>201</v>
      </c>
      <c r="O438" t="s">
        <v>155</v>
      </c>
      <c r="P438" t="s">
        <v>12</v>
      </c>
      <c r="Q438" t="s">
        <v>13</v>
      </c>
      <c r="R438" t="s">
        <v>3865</v>
      </c>
      <c r="S438" t="s">
        <v>1530</v>
      </c>
      <c r="T438" t="s">
        <v>3866</v>
      </c>
      <c r="U438" t="s">
        <v>1606</v>
      </c>
      <c r="V438" t="s">
        <v>1741</v>
      </c>
      <c r="W438" t="s">
        <v>1742</v>
      </c>
      <c r="X438" t="s">
        <v>1739</v>
      </c>
    </row>
    <row r="439" spans="1:24" x14ac:dyDescent="0.3">
      <c r="A439" t="s">
        <v>2246</v>
      </c>
      <c r="B439" s="2">
        <v>45813</v>
      </c>
      <c r="C439" t="s">
        <v>803</v>
      </c>
      <c r="D439" t="s">
        <v>1611</v>
      </c>
      <c r="E439" t="s">
        <v>1790</v>
      </c>
      <c r="F439" s="4">
        <v>3</v>
      </c>
      <c r="G439">
        <v>551.22</v>
      </c>
      <c r="H439">
        <v>0.12</v>
      </c>
      <c r="I439" t="s">
        <v>1809</v>
      </c>
      <c r="J439">
        <v>1455.2208000000001</v>
      </c>
      <c r="K439" t="s">
        <v>3941</v>
      </c>
      <c r="L439">
        <v>34</v>
      </c>
      <c r="M439" t="s">
        <v>9</v>
      </c>
      <c r="N439" t="s">
        <v>804</v>
      </c>
      <c r="O439" t="s">
        <v>319</v>
      </c>
      <c r="P439" t="s">
        <v>12</v>
      </c>
      <c r="Q439" t="s">
        <v>26</v>
      </c>
      <c r="R439" t="s">
        <v>3870</v>
      </c>
      <c r="S439" t="s">
        <v>1546</v>
      </c>
      <c r="T439" t="s">
        <v>3826</v>
      </c>
      <c r="U439" t="s">
        <v>1612</v>
      </c>
      <c r="V439" t="s">
        <v>1741</v>
      </c>
      <c r="W439" t="s">
        <v>1742</v>
      </c>
      <c r="X439" t="s">
        <v>1739</v>
      </c>
    </row>
    <row r="440" spans="1:24" x14ac:dyDescent="0.3">
      <c r="A440" t="s">
        <v>2247</v>
      </c>
      <c r="B440" s="2">
        <v>45811</v>
      </c>
      <c r="C440" t="s">
        <v>527</v>
      </c>
      <c r="D440" t="s">
        <v>1669</v>
      </c>
      <c r="E440" t="s">
        <v>1782</v>
      </c>
      <c r="F440" s="4">
        <v>2</v>
      </c>
      <c r="G440">
        <v>527.05999999999995</v>
      </c>
      <c r="H440">
        <v>0.17</v>
      </c>
      <c r="I440" t="s">
        <v>1809</v>
      </c>
      <c r="J440">
        <v>874.91959999999983</v>
      </c>
      <c r="K440" t="s">
        <v>528</v>
      </c>
      <c r="L440">
        <v>41</v>
      </c>
      <c r="M440" t="s">
        <v>16</v>
      </c>
      <c r="N440" t="s">
        <v>529</v>
      </c>
      <c r="O440" t="s">
        <v>88</v>
      </c>
      <c r="P440" t="s">
        <v>12</v>
      </c>
      <c r="Q440" t="s">
        <v>13</v>
      </c>
      <c r="R440" t="s">
        <v>3902</v>
      </c>
      <c r="S440" t="s">
        <v>1530</v>
      </c>
      <c r="T440" t="s">
        <v>3818</v>
      </c>
      <c r="U440" t="s">
        <v>1670</v>
      </c>
      <c r="V440" t="s">
        <v>1741</v>
      </c>
      <c r="W440" t="s">
        <v>1742</v>
      </c>
      <c r="X440" t="s">
        <v>1739</v>
      </c>
    </row>
    <row r="441" spans="1:24" x14ac:dyDescent="0.3">
      <c r="A441" t="s">
        <v>2248</v>
      </c>
      <c r="B441" s="2">
        <v>45670</v>
      </c>
      <c r="C441" t="s">
        <v>345</v>
      </c>
      <c r="D441" t="s">
        <v>1655</v>
      </c>
      <c r="E441" t="s">
        <v>1756</v>
      </c>
      <c r="F441" s="4">
        <v>4</v>
      </c>
      <c r="G441">
        <v>875.41</v>
      </c>
      <c r="H441">
        <v>0.27</v>
      </c>
      <c r="I441" t="s">
        <v>1807</v>
      </c>
      <c r="J441">
        <v>2556.1972000000001</v>
      </c>
      <c r="K441" t="s">
        <v>346</v>
      </c>
      <c r="L441">
        <v>35</v>
      </c>
      <c r="M441" t="s">
        <v>9</v>
      </c>
      <c r="N441" t="s">
        <v>347</v>
      </c>
      <c r="O441" t="s">
        <v>162</v>
      </c>
      <c r="P441" t="s">
        <v>12</v>
      </c>
      <c r="Q441" t="s">
        <v>13</v>
      </c>
      <c r="R441" t="s">
        <v>3894</v>
      </c>
      <c r="S441" t="s">
        <v>1546</v>
      </c>
      <c r="T441" t="s">
        <v>3811</v>
      </c>
      <c r="U441" t="s">
        <v>1656</v>
      </c>
      <c r="V441" t="s">
        <v>1757</v>
      </c>
      <c r="W441" t="s">
        <v>1742</v>
      </c>
      <c r="X441" t="s">
        <v>1748</v>
      </c>
    </row>
    <row r="442" spans="1:24" x14ac:dyDescent="0.3">
      <c r="A442" t="s">
        <v>2249</v>
      </c>
      <c r="B442" s="2">
        <v>45736</v>
      </c>
      <c r="C442" t="s">
        <v>40</v>
      </c>
      <c r="D442" t="s">
        <v>1701</v>
      </c>
      <c r="E442" t="s">
        <v>1735</v>
      </c>
      <c r="F442" s="4">
        <v>2</v>
      </c>
      <c r="G442">
        <v>226.43</v>
      </c>
      <c r="H442">
        <v>0.03</v>
      </c>
      <c r="I442" t="s">
        <v>1807</v>
      </c>
      <c r="J442">
        <v>439.27420000000001</v>
      </c>
      <c r="K442" t="s">
        <v>41</v>
      </c>
      <c r="L442">
        <v>53</v>
      </c>
      <c r="M442" t="s">
        <v>16</v>
      </c>
      <c r="N442" t="s">
        <v>42</v>
      </c>
      <c r="O442" t="s">
        <v>43</v>
      </c>
      <c r="P442" t="s">
        <v>12</v>
      </c>
      <c r="Q442" t="s">
        <v>26</v>
      </c>
      <c r="R442" t="s">
        <v>3918</v>
      </c>
      <c r="S442" t="s">
        <v>1530</v>
      </c>
      <c r="T442" t="s">
        <v>3820</v>
      </c>
      <c r="U442" t="s">
        <v>1702</v>
      </c>
      <c r="V442" t="s">
        <v>1736</v>
      </c>
      <c r="W442" t="s">
        <v>1737</v>
      </c>
      <c r="X442" t="s">
        <v>1739</v>
      </c>
    </row>
    <row r="443" spans="1:24" x14ac:dyDescent="0.3">
      <c r="A443" t="s">
        <v>2250</v>
      </c>
      <c r="B443" s="2">
        <v>45480</v>
      </c>
      <c r="C443" t="s">
        <v>140</v>
      </c>
      <c r="D443" t="s">
        <v>1689</v>
      </c>
      <c r="E443" t="s">
        <v>1756</v>
      </c>
      <c r="F443" s="4">
        <v>2</v>
      </c>
      <c r="G443">
        <v>285.39</v>
      </c>
      <c r="H443">
        <v>0.1</v>
      </c>
      <c r="I443" t="s">
        <v>1807</v>
      </c>
      <c r="J443">
        <v>513.702</v>
      </c>
      <c r="K443" t="s">
        <v>141</v>
      </c>
      <c r="L443">
        <v>20</v>
      </c>
      <c r="M443" t="s">
        <v>16</v>
      </c>
      <c r="N443" t="s">
        <v>142</v>
      </c>
      <c r="O443" t="s">
        <v>18</v>
      </c>
      <c r="P443" t="s">
        <v>12</v>
      </c>
      <c r="Q443" t="s">
        <v>31</v>
      </c>
      <c r="R443" t="s">
        <v>3912</v>
      </c>
      <c r="S443" t="s">
        <v>1527</v>
      </c>
      <c r="T443" t="s">
        <v>3824</v>
      </c>
      <c r="U443" t="s">
        <v>1690</v>
      </c>
      <c r="V443" t="s">
        <v>1757</v>
      </c>
      <c r="W443" t="s">
        <v>1742</v>
      </c>
      <c r="X443" t="s">
        <v>1748</v>
      </c>
    </row>
    <row r="444" spans="1:24" x14ac:dyDescent="0.3">
      <c r="A444" t="s">
        <v>2251</v>
      </c>
      <c r="B444" s="2">
        <v>45929</v>
      </c>
      <c r="C444" t="s">
        <v>1039</v>
      </c>
      <c r="D444" t="s">
        <v>1553</v>
      </c>
      <c r="E444" t="s">
        <v>1784</v>
      </c>
      <c r="F444" s="4">
        <v>2</v>
      </c>
      <c r="G444">
        <v>298.01</v>
      </c>
      <c r="H444">
        <v>0.05</v>
      </c>
      <c r="I444" t="s">
        <v>1807</v>
      </c>
      <c r="J444">
        <v>566.21899999999994</v>
      </c>
      <c r="K444" t="s">
        <v>1040</v>
      </c>
      <c r="L444">
        <v>37</v>
      </c>
      <c r="M444" t="s">
        <v>9</v>
      </c>
      <c r="N444" t="s">
        <v>1041</v>
      </c>
      <c r="O444" t="s">
        <v>166</v>
      </c>
      <c r="P444" t="s">
        <v>12</v>
      </c>
      <c r="Q444" t="s">
        <v>31</v>
      </c>
      <c r="R444" t="s">
        <v>3831</v>
      </c>
      <c r="S444" t="s">
        <v>1546</v>
      </c>
      <c r="T444" t="s">
        <v>3820</v>
      </c>
      <c r="U444" t="s">
        <v>1554</v>
      </c>
      <c r="V444" t="s">
        <v>1741</v>
      </c>
      <c r="W444" t="s">
        <v>1742</v>
      </c>
      <c r="X444" t="s">
        <v>1739</v>
      </c>
    </row>
    <row r="445" spans="1:24" x14ac:dyDescent="0.3">
      <c r="A445" t="s">
        <v>2252</v>
      </c>
      <c r="B445" s="2">
        <v>45626</v>
      </c>
      <c r="C445" t="s">
        <v>527</v>
      </c>
      <c r="D445" t="s">
        <v>1611</v>
      </c>
      <c r="E445" t="s">
        <v>1752</v>
      </c>
      <c r="F445" s="4">
        <v>4</v>
      </c>
      <c r="G445">
        <v>753.49</v>
      </c>
      <c r="H445">
        <v>0.26</v>
      </c>
      <c r="I445" t="s">
        <v>1812</v>
      </c>
      <c r="J445">
        <v>2230.3303999999998</v>
      </c>
      <c r="K445" t="s">
        <v>528</v>
      </c>
      <c r="L445">
        <v>41</v>
      </c>
      <c r="M445" t="s">
        <v>16</v>
      </c>
      <c r="N445" t="s">
        <v>529</v>
      </c>
      <c r="O445" t="s">
        <v>88</v>
      </c>
      <c r="P445" t="s">
        <v>12</v>
      </c>
      <c r="Q445" t="s">
        <v>13</v>
      </c>
      <c r="R445" t="s">
        <v>3870</v>
      </c>
      <c r="S445" t="s">
        <v>1546</v>
      </c>
      <c r="T445" t="s">
        <v>3826</v>
      </c>
      <c r="U445" t="s">
        <v>1612</v>
      </c>
      <c r="V445" t="s">
        <v>1753</v>
      </c>
      <c r="W445" t="s">
        <v>1746</v>
      </c>
      <c r="X445" t="s">
        <v>1755</v>
      </c>
    </row>
    <row r="446" spans="1:24" x14ac:dyDescent="0.3">
      <c r="A446" t="s">
        <v>2253</v>
      </c>
      <c r="B446" s="2">
        <v>45460</v>
      </c>
      <c r="C446" t="s">
        <v>1484</v>
      </c>
      <c r="D446" t="s">
        <v>1687</v>
      </c>
      <c r="E446" t="s">
        <v>1777</v>
      </c>
      <c r="F446" s="4">
        <v>2</v>
      </c>
      <c r="G446">
        <v>130.38999999999999</v>
      </c>
      <c r="H446">
        <v>0.17</v>
      </c>
      <c r="I446" t="s">
        <v>1809</v>
      </c>
      <c r="J446">
        <v>216.44739999999999</v>
      </c>
      <c r="K446" t="s">
        <v>1485</v>
      </c>
      <c r="L446">
        <v>42</v>
      </c>
      <c r="M446" t="s">
        <v>16</v>
      </c>
      <c r="N446" t="s">
        <v>1486</v>
      </c>
      <c r="O446" t="s">
        <v>30</v>
      </c>
      <c r="P446" t="s">
        <v>12</v>
      </c>
      <c r="Q446" t="s">
        <v>19</v>
      </c>
      <c r="R446" t="s">
        <v>3911</v>
      </c>
      <c r="S446" t="s">
        <v>1527</v>
      </c>
      <c r="T446" t="s">
        <v>3836</v>
      </c>
      <c r="U446" t="s">
        <v>1688</v>
      </c>
      <c r="V446" t="s">
        <v>1741</v>
      </c>
      <c r="W446" t="s">
        <v>1742</v>
      </c>
      <c r="X446" t="s">
        <v>1739</v>
      </c>
    </row>
    <row r="447" spans="1:24" x14ac:dyDescent="0.3">
      <c r="A447" t="s">
        <v>2254</v>
      </c>
      <c r="B447" s="2">
        <v>45709</v>
      </c>
      <c r="C447" t="s">
        <v>1072</v>
      </c>
      <c r="D447" t="s">
        <v>1575</v>
      </c>
      <c r="E447" t="s">
        <v>1769</v>
      </c>
      <c r="F447" s="4">
        <v>4</v>
      </c>
      <c r="G447">
        <v>164.02</v>
      </c>
      <c r="H447">
        <v>0.01</v>
      </c>
      <c r="I447" t="s">
        <v>1809</v>
      </c>
      <c r="J447">
        <v>649.51920000000007</v>
      </c>
      <c r="K447" t="s">
        <v>1073</v>
      </c>
      <c r="L447">
        <v>58</v>
      </c>
      <c r="M447" t="s">
        <v>16</v>
      </c>
      <c r="N447" t="s">
        <v>1074</v>
      </c>
      <c r="O447" t="s">
        <v>96</v>
      </c>
      <c r="P447" t="s">
        <v>12</v>
      </c>
      <c r="Q447" t="s">
        <v>26</v>
      </c>
      <c r="R447" t="s">
        <v>3848</v>
      </c>
      <c r="S447" t="s">
        <v>1549</v>
      </c>
      <c r="T447" t="s">
        <v>3844</v>
      </c>
      <c r="U447" t="s">
        <v>1576</v>
      </c>
      <c r="V447" t="s">
        <v>1770</v>
      </c>
      <c r="W447" t="s">
        <v>1746</v>
      </c>
      <c r="X447" t="s">
        <v>1739</v>
      </c>
    </row>
    <row r="448" spans="1:24" x14ac:dyDescent="0.3">
      <c r="A448" t="s">
        <v>2255</v>
      </c>
      <c r="B448" s="2">
        <v>45551</v>
      </c>
      <c r="C448" t="s">
        <v>542</v>
      </c>
      <c r="D448" t="s">
        <v>1589</v>
      </c>
      <c r="E448" t="s">
        <v>1752</v>
      </c>
      <c r="F448" s="4">
        <v>2</v>
      </c>
      <c r="G448">
        <v>527.51</v>
      </c>
      <c r="H448">
        <v>0.18</v>
      </c>
      <c r="I448" t="s">
        <v>1809</v>
      </c>
      <c r="J448">
        <v>865.1164</v>
      </c>
      <c r="K448" t="s">
        <v>543</v>
      </c>
      <c r="L448">
        <v>47</v>
      </c>
      <c r="M448" t="s">
        <v>16</v>
      </c>
      <c r="N448" t="s">
        <v>544</v>
      </c>
      <c r="O448" t="s">
        <v>81</v>
      </c>
      <c r="P448" t="s">
        <v>12</v>
      </c>
      <c r="Q448" t="s">
        <v>31</v>
      </c>
      <c r="R448" t="s">
        <v>3856</v>
      </c>
      <c r="S448" t="s">
        <v>1527</v>
      </c>
      <c r="T448" t="s">
        <v>3836</v>
      </c>
      <c r="U448" t="s">
        <v>1590</v>
      </c>
      <c r="V448" t="s">
        <v>1753</v>
      </c>
      <c r="W448" t="s">
        <v>1746</v>
      </c>
      <c r="X448" t="s">
        <v>1755</v>
      </c>
    </row>
    <row r="449" spans="1:24" x14ac:dyDescent="0.3">
      <c r="A449" t="s">
        <v>2256</v>
      </c>
      <c r="B449" s="2">
        <v>45939</v>
      </c>
      <c r="C449" t="s">
        <v>803</v>
      </c>
      <c r="D449" t="s">
        <v>1645</v>
      </c>
      <c r="E449" t="s">
        <v>1780</v>
      </c>
      <c r="F449" s="4">
        <v>3</v>
      </c>
      <c r="G449">
        <v>628.17999999999995</v>
      </c>
      <c r="H449">
        <v>0.26</v>
      </c>
      <c r="I449" t="s">
        <v>1807</v>
      </c>
      <c r="J449">
        <v>1394.5596</v>
      </c>
      <c r="K449" t="s">
        <v>3941</v>
      </c>
      <c r="L449">
        <v>34</v>
      </c>
      <c r="M449" t="s">
        <v>9</v>
      </c>
      <c r="N449" t="s">
        <v>804</v>
      </c>
      <c r="O449" t="s">
        <v>319</v>
      </c>
      <c r="P449" t="s">
        <v>12</v>
      </c>
      <c r="Q449" t="s">
        <v>26</v>
      </c>
      <c r="R449" t="s">
        <v>3889</v>
      </c>
      <c r="S449" t="s">
        <v>1549</v>
      </c>
      <c r="T449" t="s">
        <v>3828</v>
      </c>
      <c r="U449" t="s">
        <v>1646</v>
      </c>
      <c r="V449" t="s">
        <v>1741</v>
      </c>
      <c r="W449" t="s">
        <v>1742</v>
      </c>
      <c r="X449" t="s">
        <v>1739</v>
      </c>
    </row>
    <row r="450" spans="1:24" x14ac:dyDescent="0.3">
      <c r="A450" t="s">
        <v>2257</v>
      </c>
      <c r="B450" s="2">
        <v>45553</v>
      </c>
      <c r="C450" t="s">
        <v>850</v>
      </c>
      <c r="D450" t="s">
        <v>1643</v>
      </c>
      <c r="E450" t="s">
        <v>1749</v>
      </c>
      <c r="F450" s="4">
        <v>1</v>
      </c>
      <c r="G450">
        <v>862.31</v>
      </c>
      <c r="H450">
        <v>0.06</v>
      </c>
      <c r="I450" t="s">
        <v>1807</v>
      </c>
      <c r="J450">
        <v>810.57139999999993</v>
      </c>
      <c r="K450" t="s">
        <v>851</v>
      </c>
      <c r="L450">
        <v>31</v>
      </c>
      <c r="M450" t="s">
        <v>16</v>
      </c>
      <c r="N450" t="s">
        <v>852</v>
      </c>
      <c r="O450" t="s">
        <v>30</v>
      </c>
      <c r="P450" t="s">
        <v>12</v>
      </c>
      <c r="Q450" t="s">
        <v>31</v>
      </c>
      <c r="R450" t="s">
        <v>3888</v>
      </c>
      <c r="S450" t="s">
        <v>1527</v>
      </c>
      <c r="T450" t="s">
        <v>3836</v>
      </c>
      <c r="U450" t="s">
        <v>1644</v>
      </c>
      <c r="V450" t="s">
        <v>1750</v>
      </c>
      <c r="W450" t="s">
        <v>1742</v>
      </c>
      <c r="X450" t="s">
        <v>1748</v>
      </c>
    </row>
    <row r="451" spans="1:24" x14ac:dyDescent="0.3">
      <c r="A451" t="s">
        <v>2258</v>
      </c>
      <c r="B451" s="2">
        <v>45806</v>
      </c>
      <c r="C451" t="s">
        <v>258</v>
      </c>
      <c r="D451" t="s">
        <v>1697</v>
      </c>
      <c r="E451" t="s">
        <v>1782</v>
      </c>
      <c r="F451" s="4">
        <v>2</v>
      </c>
      <c r="G451">
        <v>541.39</v>
      </c>
      <c r="H451">
        <v>0.03</v>
      </c>
      <c r="I451" t="s">
        <v>1812</v>
      </c>
      <c r="J451">
        <v>1050.2965999999999</v>
      </c>
      <c r="K451" t="s">
        <v>259</v>
      </c>
      <c r="L451">
        <v>39</v>
      </c>
      <c r="M451" t="s">
        <v>16</v>
      </c>
      <c r="N451" t="s">
        <v>260</v>
      </c>
      <c r="O451" t="s">
        <v>230</v>
      </c>
      <c r="P451" t="s">
        <v>12</v>
      </c>
      <c r="Q451" t="s">
        <v>13</v>
      </c>
      <c r="R451" t="s">
        <v>3916</v>
      </c>
      <c r="S451" t="s">
        <v>1541</v>
      </c>
      <c r="T451" t="s">
        <v>3822</v>
      </c>
      <c r="U451" t="s">
        <v>1698</v>
      </c>
      <c r="V451" t="s">
        <v>1741</v>
      </c>
      <c r="W451" t="s">
        <v>1742</v>
      </c>
      <c r="X451" t="s">
        <v>1739</v>
      </c>
    </row>
    <row r="452" spans="1:24" x14ac:dyDescent="0.3">
      <c r="A452" t="s">
        <v>2259</v>
      </c>
      <c r="B452" s="2">
        <v>45811</v>
      </c>
      <c r="C452" t="s">
        <v>1453</v>
      </c>
      <c r="D452" t="s">
        <v>1683</v>
      </c>
      <c r="E452" t="s">
        <v>1787</v>
      </c>
      <c r="F452" s="4">
        <v>3</v>
      </c>
      <c r="G452">
        <v>761.8</v>
      </c>
      <c r="H452">
        <v>0.06</v>
      </c>
      <c r="I452" t="s">
        <v>1812</v>
      </c>
      <c r="J452">
        <v>2148.2759999999989</v>
      </c>
      <c r="K452" t="s">
        <v>1454</v>
      </c>
      <c r="L452">
        <v>59</v>
      </c>
      <c r="M452" t="s">
        <v>9</v>
      </c>
      <c r="N452" t="s">
        <v>1455</v>
      </c>
      <c r="O452" t="s">
        <v>62</v>
      </c>
      <c r="P452" t="s">
        <v>12</v>
      </c>
      <c r="Q452" t="s">
        <v>19</v>
      </c>
      <c r="R452" t="s">
        <v>3909</v>
      </c>
      <c r="S452" t="s">
        <v>1546</v>
      </c>
      <c r="T452" t="s">
        <v>3811</v>
      </c>
      <c r="U452" t="s">
        <v>1684</v>
      </c>
      <c r="V452" t="s">
        <v>1741</v>
      </c>
      <c r="W452" t="s">
        <v>1742</v>
      </c>
      <c r="X452" t="s">
        <v>1739</v>
      </c>
    </row>
    <row r="453" spans="1:24" x14ac:dyDescent="0.3">
      <c r="A453" t="s">
        <v>2260</v>
      </c>
      <c r="B453" s="2">
        <v>45508</v>
      </c>
      <c r="C453" t="s">
        <v>1295</v>
      </c>
      <c r="D453" t="s">
        <v>1629</v>
      </c>
      <c r="E453" t="s">
        <v>1744</v>
      </c>
      <c r="F453" s="4">
        <v>4</v>
      </c>
      <c r="G453">
        <v>829.36</v>
      </c>
      <c r="H453">
        <v>0.11</v>
      </c>
      <c r="I453" t="s">
        <v>1809</v>
      </c>
      <c r="J453">
        <v>2952.5216</v>
      </c>
      <c r="K453" t="s">
        <v>3950</v>
      </c>
      <c r="L453">
        <v>35</v>
      </c>
      <c r="M453" t="s">
        <v>9</v>
      </c>
      <c r="N453" t="s">
        <v>1296</v>
      </c>
      <c r="O453" t="s">
        <v>62</v>
      </c>
      <c r="P453" t="s">
        <v>12</v>
      </c>
      <c r="Q453" t="s">
        <v>19</v>
      </c>
      <c r="R453" t="s">
        <v>3880</v>
      </c>
      <c r="S453" t="s">
        <v>1541</v>
      </c>
      <c r="T453" t="s">
        <v>3881</v>
      </c>
      <c r="U453" t="s">
        <v>1630</v>
      </c>
      <c r="V453" t="s">
        <v>1745</v>
      </c>
      <c r="W453" t="s">
        <v>1746</v>
      </c>
      <c r="X453" t="s">
        <v>1748</v>
      </c>
    </row>
    <row r="454" spans="1:24" x14ac:dyDescent="0.3">
      <c r="A454" t="s">
        <v>2261</v>
      </c>
      <c r="B454" s="2">
        <v>45460</v>
      </c>
      <c r="C454" t="s">
        <v>1243</v>
      </c>
      <c r="D454" t="s">
        <v>1577</v>
      </c>
      <c r="E454" t="s">
        <v>1787</v>
      </c>
      <c r="F454" s="4">
        <v>2</v>
      </c>
      <c r="G454">
        <v>425.06</v>
      </c>
      <c r="H454">
        <v>0.09</v>
      </c>
      <c r="I454" t="s">
        <v>1809</v>
      </c>
      <c r="J454">
        <v>773.60919999999999</v>
      </c>
      <c r="K454" t="s">
        <v>1244</v>
      </c>
      <c r="L454">
        <v>18</v>
      </c>
      <c r="M454" t="s">
        <v>16</v>
      </c>
      <c r="N454" t="s">
        <v>1245</v>
      </c>
      <c r="O454" t="s">
        <v>288</v>
      </c>
      <c r="P454" t="s">
        <v>12</v>
      </c>
      <c r="Q454" t="s">
        <v>31</v>
      </c>
      <c r="R454" t="s">
        <v>3849</v>
      </c>
      <c r="S454" t="s">
        <v>1530</v>
      </c>
      <c r="T454" t="s">
        <v>3813</v>
      </c>
      <c r="U454" t="s">
        <v>1578</v>
      </c>
      <c r="V454" t="s">
        <v>1741</v>
      </c>
      <c r="W454" t="s">
        <v>1742</v>
      </c>
      <c r="X454" t="s">
        <v>1739</v>
      </c>
    </row>
    <row r="455" spans="1:24" x14ac:dyDescent="0.3">
      <c r="A455" t="s">
        <v>2262</v>
      </c>
      <c r="B455" s="2">
        <v>45311</v>
      </c>
      <c r="C455" t="s">
        <v>433</v>
      </c>
      <c r="D455" t="s">
        <v>1641</v>
      </c>
      <c r="E455" t="s">
        <v>1735</v>
      </c>
      <c r="F455" s="4">
        <v>2</v>
      </c>
      <c r="G455">
        <v>911.14</v>
      </c>
      <c r="H455">
        <v>0.1</v>
      </c>
      <c r="I455" t="s">
        <v>1807</v>
      </c>
      <c r="J455">
        <v>1640.0519999999999</v>
      </c>
      <c r="K455" t="s">
        <v>434</v>
      </c>
      <c r="L455">
        <v>45</v>
      </c>
      <c r="M455" t="s">
        <v>9</v>
      </c>
      <c r="N455" t="s">
        <v>435</v>
      </c>
      <c r="O455" t="s">
        <v>170</v>
      </c>
      <c r="P455" t="s">
        <v>12</v>
      </c>
      <c r="Q455" t="s">
        <v>19</v>
      </c>
      <c r="R455" t="s">
        <v>3887</v>
      </c>
      <c r="S455" t="s">
        <v>1527</v>
      </c>
      <c r="T455" t="s">
        <v>3836</v>
      </c>
      <c r="U455" t="s">
        <v>1642</v>
      </c>
      <c r="V455" t="s">
        <v>1736</v>
      </c>
      <c r="W455" t="s">
        <v>1737</v>
      </c>
      <c r="X455" t="s">
        <v>1739</v>
      </c>
    </row>
    <row r="456" spans="1:24" x14ac:dyDescent="0.3">
      <c r="A456" t="s">
        <v>2263</v>
      </c>
      <c r="B456" s="2">
        <v>45906</v>
      </c>
      <c r="C456" t="s">
        <v>301</v>
      </c>
      <c r="D456" t="s">
        <v>1667</v>
      </c>
      <c r="E456" t="s">
        <v>1765</v>
      </c>
      <c r="F456" s="4">
        <v>3</v>
      </c>
      <c r="G456">
        <v>811.96</v>
      </c>
      <c r="H456">
        <v>0.28999999999999998</v>
      </c>
      <c r="I456" t="s">
        <v>1807</v>
      </c>
      <c r="J456">
        <v>1729.4748</v>
      </c>
      <c r="K456" t="s">
        <v>302</v>
      </c>
      <c r="L456">
        <v>36</v>
      </c>
      <c r="M456" t="s">
        <v>9</v>
      </c>
      <c r="N456" t="s">
        <v>303</v>
      </c>
      <c r="O456" t="s">
        <v>251</v>
      </c>
      <c r="P456" t="s">
        <v>12</v>
      </c>
      <c r="Q456" t="s">
        <v>19</v>
      </c>
      <c r="R456" t="s">
        <v>3900</v>
      </c>
      <c r="S456" t="s">
        <v>1527</v>
      </c>
      <c r="T456" t="s">
        <v>3901</v>
      </c>
      <c r="U456" t="s">
        <v>1668</v>
      </c>
      <c r="V456" t="s">
        <v>1766</v>
      </c>
      <c r="W456" t="s">
        <v>1767</v>
      </c>
      <c r="X456" t="s">
        <v>1755</v>
      </c>
    </row>
    <row r="457" spans="1:24" x14ac:dyDescent="0.3">
      <c r="A457" t="s">
        <v>2264</v>
      </c>
      <c r="B457" s="2">
        <v>45380</v>
      </c>
      <c r="C457" t="s">
        <v>861</v>
      </c>
      <c r="D457" t="s">
        <v>1593</v>
      </c>
      <c r="E457" t="s">
        <v>1772</v>
      </c>
      <c r="F457" s="4">
        <v>2</v>
      </c>
      <c r="G457">
        <v>780.05</v>
      </c>
      <c r="H457">
        <v>0.12</v>
      </c>
      <c r="I457" t="s">
        <v>1812</v>
      </c>
      <c r="J457">
        <v>1372.8879999999999</v>
      </c>
      <c r="K457" t="s">
        <v>862</v>
      </c>
      <c r="L457">
        <v>38</v>
      </c>
      <c r="M457" t="s">
        <v>9</v>
      </c>
      <c r="N457" t="s">
        <v>863</v>
      </c>
      <c r="O457" t="s">
        <v>309</v>
      </c>
      <c r="P457" t="s">
        <v>12</v>
      </c>
      <c r="Q457" t="s">
        <v>26</v>
      </c>
      <c r="R457" t="s">
        <v>3858</v>
      </c>
      <c r="S457" t="s">
        <v>1549</v>
      </c>
      <c r="T457" t="s">
        <v>3859</v>
      </c>
      <c r="U457" t="s">
        <v>1594</v>
      </c>
      <c r="V457" t="s">
        <v>1741</v>
      </c>
      <c r="W457" t="s">
        <v>1742</v>
      </c>
      <c r="X457" t="s">
        <v>1739</v>
      </c>
    </row>
    <row r="458" spans="1:24" x14ac:dyDescent="0.3">
      <c r="A458" t="s">
        <v>2265</v>
      </c>
      <c r="B458" s="2">
        <v>45527</v>
      </c>
      <c r="C458" t="s">
        <v>693</v>
      </c>
      <c r="D458" t="s">
        <v>1595</v>
      </c>
      <c r="E458" t="s">
        <v>1769</v>
      </c>
      <c r="F458" s="4">
        <v>4</v>
      </c>
      <c r="G458">
        <v>315.95</v>
      </c>
      <c r="H458">
        <v>0.19</v>
      </c>
      <c r="I458" t="s">
        <v>1812</v>
      </c>
      <c r="J458">
        <v>1023.678</v>
      </c>
      <c r="K458" t="s">
        <v>694</v>
      </c>
      <c r="L458">
        <v>44</v>
      </c>
      <c r="M458" t="s">
        <v>9</v>
      </c>
      <c r="N458" t="s">
        <v>695</v>
      </c>
      <c r="O458" t="s">
        <v>35</v>
      </c>
      <c r="P458" t="s">
        <v>12</v>
      </c>
      <c r="Q458" t="s">
        <v>13</v>
      </c>
      <c r="R458" t="s">
        <v>3860</v>
      </c>
      <c r="S458" t="s">
        <v>1541</v>
      </c>
      <c r="T458" t="s">
        <v>3822</v>
      </c>
      <c r="U458" t="s">
        <v>1596</v>
      </c>
      <c r="V458" t="s">
        <v>1770</v>
      </c>
      <c r="W458" t="s">
        <v>1746</v>
      </c>
      <c r="X458" t="s">
        <v>1739</v>
      </c>
    </row>
    <row r="459" spans="1:24" x14ac:dyDescent="0.3">
      <c r="A459" t="s">
        <v>2266</v>
      </c>
      <c r="B459" s="2">
        <v>45796</v>
      </c>
      <c r="C459" t="s">
        <v>731</v>
      </c>
      <c r="D459" t="s">
        <v>1635</v>
      </c>
      <c r="E459" t="s">
        <v>1769</v>
      </c>
      <c r="F459" s="4">
        <v>2</v>
      </c>
      <c r="G459">
        <v>810.17</v>
      </c>
      <c r="H459">
        <v>0.27</v>
      </c>
      <c r="I459" t="s">
        <v>1807</v>
      </c>
      <c r="J459">
        <v>1182.8481999999999</v>
      </c>
      <c r="K459" t="s">
        <v>732</v>
      </c>
      <c r="L459">
        <v>29</v>
      </c>
      <c r="M459" t="s">
        <v>9</v>
      </c>
      <c r="N459" t="s">
        <v>733</v>
      </c>
      <c r="O459" t="s">
        <v>139</v>
      </c>
      <c r="P459" t="s">
        <v>12</v>
      </c>
      <c r="Q459" t="s">
        <v>26</v>
      </c>
      <c r="R459" t="s">
        <v>3884</v>
      </c>
      <c r="S459" t="s">
        <v>1549</v>
      </c>
      <c r="T459" t="s">
        <v>3859</v>
      </c>
      <c r="U459" t="s">
        <v>1636</v>
      </c>
      <c r="V459" t="s">
        <v>1770</v>
      </c>
      <c r="W459" t="s">
        <v>1746</v>
      </c>
      <c r="X459" t="s">
        <v>1739</v>
      </c>
    </row>
    <row r="460" spans="1:24" x14ac:dyDescent="0.3">
      <c r="A460" t="s">
        <v>2267</v>
      </c>
      <c r="B460" s="2">
        <v>45389</v>
      </c>
      <c r="C460" t="s">
        <v>663</v>
      </c>
      <c r="D460" t="s">
        <v>1699</v>
      </c>
      <c r="E460" t="s">
        <v>1752</v>
      </c>
      <c r="F460" s="4">
        <v>3</v>
      </c>
      <c r="G460">
        <v>505.01</v>
      </c>
      <c r="H460">
        <v>0.02</v>
      </c>
      <c r="I460" t="s">
        <v>1809</v>
      </c>
      <c r="J460">
        <v>1484.7293999999999</v>
      </c>
      <c r="K460" t="s">
        <v>664</v>
      </c>
      <c r="L460">
        <v>26</v>
      </c>
      <c r="M460" t="s">
        <v>16</v>
      </c>
      <c r="N460" t="s">
        <v>665</v>
      </c>
      <c r="O460" t="s">
        <v>88</v>
      </c>
      <c r="P460" t="s">
        <v>12</v>
      </c>
      <c r="Q460" t="s">
        <v>13</v>
      </c>
      <c r="R460" t="s">
        <v>3917</v>
      </c>
      <c r="S460" t="s">
        <v>1527</v>
      </c>
      <c r="T460" t="s">
        <v>3901</v>
      </c>
      <c r="U460" t="s">
        <v>1700</v>
      </c>
      <c r="V460" t="s">
        <v>1753</v>
      </c>
      <c r="W460" t="s">
        <v>1746</v>
      </c>
      <c r="X460" t="s">
        <v>1755</v>
      </c>
    </row>
    <row r="461" spans="1:24" x14ac:dyDescent="0.3">
      <c r="A461" t="s">
        <v>2268</v>
      </c>
      <c r="B461" s="2">
        <v>45315</v>
      </c>
      <c r="C461" t="s">
        <v>1424</v>
      </c>
      <c r="D461" t="s">
        <v>1675</v>
      </c>
      <c r="E461" t="s">
        <v>1790</v>
      </c>
      <c r="F461" s="4">
        <v>2</v>
      </c>
      <c r="G461">
        <v>736.75</v>
      </c>
      <c r="H461">
        <v>0.18</v>
      </c>
      <c r="I461" t="s">
        <v>1807</v>
      </c>
      <c r="J461">
        <v>1208.27</v>
      </c>
      <c r="K461" t="s">
        <v>1425</v>
      </c>
      <c r="L461">
        <v>45</v>
      </c>
      <c r="M461" t="s">
        <v>9</v>
      </c>
      <c r="N461" t="s">
        <v>1426</v>
      </c>
      <c r="O461" t="s">
        <v>170</v>
      </c>
      <c r="P461" t="s">
        <v>12</v>
      </c>
      <c r="Q461" t="s">
        <v>13</v>
      </c>
      <c r="R461" t="s">
        <v>3905</v>
      </c>
      <c r="S461" t="s">
        <v>1549</v>
      </c>
      <c r="T461" t="s">
        <v>3828</v>
      </c>
      <c r="U461" t="s">
        <v>1676</v>
      </c>
      <c r="V461" t="s">
        <v>1741</v>
      </c>
      <c r="W461" t="s">
        <v>1742</v>
      </c>
      <c r="X461" t="s">
        <v>1739</v>
      </c>
    </row>
    <row r="462" spans="1:24" x14ac:dyDescent="0.3">
      <c r="A462" t="s">
        <v>2269</v>
      </c>
      <c r="B462" s="2">
        <v>45311</v>
      </c>
      <c r="C462" t="s">
        <v>114</v>
      </c>
      <c r="D462" t="s">
        <v>1685</v>
      </c>
      <c r="E462" t="s">
        <v>1769</v>
      </c>
      <c r="F462" s="4">
        <v>4</v>
      </c>
      <c r="G462">
        <v>700.31</v>
      </c>
      <c r="H462">
        <v>0.2</v>
      </c>
      <c r="I462" t="s">
        <v>1809</v>
      </c>
      <c r="J462">
        <v>2240.9920000000002</v>
      </c>
      <c r="K462" t="s">
        <v>115</v>
      </c>
      <c r="L462">
        <v>27</v>
      </c>
      <c r="M462" t="s">
        <v>16</v>
      </c>
      <c r="N462" t="s">
        <v>116</v>
      </c>
      <c r="O462" t="s">
        <v>117</v>
      </c>
      <c r="P462" t="s">
        <v>12</v>
      </c>
      <c r="Q462" t="s">
        <v>19</v>
      </c>
      <c r="R462" t="s">
        <v>3910</v>
      </c>
      <c r="S462" t="s">
        <v>1546</v>
      </c>
      <c r="T462" t="s">
        <v>3838</v>
      </c>
      <c r="U462" t="s">
        <v>1686</v>
      </c>
      <c r="V462" t="s">
        <v>1770</v>
      </c>
      <c r="W462" t="s">
        <v>1746</v>
      </c>
      <c r="X462" t="s">
        <v>1739</v>
      </c>
    </row>
    <row r="463" spans="1:24" x14ac:dyDescent="0.3">
      <c r="A463" t="s">
        <v>2270</v>
      </c>
      <c r="B463" s="2">
        <v>45270</v>
      </c>
      <c r="C463" t="s">
        <v>439</v>
      </c>
      <c r="D463" t="s">
        <v>1713</v>
      </c>
      <c r="E463" t="s">
        <v>1775</v>
      </c>
      <c r="F463" s="4">
        <v>4</v>
      </c>
      <c r="G463">
        <v>202.46</v>
      </c>
      <c r="H463">
        <v>0.24</v>
      </c>
      <c r="I463" t="s">
        <v>1807</v>
      </c>
      <c r="J463">
        <v>615.47840000000008</v>
      </c>
      <c r="K463" t="s">
        <v>440</v>
      </c>
      <c r="L463">
        <v>29</v>
      </c>
      <c r="M463" t="s">
        <v>9</v>
      </c>
      <c r="N463" t="s">
        <v>441</v>
      </c>
      <c r="O463" t="s">
        <v>39</v>
      </c>
      <c r="P463" t="s">
        <v>12</v>
      </c>
      <c r="Q463" t="s">
        <v>31</v>
      </c>
      <c r="R463" t="s">
        <v>3924</v>
      </c>
      <c r="S463" t="s">
        <v>1530</v>
      </c>
      <c r="T463" t="s">
        <v>3866</v>
      </c>
      <c r="U463" t="s">
        <v>1714</v>
      </c>
      <c r="V463" t="s">
        <v>1741</v>
      </c>
      <c r="W463" t="s">
        <v>1742</v>
      </c>
      <c r="X463" t="s">
        <v>1739</v>
      </c>
    </row>
    <row r="464" spans="1:24" x14ac:dyDescent="0.3">
      <c r="A464" t="s">
        <v>2271</v>
      </c>
      <c r="B464" s="2">
        <v>45279</v>
      </c>
      <c r="C464" t="s">
        <v>839</v>
      </c>
      <c r="D464" t="s">
        <v>1705</v>
      </c>
      <c r="E464" t="s">
        <v>1740</v>
      </c>
      <c r="F464" s="4">
        <v>2</v>
      </c>
      <c r="G464">
        <v>291.83999999999997</v>
      </c>
      <c r="H464">
        <v>0.25</v>
      </c>
      <c r="I464" t="s">
        <v>1809</v>
      </c>
      <c r="J464">
        <v>437.76</v>
      </c>
      <c r="K464" t="s">
        <v>840</v>
      </c>
      <c r="L464">
        <v>32</v>
      </c>
      <c r="M464" t="s">
        <v>16</v>
      </c>
      <c r="N464" t="s">
        <v>841</v>
      </c>
      <c r="O464" t="s">
        <v>234</v>
      </c>
      <c r="P464" t="s">
        <v>12</v>
      </c>
      <c r="Q464" t="s">
        <v>31</v>
      </c>
      <c r="R464" t="s">
        <v>3920</v>
      </c>
      <c r="S464" t="s">
        <v>1527</v>
      </c>
      <c r="T464" t="s">
        <v>3824</v>
      </c>
      <c r="U464" t="s">
        <v>1706</v>
      </c>
      <c r="V464" t="s">
        <v>1741</v>
      </c>
      <c r="W464" t="s">
        <v>1742</v>
      </c>
      <c r="X464" t="s">
        <v>1739</v>
      </c>
    </row>
    <row r="465" spans="1:24" x14ac:dyDescent="0.3">
      <c r="A465" t="s">
        <v>2272</v>
      </c>
      <c r="B465" s="2">
        <v>45252</v>
      </c>
      <c r="C465" t="s">
        <v>539</v>
      </c>
      <c r="D465" t="s">
        <v>1725</v>
      </c>
      <c r="E465" t="s">
        <v>1756</v>
      </c>
      <c r="F465" s="4">
        <v>2</v>
      </c>
      <c r="G465">
        <v>261.48</v>
      </c>
      <c r="H465">
        <v>0.17</v>
      </c>
      <c r="I465" t="s">
        <v>1807</v>
      </c>
      <c r="J465">
        <v>434.05680000000001</v>
      </c>
      <c r="K465" t="s">
        <v>540</v>
      </c>
      <c r="L465">
        <v>39</v>
      </c>
      <c r="M465" t="s">
        <v>16</v>
      </c>
      <c r="N465" t="s">
        <v>541</v>
      </c>
      <c r="O465" t="s">
        <v>191</v>
      </c>
      <c r="P465" t="s">
        <v>12</v>
      </c>
      <c r="Q465" t="s">
        <v>26</v>
      </c>
      <c r="R465" t="s">
        <v>3930</v>
      </c>
      <c r="S465" t="s">
        <v>1549</v>
      </c>
      <c r="T465" t="s">
        <v>3859</v>
      </c>
      <c r="U465" t="s">
        <v>1726</v>
      </c>
      <c r="V465" t="s">
        <v>1757</v>
      </c>
      <c r="W465" t="s">
        <v>1742</v>
      </c>
      <c r="X465" t="s">
        <v>1748</v>
      </c>
    </row>
    <row r="466" spans="1:24" x14ac:dyDescent="0.3">
      <c r="A466" t="s">
        <v>2273</v>
      </c>
      <c r="B466" s="2">
        <v>45938</v>
      </c>
      <c r="C466" t="s">
        <v>939</v>
      </c>
      <c r="D466" t="s">
        <v>1603</v>
      </c>
      <c r="E466" t="s">
        <v>1782</v>
      </c>
      <c r="F466" s="4">
        <v>1</v>
      </c>
      <c r="G466">
        <v>850.83</v>
      </c>
      <c r="H466">
        <v>0.28000000000000003</v>
      </c>
      <c r="I466" t="s">
        <v>1809</v>
      </c>
      <c r="J466">
        <v>612.59760000000006</v>
      </c>
      <c r="K466" t="s">
        <v>940</v>
      </c>
      <c r="L466">
        <v>50</v>
      </c>
      <c r="M466" t="s">
        <v>9</v>
      </c>
      <c r="N466" t="s">
        <v>941</v>
      </c>
      <c r="O466" t="s">
        <v>35</v>
      </c>
      <c r="P466" t="s">
        <v>12</v>
      </c>
      <c r="Q466" t="s">
        <v>31</v>
      </c>
      <c r="R466" t="s">
        <v>3864</v>
      </c>
      <c r="S466" t="s">
        <v>1530</v>
      </c>
      <c r="T466" t="s">
        <v>3813</v>
      </c>
      <c r="U466" t="s">
        <v>1604</v>
      </c>
      <c r="V466" t="s">
        <v>1741</v>
      </c>
      <c r="W466" t="s">
        <v>1742</v>
      </c>
      <c r="X466" t="s">
        <v>1739</v>
      </c>
    </row>
    <row r="467" spans="1:24" x14ac:dyDescent="0.3">
      <c r="A467" t="s">
        <v>2274</v>
      </c>
      <c r="B467" s="2">
        <v>45711</v>
      </c>
      <c r="C467" t="s">
        <v>1246</v>
      </c>
      <c r="D467" t="s">
        <v>1623</v>
      </c>
      <c r="E467" t="s">
        <v>1769</v>
      </c>
      <c r="F467" s="4">
        <v>1</v>
      </c>
      <c r="G467">
        <v>83.83</v>
      </c>
      <c r="H467">
        <v>0.05</v>
      </c>
      <c r="I467" t="s">
        <v>1807</v>
      </c>
      <c r="J467">
        <v>79.638499999999993</v>
      </c>
      <c r="K467" t="s">
        <v>1247</v>
      </c>
      <c r="L467">
        <v>23</v>
      </c>
      <c r="M467" t="s">
        <v>16</v>
      </c>
      <c r="N467" t="s">
        <v>1248</v>
      </c>
      <c r="O467" t="s">
        <v>323</v>
      </c>
      <c r="P467" t="s">
        <v>12</v>
      </c>
      <c r="Q467" t="s">
        <v>13</v>
      </c>
      <c r="R467" t="s">
        <v>3876</v>
      </c>
      <c r="S467" t="s">
        <v>1530</v>
      </c>
      <c r="T467" t="s">
        <v>3815</v>
      </c>
      <c r="U467" t="s">
        <v>1624</v>
      </c>
      <c r="V467" t="s">
        <v>1770</v>
      </c>
      <c r="W467" t="s">
        <v>1746</v>
      </c>
      <c r="X467" t="s">
        <v>1739</v>
      </c>
    </row>
    <row r="468" spans="1:24" x14ac:dyDescent="0.3">
      <c r="A468" t="s">
        <v>2275</v>
      </c>
      <c r="B468" s="2">
        <v>45713</v>
      </c>
      <c r="C468" t="s">
        <v>36</v>
      </c>
      <c r="D468" t="s">
        <v>1707</v>
      </c>
      <c r="E468" t="s">
        <v>1787</v>
      </c>
      <c r="F468" s="4">
        <v>3</v>
      </c>
      <c r="G468">
        <v>649.95000000000005</v>
      </c>
      <c r="H468">
        <v>0.28000000000000003</v>
      </c>
      <c r="I468" t="s">
        <v>1812</v>
      </c>
      <c r="J468">
        <v>1403.8920000000001</v>
      </c>
      <c r="K468" t="s">
        <v>37</v>
      </c>
      <c r="L468">
        <v>29</v>
      </c>
      <c r="M468" t="s">
        <v>16</v>
      </c>
      <c r="N468" t="s">
        <v>38</v>
      </c>
      <c r="O468" t="s">
        <v>39</v>
      </c>
      <c r="P468" t="s">
        <v>12</v>
      </c>
      <c r="Q468" t="s">
        <v>19</v>
      </c>
      <c r="R468" t="s">
        <v>3921</v>
      </c>
      <c r="S468" t="s">
        <v>1549</v>
      </c>
      <c r="T468" t="s">
        <v>3820</v>
      </c>
      <c r="U468" t="s">
        <v>1708</v>
      </c>
      <c r="V468" t="s">
        <v>1741</v>
      </c>
      <c r="W468" t="s">
        <v>1742</v>
      </c>
      <c r="X468" t="s">
        <v>1739</v>
      </c>
    </row>
    <row r="469" spans="1:24" x14ac:dyDescent="0.3">
      <c r="A469" t="s">
        <v>2276</v>
      </c>
      <c r="B469" s="2">
        <v>45565</v>
      </c>
      <c r="C469" t="s">
        <v>1132</v>
      </c>
      <c r="D469" t="s">
        <v>1677</v>
      </c>
      <c r="E469" t="s">
        <v>1759</v>
      </c>
      <c r="F469" s="4">
        <v>4</v>
      </c>
      <c r="G469">
        <v>934.96</v>
      </c>
      <c r="H469">
        <v>0.18</v>
      </c>
      <c r="I469" t="s">
        <v>1809</v>
      </c>
      <c r="J469">
        <v>3066.6687999999999</v>
      </c>
      <c r="K469" t="s">
        <v>1133</v>
      </c>
      <c r="L469">
        <v>51</v>
      </c>
      <c r="M469" t="s">
        <v>9</v>
      </c>
      <c r="N469" t="s">
        <v>1134</v>
      </c>
      <c r="O469" t="s">
        <v>22</v>
      </c>
      <c r="P469" t="s">
        <v>12</v>
      </c>
      <c r="Q469" t="s">
        <v>19</v>
      </c>
      <c r="R469" t="s">
        <v>3906</v>
      </c>
      <c r="S469" t="s">
        <v>1549</v>
      </c>
      <c r="T469" t="s">
        <v>3859</v>
      </c>
      <c r="U469" t="s">
        <v>1678</v>
      </c>
      <c r="V469" t="s">
        <v>1760</v>
      </c>
      <c r="W469" t="s">
        <v>1737</v>
      </c>
      <c r="X469" t="s">
        <v>1755</v>
      </c>
    </row>
    <row r="470" spans="1:24" x14ac:dyDescent="0.3">
      <c r="A470" t="s">
        <v>2277</v>
      </c>
      <c r="B470" s="2">
        <v>45279</v>
      </c>
      <c r="C470" t="s">
        <v>666</v>
      </c>
      <c r="D470" t="s">
        <v>1565</v>
      </c>
      <c r="E470" t="s">
        <v>1782</v>
      </c>
      <c r="F470" s="4">
        <v>1</v>
      </c>
      <c r="G470">
        <v>880.89</v>
      </c>
      <c r="H470">
        <v>0.13</v>
      </c>
      <c r="I470" t="s">
        <v>1812</v>
      </c>
      <c r="J470">
        <v>766.37429999999995</v>
      </c>
      <c r="K470" t="s">
        <v>667</v>
      </c>
      <c r="L470">
        <v>28</v>
      </c>
      <c r="M470" t="s">
        <v>16</v>
      </c>
      <c r="N470" t="s">
        <v>668</v>
      </c>
      <c r="O470" t="s">
        <v>234</v>
      </c>
      <c r="P470" t="s">
        <v>12</v>
      </c>
      <c r="Q470" t="s">
        <v>31</v>
      </c>
      <c r="R470" t="s">
        <v>3841</v>
      </c>
      <c r="S470" t="s">
        <v>1549</v>
      </c>
      <c r="T470" t="s">
        <v>3820</v>
      </c>
      <c r="U470" t="s">
        <v>1566</v>
      </c>
      <c r="V470" t="s">
        <v>1741</v>
      </c>
      <c r="W470" t="s">
        <v>1742</v>
      </c>
      <c r="X470" t="s">
        <v>1739</v>
      </c>
    </row>
    <row r="471" spans="1:24" x14ac:dyDescent="0.3">
      <c r="A471" t="s">
        <v>2278</v>
      </c>
      <c r="B471" s="2">
        <v>45614</v>
      </c>
      <c r="C471" t="s">
        <v>1453</v>
      </c>
      <c r="D471" t="s">
        <v>1727</v>
      </c>
      <c r="E471" t="s">
        <v>1765</v>
      </c>
      <c r="F471" s="4">
        <v>4</v>
      </c>
      <c r="G471">
        <v>610.6</v>
      </c>
      <c r="H471">
        <v>0.1</v>
      </c>
      <c r="I471" t="s">
        <v>1809</v>
      </c>
      <c r="J471">
        <v>2198.16</v>
      </c>
      <c r="K471" t="s">
        <v>1454</v>
      </c>
      <c r="L471">
        <v>59</v>
      </c>
      <c r="M471" t="s">
        <v>9</v>
      </c>
      <c r="N471" t="s">
        <v>1455</v>
      </c>
      <c r="O471" t="s">
        <v>62</v>
      </c>
      <c r="P471" t="s">
        <v>12</v>
      </c>
      <c r="Q471" t="s">
        <v>19</v>
      </c>
      <c r="R471" t="s">
        <v>3931</v>
      </c>
      <c r="S471" t="s">
        <v>1546</v>
      </c>
      <c r="T471" t="s">
        <v>3826</v>
      </c>
      <c r="U471" t="s">
        <v>1728</v>
      </c>
      <c r="V471" t="s">
        <v>1766</v>
      </c>
      <c r="W471" t="s">
        <v>1767</v>
      </c>
      <c r="X471" t="s">
        <v>1755</v>
      </c>
    </row>
    <row r="472" spans="1:24" x14ac:dyDescent="0.3">
      <c r="A472" t="s">
        <v>2279</v>
      </c>
      <c r="B472" s="2">
        <v>45912</v>
      </c>
      <c r="C472" t="s">
        <v>272</v>
      </c>
      <c r="D472" t="s">
        <v>1587</v>
      </c>
      <c r="E472" t="s">
        <v>1793</v>
      </c>
      <c r="F472" s="4">
        <v>1</v>
      </c>
      <c r="G472">
        <v>514.19000000000005</v>
      </c>
      <c r="H472">
        <v>0.2</v>
      </c>
      <c r="I472" t="s">
        <v>1807</v>
      </c>
      <c r="J472">
        <v>411.35200000000009</v>
      </c>
      <c r="K472" t="s">
        <v>273</v>
      </c>
      <c r="L472">
        <v>37</v>
      </c>
      <c r="M472" t="s">
        <v>9</v>
      </c>
      <c r="N472" t="s">
        <v>274</v>
      </c>
      <c r="O472" t="s">
        <v>30</v>
      </c>
      <c r="P472" t="s">
        <v>12</v>
      </c>
      <c r="Q472" t="s">
        <v>13</v>
      </c>
      <c r="R472" t="s">
        <v>3855</v>
      </c>
      <c r="S472" t="s">
        <v>1549</v>
      </c>
      <c r="T472" t="s">
        <v>3820</v>
      </c>
      <c r="U472" t="s">
        <v>1588</v>
      </c>
      <c r="V472" t="s">
        <v>1741</v>
      </c>
      <c r="W472" t="s">
        <v>1742</v>
      </c>
      <c r="X472" t="s">
        <v>1739</v>
      </c>
    </row>
    <row r="473" spans="1:24" x14ac:dyDescent="0.3">
      <c r="A473" t="s">
        <v>2280</v>
      </c>
      <c r="B473" s="2">
        <v>45688</v>
      </c>
      <c r="C473" t="s">
        <v>1229</v>
      </c>
      <c r="D473" t="s">
        <v>1605</v>
      </c>
      <c r="E473" t="s">
        <v>1780</v>
      </c>
      <c r="F473" s="4">
        <v>1</v>
      </c>
      <c r="G473">
        <v>546.20000000000005</v>
      </c>
      <c r="H473">
        <v>0.22</v>
      </c>
      <c r="I473" t="s">
        <v>1809</v>
      </c>
      <c r="J473">
        <v>426.03600000000012</v>
      </c>
      <c r="K473" t="s">
        <v>1230</v>
      </c>
      <c r="L473">
        <v>57</v>
      </c>
      <c r="M473" t="s">
        <v>16</v>
      </c>
      <c r="N473" t="s">
        <v>1231</v>
      </c>
      <c r="O473" t="s">
        <v>429</v>
      </c>
      <c r="P473" t="s">
        <v>12</v>
      </c>
      <c r="Q473" t="s">
        <v>26</v>
      </c>
      <c r="R473" t="s">
        <v>3865</v>
      </c>
      <c r="S473" t="s">
        <v>1530</v>
      </c>
      <c r="T473" t="s">
        <v>3866</v>
      </c>
      <c r="U473" t="s">
        <v>1606</v>
      </c>
      <c r="V473" t="s">
        <v>1741</v>
      </c>
      <c r="W473" t="s">
        <v>1742</v>
      </c>
      <c r="X473" t="s">
        <v>1739</v>
      </c>
    </row>
    <row r="474" spans="1:24" x14ac:dyDescent="0.3">
      <c r="A474" t="s">
        <v>2281</v>
      </c>
      <c r="B474" s="2">
        <v>45591</v>
      </c>
      <c r="C474" t="s">
        <v>640</v>
      </c>
      <c r="D474" t="s">
        <v>1605</v>
      </c>
      <c r="E474" t="s">
        <v>1735</v>
      </c>
      <c r="F474" s="4">
        <v>3</v>
      </c>
      <c r="G474">
        <v>416.01</v>
      </c>
      <c r="H474">
        <v>0.02</v>
      </c>
      <c r="I474" t="s">
        <v>1807</v>
      </c>
      <c r="J474">
        <v>1223.0694000000001</v>
      </c>
      <c r="K474" t="s">
        <v>641</v>
      </c>
      <c r="L474">
        <v>54</v>
      </c>
      <c r="M474" t="s">
        <v>9</v>
      </c>
      <c r="N474" t="s">
        <v>204</v>
      </c>
      <c r="O474" t="s">
        <v>198</v>
      </c>
      <c r="P474" t="s">
        <v>12</v>
      </c>
      <c r="Q474" t="s">
        <v>19</v>
      </c>
      <c r="R474" t="s">
        <v>3865</v>
      </c>
      <c r="S474" t="s">
        <v>1530</v>
      </c>
      <c r="T474" t="s">
        <v>3866</v>
      </c>
      <c r="U474" t="s">
        <v>1606</v>
      </c>
      <c r="V474" t="s">
        <v>1736</v>
      </c>
      <c r="W474" t="s">
        <v>1737</v>
      </c>
      <c r="X474" t="s">
        <v>1739</v>
      </c>
    </row>
    <row r="475" spans="1:24" x14ac:dyDescent="0.3">
      <c r="A475" t="s">
        <v>2282</v>
      </c>
      <c r="B475" s="2">
        <v>45864</v>
      </c>
      <c r="C475" t="s">
        <v>1186</v>
      </c>
      <c r="D475" t="s">
        <v>1679</v>
      </c>
      <c r="E475" t="s">
        <v>1772</v>
      </c>
      <c r="F475" s="4">
        <v>1</v>
      </c>
      <c r="G475">
        <v>30.94</v>
      </c>
      <c r="H475">
        <v>0.21</v>
      </c>
      <c r="I475" t="s">
        <v>1812</v>
      </c>
      <c r="J475">
        <v>24.442599999999999</v>
      </c>
      <c r="K475" t="s">
        <v>1187</v>
      </c>
      <c r="L475">
        <v>60</v>
      </c>
      <c r="M475" t="s">
        <v>9</v>
      </c>
      <c r="N475" t="s">
        <v>1188</v>
      </c>
      <c r="O475" t="s">
        <v>264</v>
      </c>
      <c r="P475" t="s">
        <v>12</v>
      </c>
      <c r="Q475" t="s">
        <v>26</v>
      </c>
      <c r="R475" t="s">
        <v>3907</v>
      </c>
      <c r="S475" t="s">
        <v>1546</v>
      </c>
      <c r="T475" t="s">
        <v>3826</v>
      </c>
      <c r="U475" t="s">
        <v>1680</v>
      </c>
      <c r="V475" t="s">
        <v>1741</v>
      </c>
      <c r="W475" t="s">
        <v>1742</v>
      </c>
      <c r="X475" t="s">
        <v>1739</v>
      </c>
    </row>
    <row r="476" spans="1:24" x14ac:dyDescent="0.3">
      <c r="A476" t="s">
        <v>2283</v>
      </c>
      <c r="B476" s="2">
        <v>45875</v>
      </c>
      <c r="C476" t="s">
        <v>648</v>
      </c>
      <c r="D476" t="s">
        <v>1647</v>
      </c>
      <c r="E476" t="s">
        <v>1787</v>
      </c>
      <c r="F476" s="4">
        <v>3</v>
      </c>
      <c r="G476">
        <v>666.39</v>
      </c>
      <c r="H476">
        <v>0.21</v>
      </c>
      <c r="I476" t="s">
        <v>1812</v>
      </c>
      <c r="J476">
        <v>1579.3443</v>
      </c>
      <c r="K476" t="s">
        <v>649</v>
      </c>
      <c r="L476">
        <v>25</v>
      </c>
      <c r="M476" t="s">
        <v>16</v>
      </c>
      <c r="N476" t="s">
        <v>650</v>
      </c>
      <c r="O476" t="s">
        <v>429</v>
      </c>
      <c r="P476" t="s">
        <v>12</v>
      </c>
      <c r="Q476" t="s">
        <v>19</v>
      </c>
      <c r="R476" t="s">
        <v>3890</v>
      </c>
      <c r="S476" t="s">
        <v>1530</v>
      </c>
      <c r="T476" t="s">
        <v>3820</v>
      </c>
      <c r="U476" t="s">
        <v>1648</v>
      </c>
      <c r="V476" t="s">
        <v>1741</v>
      </c>
      <c r="W476" t="s">
        <v>1742</v>
      </c>
      <c r="X476" t="s">
        <v>1739</v>
      </c>
    </row>
    <row r="477" spans="1:24" x14ac:dyDescent="0.3">
      <c r="A477" t="s">
        <v>2284</v>
      </c>
      <c r="B477" s="2">
        <v>45797</v>
      </c>
      <c r="C477" t="s">
        <v>548</v>
      </c>
      <c r="D477" t="s">
        <v>1693</v>
      </c>
      <c r="E477" t="s">
        <v>1772</v>
      </c>
      <c r="F477" s="4">
        <v>2</v>
      </c>
      <c r="G477">
        <v>145.26</v>
      </c>
      <c r="H477">
        <v>0.19</v>
      </c>
      <c r="I477" t="s">
        <v>1809</v>
      </c>
      <c r="J477">
        <v>235.3212</v>
      </c>
      <c r="K477" t="s">
        <v>549</v>
      </c>
      <c r="L477">
        <v>36</v>
      </c>
      <c r="M477" t="s">
        <v>16</v>
      </c>
      <c r="N477" t="s">
        <v>550</v>
      </c>
      <c r="O477" t="s">
        <v>155</v>
      </c>
      <c r="P477" t="s">
        <v>12</v>
      </c>
      <c r="Q477" t="s">
        <v>31</v>
      </c>
      <c r="R477" t="s">
        <v>3914</v>
      </c>
      <c r="S477" t="s">
        <v>1549</v>
      </c>
      <c r="T477" t="s">
        <v>3844</v>
      </c>
      <c r="U477" t="s">
        <v>1694</v>
      </c>
      <c r="V477" t="s">
        <v>1741</v>
      </c>
      <c r="W477" t="s">
        <v>1742</v>
      </c>
      <c r="X477" t="s">
        <v>1739</v>
      </c>
    </row>
    <row r="478" spans="1:24" x14ac:dyDescent="0.3">
      <c r="A478" t="s">
        <v>2285</v>
      </c>
      <c r="B478" s="2">
        <v>45364</v>
      </c>
      <c r="C478" t="s">
        <v>406</v>
      </c>
      <c r="D478" t="s">
        <v>1713</v>
      </c>
      <c r="E478" t="s">
        <v>1756</v>
      </c>
      <c r="F478" s="4">
        <v>4</v>
      </c>
      <c r="G478">
        <v>940.77</v>
      </c>
      <c r="H478">
        <v>0.24</v>
      </c>
      <c r="I478" t="s">
        <v>1812</v>
      </c>
      <c r="J478">
        <v>2859.9407999999999</v>
      </c>
      <c r="K478" t="s">
        <v>407</v>
      </c>
      <c r="L478">
        <v>40</v>
      </c>
      <c r="M478" t="s">
        <v>9</v>
      </c>
      <c r="N478" t="s">
        <v>408</v>
      </c>
      <c r="O478" t="s">
        <v>70</v>
      </c>
      <c r="P478" t="s">
        <v>12</v>
      </c>
      <c r="Q478" t="s">
        <v>19</v>
      </c>
      <c r="R478" t="s">
        <v>3924</v>
      </c>
      <c r="S478" t="s">
        <v>1530</v>
      </c>
      <c r="T478" t="s">
        <v>3866</v>
      </c>
      <c r="U478" t="s">
        <v>1714</v>
      </c>
      <c r="V478" t="s">
        <v>1757</v>
      </c>
      <c r="W478" t="s">
        <v>1742</v>
      </c>
      <c r="X478" t="s">
        <v>1748</v>
      </c>
    </row>
    <row r="479" spans="1:24" x14ac:dyDescent="0.3">
      <c r="A479" t="s">
        <v>2286</v>
      </c>
      <c r="B479" s="2">
        <v>45700</v>
      </c>
      <c r="C479" t="s">
        <v>1430</v>
      </c>
      <c r="D479" t="s">
        <v>1623</v>
      </c>
      <c r="E479" t="s">
        <v>1790</v>
      </c>
      <c r="F479" s="4">
        <v>1</v>
      </c>
      <c r="G479">
        <v>708.88</v>
      </c>
      <c r="H479">
        <v>0.09</v>
      </c>
      <c r="I479" t="s">
        <v>1807</v>
      </c>
      <c r="J479">
        <v>645.08080000000007</v>
      </c>
      <c r="K479" t="s">
        <v>1431</v>
      </c>
      <c r="L479">
        <v>21</v>
      </c>
      <c r="M479" t="s">
        <v>16</v>
      </c>
      <c r="N479" t="s">
        <v>1432</v>
      </c>
      <c r="O479" t="s">
        <v>117</v>
      </c>
      <c r="P479" t="s">
        <v>12</v>
      </c>
      <c r="Q479" t="s">
        <v>13</v>
      </c>
      <c r="R479" t="s">
        <v>3876</v>
      </c>
      <c r="S479" t="s">
        <v>1530</v>
      </c>
      <c r="T479" t="s">
        <v>3815</v>
      </c>
      <c r="U479" t="s">
        <v>1624</v>
      </c>
      <c r="V479" t="s">
        <v>1741</v>
      </c>
      <c r="W479" t="s">
        <v>1742</v>
      </c>
      <c r="X479" t="s">
        <v>1739</v>
      </c>
    </row>
    <row r="480" spans="1:24" x14ac:dyDescent="0.3">
      <c r="A480" t="s">
        <v>2287</v>
      </c>
      <c r="B480" s="2">
        <v>45924</v>
      </c>
      <c r="C480" t="s">
        <v>959</v>
      </c>
      <c r="D480" t="s">
        <v>1591</v>
      </c>
      <c r="E480" t="s">
        <v>1744</v>
      </c>
      <c r="F480" s="4">
        <v>1</v>
      </c>
      <c r="G480">
        <v>790.73</v>
      </c>
      <c r="H480">
        <v>0.24</v>
      </c>
      <c r="I480" t="s">
        <v>1809</v>
      </c>
      <c r="J480">
        <v>600.95479999999998</v>
      </c>
      <c r="K480" t="s">
        <v>960</v>
      </c>
      <c r="L480">
        <v>60</v>
      </c>
      <c r="M480" t="s">
        <v>16</v>
      </c>
      <c r="N480" t="s">
        <v>961</v>
      </c>
      <c r="O480" t="s">
        <v>22</v>
      </c>
      <c r="P480" t="s">
        <v>12</v>
      </c>
      <c r="Q480" t="s">
        <v>26</v>
      </c>
      <c r="R480" t="s">
        <v>3857</v>
      </c>
      <c r="S480" t="s">
        <v>1527</v>
      </c>
      <c r="T480" t="s">
        <v>3830</v>
      </c>
      <c r="U480" t="s">
        <v>1592</v>
      </c>
      <c r="V480" t="s">
        <v>1745</v>
      </c>
      <c r="W480" t="s">
        <v>1746</v>
      </c>
      <c r="X480" t="s">
        <v>1748</v>
      </c>
    </row>
    <row r="481" spans="1:24" x14ac:dyDescent="0.3">
      <c r="A481" t="s">
        <v>2288</v>
      </c>
      <c r="B481" s="2">
        <v>45574</v>
      </c>
      <c r="C481" t="s">
        <v>1373</v>
      </c>
      <c r="D481" t="s">
        <v>1561</v>
      </c>
      <c r="E481" t="s">
        <v>1769</v>
      </c>
      <c r="F481" s="4">
        <v>3</v>
      </c>
      <c r="G481">
        <v>635.13</v>
      </c>
      <c r="H481">
        <v>0.09</v>
      </c>
      <c r="I481" t="s">
        <v>1809</v>
      </c>
      <c r="J481">
        <v>1733.9049</v>
      </c>
      <c r="K481" t="s">
        <v>1374</v>
      </c>
      <c r="L481">
        <v>59</v>
      </c>
      <c r="M481" t="s">
        <v>9</v>
      </c>
      <c r="N481" t="s">
        <v>1375</v>
      </c>
      <c r="O481" t="s">
        <v>25</v>
      </c>
      <c r="P481" t="s">
        <v>12</v>
      </c>
      <c r="Q481" t="s">
        <v>26</v>
      </c>
      <c r="R481" t="s">
        <v>3837</v>
      </c>
      <c r="S481" t="s">
        <v>1546</v>
      </c>
      <c r="T481" t="s">
        <v>3838</v>
      </c>
      <c r="U481" t="s">
        <v>1562</v>
      </c>
      <c r="V481" t="s">
        <v>1770</v>
      </c>
      <c r="W481" t="s">
        <v>1746</v>
      </c>
      <c r="X481" t="s">
        <v>1739</v>
      </c>
    </row>
    <row r="482" spans="1:24" x14ac:dyDescent="0.3">
      <c r="A482" t="s">
        <v>2289</v>
      </c>
      <c r="B482" s="2">
        <v>45233</v>
      </c>
      <c r="C482" t="s">
        <v>842</v>
      </c>
      <c r="D482" t="s">
        <v>1717</v>
      </c>
      <c r="E482" t="s">
        <v>1782</v>
      </c>
      <c r="F482" s="4">
        <v>1</v>
      </c>
      <c r="G482">
        <v>744.88</v>
      </c>
      <c r="H482">
        <v>0.15</v>
      </c>
      <c r="I482" t="s">
        <v>1812</v>
      </c>
      <c r="J482">
        <v>633.14800000000002</v>
      </c>
      <c r="K482" t="s">
        <v>843</v>
      </c>
      <c r="L482">
        <v>18</v>
      </c>
      <c r="M482" t="s">
        <v>9</v>
      </c>
      <c r="N482" t="s">
        <v>844</v>
      </c>
      <c r="O482" t="s">
        <v>582</v>
      </c>
      <c r="P482" t="s">
        <v>12</v>
      </c>
      <c r="Q482" t="s">
        <v>26</v>
      </c>
      <c r="R482" t="s">
        <v>3926</v>
      </c>
      <c r="S482" t="s">
        <v>1546</v>
      </c>
      <c r="T482" t="s">
        <v>3811</v>
      </c>
      <c r="U482" t="s">
        <v>1718</v>
      </c>
      <c r="V482" t="s">
        <v>1741</v>
      </c>
      <c r="W482" t="s">
        <v>1742</v>
      </c>
      <c r="X482" t="s">
        <v>1739</v>
      </c>
    </row>
    <row r="483" spans="1:24" x14ac:dyDescent="0.3">
      <c r="A483" t="s">
        <v>2290</v>
      </c>
      <c r="B483" s="2">
        <v>45745</v>
      </c>
      <c r="C483" t="s">
        <v>598</v>
      </c>
      <c r="D483" t="s">
        <v>1587</v>
      </c>
      <c r="E483" t="s">
        <v>1740</v>
      </c>
      <c r="F483" s="4">
        <v>3</v>
      </c>
      <c r="G483">
        <v>205.34</v>
      </c>
      <c r="H483">
        <v>0.25</v>
      </c>
      <c r="I483" t="s">
        <v>1807</v>
      </c>
      <c r="J483">
        <v>462.01499999999999</v>
      </c>
      <c r="K483" t="s">
        <v>599</v>
      </c>
      <c r="L483">
        <v>46</v>
      </c>
      <c r="M483" t="s">
        <v>16</v>
      </c>
      <c r="N483" t="s">
        <v>600</v>
      </c>
      <c r="O483" t="s">
        <v>58</v>
      </c>
      <c r="P483" t="s">
        <v>12</v>
      </c>
      <c r="Q483" t="s">
        <v>19</v>
      </c>
      <c r="R483" t="s">
        <v>3855</v>
      </c>
      <c r="S483" t="s">
        <v>1549</v>
      </c>
      <c r="T483" t="s">
        <v>3820</v>
      </c>
      <c r="U483" t="s">
        <v>1588</v>
      </c>
      <c r="V483" t="s">
        <v>1741</v>
      </c>
      <c r="W483" t="s">
        <v>1742</v>
      </c>
      <c r="X483" t="s">
        <v>1739</v>
      </c>
    </row>
    <row r="484" spans="1:24" x14ac:dyDescent="0.3">
      <c r="A484" t="s">
        <v>2291</v>
      </c>
      <c r="B484" s="2">
        <v>45851</v>
      </c>
      <c r="C484" t="s">
        <v>1287</v>
      </c>
      <c r="D484" t="s">
        <v>1589</v>
      </c>
      <c r="E484" t="s">
        <v>1765</v>
      </c>
      <c r="F484" s="4">
        <v>2</v>
      </c>
      <c r="G484">
        <v>756.8</v>
      </c>
      <c r="H484">
        <v>0.15</v>
      </c>
      <c r="I484" t="s">
        <v>1807</v>
      </c>
      <c r="J484">
        <v>1286.56</v>
      </c>
      <c r="K484" t="s">
        <v>1288</v>
      </c>
      <c r="L484">
        <v>60</v>
      </c>
      <c r="M484" t="s">
        <v>9</v>
      </c>
      <c r="N484" t="s">
        <v>1289</v>
      </c>
      <c r="O484" t="s">
        <v>309</v>
      </c>
      <c r="P484" t="s">
        <v>12</v>
      </c>
      <c r="Q484" t="s">
        <v>13</v>
      </c>
      <c r="R484" t="s">
        <v>3856</v>
      </c>
      <c r="S484" t="s">
        <v>1527</v>
      </c>
      <c r="T484" t="s">
        <v>3836</v>
      </c>
      <c r="U484" t="s">
        <v>1590</v>
      </c>
      <c r="V484" t="s">
        <v>1766</v>
      </c>
      <c r="W484" t="s">
        <v>1767</v>
      </c>
      <c r="X484" t="s">
        <v>1755</v>
      </c>
    </row>
    <row r="485" spans="1:24" x14ac:dyDescent="0.3">
      <c r="A485" t="s">
        <v>2292</v>
      </c>
      <c r="B485" s="2">
        <v>45308</v>
      </c>
      <c r="C485" t="s">
        <v>171</v>
      </c>
      <c r="D485" t="s">
        <v>1573</v>
      </c>
      <c r="E485" t="s">
        <v>1772</v>
      </c>
      <c r="F485" s="4">
        <v>1</v>
      </c>
      <c r="G485">
        <v>771.73</v>
      </c>
      <c r="H485">
        <v>0.2</v>
      </c>
      <c r="I485" t="s">
        <v>1807</v>
      </c>
      <c r="J485">
        <v>617.38400000000001</v>
      </c>
      <c r="K485" t="s">
        <v>172</v>
      </c>
      <c r="L485">
        <v>54</v>
      </c>
      <c r="M485" t="s">
        <v>9</v>
      </c>
      <c r="N485" t="s">
        <v>173</v>
      </c>
      <c r="O485" t="s">
        <v>99</v>
      </c>
      <c r="P485" t="s">
        <v>12</v>
      </c>
      <c r="Q485" t="s">
        <v>26</v>
      </c>
      <c r="R485" t="s">
        <v>3846</v>
      </c>
      <c r="S485" t="s">
        <v>1527</v>
      </c>
      <c r="T485" t="s">
        <v>3847</v>
      </c>
      <c r="U485" t="s">
        <v>1574</v>
      </c>
      <c r="V485" t="s">
        <v>1741</v>
      </c>
      <c r="W485" t="s">
        <v>1742</v>
      </c>
      <c r="X485" t="s">
        <v>1739</v>
      </c>
    </row>
    <row r="486" spans="1:24" x14ac:dyDescent="0.3">
      <c r="A486" t="s">
        <v>2293</v>
      </c>
      <c r="B486" s="2">
        <v>45639</v>
      </c>
      <c r="C486" t="s">
        <v>1458</v>
      </c>
      <c r="D486" t="s">
        <v>1663</v>
      </c>
      <c r="E486" t="s">
        <v>1790</v>
      </c>
      <c r="F486" s="4">
        <v>1</v>
      </c>
      <c r="G486">
        <v>440.19</v>
      </c>
      <c r="H486">
        <v>0.03</v>
      </c>
      <c r="I486" t="s">
        <v>1809</v>
      </c>
      <c r="J486">
        <v>426.98430000000002</v>
      </c>
      <c r="K486" t="s">
        <v>1459</v>
      </c>
      <c r="L486">
        <v>33</v>
      </c>
      <c r="M486" t="s">
        <v>9</v>
      </c>
      <c r="N486" t="s">
        <v>1460</v>
      </c>
      <c r="O486" t="s">
        <v>43</v>
      </c>
      <c r="P486" t="s">
        <v>12</v>
      </c>
      <c r="Q486" t="s">
        <v>26</v>
      </c>
      <c r="R486" t="s">
        <v>3898</v>
      </c>
      <c r="S486" t="s">
        <v>1541</v>
      </c>
      <c r="T486" t="s">
        <v>3833</v>
      </c>
      <c r="U486" t="s">
        <v>1664</v>
      </c>
      <c r="V486" t="s">
        <v>1741</v>
      </c>
      <c r="W486" t="s">
        <v>1742</v>
      </c>
      <c r="X486" t="s">
        <v>1739</v>
      </c>
    </row>
    <row r="487" spans="1:24" x14ac:dyDescent="0.3">
      <c r="A487" t="s">
        <v>2294</v>
      </c>
      <c r="B487" s="2">
        <v>45919</v>
      </c>
      <c r="C487" t="s">
        <v>178</v>
      </c>
      <c r="D487" t="s">
        <v>1536</v>
      </c>
      <c r="E487" t="s">
        <v>1744</v>
      </c>
      <c r="F487" s="4">
        <v>2</v>
      </c>
      <c r="G487">
        <v>409</v>
      </c>
      <c r="H487">
        <v>0.17</v>
      </c>
      <c r="I487" t="s">
        <v>1807</v>
      </c>
      <c r="J487">
        <v>678.93999999999994</v>
      </c>
      <c r="K487" t="s">
        <v>179</v>
      </c>
      <c r="L487">
        <v>54</v>
      </c>
      <c r="M487" t="s">
        <v>9</v>
      </c>
      <c r="N487" t="s">
        <v>180</v>
      </c>
      <c r="O487" t="s">
        <v>181</v>
      </c>
      <c r="P487" t="s">
        <v>12</v>
      </c>
      <c r="Q487" t="s">
        <v>31</v>
      </c>
      <c r="R487" t="s">
        <v>3868</v>
      </c>
      <c r="S487" t="s">
        <v>1546</v>
      </c>
      <c r="T487" t="s">
        <v>3869</v>
      </c>
      <c r="U487" t="s">
        <v>1610</v>
      </c>
      <c r="V487" t="s">
        <v>1745</v>
      </c>
      <c r="W487" t="s">
        <v>1746</v>
      </c>
      <c r="X487" t="s">
        <v>1748</v>
      </c>
    </row>
    <row r="488" spans="1:24" x14ac:dyDescent="0.3">
      <c r="A488" t="s">
        <v>2295</v>
      </c>
      <c r="B488" s="2">
        <v>45333</v>
      </c>
      <c r="C488" t="s">
        <v>1066</v>
      </c>
      <c r="D488" t="s">
        <v>1607</v>
      </c>
      <c r="E488" t="s">
        <v>1796</v>
      </c>
      <c r="F488" s="4">
        <v>3</v>
      </c>
      <c r="G488">
        <v>134.58000000000001</v>
      </c>
      <c r="H488">
        <v>0.04</v>
      </c>
      <c r="I488" t="s">
        <v>1812</v>
      </c>
      <c r="J488">
        <v>387.59039999999999</v>
      </c>
      <c r="K488" t="s">
        <v>1067</v>
      </c>
      <c r="L488">
        <v>39</v>
      </c>
      <c r="M488" t="s">
        <v>9</v>
      </c>
      <c r="N488" t="s">
        <v>1068</v>
      </c>
      <c r="O488" t="s">
        <v>284</v>
      </c>
      <c r="P488" t="s">
        <v>12</v>
      </c>
      <c r="Q488" t="s">
        <v>26</v>
      </c>
      <c r="R488" t="s">
        <v>3867</v>
      </c>
      <c r="S488" t="s">
        <v>1549</v>
      </c>
      <c r="T488" t="s">
        <v>3851</v>
      </c>
      <c r="U488" t="s">
        <v>1608</v>
      </c>
      <c r="V488" t="s">
        <v>1741</v>
      </c>
      <c r="W488" t="s">
        <v>1742</v>
      </c>
      <c r="X488" t="s">
        <v>1739</v>
      </c>
    </row>
    <row r="489" spans="1:24" x14ac:dyDescent="0.3">
      <c r="A489" t="s">
        <v>2296</v>
      </c>
      <c r="B489" s="2">
        <v>45811</v>
      </c>
      <c r="C489" t="s">
        <v>1080</v>
      </c>
      <c r="D489" t="s">
        <v>1609</v>
      </c>
      <c r="E489" t="s">
        <v>1762</v>
      </c>
      <c r="F489" s="4">
        <v>4</v>
      </c>
      <c r="G489">
        <v>284.44</v>
      </c>
      <c r="H489">
        <v>0.02</v>
      </c>
      <c r="I489" t="s">
        <v>1807</v>
      </c>
      <c r="J489">
        <v>1115.0047999999999</v>
      </c>
      <c r="K489" t="s">
        <v>1081</v>
      </c>
      <c r="L489">
        <v>31</v>
      </c>
      <c r="M489" t="s">
        <v>9</v>
      </c>
      <c r="N489" t="s">
        <v>1082</v>
      </c>
      <c r="O489" t="s">
        <v>51</v>
      </c>
      <c r="P489" t="s">
        <v>12</v>
      </c>
      <c r="Q489" t="s">
        <v>31</v>
      </c>
      <c r="R489" t="s">
        <v>3868</v>
      </c>
      <c r="S489" t="s">
        <v>1546</v>
      </c>
      <c r="T489" t="s">
        <v>3869</v>
      </c>
      <c r="U489" t="s">
        <v>1610</v>
      </c>
      <c r="V489" t="s">
        <v>1763</v>
      </c>
      <c r="W489" t="s">
        <v>1746</v>
      </c>
      <c r="X489" t="s">
        <v>1755</v>
      </c>
    </row>
    <row r="490" spans="1:24" x14ac:dyDescent="0.3">
      <c r="A490" t="s">
        <v>2297</v>
      </c>
      <c r="B490" s="2">
        <v>45726</v>
      </c>
      <c r="C490" t="s">
        <v>1246</v>
      </c>
      <c r="D490" t="s">
        <v>1677</v>
      </c>
      <c r="E490" t="s">
        <v>1780</v>
      </c>
      <c r="F490" s="4">
        <v>4</v>
      </c>
      <c r="G490">
        <v>922.69</v>
      </c>
      <c r="H490">
        <v>0.16</v>
      </c>
      <c r="I490" t="s">
        <v>1807</v>
      </c>
      <c r="J490">
        <v>3100.2384000000002</v>
      </c>
      <c r="K490" t="s">
        <v>1247</v>
      </c>
      <c r="L490">
        <v>23</v>
      </c>
      <c r="M490" t="s">
        <v>16</v>
      </c>
      <c r="N490" t="s">
        <v>1248</v>
      </c>
      <c r="O490" t="s">
        <v>323</v>
      </c>
      <c r="P490" t="s">
        <v>12</v>
      </c>
      <c r="Q490" t="s">
        <v>13</v>
      </c>
      <c r="R490" t="s">
        <v>3906</v>
      </c>
      <c r="S490" t="s">
        <v>1549</v>
      </c>
      <c r="T490" t="s">
        <v>3859</v>
      </c>
      <c r="U490" t="s">
        <v>1678</v>
      </c>
      <c r="V490" t="s">
        <v>1741</v>
      </c>
      <c r="W490" t="s">
        <v>1742</v>
      </c>
      <c r="X490" t="s">
        <v>1739</v>
      </c>
    </row>
    <row r="491" spans="1:24" x14ac:dyDescent="0.3">
      <c r="A491" t="s">
        <v>2298</v>
      </c>
      <c r="B491" s="2">
        <v>45644</v>
      </c>
      <c r="C491" t="s">
        <v>867</v>
      </c>
      <c r="D491" t="s">
        <v>1603</v>
      </c>
      <c r="E491" t="s">
        <v>1759</v>
      </c>
      <c r="F491" s="4">
        <v>2</v>
      </c>
      <c r="G491">
        <v>992.55</v>
      </c>
      <c r="H491">
        <v>0.28000000000000003</v>
      </c>
      <c r="I491" t="s">
        <v>1807</v>
      </c>
      <c r="J491">
        <v>1429.2719999999999</v>
      </c>
      <c r="K491" t="s">
        <v>868</v>
      </c>
      <c r="L491">
        <v>38</v>
      </c>
      <c r="M491" t="s">
        <v>9</v>
      </c>
      <c r="N491" t="s">
        <v>869</v>
      </c>
      <c r="O491" t="s">
        <v>582</v>
      </c>
      <c r="P491" t="s">
        <v>12</v>
      </c>
      <c r="Q491" t="s">
        <v>13</v>
      </c>
      <c r="R491" t="s">
        <v>3864</v>
      </c>
      <c r="S491" t="s">
        <v>1530</v>
      </c>
      <c r="T491" t="s">
        <v>3813</v>
      </c>
      <c r="U491" t="s">
        <v>1604</v>
      </c>
      <c r="V491" t="s">
        <v>1760</v>
      </c>
      <c r="W491" t="s">
        <v>1737</v>
      </c>
      <c r="X491" t="s">
        <v>1755</v>
      </c>
    </row>
    <row r="492" spans="1:24" x14ac:dyDescent="0.3">
      <c r="A492" t="s">
        <v>2299</v>
      </c>
      <c r="B492" s="2">
        <v>45371</v>
      </c>
      <c r="C492" t="s">
        <v>1284</v>
      </c>
      <c r="D492" t="s">
        <v>1709</v>
      </c>
      <c r="E492" t="s">
        <v>1793</v>
      </c>
      <c r="F492" s="4">
        <v>1</v>
      </c>
      <c r="G492">
        <v>170.43</v>
      </c>
      <c r="H492">
        <v>0.03</v>
      </c>
      <c r="I492" t="s">
        <v>1807</v>
      </c>
      <c r="J492">
        <v>165.31710000000001</v>
      </c>
      <c r="K492" t="s">
        <v>1285</v>
      </c>
      <c r="L492">
        <v>33</v>
      </c>
      <c r="M492" t="s">
        <v>9</v>
      </c>
      <c r="N492" t="s">
        <v>1286</v>
      </c>
      <c r="O492" t="s">
        <v>47</v>
      </c>
      <c r="P492" t="s">
        <v>12</v>
      </c>
      <c r="Q492" t="s">
        <v>31</v>
      </c>
      <c r="R492" t="s">
        <v>3922</v>
      </c>
      <c r="S492" t="s">
        <v>1541</v>
      </c>
      <c r="T492" t="s">
        <v>3878</v>
      </c>
      <c r="U492" t="s">
        <v>1710</v>
      </c>
      <c r="V492" t="s">
        <v>1741</v>
      </c>
      <c r="W492" t="s">
        <v>1742</v>
      </c>
      <c r="X492" t="s">
        <v>1739</v>
      </c>
    </row>
    <row r="493" spans="1:24" x14ac:dyDescent="0.3">
      <c r="A493" t="s">
        <v>2300</v>
      </c>
      <c r="B493" s="2">
        <v>45462</v>
      </c>
      <c r="C493" t="s">
        <v>716</v>
      </c>
      <c r="D493" t="s">
        <v>1675</v>
      </c>
      <c r="E493" t="s">
        <v>1744</v>
      </c>
      <c r="F493" s="4">
        <v>3</v>
      </c>
      <c r="G493">
        <v>480.51</v>
      </c>
      <c r="H493">
        <v>0.03</v>
      </c>
      <c r="I493" t="s">
        <v>1807</v>
      </c>
      <c r="J493">
        <v>1398.2841000000001</v>
      </c>
      <c r="K493" t="s">
        <v>717</v>
      </c>
      <c r="L493">
        <v>29</v>
      </c>
      <c r="M493" t="s">
        <v>9</v>
      </c>
      <c r="N493" t="s">
        <v>3958</v>
      </c>
      <c r="O493" t="s">
        <v>264</v>
      </c>
      <c r="P493" t="s">
        <v>12</v>
      </c>
      <c r="Q493" t="s">
        <v>19</v>
      </c>
      <c r="R493" t="s">
        <v>3905</v>
      </c>
      <c r="S493" t="s">
        <v>1549</v>
      </c>
      <c r="T493" t="s">
        <v>3828</v>
      </c>
      <c r="U493" t="s">
        <v>1676</v>
      </c>
      <c r="V493" t="s">
        <v>1745</v>
      </c>
      <c r="W493" t="s">
        <v>1746</v>
      </c>
      <c r="X493" t="s">
        <v>1748</v>
      </c>
    </row>
    <row r="494" spans="1:24" x14ac:dyDescent="0.3">
      <c r="A494" t="s">
        <v>2301</v>
      </c>
      <c r="B494" s="2">
        <v>45632</v>
      </c>
      <c r="C494" t="s">
        <v>518</v>
      </c>
      <c r="D494" t="s">
        <v>1629</v>
      </c>
      <c r="E494" t="s">
        <v>1762</v>
      </c>
      <c r="F494" s="4">
        <v>2</v>
      </c>
      <c r="G494">
        <v>955.66</v>
      </c>
      <c r="H494">
        <v>0.28999999999999998</v>
      </c>
      <c r="I494" t="s">
        <v>1812</v>
      </c>
      <c r="J494">
        <v>1357.0372</v>
      </c>
      <c r="K494" t="s">
        <v>519</v>
      </c>
      <c r="L494">
        <v>59</v>
      </c>
      <c r="M494" t="s">
        <v>9</v>
      </c>
      <c r="N494" t="s">
        <v>520</v>
      </c>
      <c r="O494" t="s">
        <v>18</v>
      </c>
      <c r="P494" t="s">
        <v>12</v>
      </c>
      <c r="Q494" t="s">
        <v>26</v>
      </c>
      <c r="R494" t="s">
        <v>3880</v>
      </c>
      <c r="S494" t="s">
        <v>1541</v>
      </c>
      <c r="T494" t="s">
        <v>3881</v>
      </c>
      <c r="U494" t="s">
        <v>1630</v>
      </c>
      <c r="V494" t="s">
        <v>1763</v>
      </c>
      <c r="W494" t="s">
        <v>1746</v>
      </c>
      <c r="X494" t="s">
        <v>1755</v>
      </c>
    </row>
    <row r="495" spans="1:24" x14ac:dyDescent="0.3">
      <c r="A495" t="s">
        <v>2302</v>
      </c>
      <c r="B495" s="2">
        <v>45863</v>
      </c>
      <c r="C495" t="s">
        <v>1379</v>
      </c>
      <c r="D495" t="s">
        <v>1675</v>
      </c>
      <c r="E495" t="s">
        <v>1735</v>
      </c>
      <c r="F495" s="4">
        <v>2</v>
      </c>
      <c r="G495">
        <v>488.02</v>
      </c>
      <c r="H495">
        <v>0.27</v>
      </c>
      <c r="I495" t="s">
        <v>1809</v>
      </c>
      <c r="J495">
        <v>712.50919999999996</v>
      </c>
      <c r="K495" t="s">
        <v>1380</v>
      </c>
      <c r="L495">
        <v>60</v>
      </c>
      <c r="M495" t="s">
        <v>16</v>
      </c>
      <c r="N495" t="s">
        <v>559</v>
      </c>
      <c r="O495" t="s">
        <v>230</v>
      </c>
      <c r="P495" t="s">
        <v>12</v>
      </c>
      <c r="Q495" t="s">
        <v>13</v>
      </c>
      <c r="R495" t="s">
        <v>3905</v>
      </c>
      <c r="S495" t="s">
        <v>1549</v>
      </c>
      <c r="T495" t="s">
        <v>3828</v>
      </c>
      <c r="U495" t="s">
        <v>1676</v>
      </c>
      <c r="V495" t="s">
        <v>1736</v>
      </c>
      <c r="W495" t="s">
        <v>1737</v>
      </c>
      <c r="X495" t="s">
        <v>1739</v>
      </c>
    </row>
    <row r="496" spans="1:24" x14ac:dyDescent="0.3">
      <c r="A496" t="s">
        <v>2303</v>
      </c>
      <c r="B496" s="2">
        <v>45501</v>
      </c>
      <c r="C496" t="s">
        <v>764</v>
      </c>
      <c r="D496" t="s">
        <v>1567</v>
      </c>
      <c r="E496" t="s">
        <v>1735</v>
      </c>
      <c r="F496" s="4">
        <v>1</v>
      </c>
      <c r="G496">
        <v>917.17</v>
      </c>
      <c r="H496">
        <v>0.13</v>
      </c>
      <c r="I496" t="s">
        <v>1812</v>
      </c>
      <c r="J496">
        <v>797.93790000000001</v>
      </c>
      <c r="K496" t="s">
        <v>765</v>
      </c>
      <c r="L496">
        <v>31</v>
      </c>
      <c r="M496" t="s">
        <v>9</v>
      </c>
      <c r="N496" t="s">
        <v>766</v>
      </c>
      <c r="O496" t="s">
        <v>155</v>
      </c>
      <c r="P496" t="s">
        <v>12</v>
      </c>
      <c r="Q496" t="s">
        <v>19</v>
      </c>
      <c r="R496" t="s">
        <v>3842</v>
      </c>
      <c r="S496" t="s">
        <v>1530</v>
      </c>
      <c r="T496" t="s">
        <v>3818</v>
      </c>
      <c r="U496" t="s">
        <v>1568</v>
      </c>
      <c r="V496" t="s">
        <v>1736</v>
      </c>
      <c r="W496" t="s">
        <v>1737</v>
      </c>
      <c r="X496" t="s">
        <v>1739</v>
      </c>
    </row>
    <row r="497" spans="1:24" x14ac:dyDescent="0.3">
      <c r="A497" t="s">
        <v>2304</v>
      </c>
      <c r="B497" s="2">
        <v>45568</v>
      </c>
      <c r="C497" t="s">
        <v>1010</v>
      </c>
      <c r="D497" t="s">
        <v>1545</v>
      </c>
      <c r="E497" t="s">
        <v>1756</v>
      </c>
      <c r="F497" s="4">
        <v>2</v>
      </c>
      <c r="G497">
        <v>406.46</v>
      </c>
      <c r="H497">
        <v>0.3</v>
      </c>
      <c r="I497" t="s">
        <v>1809</v>
      </c>
      <c r="J497">
        <v>569.04399999999998</v>
      </c>
      <c r="K497" t="s">
        <v>3945</v>
      </c>
      <c r="L497">
        <v>60</v>
      </c>
      <c r="M497" t="s">
        <v>9</v>
      </c>
      <c r="N497" t="s">
        <v>1011</v>
      </c>
      <c r="O497" t="s">
        <v>96</v>
      </c>
      <c r="P497" t="s">
        <v>12</v>
      </c>
      <c r="Q497" t="s">
        <v>26</v>
      </c>
      <c r="R497" t="s">
        <v>3912</v>
      </c>
      <c r="S497" t="s">
        <v>1527</v>
      </c>
      <c r="T497" t="s">
        <v>3824</v>
      </c>
      <c r="U497" t="s">
        <v>1690</v>
      </c>
      <c r="V497" t="s">
        <v>1757</v>
      </c>
      <c r="W497" t="s">
        <v>1742</v>
      </c>
      <c r="X497" t="s">
        <v>1748</v>
      </c>
    </row>
    <row r="498" spans="1:24" x14ac:dyDescent="0.3">
      <c r="A498" t="s">
        <v>2305</v>
      </c>
      <c r="B498" s="2">
        <v>45238</v>
      </c>
      <c r="C498" t="s">
        <v>740</v>
      </c>
      <c r="D498" t="s">
        <v>1721</v>
      </c>
      <c r="E498" t="s">
        <v>1735</v>
      </c>
      <c r="F498" s="4">
        <v>2</v>
      </c>
      <c r="G498">
        <v>264.39</v>
      </c>
      <c r="H498">
        <v>0.11</v>
      </c>
      <c r="I498" t="s">
        <v>1812</v>
      </c>
      <c r="J498">
        <v>470.61419999999998</v>
      </c>
      <c r="K498" t="s">
        <v>741</v>
      </c>
      <c r="L498">
        <v>59</v>
      </c>
      <c r="M498" t="s">
        <v>9</v>
      </c>
      <c r="N498" t="s">
        <v>742</v>
      </c>
      <c r="O498" t="s">
        <v>88</v>
      </c>
      <c r="P498" t="s">
        <v>12</v>
      </c>
      <c r="Q498" t="s">
        <v>19</v>
      </c>
      <c r="R498" t="s">
        <v>3928</v>
      </c>
      <c r="S498" t="s">
        <v>1549</v>
      </c>
      <c r="T498" t="s">
        <v>3820</v>
      </c>
      <c r="U498" t="s">
        <v>1722</v>
      </c>
      <c r="V498" t="s">
        <v>1736</v>
      </c>
      <c r="W498" t="s">
        <v>1737</v>
      </c>
      <c r="X498" t="s">
        <v>1739</v>
      </c>
    </row>
    <row r="499" spans="1:24" x14ac:dyDescent="0.3">
      <c r="A499" t="s">
        <v>2306</v>
      </c>
      <c r="B499" s="2">
        <v>45754</v>
      </c>
      <c r="C499" t="s">
        <v>622</v>
      </c>
      <c r="D499" t="s">
        <v>1667</v>
      </c>
      <c r="E499" t="s">
        <v>1787</v>
      </c>
      <c r="F499" s="4">
        <v>1</v>
      </c>
      <c r="G499">
        <v>414.97</v>
      </c>
      <c r="H499">
        <v>0.22</v>
      </c>
      <c r="I499" t="s">
        <v>1809</v>
      </c>
      <c r="J499">
        <v>323.67660000000001</v>
      </c>
      <c r="K499" t="s">
        <v>623</v>
      </c>
      <c r="L499">
        <v>26</v>
      </c>
      <c r="M499" t="s">
        <v>9</v>
      </c>
      <c r="N499" t="s">
        <v>624</v>
      </c>
      <c r="O499" t="s">
        <v>25</v>
      </c>
      <c r="P499" t="s">
        <v>12</v>
      </c>
      <c r="Q499" t="s">
        <v>26</v>
      </c>
      <c r="R499" t="s">
        <v>3900</v>
      </c>
      <c r="S499" t="s">
        <v>1527</v>
      </c>
      <c r="T499" t="s">
        <v>3901</v>
      </c>
      <c r="U499" t="s">
        <v>1668</v>
      </c>
      <c r="V499" t="s">
        <v>1741</v>
      </c>
      <c r="W499" t="s">
        <v>1742</v>
      </c>
      <c r="X499" t="s">
        <v>1739</v>
      </c>
    </row>
    <row r="500" spans="1:24" x14ac:dyDescent="0.3">
      <c r="A500" t="s">
        <v>2307</v>
      </c>
      <c r="B500" s="2">
        <v>45280</v>
      </c>
      <c r="C500" t="s">
        <v>488</v>
      </c>
      <c r="D500" t="s">
        <v>1581</v>
      </c>
      <c r="E500" t="s">
        <v>1777</v>
      </c>
      <c r="F500" s="4">
        <v>2</v>
      </c>
      <c r="G500">
        <v>583.51</v>
      </c>
      <c r="H500">
        <v>0.2</v>
      </c>
      <c r="I500" t="s">
        <v>1812</v>
      </c>
      <c r="J500">
        <v>933.61599999999999</v>
      </c>
      <c r="K500" t="s">
        <v>489</v>
      </c>
      <c r="L500">
        <v>49</v>
      </c>
      <c r="M500" t="s">
        <v>16</v>
      </c>
      <c r="N500" t="s">
        <v>490</v>
      </c>
      <c r="O500" t="s">
        <v>312</v>
      </c>
      <c r="P500" t="s">
        <v>12</v>
      </c>
      <c r="Q500" t="s">
        <v>13</v>
      </c>
      <c r="R500" t="s">
        <v>3852</v>
      </c>
      <c r="S500" t="s">
        <v>1530</v>
      </c>
      <c r="T500" t="s">
        <v>3820</v>
      </c>
      <c r="U500" t="s">
        <v>1582</v>
      </c>
      <c r="V500" t="s">
        <v>1741</v>
      </c>
      <c r="W500" t="s">
        <v>1742</v>
      </c>
      <c r="X500" t="s">
        <v>1739</v>
      </c>
    </row>
    <row r="501" spans="1:24" x14ac:dyDescent="0.3">
      <c r="A501" t="s">
        <v>2308</v>
      </c>
      <c r="B501" s="2">
        <v>45911</v>
      </c>
      <c r="C501" t="s">
        <v>55</v>
      </c>
      <c r="D501" t="s">
        <v>1593</v>
      </c>
      <c r="E501" t="s">
        <v>1790</v>
      </c>
      <c r="F501" s="4">
        <v>1</v>
      </c>
      <c r="G501">
        <v>659.27</v>
      </c>
      <c r="H501">
        <v>0.15</v>
      </c>
      <c r="I501" t="s">
        <v>1809</v>
      </c>
      <c r="J501">
        <v>560.37950000000001</v>
      </c>
      <c r="K501" t="s">
        <v>56</v>
      </c>
      <c r="L501">
        <v>55</v>
      </c>
      <c r="M501" t="s">
        <v>16</v>
      </c>
      <c r="N501" t="s">
        <v>57</v>
      </c>
      <c r="O501" t="s">
        <v>58</v>
      </c>
      <c r="P501" t="s">
        <v>12</v>
      </c>
      <c r="Q501" t="s">
        <v>13</v>
      </c>
      <c r="R501" t="s">
        <v>3858</v>
      </c>
      <c r="S501" t="s">
        <v>1549</v>
      </c>
      <c r="T501" t="s">
        <v>3859</v>
      </c>
      <c r="U501" t="s">
        <v>1594</v>
      </c>
      <c r="V501" t="s">
        <v>1741</v>
      </c>
      <c r="W501" t="s">
        <v>1742</v>
      </c>
      <c r="X501" t="s">
        <v>1739</v>
      </c>
    </row>
    <row r="502" spans="1:24" x14ac:dyDescent="0.3">
      <c r="A502" t="s">
        <v>2309</v>
      </c>
      <c r="B502" s="2">
        <v>45627</v>
      </c>
      <c r="C502" t="s">
        <v>1361</v>
      </c>
      <c r="D502" t="s">
        <v>1532</v>
      </c>
      <c r="E502" t="s">
        <v>1752</v>
      </c>
      <c r="F502" s="4">
        <v>4</v>
      </c>
      <c r="G502">
        <v>106.66</v>
      </c>
      <c r="H502">
        <v>0.2</v>
      </c>
      <c r="I502" t="s">
        <v>1812</v>
      </c>
      <c r="J502">
        <v>341.31200000000001</v>
      </c>
      <c r="K502" t="s">
        <v>1362</v>
      </c>
      <c r="L502">
        <v>35</v>
      </c>
      <c r="M502" t="s">
        <v>9</v>
      </c>
      <c r="N502" t="s">
        <v>1363</v>
      </c>
      <c r="O502" t="s">
        <v>284</v>
      </c>
      <c r="P502" t="s">
        <v>12</v>
      </c>
      <c r="Q502" t="s">
        <v>19</v>
      </c>
      <c r="R502" t="s">
        <v>3843</v>
      </c>
      <c r="S502" t="s">
        <v>1549</v>
      </c>
      <c r="T502" t="s">
        <v>3844</v>
      </c>
      <c r="U502" t="s">
        <v>1570</v>
      </c>
      <c r="V502" t="s">
        <v>1753</v>
      </c>
      <c r="W502" t="s">
        <v>1746</v>
      </c>
      <c r="X502" t="s">
        <v>1755</v>
      </c>
    </row>
    <row r="503" spans="1:24" x14ac:dyDescent="0.3">
      <c r="A503" t="s">
        <v>2310</v>
      </c>
      <c r="B503" s="2">
        <v>45617</v>
      </c>
      <c r="C503" t="s">
        <v>539</v>
      </c>
      <c r="D503" t="s">
        <v>1551</v>
      </c>
      <c r="E503" t="s">
        <v>1756</v>
      </c>
      <c r="F503" s="4">
        <v>4</v>
      </c>
      <c r="G503">
        <v>168.55</v>
      </c>
      <c r="H503">
        <v>0.15</v>
      </c>
      <c r="I503" t="s">
        <v>1809</v>
      </c>
      <c r="J503">
        <v>573.07000000000005</v>
      </c>
      <c r="K503" t="s">
        <v>540</v>
      </c>
      <c r="L503">
        <v>39</v>
      </c>
      <c r="M503" t="s">
        <v>16</v>
      </c>
      <c r="N503" t="s">
        <v>541</v>
      </c>
      <c r="O503" t="s">
        <v>191</v>
      </c>
      <c r="P503" t="s">
        <v>12</v>
      </c>
      <c r="Q503" t="s">
        <v>26</v>
      </c>
      <c r="R503" t="s">
        <v>3829</v>
      </c>
      <c r="S503" t="s">
        <v>1527</v>
      </c>
      <c r="T503" t="s">
        <v>3830</v>
      </c>
      <c r="U503" t="s">
        <v>1552</v>
      </c>
      <c r="V503" t="s">
        <v>1757</v>
      </c>
      <c r="W503" t="s">
        <v>1742</v>
      </c>
      <c r="X503" t="s">
        <v>1748</v>
      </c>
    </row>
    <row r="504" spans="1:24" x14ac:dyDescent="0.3">
      <c r="A504" t="s">
        <v>2311</v>
      </c>
      <c r="B504" s="2">
        <v>45899</v>
      </c>
      <c r="C504" t="s">
        <v>1484</v>
      </c>
      <c r="D504" t="s">
        <v>1619</v>
      </c>
      <c r="E504" t="s">
        <v>1744</v>
      </c>
      <c r="F504" s="4">
        <v>1</v>
      </c>
      <c r="G504">
        <v>230.53</v>
      </c>
      <c r="H504">
        <v>0.06</v>
      </c>
      <c r="I504" t="s">
        <v>1812</v>
      </c>
      <c r="J504">
        <v>216.69820000000001</v>
      </c>
      <c r="K504" t="s">
        <v>1485</v>
      </c>
      <c r="L504">
        <v>42</v>
      </c>
      <c r="M504" t="s">
        <v>16</v>
      </c>
      <c r="N504" t="s">
        <v>1486</v>
      </c>
      <c r="O504" t="s">
        <v>30</v>
      </c>
      <c r="P504" t="s">
        <v>12</v>
      </c>
      <c r="Q504" t="s">
        <v>19</v>
      </c>
      <c r="R504" t="s">
        <v>3874</v>
      </c>
      <c r="S504" t="s">
        <v>1549</v>
      </c>
      <c r="T504" t="s">
        <v>3828</v>
      </c>
      <c r="U504" t="s">
        <v>1620</v>
      </c>
      <c r="V504" t="s">
        <v>1745</v>
      </c>
      <c r="W504" t="s">
        <v>1746</v>
      </c>
      <c r="X504" t="s">
        <v>1748</v>
      </c>
    </row>
    <row r="505" spans="1:24" x14ac:dyDescent="0.3">
      <c r="A505" t="s">
        <v>2312</v>
      </c>
      <c r="B505" s="2">
        <v>45889</v>
      </c>
      <c r="C505" t="s">
        <v>40</v>
      </c>
      <c r="D505" t="s">
        <v>1639</v>
      </c>
      <c r="E505" t="s">
        <v>1740</v>
      </c>
      <c r="F505" s="4">
        <v>2</v>
      </c>
      <c r="G505">
        <v>355.41</v>
      </c>
      <c r="H505">
        <v>0.13</v>
      </c>
      <c r="I505" t="s">
        <v>1812</v>
      </c>
      <c r="J505">
        <v>618.41340000000002</v>
      </c>
      <c r="K505" t="s">
        <v>41</v>
      </c>
      <c r="L505">
        <v>53</v>
      </c>
      <c r="M505" t="s">
        <v>16</v>
      </c>
      <c r="N505" t="s">
        <v>42</v>
      </c>
      <c r="O505" t="s">
        <v>43</v>
      </c>
      <c r="P505" t="s">
        <v>12</v>
      </c>
      <c r="Q505" t="s">
        <v>26</v>
      </c>
      <c r="R505" t="s">
        <v>3886</v>
      </c>
      <c r="S505" t="s">
        <v>1549</v>
      </c>
      <c r="T505" t="s">
        <v>3820</v>
      </c>
      <c r="U505" t="s">
        <v>1640</v>
      </c>
      <c r="V505" t="s">
        <v>1741</v>
      </c>
      <c r="W505" t="s">
        <v>1742</v>
      </c>
      <c r="X505" t="s">
        <v>1739</v>
      </c>
    </row>
    <row r="506" spans="1:24" x14ac:dyDescent="0.3">
      <c r="A506" t="s">
        <v>2313</v>
      </c>
      <c r="B506" s="2">
        <v>45943</v>
      </c>
      <c r="C506" t="s">
        <v>551</v>
      </c>
      <c r="D506" t="s">
        <v>1625</v>
      </c>
      <c r="E506" t="s">
        <v>1744</v>
      </c>
      <c r="F506" s="4">
        <v>3</v>
      </c>
      <c r="G506">
        <v>843.44</v>
      </c>
      <c r="H506">
        <v>0.22</v>
      </c>
      <c r="I506" t="s">
        <v>1807</v>
      </c>
      <c r="J506">
        <v>1973.6496</v>
      </c>
      <c r="K506" t="s">
        <v>552</v>
      </c>
      <c r="L506">
        <v>36</v>
      </c>
      <c r="M506" t="s">
        <v>16</v>
      </c>
      <c r="N506" t="s">
        <v>553</v>
      </c>
      <c r="O506" t="s">
        <v>234</v>
      </c>
      <c r="P506" t="s">
        <v>12</v>
      </c>
      <c r="Q506" t="s">
        <v>13</v>
      </c>
      <c r="R506" t="s">
        <v>3877</v>
      </c>
      <c r="S506" t="s">
        <v>1541</v>
      </c>
      <c r="T506" t="s">
        <v>3878</v>
      </c>
      <c r="U506" t="s">
        <v>1626</v>
      </c>
      <c r="V506" t="s">
        <v>1745</v>
      </c>
      <c r="W506" t="s">
        <v>1746</v>
      </c>
      <c r="X506" t="s">
        <v>1748</v>
      </c>
    </row>
    <row r="507" spans="1:24" x14ac:dyDescent="0.3">
      <c r="A507" t="s">
        <v>2314</v>
      </c>
      <c r="B507" s="2">
        <v>45306</v>
      </c>
      <c r="C507" t="s">
        <v>539</v>
      </c>
      <c r="D507" t="s">
        <v>1721</v>
      </c>
      <c r="E507" t="s">
        <v>1740</v>
      </c>
      <c r="F507" s="4">
        <v>1</v>
      </c>
      <c r="G507">
        <v>301.60000000000002</v>
      </c>
      <c r="H507">
        <v>0.27</v>
      </c>
      <c r="I507" t="s">
        <v>1807</v>
      </c>
      <c r="J507">
        <v>220.16800000000001</v>
      </c>
      <c r="K507" t="s">
        <v>540</v>
      </c>
      <c r="L507">
        <v>39</v>
      </c>
      <c r="M507" t="s">
        <v>16</v>
      </c>
      <c r="N507" t="s">
        <v>541</v>
      </c>
      <c r="O507" t="s">
        <v>191</v>
      </c>
      <c r="P507" t="s">
        <v>12</v>
      </c>
      <c r="Q507" t="s">
        <v>26</v>
      </c>
      <c r="R507" t="s">
        <v>3928</v>
      </c>
      <c r="S507" t="s">
        <v>1549</v>
      </c>
      <c r="T507" t="s">
        <v>3820</v>
      </c>
      <c r="U507" t="s">
        <v>1722</v>
      </c>
      <c r="V507" t="s">
        <v>1741</v>
      </c>
      <c r="W507" t="s">
        <v>1742</v>
      </c>
      <c r="X507" t="s">
        <v>1739</v>
      </c>
    </row>
    <row r="508" spans="1:24" x14ac:dyDescent="0.3">
      <c r="A508" t="s">
        <v>2315</v>
      </c>
      <c r="B508" s="2">
        <v>45772</v>
      </c>
      <c r="C508" t="s">
        <v>163</v>
      </c>
      <c r="D508" t="s">
        <v>1709</v>
      </c>
      <c r="E508" t="s">
        <v>1744</v>
      </c>
      <c r="F508" s="4">
        <v>3</v>
      </c>
      <c r="G508">
        <v>21.59</v>
      </c>
      <c r="H508">
        <v>0.16</v>
      </c>
      <c r="I508" t="s">
        <v>1812</v>
      </c>
      <c r="J508">
        <v>54.406799999999997</v>
      </c>
      <c r="K508" t="s">
        <v>164</v>
      </c>
      <c r="L508">
        <v>45</v>
      </c>
      <c r="M508" t="s">
        <v>9</v>
      </c>
      <c r="N508" t="s">
        <v>165</v>
      </c>
      <c r="O508" t="s">
        <v>166</v>
      </c>
      <c r="P508" t="s">
        <v>12</v>
      </c>
      <c r="Q508" t="s">
        <v>19</v>
      </c>
      <c r="R508" t="s">
        <v>3922</v>
      </c>
      <c r="S508" t="s">
        <v>1541</v>
      </c>
      <c r="T508" t="s">
        <v>3878</v>
      </c>
      <c r="U508" t="s">
        <v>1710</v>
      </c>
      <c r="V508" t="s">
        <v>1745</v>
      </c>
      <c r="W508" t="s">
        <v>1746</v>
      </c>
      <c r="X508" t="s">
        <v>1748</v>
      </c>
    </row>
    <row r="509" spans="1:24" x14ac:dyDescent="0.3">
      <c r="A509" t="s">
        <v>2316</v>
      </c>
      <c r="B509" s="2">
        <v>45346</v>
      </c>
      <c r="C509" t="s">
        <v>684</v>
      </c>
      <c r="D509" t="s">
        <v>1557</v>
      </c>
      <c r="E509" t="s">
        <v>1744</v>
      </c>
      <c r="F509" s="4">
        <v>4</v>
      </c>
      <c r="G509">
        <v>284.24</v>
      </c>
      <c r="H509">
        <v>0.09</v>
      </c>
      <c r="I509" t="s">
        <v>1807</v>
      </c>
      <c r="J509">
        <v>1034.6335999999999</v>
      </c>
      <c r="K509" t="s">
        <v>685</v>
      </c>
      <c r="L509">
        <v>42</v>
      </c>
      <c r="M509" t="s">
        <v>16</v>
      </c>
      <c r="N509" t="s">
        <v>686</v>
      </c>
      <c r="O509" t="s">
        <v>74</v>
      </c>
      <c r="P509" t="s">
        <v>12</v>
      </c>
      <c r="Q509" t="s">
        <v>19</v>
      </c>
      <c r="R509" t="s">
        <v>3834</v>
      </c>
      <c r="S509" t="s">
        <v>1546</v>
      </c>
      <c r="T509" t="s">
        <v>3820</v>
      </c>
      <c r="U509" t="s">
        <v>1558</v>
      </c>
      <c r="V509" t="s">
        <v>1745</v>
      </c>
      <c r="W509" t="s">
        <v>1746</v>
      </c>
      <c r="X509" t="s">
        <v>1748</v>
      </c>
    </row>
    <row r="510" spans="1:24" x14ac:dyDescent="0.3">
      <c r="A510" t="s">
        <v>2317</v>
      </c>
      <c r="B510" s="2">
        <v>45656</v>
      </c>
      <c r="C510" t="s">
        <v>1138</v>
      </c>
      <c r="D510" t="s">
        <v>1538</v>
      </c>
      <c r="E510" t="s">
        <v>1769</v>
      </c>
      <c r="F510" s="4">
        <v>1</v>
      </c>
      <c r="G510">
        <v>191.6</v>
      </c>
      <c r="H510">
        <v>0.27</v>
      </c>
      <c r="I510" t="s">
        <v>1809</v>
      </c>
      <c r="J510">
        <v>139.86799999999999</v>
      </c>
      <c r="K510" t="s">
        <v>1139</v>
      </c>
      <c r="L510">
        <v>20</v>
      </c>
      <c r="M510" t="s">
        <v>16</v>
      </c>
      <c r="N510" t="s">
        <v>1140</v>
      </c>
      <c r="O510" t="s">
        <v>58</v>
      </c>
      <c r="P510" t="s">
        <v>12</v>
      </c>
      <c r="Q510" t="s">
        <v>19</v>
      </c>
      <c r="R510" t="s">
        <v>3880</v>
      </c>
      <c r="S510" t="s">
        <v>1541</v>
      </c>
      <c r="T510" t="s">
        <v>3881</v>
      </c>
      <c r="U510" t="s">
        <v>1630</v>
      </c>
      <c r="V510" t="s">
        <v>1770</v>
      </c>
      <c r="W510" t="s">
        <v>1746</v>
      </c>
      <c r="X510" t="s">
        <v>1739</v>
      </c>
    </row>
    <row r="511" spans="1:24" x14ac:dyDescent="0.3">
      <c r="A511" t="s">
        <v>2318</v>
      </c>
      <c r="B511" s="2">
        <v>45762</v>
      </c>
      <c r="C511" t="s">
        <v>971</v>
      </c>
      <c r="D511" t="s">
        <v>1687</v>
      </c>
      <c r="E511" t="s">
        <v>1777</v>
      </c>
      <c r="F511" s="4">
        <v>2</v>
      </c>
      <c r="G511">
        <v>616.97</v>
      </c>
      <c r="H511">
        <v>0.22</v>
      </c>
      <c r="I511" t="s">
        <v>1807</v>
      </c>
      <c r="J511">
        <v>962.47320000000002</v>
      </c>
      <c r="K511" t="s">
        <v>972</v>
      </c>
      <c r="L511">
        <v>47</v>
      </c>
      <c r="M511" t="s">
        <v>16</v>
      </c>
      <c r="N511" t="s">
        <v>973</v>
      </c>
      <c r="O511" t="s">
        <v>35</v>
      </c>
      <c r="P511" t="s">
        <v>12</v>
      </c>
      <c r="Q511" t="s">
        <v>19</v>
      </c>
      <c r="R511" t="s">
        <v>3911</v>
      </c>
      <c r="S511" t="s">
        <v>1527</v>
      </c>
      <c r="T511" t="s">
        <v>3836</v>
      </c>
      <c r="U511" t="s">
        <v>1688</v>
      </c>
      <c r="V511" t="s">
        <v>1741</v>
      </c>
      <c r="W511" t="s">
        <v>1742</v>
      </c>
      <c r="X511" t="s">
        <v>1739</v>
      </c>
    </row>
    <row r="512" spans="1:24" x14ac:dyDescent="0.3">
      <c r="A512" t="s">
        <v>2319</v>
      </c>
      <c r="B512" s="2">
        <v>45580</v>
      </c>
      <c r="C512" t="s">
        <v>554</v>
      </c>
      <c r="D512" t="s">
        <v>1587</v>
      </c>
      <c r="E512" t="s">
        <v>1772</v>
      </c>
      <c r="F512" s="4">
        <v>3</v>
      </c>
      <c r="G512">
        <v>125.68</v>
      </c>
      <c r="H512">
        <v>0.26</v>
      </c>
      <c r="I512" t="s">
        <v>1812</v>
      </c>
      <c r="J512">
        <v>279.00959999999998</v>
      </c>
      <c r="K512" t="s">
        <v>555</v>
      </c>
      <c r="L512">
        <v>64</v>
      </c>
      <c r="M512" t="s">
        <v>9</v>
      </c>
      <c r="N512" t="s">
        <v>556</v>
      </c>
      <c r="O512" t="s">
        <v>247</v>
      </c>
      <c r="P512" t="s">
        <v>12</v>
      </c>
      <c r="Q512" t="s">
        <v>19</v>
      </c>
      <c r="R512" t="s">
        <v>3855</v>
      </c>
      <c r="S512" t="s">
        <v>1549</v>
      </c>
      <c r="T512" t="s">
        <v>3820</v>
      </c>
      <c r="U512" t="s">
        <v>1588</v>
      </c>
      <c r="V512" t="s">
        <v>1741</v>
      </c>
      <c r="W512" t="s">
        <v>1742</v>
      </c>
      <c r="X512" t="s">
        <v>1739</v>
      </c>
    </row>
    <row r="513" spans="1:24" x14ac:dyDescent="0.3">
      <c r="A513" t="s">
        <v>2320</v>
      </c>
      <c r="B513" s="2">
        <v>45676</v>
      </c>
      <c r="C513" t="s">
        <v>1092</v>
      </c>
      <c r="D513" t="s">
        <v>1617</v>
      </c>
      <c r="E513" t="s">
        <v>1752</v>
      </c>
      <c r="F513" s="4">
        <v>3</v>
      </c>
      <c r="G513">
        <v>307.48</v>
      </c>
      <c r="H513">
        <v>0.24</v>
      </c>
      <c r="I513" t="s">
        <v>1807</v>
      </c>
      <c r="J513">
        <v>701.0544000000001</v>
      </c>
      <c r="K513" t="s">
        <v>1093</v>
      </c>
      <c r="L513">
        <v>56</v>
      </c>
      <c r="M513" t="s">
        <v>16</v>
      </c>
      <c r="N513" t="s">
        <v>1094</v>
      </c>
      <c r="O513" t="s">
        <v>319</v>
      </c>
      <c r="P513" t="s">
        <v>12</v>
      </c>
      <c r="Q513" t="s">
        <v>31</v>
      </c>
      <c r="R513" t="s">
        <v>3873</v>
      </c>
      <c r="S513" t="s">
        <v>1546</v>
      </c>
      <c r="T513" t="s">
        <v>3811</v>
      </c>
      <c r="U513" t="s">
        <v>1618</v>
      </c>
      <c r="V513" t="s">
        <v>1753</v>
      </c>
      <c r="W513" t="s">
        <v>1746</v>
      </c>
      <c r="X513" t="s">
        <v>1755</v>
      </c>
    </row>
    <row r="514" spans="1:24" x14ac:dyDescent="0.3">
      <c r="A514" t="s">
        <v>2321</v>
      </c>
      <c r="B514" s="2">
        <v>45495</v>
      </c>
      <c r="C514" t="s">
        <v>933</v>
      </c>
      <c r="D514" t="s">
        <v>1532</v>
      </c>
      <c r="E514" t="s">
        <v>1796</v>
      </c>
      <c r="F514" s="4">
        <v>1</v>
      </c>
      <c r="G514">
        <v>505.23</v>
      </c>
      <c r="H514">
        <v>0.11</v>
      </c>
      <c r="I514" t="s">
        <v>1807</v>
      </c>
      <c r="J514">
        <v>449.65469999999999</v>
      </c>
      <c r="K514" t="s">
        <v>934</v>
      </c>
      <c r="L514">
        <v>48</v>
      </c>
      <c r="M514" t="s">
        <v>16</v>
      </c>
      <c r="N514" t="s">
        <v>935</v>
      </c>
      <c r="O514" t="s">
        <v>429</v>
      </c>
      <c r="P514" t="s">
        <v>12</v>
      </c>
      <c r="Q514" t="s">
        <v>19</v>
      </c>
      <c r="R514" t="s">
        <v>3843</v>
      </c>
      <c r="S514" t="s">
        <v>1549</v>
      </c>
      <c r="T514" t="s">
        <v>3844</v>
      </c>
      <c r="U514" t="s">
        <v>1570</v>
      </c>
      <c r="V514" t="s">
        <v>1741</v>
      </c>
      <c r="W514" t="s">
        <v>1742</v>
      </c>
      <c r="X514" t="s">
        <v>1739</v>
      </c>
    </row>
    <row r="515" spans="1:24" x14ac:dyDescent="0.3">
      <c r="A515" t="s">
        <v>2322</v>
      </c>
      <c r="B515" s="2">
        <v>45735</v>
      </c>
      <c r="C515" t="s">
        <v>1129</v>
      </c>
      <c r="D515" t="s">
        <v>1621</v>
      </c>
      <c r="E515" t="s">
        <v>1787</v>
      </c>
      <c r="F515" s="4">
        <v>1</v>
      </c>
      <c r="G515">
        <v>853.12</v>
      </c>
      <c r="H515">
        <v>0.19</v>
      </c>
      <c r="I515" t="s">
        <v>1812</v>
      </c>
      <c r="J515">
        <v>691.02719999999999</v>
      </c>
      <c r="K515" t="s">
        <v>1130</v>
      </c>
      <c r="L515">
        <v>40</v>
      </c>
      <c r="M515" t="s">
        <v>16</v>
      </c>
      <c r="N515" t="s">
        <v>1131</v>
      </c>
      <c r="O515" t="s">
        <v>162</v>
      </c>
      <c r="P515" t="s">
        <v>12</v>
      </c>
      <c r="Q515" t="s">
        <v>19</v>
      </c>
      <c r="R515" t="s">
        <v>3875</v>
      </c>
      <c r="S515" t="s">
        <v>1549</v>
      </c>
      <c r="T515" t="s">
        <v>3859</v>
      </c>
      <c r="U515" t="s">
        <v>1622</v>
      </c>
      <c r="V515" t="s">
        <v>1741</v>
      </c>
      <c r="W515" t="s">
        <v>1742</v>
      </c>
      <c r="X515" t="s">
        <v>1739</v>
      </c>
    </row>
    <row r="516" spans="1:24" x14ac:dyDescent="0.3">
      <c r="A516" t="s">
        <v>2323</v>
      </c>
      <c r="B516" s="2">
        <v>45312</v>
      </c>
      <c r="C516" t="s">
        <v>439</v>
      </c>
      <c r="D516" t="s">
        <v>1526</v>
      </c>
      <c r="E516" t="s">
        <v>1762</v>
      </c>
      <c r="F516" s="4">
        <v>4</v>
      </c>
      <c r="G516">
        <v>191.65</v>
      </c>
      <c r="H516">
        <v>0.19</v>
      </c>
      <c r="I516" t="s">
        <v>1809</v>
      </c>
      <c r="J516">
        <v>620.94600000000003</v>
      </c>
      <c r="K516" t="s">
        <v>440</v>
      </c>
      <c r="L516">
        <v>29</v>
      </c>
      <c r="M516" t="s">
        <v>9</v>
      </c>
      <c r="N516" t="s">
        <v>441</v>
      </c>
      <c r="O516" t="s">
        <v>39</v>
      </c>
      <c r="P516" t="s">
        <v>12</v>
      </c>
      <c r="Q516" t="s">
        <v>31</v>
      </c>
      <c r="R516" t="s">
        <v>3810</v>
      </c>
      <c r="S516" t="s">
        <v>1546</v>
      </c>
      <c r="T516" t="s">
        <v>3811</v>
      </c>
      <c r="U516" t="s">
        <v>1528</v>
      </c>
      <c r="V516" t="s">
        <v>1763</v>
      </c>
      <c r="W516" t="s">
        <v>1746</v>
      </c>
      <c r="X516" t="s">
        <v>1755</v>
      </c>
    </row>
    <row r="517" spans="1:24" x14ac:dyDescent="0.3">
      <c r="A517" t="s">
        <v>2324</v>
      </c>
      <c r="B517" s="2">
        <v>45286</v>
      </c>
      <c r="C517" t="s">
        <v>530</v>
      </c>
      <c r="D517" t="s">
        <v>1625</v>
      </c>
      <c r="E517" t="s">
        <v>1749</v>
      </c>
      <c r="F517" s="4">
        <v>1</v>
      </c>
      <c r="G517">
        <v>169.69</v>
      </c>
      <c r="H517">
        <v>0.22</v>
      </c>
      <c r="I517" t="s">
        <v>1807</v>
      </c>
      <c r="J517">
        <v>132.35820000000001</v>
      </c>
      <c r="K517" t="s">
        <v>531</v>
      </c>
      <c r="L517">
        <v>18</v>
      </c>
      <c r="M517" t="s">
        <v>16</v>
      </c>
      <c r="N517" t="s">
        <v>532</v>
      </c>
      <c r="O517" t="s">
        <v>11</v>
      </c>
      <c r="P517" t="s">
        <v>12</v>
      </c>
      <c r="Q517" t="s">
        <v>19</v>
      </c>
      <c r="R517" t="s">
        <v>3877</v>
      </c>
      <c r="S517" t="s">
        <v>1541</v>
      </c>
      <c r="T517" t="s">
        <v>3878</v>
      </c>
      <c r="U517" t="s">
        <v>1626</v>
      </c>
      <c r="V517" t="s">
        <v>1750</v>
      </c>
      <c r="W517" t="s">
        <v>1742</v>
      </c>
      <c r="X517" t="s">
        <v>1748</v>
      </c>
    </row>
    <row r="518" spans="1:24" x14ac:dyDescent="0.3">
      <c r="A518" t="s">
        <v>2325</v>
      </c>
      <c r="B518" s="2">
        <v>45372</v>
      </c>
      <c r="C518" t="s">
        <v>573</v>
      </c>
      <c r="D518" t="s">
        <v>1655</v>
      </c>
      <c r="E518" t="s">
        <v>1782</v>
      </c>
      <c r="F518" s="4">
        <v>1</v>
      </c>
      <c r="G518">
        <v>145.43</v>
      </c>
      <c r="H518">
        <v>0.08</v>
      </c>
      <c r="I518" t="s">
        <v>1807</v>
      </c>
      <c r="J518">
        <v>133.79560000000001</v>
      </c>
      <c r="K518" t="s">
        <v>574</v>
      </c>
      <c r="L518">
        <v>48</v>
      </c>
      <c r="M518" t="s">
        <v>9</v>
      </c>
      <c r="N518" t="s">
        <v>575</v>
      </c>
      <c r="O518" t="s">
        <v>99</v>
      </c>
      <c r="P518" t="s">
        <v>12</v>
      </c>
      <c r="Q518" t="s">
        <v>19</v>
      </c>
      <c r="R518" t="s">
        <v>3894</v>
      </c>
      <c r="S518" t="s">
        <v>1546</v>
      </c>
      <c r="T518" t="s">
        <v>3811</v>
      </c>
      <c r="U518" t="s">
        <v>1656</v>
      </c>
      <c r="V518" t="s">
        <v>1741</v>
      </c>
      <c r="W518" t="s">
        <v>1742</v>
      </c>
      <c r="X518" t="s">
        <v>1739</v>
      </c>
    </row>
    <row r="519" spans="1:24" x14ac:dyDescent="0.3">
      <c r="A519" t="s">
        <v>2326</v>
      </c>
      <c r="B519" s="2">
        <v>45633</v>
      </c>
      <c r="C519" t="s">
        <v>301</v>
      </c>
      <c r="D519" t="s">
        <v>1717</v>
      </c>
      <c r="E519" t="s">
        <v>1777</v>
      </c>
      <c r="F519" s="4">
        <v>4</v>
      </c>
      <c r="G519">
        <v>828.35</v>
      </c>
      <c r="H519">
        <v>0.17</v>
      </c>
      <c r="I519" t="s">
        <v>1807</v>
      </c>
      <c r="J519">
        <v>2750.1219999999998</v>
      </c>
      <c r="K519" t="s">
        <v>302</v>
      </c>
      <c r="L519">
        <v>36</v>
      </c>
      <c r="M519" t="s">
        <v>9</v>
      </c>
      <c r="N519" t="s">
        <v>303</v>
      </c>
      <c r="O519" t="s">
        <v>251</v>
      </c>
      <c r="P519" t="s">
        <v>12</v>
      </c>
      <c r="Q519" t="s">
        <v>19</v>
      </c>
      <c r="R519" t="s">
        <v>3926</v>
      </c>
      <c r="S519" t="s">
        <v>1546</v>
      </c>
      <c r="T519" t="s">
        <v>3811</v>
      </c>
      <c r="U519" t="s">
        <v>1718</v>
      </c>
      <c r="V519" t="s">
        <v>1741</v>
      </c>
      <c r="W519" t="s">
        <v>1742</v>
      </c>
      <c r="X519" t="s">
        <v>1739</v>
      </c>
    </row>
    <row r="520" spans="1:24" x14ac:dyDescent="0.3">
      <c r="A520" t="s">
        <v>2327</v>
      </c>
      <c r="B520" s="2">
        <v>45598</v>
      </c>
      <c r="C520" t="s">
        <v>1121</v>
      </c>
      <c r="D520" t="s">
        <v>1721</v>
      </c>
      <c r="E520" t="s">
        <v>1762</v>
      </c>
      <c r="F520" s="4">
        <v>3</v>
      </c>
      <c r="G520">
        <v>268.76</v>
      </c>
      <c r="H520">
        <v>0.01</v>
      </c>
      <c r="I520" t="s">
        <v>1809</v>
      </c>
      <c r="J520">
        <v>798.21719999999993</v>
      </c>
      <c r="K520" t="s">
        <v>3947</v>
      </c>
      <c r="L520">
        <v>23</v>
      </c>
      <c r="M520" t="s">
        <v>9</v>
      </c>
      <c r="N520" t="s">
        <v>1122</v>
      </c>
      <c r="O520" t="s">
        <v>162</v>
      </c>
      <c r="P520" t="s">
        <v>12</v>
      </c>
      <c r="Q520" t="s">
        <v>13</v>
      </c>
      <c r="R520" t="s">
        <v>3928</v>
      </c>
      <c r="S520" t="s">
        <v>1549</v>
      </c>
      <c r="T520" t="s">
        <v>3820</v>
      </c>
      <c r="U520" t="s">
        <v>1722</v>
      </c>
      <c r="V520" t="s">
        <v>1763</v>
      </c>
      <c r="W520" t="s">
        <v>1746</v>
      </c>
      <c r="X520" t="s">
        <v>1755</v>
      </c>
    </row>
    <row r="521" spans="1:24" x14ac:dyDescent="0.3">
      <c r="A521" t="s">
        <v>2328</v>
      </c>
      <c r="B521" s="2">
        <v>45495</v>
      </c>
      <c r="C521" t="s">
        <v>743</v>
      </c>
      <c r="D521" t="s">
        <v>1707</v>
      </c>
      <c r="E521" t="s">
        <v>1735</v>
      </c>
      <c r="F521" s="4">
        <v>4</v>
      </c>
      <c r="G521">
        <v>370.09</v>
      </c>
      <c r="H521">
        <v>0.22</v>
      </c>
      <c r="I521" t="s">
        <v>1812</v>
      </c>
      <c r="J521">
        <v>1154.6808000000001</v>
      </c>
      <c r="K521" t="s">
        <v>744</v>
      </c>
      <c r="L521">
        <v>43</v>
      </c>
      <c r="M521" t="s">
        <v>16</v>
      </c>
      <c r="N521" t="s">
        <v>745</v>
      </c>
      <c r="O521" t="s">
        <v>43</v>
      </c>
      <c r="P521" t="s">
        <v>12</v>
      </c>
      <c r="Q521" t="s">
        <v>31</v>
      </c>
      <c r="R521" t="s">
        <v>3921</v>
      </c>
      <c r="S521" t="s">
        <v>1549</v>
      </c>
      <c r="T521" t="s">
        <v>3820</v>
      </c>
      <c r="U521" t="s">
        <v>1708</v>
      </c>
      <c r="V521" t="s">
        <v>1736</v>
      </c>
      <c r="W521" t="s">
        <v>1737</v>
      </c>
      <c r="X521" t="s">
        <v>1739</v>
      </c>
    </row>
    <row r="522" spans="1:24" x14ac:dyDescent="0.3">
      <c r="A522" t="s">
        <v>2329</v>
      </c>
      <c r="B522" s="2">
        <v>45229</v>
      </c>
      <c r="C522" t="s">
        <v>803</v>
      </c>
      <c r="D522" t="s">
        <v>1687</v>
      </c>
      <c r="E522" t="s">
        <v>1759</v>
      </c>
      <c r="F522" s="4">
        <v>3</v>
      </c>
      <c r="G522">
        <v>679.22</v>
      </c>
      <c r="H522">
        <v>0.11</v>
      </c>
      <c r="I522" t="s">
        <v>1809</v>
      </c>
      <c r="J522">
        <v>1813.5174</v>
      </c>
      <c r="K522" t="s">
        <v>3941</v>
      </c>
      <c r="L522">
        <v>34</v>
      </c>
      <c r="M522" t="s">
        <v>9</v>
      </c>
      <c r="N522" t="s">
        <v>804</v>
      </c>
      <c r="O522" t="s">
        <v>319</v>
      </c>
      <c r="P522" t="s">
        <v>12</v>
      </c>
      <c r="Q522" t="s">
        <v>26</v>
      </c>
      <c r="R522" t="s">
        <v>3911</v>
      </c>
      <c r="S522" t="s">
        <v>1527</v>
      </c>
      <c r="T522" t="s">
        <v>3836</v>
      </c>
      <c r="U522" t="s">
        <v>1688</v>
      </c>
      <c r="V522" t="s">
        <v>1760</v>
      </c>
      <c r="W522" t="s">
        <v>1737</v>
      </c>
      <c r="X522" t="s">
        <v>1755</v>
      </c>
    </row>
    <row r="523" spans="1:24" x14ac:dyDescent="0.3">
      <c r="A523" t="s">
        <v>2330</v>
      </c>
      <c r="B523" s="2">
        <v>45433</v>
      </c>
      <c r="C523" t="s">
        <v>1153</v>
      </c>
      <c r="D523" t="s">
        <v>1677</v>
      </c>
      <c r="E523" t="s">
        <v>1735</v>
      </c>
      <c r="F523" s="4">
        <v>3</v>
      </c>
      <c r="G523">
        <v>780.69</v>
      </c>
      <c r="H523">
        <v>0.1</v>
      </c>
      <c r="I523" t="s">
        <v>1812</v>
      </c>
      <c r="J523">
        <v>2107.8629999999998</v>
      </c>
      <c r="K523" t="s">
        <v>1154</v>
      </c>
      <c r="L523">
        <v>60</v>
      </c>
      <c r="M523" t="s">
        <v>9</v>
      </c>
      <c r="N523" t="s">
        <v>1155</v>
      </c>
      <c r="O523" t="s">
        <v>429</v>
      </c>
      <c r="P523" t="s">
        <v>12</v>
      </c>
      <c r="Q523" t="s">
        <v>13</v>
      </c>
      <c r="R523" t="s">
        <v>3906</v>
      </c>
      <c r="S523" t="s">
        <v>1549</v>
      </c>
      <c r="T523" t="s">
        <v>3859</v>
      </c>
      <c r="U523" t="s">
        <v>1678</v>
      </c>
      <c r="V523" t="s">
        <v>1736</v>
      </c>
      <c r="W523" t="s">
        <v>1737</v>
      </c>
      <c r="X523" t="s">
        <v>1739</v>
      </c>
    </row>
    <row r="524" spans="1:24" x14ac:dyDescent="0.3">
      <c r="A524" t="s">
        <v>2331</v>
      </c>
      <c r="B524" s="2">
        <v>45766</v>
      </c>
      <c r="C524" t="s">
        <v>826</v>
      </c>
      <c r="D524" t="s">
        <v>1615</v>
      </c>
      <c r="E524" t="s">
        <v>1744</v>
      </c>
      <c r="F524" s="4">
        <v>2</v>
      </c>
      <c r="G524">
        <v>42.97</v>
      </c>
      <c r="H524">
        <v>0.18</v>
      </c>
      <c r="I524" t="s">
        <v>1809</v>
      </c>
      <c r="J524">
        <v>70.470799999999997</v>
      </c>
      <c r="K524" t="s">
        <v>827</v>
      </c>
      <c r="L524">
        <v>60</v>
      </c>
      <c r="M524" t="s">
        <v>16</v>
      </c>
      <c r="N524" t="s">
        <v>828</v>
      </c>
      <c r="O524" t="s">
        <v>35</v>
      </c>
      <c r="P524" t="s">
        <v>12</v>
      </c>
      <c r="Q524" t="s">
        <v>31</v>
      </c>
      <c r="R524" t="s">
        <v>3872</v>
      </c>
      <c r="S524" t="s">
        <v>1546</v>
      </c>
      <c r="T524" t="s">
        <v>3820</v>
      </c>
      <c r="U524" t="s">
        <v>1616</v>
      </c>
      <c r="V524" t="s">
        <v>1745</v>
      </c>
      <c r="W524" t="s">
        <v>1746</v>
      </c>
      <c r="X524" t="s">
        <v>1748</v>
      </c>
    </row>
    <row r="525" spans="1:24" x14ac:dyDescent="0.3">
      <c r="A525" t="s">
        <v>2332</v>
      </c>
      <c r="B525" s="2">
        <v>45639</v>
      </c>
      <c r="C525" t="s">
        <v>900</v>
      </c>
      <c r="D525" t="s">
        <v>1695</v>
      </c>
      <c r="E525" t="s">
        <v>1735</v>
      </c>
      <c r="F525" s="4">
        <v>4</v>
      </c>
      <c r="G525">
        <v>854.37</v>
      </c>
      <c r="H525">
        <v>7.0000000000000007E-2</v>
      </c>
      <c r="I525" t="s">
        <v>1809</v>
      </c>
      <c r="J525">
        <v>3178.2564000000002</v>
      </c>
      <c r="K525" t="s">
        <v>901</v>
      </c>
      <c r="L525">
        <v>22</v>
      </c>
      <c r="M525" t="s">
        <v>16</v>
      </c>
      <c r="N525" t="s">
        <v>902</v>
      </c>
      <c r="O525" t="s">
        <v>39</v>
      </c>
      <c r="P525" t="s">
        <v>12</v>
      </c>
      <c r="Q525" t="s">
        <v>31</v>
      </c>
      <c r="R525" t="s">
        <v>3915</v>
      </c>
      <c r="S525" t="s">
        <v>1549</v>
      </c>
      <c r="T525" t="s">
        <v>3828</v>
      </c>
      <c r="U525" t="s">
        <v>1696</v>
      </c>
      <c r="V525" t="s">
        <v>1736</v>
      </c>
      <c r="W525" t="s">
        <v>1737</v>
      </c>
      <c r="X525" t="s">
        <v>1739</v>
      </c>
    </row>
    <row r="526" spans="1:24" x14ac:dyDescent="0.3">
      <c r="A526" t="s">
        <v>2333</v>
      </c>
      <c r="B526" s="2">
        <v>45774</v>
      </c>
      <c r="C526" t="s">
        <v>351</v>
      </c>
      <c r="D526" t="s">
        <v>1579</v>
      </c>
      <c r="E526" t="s">
        <v>1787</v>
      </c>
      <c r="F526" s="4">
        <v>2</v>
      </c>
      <c r="G526">
        <v>409.52</v>
      </c>
      <c r="H526">
        <v>0.06</v>
      </c>
      <c r="I526" t="s">
        <v>1812</v>
      </c>
      <c r="J526">
        <v>769.8975999999999</v>
      </c>
      <c r="K526" t="s">
        <v>352</v>
      </c>
      <c r="L526">
        <v>29</v>
      </c>
      <c r="M526" t="s">
        <v>9</v>
      </c>
      <c r="N526" t="s">
        <v>353</v>
      </c>
      <c r="O526" t="s">
        <v>354</v>
      </c>
      <c r="P526" t="s">
        <v>12</v>
      </c>
      <c r="Q526" t="s">
        <v>19</v>
      </c>
      <c r="R526" t="s">
        <v>3850</v>
      </c>
      <c r="S526" t="s">
        <v>1549</v>
      </c>
      <c r="T526" t="s">
        <v>3851</v>
      </c>
      <c r="U526" t="s">
        <v>1580</v>
      </c>
      <c r="V526" t="s">
        <v>1741</v>
      </c>
      <c r="W526" t="s">
        <v>1742</v>
      </c>
      <c r="X526" t="s">
        <v>1739</v>
      </c>
    </row>
    <row r="527" spans="1:24" x14ac:dyDescent="0.3">
      <c r="A527" t="s">
        <v>2334</v>
      </c>
      <c r="B527" s="2">
        <v>45569</v>
      </c>
      <c r="C527" t="s">
        <v>542</v>
      </c>
      <c r="D527" t="s">
        <v>1679</v>
      </c>
      <c r="E527" t="s">
        <v>1772</v>
      </c>
      <c r="F527" s="4">
        <v>2</v>
      </c>
      <c r="G527">
        <v>407.46</v>
      </c>
      <c r="H527">
        <v>0.21</v>
      </c>
      <c r="I527" t="s">
        <v>1807</v>
      </c>
      <c r="J527">
        <v>643.78679999999997</v>
      </c>
      <c r="K527" t="s">
        <v>543</v>
      </c>
      <c r="L527">
        <v>47</v>
      </c>
      <c r="M527" t="s">
        <v>16</v>
      </c>
      <c r="N527" t="s">
        <v>544</v>
      </c>
      <c r="O527" t="s">
        <v>81</v>
      </c>
      <c r="P527" t="s">
        <v>12</v>
      </c>
      <c r="Q527" t="s">
        <v>31</v>
      </c>
      <c r="R527" t="s">
        <v>3907</v>
      </c>
      <c r="S527" t="s">
        <v>1546</v>
      </c>
      <c r="T527" t="s">
        <v>3826</v>
      </c>
      <c r="U527" t="s">
        <v>1680</v>
      </c>
      <c r="V527" t="s">
        <v>1741</v>
      </c>
      <c r="W527" t="s">
        <v>1742</v>
      </c>
      <c r="X527" t="s">
        <v>1739</v>
      </c>
    </row>
    <row r="528" spans="1:24" x14ac:dyDescent="0.3">
      <c r="A528" t="s">
        <v>2335</v>
      </c>
      <c r="B528" s="2">
        <v>45856</v>
      </c>
      <c r="C528" t="s">
        <v>729</v>
      </c>
      <c r="D528" t="s">
        <v>1536</v>
      </c>
      <c r="E528" t="s">
        <v>1765</v>
      </c>
      <c r="F528" s="4">
        <v>1</v>
      </c>
      <c r="G528">
        <v>728.84</v>
      </c>
      <c r="H528">
        <v>0.28000000000000003</v>
      </c>
      <c r="I528" t="s">
        <v>1809</v>
      </c>
      <c r="J528">
        <v>524.76480000000004</v>
      </c>
      <c r="K528" t="s">
        <v>730</v>
      </c>
      <c r="L528">
        <v>32</v>
      </c>
      <c r="M528" t="s">
        <v>16</v>
      </c>
      <c r="N528" t="s">
        <v>390</v>
      </c>
      <c r="O528" t="s">
        <v>117</v>
      </c>
      <c r="P528" t="s">
        <v>12</v>
      </c>
      <c r="Q528" t="s">
        <v>13</v>
      </c>
      <c r="R528" t="s">
        <v>3868</v>
      </c>
      <c r="S528" t="s">
        <v>1546</v>
      </c>
      <c r="T528" t="s">
        <v>3869</v>
      </c>
      <c r="U528" t="s">
        <v>1610</v>
      </c>
      <c r="V528" t="s">
        <v>1766</v>
      </c>
      <c r="W528" t="s">
        <v>1767</v>
      </c>
      <c r="X528" t="s">
        <v>1755</v>
      </c>
    </row>
    <row r="529" spans="1:24" x14ac:dyDescent="0.3">
      <c r="A529" t="s">
        <v>2336</v>
      </c>
      <c r="B529" s="2">
        <v>45362</v>
      </c>
      <c r="C529" t="s">
        <v>1384</v>
      </c>
      <c r="D529" t="s">
        <v>1687</v>
      </c>
      <c r="E529" t="s">
        <v>1759</v>
      </c>
      <c r="F529" s="4">
        <v>4</v>
      </c>
      <c r="G529">
        <v>467.24</v>
      </c>
      <c r="H529">
        <v>0.08</v>
      </c>
      <c r="I529" t="s">
        <v>1809</v>
      </c>
      <c r="J529">
        <v>1719.4431999999999</v>
      </c>
      <c r="K529" t="s">
        <v>1385</v>
      </c>
      <c r="L529">
        <v>60</v>
      </c>
      <c r="M529" t="s">
        <v>9</v>
      </c>
      <c r="N529" t="s">
        <v>1386</v>
      </c>
      <c r="O529" t="s">
        <v>99</v>
      </c>
      <c r="P529" t="s">
        <v>12</v>
      </c>
      <c r="Q529" t="s">
        <v>19</v>
      </c>
      <c r="R529" t="s">
        <v>3911</v>
      </c>
      <c r="S529" t="s">
        <v>1527</v>
      </c>
      <c r="T529" t="s">
        <v>3836</v>
      </c>
      <c r="U529" t="s">
        <v>1688</v>
      </c>
      <c r="V529" t="s">
        <v>1760</v>
      </c>
      <c r="W529" t="s">
        <v>1737</v>
      </c>
      <c r="X529" t="s">
        <v>1755</v>
      </c>
    </row>
    <row r="530" spans="1:24" x14ac:dyDescent="0.3">
      <c r="A530" t="s">
        <v>2337</v>
      </c>
      <c r="B530" s="2">
        <v>45457</v>
      </c>
      <c r="C530" t="s">
        <v>327</v>
      </c>
      <c r="D530" t="s">
        <v>1551</v>
      </c>
      <c r="E530" t="s">
        <v>1775</v>
      </c>
      <c r="F530" s="4">
        <v>1</v>
      </c>
      <c r="G530">
        <v>57.94</v>
      </c>
      <c r="H530">
        <v>0.13</v>
      </c>
      <c r="I530" t="s">
        <v>1809</v>
      </c>
      <c r="J530">
        <v>50.407799999999988</v>
      </c>
      <c r="K530" t="s">
        <v>328</v>
      </c>
      <c r="L530">
        <v>28</v>
      </c>
      <c r="M530" t="s">
        <v>16</v>
      </c>
      <c r="N530" t="s">
        <v>329</v>
      </c>
      <c r="O530" t="s">
        <v>234</v>
      </c>
      <c r="P530" t="s">
        <v>12</v>
      </c>
      <c r="Q530" t="s">
        <v>19</v>
      </c>
      <c r="R530" t="s">
        <v>3829</v>
      </c>
      <c r="S530" t="s">
        <v>1527</v>
      </c>
      <c r="T530" t="s">
        <v>3830</v>
      </c>
      <c r="U530" t="s">
        <v>1552</v>
      </c>
      <c r="V530" t="s">
        <v>1741</v>
      </c>
      <c r="W530" t="s">
        <v>1742</v>
      </c>
      <c r="X530" t="s">
        <v>1739</v>
      </c>
    </row>
    <row r="531" spans="1:24" x14ac:dyDescent="0.3">
      <c r="A531" t="s">
        <v>2338</v>
      </c>
      <c r="B531" s="2">
        <v>45338</v>
      </c>
      <c r="C531" t="s">
        <v>1069</v>
      </c>
      <c r="D531" t="s">
        <v>1629</v>
      </c>
      <c r="E531" t="s">
        <v>1790</v>
      </c>
      <c r="F531" s="4">
        <v>1</v>
      </c>
      <c r="G531">
        <v>540.1</v>
      </c>
      <c r="H531">
        <v>0.22</v>
      </c>
      <c r="I531" t="s">
        <v>1807</v>
      </c>
      <c r="J531">
        <v>421.27800000000002</v>
      </c>
      <c r="K531" t="s">
        <v>1070</v>
      </c>
      <c r="L531">
        <v>33</v>
      </c>
      <c r="M531" t="s">
        <v>9</v>
      </c>
      <c r="N531" t="s">
        <v>1071</v>
      </c>
      <c r="O531" t="s">
        <v>230</v>
      </c>
      <c r="P531" t="s">
        <v>12</v>
      </c>
      <c r="Q531" t="s">
        <v>13</v>
      </c>
      <c r="R531" t="s">
        <v>3880</v>
      </c>
      <c r="S531" t="s">
        <v>1541</v>
      </c>
      <c r="T531" t="s">
        <v>3881</v>
      </c>
      <c r="U531" t="s">
        <v>1630</v>
      </c>
      <c r="V531" t="s">
        <v>1741</v>
      </c>
      <c r="W531" t="s">
        <v>1742</v>
      </c>
      <c r="X531" t="s">
        <v>1739</v>
      </c>
    </row>
    <row r="532" spans="1:24" x14ac:dyDescent="0.3">
      <c r="A532" t="s">
        <v>2339</v>
      </c>
      <c r="B532" s="2">
        <v>45552</v>
      </c>
      <c r="C532" t="s">
        <v>278</v>
      </c>
      <c r="D532" t="s">
        <v>1545</v>
      </c>
      <c r="E532" t="s">
        <v>1796</v>
      </c>
      <c r="F532" s="4">
        <v>4</v>
      </c>
      <c r="G532">
        <v>816.28</v>
      </c>
      <c r="H532">
        <v>0.15</v>
      </c>
      <c r="I532" t="s">
        <v>1812</v>
      </c>
      <c r="J532">
        <v>2775.3519999999999</v>
      </c>
      <c r="K532" t="s">
        <v>279</v>
      </c>
      <c r="L532">
        <v>21</v>
      </c>
      <c r="M532" t="s">
        <v>9</v>
      </c>
      <c r="N532" t="s">
        <v>280</v>
      </c>
      <c r="O532" t="s">
        <v>170</v>
      </c>
      <c r="P532" t="s">
        <v>12</v>
      </c>
      <c r="Q532" t="s">
        <v>13</v>
      </c>
      <c r="R532" t="s">
        <v>3912</v>
      </c>
      <c r="S532" t="s">
        <v>1527</v>
      </c>
      <c r="T532" t="s">
        <v>3824</v>
      </c>
      <c r="U532" t="s">
        <v>1690</v>
      </c>
      <c r="V532" t="s">
        <v>1741</v>
      </c>
      <c r="W532" t="s">
        <v>1742</v>
      </c>
      <c r="X532" t="s">
        <v>1739</v>
      </c>
    </row>
    <row r="533" spans="1:24" x14ac:dyDescent="0.3">
      <c r="A533" t="s">
        <v>2340</v>
      </c>
      <c r="B533" s="2">
        <v>45895</v>
      </c>
      <c r="C533" t="s">
        <v>583</v>
      </c>
      <c r="D533" t="s">
        <v>1615</v>
      </c>
      <c r="E533" t="s">
        <v>1765</v>
      </c>
      <c r="F533" s="4">
        <v>4</v>
      </c>
      <c r="G533">
        <v>727.49</v>
      </c>
      <c r="H533">
        <v>0.11</v>
      </c>
      <c r="I533" t="s">
        <v>1807</v>
      </c>
      <c r="J533">
        <v>2589.8643999999999</v>
      </c>
      <c r="K533" t="s">
        <v>584</v>
      </c>
      <c r="L533">
        <v>43</v>
      </c>
      <c r="M533" t="s">
        <v>16</v>
      </c>
      <c r="N533" t="s">
        <v>585</v>
      </c>
      <c r="O533" t="s">
        <v>312</v>
      </c>
      <c r="P533" t="s">
        <v>12</v>
      </c>
      <c r="Q533" t="s">
        <v>26</v>
      </c>
      <c r="R533" t="s">
        <v>3872</v>
      </c>
      <c r="S533" t="s">
        <v>1546</v>
      </c>
      <c r="T533" t="s">
        <v>3820</v>
      </c>
      <c r="U533" t="s">
        <v>1616</v>
      </c>
      <c r="V533" t="s">
        <v>1766</v>
      </c>
      <c r="W533" t="s">
        <v>1767</v>
      </c>
      <c r="X533" t="s">
        <v>1755</v>
      </c>
    </row>
    <row r="534" spans="1:24" x14ac:dyDescent="0.3">
      <c r="A534" t="s">
        <v>2341</v>
      </c>
      <c r="B534" s="2">
        <v>45447</v>
      </c>
      <c r="C534" t="s">
        <v>562</v>
      </c>
      <c r="D534" t="s">
        <v>1703</v>
      </c>
      <c r="E534" t="s">
        <v>1780</v>
      </c>
      <c r="F534" s="4">
        <v>4</v>
      </c>
      <c r="G534">
        <v>817.92</v>
      </c>
      <c r="H534">
        <v>0.21</v>
      </c>
      <c r="I534" t="s">
        <v>1807</v>
      </c>
      <c r="J534">
        <v>2584.6271999999999</v>
      </c>
      <c r="K534" t="s">
        <v>563</v>
      </c>
      <c r="L534">
        <v>41</v>
      </c>
      <c r="M534" t="s">
        <v>16</v>
      </c>
      <c r="N534" t="s">
        <v>564</v>
      </c>
      <c r="O534" t="s">
        <v>251</v>
      </c>
      <c r="P534" t="s">
        <v>12</v>
      </c>
      <c r="Q534" t="s">
        <v>19</v>
      </c>
      <c r="R534" t="s">
        <v>3919</v>
      </c>
      <c r="S534" t="s">
        <v>1527</v>
      </c>
      <c r="T534" t="s">
        <v>3830</v>
      </c>
      <c r="U534" t="s">
        <v>1704</v>
      </c>
      <c r="V534" t="s">
        <v>1741</v>
      </c>
      <c r="W534" t="s">
        <v>1742</v>
      </c>
      <c r="X534" t="s">
        <v>1739</v>
      </c>
    </row>
    <row r="535" spans="1:24" x14ac:dyDescent="0.3">
      <c r="A535" t="s">
        <v>2342</v>
      </c>
      <c r="B535" s="2">
        <v>45578</v>
      </c>
      <c r="C535" t="s">
        <v>1012</v>
      </c>
      <c r="D535" t="s">
        <v>1607</v>
      </c>
      <c r="E535" t="s">
        <v>1762</v>
      </c>
      <c r="F535" s="4">
        <v>2</v>
      </c>
      <c r="G535">
        <v>358.45</v>
      </c>
      <c r="H535">
        <v>7.0000000000000007E-2</v>
      </c>
      <c r="I535" t="s">
        <v>1812</v>
      </c>
      <c r="J535">
        <v>666.71699999999998</v>
      </c>
      <c r="K535" t="s">
        <v>1013</v>
      </c>
      <c r="L535">
        <v>58</v>
      </c>
      <c r="M535" t="s">
        <v>16</v>
      </c>
      <c r="N535" t="s">
        <v>1014</v>
      </c>
      <c r="O535" t="s">
        <v>319</v>
      </c>
      <c r="P535" t="s">
        <v>12</v>
      </c>
      <c r="Q535" t="s">
        <v>26</v>
      </c>
      <c r="R535" t="s">
        <v>3867</v>
      </c>
      <c r="S535" t="s">
        <v>1549</v>
      </c>
      <c r="T535" t="s">
        <v>3851</v>
      </c>
      <c r="U535" t="s">
        <v>1608</v>
      </c>
      <c r="V535" t="s">
        <v>1763</v>
      </c>
      <c r="W535" t="s">
        <v>1746</v>
      </c>
      <c r="X535" t="s">
        <v>1755</v>
      </c>
    </row>
    <row r="536" spans="1:24" x14ac:dyDescent="0.3">
      <c r="A536" t="s">
        <v>2343</v>
      </c>
      <c r="B536" s="2">
        <v>45697</v>
      </c>
      <c r="C536" t="s">
        <v>651</v>
      </c>
      <c r="D536" t="s">
        <v>1705</v>
      </c>
      <c r="E536" t="s">
        <v>1769</v>
      </c>
      <c r="F536" s="4">
        <v>1</v>
      </c>
      <c r="G536">
        <v>972.06</v>
      </c>
      <c r="H536">
        <v>0.3</v>
      </c>
      <c r="I536" t="s">
        <v>1812</v>
      </c>
      <c r="J536">
        <v>680.44199999999989</v>
      </c>
      <c r="K536" t="s">
        <v>652</v>
      </c>
      <c r="L536">
        <v>37</v>
      </c>
      <c r="M536" t="s">
        <v>16</v>
      </c>
      <c r="N536" t="s">
        <v>653</v>
      </c>
      <c r="O536" t="s">
        <v>155</v>
      </c>
      <c r="P536" t="s">
        <v>12</v>
      </c>
      <c r="Q536" t="s">
        <v>26</v>
      </c>
      <c r="R536" t="s">
        <v>3920</v>
      </c>
      <c r="S536" t="s">
        <v>1527</v>
      </c>
      <c r="T536" t="s">
        <v>3824</v>
      </c>
      <c r="U536" t="s">
        <v>1706</v>
      </c>
      <c r="V536" t="s">
        <v>1770</v>
      </c>
      <c r="W536" t="s">
        <v>1746</v>
      </c>
      <c r="X536" t="s">
        <v>1739</v>
      </c>
    </row>
    <row r="537" spans="1:24" x14ac:dyDescent="0.3">
      <c r="A537" t="s">
        <v>2344</v>
      </c>
      <c r="B537" s="2">
        <v>45281</v>
      </c>
      <c r="C537" t="s">
        <v>130</v>
      </c>
      <c r="D537" t="s">
        <v>1563</v>
      </c>
      <c r="E537" t="s">
        <v>1735</v>
      </c>
      <c r="F537" s="4">
        <v>1</v>
      </c>
      <c r="G537">
        <v>791.36</v>
      </c>
      <c r="H537">
        <v>0.06</v>
      </c>
      <c r="I537" t="s">
        <v>1809</v>
      </c>
      <c r="J537">
        <v>743.87839999999994</v>
      </c>
      <c r="K537" t="s">
        <v>131</v>
      </c>
      <c r="L537">
        <v>25</v>
      </c>
      <c r="M537" t="s">
        <v>9</v>
      </c>
      <c r="N537" t="s">
        <v>132</v>
      </c>
      <c r="O537" t="s">
        <v>133</v>
      </c>
      <c r="P537" t="s">
        <v>12</v>
      </c>
      <c r="Q537" t="s">
        <v>13</v>
      </c>
      <c r="R537" t="s">
        <v>3839</v>
      </c>
      <c r="S537" t="s">
        <v>1541</v>
      </c>
      <c r="T537" t="s">
        <v>3840</v>
      </c>
      <c r="U537" t="s">
        <v>1564</v>
      </c>
      <c r="V537" t="s">
        <v>1736</v>
      </c>
      <c r="W537" t="s">
        <v>1737</v>
      </c>
      <c r="X537" t="s">
        <v>1739</v>
      </c>
    </row>
    <row r="538" spans="1:24" x14ac:dyDescent="0.3">
      <c r="A538" t="s">
        <v>2345</v>
      </c>
      <c r="B538" s="2">
        <v>45855</v>
      </c>
      <c r="C538" t="s">
        <v>980</v>
      </c>
      <c r="D538" t="s">
        <v>1659</v>
      </c>
      <c r="E538" t="s">
        <v>1756</v>
      </c>
      <c r="F538" s="4">
        <v>4</v>
      </c>
      <c r="G538">
        <v>839.65</v>
      </c>
      <c r="H538">
        <v>0.26</v>
      </c>
      <c r="I538" t="s">
        <v>1812</v>
      </c>
      <c r="J538">
        <v>2485.364</v>
      </c>
      <c r="K538" t="s">
        <v>981</v>
      </c>
      <c r="L538">
        <v>49</v>
      </c>
      <c r="M538" t="s">
        <v>9</v>
      </c>
      <c r="N538" t="s">
        <v>982</v>
      </c>
      <c r="O538" t="s">
        <v>74</v>
      </c>
      <c r="P538" t="s">
        <v>12</v>
      </c>
      <c r="Q538" t="s">
        <v>31</v>
      </c>
      <c r="R538" t="s">
        <v>3896</v>
      </c>
      <c r="S538" t="s">
        <v>1541</v>
      </c>
      <c r="T538" t="s">
        <v>3878</v>
      </c>
      <c r="U538" t="s">
        <v>1660</v>
      </c>
      <c r="V538" t="s">
        <v>1757</v>
      </c>
      <c r="W538" t="s">
        <v>1742</v>
      </c>
      <c r="X538" t="s">
        <v>1748</v>
      </c>
    </row>
    <row r="539" spans="1:24" x14ac:dyDescent="0.3">
      <c r="A539" t="s">
        <v>2346</v>
      </c>
      <c r="B539" s="2">
        <v>45793</v>
      </c>
      <c r="C539" t="s">
        <v>808</v>
      </c>
      <c r="D539" t="s">
        <v>1675</v>
      </c>
      <c r="E539" t="s">
        <v>1744</v>
      </c>
      <c r="F539" s="4">
        <v>2</v>
      </c>
      <c r="G539">
        <v>245.52</v>
      </c>
      <c r="H539">
        <v>0.11</v>
      </c>
      <c r="I539" t="s">
        <v>1812</v>
      </c>
      <c r="J539">
        <v>437.0256</v>
      </c>
      <c r="K539" t="s">
        <v>809</v>
      </c>
      <c r="L539">
        <v>57</v>
      </c>
      <c r="M539" t="s">
        <v>9</v>
      </c>
      <c r="N539" t="s">
        <v>810</v>
      </c>
      <c r="O539" t="s">
        <v>25</v>
      </c>
      <c r="P539" t="s">
        <v>12</v>
      </c>
      <c r="Q539" t="s">
        <v>13</v>
      </c>
      <c r="R539" t="s">
        <v>3905</v>
      </c>
      <c r="S539" t="s">
        <v>1549</v>
      </c>
      <c r="T539" t="s">
        <v>3828</v>
      </c>
      <c r="U539" t="s">
        <v>1676</v>
      </c>
      <c r="V539" t="s">
        <v>1745</v>
      </c>
      <c r="W539" t="s">
        <v>1746</v>
      </c>
      <c r="X539" t="s">
        <v>1748</v>
      </c>
    </row>
    <row r="540" spans="1:24" x14ac:dyDescent="0.3">
      <c r="A540" t="s">
        <v>2347</v>
      </c>
      <c r="B540" s="2">
        <v>45881</v>
      </c>
      <c r="C540" t="s">
        <v>1198</v>
      </c>
      <c r="D540" t="s">
        <v>1695</v>
      </c>
      <c r="E540" t="s">
        <v>1765</v>
      </c>
      <c r="F540" s="4">
        <v>3</v>
      </c>
      <c r="G540">
        <v>787.91</v>
      </c>
      <c r="H540">
        <v>0.06</v>
      </c>
      <c r="I540" t="s">
        <v>1809</v>
      </c>
      <c r="J540">
        <v>2221.9061999999999</v>
      </c>
      <c r="K540" t="s">
        <v>1199</v>
      </c>
      <c r="L540">
        <v>50</v>
      </c>
      <c r="M540" t="s">
        <v>9</v>
      </c>
      <c r="N540" t="s">
        <v>1200</v>
      </c>
      <c r="O540" t="s">
        <v>113</v>
      </c>
      <c r="P540" t="s">
        <v>12</v>
      </c>
      <c r="Q540" t="s">
        <v>19</v>
      </c>
      <c r="R540" t="s">
        <v>3915</v>
      </c>
      <c r="S540" t="s">
        <v>1549</v>
      </c>
      <c r="T540" t="s">
        <v>3828</v>
      </c>
      <c r="U540" t="s">
        <v>1696</v>
      </c>
      <c r="V540" t="s">
        <v>1766</v>
      </c>
      <c r="W540" t="s">
        <v>1767</v>
      </c>
      <c r="X540" t="s">
        <v>1755</v>
      </c>
    </row>
    <row r="541" spans="1:24" x14ac:dyDescent="0.3">
      <c r="A541" t="s">
        <v>2348</v>
      </c>
      <c r="B541" s="2">
        <v>45890</v>
      </c>
      <c r="C541" t="s">
        <v>199</v>
      </c>
      <c r="D541" t="s">
        <v>1681</v>
      </c>
      <c r="E541" t="s">
        <v>1752</v>
      </c>
      <c r="F541" s="4">
        <v>2</v>
      </c>
      <c r="G541">
        <v>709.17</v>
      </c>
      <c r="H541">
        <v>0.22</v>
      </c>
      <c r="I541" t="s">
        <v>1807</v>
      </c>
      <c r="J541">
        <v>1106.3052</v>
      </c>
      <c r="K541" t="s">
        <v>200</v>
      </c>
      <c r="L541">
        <v>24</v>
      </c>
      <c r="M541" t="s">
        <v>9</v>
      </c>
      <c r="N541" t="s">
        <v>201</v>
      </c>
      <c r="O541" t="s">
        <v>155</v>
      </c>
      <c r="P541" t="s">
        <v>12</v>
      </c>
      <c r="Q541" t="s">
        <v>13</v>
      </c>
      <c r="R541" t="s">
        <v>3908</v>
      </c>
      <c r="S541" t="s">
        <v>1530</v>
      </c>
      <c r="T541" t="s">
        <v>3866</v>
      </c>
      <c r="U541" t="s">
        <v>1682</v>
      </c>
      <c r="V541" t="s">
        <v>1753</v>
      </c>
      <c r="W541" t="s">
        <v>1746</v>
      </c>
      <c r="X541" t="s">
        <v>1755</v>
      </c>
    </row>
    <row r="542" spans="1:24" x14ac:dyDescent="0.3">
      <c r="A542" t="s">
        <v>2349</v>
      </c>
      <c r="B542" s="2">
        <v>45251</v>
      </c>
      <c r="C542" t="s">
        <v>749</v>
      </c>
      <c r="D542" t="s">
        <v>1713</v>
      </c>
      <c r="E542" t="s">
        <v>1762</v>
      </c>
      <c r="F542" s="4">
        <v>2</v>
      </c>
      <c r="G542">
        <v>533.91999999999996</v>
      </c>
      <c r="H542">
        <v>0.13</v>
      </c>
      <c r="I542" t="s">
        <v>1807</v>
      </c>
      <c r="J542">
        <v>929.02079999999989</v>
      </c>
      <c r="K542" t="s">
        <v>750</v>
      </c>
      <c r="L542">
        <v>42</v>
      </c>
      <c r="M542" t="s">
        <v>16</v>
      </c>
      <c r="N542" t="s">
        <v>751</v>
      </c>
      <c r="O542" t="s">
        <v>92</v>
      </c>
      <c r="P542" t="s">
        <v>12</v>
      </c>
      <c r="Q542" t="s">
        <v>26</v>
      </c>
      <c r="R542" t="s">
        <v>3924</v>
      </c>
      <c r="S542" t="s">
        <v>1530</v>
      </c>
      <c r="T542" t="s">
        <v>3866</v>
      </c>
      <c r="U542" t="s">
        <v>1714</v>
      </c>
      <c r="V542" t="s">
        <v>1763</v>
      </c>
      <c r="W542" t="s">
        <v>1746</v>
      </c>
      <c r="X542" t="s">
        <v>1755</v>
      </c>
    </row>
    <row r="543" spans="1:24" x14ac:dyDescent="0.3">
      <c r="A543" t="s">
        <v>2350</v>
      </c>
      <c r="B543" s="2">
        <v>45695</v>
      </c>
      <c r="C543" t="s">
        <v>1496</v>
      </c>
      <c r="D543" t="s">
        <v>1615</v>
      </c>
      <c r="E543" t="s">
        <v>1735</v>
      </c>
      <c r="F543" s="4">
        <v>1</v>
      </c>
      <c r="G543">
        <v>878.84</v>
      </c>
      <c r="H543">
        <v>0.28000000000000003</v>
      </c>
      <c r="I543" t="s">
        <v>1812</v>
      </c>
      <c r="J543">
        <v>632.76480000000004</v>
      </c>
      <c r="K543" t="s">
        <v>1497</v>
      </c>
      <c r="L543">
        <v>28</v>
      </c>
      <c r="M543" t="s">
        <v>9</v>
      </c>
      <c r="N543" t="s">
        <v>1498</v>
      </c>
      <c r="O543" t="s">
        <v>247</v>
      </c>
      <c r="P543" t="s">
        <v>12</v>
      </c>
      <c r="Q543" t="s">
        <v>19</v>
      </c>
      <c r="R543" t="s">
        <v>3872</v>
      </c>
      <c r="S543" t="s">
        <v>1546</v>
      </c>
      <c r="T543" t="s">
        <v>3820</v>
      </c>
      <c r="U543" t="s">
        <v>1616</v>
      </c>
      <c r="V543" t="s">
        <v>1736</v>
      </c>
      <c r="W543" t="s">
        <v>1737</v>
      </c>
      <c r="X543" t="s">
        <v>1739</v>
      </c>
    </row>
    <row r="544" spans="1:24" x14ac:dyDescent="0.3">
      <c r="A544" t="s">
        <v>2351</v>
      </c>
      <c r="B544" s="2">
        <v>45287</v>
      </c>
      <c r="C544" t="s">
        <v>660</v>
      </c>
      <c r="D544" t="s">
        <v>1619</v>
      </c>
      <c r="E544" t="s">
        <v>1787</v>
      </c>
      <c r="F544" s="4">
        <v>1</v>
      </c>
      <c r="G544">
        <v>442.36</v>
      </c>
      <c r="H544">
        <v>0.14000000000000001</v>
      </c>
      <c r="I544" t="s">
        <v>1807</v>
      </c>
      <c r="J544">
        <v>380.42959999999999</v>
      </c>
      <c r="K544" t="s">
        <v>661</v>
      </c>
      <c r="L544">
        <v>44</v>
      </c>
      <c r="M544" t="s">
        <v>16</v>
      </c>
      <c r="N544" t="s">
        <v>662</v>
      </c>
      <c r="O544" t="s">
        <v>284</v>
      </c>
      <c r="P544" t="s">
        <v>12</v>
      </c>
      <c r="Q544" t="s">
        <v>19</v>
      </c>
      <c r="R544" t="s">
        <v>3874</v>
      </c>
      <c r="S544" t="s">
        <v>1549</v>
      </c>
      <c r="T544" t="s">
        <v>3828</v>
      </c>
      <c r="U544" t="s">
        <v>1620</v>
      </c>
      <c r="V544" t="s">
        <v>1741</v>
      </c>
      <c r="W544" t="s">
        <v>1742</v>
      </c>
      <c r="X544" t="s">
        <v>1739</v>
      </c>
    </row>
    <row r="545" spans="1:24" x14ac:dyDescent="0.3">
      <c r="A545" t="s">
        <v>2352</v>
      </c>
      <c r="B545" s="2">
        <v>45711</v>
      </c>
      <c r="C545" t="s">
        <v>1036</v>
      </c>
      <c r="D545" t="s">
        <v>1601</v>
      </c>
      <c r="E545" t="s">
        <v>1759</v>
      </c>
      <c r="F545" s="4">
        <v>1</v>
      </c>
      <c r="G545">
        <v>763.34</v>
      </c>
      <c r="H545">
        <v>0.11</v>
      </c>
      <c r="I545" t="s">
        <v>1812</v>
      </c>
      <c r="J545">
        <v>679.37260000000003</v>
      </c>
      <c r="K545" t="s">
        <v>1037</v>
      </c>
      <c r="L545">
        <v>50</v>
      </c>
      <c r="M545" t="s">
        <v>16</v>
      </c>
      <c r="N545" t="s">
        <v>1038</v>
      </c>
      <c r="O545" t="s">
        <v>81</v>
      </c>
      <c r="P545" t="s">
        <v>12</v>
      </c>
      <c r="Q545" t="s">
        <v>13</v>
      </c>
      <c r="R545" t="s">
        <v>3863</v>
      </c>
      <c r="S545" t="s">
        <v>1527</v>
      </c>
      <c r="T545" t="s">
        <v>3824</v>
      </c>
      <c r="U545" t="s">
        <v>1602</v>
      </c>
      <c r="V545" t="s">
        <v>1760</v>
      </c>
      <c r="W545" t="s">
        <v>1737</v>
      </c>
      <c r="X545" t="s">
        <v>1755</v>
      </c>
    </row>
    <row r="546" spans="1:24" x14ac:dyDescent="0.3">
      <c r="A546" t="s">
        <v>2353</v>
      </c>
      <c r="B546" s="2">
        <v>45842</v>
      </c>
      <c r="C546" t="s">
        <v>548</v>
      </c>
      <c r="D546" t="s">
        <v>1649</v>
      </c>
      <c r="E546" t="s">
        <v>1793</v>
      </c>
      <c r="F546" s="4">
        <v>3</v>
      </c>
      <c r="G546">
        <v>178.22</v>
      </c>
      <c r="H546">
        <v>0.15</v>
      </c>
      <c r="I546" t="s">
        <v>1812</v>
      </c>
      <c r="J546">
        <v>454.46100000000001</v>
      </c>
      <c r="K546" t="s">
        <v>549</v>
      </c>
      <c r="L546">
        <v>36</v>
      </c>
      <c r="M546" t="s">
        <v>16</v>
      </c>
      <c r="N546" t="s">
        <v>550</v>
      </c>
      <c r="O546" t="s">
        <v>155</v>
      </c>
      <c r="P546" t="s">
        <v>12</v>
      </c>
      <c r="Q546" t="s">
        <v>31</v>
      </c>
      <c r="R546" t="s">
        <v>3891</v>
      </c>
      <c r="S546" t="s">
        <v>1541</v>
      </c>
      <c r="T546" t="s">
        <v>3833</v>
      </c>
      <c r="U546" t="s">
        <v>1650</v>
      </c>
      <c r="V546" t="s">
        <v>1741</v>
      </c>
      <c r="W546" t="s">
        <v>1742</v>
      </c>
      <c r="X546" t="s">
        <v>1739</v>
      </c>
    </row>
    <row r="547" spans="1:24" x14ac:dyDescent="0.3">
      <c r="A547" t="s">
        <v>2354</v>
      </c>
      <c r="B547" s="2">
        <v>45255</v>
      </c>
      <c r="C547" t="s">
        <v>361</v>
      </c>
      <c r="D547" t="s">
        <v>1583</v>
      </c>
      <c r="E547" t="s">
        <v>1740</v>
      </c>
      <c r="F547" s="4">
        <v>4</v>
      </c>
      <c r="G547">
        <v>90.32</v>
      </c>
      <c r="H547">
        <v>0.08</v>
      </c>
      <c r="I547" t="s">
        <v>1809</v>
      </c>
      <c r="J547">
        <v>332.37759999999997</v>
      </c>
      <c r="K547" t="s">
        <v>362</v>
      </c>
      <c r="L547">
        <v>64</v>
      </c>
      <c r="M547" t="s">
        <v>9</v>
      </c>
      <c r="N547" t="s">
        <v>363</v>
      </c>
      <c r="O547" t="s">
        <v>166</v>
      </c>
      <c r="P547" t="s">
        <v>12</v>
      </c>
      <c r="Q547" t="s">
        <v>26</v>
      </c>
      <c r="R547" t="s">
        <v>3853</v>
      </c>
      <c r="S547" t="s">
        <v>1546</v>
      </c>
      <c r="T547" t="s">
        <v>3826</v>
      </c>
      <c r="U547" t="s">
        <v>1584</v>
      </c>
      <c r="V547" t="s">
        <v>1741</v>
      </c>
      <c r="W547" t="s">
        <v>1742</v>
      </c>
      <c r="X547" t="s">
        <v>1739</v>
      </c>
    </row>
    <row r="548" spans="1:24" x14ac:dyDescent="0.3">
      <c r="A548" t="s">
        <v>2355</v>
      </c>
      <c r="B548" s="2">
        <v>45695</v>
      </c>
      <c r="C548" t="s">
        <v>1168</v>
      </c>
      <c r="D548" t="s">
        <v>1551</v>
      </c>
      <c r="E548" t="s">
        <v>1759</v>
      </c>
      <c r="F548" s="4">
        <v>3</v>
      </c>
      <c r="G548">
        <v>370.93</v>
      </c>
      <c r="H548">
        <v>0</v>
      </c>
      <c r="I548" t="s">
        <v>1807</v>
      </c>
      <c r="J548">
        <v>1112.79</v>
      </c>
      <c r="K548" t="s">
        <v>1169</v>
      </c>
      <c r="L548">
        <v>34</v>
      </c>
      <c r="M548" t="s">
        <v>16</v>
      </c>
      <c r="N548" t="s">
        <v>1170</v>
      </c>
      <c r="O548" t="s">
        <v>92</v>
      </c>
      <c r="P548" t="s">
        <v>12</v>
      </c>
      <c r="Q548" t="s">
        <v>26</v>
      </c>
      <c r="R548" t="s">
        <v>3829</v>
      </c>
      <c r="S548" t="s">
        <v>1527</v>
      </c>
      <c r="T548" t="s">
        <v>3830</v>
      </c>
      <c r="U548" t="s">
        <v>1552</v>
      </c>
      <c r="V548" t="s">
        <v>1760</v>
      </c>
      <c r="W548" t="s">
        <v>1737</v>
      </c>
      <c r="X548" t="s">
        <v>1755</v>
      </c>
    </row>
    <row r="549" spans="1:24" x14ac:dyDescent="0.3">
      <c r="A549" t="s">
        <v>2356</v>
      </c>
      <c r="B549" s="2">
        <v>45281</v>
      </c>
      <c r="C549" t="s">
        <v>176</v>
      </c>
      <c r="D549" t="s">
        <v>1577</v>
      </c>
      <c r="E549" t="s">
        <v>1784</v>
      </c>
      <c r="F549" s="4">
        <v>1</v>
      </c>
      <c r="G549">
        <v>352.43</v>
      </c>
      <c r="H549">
        <v>0.14000000000000001</v>
      </c>
      <c r="I549" t="s">
        <v>1809</v>
      </c>
      <c r="J549">
        <v>303.08980000000003</v>
      </c>
      <c r="K549" t="s">
        <v>3937</v>
      </c>
      <c r="L549">
        <v>54</v>
      </c>
      <c r="M549" t="s">
        <v>16</v>
      </c>
      <c r="N549" t="s">
        <v>177</v>
      </c>
      <c r="O549" t="s">
        <v>25</v>
      </c>
      <c r="P549" t="s">
        <v>12</v>
      </c>
      <c r="Q549" t="s">
        <v>19</v>
      </c>
      <c r="R549" t="s">
        <v>3849</v>
      </c>
      <c r="S549" t="s">
        <v>1530</v>
      </c>
      <c r="T549" t="s">
        <v>3813</v>
      </c>
      <c r="U549" t="s">
        <v>1578</v>
      </c>
      <c r="V549" t="s">
        <v>1741</v>
      </c>
      <c r="W549" t="s">
        <v>1742</v>
      </c>
      <c r="X549" t="s">
        <v>1739</v>
      </c>
    </row>
    <row r="550" spans="1:24" x14ac:dyDescent="0.3">
      <c r="A550" t="s">
        <v>2357</v>
      </c>
      <c r="B550" s="2">
        <v>45295</v>
      </c>
      <c r="C550" t="s">
        <v>420</v>
      </c>
      <c r="D550" t="s">
        <v>1555</v>
      </c>
      <c r="E550" t="s">
        <v>1784</v>
      </c>
      <c r="F550" s="4">
        <v>2</v>
      </c>
      <c r="G550">
        <v>562.97</v>
      </c>
      <c r="H550">
        <v>0.2</v>
      </c>
      <c r="I550" t="s">
        <v>1807</v>
      </c>
      <c r="J550">
        <v>900.75200000000007</v>
      </c>
      <c r="K550" t="s">
        <v>421</v>
      </c>
      <c r="L550">
        <v>26</v>
      </c>
      <c r="M550" t="s">
        <v>9</v>
      </c>
      <c r="N550" t="s">
        <v>422</v>
      </c>
      <c r="O550" t="s">
        <v>264</v>
      </c>
      <c r="P550" t="s">
        <v>12</v>
      </c>
      <c r="Q550" t="s">
        <v>31</v>
      </c>
      <c r="R550" t="s">
        <v>3832</v>
      </c>
      <c r="S550" t="s">
        <v>1541</v>
      </c>
      <c r="T550" t="s">
        <v>3833</v>
      </c>
      <c r="U550" t="s">
        <v>1556</v>
      </c>
      <c r="V550" t="s">
        <v>1741</v>
      </c>
      <c r="W550" t="s">
        <v>1742</v>
      </c>
      <c r="X550" t="s">
        <v>1739</v>
      </c>
    </row>
    <row r="551" spans="1:24" x14ac:dyDescent="0.3">
      <c r="A551" t="s">
        <v>2358</v>
      </c>
      <c r="B551" s="2">
        <v>45260</v>
      </c>
      <c r="C551" t="s">
        <v>521</v>
      </c>
      <c r="D551" t="s">
        <v>1641</v>
      </c>
      <c r="E551" t="s">
        <v>1762</v>
      </c>
      <c r="F551" s="4">
        <v>1</v>
      </c>
      <c r="G551">
        <v>522.85</v>
      </c>
      <c r="H551">
        <v>0.12</v>
      </c>
      <c r="I551" t="s">
        <v>1809</v>
      </c>
      <c r="J551">
        <v>460.108</v>
      </c>
      <c r="K551" t="s">
        <v>522</v>
      </c>
      <c r="L551">
        <v>43</v>
      </c>
      <c r="M551" t="s">
        <v>9</v>
      </c>
      <c r="N551" t="s">
        <v>523</v>
      </c>
      <c r="O551" t="s">
        <v>18</v>
      </c>
      <c r="P551" t="s">
        <v>12</v>
      </c>
      <c r="Q551" t="s">
        <v>19</v>
      </c>
      <c r="R551" t="s">
        <v>3887</v>
      </c>
      <c r="S551" t="s">
        <v>1527</v>
      </c>
      <c r="T551" t="s">
        <v>3836</v>
      </c>
      <c r="U551" t="s">
        <v>1642</v>
      </c>
      <c r="V551" t="s">
        <v>1763</v>
      </c>
      <c r="W551" t="s">
        <v>1746</v>
      </c>
      <c r="X551" t="s">
        <v>1755</v>
      </c>
    </row>
    <row r="552" spans="1:24" x14ac:dyDescent="0.3">
      <c r="A552" t="s">
        <v>2359</v>
      </c>
      <c r="B552" s="2">
        <v>45851</v>
      </c>
      <c r="C552" t="s">
        <v>1083</v>
      </c>
      <c r="D552" t="s">
        <v>1573</v>
      </c>
      <c r="E552" t="s">
        <v>1787</v>
      </c>
      <c r="F552" s="4">
        <v>4</v>
      </c>
      <c r="G552">
        <v>714.89</v>
      </c>
      <c r="H552">
        <v>0.15</v>
      </c>
      <c r="I552" t="s">
        <v>1807</v>
      </c>
      <c r="J552">
        <v>2430.6260000000002</v>
      </c>
      <c r="K552" t="s">
        <v>1084</v>
      </c>
      <c r="L552">
        <v>26</v>
      </c>
      <c r="M552" t="s">
        <v>9</v>
      </c>
      <c r="N552" t="s">
        <v>1085</v>
      </c>
      <c r="O552" t="s">
        <v>162</v>
      </c>
      <c r="P552" t="s">
        <v>12</v>
      </c>
      <c r="Q552" t="s">
        <v>26</v>
      </c>
      <c r="R552" t="s">
        <v>3846</v>
      </c>
      <c r="S552" t="s">
        <v>1527</v>
      </c>
      <c r="T552" t="s">
        <v>3847</v>
      </c>
      <c r="U552" t="s">
        <v>1574</v>
      </c>
      <c r="V552" t="s">
        <v>1741</v>
      </c>
      <c r="W552" t="s">
        <v>1742</v>
      </c>
      <c r="X552" t="s">
        <v>1739</v>
      </c>
    </row>
    <row r="553" spans="1:24" x14ac:dyDescent="0.3">
      <c r="A553" t="s">
        <v>2360</v>
      </c>
      <c r="B553" s="2">
        <v>45222</v>
      </c>
      <c r="C553" t="s">
        <v>610</v>
      </c>
      <c r="D553" t="s">
        <v>1617</v>
      </c>
      <c r="E553" t="s">
        <v>1744</v>
      </c>
      <c r="F553" s="4">
        <v>3</v>
      </c>
      <c r="G553">
        <v>137.77000000000001</v>
      </c>
      <c r="H553">
        <v>0.26</v>
      </c>
      <c r="I553" t="s">
        <v>1809</v>
      </c>
      <c r="J553">
        <v>305.84940000000012</v>
      </c>
      <c r="K553" t="s">
        <v>611</v>
      </c>
      <c r="L553">
        <v>42</v>
      </c>
      <c r="M553" t="s">
        <v>9</v>
      </c>
      <c r="N553" t="s">
        <v>612</v>
      </c>
      <c r="O553" t="s">
        <v>22</v>
      </c>
      <c r="P553" t="s">
        <v>12</v>
      </c>
      <c r="Q553" t="s">
        <v>19</v>
      </c>
      <c r="R553" t="s">
        <v>3873</v>
      </c>
      <c r="S553" t="s">
        <v>1546</v>
      </c>
      <c r="T553" t="s">
        <v>3811</v>
      </c>
      <c r="U553" t="s">
        <v>1618</v>
      </c>
      <c r="V553" t="s">
        <v>1745</v>
      </c>
      <c r="W553" t="s">
        <v>1746</v>
      </c>
      <c r="X553" t="s">
        <v>1748</v>
      </c>
    </row>
    <row r="554" spans="1:24" x14ac:dyDescent="0.3">
      <c r="A554" t="s">
        <v>2361</v>
      </c>
      <c r="B554" s="2">
        <v>45940</v>
      </c>
      <c r="C554" t="s">
        <v>114</v>
      </c>
      <c r="D554" t="s">
        <v>1715</v>
      </c>
      <c r="E554" t="s">
        <v>1775</v>
      </c>
      <c r="F554" s="4">
        <v>3</v>
      </c>
      <c r="G554">
        <v>862.18</v>
      </c>
      <c r="H554">
        <v>0.22</v>
      </c>
      <c r="I554" t="s">
        <v>1809</v>
      </c>
      <c r="J554">
        <v>2017.5011999999999</v>
      </c>
      <c r="K554" t="s">
        <v>115</v>
      </c>
      <c r="L554">
        <v>27</v>
      </c>
      <c r="M554" t="s">
        <v>16</v>
      </c>
      <c r="N554" t="s">
        <v>116</v>
      </c>
      <c r="O554" t="s">
        <v>117</v>
      </c>
      <c r="P554" t="s">
        <v>12</v>
      </c>
      <c r="Q554" t="s">
        <v>19</v>
      </c>
      <c r="R554" t="s">
        <v>3925</v>
      </c>
      <c r="S554" t="s">
        <v>1527</v>
      </c>
      <c r="T554" t="s">
        <v>3838</v>
      </c>
      <c r="U554" t="s">
        <v>1716</v>
      </c>
      <c r="V554" t="s">
        <v>1741</v>
      </c>
      <c r="W554" t="s">
        <v>1742</v>
      </c>
      <c r="X554" t="s">
        <v>1739</v>
      </c>
    </row>
    <row r="555" spans="1:24" x14ac:dyDescent="0.3">
      <c r="A555" t="s">
        <v>2362</v>
      </c>
      <c r="B555" s="2">
        <v>45822</v>
      </c>
      <c r="C555" t="s">
        <v>211</v>
      </c>
      <c r="D555" t="s">
        <v>1607</v>
      </c>
      <c r="E555" t="s">
        <v>1782</v>
      </c>
      <c r="F555" s="4">
        <v>2</v>
      </c>
      <c r="G555">
        <v>833.64</v>
      </c>
      <c r="H555">
        <v>0.24</v>
      </c>
      <c r="I555" t="s">
        <v>1809</v>
      </c>
      <c r="J555">
        <v>1267.1328000000001</v>
      </c>
      <c r="K555" t="s">
        <v>212</v>
      </c>
      <c r="L555">
        <v>51</v>
      </c>
      <c r="M555" t="s">
        <v>9</v>
      </c>
      <c r="N555" t="s">
        <v>213</v>
      </c>
      <c r="O555" t="s">
        <v>214</v>
      </c>
      <c r="P555" t="s">
        <v>12</v>
      </c>
      <c r="Q555" t="s">
        <v>19</v>
      </c>
      <c r="R555" t="s">
        <v>3867</v>
      </c>
      <c r="S555" t="s">
        <v>1549</v>
      </c>
      <c r="T555" t="s">
        <v>3851</v>
      </c>
      <c r="U555" t="s">
        <v>1608</v>
      </c>
      <c r="V555" t="s">
        <v>1741</v>
      </c>
      <c r="W555" t="s">
        <v>1742</v>
      </c>
      <c r="X555" t="s">
        <v>1739</v>
      </c>
    </row>
    <row r="556" spans="1:24" x14ac:dyDescent="0.3">
      <c r="A556" t="s">
        <v>2363</v>
      </c>
      <c r="B556" s="2">
        <v>45752</v>
      </c>
      <c r="C556" t="s">
        <v>853</v>
      </c>
      <c r="D556" t="s">
        <v>1569</v>
      </c>
      <c r="E556" t="s">
        <v>1784</v>
      </c>
      <c r="F556" s="4">
        <v>3</v>
      </c>
      <c r="G556">
        <v>543.22</v>
      </c>
      <c r="H556">
        <v>0.05</v>
      </c>
      <c r="I556" t="s">
        <v>1812</v>
      </c>
      <c r="J556">
        <v>1548.1769999999999</v>
      </c>
      <c r="K556" t="s">
        <v>854</v>
      </c>
      <c r="L556">
        <v>64</v>
      </c>
      <c r="M556" t="s">
        <v>9</v>
      </c>
      <c r="N556" t="s">
        <v>855</v>
      </c>
      <c r="O556" t="s">
        <v>323</v>
      </c>
      <c r="P556" t="s">
        <v>12</v>
      </c>
      <c r="Q556" t="s">
        <v>13</v>
      </c>
      <c r="R556" t="s">
        <v>3843</v>
      </c>
      <c r="S556" t="s">
        <v>1549</v>
      </c>
      <c r="T556" t="s">
        <v>3844</v>
      </c>
      <c r="U556" t="s">
        <v>1570</v>
      </c>
      <c r="V556" t="s">
        <v>1741</v>
      </c>
      <c r="W556" t="s">
        <v>1742</v>
      </c>
      <c r="X556" t="s">
        <v>1739</v>
      </c>
    </row>
    <row r="557" spans="1:24" x14ac:dyDescent="0.3">
      <c r="A557" t="s">
        <v>2364</v>
      </c>
      <c r="B557" s="2">
        <v>45677</v>
      </c>
      <c r="C557" t="s">
        <v>876</v>
      </c>
      <c r="D557" t="s">
        <v>1707</v>
      </c>
      <c r="E557" t="s">
        <v>1744</v>
      </c>
      <c r="F557" s="4">
        <v>3</v>
      </c>
      <c r="G557">
        <v>691.02</v>
      </c>
      <c r="H557">
        <v>0.12</v>
      </c>
      <c r="I557" t="s">
        <v>1812</v>
      </c>
      <c r="J557">
        <v>1824.2927999999999</v>
      </c>
      <c r="K557" t="s">
        <v>877</v>
      </c>
      <c r="L557">
        <v>21</v>
      </c>
      <c r="M557" t="s">
        <v>16</v>
      </c>
      <c r="N557" t="s">
        <v>878</v>
      </c>
      <c r="O557" t="s">
        <v>214</v>
      </c>
      <c r="P557" t="s">
        <v>12</v>
      </c>
      <c r="Q557" t="s">
        <v>19</v>
      </c>
      <c r="R557" t="s">
        <v>3921</v>
      </c>
      <c r="S557" t="s">
        <v>1549</v>
      </c>
      <c r="T557" t="s">
        <v>3820</v>
      </c>
      <c r="U557" t="s">
        <v>1708</v>
      </c>
      <c r="V557" t="s">
        <v>1745</v>
      </c>
      <c r="W557" t="s">
        <v>1746</v>
      </c>
      <c r="X557" t="s">
        <v>1748</v>
      </c>
    </row>
    <row r="558" spans="1:24" x14ac:dyDescent="0.3">
      <c r="A558" t="s">
        <v>2365</v>
      </c>
      <c r="B558" s="2">
        <v>45253</v>
      </c>
      <c r="C558" t="s">
        <v>310</v>
      </c>
      <c r="D558" t="s">
        <v>1703</v>
      </c>
      <c r="E558" t="s">
        <v>1790</v>
      </c>
      <c r="F558" s="4">
        <v>4</v>
      </c>
      <c r="G558">
        <v>338.73</v>
      </c>
      <c r="H558">
        <v>0.18</v>
      </c>
      <c r="I558" t="s">
        <v>1807</v>
      </c>
      <c r="J558">
        <v>1111.0344</v>
      </c>
      <c r="K558" t="s">
        <v>3939</v>
      </c>
      <c r="L558">
        <v>58</v>
      </c>
      <c r="M558" t="s">
        <v>9</v>
      </c>
      <c r="N558" t="s">
        <v>311</v>
      </c>
      <c r="O558" t="s">
        <v>312</v>
      </c>
      <c r="P558" t="s">
        <v>12</v>
      </c>
      <c r="Q558" t="s">
        <v>26</v>
      </c>
      <c r="R558" t="s">
        <v>3919</v>
      </c>
      <c r="S558" t="s">
        <v>1527</v>
      </c>
      <c r="T558" t="s">
        <v>3830</v>
      </c>
      <c r="U558" t="s">
        <v>1704</v>
      </c>
      <c r="V558" t="s">
        <v>1741</v>
      </c>
      <c r="W558" t="s">
        <v>1742</v>
      </c>
      <c r="X558" t="s">
        <v>1739</v>
      </c>
    </row>
    <row r="559" spans="1:24" x14ac:dyDescent="0.3">
      <c r="A559" t="s">
        <v>2366</v>
      </c>
      <c r="B559" s="2">
        <v>45389</v>
      </c>
      <c r="C559" t="s">
        <v>227</v>
      </c>
      <c r="D559" t="s">
        <v>1699</v>
      </c>
      <c r="E559" t="s">
        <v>1787</v>
      </c>
      <c r="F559" s="4">
        <v>3</v>
      </c>
      <c r="G559">
        <v>366.08</v>
      </c>
      <c r="H559">
        <v>0.05</v>
      </c>
      <c r="I559" t="s">
        <v>1807</v>
      </c>
      <c r="J559">
        <v>1043.328</v>
      </c>
      <c r="K559" t="s">
        <v>228</v>
      </c>
      <c r="L559">
        <v>51</v>
      </c>
      <c r="M559" t="s">
        <v>9</v>
      </c>
      <c r="N559" t="s">
        <v>229</v>
      </c>
      <c r="O559" t="s">
        <v>230</v>
      </c>
      <c r="P559" t="s">
        <v>12</v>
      </c>
      <c r="Q559" t="s">
        <v>26</v>
      </c>
      <c r="R559" t="s">
        <v>3917</v>
      </c>
      <c r="S559" t="s">
        <v>1527</v>
      </c>
      <c r="T559" t="s">
        <v>3901</v>
      </c>
      <c r="U559" t="s">
        <v>1700</v>
      </c>
      <c r="V559" t="s">
        <v>1741</v>
      </c>
      <c r="W559" t="s">
        <v>1742</v>
      </c>
      <c r="X559" t="s">
        <v>1739</v>
      </c>
    </row>
    <row r="560" spans="1:24" x14ac:dyDescent="0.3">
      <c r="A560" t="s">
        <v>2367</v>
      </c>
      <c r="B560" s="2">
        <v>45840</v>
      </c>
      <c r="C560" t="s">
        <v>367</v>
      </c>
      <c r="D560" t="s">
        <v>1557</v>
      </c>
      <c r="E560" t="s">
        <v>1780</v>
      </c>
      <c r="F560" s="4">
        <v>4</v>
      </c>
      <c r="G560">
        <v>539.48</v>
      </c>
      <c r="H560">
        <v>0.28000000000000003</v>
      </c>
      <c r="I560" t="s">
        <v>1812</v>
      </c>
      <c r="J560">
        <v>1553.7023999999999</v>
      </c>
      <c r="K560" t="s">
        <v>368</v>
      </c>
      <c r="L560">
        <v>53</v>
      </c>
      <c r="M560" t="s">
        <v>16</v>
      </c>
      <c r="N560" t="s">
        <v>369</v>
      </c>
      <c r="O560" t="s">
        <v>247</v>
      </c>
      <c r="P560" t="s">
        <v>12</v>
      </c>
      <c r="Q560" t="s">
        <v>13</v>
      </c>
      <c r="R560" t="s">
        <v>3834</v>
      </c>
      <c r="S560" t="s">
        <v>1546</v>
      </c>
      <c r="T560" t="s">
        <v>3820</v>
      </c>
      <c r="U560" t="s">
        <v>1558</v>
      </c>
      <c r="V560" t="s">
        <v>1741</v>
      </c>
      <c r="W560" t="s">
        <v>1742</v>
      </c>
      <c r="X560" t="s">
        <v>1739</v>
      </c>
    </row>
    <row r="561" spans="1:24" x14ac:dyDescent="0.3">
      <c r="A561" t="s">
        <v>2368</v>
      </c>
      <c r="B561" s="2">
        <v>45256</v>
      </c>
      <c r="C561" t="s">
        <v>1201</v>
      </c>
      <c r="D561" t="s">
        <v>1713</v>
      </c>
      <c r="E561" t="s">
        <v>1787</v>
      </c>
      <c r="F561" s="4">
        <v>1</v>
      </c>
      <c r="G561">
        <v>499.59</v>
      </c>
      <c r="H561">
        <v>0.03</v>
      </c>
      <c r="I561" t="s">
        <v>1812</v>
      </c>
      <c r="J561">
        <v>484.60230000000001</v>
      </c>
      <c r="K561" t="s">
        <v>1202</v>
      </c>
      <c r="L561">
        <v>56</v>
      </c>
      <c r="M561" t="s">
        <v>9</v>
      </c>
      <c r="N561" t="s">
        <v>1203</v>
      </c>
      <c r="O561" t="s">
        <v>70</v>
      </c>
      <c r="P561" t="s">
        <v>12</v>
      </c>
      <c r="Q561" t="s">
        <v>19</v>
      </c>
      <c r="R561" t="s">
        <v>3924</v>
      </c>
      <c r="S561" t="s">
        <v>1530</v>
      </c>
      <c r="T561" t="s">
        <v>3866</v>
      </c>
      <c r="U561" t="s">
        <v>1714</v>
      </c>
      <c r="V561" t="s">
        <v>1741</v>
      </c>
      <c r="W561" t="s">
        <v>1742</v>
      </c>
      <c r="X561" t="s">
        <v>1739</v>
      </c>
    </row>
    <row r="562" spans="1:24" x14ac:dyDescent="0.3">
      <c r="A562" t="s">
        <v>2369</v>
      </c>
      <c r="B562" s="2">
        <v>45326</v>
      </c>
      <c r="C562" t="s">
        <v>613</v>
      </c>
      <c r="D562" t="s">
        <v>1591</v>
      </c>
      <c r="E562" t="s">
        <v>1765</v>
      </c>
      <c r="F562" s="4">
        <v>3</v>
      </c>
      <c r="G562">
        <v>330.04</v>
      </c>
      <c r="H562">
        <v>0.2</v>
      </c>
      <c r="I562" t="s">
        <v>1807</v>
      </c>
      <c r="J562">
        <v>792.09600000000012</v>
      </c>
      <c r="K562" t="s">
        <v>614</v>
      </c>
      <c r="L562">
        <v>29</v>
      </c>
      <c r="M562" t="s">
        <v>9</v>
      </c>
      <c r="N562" t="s">
        <v>615</v>
      </c>
      <c r="O562" t="s">
        <v>230</v>
      </c>
      <c r="P562" t="s">
        <v>12</v>
      </c>
      <c r="Q562" t="s">
        <v>31</v>
      </c>
      <c r="R562" t="s">
        <v>3857</v>
      </c>
      <c r="S562" t="s">
        <v>1527</v>
      </c>
      <c r="T562" t="s">
        <v>3830</v>
      </c>
      <c r="U562" t="s">
        <v>1592</v>
      </c>
      <c r="V562" t="s">
        <v>1766</v>
      </c>
      <c r="W562" t="s">
        <v>1767</v>
      </c>
      <c r="X562" t="s">
        <v>1755</v>
      </c>
    </row>
    <row r="563" spans="1:24" x14ac:dyDescent="0.3">
      <c r="A563" t="s">
        <v>2370</v>
      </c>
      <c r="B563" s="2">
        <v>45459</v>
      </c>
      <c r="C563" t="s">
        <v>595</v>
      </c>
      <c r="D563" t="s">
        <v>1553</v>
      </c>
      <c r="E563" t="s">
        <v>1790</v>
      </c>
      <c r="F563" s="4">
        <v>2</v>
      </c>
      <c r="G563">
        <v>813.01</v>
      </c>
      <c r="H563">
        <v>0.06</v>
      </c>
      <c r="I563" t="s">
        <v>1809</v>
      </c>
      <c r="J563">
        <v>1528.4588000000001</v>
      </c>
      <c r="K563" t="s">
        <v>596</v>
      </c>
      <c r="L563">
        <v>18</v>
      </c>
      <c r="M563" t="s">
        <v>9</v>
      </c>
      <c r="N563" t="s">
        <v>597</v>
      </c>
      <c r="O563" t="s">
        <v>96</v>
      </c>
      <c r="P563" t="s">
        <v>12</v>
      </c>
      <c r="Q563" t="s">
        <v>31</v>
      </c>
      <c r="R563" t="s">
        <v>3831</v>
      </c>
      <c r="S563" t="s">
        <v>1546</v>
      </c>
      <c r="T563" t="s">
        <v>3820</v>
      </c>
      <c r="U563" t="s">
        <v>1554</v>
      </c>
      <c r="V563" t="s">
        <v>1741</v>
      </c>
      <c r="W563" t="s">
        <v>1742</v>
      </c>
      <c r="X563" t="s">
        <v>1739</v>
      </c>
    </row>
    <row r="564" spans="1:24" x14ac:dyDescent="0.3">
      <c r="A564" t="s">
        <v>2371</v>
      </c>
      <c r="B564" s="2">
        <v>45715</v>
      </c>
      <c r="C564" t="s">
        <v>110</v>
      </c>
      <c r="D564" t="s">
        <v>1529</v>
      </c>
      <c r="E564" t="s">
        <v>1744</v>
      </c>
      <c r="F564" s="4">
        <v>4</v>
      </c>
      <c r="G564">
        <v>204.8</v>
      </c>
      <c r="H564">
        <v>0.03</v>
      </c>
      <c r="I564" t="s">
        <v>1809</v>
      </c>
      <c r="J564">
        <v>794.62400000000002</v>
      </c>
      <c r="K564" t="s">
        <v>111</v>
      </c>
      <c r="L564">
        <v>31</v>
      </c>
      <c r="M564" t="s">
        <v>9</v>
      </c>
      <c r="N564" t="s">
        <v>112</v>
      </c>
      <c r="O564" t="s">
        <v>113</v>
      </c>
      <c r="P564" t="s">
        <v>12</v>
      </c>
      <c r="Q564" t="s">
        <v>13</v>
      </c>
      <c r="R564" t="s">
        <v>3812</v>
      </c>
      <c r="S564" t="s">
        <v>1530</v>
      </c>
      <c r="T564" t="s">
        <v>3813</v>
      </c>
      <c r="U564" t="s">
        <v>1531</v>
      </c>
      <c r="V564" t="s">
        <v>1745</v>
      </c>
      <c r="W564" t="s">
        <v>1746</v>
      </c>
      <c r="X564" t="s">
        <v>1748</v>
      </c>
    </row>
    <row r="565" spans="1:24" x14ac:dyDescent="0.3">
      <c r="A565" t="s">
        <v>2372</v>
      </c>
      <c r="B565" s="2">
        <v>45223</v>
      </c>
      <c r="C565" t="s">
        <v>55</v>
      </c>
      <c r="D565" t="s">
        <v>1534</v>
      </c>
      <c r="E565" t="s">
        <v>1749</v>
      </c>
      <c r="F565" s="4">
        <v>3</v>
      </c>
      <c r="G565">
        <v>728.32</v>
      </c>
      <c r="H565">
        <v>0.01</v>
      </c>
      <c r="I565" t="s">
        <v>1807</v>
      </c>
      <c r="J565">
        <v>2163.1104</v>
      </c>
      <c r="K565" t="s">
        <v>56</v>
      </c>
      <c r="L565">
        <v>55</v>
      </c>
      <c r="M565" t="s">
        <v>16</v>
      </c>
      <c r="N565" t="s">
        <v>57</v>
      </c>
      <c r="O565" t="s">
        <v>58</v>
      </c>
      <c r="P565" t="s">
        <v>12</v>
      </c>
      <c r="Q565" t="s">
        <v>13</v>
      </c>
      <c r="R565" t="s">
        <v>3856</v>
      </c>
      <c r="S565" t="s">
        <v>1527</v>
      </c>
      <c r="T565" t="s">
        <v>3836</v>
      </c>
      <c r="U565" t="s">
        <v>1590</v>
      </c>
      <c r="V565" t="s">
        <v>1750</v>
      </c>
      <c r="W565" t="s">
        <v>1742</v>
      </c>
      <c r="X565" t="s">
        <v>1748</v>
      </c>
    </row>
    <row r="566" spans="1:24" x14ac:dyDescent="0.3">
      <c r="A566" t="s">
        <v>2373</v>
      </c>
      <c r="B566" s="2">
        <v>45507</v>
      </c>
      <c r="C566" t="s">
        <v>1381</v>
      </c>
      <c r="D566" t="s">
        <v>1649</v>
      </c>
      <c r="E566" t="s">
        <v>1762</v>
      </c>
      <c r="F566" s="4">
        <v>3</v>
      </c>
      <c r="G566">
        <v>836.4</v>
      </c>
      <c r="H566">
        <v>0</v>
      </c>
      <c r="I566" t="s">
        <v>1807</v>
      </c>
      <c r="J566">
        <v>2509.1999999999998</v>
      </c>
      <c r="K566" t="s">
        <v>1382</v>
      </c>
      <c r="L566">
        <v>62</v>
      </c>
      <c r="M566" t="s">
        <v>16</v>
      </c>
      <c r="N566" t="s">
        <v>1383</v>
      </c>
      <c r="O566" t="s">
        <v>309</v>
      </c>
      <c r="P566" t="s">
        <v>12</v>
      </c>
      <c r="Q566" t="s">
        <v>26</v>
      </c>
      <c r="R566" t="s">
        <v>3891</v>
      </c>
      <c r="S566" t="s">
        <v>1541</v>
      </c>
      <c r="T566" t="s">
        <v>3833</v>
      </c>
      <c r="U566" t="s">
        <v>1650</v>
      </c>
      <c r="V566" t="s">
        <v>1763</v>
      </c>
      <c r="W566" t="s">
        <v>1746</v>
      </c>
      <c r="X566" t="s">
        <v>1755</v>
      </c>
    </row>
    <row r="567" spans="1:24" x14ac:dyDescent="0.3">
      <c r="A567" t="s">
        <v>2374</v>
      </c>
      <c r="B567" s="2">
        <v>45843</v>
      </c>
      <c r="C567" t="s">
        <v>497</v>
      </c>
      <c r="D567" t="s">
        <v>1711</v>
      </c>
      <c r="E567" t="s">
        <v>1777</v>
      </c>
      <c r="F567" s="4">
        <v>1</v>
      </c>
      <c r="G567">
        <v>780.16</v>
      </c>
      <c r="H567">
        <v>0.02</v>
      </c>
      <c r="I567" t="s">
        <v>1812</v>
      </c>
      <c r="J567">
        <v>764.55679999999995</v>
      </c>
      <c r="K567" t="s">
        <v>498</v>
      </c>
      <c r="L567">
        <v>24</v>
      </c>
      <c r="M567" t="s">
        <v>9</v>
      </c>
      <c r="N567" t="s">
        <v>499</v>
      </c>
      <c r="O567" t="s">
        <v>247</v>
      </c>
      <c r="P567" t="s">
        <v>12</v>
      </c>
      <c r="Q567" t="s">
        <v>19</v>
      </c>
      <c r="R567" t="s">
        <v>3923</v>
      </c>
      <c r="S567" t="s">
        <v>1546</v>
      </c>
      <c r="T567" t="s">
        <v>3820</v>
      </c>
      <c r="U567" t="s">
        <v>1712</v>
      </c>
      <c r="V567" t="s">
        <v>1741</v>
      </c>
      <c r="W567" t="s">
        <v>1742</v>
      </c>
      <c r="X567" t="s">
        <v>1739</v>
      </c>
    </row>
    <row r="568" spans="1:24" x14ac:dyDescent="0.3">
      <c r="A568" t="s">
        <v>2375</v>
      </c>
      <c r="B568" s="2">
        <v>45804</v>
      </c>
      <c r="C568" t="s">
        <v>1433</v>
      </c>
      <c r="D568" t="s">
        <v>1623</v>
      </c>
      <c r="E568" t="s">
        <v>1780</v>
      </c>
      <c r="F568" s="4">
        <v>4</v>
      </c>
      <c r="G568">
        <v>354.12</v>
      </c>
      <c r="H568">
        <v>0.06</v>
      </c>
      <c r="I568" t="s">
        <v>1809</v>
      </c>
      <c r="J568">
        <v>1331.4911999999999</v>
      </c>
      <c r="K568" t="s">
        <v>1434</v>
      </c>
      <c r="L568">
        <v>42</v>
      </c>
      <c r="M568" t="s">
        <v>9</v>
      </c>
      <c r="N568" t="s">
        <v>1435</v>
      </c>
      <c r="O568" t="s">
        <v>47</v>
      </c>
      <c r="P568" t="s">
        <v>12</v>
      </c>
      <c r="Q568" t="s">
        <v>13</v>
      </c>
      <c r="R568" t="s">
        <v>3876</v>
      </c>
      <c r="S568" t="s">
        <v>1530</v>
      </c>
      <c r="T568" t="s">
        <v>3815</v>
      </c>
      <c r="U568" t="s">
        <v>1624</v>
      </c>
      <c r="V568" t="s">
        <v>1741</v>
      </c>
      <c r="W568" t="s">
        <v>1742</v>
      </c>
      <c r="X568" t="s">
        <v>1739</v>
      </c>
    </row>
    <row r="569" spans="1:24" x14ac:dyDescent="0.3">
      <c r="A569" t="s">
        <v>2376</v>
      </c>
      <c r="B569" s="2">
        <v>45602</v>
      </c>
      <c r="C569" t="s">
        <v>1381</v>
      </c>
      <c r="D569" t="s">
        <v>1657</v>
      </c>
      <c r="E569" t="s">
        <v>1744</v>
      </c>
      <c r="F569" s="4">
        <v>4</v>
      </c>
      <c r="G569">
        <v>282.48</v>
      </c>
      <c r="H569">
        <v>0.11</v>
      </c>
      <c r="I569" t="s">
        <v>1809</v>
      </c>
      <c r="J569">
        <v>1005.6288</v>
      </c>
      <c r="K569" t="s">
        <v>1382</v>
      </c>
      <c r="L569">
        <v>62</v>
      </c>
      <c r="M569" t="s">
        <v>16</v>
      </c>
      <c r="N569" t="s">
        <v>1383</v>
      </c>
      <c r="O569" t="s">
        <v>309</v>
      </c>
      <c r="P569" t="s">
        <v>12</v>
      </c>
      <c r="Q569" t="s">
        <v>26</v>
      </c>
      <c r="R569" t="s">
        <v>3895</v>
      </c>
      <c r="S569" t="s">
        <v>1541</v>
      </c>
      <c r="T569" t="s">
        <v>3822</v>
      </c>
      <c r="U569" t="s">
        <v>1658</v>
      </c>
      <c r="V569" t="s">
        <v>1745</v>
      </c>
      <c r="W569" t="s">
        <v>1746</v>
      </c>
      <c r="X569" t="s">
        <v>1748</v>
      </c>
    </row>
    <row r="570" spans="1:24" x14ac:dyDescent="0.3">
      <c r="A570" t="s">
        <v>2377</v>
      </c>
      <c r="B570" s="2">
        <v>45446</v>
      </c>
      <c r="C570" t="s">
        <v>1021</v>
      </c>
      <c r="D570" t="s">
        <v>1571</v>
      </c>
      <c r="E570" t="s">
        <v>1759</v>
      </c>
      <c r="F570" s="4">
        <v>2</v>
      </c>
      <c r="G570">
        <v>740.68</v>
      </c>
      <c r="H570">
        <v>0.02</v>
      </c>
      <c r="I570" t="s">
        <v>1809</v>
      </c>
      <c r="J570">
        <v>1451.7328</v>
      </c>
      <c r="K570" t="s">
        <v>1022</v>
      </c>
      <c r="L570">
        <v>62</v>
      </c>
      <c r="M570" t="s">
        <v>16</v>
      </c>
      <c r="N570" t="s">
        <v>1023</v>
      </c>
      <c r="O570" t="s">
        <v>198</v>
      </c>
      <c r="P570" t="s">
        <v>12</v>
      </c>
      <c r="Q570" t="s">
        <v>19</v>
      </c>
      <c r="R570" t="s">
        <v>3845</v>
      </c>
      <c r="S570" t="s">
        <v>1549</v>
      </c>
      <c r="T570" t="s">
        <v>3820</v>
      </c>
      <c r="U570" t="s">
        <v>1572</v>
      </c>
      <c r="V570" t="s">
        <v>1760</v>
      </c>
      <c r="W570" t="s">
        <v>1737</v>
      </c>
      <c r="X570" t="s">
        <v>1755</v>
      </c>
    </row>
    <row r="571" spans="1:24" x14ac:dyDescent="0.3">
      <c r="A571" t="s">
        <v>2378</v>
      </c>
      <c r="B571" s="2">
        <v>45384</v>
      </c>
      <c r="C571" t="s">
        <v>367</v>
      </c>
      <c r="D571" t="s">
        <v>1643</v>
      </c>
      <c r="E571" t="s">
        <v>1769</v>
      </c>
      <c r="F571" s="4">
        <v>3</v>
      </c>
      <c r="G571">
        <v>600.58000000000004</v>
      </c>
      <c r="H571">
        <v>0.28999999999999998</v>
      </c>
      <c r="I571" t="s">
        <v>1812</v>
      </c>
      <c r="J571">
        <v>1279.2354</v>
      </c>
      <c r="K571" t="s">
        <v>368</v>
      </c>
      <c r="L571">
        <v>53</v>
      </c>
      <c r="M571" t="s">
        <v>16</v>
      </c>
      <c r="N571" t="s">
        <v>369</v>
      </c>
      <c r="O571" t="s">
        <v>247</v>
      </c>
      <c r="P571" t="s">
        <v>12</v>
      </c>
      <c r="Q571" t="s">
        <v>13</v>
      </c>
      <c r="R571" t="s">
        <v>3888</v>
      </c>
      <c r="S571" t="s">
        <v>1527</v>
      </c>
      <c r="T571" t="s">
        <v>3836</v>
      </c>
      <c r="U571" t="s">
        <v>1644</v>
      </c>
      <c r="V571" t="s">
        <v>1770</v>
      </c>
      <c r="W571" t="s">
        <v>1746</v>
      </c>
      <c r="X571" t="s">
        <v>1739</v>
      </c>
    </row>
    <row r="572" spans="1:24" x14ac:dyDescent="0.3">
      <c r="A572" t="s">
        <v>2379</v>
      </c>
      <c r="B572" s="2">
        <v>45348</v>
      </c>
      <c r="C572" t="s">
        <v>1406</v>
      </c>
      <c r="D572" t="s">
        <v>1661</v>
      </c>
      <c r="E572" t="s">
        <v>1749</v>
      </c>
      <c r="F572" s="4">
        <v>3</v>
      </c>
      <c r="G572">
        <v>345.58</v>
      </c>
      <c r="H572">
        <v>0.22</v>
      </c>
      <c r="I572" t="s">
        <v>1807</v>
      </c>
      <c r="J572">
        <v>808.65719999999999</v>
      </c>
      <c r="K572" t="s">
        <v>1407</v>
      </c>
      <c r="L572">
        <v>34</v>
      </c>
      <c r="M572" t="s">
        <v>16</v>
      </c>
      <c r="N572" t="s">
        <v>1408</v>
      </c>
      <c r="O572" t="s">
        <v>62</v>
      </c>
      <c r="P572" t="s">
        <v>12</v>
      </c>
      <c r="Q572" t="s">
        <v>31</v>
      </c>
      <c r="R572" t="s">
        <v>3897</v>
      </c>
      <c r="S572" t="s">
        <v>1549</v>
      </c>
      <c r="T572" t="s">
        <v>3828</v>
      </c>
      <c r="U572" t="s">
        <v>1662</v>
      </c>
      <c r="V572" t="s">
        <v>1750</v>
      </c>
      <c r="W572" t="s">
        <v>1742</v>
      </c>
      <c r="X572" t="s">
        <v>1748</v>
      </c>
    </row>
    <row r="573" spans="1:24" x14ac:dyDescent="0.3">
      <c r="A573" t="s">
        <v>2380</v>
      </c>
      <c r="B573" s="2">
        <v>45688</v>
      </c>
      <c r="C573" t="s">
        <v>894</v>
      </c>
      <c r="D573" t="s">
        <v>1567</v>
      </c>
      <c r="E573" t="s">
        <v>1775</v>
      </c>
      <c r="F573" s="4">
        <v>1</v>
      </c>
      <c r="G573">
        <v>974.52</v>
      </c>
      <c r="H573">
        <v>0.01</v>
      </c>
      <c r="I573" t="s">
        <v>1809</v>
      </c>
      <c r="J573">
        <v>964.77480000000003</v>
      </c>
      <c r="K573" t="s">
        <v>895</v>
      </c>
      <c r="L573">
        <v>46</v>
      </c>
      <c r="M573" t="s">
        <v>16</v>
      </c>
      <c r="N573" t="s">
        <v>896</v>
      </c>
      <c r="O573" t="s">
        <v>166</v>
      </c>
      <c r="P573" t="s">
        <v>12</v>
      </c>
      <c r="Q573" t="s">
        <v>13</v>
      </c>
      <c r="R573" t="s">
        <v>3842</v>
      </c>
      <c r="S573" t="s">
        <v>1530</v>
      </c>
      <c r="T573" t="s">
        <v>3818</v>
      </c>
      <c r="U573" t="s">
        <v>1568</v>
      </c>
      <c r="V573" t="s">
        <v>1741</v>
      </c>
      <c r="W573" t="s">
        <v>1742</v>
      </c>
      <c r="X573" t="s">
        <v>1739</v>
      </c>
    </row>
    <row r="574" spans="1:24" x14ac:dyDescent="0.3">
      <c r="A574" t="s">
        <v>2381</v>
      </c>
      <c r="B574" s="2">
        <v>45249</v>
      </c>
      <c r="C574" t="s">
        <v>156</v>
      </c>
      <c r="D574" t="s">
        <v>1565</v>
      </c>
      <c r="E574" t="s">
        <v>1740</v>
      </c>
      <c r="F574" s="4">
        <v>3</v>
      </c>
      <c r="G574">
        <v>282.33</v>
      </c>
      <c r="H574">
        <v>7.0000000000000007E-2</v>
      </c>
      <c r="I574" t="s">
        <v>1807</v>
      </c>
      <c r="J574">
        <v>787.70069999999998</v>
      </c>
      <c r="K574" t="s">
        <v>157</v>
      </c>
      <c r="L574">
        <v>21</v>
      </c>
      <c r="M574" t="s">
        <v>9</v>
      </c>
      <c r="N574" t="s">
        <v>158</v>
      </c>
      <c r="O574" t="s">
        <v>62</v>
      </c>
      <c r="P574" t="s">
        <v>12</v>
      </c>
      <c r="Q574" t="s">
        <v>13</v>
      </c>
      <c r="R574" t="s">
        <v>3841</v>
      </c>
      <c r="S574" t="s">
        <v>1549</v>
      </c>
      <c r="T574" t="s">
        <v>3820</v>
      </c>
      <c r="U574" t="s">
        <v>1566</v>
      </c>
      <c r="V574" t="s">
        <v>1741</v>
      </c>
      <c r="W574" t="s">
        <v>1742</v>
      </c>
      <c r="X574" t="s">
        <v>1739</v>
      </c>
    </row>
    <row r="575" spans="1:24" x14ac:dyDescent="0.3">
      <c r="A575" t="s">
        <v>2382</v>
      </c>
      <c r="B575" s="2">
        <v>45726</v>
      </c>
      <c r="C575" t="s">
        <v>1180</v>
      </c>
      <c r="D575" t="s">
        <v>1683</v>
      </c>
      <c r="E575" t="s">
        <v>1796</v>
      </c>
      <c r="F575" s="4">
        <v>4</v>
      </c>
      <c r="G575">
        <v>158.46</v>
      </c>
      <c r="H575">
        <v>0.09</v>
      </c>
      <c r="I575" t="s">
        <v>1809</v>
      </c>
      <c r="J575">
        <v>576.7944</v>
      </c>
      <c r="K575" t="s">
        <v>1181</v>
      </c>
      <c r="L575">
        <v>27</v>
      </c>
      <c r="M575" t="s">
        <v>16</v>
      </c>
      <c r="N575" t="s">
        <v>1182</v>
      </c>
      <c r="O575" t="s">
        <v>30</v>
      </c>
      <c r="P575" t="s">
        <v>12</v>
      </c>
      <c r="Q575" t="s">
        <v>13</v>
      </c>
      <c r="R575" t="s">
        <v>3909</v>
      </c>
      <c r="S575" t="s">
        <v>1546</v>
      </c>
      <c r="T575" t="s">
        <v>3811</v>
      </c>
      <c r="U575" t="s">
        <v>1684</v>
      </c>
      <c r="V575" t="s">
        <v>1741</v>
      </c>
      <c r="W575" t="s">
        <v>1742</v>
      </c>
      <c r="X575" t="s">
        <v>1739</v>
      </c>
    </row>
    <row r="576" spans="1:24" x14ac:dyDescent="0.3">
      <c r="A576" t="s">
        <v>2383</v>
      </c>
      <c r="B576" s="2">
        <v>45283</v>
      </c>
      <c r="C576" t="s">
        <v>1066</v>
      </c>
      <c r="D576" t="s">
        <v>1641</v>
      </c>
      <c r="E576" t="s">
        <v>1762</v>
      </c>
      <c r="F576" s="4">
        <v>2</v>
      </c>
      <c r="G576">
        <v>778.56</v>
      </c>
      <c r="H576">
        <v>0.11</v>
      </c>
      <c r="I576" t="s">
        <v>1812</v>
      </c>
      <c r="J576">
        <v>1385.8368</v>
      </c>
      <c r="K576" t="s">
        <v>1067</v>
      </c>
      <c r="L576">
        <v>39</v>
      </c>
      <c r="M576" t="s">
        <v>9</v>
      </c>
      <c r="N576" t="s">
        <v>1068</v>
      </c>
      <c r="O576" t="s">
        <v>284</v>
      </c>
      <c r="P576" t="s">
        <v>12</v>
      </c>
      <c r="Q576" t="s">
        <v>26</v>
      </c>
      <c r="R576" t="s">
        <v>3887</v>
      </c>
      <c r="S576" t="s">
        <v>1527</v>
      </c>
      <c r="T576" t="s">
        <v>3836</v>
      </c>
      <c r="U576" t="s">
        <v>1642</v>
      </c>
      <c r="V576" t="s">
        <v>1763</v>
      </c>
      <c r="W576" t="s">
        <v>1746</v>
      </c>
      <c r="X576" t="s">
        <v>1755</v>
      </c>
    </row>
    <row r="577" spans="1:24" x14ac:dyDescent="0.3">
      <c r="A577" t="s">
        <v>2384</v>
      </c>
      <c r="B577" s="2">
        <v>45353</v>
      </c>
      <c r="C577" t="s">
        <v>755</v>
      </c>
      <c r="D577" t="s">
        <v>1631</v>
      </c>
      <c r="E577" t="s">
        <v>1796</v>
      </c>
      <c r="F577" s="4">
        <v>4</v>
      </c>
      <c r="G577">
        <v>280.16000000000003</v>
      </c>
      <c r="H577">
        <v>0.18</v>
      </c>
      <c r="I577" t="s">
        <v>1812</v>
      </c>
      <c r="J577">
        <v>918.92480000000012</v>
      </c>
      <c r="K577" t="s">
        <v>756</v>
      </c>
      <c r="L577">
        <v>40</v>
      </c>
      <c r="M577" t="s">
        <v>9</v>
      </c>
      <c r="N577" t="s">
        <v>757</v>
      </c>
      <c r="O577" t="s">
        <v>66</v>
      </c>
      <c r="P577" t="s">
        <v>12</v>
      </c>
      <c r="Q577" t="s">
        <v>13</v>
      </c>
      <c r="R577" t="s">
        <v>3882</v>
      </c>
      <c r="S577" t="s">
        <v>1549</v>
      </c>
      <c r="T577" t="s">
        <v>3828</v>
      </c>
      <c r="U577" t="s">
        <v>1632</v>
      </c>
      <c r="V577" t="s">
        <v>1741</v>
      </c>
      <c r="W577" t="s">
        <v>1742</v>
      </c>
      <c r="X577" t="s">
        <v>1739</v>
      </c>
    </row>
    <row r="578" spans="1:24" x14ac:dyDescent="0.3">
      <c r="A578" t="s">
        <v>2385</v>
      </c>
      <c r="B578" s="2">
        <v>45592</v>
      </c>
      <c r="C578" t="s">
        <v>903</v>
      </c>
      <c r="D578" t="s">
        <v>1673</v>
      </c>
      <c r="E578" t="s">
        <v>1780</v>
      </c>
      <c r="F578" s="4">
        <v>2</v>
      </c>
      <c r="G578">
        <v>649.54999999999995</v>
      </c>
      <c r="H578">
        <v>0.28999999999999998</v>
      </c>
      <c r="I578" t="s">
        <v>1809</v>
      </c>
      <c r="J578">
        <v>922.36099999999988</v>
      </c>
      <c r="K578" t="s">
        <v>904</v>
      </c>
      <c r="L578">
        <v>58</v>
      </c>
      <c r="M578" t="s">
        <v>9</v>
      </c>
      <c r="N578" t="s">
        <v>905</v>
      </c>
      <c r="O578" t="s">
        <v>170</v>
      </c>
      <c r="P578" t="s">
        <v>12</v>
      </c>
      <c r="Q578" t="s">
        <v>13</v>
      </c>
      <c r="R578" t="s">
        <v>3904</v>
      </c>
      <c r="S578" t="s">
        <v>1541</v>
      </c>
      <c r="T578" t="s">
        <v>3833</v>
      </c>
      <c r="U578" t="s">
        <v>1674</v>
      </c>
      <c r="V578" t="s">
        <v>1741</v>
      </c>
      <c r="W578" t="s">
        <v>1742</v>
      </c>
      <c r="X578" t="s">
        <v>1739</v>
      </c>
    </row>
    <row r="579" spans="1:24" x14ac:dyDescent="0.3">
      <c r="A579" t="s">
        <v>2386</v>
      </c>
      <c r="B579" s="2">
        <v>45360</v>
      </c>
      <c r="C579" t="s">
        <v>40</v>
      </c>
      <c r="D579" t="s">
        <v>1707</v>
      </c>
      <c r="E579" t="s">
        <v>1744</v>
      </c>
      <c r="F579" s="4">
        <v>2</v>
      </c>
      <c r="G579">
        <v>994.32</v>
      </c>
      <c r="H579">
        <v>0.27</v>
      </c>
      <c r="I579" t="s">
        <v>1809</v>
      </c>
      <c r="J579">
        <v>1451.7072000000001</v>
      </c>
      <c r="K579" t="s">
        <v>41</v>
      </c>
      <c r="L579">
        <v>53</v>
      </c>
      <c r="M579" t="s">
        <v>16</v>
      </c>
      <c r="N579" t="s">
        <v>42</v>
      </c>
      <c r="O579" t="s">
        <v>43</v>
      </c>
      <c r="P579" t="s">
        <v>12</v>
      </c>
      <c r="Q579" t="s">
        <v>26</v>
      </c>
      <c r="R579" t="s">
        <v>3921</v>
      </c>
      <c r="S579" t="s">
        <v>1549</v>
      </c>
      <c r="T579" t="s">
        <v>3820</v>
      </c>
      <c r="U579" t="s">
        <v>1708</v>
      </c>
      <c r="V579" t="s">
        <v>1745</v>
      </c>
      <c r="W579" t="s">
        <v>1746</v>
      </c>
      <c r="X579" t="s">
        <v>1748</v>
      </c>
    </row>
    <row r="580" spans="1:24" x14ac:dyDescent="0.3">
      <c r="A580" t="s">
        <v>2387</v>
      </c>
      <c r="B580" s="2">
        <v>45649</v>
      </c>
      <c r="C580" t="s">
        <v>716</v>
      </c>
      <c r="D580" t="s">
        <v>1693</v>
      </c>
      <c r="E580" t="s">
        <v>1777</v>
      </c>
      <c r="F580" s="4">
        <v>1</v>
      </c>
      <c r="G580">
        <v>64.94</v>
      </c>
      <c r="H580">
        <v>0.21</v>
      </c>
      <c r="I580" t="s">
        <v>1809</v>
      </c>
      <c r="J580">
        <v>51.302599999999998</v>
      </c>
      <c r="K580" t="s">
        <v>717</v>
      </c>
      <c r="L580">
        <v>29</v>
      </c>
      <c r="M580" t="s">
        <v>9</v>
      </c>
      <c r="N580" t="s">
        <v>3958</v>
      </c>
      <c r="O580" t="s">
        <v>264</v>
      </c>
      <c r="P580" t="s">
        <v>12</v>
      </c>
      <c r="Q580" t="s">
        <v>19</v>
      </c>
      <c r="R580" t="s">
        <v>3914</v>
      </c>
      <c r="S580" t="s">
        <v>1549</v>
      </c>
      <c r="T580" t="s">
        <v>3844</v>
      </c>
      <c r="U580" t="s">
        <v>1694</v>
      </c>
      <c r="V580" t="s">
        <v>1741</v>
      </c>
      <c r="W580" t="s">
        <v>1742</v>
      </c>
      <c r="X580" t="s">
        <v>1739</v>
      </c>
    </row>
    <row r="581" spans="1:24" x14ac:dyDescent="0.3">
      <c r="A581" t="s">
        <v>2388</v>
      </c>
      <c r="B581" s="2">
        <v>45709</v>
      </c>
      <c r="C581" t="s">
        <v>459</v>
      </c>
      <c r="D581" t="s">
        <v>1609</v>
      </c>
      <c r="E581" t="s">
        <v>1762</v>
      </c>
      <c r="F581" s="4">
        <v>2</v>
      </c>
      <c r="G581">
        <v>507.66</v>
      </c>
      <c r="H581">
        <v>0</v>
      </c>
      <c r="I581" t="s">
        <v>1812</v>
      </c>
      <c r="J581">
        <v>1015.32</v>
      </c>
      <c r="K581" t="s">
        <v>460</v>
      </c>
      <c r="L581">
        <v>55</v>
      </c>
      <c r="M581" t="s">
        <v>16</v>
      </c>
      <c r="N581" t="s">
        <v>461</v>
      </c>
      <c r="O581" t="s">
        <v>70</v>
      </c>
      <c r="P581" t="s">
        <v>12</v>
      </c>
      <c r="Q581" t="s">
        <v>31</v>
      </c>
      <c r="R581" t="s">
        <v>3868</v>
      </c>
      <c r="S581" t="s">
        <v>1546</v>
      </c>
      <c r="T581" t="s">
        <v>3869</v>
      </c>
      <c r="U581" t="s">
        <v>1610</v>
      </c>
      <c r="V581" t="s">
        <v>1763</v>
      </c>
      <c r="W581" t="s">
        <v>1746</v>
      </c>
      <c r="X581" t="s">
        <v>1755</v>
      </c>
    </row>
    <row r="582" spans="1:24" x14ac:dyDescent="0.3">
      <c r="A582" t="s">
        <v>2389</v>
      </c>
      <c r="B582" s="2">
        <v>45273</v>
      </c>
      <c r="C582" t="s">
        <v>770</v>
      </c>
      <c r="D582" t="s">
        <v>1693</v>
      </c>
      <c r="E582" t="s">
        <v>1752</v>
      </c>
      <c r="F582" s="4">
        <v>4</v>
      </c>
      <c r="G582">
        <v>968.27</v>
      </c>
      <c r="H582">
        <v>0.03</v>
      </c>
      <c r="I582" t="s">
        <v>1809</v>
      </c>
      <c r="J582">
        <v>3756.8876</v>
      </c>
      <c r="K582" t="s">
        <v>771</v>
      </c>
      <c r="L582">
        <v>56</v>
      </c>
      <c r="M582" t="s">
        <v>16</v>
      </c>
      <c r="N582" t="s">
        <v>772</v>
      </c>
      <c r="O582" t="s">
        <v>166</v>
      </c>
      <c r="P582" t="s">
        <v>12</v>
      </c>
      <c r="Q582" t="s">
        <v>31</v>
      </c>
      <c r="R582" t="s">
        <v>3914</v>
      </c>
      <c r="S582" t="s">
        <v>1549</v>
      </c>
      <c r="T582" t="s">
        <v>3844</v>
      </c>
      <c r="U582" t="s">
        <v>1694</v>
      </c>
      <c r="V582" t="s">
        <v>1753</v>
      </c>
      <c r="W582" t="s">
        <v>1746</v>
      </c>
      <c r="X582" t="s">
        <v>1755</v>
      </c>
    </row>
    <row r="583" spans="1:24" x14ac:dyDescent="0.3">
      <c r="A583" t="s">
        <v>2390</v>
      </c>
      <c r="B583" s="2">
        <v>45250</v>
      </c>
      <c r="C583" t="s">
        <v>78</v>
      </c>
      <c r="D583" t="s">
        <v>1707</v>
      </c>
      <c r="E583" t="s">
        <v>1756</v>
      </c>
      <c r="F583" s="4">
        <v>4</v>
      </c>
      <c r="G583">
        <v>510.33</v>
      </c>
      <c r="H583">
        <v>0.2</v>
      </c>
      <c r="I583" t="s">
        <v>1809</v>
      </c>
      <c r="J583">
        <v>1633.056</v>
      </c>
      <c r="K583" t="s">
        <v>79</v>
      </c>
      <c r="L583">
        <v>43</v>
      </c>
      <c r="M583" t="s">
        <v>9</v>
      </c>
      <c r="N583" t="s">
        <v>80</v>
      </c>
      <c r="O583" t="s">
        <v>81</v>
      </c>
      <c r="P583" t="s">
        <v>12</v>
      </c>
      <c r="Q583" t="s">
        <v>19</v>
      </c>
      <c r="R583" t="s">
        <v>3921</v>
      </c>
      <c r="S583" t="s">
        <v>1549</v>
      </c>
      <c r="T583" t="s">
        <v>3820</v>
      </c>
      <c r="U583" t="s">
        <v>1708</v>
      </c>
      <c r="V583" t="s">
        <v>1757</v>
      </c>
      <c r="W583" t="s">
        <v>1742</v>
      </c>
      <c r="X583" t="s">
        <v>1748</v>
      </c>
    </row>
    <row r="584" spans="1:24" x14ac:dyDescent="0.3">
      <c r="A584" t="s">
        <v>2391</v>
      </c>
      <c r="B584" s="2">
        <v>45539</v>
      </c>
      <c r="C584" t="s">
        <v>55</v>
      </c>
      <c r="D584" t="s">
        <v>1619</v>
      </c>
      <c r="E584" t="s">
        <v>1796</v>
      </c>
      <c r="F584" s="4">
        <v>2</v>
      </c>
      <c r="G584">
        <v>156.72999999999999</v>
      </c>
      <c r="H584">
        <v>0.18</v>
      </c>
      <c r="I584" t="s">
        <v>1812</v>
      </c>
      <c r="J584">
        <v>257.03719999999998</v>
      </c>
      <c r="K584" t="s">
        <v>56</v>
      </c>
      <c r="L584">
        <v>55</v>
      </c>
      <c r="M584" t="s">
        <v>16</v>
      </c>
      <c r="N584" t="s">
        <v>57</v>
      </c>
      <c r="O584" t="s">
        <v>58</v>
      </c>
      <c r="P584" t="s">
        <v>12</v>
      </c>
      <c r="Q584" t="s">
        <v>13</v>
      </c>
      <c r="R584" t="s">
        <v>3874</v>
      </c>
      <c r="S584" t="s">
        <v>1549</v>
      </c>
      <c r="T584" t="s">
        <v>3828</v>
      </c>
      <c r="U584" t="s">
        <v>1620</v>
      </c>
      <c r="V584" t="s">
        <v>1741</v>
      </c>
      <c r="W584" t="s">
        <v>1742</v>
      </c>
      <c r="X584" t="s">
        <v>1739</v>
      </c>
    </row>
    <row r="585" spans="1:24" x14ac:dyDescent="0.3">
      <c r="A585" t="s">
        <v>2392</v>
      </c>
      <c r="B585" s="2">
        <v>45810</v>
      </c>
      <c r="C585" t="s">
        <v>476</v>
      </c>
      <c r="D585" t="s">
        <v>1729</v>
      </c>
      <c r="E585" t="s">
        <v>1772</v>
      </c>
      <c r="F585" s="4">
        <v>3</v>
      </c>
      <c r="G585">
        <v>53.83</v>
      </c>
      <c r="H585">
        <v>0.24</v>
      </c>
      <c r="I585" t="s">
        <v>1807</v>
      </c>
      <c r="J585">
        <v>122.7324</v>
      </c>
      <c r="K585" t="s">
        <v>477</v>
      </c>
      <c r="L585">
        <v>46</v>
      </c>
      <c r="M585" t="s">
        <v>9</v>
      </c>
      <c r="N585" t="s">
        <v>478</v>
      </c>
      <c r="O585" t="s">
        <v>66</v>
      </c>
      <c r="P585" t="s">
        <v>12</v>
      </c>
      <c r="Q585" t="s">
        <v>26</v>
      </c>
      <c r="R585" t="s">
        <v>3932</v>
      </c>
      <c r="S585" t="s">
        <v>1527</v>
      </c>
      <c r="T585" t="s">
        <v>3830</v>
      </c>
      <c r="U585" t="s">
        <v>1730</v>
      </c>
      <c r="V585" t="s">
        <v>1741</v>
      </c>
      <c r="W585" t="s">
        <v>1742</v>
      </c>
      <c r="X585" t="s">
        <v>1739</v>
      </c>
    </row>
    <row r="586" spans="1:24" x14ac:dyDescent="0.3">
      <c r="A586" t="s">
        <v>2393</v>
      </c>
      <c r="B586" s="2">
        <v>45350</v>
      </c>
      <c r="C586" t="s">
        <v>1165</v>
      </c>
      <c r="D586" t="s">
        <v>1687</v>
      </c>
      <c r="E586" t="s">
        <v>1752</v>
      </c>
      <c r="F586" s="4">
        <v>1</v>
      </c>
      <c r="G586">
        <v>34.71</v>
      </c>
      <c r="H586">
        <v>0.1</v>
      </c>
      <c r="I586" t="s">
        <v>1812</v>
      </c>
      <c r="J586">
        <v>31.239000000000001</v>
      </c>
      <c r="K586" t="s">
        <v>1166</v>
      </c>
      <c r="L586">
        <v>44</v>
      </c>
      <c r="M586" t="s">
        <v>16</v>
      </c>
      <c r="N586" t="s">
        <v>1167</v>
      </c>
      <c r="O586" t="s">
        <v>429</v>
      </c>
      <c r="P586" t="s">
        <v>12</v>
      </c>
      <c r="Q586" t="s">
        <v>13</v>
      </c>
      <c r="R586" t="s">
        <v>3911</v>
      </c>
      <c r="S586" t="s">
        <v>1527</v>
      </c>
      <c r="T586" t="s">
        <v>3836</v>
      </c>
      <c r="U586" t="s">
        <v>1688</v>
      </c>
      <c r="V586" t="s">
        <v>1753</v>
      </c>
      <c r="W586" t="s">
        <v>1746</v>
      </c>
      <c r="X586" t="s">
        <v>1755</v>
      </c>
    </row>
    <row r="587" spans="1:24" x14ac:dyDescent="0.3">
      <c r="A587" t="s">
        <v>2394</v>
      </c>
      <c r="B587" s="2">
        <v>45633</v>
      </c>
      <c r="C587" t="s">
        <v>731</v>
      </c>
      <c r="D587" t="s">
        <v>1685</v>
      </c>
      <c r="E587" t="s">
        <v>1740</v>
      </c>
      <c r="F587" s="4">
        <v>2</v>
      </c>
      <c r="G587">
        <v>829.15</v>
      </c>
      <c r="H587">
        <v>0.11</v>
      </c>
      <c r="I587" t="s">
        <v>1809</v>
      </c>
      <c r="J587">
        <v>1475.8869999999999</v>
      </c>
      <c r="K587" t="s">
        <v>732</v>
      </c>
      <c r="L587">
        <v>29</v>
      </c>
      <c r="M587" t="s">
        <v>9</v>
      </c>
      <c r="N587" t="s">
        <v>733</v>
      </c>
      <c r="O587" t="s">
        <v>139</v>
      </c>
      <c r="P587" t="s">
        <v>12</v>
      </c>
      <c r="Q587" t="s">
        <v>26</v>
      </c>
      <c r="R587" t="s">
        <v>3910</v>
      </c>
      <c r="S587" t="s">
        <v>1546</v>
      </c>
      <c r="T587" t="s">
        <v>3838</v>
      </c>
      <c r="U587" t="s">
        <v>1686</v>
      </c>
      <c r="V587" t="s">
        <v>1741</v>
      </c>
      <c r="W587" t="s">
        <v>1742</v>
      </c>
      <c r="X587" t="s">
        <v>1739</v>
      </c>
    </row>
    <row r="588" spans="1:24" x14ac:dyDescent="0.3">
      <c r="A588" t="s">
        <v>2395</v>
      </c>
      <c r="B588" s="2">
        <v>45798</v>
      </c>
      <c r="C588" t="s">
        <v>835</v>
      </c>
      <c r="D588" t="s">
        <v>1727</v>
      </c>
      <c r="E588" t="s">
        <v>1749</v>
      </c>
      <c r="F588" s="4">
        <v>2</v>
      </c>
      <c r="G588">
        <v>481.86</v>
      </c>
      <c r="H588">
        <v>0.1</v>
      </c>
      <c r="I588" t="s">
        <v>1812</v>
      </c>
      <c r="J588">
        <v>867.34800000000007</v>
      </c>
      <c r="K588" t="s">
        <v>836</v>
      </c>
      <c r="L588">
        <v>38</v>
      </c>
      <c r="M588" t="s">
        <v>9</v>
      </c>
      <c r="N588" t="s">
        <v>837</v>
      </c>
      <c r="O588" t="s">
        <v>838</v>
      </c>
      <c r="P588" t="s">
        <v>12</v>
      </c>
      <c r="Q588" t="s">
        <v>13</v>
      </c>
      <c r="R588" t="s">
        <v>3931</v>
      </c>
      <c r="S588" t="s">
        <v>1546</v>
      </c>
      <c r="T588" t="s">
        <v>3826</v>
      </c>
      <c r="U588" t="s">
        <v>1728</v>
      </c>
      <c r="V588" t="s">
        <v>1750</v>
      </c>
      <c r="W588" t="s">
        <v>1742</v>
      </c>
      <c r="X588" t="s">
        <v>1748</v>
      </c>
    </row>
    <row r="589" spans="1:24" x14ac:dyDescent="0.3">
      <c r="A589" t="s">
        <v>2396</v>
      </c>
      <c r="B589" s="2">
        <v>45354</v>
      </c>
      <c r="C589" t="s">
        <v>491</v>
      </c>
      <c r="D589" t="s">
        <v>1635</v>
      </c>
      <c r="E589" t="s">
        <v>1762</v>
      </c>
      <c r="F589" s="4">
        <v>4</v>
      </c>
      <c r="G589">
        <v>915.17</v>
      </c>
      <c r="H589">
        <v>0.19</v>
      </c>
      <c r="I589" t="s">
        <v>1812</v>
      </c>
      <c r="J589">
        <v>2965.1507999999999</v>
      </c>
      <c r="K589" t="s">
        <v>492</v>
      </c>
      <c r="L589">
        <v>42</v>
      </c>
      <c r="M589" t="s">
        <v>16</v>
      </c>
      <c r="N589" t="s">
        <v>493</v>
      </c>
      <c r="O589" t="s">
        <v>162</v>
      </c>
      <c r="P589" t="s">
        <v>12</v>
      </c>
      <c r="Q589" t="s">
        <v>19</v>
      </c>
      <c r="R589" t="s">
        <v>3884</v>
      </c>
      <c r="S589" t="s">
        <v>1549</v>
      </c>
      <c r="T589" t="s">
        <v>3859</v>
      </c>
      <c r="U589" t="s">
        <v>1636</v>
      </c>
      <c r="V589" t="s">
        <v>1763</v>
      </c>
      <c r="W589" t="s">
        <v>1746</v>
      </c>
      <c r="X589" t="s">
        <v>1755</v>
      </c>
    </row>
    <row r="590" spans="1:24" x14ac:dyDescent="0.3">
      <c r="A590" t="s">
        <v>2397</v>
      </c>
      <c r="B590" s="2">
        <v>45357</v>
      </c>
      <c r="C590" t="s">
        <v>690</v>
      </c>
      <c r="D590" t="s">
        <v>1673</v>
      </c>
      <c r="E590" t="s">
        <v>1793</v>
      </c>
      <c r="F590" s="4">
        <v>1</v>
      </c>
      <c r="G590">
        <v>250.95</v>
      </c>
      <c r="H590">
        <v>0.03</v>
      </c>
      <c r="I590" t="s">
        <v>1809</v>
      </c>
      <c r="J590">
        <v>243.42150000000001</v>
      </c>
      <c r="K590" t="s">
        <v>691</v>
      </c>
      <c r="L590">
        <v>50</v>
      </c>
      <c r="M590" t="s">
        <v>16</v>
      </c>
      <c r="N590" t="s">
        <v>692</v>
      </c>
      <c r="O590" t="s">
        <v>66</v>
      </c>
      <c r="P590" t="s">
        <v>12</v>
      </c>
      <c r="Q590" t="s">
        <v>13</v>
      </c>
      <c r="R590" t="s">
        <v>3904</v>
      </c>
      <c r="S590" t="s">
        <v>1541</v>
      </c>
      <c r="T590" t="s">
        <v>3833</v>
      </c>
      <c r="U590" t="s">
        <v>1674</v>
      </c>
      <c r="V590" t="s">
        <v>1741</v>
      </c>
      <c r="W590" t="s">
        <v>1742</v>
      </c>
      <c r="X590" t="s">
        <v>1739</v>
      </c>
    </row>
    <row r="591" spans="1:24" x14ac:dyDescent="0.3">
      <c r="A591" t="s">
        <v>2398</v>
      </c>
      <c r="B591" s="2">
        <v>45257</v>
      </c>
      <c r="C591" t="s">
        <v>1012</v>
      </c>
      <c r="D591" t="s">
        <v>1723</v>
      </c>
      <c r="E591" t="s">
        <v>1756</v>
      </c>
      <c r="F591" s="4">
        <v>3</v>
      </c>
      <c r="G591">
        <v>882.84</v>
      </c>
      <c r="H591">
        <v>0.1</v>
      </c>
      <c r="I591" t="s">
        <v>1807</v>
      </c>
      <c r="J591">
        <v>2383.6680000000001</v>
      </c>
      <c r="K591" t="s">
        <v>1013</v>
      </c>
      <c r="L591">
        <v>58</v>
      </c>
      <c r="M591" t="s">
        <v>16</v>
      </c>
      <c r="N591" t="s">
        <v>1014</v>
      </c>
      <c r="O591" t="s">
        <v>319</v>
      </c>
      <c r="P591" t="s">
        <v>12</v>
      </c>
      <c r="Q591" t="s">
        <v>26</v>
      </c>
      <c r="R591" t="s">
        <v>3929</v>
      </c>
      <c r="S591" t="s">
        <v>1530</v>
      </c>
      <c r="T591" t="s">
        <v>3815</v>
      </c>
      <c r="U591" t="s">
        <v>1724</v>
      </c>
      <c r="V591" t="s">
        <v>1757</v>
      </c>
      <c r="W591" t="s">
        <v>1742</v>
      </c>
      <c r="X591" t="s">
        <v>1748</v>
      </c>
    </row>
    <row r="592" spans="1:24" x14ac:dyDescent="0.3">
      <c r="A592" t="s">
        <v>2399</v>
      </c>
      <c r="B592" s="2">
        <v>45702</v>
      </c>
      <c r="C592" t="s">
        <v>465</v>
      </c>
      <c r="D592" t="s">
        <v>1569</v>
      </c>
      <c r="E592" t="s">
        <v>1793</v>
      </c>
      <c r="F592" s="4">
        <v>4</v>
      </c>
      <c r="G592">
        <v>573.37</v>
      </c>
      <c r="H592">
        <v>0.04</v>
      </c>
      <c r="I592" t="s">
        <v>1812</v>
      </c>
      <c r="J592">
        <v>2201.7408</v>
      </c>
      <c r="K592" t="s">
        <v>466</v>
      </c>
      <c r="L592">
        <v>32</v>
      </c>
      <c r="M592" t="s">
        <v>9</v>
      </c>
      <c r="N592" t="s">
        <v>390</v>
      </c>
      <c r="O592" t="s">
        <v>284</v>
      </c>
      <c r="P592" t="s">
        <v>12</v>
      </c>
      <c r="Q592" t="s">
        <v>13</v>
      </c>
      <c r="R592" t="s">
        <v>3843</v>
      </c>
      <c r="S592" t="s">
        <v>1549</v>
      </c>
      <c r="T592" t="s">
        <v>3844</v>
      </c>
      <c r="U592" t="s">
        <v>1570</v>
      </c>
      <c r="V592" t="s">
        <v>1741</v>
      </c>
      <c r="W592" t="s">
        <v>1742</v>
      </c>
      <c r="X592" t="s">
        <v>1739</v>
      </c>
    </row>
    <row r="593" spans="1:24" x14ac:dyDescent="0.3">
      <c r="A593" t="s">
        <v>2400</v>
      </c>
      <c r="B593" s="2">
        <v>45318</v>
      </c>
      <c r="C593" t="s">
        <v>215</v>
      </c>
      <c r="D593" t="s">
        <v>1595</v>
      </c>
      <c r="E593" t="s">
        <v>1777</v>
      </c>
      <c r="F593" s="4">
        <v>3</v>
      </c>
      <c r="G593">
        <v>622.72</v>
      </c>
      <c r="H593">
        <v>0.04</v>
      </c>
      <c r="I593" t="s">
        <v>1807</v>
      </c>
      <c r="J593">
        <v>1793.4336000000001</v>
      </c>
      <c r="K593" t="s">
        <v>216</v>
      </c>
      <c r="L593">
        <v>53</v>
      </c>
      <c r="M593" t="s">
        <v>9</v>
      </c>
      <c r="N593" t="s">
        <v>217</v>
      </c>
      <c r="O593" t="s">
        <v>139</v>
      </c>
      <c r="P593" t="s">
        <v>12</v>
      </c>
      <c r="Q593" t="s">
        <v>19</v>
      </c>
      <c r="R593" t="s">
        <v>3860</v>
      </c>
      <c r="S593" t="s">
        <v>1541</v>
      </c>
      <c r="T593" t="s">
        <v>3822</v>
      </c>
      <c r="U593" t="s">
        <v>1596</v>
      </c>
      <c r="V593" t="s">
        <v>1741</v>
      </c>
      <c r="W593" t="s">
        <v>1742</v>
      </c>
      <c r="X593" t="s">
        <v>1739</v>
      </c>
    </row>
    <row r="594" spans="1:24" x14ac:dyDescent="0.3">
      <c r="A594" t="s">
        <v>2401</v>
      </c>
      <c r="B594" s="2">
        <v>45943</v>
      </c>
      <c r="C594" t="s">
        <v>1198</v>
      </c>
      <c r="D594" t="s">
        <v>1715</v>
      </c>
      <c r="E594" t="s">
        <v>1790</v>
      </c>
      <c r="F594" s="4">
        <v>3</v>
      </c>
      <c r="G594">
        <v>259.74</v>
      </c>
      <c r="H594">
        <v>0.24</v>
      </c>
      <c r="I594" t="s">
        <v>1807</v>
      </c>
      <c r="J594">
        <v>592.20720000000006</v>
      </c>
      <c r="K594" t="s">
        <v>1199</v>
      </c>
      <c r="L594">
        <v>50</v>
      </c>
      <c r="M594" t="s">
        <v>9</v>
      </c>
      <c r="N594" t="s">
        <v>1200</v>
      </c>
      <c r="O594" t="s">
        <v>113</v>
      </c>
      <c r="P594" t="s">
        <v>12</v>
      </c>
      <c r="Q594" t="s">
        <v>19</v>
      </c>
      <c r="R594" t="s">
        <v>3925</v>
      </c>
      <c r="S594" t="s">
        <v>1527</v>
      </c>
      <c r="T594" t="s">
        <v>3838</v>
      </c>
      <c r="U594" t="s">
        <v>1716</v>
      </c>
      <c r="V594" t="s">
        <v>1741</v>
      </c>
      <c r="W594" t="s">
        <v>1742</v>
      </c>
      <c r="X594" t="s">
        <v>1739</v>
      </c>
    </row>
    <row r="595" spans="1:24" x14ac:dyDescent="0.3">
      <c r="A595" t="s">
        <v>2402</v>
      </c>
      <c r="B595" s="2">
        <v>45769</v>
      </c>
      <c r="C595" t="s">
        <v>202</v>
      </c>
      <c r="D595" t="s">
        <v>1587</v>
      </c>
      <c r="E595" t="s">
        <v>1780</v>
      </c>
      <c r="F595" s="4">
        <v>4</v>
      </c>
      <c r="G595">
        <v>951.09</v>
      </c>
      <c r="H595">
        <v>0.14000000000000001</v>
      </c>
      <c r="I595" t="s">
        <v>1812</v>
      </c>
      <c r="J595">
        <v>3271.7496000000001</v>
      </c>
      <c r="K595" t="s">
        <v>203</v>
      </c>
      <c r="L595">
        <v>56</v>
      </c>
      <c r="M595" t="s">
        <v>16</v>
      </c>
      <c r="N595" t="s">
        <v>204</v>
      </c>
      <c r="O595" t="s">
        <v>96</v>
      </c>
      <c r="P595" t="s">
        <v>12</v>
      </c>
      <c r="Q595" t="s">
        <v>19</v>
      </c>
      <c r="R595" t="s">
        <v>3855</v>
      </c>
      <c r="S595" t="s">
        <v>1549</v>
      </c>
      <c r="T595" t="s">
        <v>3820</v>
      </c>
      <c r="U595" t="s">
        <v>1588</v>
      </c>
      <c r="V595" t="s">
        <v>1741</v>
      </c>
      <c r="W595" t="s">
        <v>1742</v>
      </c>
      <c r="X595" t="s">
        <v>1739</v>
      </c>
    </row>
    <row r="596" spans="1:24" x14ac:dyDescent="0.3">
      <c r="A596" t="s">
        <v>2403</v>
      </c>
      <c r="B596" s="2">
        <v>45765</v>
      </c>
      <c r="C596" t="s">
        <v>645</v>
      </c>
      <c r="D596" t="s">
        <v>1729</v>
      </c>
      <c r="E596" t="s">
        <v>1744</v>
      </c>
      <c r="F596" s="4">
        <v>1</v>
      </c>
      <c r="G596">
        <v>71.709999999999994</v>
      </c>
      <c r="H596">
        <v>0.23</v>
      </c>
      <c r="I596" t="s">
        <v>1812</v>
      </c>
      <c r="J596">
        <v>55.216700000000003</v>
      </c>
      <c r="K596" t="s">
        <v>646</v>
      </c>
      <c r="L596">
        <v>30</v>
      </c>
      <c r="M596" t="s">
        <v>9</v>
      </c>
      <c r="N596" t="s">
        <v>647</v>
      </c>
      <c r="O596" t="s">
        <v>234</v>
      </c>
      <c r="P596" t="s">
        <v>12</v>
      </c>
      <c r="Q596" t="s">
        <v>26</v>
      </c>
      <c r="R596" t="s">
        <v>3932</v>
      </c>
      <c r="S596" t="s">
        <v>1527</v>
      </c>
      <c r="T596" t="s">
        <v>3830</v>
      </c>
      <c r="U596" t="s">
        <v>1730</v>
      </c>
      <c r="V596" t="s">
        <v>1745</v>
      </c>
      <c r="W596" t="s">
        <v>1746</v>
      </c>
      <c r="X596" t="s">
        <v>1748</v>
      </c>
    </row>
    <row r="597" spans="1:24" x14ac:dyDescent="0.3">
      <c r="A597" t="s">
        <v>2404</v>
      </c>
      <c r="B597" s="2">
        <v>45891</v>
      </c>
      <c r="C597" t="s">
        <v>568</v>
      </c>
      <c r="D597" t="s">
        <v>1571</v>
      </c>
      <c r="E597" t="s">
        <v>1762</v>
      </c>
      <c r="F597" s="4">
        <v>4</v>
      </c>
      <c r="G597">
        <v>894.93</v>
      </c>
      <c r="H597">
        <v>0.05</v>
      </c>
      <c r="I597" t="s">
        <v>1812</v>
      </c>
      <c r="J597">
        <v>3400.733999999999</v>
      </c>
      <c r="K597" t="s">
        <v>569</v>
      </c>
      <c r="L597">
        <v>26</v>
      </c>
      <c r="M597" t="s">
        <v>16</v>
      </c>
      <c r="N597" t="s">
        <v>393</v>
      </c>
      <c r="O597" t="s">
        <v>264</v>
      </c>
      <c r="P597" t="s">
        <v>12</v>
      </c>
      <c r="Q597" t="s">
        <v>19</v>
      </c>
      <c r="R597" t="s">
        <v>3845</v>
      </c>
      <c r="S597" t="s">
        <v>1549</v>
      </c>
      <c r="T597" t="s">
        <v>3820</v>
      </c>
      <c r="U597" t="s">
        <v>1572</v>
      </c>
      <c r="V597" t="s">
        <v>1763</v>
      </c>
      <c r="W597" t="s">
        <v>1746</v>
      </c>
      <c r="X597" t="s">
        <v>1755</v>
      </c>
    </row>
    <row r="598" spans="1:24" x14ac:dyDescent="0.3">
      <c r="A598" t="s">
        <v>2405</v>
      </c>
      <c r="B598" s="2">
        <v>45842</v>
      </c>
      <c r="C598" t="s">
        <v>654</v>
      </c>
      <c r="D598" t="s">
        <v>1687</v>
      </c>
      <c r="E598" t="s">
        <v>1765</v>
      </c>
      <c r="F598" s="4">
        <v>4</v>
      </c>
      <c r="G598">
        <v>870.18</v>
      </c>
      <c r="H598">
        <v>0.13</v>
      </c>
      <c r="I598" t="s">
        <v>1812</v>
      </c>
      <c r="J598">
        <v>3028.2264</v>
      </c>
      <c r="K598" t="s">
        <v>655</v>
      </c>
      <c r="L598">
        <v>47</v>
      </c>
      <c r="M598" t="s">
        <v>9</v>
      </c>
      <c r="N598" t="s">
        <v>656</v>
      </c>
      <c r="O598" t="s">
        <v>62</v>
      </c>
      <c r="P598" t="s">
        <v>12</v>
      </c>
      <c r="Q598" t="s">
        <v>19</v>
      </c>
      <c r="R598" t="s">
        <v>3911</v>
      </c>
      <c r="S598" t="s">
        <v>1527</v>
      </c>
      <c r="T598" t="s">
        <v>3836</v>
      </c>
      <c r="U598" t="s">
        <v>1688</v>
      </c>
      <c r="V598" t="s">
        <v>1766</v>
      </c>
      <c r="W598" t="s">
        <v>1767</v>
      </c>
      <c r="X598" t="s">
        <v>1755</v>
      </c>
    </row>
    <row r="599" spans="1:24" x14ac:dyDescent="0.3">
      <c r="A599" t="s">
        <v>2406</v>
      </c>
      <c r="B599" s="2">
        <v>45382</v>
      </c>
      <c r="C599" t="s">
        <v>876</v>
      </c>
      <c r="D599" t="s">
        <v>1659</v>
      </c>
      <c r="E599" t="s">
        <v>1744</v>
      </c>
      <c r="F599" s="4">
        <v>2</v>
      </c>
      <c r="G599">
        <v>552.72</v>
      </c>
      <c r="H599">
        <v>0.06</v>
      </c>
      <c r="I599" t="s">
        <v>1809</v>
      </c>
      <c r="J599">
        <v>1039.1135999999999</v>
      </c>
      <c r="K599" t="s">
        <v>877</v>
      </c>
      <c r="L599">
        <v>21</v>
      </c>
      <c r="M599" t="s">
        <v>16</v>
      </c>
      <c r="N599" t="s">
        <v>878</v>
      </c>
      <c r="O599" t="s">
        <v>214</v>
      </c>
      <c r="P599" t="s">
        <v>12</v>
      </c>
      <c r="Q599" t="s">
        <v>19</v>
      </c>
      <c r="R599" t="s">
        <v>3896</v>
      </c>
      <c r="S599" t="s">
        <v>1541</v>
      </c>
      <c r="T599" t="s">
        <v>3878</v>
      </c>
      <c r="U599" t="s">
        <v>1660</v>
      </c>
      <c r="V599" t="s">
        <v>1745</v>
      </c>
      <c r="W599" t="s">
        <v>1746</v>
      </c>
      <c r="X599" t="s">
        <v>1748</v>
      </c>
    </row>
    <row r="600" spans="1:24" x14ac:dyDescent="0.3">
      <c r="A600" t="s">
        <v>2407</v>
      </c>
      <c r="B600" s="2">
        <v>45236</v>
      </c>
      <c r="C600" t="s">
        <v>782</v>
      </c>
      <c r="D600" t="s">
        <v>1609</v>
      </c>
      <c r="E600" t="s">
        <v>1765</v>
      </c>
      <c r="F600" s="4">
        <v>3</v>
      </c>
      <c r="G600">
        <v>700.43</v>
      </c>
      <c r="H600">
        <v>0.01</v>
      </c>
      <c r="I600" t="s">
        <v>1812</v>
      </c>
      <c r="J600">
        <v>2080.2770999999998</v>
      </c>
      <c r="K600" t="s">
        <v>783</v>
      </c>
      <c r="L600">
        <v>32</v>
      </c>
      <c r="M600" t="s">
        <v>9</v>
      </c>
      <c r="N600" t="s">
        <v>784</v>
      </c>
      <c r="O600" t="s">
        <v>288</v>
      </c>
      <c r="P600" t="s">
        <v>12</v>
      </c>
      <c r="Q600" t="s">
        <v>26</v>
      </c>
      <c r="R600" t="s">
        <v>3868</v>
      </c>
      <c r="S600" t="s">
        <v>1546</v>
      </c>
      <c r="T600" t="s">
        <v>3869</v>
      </c>
      <c r="U600" t="s">
        <v>1610</v>
      </c>
      <c r="V600" t="s">
        <v>1766</v>
      </c>
      <c r="W600" t="s">
        <v>1767</v>
      </c>
      <c r="X600" t="s">
        <v>1755</v>
      </c>
    </row>
    <row r="601" spans="1:24" x14ac:dyDescent="0.3">
      <c r="A601" t="s">
        <v>2408</v>
      </c>
      <c r="B601" s="2">
        <v>45806</v>
      </c>
      <c r="C601" t="s">
        <v>1054</v>
      </c>
      <c r="D601" t="s">
        <v>1548</v>
      </c>
      <c r="E601" t="s">
        <v>1744</v>
      </c>
      <c r="F601" s="4">
        <v>2</v>
      </c>
      <c r="G601">
        <v>823.03</v>
      </c>
      <c r="H601">
        <v>0.18</v>
      </c>
      <c r="I601" t="s">
        <v>1809</v>
      </c>
      <c r="J601">
        <v>1349.7692</v>
      </c>
      <c r="K601" t="s">
        <v>1055</v>
      </c>
      <c r="L601">
        <v>27</v>
      </c>
      <c r="M601" t="s">
        <v>9</v>
      </c>
      <c r="N601" t="s">
        <v>1056</v>
      </c>
      <c r="O601" t="s">
        <v>133</v>
      </c>
      <c r="P601" t="s">
        <v>12</v>
      </c>
      <c r="Q601" t="s">
        <v>19</v>
      </c>
      <c r="R601" t="s">
        <v>3922</v>
      </c>
      <c r="S601" t="s">
        <v>1541</v>
      </c>
      <c r="T601" t="s">
        <v>3878</v>
      </c>
      <c r="U601" t="s">
        <v>1710</v>
      </c>
      <c r="V601" t="s">
        <v>1745</v>
      </c>
      <c r="W601" t="s">
        <v>1746</v>
      </c>
      <c r="X601" t="s">
        <v>1748</v>
      </c>
    </row>
    <row r="602" spans="1:24" x14ac:dyDescent="0.3">
      <c r="A602" t="s">
        <v>2409</v>
      </c>
      <c r="B602" s="2">
        <v>45401</v>
      </c>
      <c r="C602" t="s">
        <v>808</v>
      </c>
      <c r="D602" t="s">
        <v>1715</v>
      </c>
      <c r="E602" t="s">
        <v>1759</v>
      </c>
      <c r="F602" s="4">
        <v>1</v>
      </c>
      <c r="G602">
        <v>117.37</v>
      </c>
      <c r="H602">
        <v>0.21</v>
      </c>
      <c r="I602" t="s">
        <v>1807</v>
      </c>
      <c r="J602">
        <v>92.722300000000004</v>
      </c>
      <c r="K602" t="s">
        <v>809</v>
      </c>
      <c r="L602">
        <v>57</v>
      </c>
      <c r="M602" t="s">
        <v>9</v>
      </c>
      <c r="N602" t="s">
        <v>810</v>
      </c>
      <c r="O602" t="s">
        <v>25</v>
      </c>
      <c r="P602" t="s">
        <v>12</v>
      </c>
      <c r="Q602" t="s">
        <v>13</v>
      </c>
      <c r="R602" t="s">
        <v>3925</v>
      </c>
      <c r="S602" t="s">
        <v>1527</v>
      </c>
      <c r="T602" t="s">
        <v>3838</v>
      </c>
      <c r="U602" t="s">
        <v>1716</v>
      </c>
      <c r="V602" t="s">
        <v>1760</v>
      </c>
      <c r="W602" t="s">
        <v>1737</v>
      </c>
      <c r="X602" t="s">
        <v>1755</v>
      </c>
    </row>
    <row r="603" spans="1:24" x14ac:dyDescent="0.3">
      <c r="A603" t="s">
        <v>2410</v>
      </c>
      <c r="B603" s="2">
        <v>45716</v>
      </c>
      <c r="C603" t="s">
        <v>364</v>
      </c>
      <c r="D603" t="s">
        <v>1643</v>
      </c>
      <c r="E603" t="s">
        <v>1740</v>
      </c>
      <c r="F603" s="4">
        <v>4</v>
      </c>
      <c r="G603">
        <v>165.37</v>
      </c>
      <c r="H603">
        <v>0.28999999999999998</v>
      </c>
      <c r="I603" t="s">
        <v>1807</v>
      </c>
      <c r="J603">
        <v>469.6508</v>
      </c>
      <c r="K603" t="s">
        <v>365</v>
      </c>
      <c r="L603">
        <v>50</v>
      </c>
      <c r="M603" t="s">
        <v>16</v>
      </c>
      <c r="N603" t="s">
        <v>366</v>
      </c>
      <c r="O603" t="s">
        <v>81</v>
      </c>
      <c r="P603" t="s">
        <v>12</v>
      </c>
      <c r="Q603" t="s">
        <v>31</v>
      </c>
      <c r="R603" t="s">
        <v>3888</v>
      </c>
      <c r="S603" t="s">
        <v>1527</v>
      </c>
      <c r="T603" t="s">
        <v>3836</v>
      </c>
      <c r="U603" t="s">
        <v>1644</v>
      </c>
      <c r="V603" t="s">
        <v>1741</v>
      </c>
      <c r="W603" t="s">
        <v>1742</v>
      </c>
      <c r="X603" t="s">
        <v>1739</v>
      </c>
    </row>
    <row r="604" spans="1:24" x14ac:dyDescent="0.3">
      <c r="A604" t="s">
        <v>2411</v>
      </c>
      <c r="B604" s="2">
        <v>45718</v>
      </c>
      <c r="C604" t="s">
        <v>1168</v>
      </c>
      <c r="D604" t="s">
        <v>1540</v>
      </c>
      <c r="E604" t="s">
        <v>1772</v>
      </c>
      <c r="F604" s="4">
        <v>3</v>
      </c>
      <c r="G604">
        <v>483.06</v>
      </c>
      <c r="H604">
        <v>0.05</v>
      </c>
      <c r="I604" t="s">
        <v>1807</v>
      </c>
      <c r="J604">
        <v>1376.721</v>
      </c>
      <c r="K604" t="s">
        <v>1169</v>
      </c>
      <c r="L604">
        <v>34</v>
      </c>
      <c r="M604" t="s">
        <v>16</v>
      </c>
      <c r="N604" t="s">
        <v>1170</v>
      </c>
      <c r="O604" t="s">
        <v>92</v>
      </c>
      <c r="P604" t="s">
        <v>12</v>
      </c>
      <c r="Q604" t="s">
        <v>26</v>
      </c>
      <c r="R604" t="s">
        <v>3891</v>
      </c>
      <c r="S604" t="s">
        <v>1541</v>
      </c>
      <c r="T604" t="s">
        <v>3833</v>
      </c>
      <c r="U604" t="s">
        <v>1650</v>
      </c>
      <c r="V604" t="s">
        <v>1741</v>
      </c>
      <c r="W604" t="s">
        <v>1742</v>
      </c>
      <c r="X604" t="s">
        <v>1739</v>
      </c>
    </row>
    <row r="605" spans="1:24" x14ac:dyDescent="0.3">
      <c r="A605" t="s">
        <v>2412</v>
      </c>
      <c r="B605" s="2">
        <v>45379</v>
      </c>
      <c r="C605" t="s">
        <v>920</v>
      </c>
      <c r="D605" t="s">
        <v>1693</v>
      </c>
      <c r="E605" t="s">
        <v>1762</v>
      </c>
      <c r="F605" s="4">
        <v>4</v>
      </c>
      <c r="G605">
        <v>262.05</v>
      </c>
      <c r="H605">
        <v>0.24</v>
      </c>
      <c r="I605" t="s">
        <v>1809</v>
      </c>
      <c r="J605">
        <v>796.63200000000006</v>
      </c>
      <c r="K605" t="s">
        <v>921</v>
      </c>
      <c r="L605">
        <v>29</v>
      </c>
      <c r="M605" t="s">
        <v>9</v>
      </c>
      <c r="N605" t="s">
        <v>922</v>
      </c>
      <c r="O605" t="s">
        <v>323</v>
      </c>
      <c r="P605" t="s">
        <v>12</v>
      </c>
      <c r="Q605" t="s">
        <v>19</v>
      </c>
      <c r="R605" t="s">
        <v>3914</v>
      </c>
      <c r="S605" t="s">
        <v>1549</v>
      </c>
      <c r="T605" t="s">
        <v>3844</v>
      </c>
      <c r="U605" t="s">
        <v>1694</v>
      </c>
      <c r="V605" t="s">
        <v>1763</v>
      </c>
      <c r="W605" t="s">
        <v>1746</v>
      </c>
      <c r="X605" t="s">
        <v>1755</v>
      </c>
    </row>
    <row r="606" spans="1:24" x14ac:dyDescent="0.3">
      <c r="A606" t="s">
        <v>2413</v>
      </c>
      <c r="B606" s="2">
        <v>45635</v>
      </c>
      <c r="C606" t="s">
        <v>1412</v>
      </c>
      <c r="D606" t="s">
        <v>1559</v>
      </c>
      <c r="E606" t="s">
        <v>1782</v>
      </c>
      <c r="F606" s="4">
        <v>3</v>
      </c>
      <c r="G606">
        <v>970.89</v>
      </c>
      <c r="H606">
        <v>0.11</v>
      </c>
      <c r="I606" t="s">
        <v>1812</v>
      </c>
      <c r="J606">
        <v>2592.2763</v>
      </c>
      <c r="K606" t="s">
        <v>1413</v>
      </c>
      <c r="L606">
        <v>45</v>
      </c>
      <c r="M606" t="s">
        <v>16</v>
      </c>
      <c r="N606" t="s">
        <v>1414</v>
      </c>
      <c r="O606" t="s">
        <v>166</v>
      </c>
      <c r="P606" t="s">
        <v>12</v>
      </c>
      <c r="Q606" t="s">
        <v>26</v>
      </c>
      <c r="R606" t="s">
        <v>3835</v>
      </c>
      <c r="S606" t="s">
        <v>1527</v>
      </c>
      <c r="T606" t="s">
        <v>3836</v>
      </c>
      <c r="U606" t="s">
        <v>1560</v>
      </c>
      <c r="V606" t="s">
        <v>1741</v>
      </c>
      <c r="W606" t="s">
        <v>1742</v>
      </c>
      <c r="X606" t="s">
        <v>1739</v>
      </c>
    </row>
    <row r="607" spans="1:24" x14ac:dyDescent="0.3">
      <c r="A607" t="s">
        <v>2414</v>
      </c>
      <c r="B607" s="2">
        <v>45222</v>
      </c>
      <c r="C607" t="s">
        <v>696</v>
      </c>
      <c r="D607" t="s">
        <v>1675</v>
      </c>
      <c r="E607" t="s">
        <v>1735</v>
      </c>
      <c r="F607" s="4">
        <v>1</v>
      </c>
      <c r="G607">
        <v>61.11</v>
      </c>
      <c r="H607">
        <v>0.1</v>
      </c>
      <c r="I607" t="s">
        <v>1809</v>
      </c>
      <c r="J607">
        <v>54.999000000000002</v>
      </c>
      <c r="K607" t="s">
        <v>697</v>
      </c>
      <c r="L607">
        <v>42</v>
      </c>
      <c r="M607" t="s">
        <v>9</v>
      </c>
      <c r="N607" t="s">
        <v>698</v>
      </c>
      <c r="O607" t="s">
        <v>30</v>
      </c>
      <c r="P607" t="s">
        <v>12</v>
      </c>
      <c r="Q607" t="s">
        <v>19</v>
      </c>
      <c r="R607" t="s">
        <v>3905</v>
      </c>
      <c r="S607" t="s">
        <v>1549</v>
      </c>
      <c r="T607" t="s">
        <v>3828</v>
      </c>
      <c r="U607" t="s">
        <v>1676</v>
      </c>
      <c r="V607" t="s">
        <v>1736</v>
      </c>
      <c r="W607" t="s">
        <v>1737</v>
      </c>
      <c r="X607" t="s">
        <v>1739</v>
      </c>
    </row>
    <row r="608" spans="1:24" x14ac:dyDescent="0.3">
      <c r="A608" t="s">
        <v>2415</v>
      </c>
      <c r="B608" s="2">
        <v>45555</v>
      </c>
      <c r="C608" t="s">
        <v>121</v>
      </c>
      <c r="D608" t="s">
        <v>1585</v>
      </c>
      <c r="E608" t="s">
        <v>1765</v>
      </c>
      <c r="F608" s="4">
        <v>3</v>
      </c>
      <c r="G608">
        <v>827.88</v>
      </c>
      <c r="H608">
        <v>0.19</v>
      </c>
      <c r="I608" t="s">
        <v>1809</v>
      </c>
      <c r="J608">
        <v>2011.7483999999999</v>
      </c>
      <c r="K608" t="s">
        <v>122</v>
      </c>
      <c r="L608">
        <v>64</v>
      </c>
      <c r="M608" t="s">
        <v>16</v>
      </c>
      <c r="N608" t="s">
        <v>123</v>
      </c>
      <c r="O608" t="s">
        <v>30</v>
      </c>
      <c r="P608" t="s">
        <v>12</v>
      </c>
      <c r="Q608" t="s">
        <v>31</v>
      </c>
      <c r="R608" t="s">
        <v>3854</v>
      </c>
      <c r="S608" t="s">
        <v>1527</v>
      </c>
      <c r="T608" t="s">
        <v>3836</v>
      </c>
      <c r="U608" t="s">
        <v>1586</v>
      </c>
      <c r="V608" t="s">
        <v>1766</v>
      </c>
      <c r="W608" t="s">
        <v>1767</v>
      </c>
      <c r="X608" t="s">
        <v>1755</v>
      </c>
    </row>
    <row r="609" spans="1:24" x14ac:dyDescent="0.3">
      <c r="A609" t="s">
        <v>2416</v>
      </c>
      <c r="B609" s="2">
        <v>45583</v>
      </c>
      <c r="C609" t="s">
        <v>1318</v>
      </c>
      <c r="D609" t="s">
        <v>1705</v>
      </c>
      <c r="E609" t="s">
        <v>1780</v>
      </c>
      <c r="F609" s="4">
        <v>3</v>
      </c>
      <c r="G609">
        <v>926.85</v>
      </c>
      <c r="H609">
        <v>0.18</v>
      </c>
      <c r="I609" t="s">
        <v>1812</v>
      </c>
      <c r="J609">
        <v>2280.0509999999999</v>
      </c>
      <c r="K609" t="s">
        <v>1319</v>
      </c>
      <c r="L609">
        <v>27</v>
      </c>
      <c r="M609" t="s">
        <v>9</v>
      </c>
      <c r="N609" t="s">
        <v>1320</v>
      </c>
      <c r="O609" t="s">
        <v>88</v>
      </c>
      <c r="P609" t="s">
        <v>12</v>
      </c>
      <c r="Q609" t="s">
        <v>13</v>
      </c>
      <c r="R609" t="s">
        <v>3920</v>
      </c>
      <c r="S609" t="s">
        <v>1527</v>
      </c>
      <c r="T609" t="s">
        <v>3824</v>
      </c>
      <c r="U609" t="s">
        <v>1706</v>
      </c>
      <c r="V609" t="s">
        <v>1741</v>
      </c>
      <c r="W609" t="s">
        <v>1742</v>
      </c>
      <c r="X609" t="s">
        <v>1739</v>
      </c>
    </row>
    <row r="610" spans="1:24" x14ac:dyDescent="0.3">
      <c r="A610" t="s">
        <v>2417</v>
      </c>
      <c r="B610" s="2">
        <v>45662</v>
      </c>
      <c r="C610" t="s">
        <v>989</v>
      </c>
      <c r="D610" t="s">
        <v>1551</v>
      </c>
      <c r="E610" t="s">
        <v>1782</v>
      </c>
      <c r="F610" s="4">
        <v>1</v>
      </c>
      <c r="G610">
        <v>874.59</v>
      </c>
      <c r="H610">
        <v>0.28999999999999998</v>
      </c>
      <c r="I610" t="s">
        <v>1809</v>
      </c>
      <c r="J610">
        <v>620.95889999999997</v>
      </c>
      <c r="K610" t="s">
        <v>990</v>
      </c>
      <c r="L610">
        <v>25</v>
      </c>
      <c r="M610" t="s">
        <v>9</v>
      </c>
      <c r="N610" t="s">
        <v>991</v>
      </c>
      <c r="O610" t="s">
        <v>47</v>
      </c>
      <c r="P610" t="s">
        <v>12</v>
      </c>
      <c r="Q610" t="s">
        <v>13</v>
      </c>
      <c r="R610" t="s">
        <v>3829</v>
      </c>
      <c r="S610" t="s">
        <v>1527</v>
      </c>
      <c r="T610" t="s">
        <v>3830</v>
      </c>
      <c r="U610" t="s">
        <v>1552</v>
      </c>
      <c r="V610" t="s">
        <v>1741</v>
      </c>
      <c r="W610" t="s">
        <v>1742</v>
      </c>
      <c r="X610" t="s">
        <v>1739</v>
      </c>
    </row>
    <row r="611" spans="1:24" x14ac:dyDescent="0.3">
      <c r="A611" t="s">
        <v>2418</v>
      </c>
      <c r="B611" s="2">
        <v>45921</v>
      </c>
      <c r="C611" t="s">
        <v>1433</v>
      </c>
      <c r="D611" t="s">
        <v>1561</v>
      </c>
      <c r="E611" t="s">
        <v>1740</v>
      </c>
      <c r="F611" s="4">
        <v>4</v>
      </c>
      <c r="G611">
        <v>479.11</v>
      </c>
      <c r="H611">
        <v>0.24</v>
      </c>
      <c r="I611" t="s">
        <v>1809</v>
      </c>
      <c r="J611">
        <v>1456.4944</v>
      </c>
      <c r="K611" t="s">
        <v>1434</v>
      </c>
      <c r="L611">
        <v>42</v>
      </c>
      <c r="M611" t="s">
        <v>9</v>
      </c>
      <c r="N611" t="s">
        <v>1435</v>
      </c>
      <c r="O611" t="s">
        <v>47</v>
      </c>
      <c r="P611" t="s">
        <v>12</v>
      </c>
      <c r="Q611" t="s">
        <v>13</v>
      </c>
      <c r="R611" t="s">
        <v>3837</v>
      </c>
      <c r="S611" t="s">
        <v>1546</v>
      </c>
      <c r="T611" t="s">
        <v>3838</v>
      </c>
      <c r="U611" t="s">
        <v>1562</v>
      </c>
      <c r="V611" t="s">
        <v>1741</v>
      </c>
      <c r="W611" t="s">
        <v>1742</v>
      </c>
      <c r="X611" t="s">
        <v>1739</v>
      </c>
    </row>
    <row r="612" spans="1:24" x14ac:dyDescent="0.3">
      <c r="A612" t="s">
        <v>2419</v>
      </c>
      <c r="B612" s="2">
        <v>45490</v>
      </c>
      <c r="C612" t="s">
        <v>687</v>
      </c>
      <c r="D612" t="s">
        <v>1595</v>
      </c>
      <c r="E612" t="s">
        <v>1790</v>
      </c>
      <c r="F612" s="4">
        <v>3</v>
      </c>
      <c r="G612">
        <v>182.91</v>
      </c>
      <c r="H612">
        <v>0.28999999999999998</v>
      </c>
      <c r="I612" t="s">
        <v>1807</v>
      </c>
      <c r="J612">
        <v>389.59829999999999</v>
      </c>
      <c r="K612" t="s">
        <v>688</v>
      </c>
      <c r="L612">
        <v>61</v>
      </c>
      <c r="M612" t="s">
        <v>9</v>
      </c>
      <c r="N612" t="s">
        <v>689</v>
      </c>
      <c r="O612" t="s">
        <v>18</v>
      </c>
      <c r="P612" t="s">
        <v>12</v>
      </c>
      <c r="Q612" t="s">
        <v>19</v>
      </c>
      <c r="R612" t="s">
        <v>3860</v>
      </c>
      <c r="S612" t="s">
        <v>1541</v>
      </c>
      <c r="T612" t="s">
        <v>3822</v>
      </c>
      <c r="U612" t="s">
        <v>1596</v>
      </c>
      <c r="V612" t="s">
        <v>1741</v>
      </c>
      <c r="W612" t="s">
        <v>1742</v>
      </c>
      <c r="X612" t="s">
        <v>1739</v>
      </c>
    </row>
    <row r="613" spans="1:24" x14ac:dyDescent="0.3">
      <c r="A613" t="s">
        <v>2420</v>
      </c>
      <c r="B613" s="2">
        <v>45652</v>
      </c>
      <c r="C613" t="s">
        <v>858</v>
      </c>
      <c r="D613" t="s">
        <v>1599</v>
      </c>
      <c r="E613" t="s">
        <v>1756</v>
      </c>
      <c r="F613" s="4">
        <v>4</v>
      </c>
      <c r="G613">
        <v>745.51</v>
      </c>
      <c r="H613">
        <v>0.05</v>
      </c>
      <c r="I613" t="s">
        <v>1807</v>
      </c>
      <c r="J613">
        <v>2832.9380000000001</v>
      </c>
      <c r="K613" t="s">
        <v>859</v>
      </c>
      <c r="L613">
        <v>23</v>
      </c>
      <c r="M613" t="s">
        <v>9</v>
      </c>
      <c r="N613" t="s">
        <v>860</v>
      </c>
      <c r="O613" t="s">
        <v>30</v>
      </c>
      <c r="P613" t="s">
        <v>12</v>
      </c>
      <c r="Q613" t="s">
        <v>13</v>
      </c>
      <c r="R613" t="s">
        <v>3862</v>
      </c>
      <c r="S613" t="s">
        <v>1546</v>
      </c>
      <c r="T613" t="s">
        <v>3811</v>
      </c>
      <c r="U613" t="s">
        <v>1600</v>
      </c>
      <c r="V613" t="s">
        <v>1757</v>
      </c>
      <c r="W613" t="s">
        <v>1742</v>
      </c>
      <c r="X613" t="s">
        <v>1748</v>
      </c>
    </row>
    <row r="614" spans="1:24" x14ac:dyDescent="0.3">
      <c r="A614" t="s">
        <v>2421</v>
      </c>
      <c r="B614" s="2">
        <v>45598</v>
      </c>
      <c r="C614" t="s">
        <v>1464</v>
      </c>
      <c r="D614" t="s">
        <v>1707</v>
      </c>
      <c r="E614" t="s">
        <v>1784</v>
      </c>
      <c r="F614" s="4">
        <v>3</v>
      </c>
      <c r="G614">
        <v>920.61</v>
      </c>
      <c r="H614">
        <v>0.04</v>
      </c>
      <c r="I614" t="s">
        <v>1807</v>
      </c>
      <c r="J614">
        <v>2651.3568</v>
      </c>
      <c r="K614" t="s">
        <v>1465</v>
      </c>
      <c r="L614">
        <v>26</v>
      </c>
      <c r="M614" t="s">
        <v>9</v>
      </c>
      <c r="N614" t="s">
        <v>1466</v>
      </c>
      <c r="O614" t="s">
        <v>81</v>
      </c>
      <c r="P614" t="s">
        <v>12</v>
      </c>
      <c r="Q614" t="s">
        <v>13</v>
      </c>
      <c r="R614" t="s">
        <v>3921</v>
      </c>
      <c r="S614" t="s">
        <v>1549</v>
      </c>
      <c r="T614" t="s">
        <v>3820</v>
      </c>
      <c r="U614" t="s">
        <v>1708</v>
      </c>
      <c r="V614" t="s">
        <v>1741</v>
      </c>
      <c r="W614" t="s">
        <v>1742</v>
      </c>
      <c r="X614" t="s">
        <v>1739</v>
      </c>
    </row>
    <row r="615" spans="1:24" x14ac:dyDescent="0.3">
      <c r="A615" t="s">
        <v>2422</v>
      </c>
      <c r="B615" s="2">
        <v>45772</v>
      </c>
      <c r="C615" t="s">
        <v>1303</v>
      </c>
      <c r="D615" t="s">
        <v>1681</v>
      </c>
      <c r="E615" t="s">
        <v>1772</v>
      </c>
      <c r="F615" s="4">
        <v>4</v>
      </c>
      <c r="G615">
        <v>659.03</v>
      </c>
      <c r="H615">
        <v>0.15</v>
      </c>
      <c r="I615" t="s">
        <v>1807</v>
      </c>
      <c r="J615">
        <v>2240.7020000000002</v>
      </c>
      <c r="K615" t="s">
        <v>1304</v>
      </c>
      <c r="L615">
        <v>28</v>
      </c>
      <c r="M615" t="s">
        <v>9</v>
      </c>
      <c r="N615" t="s">
        <v>1305</v>
      </c>
      <c r="O615" t="s">
        <v>117</v>
      </c>
      <c r="P615" t="s">
        <v>12</v>
      </c>
      <c r="Q615" t="s">
        <v>26</v>
      </c>
      <c r="R615" t="s">
        <v>3908</v>
      </c>
      <c r="S615" t="s">
        <v>1530</v>
      </c>
      <c r="T615" t="s">
        <v>3866</v>
      </c>
      <c r="U615" t="s">
        <v>1682</v>
      </c>
      <c r="V615" t="s">
        <v>1741</v>
      </c>
      <c r="W615" t="s">
        <v>1742</v>
      </c>
      <c r="X615" t="s">
        <v>1739</v>
      </c>
    </row>
    <row r="616" spans="1:24" x14ac:dyDescent="0.3">
      <c r="A616" t="s">
        <v>2423</v>
      </c>
      <c r="B616" s="2">
        <v>45338</v>
      </c>
      <c r="C616" t="s">
        <v>1493</v>
      </c>
      <c r="D616" t="s">
        <v>1548</v>
      </c>
      <c r="E616" t="s">
        <v>1744</v>
      </c>
      <c r="F616" s="4">
        <v>1</v>
      </c>
      <c r="G616">
        <v>312.91000000000003</v>
      </c>
      <c r="H616">
        <v>0.12</v>
      </c>
      <c r="I616" t="s">
        <v>1809</v>
      </c>
      <c r="J616">
        <v>275.36079999999998</v>
      </c>
      <c r="K616" t="s">
        <v>1494</v>
      </c>
      <c r="L616">
        <v>59</v>
      </c>
      <c r="M616" t="s">
        <v>16</v>
      </c>
      <c r="N616" t="s">
        <v>1495</v>
      </c>
      <c r="O616" t="s">
        <v>39</v>
      </c>
      <c r="P616" t="s">
        <v>12</v>
      </c>
      <c r="Q616" t="s">
        <v>13</v>
      </c>
      <c r="R616" t="s">
        <v>3922</v>
      </c>
      <c r="S616" t="s">
        <v>1541</v>
      </c>
      <c r="T616" t="s">
        <v>3878</v>
      </c>
      <c r="U616" t="s">
        <v>1710</v>
      </c>
      <c r="V616" t="s">
        <v>1745</v>
      </c>
      <c r="W616" t="s">
        <v>1746</v>
      </c>
      <c r="X616" t="s">
        <v>1748</v>
      </c>
    </row>
    <row r="617" spans="1:24" x14ac:dyDescent="0.3">
      <c r="A617" t="s">
        <v>2424</v>
      </c>
      <c r="B617" s="2">
        <v>45524</v>
      </c>
      <c r="C617" t="s">
        <v>729</v>
      </c>
      <c r="D617" t="s">
        <v>1555</v>
      </c>
      <c r="E617" t="s">
        <v>1793</v>
      </c>
      <c r="F617" s="4">
        <v>4</v>
      </c>
      <c r="G617">
        <v>705.64</v>
      </c>
      <c r="H617">
        <v>0.11</v>
      </c>
      <c r="I617" t="s">
        <v>1809</v>
      </c>
      <c r="J617">
        <v>2512.0783999999999</v>
      </c>
      <c r="K617" t="s">
        <v>730</v>
      </c>
      <c r="L617">
        <v>32</v>
      </c>
      <c r="M617" t="s">
        <v>16</v>
      </c>
      <c r="N617" t="s">
        <v>390</v>
      </c>
      <c r="O617" t="s">
        <v>117</v>
      </c>
      <c r="P617" t="s">
        <v>12</v>
      </c>
      <c r="Q617" t="s">
        <v>13</v>
      </c>
      <c r="R617" t="s">
        <v>3832</v>
      </c>
      <c r="S617" t="s">
        <v>1541</v>
      </c>
      <c r="T617" t="s">
        <v>3833</v>
      </c>
      <c r="U617" t="s">
        <v>1556</v>
      </c>
      <c r="V617" t="s">
        <v>1741</v>
      </c>
      <c r="W617" t="s">
        <v>1742</v>
      </c>
      <c r="X617" t="s">
        <v>1739</v>
      </c>
    </row>
    <row r="618" spans="1:24" x14ac:dyDescent="0.3">
      <c r="A618" t="s">
        <v>2425</v>
      </c>
      <c r="B618" s="2">
        <v>45497</v>
      </c>
      <c r="C618" t="s">
        <v>482</v>
      </c>
      <c r="D618" t="s">
        <v>1548</v>
      </c>
      <c r="E618" t="s">
        <v>1772</v>
      </c>
      <c r="F618" s="4">
        <v>4</v>
      </c>
      <c r="G618">
        <v>386.41</v>
      </c>
      <c r="H618">
        <v>0.13</v>
      </c>
      <c r="I618" t="s">
        <v>1812</v>
      </c>
      <c r="J618">
        <v>1344.7067999999999</v>
      </c>
      <c r="K618" t="s">
        <v>483</v>
      </c>
      <c r="L618">
        <v>46</v>
      </c>
      <c r="M618" t="s">
        <v>9</v>
      </c>
      <c r="N618" t="s">
        <v>484</v>
      </c>
      <c r="O618" t="s">
        <v>181</v>
      </c>
      <c r="P618" t="s">
        <v>12</v>
      </c>
      <c r="Q618" t="s">
        <v>26</v>
      </c>
      <c r="R618" t="s">
        <v>3922</v>
      </c>
      <c r="S618" t="s">
        <v>1541</v>
      </c>
      <c r="T618" t="s">
        <v>3878</v>
      </c>
      <c r="U618" t="s">
        <v>1710</v>
      </c>
      <c r="V618" t="s">
        <v>1741</v>
      </c>
      <c r="W618" t="s">
        <v>1742</v>
      </c>
      <c r="X618" t="s">
        <v>1739</v>
      </c>
    </row>
    <row r="619" spans="1:24" x14ac:dyDescent="0.3">
      <c r="A619" t="s">
        <v>2426</v>
      </c>
      <c r="B619" s="2">
        <v>45534</v>
      </c>
      <c r="C619" t="s">
        <v>121</v>
      </c>
      <c r="D619" t="s">
        <v>1719</v>
      </c>
      <c r="E619" t="s">
        <v>1775</v>
      </c>
      <c r="F619" s="4">
        <v>3</v>
      </c>
      <c r="G619">
        <v>265.89</v>
      </c>
      <c r="H619">
        <v>0.08</v>
      </c>
      <c r="I619" t="s">
        <v>1812</v>
      </c>
      <c r="J619">
        <v>733.85640000000001</v>
      </c>
      <c r="K619" t="s">
        <v>122</v>
      </c>
      <c r="L619">
        <v>64</v>
      </c>
      <c r="M619" t="s">
        <v>16</v>
      </c>
      <c r="N619" t="s">
        <v>123</v>
      </c>
      <c r="O619" t="s">
        <v>30</v>
      </c>
      <c r="P619" t="s">
        <v>12</v>
      </c>
      <c r="Q619" t="s">
        <v>31</v>
      </c>
      <c r="R619" t="s">
        <v>3927</v>
      </c>
      <c r="S619" t="s">
        <v>1541</v>
      </c>
      <c r="T619" t="s">
        <v>3822</v>
      </c>
      <c r="U619" t="s">
        <v>1720</v>
      </c>
      <c r="V619" t="s">
        <v>1741</v>
      </c>
      <c r="W619" t="s">
        <v>1742</v>
      </c>
      <c r="X619" t="s">
        <v>1739</v>
      </c>
    </row>
    <row r="620" spans="1:24" x14ac:dyDescent="0.3">
      <c r="A620" t="s">
        <v>2427</v>
      </c>
      <c r="B620" s="2">
        <v>45925</v>
      </c>
      <c r="C620" t="s">
        <v>272</v>
      </c>
      <c r="D620" t="s">
        <v>1591</v>
      </c>
      <c r="E620" t="s">
        <v>1787</v>
      </c>
      <c r="F620" s="4">
        <v>1</v>
      </c>
      <c r="G620">
        <v>703.16</v>
      </c>
      <c r="H620">
        <v>0.28999999999999998</v>
      </c>
      <c r="I620" t="s">
        <v>1807</v>
      </c>
      <c r="J620">
        <v>499.24360000000001</v>
      </c>
      <c r="K620" t="s">
        <v>273</v>
      </c>
      <c r="L620">
        <v>37</v>
      </c>
      <c r="M620" t="s">
        <v>9</v>
      </c>
      <c r="N620" t="s">
        <v>274</v>
      </c>
      <c r="O620" t="s">
        <v>30</v>
      </c>
      <c r="P620" t="s">
        <v>12</v>
      </c>
      <c r="Q620" t="s">
        <v>13</v>
      </c>
      <c r="R620" t="s">
        <v>3857</v>
      </c>
      <c r="S620" t="s">
        <v>1527</v>
      </c>
      <c r="T620" t="s">
        <v>3830</v>
      </c>
      <c r="U620" t="s">
        <v>1592</v>
      </c>
      <c r="V620" t="s">
        <v>1741</v>
      </c>
      <c r="W620" t="s">
        <v>1742</v>
      </c>
      <c r="X620" t="s">
        <v>1739</v>
      </c>
    </row>
    <row r="621" spans="1:24" x14ac:dyDescent="0.3">
      <c r="A621" t="s">
        <v>2428</v>
      </c>
      <c r="B621" s="2">
        <v>45765</v>
      </c>
      <c r="C621" t="s">
        <v>1436</v>
      </c>
      <c r="D621" t="s">
        <v>1725</v>
      </c>
      <c r="E621" t="s">
        <v>1780</v>
      </c>
      <c r="F621" s="4">
        <v>2</v>
      </c>
      <c r="G621">
        <v>394.5</v>
      </c>
      <c r="H621">
        <v>0.28999999999999998</v>
      </c>
      <c r="I621" t="s">
        <v>1812</v>
      </c>
      <c r="J621">
        <v>560.18999999999994</v>
      </c>
      <c r="K621" t="s">
        <v>1437</v>
      </c>
      <c r="L621">
        <v>42</v>
      </c>
      <c r="M621" t="s">
        <v>9</v>
      </c>
      <c r="N621" t="s">
        <v>1438</v>
      </c>
      <c r="O621" t="s">
        <v>66</v>
      </c>
      <c r="P621" t="s">
        <v>12</v>
      </c>
      <c r="Q621" t="s">
        <v>19</v>
      </c>
      <c r="R621" t="s">
        <v>3930</v>
      </c>
      <c r="S621" t="s">
        <v>1549</v>
      </c>
      <c r="T621" t="s">
        <v>3859</v>
      </c>
      <c r="U621" t="s">
        <v>1726</v>
      </c>
      <c r="V621" t="s">
        <v>1741</v>
      </c>
      <c r="W621" t="s">
        <v>1742</v>
      </c>
      <c r="X621" t="s">
        <v>1739</v>
      </c>
    </row>
    <row r="622" spans="1:24" x14ac:dyDescent="0.3">
      <c r="A622" t="s">
        <v>2429</v>
      </c>
      <c r="B622" s="2">
        <v>45882</v>
      </c>
      <c r="C622" t="s">
        <v>403</v>
      </c>
      <c r="D622" t="s">
        <v>1725</v>
      </c>
      <c r="E622" t="s">
        <v>1762</v>
      </c>
      <c r="F622" s="4">
        <v>3</v>
      </c>
      <c r="G622">
        <v>411.25</v>
      </c>
      <c r="H622">
        <v>0.05</v>
      </c>
      <c r="I622" t="s">
        <v>1807</v>
      </c>
      <c r="J622">
        <v>1172.0625</v>
      </c>
      <c r="K622" t="s">
        <v>404</v>
      </c>
      <c r="L622">
        <v>36</v>
      </c>
      <c r="M622" t="s">
        <v>9</v>
      </c>
      <c r="N622" t="s">
        <v>405</v>
      </c>
      <c r="O622" t="s">
        <v>74</v>
      </c>
      <c r="P622" t="s">
        <v>12</v>
      </c>
      <c r="Q622" t="s">
        <v>19</v>
      </c>
      <c r="R622" t="s">
        <v>3930</v>
      </c>
      <c r="S622" t="s">
        <v>1549</v>
      </c>
      <c r="T622" t="s">
        <v>3859</v>
      </c>
      <c r="U622" t="s">
        <v>1726</v>
      </c>
      <c r="V622" t="s">
        <v>1763</v>
      </c>
      <c r="W622" t="s">
        <v>1746</v>
      </c>
      <c r="X622" t="s">
        <v>1755</v>
      </c>
    </row>
    <row r="623" spans="1:24" x14ac:dyDescent="0.3">
      <c r="A623" t="s">
        <v>2430</v>
      </c>
      <c r="B623" s="2">
        <v>45923</v>
      </c>
      <c r="C623" t="s">
        <v>1095</v>
      </c>
      <c r="D623" t="s">
        <v>1627</v>
      </c>
      <c r="E623" t="s">
        <v>1744</v>
      </c>
      <c r="F623" s="4">
        <v>4</v>
      </c>
      <c r="G623">
        <v>395.45</v>
      </c>
      <c r="H623">
        <v>0.01</v>
      </c>
      <c r="I623" t="s">
        <v>1807</v>
      </c>
      <c r="J623">
        <v>1565.982</v>
      </c>
      <c r="K623" t="s">
        <v>3954</v>
      </c>
      <c r="L623">
        <v>38</v>
      </c>
      <c r="M623" t="s">
        <v>9</v>
      </c>
      <c r="N623" t="s">
        <v>1096</v>
      </c>
      <c r="O623" t="s">
        <v>35</v>
      </c>
      <c r="P623" t="s">
        <v>12</v>
      </c>
      <c r="Q623" t="s">
        <v>19</v>
      </c>
      <c r="R623" t="s">
        <v>3879</v>
      </c>
      <c r="S623" t="s">
        <v>1546</v>
      </c>
      <c r="T623" t="s">
        <v>3820</v>
      </c>
      <c r="U623" t="s">
        <v>1628</v>
      </c>
      <c r="V623" t="s">
        <v>1745</v>
      </c>
      <c r="W623" t="s">
        <v>1746</v>
      </c>
      <c r="X623" t="s">
        <v>1748</v>
      </c>
    </row>
    <row r="624" spans="1:24" x14ac:dyDescent="0.3">
      <c r="A624" t="s">
        <v>2431</v>
      </c>
      <c r="B624" s="2">
        <v>45421</v>
      </c>
      <c r="C624" t="s">
        <v>143</v>
      </c>
      <c r="D624" t="s">
        <v>1711</v>
      </c>
      <c r="E624" t="s">
        <v>1756</v>
      </c>
      <c r="F624" s="4">
        <v>2</v>
      </c>
      <c r="G624">
        <v>678.98</v>
      </c>
      <c r="H624">
        <v>0.23</v>
      </c>
      <c r="I624" t="s">
        <v>1807</v>
      </c>
      <c r="J624">
        <v>1045.6292000000001</v>
      </c>
      <c r="K624" t="s">
        <v>144</v>
      </c>
      <c r="L624">
        <v>27</v>
      </c>
      <c r="M624" t="s">
        <v>16</v>
      </c>
      <c r="N624" t="s">
        <v>145</v>
      </c>
      <c r="O624" t="s">
        <v>81</v>
      </c>
      <c r="P624" t="s">
        <v>12</v>
      </c>
      <c r="Q624" t="s">
        <v>13</v>
      </c>
      <c r="R624" t="s">
        <v>3923</v>
      </c>
      <c r="S624" t="s">
        <v>1546</v>
      </c>
      <c r="T624" t="s">
        <v>3820</v>
      </c>
      <c r="U624" t="s">
        <v>1712</v>
      </c>
      <c r="V624" t="s">
        <v>1757</v>
      </c>
      <c r="W624" t="s">
        <v>1742</v>
      </c>
      <c r="X624" t="s">
        <v>1748</v>
      </c>
    </row>
    <row r="625" spans="1:24" x14ac:dyDescent="0.3">
      <c r="A625" t="s">
        <v>2432</v>
      </c>
      <c r="B625" s="2">
        <v>45608</v>
      </c>
      <c r="C625" t="s">
        <v>261</v>
      </c>
      <c r="D625" t="s">
        <v>1585</v>
      </c>
      <c r="E625" t="s">
        <v>1782</v>
      </c>
      <c r="F625" s="4">
        <v>4</v>
      </c>
      <c r="G625">
        <v>757.71</v>
      </c>
      <c r="H625">
        <v>0.26</v>
      </c>
      <c r="I625" t="s">
        <v>1812</v>
      </c>
      <c r="J625">
        <v>2242.8216000000002</v>
      </c>
      <c r="K625" t="s">
        <v>262</v>
      </c>
      <c r="L625">
        <v>56</v>
      </c>
      <c r="M625" t="s">
        <v>16</v>
      </c>
      <c r="N625" t="s">
        <v>263</v>
      </c>
      <c r="O625" t="s">
        <v>264</v>
      </c>
      <c r="P625" t="s">
        <v>12</v>
      </c>
      <c r="Q625" t="s">
        <v>13</v>
      </c>
      <c r="R625" t="s">
        <v>3854</v>
      </c>
      <c r="S625" t="s">
        <v>1527</v>
      </c>
      <c r="T625" t="s">
        <v>3836</v>
      </c>
      <c r="U625" t="s">
        <v>1586</v>
      </c>
      <c r="V625" t="s">
        <v>1741</v>
      </c>
      <c r="W625" t="s">
        <v>1742</v>
      </c>
      <c r="X625" t="s">
        <v>1739</v>
      </c>
    </row>
    <row r="626" spans="1:24" x14ac:dyDescent="0.3">
      <c r="A626" t="s">
        <v>2433</v>
      </c>
      <c r="B626" s="2">
        <v>45644</v>
      </c>
      <c r="C626" t="s">
        <v>218</v>
      </c>
      <c r="D626" t="s">
        <v>1719</v>
      </c>
      <c r="E626" t="s">
        <v>1752</v>
      </c>
      <c r="F626" s="4">
        <v>1</v>
      </c>
      <c r="G626">
        <v>647.86</v>
      </c>
      <c r="H626">
        <v>0.05</v>
      </c>
      <c r="I626" t="s">
        <v>1812</v>
      </c>
      <c r="J626">
        <v>615.46699999999998</v>
      </c>
      <c r="K626" t="s">
        <v>219</v>
      </c>
      <c r="L626">
        <v>22</v>
      </c>
      <c r="M626" t="s">
        <v>16</v>
      </c>
      <c r="N626" t="s">
        <v>220</v>
      </c>
      <c r="O626" t="s">
        <v>66</v>
      </c>
      <c r="P626" t="s">
        <v>12</v>
      </c>
      <c r="Q626" t="s">
        <v>19</v>
      </c>
      <c r="R626" t="s">
        <v>3927</v>
      </c>
      <c r="S626" t="s">
        <v>1541</v>
      </c>
      <c r="T626" t="s">
        <v>3822</v>
      </c>
      <c r="U626" t="s">
        <v>1720</v>
      </c>
      <c r="V626" t="s">
        <v>1753</v>
      </c>
      <c r="W626" t="s">
        <v>1746</v>
      </c>
      <c r="X626" t="s">
        <v>1755</v>
      </c>
    </row>
    <row r="627" spans="1:24" x14ac:dyDescent="0.3">
      <c r="A627" t="s">
        <v>2434</v>
      </c>
      <c r="B627" s="2">
        <v>45517</v>
      </c>
      <c r="C627" t="s">
        <v>456</v>
      </c>
      <c r="D627" t="s">
        <v>1555</v>
      </c>
      <c r="E627" t="s">
        <v>1759</v>
      </c>
      <c r="F627" s="4">
        <v>2</v>
      </c>
      <c r="G627">
        <v>179.64</v>
      </c>
      <c r="H627">
        <v>0.1</v>
      </c>
      <c r="I627" t="s">
        <v>1809</v>
      </c>
      <c r="J627">
        <v>323.35199999999998</v>
      </c>
      <c r="K627" t="s">
        <v>457</v>
      </c>
      <c r="L627">
        <v>29</v>
      </c>
      <c r="M627" t="s">
        <v>9</v>
      </c>
      <c r="N627" t="s">
        <v>458</v>
      </c>
      <c r="O627" t="s">
        <v>155</v>
      </c>
      <c r="P627" t="s">
        <v>12</v>
      </c>
      <c r="Q627" t="s">
        <v>19</v>
      </c>
      <c r="R627" t="s">
        <v>3832</v>
      </c>
      <c r="S627" t="s">
        <v>1541</v>
      </c>
      <c r="T627" t="s">
        <v>3833</v>
      </c>
      <c r="U627" t="s">
        <v>1556</v>
      </c>
      <c r="V627" t="s">
        <v>1760</v>
      </c>
      <c r="W627" t="s">
        <v>1737</v>
      </c>
      <c r="X627" t="s">
        <v>1755</v>
      </c>
    </row>
    <row r="628" spans="1:24" x14ac:dyDescent="0.3">
      <c r="A628" t="s">
        <v>2435</v>
      </c>
      <c r="B628" s="2">
        <v>45545</v>
      </c>
      <c r="C628" t="s">
        <v>1222</v>
      </c>
      <c r="D628" t="s">
        <v>1655</v>
      </c>
      <c r="E628" t="s">
        <v>1752</v>
      </c>
      <c r="F628" s="4">
        <v>3</v>
      </c>
      <c r="G628">
        <v>392.65</v>
      </c>
      <c r="H628">
        <v>0.17</v>
      </c>
      <c r="I628" t="s">
        <v>1809</v>
      </c>
      <c r="J628">
        <v>977.69849999999985</v>
      </c>
      <c r="K628" t="s">
        <v>1223</v>
      </c>
      <c r="L628">
        <v>62</v>
      </c>
      <c r="M628" t="s">
        <v>16</v>
      </c>
      <c r="N628" t="s">
        <v>1224</v>
      </c>
      <c r="O628" t="s">
        <v>58</v>
      </c>
      <c r="P628" t="s">
        <v>12</v>
      </c>
      <c r="Q628" t="s">
        <v>31</v>
      </c>
      <c r="R628" t="s">
        <v>3894</v>
      </c>
      <c r="S628" t="s">
        <v>1546</v>
      </c>
      <c r="T628" t="s">
        <v>3811</v>
      </c>
      <c r="U628" t="s">
        <v>1656</v>
      </c>
      <c r="V628" t="s">
        <v>1753</v>
      </c>
      <c r="W628" t="s">
        <v>1746</v>
      </c>
      <c r="X628" t="s">
        <v>1755</v>
      </c>
    </row>
    <row r="629" spans="1:24" x14ac:dyDescent="0.3">
      <c r="A629" t="s">
        <v>2436</v>
      </c>
      <c r="B629" s="2">
        <v>45547</v>
      </c>
      <c r="C629" t="s">
        <v>576</v>
      </c>
      <c r="D629" t="s">
        <v>1713</v>
      </c>
      <c r="E629" t="s">
        <v>1787</v>
      </c>
      <c r="F629" s="4">
        <v>4</v>
      </c>
      <c r="G629">
        <v>969.55</v>
      </c>
      <c r="H629">
        <v>0.09</v>
      </c>
      <c r="I629" t="s">
        <v>1812</v>
      </c>
      <c r="J629">
        <v>3529.1619999999998</v>
      </c>
      <c r="K629" t="s">
        <v>577</v>
      </c>
      <c r="L629">
        <v>55</v>
      </c>
      <c r="M629" t="s">
        <v>9</v>
      </c>
      <c r="N629" t="s">
        <v>578</v>
      </c>
      <c r="O629" t="s">
        <v>170</v>
      </c>
      <c r="P629" t="s">
        <v>12</v>
      </c>
      <c r="Q629" t="s">
        <v>31</v>
      </c>
      <c r="R629" t="s">
        <v>3924</v>
      </c>
      <c r="S629" t="s">
        <v>1530</v>
      </c>
      <c r="T629" t="s">
        <v>3866</v>
      </c>
      <c r="U629" t="s">
        <v>1714</v>
      </c>
      <c r="V629" t="s">
        <v>1741</v>
      </c>
      <c r="W629" t="s">
        <v>1742</v>
      </c>
      <c r="X629" t="s">
        <v>1739</v>
      </c>
    </row>
    <row r="630" spans="1:24" x14ac:dyDescent="0.3">
      <c r="A630" t="s">
        <v>2437</v>
      </c>
      <c r="B630" s="2">
        <v>45433</v>
      </c>
      <c r="C630" t="s">
        <v>1409</v>
      </c>
      <c r="D630" t="s">
        <v>1679</v>
      </c>
      <c r="E630" t="s">
        <v>1777</v>
      </c>
      <c r="F630" s="4">
        <v>3</v>
      </c>
      <c r="G630">
        <v>322.94</v>
      </c>
      <c r="H630">
        <v>0.01</v>
      </c>
      <c r="I630" t="s">
        <v>1807</v>
      </c>
      <c r="J630">
        <v>959.13179999999988</v>
      </c>
      <c r="K630" t="s">
        <v>1410</v>
      </c>
      <c r="L630">
        <v>36</v>
      </c>
      <c r="M630" t="s">
        <v>16</v>
      </c>
      <c r="N630" t="s">
        <v>1411</v>
      </c>
      <c r="O630" t="s">
        <v>43</v>
      </c>
      <c r="P630" t="s">
        <v>12</v>
      </c>
      <c r="Q630" t="s">
        <v>31</v>
      </c>
      <c r="R630" t="s">
        <v>3907</v>
      </c>
      <c r="S630" t="s">
        <v>1546</v>
      </c>
      <c r="T630" t="s">
        <v>3826</v>
      </c>
      <c r="U630" t="s">
        <v>1680</v>
      </c>
      <c r="V630" t="s">
        <v>1741</v>
      </c>
      <c r="W630" t="s">
        <v>1742</v>
      </c>
      <c r="X630" t="s">
        <v>1739</v>
      </c>
    </row>
    <row r="631" spans="1:24" x14ac:dyDescent="0.3">
      <c r="A631" t="s">
        <v>2438</v>
      </c>
      <c r="B631" s="2">
        <v>45792</v>
      </c>
      <c r="C631" t="s">
        <v>1121</v>
      </c>
      <c r="D631" t="s">
        <v>1697</v>
      </c>
      <c r="E631" t="s">
        <v>1735</v>
      </c>
      <c r="F631" s="4">
        <v>1</v>
      </c>
      <c r="G631">
        <v>92.83</v>
      </c>
      <c r="H631">
        <v>0.26</v>
      </c>
      <c r="I631" t="s">
        <v>1809</v>
      </c>
      <c r="J631">
        <v>68.694199999999995</v>
      </c>
      <c r="K631" t="s">
        <v>3947</v>
      </c>
      <c r="L631">
        <v>23</v>
      </c>
      <c r="M631" t="s">
        <v>9</v>
      </c>
      <c r="N631" t="s">
        <v>1122</v>
      </c>
      <c r="O631" t="s">
        <v>162</v>
      </c>
      <c r="P631" t="s">
        <v>12</v>
      </c>
      <c r="Q631" t="s">
        <v>13</v>
      </c>
      <c r="R631" t="s">
        <v>3916</v>
      </c>
      <c r="S631" t="s">
        <v>1541</v>
      </c>
      <c r="T631" t="s">
        <v>3822</v>
      </c>
      <c r="U631" t="s">
        <v>1698</v>
      </c>
      <c r="V631" t="s">
        <v>1736</v>
      </c>
      <c r="W631" t="s">
        <v>1737</v>
      </c>
      <c r="X631" t="s">
        <v>1739</v>
      </c>
    </row>
    <row r="632" spans="1:24" x14ac:dyDescent="0.3">
      <c r="A632" t="s">
        <v>2439</v>
      </c>
      <c r="B632" s="2">
        <v>45804</v>
      </c>
      <c r="C632" t="s">
        <v>1290</v>
      </c>
      <c r="D632" t="s">
        <v>1545</v>
      </c>
      <c r="E632" t="s">
        <v>1749</v>
      </c>
      <c r="F632" s="4">
        <v>4</v>
      </c>
      <c r="G632">
        <v>432.29</v>
      </c>
      <c r="H632">
        <v>0.16</v>
      </c>
      <c r="I632" t="s">
        <v>1812</v>
      </c>
      <c r="J632">
        <v>1452.4944</v>
      </c>
      <c r="K632" t="s">
        <v>3949</v>
      </c>
      <c r="L632">
        <v>45</v>
      </c>
      <c r="M632" t="s">
        <v>16</v>
      </c>
      <c r="N632" t="s">
        <v>1291</v>
      </c>
      <c r="O632" t="s">
        <v>11</v>
      </c>
      <c r="P632" t="s">
        <v>12</v>
      </c>
      <c r="Q632" t="s">
        <v>26</v>
      </c>
      <c r="R632" t="s">
        <v>3912</v>
      </c>
      <c r="S632" t="s">
        <v>1527</v>
      </c>
      <c r="T632" t="s">
        <v>3824</v>
      </c>
      <c r="U632" t="s">
        <v>1690</v>
      </c>
      <c r="V632" t="s">
        <v>1750</v>
      </c>
      <c r="W632" t="s">
        <v>1742</v>
      </c>
      <c r="X632" t="s">
        <v>1748</v>
      </c>
    </row>
    <row r="633" spans="1:24" x14ac:dyDescent="0.3">
      <c r="A633" t="s">
        <v>2440</v>
      </c>
      <c r="B633" s="2">
        <v>45311</v>
      </c>
      <c r="C633" t="s">
        <v>289</v>
      </c>
      <c r="D633" t="s">
        <v>1609</v>
      </c>
      <c r="E633" t="s">
        <v>1780</v>
      </c>
      <c r="F633" s="4">
        <v>2</v>
      </c>
      <c r="G633">
        <v>925.78</v>
      </c>
      <c r="H633">
        <v>0.14000000000000001</v>
      </c>
      <c r="I633" t="s">
        <v>1812</v>
      </c>
      <c r="J633">
        <v>1592.3416</v>
      </c>
      <c r="K633" t="s">
        <v>290</v>
      </c>
      <c r="L633">
        <v>34</v>
      </c>
      <c r="M633" t="s">
        <v>16</v>
      </c>
      <c r="N633" t="s">
        <v>291</v>
      </c>
      <c r="O633" t="s">
        <v>230</v>
      </c>
      <c r="P633" t="s">
        <v>12</v>
      </c>
      <c r="Q633" t="s">
        <v>26</v>
      </c>
      <c r="R633" t="s">
        <v>3868</v>
      </c>
      <c r="S633" t="s">
        <v>1546</v>
      </c>
      <c r="T633" t="s">
        <v>3869</v>
      </c>
      <c r="U633" t="s">
        <v>1610</v>
      </c>
      <c r="V633" t="s">
        <v>1741</v>
      </c>
      <c r="W633" t="s">
        <v>1742</v>
      </c>
      <c r="X633" t="s">
        <v>1739</v>
      </c>
    </row>
    <row r="634" spans="1:24" x14ac:dyDescent="0.3">
      <c r="A634" t="s">
        <v>2441</v>
      </c>
      <c r="B634" s="2">
        <v>45605</v>
      </c>
      <c r="C634" t="s">
        <v>1453</v>
      </c>
      <c r="D634" t="s">
        <v>1581</v>
      </c>
      <c r="E634" t="s">
        <v>1775</v>
      </c>
      <c r="F634" s="4">
        <v>2</v>
      </c>
      <c r="G634">
        <v>151.47</v>
      </c>
      <c r="H634">
        <v>0.21</v>
      </c>
      <c r="I634" t="s">
        <v>1809</v>
      </c>
      <c r="J634">
        <v>239.32259999999999</v>
      </c>
      <c r="K634" t="s">
        <v>1454</v>
      </c>
      <c r="L634">
        <v>59</v>
      </c>
      <c r="M634" t="s">
        <v>9</v>
      </c>
      <c r="N634" t="s">
        <v>1455</v>
      </c>
      <c r="O634" t="s">
        <v>62</v>
      </c>
      <c r="P634" t="s">
        <v>12</v>
      </c>
      <c r="Q634" t="s">
        <v>19</v>
      </c>
      <c r="R634" t="s">
        <v>3852</v>
      </c>
      <c r="S634" t="s">
        <v>1530</v>
      </c>
      <c r="T634" t="s">
        <v>3820</v>
      </c>
      <c r="U634" t="s">
        <v>1582</v>
      </c>
      <c r="V634" t="s">
        <v>1741</v>
      </c>
      <c r="W634" t="s">
        <v>1742</v>
      </c>
      <c r="X634" t="s">
        <v>1739</v>
      </c>
    </row>
    <row r="635" spans="1:24" x14ac:dyDescent="0.3">
      <c r="A635" t="s">
        <v>2442</v>
      </c>
      <c r="B635" s="2">
        <v>45338</v>
      </c>
      <c r="C635" t="s">
        <v>1373</v>
      </c>
      <c r="D635" t="s">
        <v>1697</v>
      </c>
      <c r="E635" t="s">
        <v>1772</v>
      </c>
      <c r="F635" s="4">
        <v>1</v>
      </c>
      <c r="G635">
        <v>343.05</v>
      </c>
      <c r="H635">
        <v>0.28000000000000003</v>
      </c>
      <c r="I635" t="s">
        <v>1809</v>
      </c>
      <c r="J635">
        <v>246.99600000000001</v>
      </c>
      <c r="K635" t="s">
        <v>1374</v>
      </c>
      <c r="L635">
        <v>59</v>
      </c>
      <c r="M635" t="s">
        <v>9</v>
      </c>
      <c r="N635" t="s">
        <v>1375</v>
      </c>
      <c r="O635" t="s">
        <v>25</v>
      </c>
      <c r="P635" t="s">
        <v>12</v>
      </c>
      <c r="Q635" t="s">
        <v>26</v>
      </c>
      <c r="R635" t="s">
        <v>3916</v>
      </c>
      <c r="S635" t="s">
        <v>1541</v>
      </c>
      <c r="T635" t="s">
        <v>3822</v>
      </c>
      <c r="U635" t="s">
        <v>1698</v>
      </c>
      <c r="V635" t="s">
        <v>1741</v>
      </c>
      <c r="W635" t="s">
        <v>1742</v>
      </c>
      <c r="X635" t="s">
        <v>1739</v>
      </c>
    </row>
    <row r="636" spans="1:24" x14ac:dyDescent="0.3">
      <c r="A636" t="s">
        <v>2443</v>
      </c>
      <c r="B636" s="2">
        <v>45642</v>
      </c>
      <c r="C636" t="s">
        <v>241</v>
      </c>
      <c r="D636" t="s">
        <v>1565</v>
      </c>
      <c r="E636" t="s">
        <v>1752</v>
      </c>
      <c r="F636" s="4">
        <v>1</v>
      </c>
      <c r="G636">
        <v>373.06</v>
      </c>
      <c r="H636">
        <v>0.11</v>
      </c>
      <c r="I636" t="s">
        <v>1809</v>
      </c>
      <c r="J636">
        <v>332.02339999999998</v>
      </c>
      <c r="K636" t="s">
        <v>242</v>
      </c>
      <c r="L636">
        <v>58</v>
      </c>
      <c r="M636" t="s">
        <v>9</v>
      </c>
      <c r="N636" t="s">
        <v>243</v>
      </c>
      <c r="O636" t="s">
        <v>47</v>
      </c>
      <c r="P636" t="s">
        <v>12</v>
      </c>
      <c r="Q636" t="s">
        <v>31</v>
      </c>
      <c r="R636" t="s">
        <v>3841</v>
      </c>
      <c r="S636" t="s">
        <v>1549</v>
      </c>
      <c r="T636" t="s">
        <v>3820</v>
      </c>
      <c r="U636" t="s">
        <v>1566</v>
      </c>
      <c r="V636" t="s">
        <v>1753</v>
      </c>
      <c r="W636" t="s">
        <v>1746</v>
      </c>
      <c r="X636" t="s">
        <v>1755</v>
      </c>
    </row>
    <row r="637" spans="1:24" x14ac:dyDescent="0.3">
      <c r="A637" t="s">
        <v>2444</v>
      </c>
      <c r="B637" s="2">
        <v>45693</v>
      </c>
      <c r="C637" t="s">
        <v>1264</v>
      </c>
      <c r="D637" t="s">
        <v>1567</v>
      </c>
      <c r="E637" t="s">
        <v>1784</v>
      </c>
      <c r="F637" s="4">
        <v>1</v>
      </c>
      <c r="G637">
        <v>124.98</v>
      </c>
      <c r="H637">
        <v>7.0000000000000007E-2</v>
      </c>
      <c r="I637" t="s">
        <v>1812</v>
      </c>
      <c r="J637">
        <v>116.23139999999999</v>
      </c>
      <c r="K637" t="s">
        <v>1265</v>
      </c>
      <c r="L637">
        <v>23</v>
      </c>
      <c r="M637" t="s">
        <v>16</v>
      </c>
      <c r="N637" t="s">
        <v>1266</v>
      </c>
      <c r="O637" t="s">
        <v>25</v>
      </c>
      <c r="P637" t="s">
        <v>12</v>
      </c>
      <c r="Q637" t="s">
        <v>31</v>
      </c>
      <c r="R637" t="s">
        <v>3842</v>
      </c>
      <c r="S637" t="s">
        <v>1530</v>
      </c>
      <c r="T637" t="s">
        <v>3818</v>
      </c>
      <c r="U637" t="s">
        <v>1568</v>
      </c>
      <c r="V637" t="s">
        <v>1741</v>
      </c>
      <c r="W637" t="s">
        <v>1742</v>
      </c>
      <c r="X637" t="s">
        <v>1739</v>
      </c>
    </row>
    <row r="638" spans="1:24" x14ac:dyDescent="0.3">
      <c r="A638" t="s">
        <v>2445</v>
      </c>
      <c r="B638" s="2">
        <v>45763</v>
      </c>
      <c r="C638" t="s">
        <v>858</v>
      </c>
      <c r="D638" t="s">
        <v>1677</v>
      </c>
      <c r="E638" t="s">
        <v>1796</v>
      </c>
      <c r="F638" s="4">
        <v>4</v>
      </c>
      <c r="G638">
        <v>221.49</v>
      </c>
      <c r="H638">
        <v>0.26</v>
      </c>
      <c r="I638" t="s">
        <v>1809</v>
      </c>
      <c r="J638">
        <v>655.61040000000003</v>
      </c>
      <c r="K638" t="s">
        <v>859</v>
      </c>
      <c r="L638">
        <v>23</v>
      </c>
      <c r="M638" t="s">
        <v>9</v>
      </c>
      <c r="N638" t="s">
        <v>860</v>
      </c>
      <c r="O638" t="s">
        <v>30</v>
      </c>
      <c r="P638" t="s">
        <v>12</v>
      </c>
      <c r="Q638" t="s">
        <v>13</v>
      </c>
      <c r="R638" t="s">
        <v>3906</v>
      </c>
      <c r="S638" t="s">
        <v>1549</v>
      </c>
      <c r="T638" t="s">
        <v>3859</v>
      </c>
      <c r="U638" t="s">
        <v>1678</v>
      </c>
      <c r="V638" t="s">
        <v>1741</v>
      </c>
      <c r="W638" t="s">
        <v>1742</v>
      </c>
      <c r="X638" t="s">
        <v>1739</v>
      </c>
    </row>
    <row r="639" spans="1:24" x14ac:dyDescent="0.3">
      <c r="A639" t="s">
        <v>2446</v>
      </c>
      <c r="B639" s="2">
        <v>45572</v>
      </c>
      <c r="C639" t="s">
        <v>560</v>
      </c>
      <c r="D639" t="s">
        <v>1577</v>
      </c>
      <c r="E639" t="s">
        <v>1784</v>
      </c>
      <c r="F639" s="4">
        <v>1</v>
      </c>
      <c r="G639">
        <v>563.32000000000005</v>
      </c>
      <c r="H639">
        <v>0.01</v>
      </c>
      <c r="I639" t="s">
        <v>1809</v>
      </c>
      <c r="J639">
        <v>557.68680000000006</v>
      </c>
      <c r="K639" t="s">
        <v>3940</v>
      </c>
      <c r="L639">
        <v>44</v>
      </c>
      <c r="M639" t="s">
        <v>16</v>
      </c>
      <c r="N639" t="s">
        <v>561</v>
      </c>
      <c r="O639" t="s">
        <v>113</v>
      </c>
      <c r="P639" t="s">
        <v>12</v>
      </c>
      <c r="Q639" t="s">
        <v>13</v>
      </c>
      <c r="R639" t="s">
        <v>3849</v>
      </c>
      <c r="S639" t="s">
        <v>1530</v>
      </c>
      <c r="T639" t="s">
        <v>3813</v>
      </c>
      <c r="U639" t="s">
        <v>1578</v>
      </c>
      <c r="V639" t="s">
        <v>1741</v>
      </c>
      <c r="W639" t="s">
        <v>1742</v>
      </c>
      <c r="X639" t="s">
        <v>1739</v>
      </c>
    </row>
    <row r="640" spans="1:24" x14ac:dyDescent="0.3">
      <c r="A640" t="s">
        <v>2447</v>
      </c>
      <c r="B640" s="2">
        <v>45338</v>
      </c>
      <c r="C640" t="s">
        <v>1204</v>
      </c>
      <c r="D640" t="s">
        <v>1553</v>
      </c>
      <c r="E640" t="s">
        <v>1735</v>
      </c>
      <c r="F640" s="4">
        <v>1</v>
      </c>
      <c r="G640">
        <v>362.93</v>
      </c>
      <c r="H640">
        <v>0.27</v>
      </c>
      <c r="I640" t="s">
        <v>1807</v>
      </c>
      <c r="J640">
        <v>264.93889999999999</v>
      </c>
      <c r="K640" t="s">
        <v>1205</v>
      </c>
      <c r="L640">
        <v>40</v>
      </c>
      <c r="M640" t="s">
        <v>16</v>
      </c>
      <c r="N640" t="s">
        <v>1206</v>
      </c>
      <c r="O640" t="s">
        <v>288</v>
      </c>
      <c r="P640" t="s">
        <v>12</v>
      </c>
      <c r="Q640" t="s">
        <v>31</v>
      </c>
      <c r="R640" t="s">
        <v>3831</v>
      </c>
      <c r="S640" t="s">
        <v>1546</v>
      </c>
      <c r="T640" t="s">
        <v>3820</v>
      </c>
      <c r="U640" t="s">
        <v>1554</v>
      </c>
      <c r="V640" t="s">
        <v>1736</v>
      </c>
      <c r="W640" t="s">
        <v>1737</v>
      </c>
      <c r="X640" t="s">
        <v>1739</v>
      </c>
    </row>
    <row r="641" spans="1:24" x14ac:dyDescent="0.3">
      <c r="A641" t="s">
        <v>2448</v>
      </c>
      <c r="B641" s="2">
        <v>45373</v>
      </c>
      <c r="C641" t="s">
        <v>1045</v>
      </c>
      <c r="D641" t="s">
        <v>1553</v>
      </c>
      <c r="E641" t="s">
        <v>1784</v>
      </c>
      <c r="F641" s="4">
        <v>4</v>
      </c>
      <c r="G641">
        <v>369.22</v>
      </c>
      <c r="H641">
        <v>0.18</v>
      </c>
      <c r="I641" t="s">
        <v>1812</v>
      </c>
      <c r="J641">
        <v>1211.0416</v>
      </c>
      <c r="K641" t="s">
        <v>1046</v>
      </c>
      <c r="L641">
        <v>40</v>
      </c>
      <c r="M641" t="s">
        <v>16</v>
      </c>
      <c r="N641" t="s">
        <v>1047</v>
      </c>
      <c r="O641" t="s">
        <v>35</v>
      </c>
      <c r="P641" t="s">
        <v>12</v>
      </c>
      <c r="Q641" t="s">
        <v>31</v>
      </c>
      <c r="R641" t="s">
        <v>3831</v>
      </c>
      <c r="S641" t="s">
        <v>1546</v>
      </c>
      <c r="T641" t="s">
        <v>3820</v>
      </c>
      <c r="U641" t="s">
        <v>1554</v>
      </c>
      <c r="V641" t="s">
        <v>1741</v>
      </c>
      <c r="W641" t="s">
        <v>1742</v>
      </c>
      <c r="X641" t="s">
        <v>1739</v>
      </c>
    </row>
    <row r="642" spans="1:24" x14ac:dyDescent="0.3">
      <c r="A642" t="s">
        <v>2449</v>
      </c>
      <c r="B642" s="2">
        <v>45590</v>
      </c>
      <c r="C642" t="s">
        <v>1261</v>
      </c>
      <c r="D642" t="s">
        <v>1723</v>
      </c>
      <c r="E642" t="s">
        <v>1782</v>
      </c>
      <c r="F642" s="4">
        <v>3</v>
      </c>
      <c r="G642">
        <v>950.83</v>
      </c>
      <c r="H642">
        <v>0.06</v>
      </c>
      <c r="I642" t="s">
        <v>1809</v>
      </c>
      <c r="J642">
        <v>2681.3406</v>
      </c>
      <c r="K642" t="s">
        <v>1262</v>
      </c>
      <c r="L642">
        <v>63</v>
      </c>
      <c r="M642" t="s">
        <v>9</v>
      </c>
      <c r="N642" t="s">
        <v>1263</v>
      </c>
      <c r="O642" t="s">
        <v>88</v>
      </c>
      <c r="P642" t="s">
        <v>12</v>
      </c>
      <c r="Q642" t="s">
        <v>26</v>
      </c>
      <c r="R642" t="s">
        <v>3929</v>
      </c>
      <c r="S642" t="s">
        <v>1530</v>
      </c>
      <c r="T642" t="s">
        <v>3815</v>
      </c>
      <c r="U642" t="s">
        <v>1724</v>
      </c>
      <c r="V642" t="s">
        <v>1741</v>
      </c>
      <c r="W642" t="s">
        <v>1742</v>
      </c>
      <c r="X642" t="s">
        <v>1739</v>
      </c>
    </row>
    <row r="643" spans="1:24" x14ac:dyDescent="0.3">
      <c r="A643" t="s">
        <v>2450</v>
      </c>
      <c r="B643" s="2">
        <v>45365</v>
      </c>
      <c r="C643" t="s">
        <v>479</v>
      </c>
      <c r="D643" t="s">
        <v>1605</v>
      </c>
      <c r="E643" t="s">
        <v>1780</v>
      </c>
      <c r="F643" s="4">
        <v>3</v>
      </c>
      <c r="G643">
        <v>338.79</v>
      </c>
      <c r="H643">
        <v>0.01</v>
      </c>
      <c r="I643" t="s">
        <v>1807</v>
      </c>
      <c r="J643">
        <v>1006.2063000000001</v>
      </c>
      <c r="K643" t="s">
        <v>480</v>
      </c>
      <c r="L643">
        <v>62</v>
      </c>
      <c r="M643" t="s">
        <v>16</v>
      </c>
      <c r="N643" t="s">
        <v>481</v>
      </c>
      <c r="O643" t="s">
        <v>22</v>
      </c>
      <c r="P643" t="s">
        <v>12</v>
      </c>
      <c r="Q643" t="s">
        <v>26</v>
      </c>
      <c r="R643" t="s">
        <v>3865</v>
      </c>
      <c r="S643" t="s">
        <v>1530</v>
      </c>
      <c r="T643" t="s">
        <v>3866</v>
      </c>
      <c r="U643" t="s">
        <v>1606</v>
      </c>
      <c r="V643" t="s">
        <v>1741</v>
      </c>
      <c r="W643" t="s">
        <v>1742</v>
      </c>
      <c r="X643" t="s">
        <v>1739</v>
      </c>
    </row>
    <row r="644" spans="1:24" x14ac:dyDescent="0.3">
      <c r="A644" t="s">
        <v>2451</v>
      </c>
      <c r="B644" s="2">
        <v>45711</v>
      </c>
      <c r="C644" t="s">
        <v>488</v>
      </c>
      <c r="D644" t="s">
        <v>1711</v>
      </c>
      <c r="E644" t="s">
        <v>1740</v>
      </c>
      <c r="F644" s="4">
        <v>3</v>
      </c>
      <c r="G644">
        <v>853.32</v>
      </c>
      <c r="H644">
        <v>7.0000000000000007E-2</v>
      </c>
      <c r="I644" t="s">
        <v>1812</v>
      </c>
      <c r="J644">
        <v>2380.7628</v>
      </c>
      <c r="K644" t="s">
        <v>489</v>
      </c>
      <c r="L644">
        <v>49</v>
      </c>
      <c r="M644" t="s">
        <v>16</v>
      </c>
      <c r="N644" t="s">
        <v>490</v>
      </c>
      <c r="O644" t="s">
        <v>312</v>
      </c>
      <c r="P644" t="s">
        <v>12</v>
      </c>
      <c r="Q644" t="s">
        <v>13</v>
      </c>
      <c r="R644" t="s">
        <v>3923</v>
      </c>
      <c r="S644" t="s">
        <v>1546</v>
      </c>
      <c r="T644" t="s">
        <v>3820</v>
      </c>
      <c r="U644" t="s">
        <v>1712</v>
      </c>
      <c r="V644" t="s">
        <v>1741</v>
      </c>
      <c r="W644" t="s">
        <v>1742</v>
      </c>
      <c r="X644" t="s">
        <v>1739</v>
      </c>
    </row>
    <row r="645" spans="1:24" x14ac:dyDescent="0.3">
      <c r="A645" t="s">
        <v>2452</v>
      </c>
      <c r="B645" s="2">
        <v>45586</v>
      </c>
      <c r="C645" t="s">
        <v>497</v>
      </c>
      <c r="D645" t="s">
        <v>1683</v>
      </c>
      <c r="E645" t="s">
        <v>1759</v>
      </c>
      <c r="F645" s="4">
        <v>3</v>
      </c>
      <c r="G645">
        <v>89.78</v>
      </c>
      <c r="H645">
        <v>0.2</v>
      </c>
      <c r="I645" t="s">
        <v>1812</v>
      </c>
      <c r="J645">
        <v>215.47200000000001</v>
      </c>
      <c r="K645" t="s">
        <v>498</v>
      </c>
      <c r="L645">
        <v>24</v>
      </c>
      <c r="M645" t="s">
        <v>9</v>
      </c>
      <c r="N645" t="s">
        <v>499</v>
      </c>
      <c r="O645" t="s">
        <v>247</v>
      </c>
      <c r="P645" t="s">
        <v>12</v>
      </c>
      <c r="Q645" t="s">
        <v>19</v>
      </c>
      <c r="R645" t="s">
        <v>3909</v>
      </c>
      <c r="S645" t="s">
        <v>1546</v>
      </c>
      <c r="T645" t="s">
        <v>3811</v>
      </c>
      <c r="U645" t="s">
        <v>1684</v>
      </c>
      <c r="V645" t="s">
        <v>1760</v>
      </c>
      <c r="W645" t="s">
        <v>1737</v>
      </c>
      <c r="X645" t="s">
        <v>1755</v>
      </c>
    </row>
    <row r="646" spans="1:24" x14ac:dyDescent="0.3">
      <c r="A646" t="s">
        <v>2453</v>
      </c>
      <c r="B646" s="2">
        <v>45334</v>
      </c>
      <c r="C646" t="s">
        <v>622</v>
      </c>
      <c r="D646" t="s">
        <v>1641</v>
      </c>
      <c r="E646" t="s">
        <v>1740</v>
      </c>
      <c r="F646" s="4">
        <v>1</v>
      </c>
      <c r="G646">
        <v>172.04</v>
      </c>
      <c r="H646">
        <v>0.04</v>
      </c>
      <c r="I646" t="s">
        <v>1809</v>
      </c>
      <c r="J646">
        <v>165.1584</v>
      </c>
      <c r="K646" t="s">
        <v>623</v>
      </c>
      <c r="L646">
        <v>26</v>
      </c>
      <c r="M646" t="s">
        <v>9</v>
      </c>
      <c r="N646" t="s">
        <v>624</v>
      </c>
      <c r="O646" t="s">
        <v>25</v>
      </c>
      <c r="P646" t="s">
        <v>12</v>
      </c>
      <c r="Q646" t="s">
        <v>26</v>
      </c>
      <c r="R646" t="s">
        <v>3887</v>
      </c>
      <c r="S646" t="s">
        <v>1527</v>
      </c>
      <c r="T646" t="s">
        <v>3836</v>
      </c>
      <c r="U646" t="s">
        <v>1642</v>
      </c>
      <c r="V646" t="s">
        <v>1741</v>
      </c>
      <c r="W646" t="s">
        <v>1742</v>
      </c>
      <c r="X646" t="s">
        <v>1739</v>
      </c>
    </row>
    <row r="647" spans="1:24" x14ac:dyDescent="0.3">
      <c r="A647" t="s">
        <v>2454</v>
      </c>
      <c r="B647" s="2">
        <v>45333</v>
      </c>
      <c r="C647" t="s">
        <v>1424</v>
      </c>
      <c r="D647" t="s">
        <v>1639</v>
      </c>
      <c r="E647" t="s">
        <v>1740</v>
      </c>
      <c r="F647" s="4">
        <v>1</v>
      </c>
      <c r="G647">
        <v>389.2</v>
      </c>
      <c r="H647">
        <v>0.05</v>
      </c>
      <c r="I647" t="s">
        <v>1807</v>
      </c>
      <c r="J647">
        <v>369.74</v>
      </c>
      <c r="K647" t="s">
        <v>1425</v>
      </c>
      <c r="L647">
        <v>45</v>
      </c>
      <c r="M647" t="s">
        <v>9</v>
      </c>
      <c r="N647" t="s">
        <v>1426</v>
      </c>
      <c r="O647" t="s">
        <v>170</v>
      </c>
      <c r="P647" t="s">
        <v>12</v>
      </c>
      <c r="Q647" t="s">
        <v>13</v>
      </c>
      <c r="R647" t="s">
        <v>3886</v>
      </c>
      <c r="S647" t="s">
        <v>1549</v>
      </c>
      <c r="T647" t="s">
        <v>3820</v>
      </c>
      <c r="U647" t="s">
        <v>1640</v>
      </c>
      <c r="V647" t="s">
        <v>1741</v>
      </c>
      <c r="W647" t="s">
        <v>1742</v>
      </c>
      <c r="X647" t="s">
        <v>1739</v>
      </c>
    </row>
    <row r="648" spans="1:24" x14ac:dyDescent="0.3">
      <c r="A648" t="s">
        <v>2455</v>
      </c>
      <c r="B648" s="2">
        <v>45778</v>
      </c>
      <c r="C648" t="s">
        <v>1406</v>
      </c>
      <c r="D648" t="s">
        <v>1685</v>
      </c>
      <c r="E648" t="s">
        <v>1780</v>
      </c>
      <c r="F648" s="4">
        <v>3</v>
      </c>
      <c r="G648">
        <v>865.96</v>
      </c>
      <c r="H648">
        <v>0.12</v>
      </c>
      <c r="I648" t="s">
        <v>1809</v>
      </c>
      <c r="J648">
        <v>2286.1343999999999</v>
      </c>
      <c r="K648" t="s">
        <v>1407</v>
      </c>
      <c r="L648">
        <v>34</v>
      </c>
      <c r="M648" t="s">
        <v>16</v>
      </c>
      <c r="N648" t="s">
        <v>1408</v>
      </c>
      <c r="O648" t="s">
        <v>62</v>
      </c>
      <c r="P648" t="s">
        <v>12</v>
      </c>
      <c r="Q648" t="s">
        <v>31</v>
      </c>
      <c r="R648" t="s">
        <v>3910</v>
      </c>
      <c r="S648" t="s">
        <v>1546</v>
      </c>
      <c r="T648" t="s">
        <v>3838</v>
      </c>
      <c r="U648" t="s">
        <v>1686</v>
      </c>
      <c r="V648" t="s">
        <v>1741</v>
      </c>
      <c r="W648" t="s">
        <v>1742</v>
      </c>
      <c r="X648" t="s">
        <v>1739</v>
      </c>
    </row>
    <row r="649" spans="1:24" x14ac:dyDescent="0.3">
      <c r="A649" t="s">
        <v>2456</v>
      </c>
      <c r="B649" s="2">
        <v>45592</v>
      </c>
      <c r="C649" t="s">
        <v>557</v>
      </c>
      <c r="D649" t="s">
        <v>1569</v>
      </c>
      <c r="E649" t="s">
        <v>1740</v>
      </c>
      <c r="F649" s="4">
        <v>3</v>
      </c>
      <c r="G649">
        <v>79.95</v>
      </c>
      <c r="H649">
        <v>0.2</v>
      </c>
      <c r="I649" t="s">
        <v>1812</v>
      </c>
      <c r="J649">
        <v>191.88</v>
      </c>
      <c r="K649" t="s">
        <v>558</v>
      </c>
      <c r="L649">
        <v>18</v>
      </c>
      <c r="M649" t="s">
        <v>9</v>
      </c>
      <c r="N649" t="s">
        <v>559</v>
      </c>
      <c r="O649" t="s">
        <v>47</v>
      </c>
      <c r="P649" t="s">
        <v>12</v>
      </c>
      <c r="Q649" t="s">
        <v>26</v>
      </c>
      <c r="R649" t="s">
        <v>3843</v>
      </c>
      <c r="S649" t="s">
        <v>1549</v>
      </c>
      <c r="T649" t="s">
        <v>3844</v>
      </c>
      <c r="U649" t="s">
        <v>1570</v>
      </c>
      <c r="V649" t="s">
        <v>1741</v>
      </c>
      <c r="W649" t="s">
        <v>1742</v>
      </c>
      <c r="X649" t="s">
        <v>1739</v>
      </c>
    </row>
    <row r="650" spans="1:24" x14ac:dyDescent="0.3">
      <c r="A650" t="s">
        <v>2457</v>
      </c>
      <c r="B650" s="2">
        <v>45259</v>
      </c>
      <c r="C650" t="s">
        <v>1177</v>
      </c>
      <c r="D650" t="s">
        <v>1583</v>
      </c>
      <c r="E650" t="s">
        <v>1762</v>
      </c>
      <c r="F650" s="4">
        <v>1</v>
      </c>
      <c r="G650">
        <v>566.5</v>
      </c>
      <c r="H650">
        <v>0.25</v>
      </c>
      <c r="I650" t="s">
        <v>1812</v>
      </c>
      <c r="J650">
        <v>424.875</v>
      </c>
      <c r="K650" t="s">
        <v>1178</v>
      </c>
      <c r="L650">
        <v>20</v>
      </c>
      <c r="M650" t="s">
        <v>16</v>
      </c>
      <c r="N650" t="s">
        <v>1179</v>
      </c>
      <c r="O650" t="s">
        <v>22</v>
      </c>
      <c r="P650" t="s">
        <v>12</v>
      </c>
      <c r="Q650" t="s">
        <v>31</v>
      </c>
      <c r="R650" t="s">
        <v>3853</v>
      </c>
      <c r="S650" t="s">
        <v>1546</v>
      </c>
      <c r="T650" t="s">
        <v>3826</v>
      </c>
      <c r="U650" t="s">
        <v>1584</v>
      </c>
      <c r="V650" t="s">
        <v>1763</v>
      </c>
      <c r="W650" t="s">
        <v>1746</v>
      </c>
      <c r="X650" t="s">
        <v>1755</v>
      </c>
    </row>
    <row r="651" spans="1:24" x14ac:dyDescent="0.3">
      <c r="A651" t="s">
        <v>2458</v>
      </c>
      <c r="B651" s="2">
        <v>45801</v>
      </c>
      <c r="C651" t="s">
        <v>1238</v>
      </c>
      <c r="D651" t="s">
        <v>1573</v>
      </c>
      <c r="E651" t="s">
        <v>1735</v>
      </c>
      <c r="F651" s="4">
        <v>2</v>
      </c>
      <c r="G651">
        <v>347.95</v>
      </c>
      <c r="H651">
        <v>0.13</v>
      </c>
      <c r="I651" t="s">
        <v>1812</v>
      </c>
      <c r="J651">
        <v>605.43299999999999</v>
      </c>
      <c r="K651" t="s">
        <v>1239</v>
      </c>
      <c r="L651">
        <v>34</v>
      </c>
      <c r="M651" t="s">
        <v>9</v>
      </c>
      <c r="N651" t="s">
        <v>80</v>
      </c>
      <c r="O651" t="s">
        <v>309</v>
      </c>
      <c r="P651" t="s">
        <v>12</v>
      </c>
      <c r="Q651" t="s">
        <v>26</v>
      </c>
      <c r="R651" t="s">
        <v>3846</v>
      </c>
      <c r="S651" t="s">
        <v>1527</v>
      </c>
      <c r="T651" t="s">
        <v>3847</v>
      </c>
      <c r="U651" t="s">
        <v>1574</v>
      </c>
      <c r="V651" t="s">
        <v>1736</v>
      </c>
      <c r="W651" t="s">
        <v>1737</v>
      </c>
      <c r="X651" t="s">
        <v>1739</v>
      </c>
    </row>
    <row r="652" spans="1:24" x14ac:dyDescent="0.3">
      <c r="A652" t="s">
        <v>2459</v>
      </c>
      <c r="B652" s="2">
        <v>45347</v>
      </c>
      <c r="C652" t="s">
        <v>675</v>
      </c>
      <c r="D652" t="s">
        <v>1647</v>
      </c>
      <c r="E652" t="s">
        <v>1749</v>
      </c>
      <c r="F652" s="4">
        <v>2</v>
      </c>
      <c r="G652">
        <v>250.83</v>
      </c>
      <c r="H652">
        <v>0.15</v>
      </c>
      <c r="I652" t="s">
        <v>1809</v>
      </c>
      <c r="J652">
        <v>426.411</v>
      </c>
      <c r="K652" t="s">
        <v>676</v>
      </c>
      <c r="L652">
        <v>48</v>
      </c>
      <c r="M652" t="s">
        <v>9</v>
      </c>
      <c r="N652" t="s">
        <v>677</v>
      </c>
      <c r="O652" t="s">
        <v>429</v>
      </c>
      <c r="P652" t="s">
        <v>12</v>
      </c>
      <c r="Q652" t="s">
        <v>19</v>
      </c>
      <c r="R652" t="s">
        <v>3890</v>
      </c>
      <c r="S652" t="s">
        <v>1530</v>
      </c>
      <c r="T652" t="s">
        <v>3820</v>
      </c>
      <c r="U652" t="s">
        <v>1648</v>
      </c>
      <c r="V652" t="s">
        <v>1750</v>
      </c>
      <c r="W652" t="s">
        <v>1742</v>
      </c>
      <c r="X652" t="s">
        <v>1748</v>
      </c>
    </row>
    <row r="653" spans="1:24" x14ac:dyDescent="0.3">
      <c r="A653" t="s">
        <v>2460</v>
      </c>
      <c r="B653" s="2">
        <v>45721</v>
      </c>
      <c r="C653" t="s">
        <v>497</v>
      </c>
      <c r="D653" t="s">
        <v>1673</v>
      </c>
      <c r="E653" t="s">
        <v>1740</v>
      </c>
      <c r="F653" s="4">
        <v>1</v>
      </c>
      <c r="G653">
        <v>888.05</v>
      </c>
      <c r="H653">
        <v>0.2</v>
      </c>
      <c r="I653" t="s">
        <v>1809</v>
      </c>
      <c r="J653">
        <v>710.44</v>
      </c>
      <c r="K653" t="s">
        <v>498</v>
      </c>
      <c r="L653">
        <v>24</v>
      </c>
      <c r="M653" t="s">
        <v>9</v>
      </c>
      <c r="N653" t="s">
        <v>499</v>
      </c>
      <c r="O653" t="s">
        <v>247</v>
      </c>
      <c r="P653" t="s">
        <v>12</v>
      </c>
      <c r="Q653" t="s">
        <v>19</v>
      </c>
      <c r="R653" t="s">
        <v>3904</v>
      </c>
      <c r="S653" t="s">
        <v>1541</v>
      </c>
      <c r="T653" t="s">
        <v>3833</v>
      </c>
      <c r="U653" t="s">
        <v>1674</v>
      </c>
      <c r="V653" t="s">
        <v>1741</v>
      </c>
      <c r="W653" t="s">
        <v>1742</v>
      </c>
      <c r="X653" t="s">
        <v>1739</v>
      </c>
    </row>
    <row r="654" spans="1:24" x14ac:dyDescent="0.3">
      <c r="A654" t="s">
        <v>2461</v>
      </c>
      <c r="B654" s="2">
        <v>45531</v>
      </c>
      <c r="C654" t="s">
        <v>36</v>
      </c>
      <c r="D654" t="s">
        <v>1609</v>
      </c>
      <c r="E654" t="s">
        <v>1793</v>
      </c>
      <c r="F654" s="4">
        <v>2</v>
      </c>
      <c r="G654">
        <v>673.02</v>
      </c>
      <c r="H654">
        <v>0.11</v>
      </c>
      <c r="I654" t="s">
        <v>1809</v>
      </c>
      <c r="J654">
        <v>1197.9756</v>
      </c>
      <c r="K654" t="s">
        <v>37</v>
      </c>
      <c r="L654">
        <v>29</v>
      </c>
      <c r="M654" t="s">
        <v>16</v>
      </c>
      <c r="N654" t="s">
        <v>38</v>
      </c>
      <c r="O654" t="s">
        <v>39</v>
      </c>
      <c r="P654" t="s">
        <v>12</v>
      </c>
      <c r="Q654" t="s">
        <v>19</v>
      </c>
      <c r="R654" t="s">
        <v>3868</v>
      </c>
      <c r="S654" t="s">
        <v>1546</v>
      </c>
      <c r="T654" t="s">
        <v>3869</v>
      </c>
      <c r="U654" t="s">
        <v>1610</v>
      </c>
      <c r="V654" t="s">
        <v>1741</v>
      </c>
      <c r="W654" t="s">
        <v>1742</v>
      </c>
      <c r="X654" t="s">
        <v>1739</v>
      </c>
    </row>
    <row r="655" spans="1:24" x14ac:dyDescent="0.3">
      <c r="A655" t="s">
        <v>2462</v>
      </c>
      <c r="B655" s="2">
        <v>45332</v>
      </c>
      <c r="C655" t="s">
        <v>1346</v>
      </c>
      <c r="D655" t="s">
        <v>1659</v>
      </c>
      <c r="E655" t="s">
        <v>1749</v>
      </c>
      <c r="F655" s="4">
        <v>2</v>
      </c>
      <c r="G655">
        <v>492.62</v>
      </c>
      <c r="H655">
        <v>0.26</v>
      </c>
      <c r="I655" t="s">
        <v>1812</v>
      </c>
      <c r="J655">
        <v>729.07759999999996</v>
      </c>
      <c r="K655" t="s">
        <v>1347</v>
      </c>
      <c r="L655">
        <v>31</v>
      </c>
      <c r="M655" t="s">
        <v>9</v>
      </c>
      <c r="N655" t="s">
        <v>1348</v>
      </c>
      <c r="O655" t="s">
        <v>18</v>
      </c>
      <c r="P655" t="s">
        <v>12</v>
      </c>
      <c r="Q655" t="s">
        <v>31</v>
      </c>
      <c r="R655" t="s">
        <v>3896</v>
      </c>
      <c r="S655" t="s">
        <v>1541</v>
      </c>
      <c r="T655" t="s">
        <v>3878</v>
      </c>
      <c r="U655" t="s">
        <v>1660</v>
      </c>
      <c r="V655" t="s">
        <v>1750</v>
      </c>
      <c r="W655" t="s">
        <v>1742</v>
      </c>
      <c r="X655" t="s">
        <v>1748</v>
      </c>
    </row>
    <row r="656" spans="1:24" x14ac:dyDescent="0.3">
      <c r="A656" t="s">
        <v>2463</v>
      </c>
      <c r="B656" s="2">
        <v>45344</v>
      </c>
      <c r="C656" t="s">
        <v>1162</v>
      </c>
      <c r="D656" t="s">
        <v>1701</v>
      </c>
      <c r="E656" t="s">
        <v>1749</v>
      </c>
      <c r="F656" s="4">
        <v>4</v>
      </c>
      <c r="G656">
        <v>986.93</v>
      </c>
      <c r="H656">
        <v>0.01</v>
      </c>
      <c r="I656" t="s">
        <v>1807</v>
      </c>
      <c r="J656">
        <v>3908.2428</v>
      </c>
      <c r="K656" t="s">
        <v>1163</v>
      </c>
      <c r="L656">
        <v>39</v>
      </c>
      <c r="M656" t="s">
        <v>16</v>
      </c>
      <c r="N656" t="s">
        <v>1164</v>
      </c>
      <c r="O656" t="s">
        <v>166</v>
      </c>
      <c r="P656" t="s">
        <v>12</v>
      </c>
      <c r="Q656" t="s">
        <v>26</v>
      </c>
      <c r="R656" t="s">
        <v>3918</v>
      </c>
      <c r="S656" t="s">
        <v>1530</v>
      </c>
      <c r="T656" t="s">
        <v>3820</v>
      </c>
      <c r="U656" t="s">
        <v>1702</v>
      </c>
      <c r="V656" t="s">
        <v>1750</v>
      </c>
      <c r="W656" t="s">
        <v>1742</v>
      </c>
      <c r="X656" t="s">
        <v>1748</v>
      </c>
    </row>
    <row r="657" spans="1:24" x14ac:dyDescent="0.3">
      <c r="A657" t="s">
        <v>2464</v>
      </c>
      <c r="B657" s="2">
        <v>45388</v>
      </c>
      <c r="C657" t="s">
        <v>1458</v>
      </c>
      <c r="D657" t="s">
        <v>1575</v>
      </c>
      <c r="E657" t="s">
        <v>1777</v>
      </c>
      <c r="F657" s="4">
        <v>4</v>
      </c>
      <c r="G657">
        <v>411.68</v>
      </c>
      <c r="H657">
        <v>0.06</v>
      </c>
      <c r="I657" t="s">
        <v>1809</v>
      </c>
      <c r="J657">
        <v>1547.9168</v>
      </c>
      <c r="K657" t="s">
        <v>1459</v>
      </c>
      <c r="L657">
        <v>33</v>
      </c>
      <c r="M657" t="s">
        <v>9</v>
      </c>
      <c r="N657" t="s">
        <v>1460</v>
      </c>
      <c r="O657" t="s">
        <v>43</v>
      </c>
      <c r="P657" t="s">
        <v>12</v>
      </c>
      <c r="Q657" t="s">
        <v>26</v>
      </c>
      <c r="R657" t="s">
        <v>3848</v>
      </c>
      <c r="S657" t="s">
        <v>1549</v>
      </c>
      <c r="T657" t="s">
        <v>3844</v>
      </c>
      <c r="U657" t="s">
        <v>1576</v>
      </c>
      <c r="V657" t="s">
        <v>1741</v>
      </c>
      <c r="W657" t="s">
        <v>1742</v>
      </c>
      <c r="X657" t="s">
        <v>1739</v>
      </c>
    </row>
    <row r="658" spans="1:24" x14ac:dyDescent="0.3">
      <c r="A658" t="s">
        <v>2465</v>
      </c>
      <c r="B658" s="2">
        <v>45397</v>
      </c>
      <c r="C658" t="s">
        <v>705</v>
      </c>
      <c r="D658" t="s">
        <v>1603</v>
      </c>
      <c r="E658" t="s">
        <v>1790</v>
      </c>
      <c r="F658" s="4">
        <v>2</v>
      </c>
      <c r="G658">
        <v>637.55999999999995</v>
      </c>
      <c r="H658">
        <v>0.05</v>
      </c>
      <c r="I658" t="s">
        <v>1812</v>
      </c>
      <c r="J658">
        <v>1211.364</v>
      </c>
      <c r="K658" t="s">
        <v>706</v>
      </c>
      <c r="L658">
        <v>50</v>
      </c>
      <c r="M658" t="s">
        <v>16</v>
      </c>
      <c r="N658" t="s">
        <v>3809</v>
      </c>
      <c r="O658" t="s">
        <v>88</v>
      </c>
      <c r="P658" t="s">
        <v>12</v>
      </c>
      <c r="Q658" t="s">
        <v>13</v>
      </c>
      <c r="R658" t="s">
        <v>3864</v>
      </c>
      <c r="S658" t="s">
        <v>1530</v>
      </c>
      <c r="T658" t="s">
        <v>3813</v>
      </c>
      <c r="U658" t="s">
        <v>1604</v>
      </c>
      <c r="V658" t="s">
        <v>1741</v>
      </c>
      <c r="W658" t="s">
        <v>1742</v>
      </c>
      <c r="X658" t="s">
        <v>1739</v>
      </c>
    </row>
    <row r="659" spans="1:24" x14ac:dyDescent="0.3">
      <c r="A659" t="s">
        <v>2466</v>
      </c>
      <c r="B659" s="2">
        <v>45633</v>
      </c>
      <c r="C659" t="s">
        <v>67</v>
      </c>
      <c r="D659" t="s">
        <v>1557</v>
      </c>
      <c r="E659" t="s">
        <v>1749</v>
      </c>
      <c r="F659" s="4">
        <v>3</v>
      </c>
      <c r="G659">
        <v>706.87</v>
      </c>
      <c r="H659">
        <v>0.27</v>
      </c>
      <c r="I659" t="s">
        <v>1807</v>
      </c>
      <c r="J659">
        <v>1548.0453</v>
      </c>
      <c r="K659" t="s">
        <v>68</v>
      </c>
      <c r="L659">
        <v>49</v>
      </c>
      <c r="M659" t="s">
        <v>16</v>
      </c>
      <c r="N659" t="s">
        <v>69</v>
      </c>
      <c r="O659" t="s">
        <v>70</v>
      </c>
      <c r="P659" t="s">
        <v>12</v>
      </c>
      <c r="Q659" t="s">
        <v>31</v>
      </c>
      <c r="R659" t="s">
        <v>3834</v>
      </c>
      <c r="S659" t="s">
        <v>1546</v>
      </c>
      <c r="T659" t="s">
        <v>3820</v>
      </c>
      <c r="U659" t="s">
        <v>1558</v>
      </c>
      <c r="V659" t="s">
        <v>1750</v>
      </c>
      <c r="W659" t="s">
        <v>1742</v>
      </c>
      <c r="X659" t="s">
        <v>1748</v>
      </c>
    </row>
    <row r="660" spans="1:24" x14ac:dyDescent="0.3">
      <c r="A660" t="s">
        <v>2467</v>
      </c>
      <c r="B660" s="2">
        <v>45629</v>
      </c>
      <c r="C660" t="s">
        <v>205</v>
      </c>
      <c r="D660" t="s">
        <v>1561</v>
      </c>
      <c r="E660" t="s">
        <v>1759</v>
      </c>
      <c r="F660" s="4">
        <v>2</v>
      </c>
      <c r="G660">
        <v>884.48</v>
      </c>
      <c r="H660">
        <v>0</v>
      </c>
      <c r="I660" t="s">
        <v>1812</v>
      </c>
      <c r="J660">
        <v>1768.96</v>
      </c>
      <c r="K660" t="s">
        <v>206</v>
      </c>
      <c r="L660">
        <v>49</v>
      </c>
      <c r="M660" t="s">
        <v>16</v>
      </c>
      <c r="N660" t="s">
        <v>207</v>
      </c>
      <c r="O660" t="s">
        <v>198</v>
      </c>
      <c r="P660" t="s">
        <v>12</v>
      </c>
      <c r="Q660" t="s">
        <v>26</v>
      </c>
      <c r="R660" t="s">
        <v>3837</v>
      </c>
      <c r="S660" t="s">
        <v>1546</v>
      </c>
      <c r="T660" t="s">
        <v>3838</v>
      </c>
      <c r="U660" t="s">
        <v>1562</v>
      </c>
      <c r="V660" t="s">
        <v>1760</v>
      </c>
      <c r="W660" t="s">
        <v>1737</v>
      </c>
      <c r="X660" t="s">
        <v>1755</v>
      </c>
    </row>
    <row r="661" spans="1:24" x14ac:dyDescent="0.3">
      <c r="A661" t="s">
        <v>2468</v>
      </c>
      <c r="B661" s="2">
        <v>45291</v>
      </c>
      <c r="C661" t="s">
        <v>178</v>
      </c>
      <c r="D661" t="s">
        <v>1715</v>
      </c>
      <c r="E661" t="s">
        <v>1752</v>
      </c>
      <c r="F661" s="4">
        <v>3</v>
      </c>
      <c r="G661">
        <v>718.23</v>
      </c>
      <c r="H661">
        <v>0.19</v>
      </c>
      <c r="I661" t="s">
        <v>1809</v>
      </c>
      <c r="J661">
        <v>1745.2989</v>
      </c>
      <c r="K661" t="s">
        <v>179</v>
      </c>
      <c r="L661">
        <v>54</v>
      </c>
      <c r="M661" t="s">
        <v>9</v>
      </c>
      <c r="N661" t="s">
        <v>180</v>
      </c>
      <c r="O661" t="s">
        <v>181</v>
      </c>
      <c r="P661" t="s">
        <v>12</v>
      </c>
      <c r="Q661" t="s">
        <v>31</v>
      </c>
      <c r="R661" t="s">
        <v>3925</v>
      </c>
      <c r="S661" t="s">
        <v>1527</v>
      </c>
      <c r="T661" t="s">
        <v>3838</v>
      </c>
      <c r="U661" t="s">
        <v>1716</v>
      </c>
      <c r="V661" t="s">
        <v>1753</v>
      </c>
      <c r="W661" t="s">
        <v>1746</v>
      </c>
      <c r="X661" t="s">
        <v>1755</v>
      </c>
    </row>
    <row r="662" spans="1:24" x14ac:dyDescent="0.3">
      <c r="A662" t="s">
        <v>2469</v>
      </c>
      <c r="B662" s="2">
        <v>45914</v>
      </c>
      <c r="C662" t="s">
        <v>589</v>
      </c>
      <c r="D662" t="s">
        <v>1711</v>
      </c>
      <c r="E662" t="s">
        <v>1793</v>
      </c>
      <c r="F662" s="4">
        <v>3</v>
      </c>
      <c r="G662">
        <v>107.44</v>
      </c>
      <c r="H662">
        <v>0.27</v>
      </c>
      <c r="I662" t="s">
        <v>1809</v>
      </c>
      <c r="J662">
        <v>235.2936</v>
      </c>
      <c r="K662" t="s">
        <v>590</v>
      </c>
      <c r="L662">
        <v>60</v>
      </c>
      <c r="M662" t="s">
        <v>9</v>
      </c>
      <c r="N662" t="s">
        <v>591</v>
      </c>
      <c r="O662" t="s">
        <v>429</v>
      </c>
      <c r="P662" t="s">
        <v>12</v>
      </c>
      <c r="Q662" t="s">
        <v>26</v>
      </c>
      <c r="R662" t="s">
        <v>3923</v>
      </c>
      <c r="S662" t="s">
        <v>1546</v>
      </c>
      <c r="T662" t="s">
        <v>3820</v>
      </c>
      <c r="U662" t="s">
        <v>1712</v>
      </c>
      <c r="V662" t="s">
        <v>1741</v>
      </c>
      <c r="W662" t="s">
        <v>1742</v>
      </c>
      <c r="X662" t="s">
        <v>1739</v>
      </c>
    </row>
    <row r="663" spans="1:24" x14ac:dyDescent="0.3">
      <c r="A663" t="s">
        <v>2470</v>
      </c>
      <c r="B663" s="2">
        <v>45673</v>
      </c>
      <c r="C663" t="s">
        <v>208</v>
      </c>
      <c r="D663" t="s">
        <v>1623</v>
      </c>
      <c r="E663" t="s">
        <v>1749</v>
      </c>
      <c r="F663" s="4">
        <v>4</v>
      </c>
      <c r="G663">
        <v>608.97</v>
      </c>
      <c r="H663">
        <v>0.14000000000000001</v>
      </c>
      <c r="I663" t="s">
        <v>1812</v>
      </c>
      <c r="J663">
        <v>2094.8568</v>
      </c>
      <c r="K663" t="s">
        <v>209</v>
      </c>
      <c r="L663">
        <v>43</v>
      </c>
      <c r="M663" t="s">
        <v>16</v>
      </c>
      <c r="N663" t="s">
        <v>210</v>
      </c>
      <c r="O663" t="s">
        <v>51</v>
      </c>
      <c r="P663" t="s">
        <v>12</v>
      </c>
      <c r="Q663" t="s">
        <v>13</v>
      </c>
      <c r="R663" t="s">
        <v>3876</v>
      </c>
      <c r="S663" t="s">
        <v>1530</v>
      </c>
      <c r="T663" t="s">
        <v>3815</v>
      </c>
      <c r="U663" t="s">
        <v>1624</v>
      </c>
      <c r="V663" t="s">
        <v>1750</v>
      </c>
      <c r="W663" t="s">
        <v>1742</v>
      </c>
      <c r="X663" t="s">
        <v>1748</v>
      </c>
    </row>
    <row r="664" spans="1:24" x14ac:dyDescent="0.3">
      <c r="A664" t="s">
        <v>2471</v>
      </c>
      <c r="B664" s="2">
        <v>45689</v>
      </c>
      <c r="C664" t="s">
        <v>1097</v>
      </c>
      <c r="D664" t="s">
        <v>1653</v>
      </c>
      <c r="E664" t="s">
        <v>1759</v>
      </c>
      <c r="F664" s="4">
        <v>3</v>
      </c>
      <c r="G664">
        <v>260.45999999999998</v>
      </c>
      <c r="H664">
        <v>0.09</v>
      </c>
      <c r="I664" t="s">
        <v>1807</v>
      </c>
      <c r="J664">
        <v>711.05579999999986</v>
      </c>
      <c r="K664" t="s">
        <v>1098</v>
      </c>
      <c r="L664">
        <v>20</v>
      </c>
      <c r="M664" t="s">
        <v>9</v>
      </c>
      <c r="N664" t="s">
        <v>1099</v>
      </c>
      <c r="O664" t="s">
        <v>166</v>
      </c>
      <c r="P664" t="s">
        <v>12</v>
      </c>
      <c r="Q664" t="s">
        <v>31</v>
      </c>
      <c r="R664" t="s">
        <v>3893</v>
      </c>
      <c r="S664" t="s">
        <v>1549</v>
      </c>
      <c r="T664" t="s">
        <v>3844</v>
      </c>
      <c r="U664" t="s">
        <v>1654</v>
      </c>
      <c r="V664" t="s">
        <v>1760</v>
      </c>
      <c r="W664" t="s">
        <v>1737</v>
      </c>
      <c r="X664" t="s">
        <v>1755</v>
      </c>
    </row>
    <row r="665" spans="1:24" x14ac:dyDescent="0.3">
      <c r="A665" t="s">
        <v>2472</v>
      </c>
      <c r="B665" s="2">
        <v>45646</v>
      </c>
      <c r="C665" t="s">
        <v>420</v>
      </c>
      <c r="D665" t="s">
        <v>1575</v>
      </c>
      <c r="E665" t="s">
        <v>1759</v>
      </c>
      <c r="F665" s="4">
        <v>1</v>
      </c>
      <c r="G665">
        <v>747.03</v>
      </c>
      <c r="H665">
        <v>0.01</v>
      </c>
      <c r="I665" t="s">
        <v>1807</v>
      </c>
      <c r="J665">
        <v>739.55970000000002</v>
      </c>
      <c r="K665" t="s">
        <v>421</v>
      </c>
      <c r="L665">
        <v>26</v>
      </c>
      <c r="M665" t="s">
        <v>9</v>
      </c>
      <c r="N665" t="s">
        <v>422</v>
      </c>
      <c r="O665" t="s">
        <v>264</v>
      </c>
      <c r="P665" t="s">
        <v>12</v>
      </c>
      <c r="Q665" t="s">
        <v>31</v>
      </c>
      <c r="R665" t="s">
        <v>3848</v>
      </c>
      <c r="S665" t="s">
        <v>1549</v>
      </c>
      <c r="T665" t="s">
        <v>3844</v>
      </c>
      <c r="U665" t="s">
        <v>1576</v>
      </c>
      <c r="V665" t="s">
        <v>1760</v>
      </c>
      <c r="W665" t="s">
        <v>1737</v>
      </c>
      <c r="X665" t="s">
        <v>1755</v>
      </c>
    </row>
    <row r="666" spans="1:24" x14ac:dyDescent="0.3">
      <c r="A666" t="s">
        <v>2473</v>
      </c>
      <c r="B666" s="2">
        <v>45475</v>
      </c>
      <c r="C666" t="s">
        <v>1243</v>
      </c>
      <c r="D666" t="s">
        <v>1563</v>
      </c>
      <c r="E666" t="s">
        <v>1765</v>
      </c>
      <c r="F666" s="4">
        <v>4</v>
      </c>
      <c r="G666">
        <v>700.88</v>
      </c>
      <c r="H666">
        <v>0.23</v>
      </c>
      <c r="I666" t="s">
        <v>1809</v>
      </c>
      <c r="J666">
        <v>2158.7103999999999</v>
      </c>
      <c r="K666" t="s">
        <v>1244</v>
      </c>
      <c r="L666">
        <v>18</v>
      </c>
      <c r="M666" t="s">
        <v>16</v>
      </c>
      <c r="N666" t="s">
        <v>1245</v>
      </c>
      <c r="O666" t="s">
        <v>288</v>
      </c>
      <c r="P666" t="s">
        <v>12</v>
      </c>
      <c r="Q666" t="s">
        <v>31</v>
      </c>
      <c r="R666" t="s">
        <v>3839</v>
      </c>
      <c r="S666" t="s">
        <v>1541</v>
      </c>
      <c r="T666" t="s">
        <v>3840</v>
      </c>
      <c r="U666" t="s">
        <v>1564</v>
      </c>
      <c r="V666" t="s">
        <v>1766</v>
      </c>
      <c r="W666" t="s">
        <v>1767</v>
      </c>
      <c r="X666" t="s">
        <v>1755</v>
      </c>
    </row>
    <row r="667" spans="1:24" x14ac:dyDescent="0.3">
      <c r="A667" t="s">
        <v>2474</v>
      </c>
      <c r="B667" s="2">
        <v>45781</v>
      </c>
      <c r="C667" t="s">
        <v>182</v>
      </c>
      <c r="D667" t="s">
        <v>1721</v>
      </c>
      <c r="E667" t="s">
        <v>1782</v>
      </c>
      <c r="F667" s="4">
        <v>4</v>
      </c>
      <c r="G667">
        <v>20.09</v>
      </c>
      <c r="H667">
        <v>0.16</v>
      </c>
      <c r="I667" t="s">
        <v>1809</v>
      </c>
      <c r="J667">
        <v>67.502399999999994</v>
      </c>
      <c r="K667" t="s">
        <v>183</v>
      </c>
      <c r="L667">
        <v>45</v>
      </c>
      <c r="M667" t="s">
        <v>16</v>
      </c>
      <c r="N667" t="s">
        <v>184</v>
      </c>
      <c r="O667" t="s">
        <v>11</v>
      </c>
      <c r="P667" t="s">
        <v>12</v>
      </c>
      <c r="Q667" t="s">
        <v>19</v>
      </c>
      <c r="R667" t="s">
        <v>3928</v>
      </c>
      <c r="S667" t="s">
        <v>1549</v>
      </c>
      <c r="T667" t="s">
        <v>3820</v>
      </c>
      <c r="U667" t="s">
        <v>1722</v>
      </c>
      <c r="V667" t="s">
        <v>1741</v>
      </c>
      <c r="W667" t="s">
        <v>1742</v>
      </c>
      <c r="X667" t="s">
        <v>1739</v>
      </c>
    </row>
    <row r="668" spans="1:24" x14ac:dyDescent="0.3">
      <c r="A668" t="s">
        <v>2475</v>
      </c>
      <c r="B668" s="2">
        <v>45654</v>
      </c>
      <c r="C668" t="s">
        <v>227</v>
      </c>
      <c r="D668" t="s">
        <v>1605</v>
      </c>
      <c r="E668" t="s">
        <v>1775</v>
      </c>
      <c r="F668" s="4">
        <v>3</v>
      </c>
      <c r="G668">
        <v>917.64</v>
      </c>
      <c r="H668">
        <v>0.24</v>
      </c>
      <c r="I668" t="s">
        <v>1809</v>
      </c>
      <c r="J668">
        <v>2092.2192</v>
      </c>
      <c r="K668" t="s">
        <v>228</v>
      </c>
      <c r="L668">
        <v>51</v>
      </c>
      <c r="M668" t="s">
        <v>9</v>
      </c>
      <c r="N668" t="s">
        <v>229</v>
      </c>
      <c r="O668" t="s">
        <v>230</v>
      </c>
      <c r="P668" t="s">
        <v>12</v>
      </c>
      <c r="Q668" t="s">
        <v>26</v>
      </c>
      <c r="R668" t="s">
        <v>3865</v>
      </c>
      <c r="S668" t="s">
        <v>1530</v>
      </c>
      <c r="T668" t="s">
        <v>3866</v>
      </c>
      <c r="U668" t="s">
        <v>1606</v>
      </c>
      <c r="V668" t="s">
        <v>1741</v>
      </c>
      <c r="W668" t="s">
        <v>1742</v>
      </c>
      <c r="X668" t="s">
        <v>1739</v>
      </c>
    </row>
    <row r="669" spans="1:24" x14ac:dyDescent="0.3">
      <c r="A669" t="s">
        <v>2476</v>
      </c>
      <c r="B669" s="2">
        <v>45594</v>
      </c>
      <c r="C669" t="s">
        <v>192</v>
      </c>
      <c r="D669" t="s">
        <v>1573</v>
      </c>
      <c r="E669" t="s">
        <v>1735</v>
      </c>
      <c r="F669" s="4">
        <v>1</v>
      </c>
      <c r="G669">
        <v>242.08</v>
      </c>
      <c r="H669">
        <v>0.18</v>
      </c>
      <c r="I669" t="s">
        <v>1809</v>
      </c>
      <c r="J669">
        <v>198.50559999999999</v>
      </c>
      <c r="K669" t="s">
        <v>193</v>
      </c>
      <c r="L669">
        <v>55</v>
      </c>
      <c r="M669" t="s">
        <v>9</v>
      </c>
      <c r="N669" t="s">
        <v>194</v>
      </c>
      <c r="O669" t="s">
        <v>43</v>
      </c>
      <c r="P669" t="s">
        <v>12</v>
      </c>
      <c r="Q669" t="s">
        <v>13</v>
      </c>
      <c r="R669" t="s">
        <v>3846</v>
      </c>
      <c r="S669" t="s">
        <v>1527</v>
      </c>
      <c r="T669" t="s">
        <v>3847</v>
      </c>
      <c r="U669" t="s">
        <v>1574</v>
      </c>
      <c r="V669" t="s">
        <v>1736</v>
      </c>
      <c r="W669" t="s">
        <v>1737</v>
      </c>
      <c r="X669" t="s">
        <v>1739</v>
      </c>
    </row>
    <row r="670" spans="1:24" x14ac:dyDescent="0.3">
      <c r="A670" t="s">
        <v>2477</v>
      </c>
      <c r="B670" s="2">
        <v>45581</v>
      </c>
      <c r="C670" t="s">
        <v>211</v>
      </c>
      <c r="D670" t="s">
        <v>1657</v>
      </c>
      <c r="E670" t="s">
        <v>1762</v>
      </c>
      <c r="F670" s="4">
        <v>1</v>
      </c>
      <c r="G670">
        <v>536.67999999999995</v>
      </c>
      <c r="H670">
        <v>0.27</v>
      </c>
      <c r="I670" t="s">
        <v>1807</v>
      </c>
      <c r="J670">
        <v>391.77640000000002</v>
      </c>
      <c r="K670" t="s">
        <v>212</v>
      </c>
      <c r="L670">
        <v>51</v>
      </c>
      <c r="M670" t="s">
        <v>9</v>
      </c>
      <c r="N670" t="s">
        <v>213</v>
      </c>
      <c r="O670" t="s">
        <v>214</v>
      </c>
      <c r="P670" t="s">
        <v>12</v>
      </c>
      <c r="Q670" t="s">
        <v>19</v>
      </c>
      <c r="R670" t="s">
        <v>3895</v>
      </c>
      <c r="S670" t="s">
        <v>1541</v>
      </c>
      <c r="T670" t="s">
        <v>3822</v>
      </c>
      <c r="U670" t="s">
        <v>1658</v>
      </c>
      <c r="V670" t="s">
        <v>1763</v>
      </c>
      <c r="W670" t="s">
        <v>1746</v>
      </c>
      <c r="X670" t="s">
        <v>1755</v>
      </c>
    </row>
    <row r="671" spans="1:24" x14ac:dyDescent="0.3">
      <c r="A671" t="s">
        <v>2478</v>
      </c>
      <c r="B671" s="2">
        <v>45748</v>
      </c>
      <c r="C671" t="s">
        <v>333</v>
      </c>
      <c r="D671" t="s">
        <v>1589</v>
      </c>
      <c r="E671" t="s">
        <v>1752</v>
      </c>
      <c r="F671" s="4">
        <v>2</v>
      </c>
      <c r="G671">
        <v>145.18</v>
      </c>
      <c r="H671">
        <v>0.26</v>
      </c>
      <c r="I671" t="s">
        <v>1809</v>
      </c>
      <c r="J671">
        <v>214.8664</v>
      </c>
      <c r="K671" t="s">
        <v>334</v>
      </c>
      <c r="L671">
        <v>62</v>
      </c>
      <c r="M671" t="s">
        <v>16</v>
      </c>
      <c r="N671" t="s">
        <v>335</v>
      </c>
      <c r="O671" t="s">
        <v>181</v>
      </c>
      <c r="P671" t="s">
        <v>12</v>
      </c>
      <c r="Q671" t="s">
        <v>13</v>
      </c>
      <c r="R671" t="s">
        <v>3856</v>
      </c>
      <c r="S671" t="s">
        <v>1527</v>
      </c>
      <c r="T671" t="s">
        <v>3836</v>
      </c>
      <c r="U671" t="s">
        <v>1590</v>
      </c>
      <c r="V671" t="s">
        <v>1753</v>
      </c>
      <c r="W671" t="s">
        <v>1746</v>
      </c>
      <c r="X671" t="s">
        <v>1755</v>
      </c>
    </row>
    <row r="672" spans="1:24" x14ac:dyDescent="0.3">
      <c r="A672" t="s">
        <v>2479</v>
      </c>
      <c r="B672" s="2">
        <v>45369</v>
      </c>
      <c r="C672" t="s">
        <v>710</v>
      </c>
      <c r="D672" t="s">
        <v>1665</v>
      </c>
      <c r="E672" t="s">
        <v>1752</v>
      </c>
      <c r="F672" s="4">
        <v>2</v>
      </c>
      <c r="G672">
        <v>132.77000000000001</v>
      </c>
      <c r="H672">
        <v>0.13</v>
      </c>
      <c r="I672" t="s">
        <v>1812</v>
      </c>
      <c r="J672">
        <v>231.0198</v>
      </c>
      <c r="K672" t="s">
        <v>711</v>
      </c>
      <c r="L672">
        <v>35</v>
      </c>
      <c r="M672" t="s">
        <v>9</v>
      </c>
      <c r="N672" t="s">
        <v>712</v>
      </c>
      <c r="O672" t="s">
        <v>81</v>
      </c>
      <c r="P672" t="s">
        <v>12</v>
      </c>
      <c r="Q672" t="s">
        <v>19</v>
      </c>
      <c r="R672" t="s">
        <v>3899</v>
      </c>
      <c r="S672" t="s">
        <v>1546</v>
      </c>
      <c r="T672" t="s">
        <v>3820</v>
      </c>
      <c r="U672" t="s">
        <v>1666</v>
      </c>
      <c r="V672" t="s">
        <v>1753</v>
      </c>
      <c r="W672" t="s">
        <v>1746</v>
      </c>
      <c r="X672" t="s">
        <v>1755</v>
      </c>
    </row>
    <row r="673" spans="1:24" x14ac:dyDescent="0.3">
      <c r="A673" t="s">
        <v>2480</v>
      </c>
      <c r="B673" s="2">
        <v>45701</v>
      </c>
      <c r="C673" t="s">
        <v>63</v>
      </c>
      <c r="D673" t="s">
        <v>1613</v>
      </c>
      <c r="E673" t="s">
        <v>1769</v>
      </c>
      <c r="F673" s="4">
        <v>4</v>
      </c>
      <c r="G673">
        <v>682.11</v>
      </c>
      <c r="H673">
        <v>0.14000000000000001</v>
      </c>
      <c r="I673" t="s">
        <v>1807</v>
      </c>
      <c r="J673">
        <v>2346.4584</v>
      </c>
      <c r="K673" t="s">
        <v>64</v>
      </c>
      <c r="L673">
        <v>53</v>
      </c>
      <c r="M673" t="s">
        <v>16</v>
      </c>
      <c r="N673" t="s">
        <v>65</v>
      </c>
      <c r="O673" t="s">
        <v>66</v>
      </c>
      <c r="P673" t="s">
        <v>12</v>
      </c>
      <c r="Q673" t="s">
        <v>31</v>
      </c>
      <c r="R673" t="s">
        <v>3871</v>
      </c>
      <c r="S673" t="s">
        <v>1549</v>
      </c>
      <c r="T673" t="s">
        <v>3828</v>
      </c>
      <c r="U673" t="s">
        <v>1614</v>
      </c>
      <c r="V673" t="s">
        <v>1770</v>
      </c>
      <c r="W673" t="s">
        <v>1746</v>
      </c>
      <c r="X673" t="s">
        <v>1739</v>
      </c>
    </row>
    <row r="674" spans="1:24" x14ac:dyDescent="0.3">
      <c r="A674" t="s">
        <v>2481</v>
      </c>
      <c r="B674" s="2">
        <v>45510</v>
      </c>
      <c r="C674" t="s">
        <v>1478</v>
      </c>
      <c r="D674" t="s">
        <v>1611</v>
      </c>
      <c r="E674" t="s">
        <v>1790</v>
      </c>
      <c r="F674" s="4">
        <v>4</v>
      </c>
      <c r="G674">
        <v>502.95</v>
      </c>
      <c r="H674">
        <v>0.14000000000000001</v>
      </c>
      <c r="I674" t="s">
        <v>1812</v>
      </c>
      <c r="J674">
        <v>1730.1479999999999</v>
      </c>
      <c r="K674" t="s">
        <v>1479</v>
      </c>
      <c r="L674">
        <v>36</v>
      </c>
      <c r="M674" t="s">
        <v>16</v>
      </c>
      <c r="N674" t="s">
        <v>1480</v>
      </c>
      <c r="O674" t="s">
        <v>170</v>
      </c>
      <c r="P674" t="s">
        <v>12</v>
      </c>
      <c r="Q674" t="s">
        <v>26</v>
      </c>
      <c r="R674" t="s">
        <v>3870</v>
      </c>
      <c r="S674" t="s">
        <v>1546</v>
      </c>
      <c r="T674" t="s">
        <v>3826</v>
      </c>
      <c r="U674" t="s">
        <v>1612</v>
      </c>
      <c r="V674" t="s">
        <v>1741</v>
      </c>
      <c r="W674" t="s">
        <v>1742</v>
      </c>
      <c r="X674" t="s">
        <v>1739</v>
      </c>
    </row>
    <row r="675" spans="1:24" x14ac:dyDescent="0.3">
      <c r="A675" t="s">
        <v>2482</v>
      </c>
      <c r="B675" s="2">
        <v>45538</v>
      </c>
      <c r="C675" t="s">
        <v>746</v>
      </c>
      <c r="D675" t="s">
        <v>1605</v>
      </c>
      <c r="E675" t="s">
        <v>1787</v>
      </c>
      <c r="F675" s="4">
        <v>2</v>
      </c>
      <c r="G675">
        <v>472.08</v>
      </c>
      <c r="H675">
        <v>7.0000000000000007E-2</v>
      </c>
      <c r="I675" t="s">
        <v>1807</v>
      </c>
      <c r="J675">
        <v>878.0687999999999</v>
      </c>
      <c r="K675" t="s">
        <v>747</v>
      </c>
      <c r="L675">
        <v>28</v>
      </c>
      <c r="M675" t="s">
        <v>16</v>
      </c>
      <c r="N675" t="s">
        <v>748</v>
      </c>
      <c r="O675" t="s">
        <v>62</v>
      </c>
      <c r="P675" t="s">
        <v>12</v>
      </c>
      <c r="Q675" t="s">
        <v>13</v>
      </c>
      <c r="R675" t="s">
        <v>3865</v>
      </c>
      <c r="S675" t="s">
        <v>1530</v>
      </c>
      <c r="T675" t="s">
        <v>3866</v>
      </c>
      <c r="U675" t="s">
        <v>1606</v>
      </c>
      <c r="V675" t="s">
        <v>1741</v>
      </c>
      <c r="W675" t="s">
        <v>1742</v>
      </c>
      <c r="X675" t="s">
        <v>1739</v>
      </c>
    </row>
    <row r="676" spans="1:24" x14ac:dyDescent="0.3">
      <c r="A676" t="s">
        <v>2483</v>
      </c>
      <c r="B676" s="2">
        <v>45665</v>
      </c>
      <c r="C676" t="s">
        <v>1442</v>
      </c>
      <c r="D676" t="s">
        <v>1645</v>
      </c>
      <c r="E676" t="s">
        <v>1790</v>
      </c>
      <c r="F676" s="4">
        <v>2</v>
      </c>
      <c r="G676">
        <v>218.11</v>
      </c>
      <c r="H676">
        <v>0.02</v>
      </c>
      <c r="I676" t="s">
        <v>1812</v>
      </c>
      <c r="J676">
        <v>427.49560000000002</v>
      </c>
      <c r="K676" t="s">
        <v>1443</v>
      </c>
      <c r="L676">
        <v>32</v>
      </c>
      <c r="M676" t="s">
        <v>16</v>
      </c>
      <c r="N676" t="s">
        <v>1444</v>
      </c>
      <c r="O676" t="s">
        <v>319</v>
      </c>
      <c r="P676" t="s">
        <v>12</v>
      </c>
      <c r="Q676" t="s">
        <v>26</v>
      </c>
      <c r="R676" t="s">
        <v>3889</v>
      </c>
      <c r="S676" t="s">
        <v>1549</v>
      </c>
      <c r="T676" t="s">
        <v>3828</v>
      </c>
      <c r="U676" t="s">
        <v>1646</v>
      </c>
      <c r="V676" t="s">
        <v>1741</v>
      </c>
      <c r="W676" t="s">
        <v>1742</v>
      </c>
      <c r="X676" t="s">
        <v>1739</v>
      </c>
    </row>
    <row r="677" spans="1:24" x14ac:dyDescent="0.3">
      <c r="A677" t="s">
        <v>2484</v>
      </c>
      <c r="B677" s="2">
        <v>45859</v>
      </c>
      <c r="C677" t="s">
        <v>211</v>
      </c>
      <c r="D677" t="s">
        <v>1529</v>
      </c>
      <c r="E677" t="s">
        <v>1759</v>
      </c>
      <c r="F677" s="4">
        <v>4</v>
      </c>
      <c r="G677">
        <v>845.58</v>
      </c>
      <c r="H677">
        <v>0.06</v>
      </c>
      <c r="I677" t="s">
        <v>1809</v>
      </c>
      <c r="J677">
        <v>3179.3807999999999</v>
      </c>
      <c r="K677" t="s">
        <v>212</v>
      </c>
      <c r="L677">
        <v>51</v>
      </c>
      <c r="M677" t="s">
        <v>9</v>
      </c>
      <c r="N677" t="s">
        <v>213</v>
      </c>
      <c r="O677" t="s">
        <v>214</v>
      </c>
      <c r="P677" t="s">
        <v>12</v>
      </c>
      <c r="Q677" t="s">
        <v>19</v>
      </c>
      <c r="R677" t="s">
        <v>3812</v>
      </c>
      <c r="S677" t="s">
        <v>1530</v>
      </c>
      <c r="T677" t="s">
        <v>3813</v>
      </c>
      <c r="U677" t="s">
        <v>1531</v>
      </c>
      <c r="V677" t="s">
        <v>1760</v>
      </c>
      <c r="W677" t="s">
        <v>1737</v>
      </c>
      <c r="X677" t="s">
        <v>1755</v>
      </c>
    </row>
    <row r="678" spans="1:24" x14ac:dyDescent="0.3">
      <c r="A678" t="s">
        <v>2485</v>
      </c>
      <c r="B678" s="2">
        <v>45255</v>
      </c>
      <c r="C678" t="s">
        <v>436</v>
      </c>
      <c r="D678" t="s">
        <v>1691</v>
      </c>
      <c r="E678" t="s">
        <v>1744</v>
      </c>
      <c r="F678" s="4">
        <v>2</v>
      </c>
      <c r="G678">
        <v>111.28</v>
      </c>
      <c r="H678">
        <v>0.14000000000000001</v>
      </c>
      <c r="I678" t="s">
        <v>1807</v>
      </c>
      <c r="J678">
        <v>191.4016</v>
      </c>
      <c r="K678" t="s">
        <v>437</v>
      </c>
      <c r="L678">
        <v>43</v>
      </c>
      <c r="M678" t="s">
        <v>16</v>
      </c>
      <c r="N678" t="s">
        <v>438</v>
      </c>
      <c r="O678" t="s">
        <v>288</v>
      </c>
      <c r="P678" t="s">
        <v>12</v>
      </c>
      <c r="Q678" t="s">
        <v>31</v>
      </c>
      <c r="R678" t="s">
        <v>3913</v>
      </c>
      <c r="S678" t="s">
        <v>1527</v>
      </c>
      <c r="T678" t="s">
        <v>3830</v>
      </c>
      <c r="U678" t="s">
        <v>1692</v>
      </c>
      <c r="V678" t="s">
        <v>1745</v>
      </c>
      <c r="W678" t="s">
        <v>1746</v>
      </c>
      <c r="X678" t="s">
        <v>1748</v>
      </c>
    </row>
    <row r="679" spans="1:24" x14ac:dyDescent="0.3">
      <c r="A679" t="s">
        <v>2486</v>
      </c>
      <c r="B679" s="2">
        <v>45842</v>
      </c>
      <c r="C679" t="s">
        <v>579</v>
      </c>
      <c r="D679" t="s">
        <v>1649</v>
      </c>
      <c r="E679" t="s">
        <v>1782</v>
      </c>
      <c r="F679" s="4">
        <v>2</v>
      </c>
      <c r="G679">
        <v>37.21</v>
      </c>
      <c r="H679">
        <v>0.19</v>
      </c>
      <c r="I679" t="s">
        <v>1807</v>
      </c>
      <c r="J679">
        <v>60.280200000000008</v>
      </c>
      <c r="K679" t="s">
        <v>580</v>
      </c>
      <c r="L679">
        <v>33</v>
      </c>
      <c r="M679" t="s">
        <v>16</v>
      </c>
      <c r="N679" t="s">
        <v>581</v>
      </c>
      <c r="O679" t="s">
        <v>582</v>
      </c>
      <c r="P679" t="s">
        <v>12</v>
      </c>
      <c r="Q679" t="s">
        <v>19</v>
      </c>
      <c r="R679" t="s">
        <v>3891</v>
      </c>
      <c r="S679" t="s">
        <v>1541</v>
      </c>
      <c r="T679" t="s">
        <v>3833</v>
      </c>
      <c r="U679" t="s">
        <v>1650</v>
      </c>
      <c r="V679" t="s">
        <v>1741</v>
      </c>
      <c r="W679" t="s">
        <v>1742</v>
      </c>
      <c r="X679" t="s">
        <v>1739</v>
      </c>
    </row>
    <row r="680" spans="1:24" x14ac:dyDescent="0.3">
      <c r="A680" t="s">
        <v>2487</v>
      </c>
      <c r="B680" s="2">
        <v>45220</v>
      </c>
      <c r="C680" t="s">
        <v>1281</v>
      </c>
      <c r="D680" t="s">
        <v>1655</v>
      </c>
      <c r="E680" t="s">
        <v>1780</v>
      </c>
      <c r="F680" s="4">
        <v>1</v>
      </c>
      <c r="G680">
        <v>331.73</v>
      </c>
      <c r="H680">
        <v>0.04</v>
      </c>
      <c r="I680" t="s">
        <v>1807</v>
      </c>
      <c r="J680">
        <v>318.46080000000001</v>
      </c>
      <c r="K680" t="s">
        <v>1282</v>
      </c>
      <c r="L680">
        <v>60</v>
      </c>
      <c r="M680" t="s">
        <v>16</v>
      </c>
      <c r="N680" t="s">
        <v>1283</v>
      </c>
      <c r="O680" t="s">
        <v>11</v>
      </c>
      <c r="P680" t="s">
        <v>12</v>
      </c>
      <c r="Q680" t="s">
        <v>26</v>
      </c>
      <c r="R680" t="s">
        <v>3894</v>
      </c>
      <c r="S680" t="s">
        <v>1546</v>
      </c>
      <c r="T680" t="s">
        <v>3811</v>
      </c>
      <c r="U680" t="s">
        <v>1656</v>
      </c>
      <c r="V680" t="s">
        <v>1741</v>
      </c>
      <c r="W680" t="s">
        <v>1742</v>
      </c>
      <c r="X680" t="s">
        <v>1739</v>
      </c>
    </row>
    <row r="681" spans="1:24" x14ac:dyDescent="0.3">
      <c r="A681" t="s">
        <v>2488</v>
      </c>
      <c r="B681" s="2">
        <v>45273</v>
      </c>
      <c r="C681" t="s">
        <v>1126</v>
      </c>
      <c r="D681" t="s">
        <v>1671</v>
      </c>
      <c r="E681" t="s">
        <v>1777</v>
      </c>
      <c r="F681" s="4">
        <v>3</v>
      </c>
      <c r="G681">
        <v>306.70999999999998</v>
      </c>
      <c r="H681">
        <v>0.09</v>
      </c>
      <c r="I681" t="s">
        <v>1809</v>
      </c>
      <c r="J681">
        <v>837.31829999999991</v>
      </c>
      <c r="K681" t="s">
        <v>1127</v>
      </c>
      <c r="L681">
        <v>63</v>
      </c>
      <c r="M681" t="s">
        <v>16</v>
      </c>
      <c r="N681" t="s">
        <v>1128</v>
      </c>
      <c r="O681" t="s">
        <v>133</v>
      </c>
      <c r="P681" t="s">
        <v>12</v>
      </c>
      <c r="Q681" t="s">
        <v>26</v>
      </c>
      <c r="R681" t="s">
        <v>3903</v>
      </c>
      <c r="S681" t="s">
        <v>1527</v>
      </c>
      <c r="T681" t="s">
        <v>3847</v>
      </c>
      <c r="U681" t="s">
        <v>1672</v>
      </c>
      <c r="V681" t="s">
        <v>1741</v>
      </c>
      <c r="W681" t="s">
        <v>1742</v>
      </c>
      <c r="X681" t="s">
        <v>1739</v>
      </c>
    </row>
    <row r="682" spans="1:24" x14ac:dyDescent="0.3">
      <c r="A682" t="s">
        <v>2489</v>
      </c>
      <c r="B682" s="2">
        <v>45456</v>
      </c>
      <c r="C682" t="s">
        <v>853</v>
      </c>
      <c r="D682" t="s">
        <v>1581</v>
      </c>
      <c r="E682" t="s">
        <v>1759</v>
      </c>
      <c r="F682" s="4">
        <v>4</v>
      </c>
      <c r="G682">
        <v>484.92</v>
      </c>
      <c r="H682">
        <v>0.28000000000000003</v>
      </c>
      <c r="I682" t="s">
        <v>1809</v>
      </c>
      <c r="J682">
        <v>1396.5696</v>
      </c>
      <c r="K682" t="s">
        <v>854</v>
      </c>
      <c r="L682">
        <v>64</v>
      </c>
      <c r="M682" t="s">
        <v>9</v>
      </c>
      <c r="N682" t="s">
        <v>855</v>
      </c>
      <c r="O682" t="s">
        <v>323</v>
      </c>
      <c r="P682" t="s">
        <v>12</v>
      </c>
      <c r="Q682" t="s">
        <v>13</v>
      </c>
      <c r="R682" t="s">
        <v>3852</v>
      </c>
      <c r="S682" t="s">
        <v>1530</v>
      </c>
      <c r="T682" t="s">
        <v>3820</v>
      </c>
      <c r="U682" t="s">
        <v>1582</v>
      </c>
      <c r="V682" t="s">
        <v>1760</v>
      </c>
      <c r="W682" t="s">
        <v>1737</v>
      </c>
      <c r="X682" t="s">
        <v>1755</v>
      </c>
    </row>
    <row r="683" spans="1:24" x14ac:dyDescent="0.3">
      <c r="A683" t="s">
        <v>2490</v>
      </c>
      <c r="B683" s="2">
        <v>45292</v>
      </c>
      <c r="C683" t="s">
        <v>167</v>
      </c>
      <c r="D683" t="s">
        <v>1631</v>
      </c>
      <c r="E683" t="s">
        <v>1756</v>
      </c>
      <c r="F683" s="4">
        <v>2</v>
      </c>
      <c r="G683">
        <v>42.04</v>
      </c>
      <c r="H683">
        <v>7.0000000000000007E-2</v>
      </c>
      <c r="I683" t="s">
        <v>1807</v>
      </c>
      <c r="J683">
        <v>78.194399999999987</v>
      </c>
      <c r="K683" t="s">
        <v>168</v>
      </c>
      <c r="L683">
        <v>34</v>
      </c>
      <c r="M683" t="s">
        <v>9</v>
      </c>
      <c r="N683" t="s">
        <v>169</v>
      </c>
      <c r="O683" t="s">
        <v>170</v>
      </c>
      <c r="P683" t="s">
        <v>12</v>
      </c>
      <c r="Q683" t="s">
        <v>13</v>
      </c>
      <c r="R683" t="s">
        <v>3882</v>
      </c>
      <c r="S683" t="s">
        <v>1549</v>
      </c>
      <c r="T683" t="s">
        <v>3828</v>
      </c>
      <c r="U683" t="s">
        <v>1632</v>
      </c>
      <c r="V683" t="s">
        <v>1757</v>
      </c>
      <c r="W683" t="s">
        <v>1742</v>
      </c>
      <c r="X683" t="s">
        <v>1748</v>
      </c>
    </row>
    <row r="684" spans="1:24" x14ac:dyDescent="0.3">
      <c r="A684" t="s">
        <v>2491</v>
      </c>
      <c r="B684" s="2">
        <v>45278</v>
      </c>
      <c r="C684" t="s">
        <v>885</v>
      </c>
      <c r="D684" t="s">
        <v>1641</v>
      </c>
      <c r="E684" t="s">
        <v>1759</v>
      </c>
      <c r="F684" s="4">
        <v>3</v>
      </c>
      <c r="G684">
        <v>599.48</v>
      </c>
      <c r="H684">
        <v>0.22</v>
      </c>
      <c r="I684" t="s">
        <v>1809</v>
      </c>
      <c r="J684">
        <v>1402.7832000000001</v>
      </c>
      <c r="K684" t="s">
        <v>886</v>
      </c>
      <c r="L684">
        <v>46</v>
      </c>
      <c r="M684" t="s">
        <v>16</v>
      </c>
      <c r="N684" t="s">
        <v>887</v>
      </c>
      <c r="O684" t="s">
        <v>166</v>
      </c>
      <c r="P684" t="s">
        <v>12</v>
      </c>
      <c r="Q684" t="s">
        <v>19</v>
      </c>
      <c r="R684" t="s">
        <v>3887</v>
      </c>
      <c r="S684" t="s">
        <v>1527</v>
      </c>
      <c r="T684" t="s">
        <v>3836</v>
      </c>
      <c r="U684" t="s">
        <v>1642</v>
      </c>
      <c r="V684" t="s">
        <v>1760</v>
      </c>
      <c r="W684" t="s">
        <v>1737</v>
      </c>
      <c r="X684" t="s">
        <v>1755</v>
      </c>
    </row>
    <row r="685" spans="1:24" x14ac:dyDescent="0.3">
      <c r="A685" t="s">
        <v>2492</v>
      </c>
      <c r="B685" s="2">
        <v>45232</v>
      </c>
      <c r="C685" t="s">
        <v>1106</v>
      </c>
      <c r="D685" t="s">
        <v>1565</v>
      </c>
      <c r="E685" t="s">
        <v>1740</v>
      </c>
      <c r="F685" s="4">
        <v>3</v>
      </c>
      <c r="G685">
        <v>401.42</v>
      </c>
      <c r="H685">
        <v>0.01</v>
      </c>
      <c r="I685" t="s">
        <v>1812</v>
      </c>
      <c r="J685">
        <v>1192.2174</v>
      </c>
      <c r="K685" t="s">
        <v>1107</v>
      </c>
      <c r="L685">
        <v>60</v>
      </c>
      <c r="M685" t="s">
        <v>16</v>
      </c>
      <c r="N685" t="s">
        <v>1108</v>
      </c>
      <c r="O685" t="s">
        <v>234</v>
      </c>
      <c r="P685" t="s">
        <v>12</v>
      </c>
      <c r="Q685" t="s">
        <v>13</v>
      </c>
      <c r="R685" t="s">
        <v>3841</v>
      </c>
      <c r="S685" t="s">
        <v>1549</v>
      </c>
      <c r="T685" t="s">
        <v>3820</v>
      </c>
      <c r="U685" t="s">
        <v>1566</v>
      </c>
      <c r="V685" t="s">
        <v>1741</v>
      </c>
      <c r="W685" t="s">
        <v>1742</v>
      </c>
      <c r="X685" t="s">
        <v>1739</v>
      </c>
    </row>
    <row r="686" spans="1:24" x14ac:dyDescent="0.3">
      <c r="A686" t="s">
        <v>2493</v>
      </c>
      <c r="B686" s="2">
        <v>45907</v>
      </c>
      <c r="C686" t="s">
        <v>625</v>
      </c>
      <c r="D686" t="s">
        <v>1623</v>
      </c>
      <c r="E686" t="s">
        <v>1765</v>
      </c>
      <c r="F686" s="4">
        <v>4</v>
      </c>
      <c r="G686">
        <v>442.54</v>
      </c>
      <c r="H686">
        <v>0.06</v>
      </c>
      <c r="I686" t="s">
        <v>1807</v>
      </c>
      <c r="J686">
        <v>1663.9503999999999</v>
      </c>
      <c r="K686" t="s">
        <v>626</v>
      </c>
      <c r="L686">
        <v>38</v>
      </c>
      <c r="M686" t="s">
        <v>9</v>
      </c>
      <c r="N686" t="s">
        <v>627</v>
      </c>
      <c r="O686" t="s">
        <v>106</v>
      </c>
      <c r="P686" t="s">
        <v>12</v>
      </c>
      <c r="Q686" t="s">
        <v>13</v>
      </c>
      <c r="R686" t="s">
        <v>3876</v>
      </c>
      <c r="S686" t="s">
        <v>1530</v>
      </c>
      <c r="T686" t="s">
        <v>3815</v>
      </c>
      <c r="U686" t="s">
        <v>1624</v>
      </c>
      <c r="V686" t="s">
        <v>1766</v>
      </c>
      <c r="W686" t="s">
        <v>1767</v>
      </c>
      <c r="X686" t="s">
        <v>1755</v>
      </c>
    </row>
    <row r="687" spans="1:24" x14ac:dyDescent="0.3">
      <c r="A687" t="s">
        <v>2494</v>
      </c>
      <c r="B687" s="2">
        <v>45270</v>
      </c>
      <c r="C687" t="s">
        <v>1392</v>
      </c>
      <c r="D687" t="s">
        <v>1707</v>
      </c>
      <c r="E687" t="s">
        <v>1780</v>
      </c>
      <c r="F687" s="4">
        <v>4</v>
      </c>
      <c r="G687">
        <v>451.41</v>
      </c>
      <c r="H687">
        <v>0.06</v>
      </c>
      <c r="I687" t="s">
        <v>1809</v>
      </c>
      <c r="J687">
        <v>1697.3016</v>
      </c>
      <c r="K687" t="s">
        <v>1393</v>
      </c>
      <c r="L687">
        <v>59</v>
      </c>
      <c r="M687" t="s">
        <v>9</v>
      </c>
      <c r="N687" t="s">
        <v>1394</v>
      </c>
      <c r="O687" t="s">
        <v>288</v>
      </c>
      <c r="P687" t="s">
        <v>12</v>
      </c>
      <c r="Q687" t="s">
        <v>13</v>
      </c>
      <c r="R687" t="s">
        <v>3921</v>
      </c>
      <c r="S687" t="s">
        <v>1549</v>
      </c>
      <c r="T687" t="s">
        <v>3820</v>
      </c>
      <c r="U687" t="s">
        <v>1708</v>
      </c>
      <c r="V687" t="s">
        <v>1741</v>
      </c>
      <c r="W687" t="s">
        <v>1742</v>
      </c>
      <c r="X687" t="s">
        <v>1739</v>
      </c>
    </row>
    <row r="688" spans="1:24" x14ac:dyDescent="0.3">
      <c r="A688" t="s">
        <v>2495</v>
      </c>
      <c r="B688" s="2">
        <v>45942</v>
      </c>
      <c r="C688" t="s">
        <v>839</v>
      </c>
      <c r="D688" t="s">
        <v>1713</v>
      </c>
      <c r="E688" t="s">
        <v>1769</v>
      </c>
      <c r="F688" s="4">
        <v>4</v>
      </c>
      <c r="G688">
        <v>547.21</v>
      </c>
      <c r="H688">
        <v>0.25</v>
      </c>
      <c r="I688" t="s">
        <v>1807</v>
      </c>
      <c r="J688">
        <v>1641.63</v>
      </c>
      <c r="K688" t="s">
        <v>840</v>
      </c>
      <c r="L688">
        <v>32</v>
      </c>
      <c r="M688" t="s">
        <v>16</v>
      </c>
      <c r="N688" t="s">
        <v>841</v>
      </c>
      <c r="O688" t="s">
        <v>234</v>
      </c>
      <c r="P688" t="s">
        <v>12</v>
      </c>
      <c r="Q688" t="s">
        <v>31</v>
      </c>
      <c r="R688" t="s">
        <v>3924</v>
      </c>
      <c r="S688" t="s">
        <v>1530</v>
      </c>
      <c r="T688" t="s">
        <v>3866</v>
      </c>
      <c r="U688" t="s">
        <v>1714</v>
      </c>
      <c r="V688" t="s">
        <v>1770</v>
      </c>
      <c r="W688" t="s">
        <v>1746</v>
      </c>
      <c r="X688" t="s">
        <v>1739</v>
      </c>
    </row>
    <row r="689" spans="1:24" x14ac:dyDescent="0.3">
      <c r="A689" t="s">
        <v>2496</v>
      </c>
      <c r="B689" s="2">
        <v>45750</v>
      </c>
      <c r="C689" t="s">
        <v>657</v>
      </c>
      <c r="D689" t="s">
        <v>1705</v>
      </c>
      <c r="E689" t="s">
        <v>1752</v>
      </c>
      <c r="F689" s="4">
        <v>1</v>
      </c>
      <c r="G689">
        <v>979.28</v>
      </c>
      <c r="H689">
        <v>0.2</v>
      </c>
      <c r="I689" t="s">
        <v>1809</v>
      </c>
      <c r="J689">
        <v>783.42399999999998</v>
      </c>
      <c r="K689" t="s">
        <v>658</v>
      </c>
      <c r="L689">
        <v>52</v>
      </c>
      <c r="M689" t="s">
        <v>9</v>
      </c>
      <c r="N689" t="s">
        <v>659</v>
      </c>
      <c r="O689" t="s">
        <v>264</v>
      </c>
      <c r="P689" t="s">
        <v>12</v>
      </c>
      <c r="Q689" t="s">
        <v>19</v>
      </c>
      <c r="R689" t="s">
        <v>3920</v>
      </c>
      <c r="S689" t="s">
        <v>1527</v>
      </c>
      <c r="T689" t="s">
        <v>3824</v>
      </c>
      <c r="U689" t="s">
        <v>1706</v>
      </c>
      <c r="V689" t="s">
        <v>1753</v>
      </c>
      <c r="W689" t="s">
        <v>1746</v>
      </c>
      <c r="X689" t="s">
        <v>1755</v>
      </c>
    </row>
    <row r="690" spans="1:24" x14ac:dyDescent="0.3">
      <c r="A690" t="s">
        <v>2497</v>
      </c>
      <c r="B690" s="2">
        <v>45300</v>
      </c>
      <c r="C690" t="s">
        <v>1415</v>
      </c>
      <c r="D690" t="s">
        <v>1643</v>
      </c>
      <c r="E690" t="s">
        <v>1762</v>
      </c>
      <c r="F690" s="4">
        <v>4</v>
      </c>
      <c r="G690">
        <v>263.58999999999997</v>
      </c>
      <c r="H690">
        <v>0.04</v>
      </c>
      <c r="I690" t="s">
        <v>1807</v>
      </c>
      <c r="J690">
        <v>1012.1856</v>
      </c>
      <c r="K690" t="s">
        <v>1416</v>
      </c>
      <c r="L690">
        <v>28</v>
      </c>
      <c r="M690" t="s">
        <v>16</v>
      </c>
      <c r="N690" t="s">
        <v>1417</v>
      </c>
      <c r="O690" t="s">
        <v>74</v>
      </c>
      <c r="P690" t="s">
        <v>12</v>
      </c>
      <c r="Q690" t="s">
        <v>19</v>
      </c>
      <c r="R690" t="s">
        <v>3888</v>
      </c>
      <c r="S690" t="s">
        <v>1527</v>
      </c>
      <c r="T690" t="s">
        <v>3836</v>
      </c>
      <c r="U690" t="s">
        <v>1644</v>
      </c>
      <c r="V690" t="s">
        <v>1763</v>
      </c>
      <c r="W690" t="s">
        <v>1746</v>
      </c>
      <c r="X690" t="s">
        <v>1755</v>
      </c>
    </row>
    <row r="691" spans="1:24" x14ac:dyDescent="0.3">
      <c r="A691" t="s">
        <v>2498</v>
      </c>
      <c r="B691" s="2">
        <v>45876</v>
      </c>
      <c r="C691" t="s">
        <v>20</v>
      </c>
      <c r="D691" t="s">
        <v>1639</v>
      </c>
      <c r="E691" t="s">
        <v>1756</v>
      </c>
      <c r="F691" s="4">
        <v>1</v>
      </c>
      <c r="G691">
        <v>692.75</v>
      </c>
      <c r="H691">
        <v>0.11</v>
      </c>
      <c r="I691" t="s">
        <v>1812</v>
      </c>
      <c r="J691">
        <v>616.54750000000001</v>
      </c>
      <c r="K691" t="s">
        <v>3933</v>
      </c>
      <c r="L691">
        <v>59</v>
      </c>
      <c r="M691" t="s">
        <v>16</v>
      </c>
      <c r="N691" t="s">
        <v>21</v>
      </c>
      <c r="O691" t="s">
        <v>22</v>
      </c>
      <c r="P691" t="s">
        <v>12</v>
      </c>
      <c r="Q691" t="s">
        <v>19</v>
      </c>
      <c r="R691" t="s">
        <v>3886</v>
      </c>
      <c r="S691" t="s">
        <v>1549</v>
      </c>
      <c r="T691" t="s">
        <v>3820</v>
      </c>
      <c r="U691" t="s">
        <v>1640</v>
      </c>
      <c r="V691" t="s">
        <v>1757</v>
      </c>
      <c r="W691" t="s">
        <v>1742</v>
      </c>
      <c r="X691" t="s">
        <v>1748</v>
      </c>
    </row>
    <row r="692" spans="1:24" x14ac:dyDescent="0.3">
      <c r="A692" t="s">
        <v>2499</v>
      </c>
      <c r="B692" s="2">
        <v>45301</v>
      </c>
      <c r="C692" t="s">
        <v>539</v>
      </c>
      <c r="D692" t="s">
        <v>1657</v>
      </c>
      <c r="E692" t="s">
        <v>1749</v>
      </c>
      <c r="F692" s="4">
        <v>3</v>
      </c>
      <c r="G692">
        <v>142.83000000000001</v>
      </c>
      <c r="H692">
        <v>0.01</v>
      </c>
      <c r="I692" t="s">
        <v>1807</v>
      </c>
      <c r="J692">
        <v>424.20510000000002</v>
      </c>
      <c r="K692" t="s">
        <v>540</v>
      </c>
      <c r="L692">
        <v>39</v>
      </c>
      <c r="M692" t="s">
        <v>16</v>
      </c>
      <c r="N692" t="s">
        <v>541</v>
      </c>
      <c r="O692" t="s">
        <v>191</v>
      </c>
      <c r="P692" t="s">
        <v>12</v>
      </c>
      <c r="Q692" t="s">
        <v>26</v>
      </c>
      <c r="R692" t="s">
        <v>3895</v>
      </c>
      <c r="S692" t="s">
        <v>1541</v>
      </c>
      <c r="T692" t="s">
        <v>3822</v>
      </c>
      <c r="U692" t="s">
        <v>1658</v>
      </c>
      <c r="V692" t="s">
        <v>1750</v>
      </c>
      <c r="W692" t="s">
        <v>1742</v>
      </c>
      <c r="X692" t="s">
        <v>1748</v>
      </c>
    </row>
    <row r="693" spans="1:24" x14ac:dyDescent="0.3">
      <c r="A693" t="s">
        <v>2500</v>
      </c>
      <c r="B693" s="2">
        <v>45857</v>
      </c>
      <c r="C693" t="s">
        <v>423</v>
      </c>
      <c r="D693" t="s">
        <v>1575</v>
      </c>
      <c r="E693" t="s">
        <v>1744</v>
      </c>
      <c r="F693" s="4">
        <v>2</v>
      </c>
      <c r="G693">
        <v>419.25</v>
      </c>
      <c r="H693">
        <v>0.17</v>
      </c>
      <c r="I693" t="s">
        <v>1809</v>
      </c>
      <c r="J693">
        <v>695.95499999999993</v>
      </c>
      <c r="K693" t="s">
        <v>424</v>
      </c>
      <c r="L693">
        <v>64</v>
      </c>
      <c r="M693" t="s">
        <v>16</v>
      </c>
      <c r="N693" t="s">
        <v>425</v>
      </c>
      <c r="O693" t="s">
        <v>191</v>
      </c>
      <c r="P693" t="s">
        <v>12</v>
      </c>
      <c r="Q693" t="s">
        <v>26</v>
      </c>
      <c r="R693" t="s">
        <v>3848</v>
      </c>
      <c r="S693" t="s">
        <v>1549</v>
      </c>
      <c r="T693" t="s">
        <v>3844</v>
      </c>
      <c r="U693" t="s">
        <v>1576</v>
      </c>
      <c r="V693" t="s">
        <v>1745</v>
      </c>
      <c r="W693" t="s">
        <v>1746</v>
      </c>
      <c r="X693" t="s">
        <v>1748</v>
      </c>
    </row>
    <row r="694" spans="1:24" x14ac:dyDescent="0.3">
      <c r="A694" t="s">
        <v>2501</v>
      </c>
      <c r="B694" s="2">
        <v>45650</v>
      </c>
      <c r="C694" t="s">
        <v>764</v>
      </c>
      <c r="D694" t="s">
        <v>1583</v>
      </c>
      <c r="E694" t="s">
        <v>1796</v>
      </c>
      <c r="F694" s="4">
        <v>2</v>
      </c>
      <c r="G694">
        <v>800.84</v>
      </c>
      <c r="H694">
        <v>0.27</v>
      </c>
      <c r="I694" t="s">
        <v>1812</v>
      </c>
      <c r="J694">
        <v>1169.2264</v>
      </c>
      <c r="K694" t="s">
        <v>765</v>
      </c>
      <c r="L694">
        <v>31</v>
      </c>
      <c r="M694" t="s">
        <v>9</v>
      </c>
      <c r="N694" t="s">
        <v>766</v>
      </c>
      <c r="O694" t="s">
        <v>155</v>
      </c>
      <c r="P694" t="s">
        <v>12</v>
      </c>
      <c r="Q694" t="s">
        <v>19</v>
      </c>
      <c r="R694" t="s">
        <v>3853</v>
      </c>
      <c r="S694" t="s">
        <v>1546</v>
      </c>
      <c r="T694" t="s">
        <v>3826</v>
      </c>
      <c r="U694" t="s">
        <v>1584</v>
      </c>
      <c r="V694" t="s">
        <v>1741</v>
      </c>
      <c r="W694" t="s">
        <v>1742</v>
      </c>
      <c r="X694" t="s">
        <v>1739</v>
      </c>
    </row>
    <row r="695" spans="1:24" x14ac:dyDescent="0.3">
      <c r="A695" t="s">
        <v>2502</v>
      </c>
      <c r="B695" s="2">
        <v>45520</v>
      </c>
      <c r="C695" t="s">
        <v>14</v>
      </c>
      <c r="D695" t="s">
        <v>1627</v>
      </c>
      <c r="E695" t="s">
        <v>1744</v>
      </c>
      <c r="F695" s="4">
        <v>1</v>
      </c>
      <c r="G695">
        <v>301.24</v>
      </c>
      <c r="H695">
        <v>0.11</v>
      </c>
      <c r="I695" t="s">
        <v>1809</v>
      </c>
      <c r="J695">
        <v>268.10359999999997</v>
      </c>
      <c r="K695" t="s">
        <v>15</v>
      </c>
      <c r="L695">
        <v>29</v>
      </c>
      <c r="M695" t="s">
        <v>16</v>
      </c>
      <c r="N695" t="s">
        <v>17</v>
      </c>
      <c r="O695" t="s">
        <v>18</v>
      </c>
      <c r="P695" t="s">
        <v>12</v>
      </c>
      <c r="Q695" t="s">
        <v>19</v>
      </c>
      <c r="R695" t="s">
        <v>3879</v>
      </c>
      <c r="S695" t="s">
        <v>1546</v>
      </c>
      <c r="T695" t="s">
        <v>3820</v>
      </c>
      <c r="U695" t="s">
        <v>1628</v>
      </c>
      <c r="V695" t="s">
        <v>1745</v>
      </c>
      <c r="W695" t="s">
        <v>1746</v>
      </c>
      <c r="X695" t="s">
        <v>1748</v>
      </c>
    </row>
    <row r="696" spans="1:24" x14ac:dyDescent="0.3">
      <c r="A696" t="s">
        <v>2503</v>
      </c>
      <c r="B696" s="2">
        <v>45497</v>
      </c>
      <c r="C696" t="s">
        <v>906</v>
      </c>
      <c r="D696" t="s">
        <v>1701</v>
      </c>
      <c r="E696" t="s">
        <v>1756</v>
      </c>
      <c r="F696" s="4">
        <v>2</v>
      </c>
      <c r="G696">
        <v>701.49</v>
      </c>
      <c r="H696">
        <v>0.09</v>
      </c>
      <c r="I696" t="s">
        <v>1809</v>
      </c>
      <c r="J696">
        <v>1276.7118</v>
      </c>
      <c r="K696" t="s">
        <v>907</v>
      </c>
      <c r="L696">
        <v>45</v>
      </c>
      <c r="M696" t="s">
        <v>9</v>
      </c>
      <c r="N696" t="s">
        <v>908</v>
      </c>
      <c r="O696" t="s">
        <v>166</v>
      </c>
      <c r="P696" t="s">
        <v>12</v>
      </c>
      <c r="Q696" t="s">
        <v>13</v>
      </c>
      <c r="R696" t="s">
        <v>3918</v>
      </c>
      <c r="S696" t="s">
        <v>1530</v>
      </c>
      <c r="T696" t="s">
        <v>3820</v>
      </c>
      <c r="U696" t="s">
        <v>1702</v>
      </c>
      <c r="V696" t="s">
        <v>1757</v>
      </c>
      <c r="W696" t="s">
        <v>1742</v>
      </c>
      <c r="X696" t="s">
        <v>1748</v>
      </c>
    </row>
    <row r="697" spans="1:24" x14ac:dyDescent="0.3">
      <c r="A697" t="s">
        <v>2504</v>
      </c>
      <c r="B697" s="2">
        <v>45615</v>
      </c>
      <c r="C697" t="s">
        <v>1089</v>
      </c>
      <c r="D697" t="s">
        <v>1583</v>
      </c>
      <c r="E697" t="s">
        <v>1772</v>
      </c>
      <c r="F697" s="4">
        <v>4</v>
      </c>
      <c r="G697">
        <v>413.48</v>
      </c>
      <c r="H697">
        <v>0.02</v>
      </c>
      <c r="I697" t="s">
        <v>1809</v>
      </c>
      <c r="J697">
        <v>1620.8416</v>
      </c>
      <c r="K697" t="s">
        <v>1090</v>
      </c>
      <c r="L697">
        <v>52</v>
      </c>
      <c r="M697" t="s">
        <v>16</v>
      </c>
      <c r="N697" t="s">
        <v>1091</v>
      </c>
      <c r="O697" t="s">
        <v>70</v>
      </c>
      <c r="P697" t="s">
        <v>12</v>
      </c>
      <c r="Q697" t="s">
        <v>26</v>
      </c>
      <c r="R697" t="s">
        <v>3853</v>
      </c>
      <c r="S697" t="s">
        <v>1546</v>
      </c>
      <c r="T697" t="s">
        <v>3826</v>
      </c>
      <c r="U697" t="s">
        <v>1584</v>
      </c>
      <c r="V697" t="s">
        <v>1741</v>
      </c>
      <c r="W697" t="s">
        <v>1742</v>
      </c>
      <c r="X697" t="s">
        <v>1739</v>
      </c>
    </row>
    <row r="698" spans="1:24" x14ac:dyDescent="0.3">
      <c r="A698" t="s">
        <v>2505</v>
      </c>
      <c r="B698" s="2">
        <v>45365</v>
      </c>
      <c r="C698" t="s">
        <v>640</v>
      </c>
      <c r="D698" t="s">
        <v>1545</v>
      </c>
      <c r="E698" t="s">
        <v>1740</v>
      </c>
      <c r="F698" s="4">
        <v>4</v>
      </c>
      <c r="G698">
        <v>167.83</v>
      </c>
      <c r="H698">
        <v>0.15</v>
      </c>
      <c r="I698" t="s">
        <v>1807</v>
      </c>
      <c r="J698">
        <v>570.62200000000007</v>
      </c>
      <c r="K698" t="s">
        <v>641</v>
      </c>
      <c r="L698">
        <v>54</v>
      </c>
      <c r="M698" t="s">
        <v>9</v>
      </c>
      <c r="N698" t="s">
        <v>204</v>
      </c>
      <c r="O698" t="s">
        <v>198</v>
      </c>
      <c r="P698" t="s">
        <v>12</v>
      </c>
      <c r="Q698" t="s">
        <v>19</v>
      </c>
      <c r="R698" t="s">
        <v>3912</v>
      </c>
      <c r="S698" t="s">
        <v>1527</v>
      </c>
      <c r="T698" t="s">
        <v>3824</v>
      </c>
      <c r="U698" t="s">
        <v>1690</v>
      </c>
      <c r="V698" t="s">
        <v>1741</v>
      </c>
      <c r="W698" t="s">
        <v>1742</v>
      </c>
      <c r="X698" t="s">
        <v>1739</v>
      </c>
    </row>
    <row r="699" spans="1:24" x14ac:dyDescent="0.3">
      <c r="A699" t="s">
        <v>2506</v>
      </c>
      <c r="B699" s="2">
        <v>45832</v>
      </c>
      <c r="C699" t="s">
        <v>467</v>
      </c>
      <c r="D699" t="s">
        <v>1561</v>
      </c>
      <c r="E699" t="s">
        <v>1793</v>
      </c>
      <c r="F699" s="4">
        <v>2</v>
      </c>
      <c r="G699">
        <v>669.12</v>
      </c>
      <c r="H699">
        <v>0.22</v>
      </c>
      <c r="I699" t="s">
        <v>1807</v>
      </c>
      <c r="J699">
        <v>1043.8271999999999</v>
      </c>
      <c r="K699" t="s">
        <v>468</v>
      </c>
      <c r="L699">
        <v>63</v>
      </c>
      <c r="M699" t="s">
        <v>16</v>
      </c>
      <c r="N699" t="s">
        <v>469</v>
      </c>
      <c r="O699" t="s">
        <v>117</v>
      </c>
      <c r="P699" t="s">
        <v>12</v>
      </c>
      <c r="Q699" t="s">
        <v>26</v>
      </c>
      <c r="R699" t="s">
        <v>3837</v>
      </c>
      <c r="S699" t="s">
        <v>1546</v>
      </c>
      <c r="T699" t="s">
        <v>3838</v>
      </c>
      <c r="U699" t="s">
        <v>1562</v>
      </c>
      <c r="V699" t="s">
        <v>1741</v>
      </c>
      <c r="W699" t="s">
        <v>1742</v>
      </c>
      <c r="X699" t="s">
        <v>1739</v>
      </c>
    </row>
    <row r="700" spans="1:24" x14ac:dyDescent="0.3">
      <c r="A700" t="s">
        <v>2507</v>
      </c>
      <c r="B700" s="2">
        <v>45530</v>
      </c>
      <c r="C700" t="s">
        <v>152</v>
      </c>
      <c r="D700" t="s">
        <v>1605</v>
      </c>
      <c r="E700" t="s">
        <v>1762</v>
      </c>
      <c r="F700" s="4">
        <v>3</v>
      </c>
      <c r="G700">
        <v>346.77</v>
      </c>
      <c r="H700">
        <v>0.18</v>
      </c>
      <c r="I700" t="s">
        <v>1809</v>
      </c>
      <c r="J700">
        <v>853.05420000000004</v>
      </c>
      <c r="K700" t="s">
        <v>153</v>
      </c>
      <c r="L700">
        <v>50</v>
      </c>
      <c r="M700" t="s">
        <v>9</v>
      </c>
      <c r="N700" t="s">
        <v>154</v>
      </c>
      <c r="O700" t="s">
        <v>155</v>
      </c>
      <c r="P700" t="s">
        <v>12</v>
      </c>
      <c r="Q700" t="s">
        <v>13</v>
      </c>
      <c r="R700" t="s">
        <v>3865</v>
      </c>
      <c r="S700" t="s">
        <v>1530</v>
      </c>
      <c r="T700" t="s">
        <v>3866</v>
      </c>
      <c r="U700" t="s">
        <v>1606</v>
      </c>
      <c r="V700" t="s">
        <v>1763</v>
      </c>
      <c r="W700" t="s">
        <v>1746</v>
      </c>
      <c r="X700" t="s">
        <v>1755</v>
      </c>
    </row>
    <row r="701" spans="1:24" x14ac:dyDescent="0.3">
      <c r="A701" t="s">
        <v>2508</v>
      </c>
      <c r="B701" s="2">
        <v>45939</v>
      </c>
      <c r="C701" t="s">
        <v>218</v>
      </c>
      <c r="D701" t="s">
        <v>1577</v>
      </c>
      <c r="E701" t="s">
        <v>1796</v>
      </c>
      <c r="F701" s="4">
        <v>3</v>
      </c>
      <c r="G701">
        <v>648.33000000000004</v>
      </c>
      <c r="H701">
        <v>0.2</v>
      </c>
      <c r="I701" t="s">
        <v>1812</v>
      </c>
      <c r="J701">
        <v>1555.992</v>
      </c>
      <c r="K701" t="s">
        <v>219</v>
      </c>
      <c r="L701">
        <v>22</v>
      </c>
      <c r="M701" t="s">
        <v>16</v>
      </c>
      <c r="N701" t="s">
        <v>220</v>
      </c>
      <c r="O701" t="s">
        <v>66</v>
      </c>
      <c r="P701" t="s">
        <v>12</v>
      </c>
      <c r="Q701" t="s">
        <v>19</v>
      </c>
      <c r="R701" t="s">
        <v>3849</v>
      </c>
      <c r="S701" t="s">
        <v>1530</v>
      </c>
      <c r="T701" t="s">
        <v>3813</v>
      </c>
      <c r="U701" t="s">
        <v>1578</v>
      </c>
      <c r="V701" t="s">
        <v>1741</v>
      </c>
      <c r="W701" t="s">
        <v>1742</v>
      </c>
      <c r="X701" t="s">
        <v>1739</v>
      </c>
    </row>
    <row r="702" spans="1:24" x14ac:dyDescent="0.3">
      <c r="A702" t="s">
        <v>2509</v>
      </c>
      <c r="B702" s="2">
        <v>45401</v>
      </c>
      <c r="C702" t="s">
        <v>897</v>
      </c>
      <c r="D702" t="s">
        <v>1540</v>
      </c>
      <c r="E702" t="s">
        <v>1744</v>
      </c>
      <c r="F702" s="4">
        <v>4</v>
      </c>
      <c r="G702">
        <v>254.94</v>
      </c>
      <c r="H702">
        <v>0.06</v>
      </c>
      <c r="I702" t="s">
        <v>1809</v>
      </c>
      <c r="J702">
        <v>958.57439999999997</v>
      </c>
      <c r="K702" t="s">
        <v>898</v>
      </c>
      <c r="L702">
        <v>22</v>
      </c>
      <c r="M702" t="s">
        <v>9</v>
      </c>
      <c r="N702" t="s">
        <v>899</v>
      </c>
      <c r="O702" t="s">
        <v>709</v>
      </c>
      <c r="P702" t="s">
        <v>12</v>
      </c>
      <c r="Q702" t="s">
        <v>31</v>
      </c>
      <c r="R702" t="s">
        <v>3891</v>
      </c>
      <c r="S702" t="s">
        <v>1541</v>
      </c>
      <c r="T702" t="s">
        <v>3833</v>
      </c>
      <c r="U702" t="s">
        <v>1650</v>
      </c>
      <c r="V702" t="s">
        <v>1745</v>
      </c>
      <c r="W702" t="s">
        <v>1746</v>
      </c>
      <c r="X702" t="s">
        <v>1748</v>
      </c>
    </row>
    <row r="703" spans="1:24" x14ac:dyDescent="0.3">
      <c r="A703" t="s">
        <v>2510</v>
      </c>
      <c r="B703" s="2">
        <v>45420</v>
      </c>
      <c r="C703" t="s">
        <v>1051</v>
      </c>
      <c r="D703" t="s">
        <v>1693</v>
      </c>
      <c r="E703" t="s">
        <v>1752</v>
      </c>
      <c r="F703" s="4">
        <v>1</v>
      </c>
      <c r="G703">
        <v>445.5</v>
      </c>
      <c r="H703">
        <v>0.28000000000000003</v>
      </c>
      <c r="I703" t="s">
        <v>1807</v>
      </c>
      <c r="J703">
        <v>320.76</v>
      </c>
      <c r="K703" t="s">
        <v>1052</v>
      </c>
      <c r="L703">
        <v>52</v>
      </c>
      <c r="M703" t="s">
        <v>16</v>
      </c>
      <c r="N703" t="s">
        <v>1053</v>
      </c>
      <c r="O703" t="s">
        <v>166</v>
      </c>
      <c r="P703" t="s">
        <v>12</v>
      </c>
      <c r="Q703" t="s">
        <v>31</v>
      </c>
      <c r="R703" t="s">
        <v>3914</v>
      </c>
      <c r="S703" t="s">
        <v>1549</v>
      </c>
      <c r="T703" t="s">
        <v>3844</v>
      </c>
      <c r="U703" t="s">
        <v>1694</v>
      </c>
      <c r="V703" t="s">
        <v>1753</v>
      </c>
      <c r="W703" t="s">
        <v>1746</v>
      </c>
      <c r="X703" t="s">
        <v>1755</v>
      </c>
    </row>
    <row r="704" spans="1:24" x14ac:dyDescent="0.3">
      <c r="A704" t="s">
        <v>2511</v>
      </c>
      <c r="B704" s="2">
        <v>45459</v>
      </c>
      <c r="C704" t="s">
        <v>710</v>
      </c>
      <c r="D704" t="s">
        <v>1711</v>
      </c>
      <c r="E704" t="s">
        <v>1752</v>
      </c>
      <c r="F704" s="4">
        <v>1</v>
      </c>
      <c r="G704">
        <v>900.94</v>
      </c>
      <c r="H704">
        <v>0.1</v>
      </c>
      <c r="I704" t="s">
        <v>1807</v>
      </c>
      <c r="J704">
        <v>810.84600000000012</v>
      </c>
      <c r="K704" t="s">
        <v>711</v>
      </c>
      <c r="L704">
        <v>35</v>
      </c>
      <c r="M704" t="s">
        <v>9</v>
      </c>
      <c r="N704" t="s">
        <v>712</v>
      </c>
      <c r="O704" t="s">
        <v>81</v>
      </c>
      <c r="P704" t="s">
        <v>12</v>
      </c>
      <c r="Q704" t="s">
        <v>19</v>
      </c>
      <c r="R704" t="s">
        <v>3923</v>
      </c>
      <c r="S704" t="s">
        <v>1546</v>
      </c>
      <c r="T704" t="s">
        <v>3820</v>
      </c>
      <c r="U704" t="s">
        <v>1712</v>
      </c>
      <c r="V704" t="s">
        <v>1753</v>
      </c>
      <c r="W704" t="s">
        <v>1746</v>
      </c>
      <c r="X704" t="s">
        <v>1755</v>
      </c>
    </row>
    <row r="705" spans="1:24" x14ac:dyDescent="0.3">
      <c r="A705" t="s">
        <v>2512</v>
      </c>
      <c r="B705" s="2">
        <v>45429</v>
      </c>
      <c r="C705" t="s">
        <v>637</v>
      </c>
      <c r="D705" t="s">
        <v>1561</v>
      </c>
      <c r="E705" t="s">
        <v>1787</v>
      </c>
      <c r="F705" s="4">
        <v>3</v>
      </c>
      <c r="G705">
        <v>262.69</v>
      </c>
      <c r="H705">
        <v>0.04</v>
      </c>
      <c r="I705" t="s">
        <v>1809</v>
      </c>
      <c r="J705">
        <v>756.54719999999986</v>
      </c>
      <c r="K705" t="s">
        <v>638</v>
      </c>
      <c r="L705">
        <v>45</v>
      </c>
      <c r="M705" t="s">
        <v>16</v>
      </c>
      <c r="N705" t="s">
        <v>639</v>
      </c>
      <c r="O705" t="s">
        <v>162</v>
      </c>
      <c r="P705" t="s">
        <v>12</v>
      </c>
      <c r="Q705" t="s">
        <v>19</v>
      </c>
      <c r="R705" t="s">
        <v>3837</v>
      </c>
      <c r="S705" t="s">
        <v>1546</v>
      </c>
      <c r="T705" t="s">
        <v>3838</v>
      </c>
      <c r="U705" t="s">
        <v>1562</v>
      </c>
      <c r="V705" t="s">
        <v>1741</v>
      </c>
      <c r="W705" t="s">
        <v>1742</v>
      </c>
      <c r="X705" t="s">
        <v>1739</v>
      </c>
    </row>
    <row r="706" spans="1:24" x14ac:dyDescent="0.3">
      <c r="A706" t="s">
        <v>2513</v>
      </c>
      <c r="B706" s="2">
        <v>45386</v>
      </c>
      <c r="C706" t="s">
        <v>1467</v>
      </c>
      <c r="D706" t="s">
        <v>1667</v>
      </c>
      <c r="E706" t="s">
        <v>1744</v>
      </c>
      <c r="F706" s="4">
        <v>3</v>
      </c>
      <c r="G706">
        <v>212.72</v>
      </c>
      <c r="H706">
        <v>0.22</v>
      </c>
      <c r="I706" t="s">
        <v>1809</v>
      </c>
      <c r="J706">
        <v>497.76479999999998</v>
      </c>
      <c r="K706" t="s">
        <v>1468</v>
      </c>
      <c r="L706">
        <v>48</v>
      </c>
      <c r="M706" t="s">
        <v>9</v>
      </c>
      <c r="N706" t="s">
        <v>1469</v>
      </c>
      <c r="O706" t="s">
        <v>582</v>
      </c>
      <c r="P706" t="s">
        <v>12</v>
      </c>
      <c r="Q706" t="s">
        <v>19</v>
      </c>
      <c r="R706" t="s">
        <v>3900</v>
      </c>
      <c r="S706" t="s">
        <v>1527</v>
      </c>
      <c r="T706" t="s">
        <v>3901</v>
      </c>
      <c r="U706" t="s">
        <v>1668</v>
      </c>
      <c r="V706" t="s">
        <v>1745</v>
      </c>
      <c r="W706" t="s">
        <v>1746</v>
      </c>
      <c r="X706" t="s">
        <v>1748</v>
      </c>
    </row>
    <row r="707" spans="1:24" x14ac:dyDescent="0.3">
      <c r="A707" t="s">
        <v>2514</v>
      </c>
      <c r="B707" s="2">
        <v>45803</v>
      </c>
      <c r="C707" t="s">
        <v>503</v>
      </c>
      <c r="D707" t="s">
        <v>1579</v>
      </c>
      <c r="E707" t="s">
        <v>1793</v>
      </c>
      <c r="F707" s="4">
        <v>4</v>
      </c>
      <c r="G707">
        <v>757.9</v>
      </c>
      <c r="H707">
        <v>0.22</v>
      </c>
      <c r="I707" t="s">
        <v>1809</v>
      </c>
      <c r="J707">
        <v>2364.6480000000001</v>
      </c>
      <c r="K707" t="s">
        <v>504</v>
      </c>
      <c r="L707">
        <v>41</v>
      </c>
      <c r="M707" t="s">
        <v>16</v>
      </c>
      <c r="N707" t="s">
        <v>505</v>
      </c>
      <c r="O707" t="s">
        <v>35</v>
      </c>
      <c r="P707" t="s">
        <v>12</v>
      </c>
      <c r="Q707" t="s">
        <v>13</v>
      </c>
      <c r="R707" t="s">
        <v>3850</v>
      </c>
      <c r="S707" t="s">
        <v>1549</v>
      </c>
      <c r="T707" t="s">
        <v>3851</v>
      </c>
      <c r="U707" t="s">
        <v>1580</v>
      </c>
      <c r="V707" t="s">
        <v>1741</v>
      </c>
      <c r="W707" t="s">
        <v>1742</v>
      </c>
      <c r="X707" t="s">
        <v>1739</v>
      </c>
    </row>
    <row r="708" spans="1:24" x14ac:dyDescent="0.3">
      <c r="A708" t="s">
        <v>2515</v>
      </c>
      <c r="B708" s="2">
        <v>45346</v>
      </c>
      <c r="C708" t="s">
        <v>78</v>
      </c>
      <c r="D708" t="s">
        <v>1691</v>
      </c>
      <c r="E708" t="s">
        <v>1790</v>
      </c>
      <c r="F708" s="4">
        <v>1</v>
      </c>
      <c r="G708">
        <v>846.04</v>
      </c>
      <c r="H708">
        <v>0.08</v>
      </c>
      <c r="I708" t="s">
        <v>1809</v>
      </c>
      <c r="J708">
        <v>778.35680000000002</v>
      </c>
      <c r="K708" t="s">
        <v>79</v>
      </c>
      <c r="L708">
        <v>43</v>
      </c>
      <c r="M708" t="s">
        <v>9</v>
      </c>
      <c r="N708" t="s">
        <v>80</v>
      </c>
      <c r="O708" t="s">
        <v>81</v>
      </c>
      <c r="P708" t="s">
        <v>12</v>
      </c>
      <c r="Q708" t="s">
        <v>19</v>
      </c>
      <c r="R708" t="s">
        <v>3913</v>
      </c>
      <c r="S708" t="s">
        <v>1527</v>
      </c>
      <c r="T708" t="s">
        <v>3830</v>
      </c>
      <c r="U708" t="s">
        <v>1692</v>
      </c>
      <c r="V708" t="s">
        <v>1741</v>
      </c>
      <c r="W708" t="s">
        <v>1742</v>
      </c>
      <c r="X708" t="s">
        <v>1739</v>
      </c>
    </row>
    <row r="709" spans="1:24" x14ac:dyDescent="0.3">
      <c r="A709" t="s">
        <v>2516</v>
      </c>
      <c r="B709" s="2">
        <v>45267</v>
      </c>
      <c r="C709" t="s">
        <v>527</v>
      </c>
      <c r="D709" t="s">
        <v>1607</v>
      </c>
      <c r="E709" t="s">
        <v>1762</v>
      </c>
      <c r="F709" s="4">
        <v>3</v>
      </c>
      <c r="G709">
        <v>179.7</v>
      </c>
      <c r="H709">
        <v>0.17</v>
      </c>
      <c r="I709" t="s">
        <v>1812</v>
      </c>
      <c r="J709">
        <v>447.45299999999992</v>
      </c>
      <c r="K709" t="s">
        <v>528</v>
      </c>
      <c r="L709">
        <v>41</v>
      </c>
      <c r="M709" t="s">
        <v>16</v>
      </c>
      <c r="N709" t="s">
        <v>529</v>
      </c>
      <c r="O709" t="s">
        <v>88</v>
      </c>
      <c r="P709" t="s">
        <v>12</v>
      </c>
      <c r="Q709" t="s">
        <v>13</v>
      </c>
      <c r="R709" t="s">
        <v>3867</v>
      </c>
      <c r="S709" t="s">
        <v>1549</v>
      </c>
      <c r="T709" t="s">
        <v>3851</v>
      </c>
      <c r="U709" t="s">
        <v>1608</v>
      </c>
      <c r="V709" t="s">
        <v>1763</v>
      </c>
      <c r="W709" t="s">
        <v>1746</v>
      </c>
      <c r="X709" t="s">
        <v>1755</v>
      </c>
    </row>
    <row r="710" spans="1:24" x14ac:dyDescent="0.3">
      <c r="A710" t="s">
        <v>2517</v>
      </c>
      <c r="B710" s="2">
        <v>45572</v>
      </c>
      <c r="C710" t="s">
        <v>1364</v>
      </c>
      <c r="D710" t="s">
        <v>1593</v>
      </c>
      <c r="E710" t="s">
        <v>1752</v>
      </c>
      <c r="F710" s="4">
        <v>4</v>
      </c>
      <c r="G710">
        <v>681.08</v>
      </c>
      <c r="H710">
        <v>0</v>
      </c>
      <c r="I710" t="s">
        <v>1809</v>
      </c>
      <c r="J710">
        <v>2724.32</v>
      </c>
      <c r="K710" t="s">
        <v>1365</v>
      </c>
      <c r="L710">
        <v>45</v>
      </c>
      <c r="M710" t="s">
        <v>9</v>
      </c>
      <c r="N710" t="s">
        <v>1366</v>
      </c>
      <c r="O710" t="s">
        <v>96</v>
      </c>
      <c r="P710" t="s">
        <v>12</v>
      </c>
      <c r="Q710" t="s">
        <v>31</v>
      </c>
      <c r="R710" t="s">
        <v>3858</v>
      </c>
      <c r="S710" t="s">
        <v>1549</v>
      </c>
      <c r="T710" t="s">
        <v>3859</v>
      </c>
      <c r="U710" t="s">
        <v>1594</v>
      </c>
      <c r="V710" t="s">
        <v>1753</v>
      </c>
      <c r="W710" t="s">
        <v>1746</v>
      </c>
      <c r="X710" t="s">
        <v>1755</v>
      </c>
    </row>
    <row r="711" spans="1:24" x14ac:dyDescent="0.3">
      <c r="A711" t="s">
        <v>2518</v>
      </c>
      <c r="B711" s="2">
        <v>45252</v>
      </c>
      <c r="C711" t="s">
        <v>1240</v>
      </c>
      <c r="D711" t="s">
        <v>1536</v>
      </c>
      <c r="E711" t="s">
        <v>1762</v>
      </c>
      <c r="F711" s="4">
        <v>4</v>
      </c>
      <c r="G711">
        <v>723.44</v>
      </c>
      <c r="H711">
        <v>0.14000000000000001</v>
      </c>
      <c r="I711" t="s">
        <v>1809</v>
      </c>
      <c r="J711">
        <v>2488.6336000000001</v>
      </c>
      <c r="K711" t="s">
        <v>1241</v>
      </c>
      <c r="L711">
        <v>22</v>
      </c>
      <c r="M711" t="s">
        <v>16</v>
      </c>
      <c r="N711" t="s">
        <v>1242</v>
      </c>
      <c r="O711" t="s">
        <v>323</v>
      </c>
      <c r="P711" t="s">
        <v>12</v>
      </c>
      <c r="Q711" t="s">
        <v>26</v>
      </c>
      <c r="R711" t="s">
        <v>3868</v>
      </c>
      <c r="S711" t="s">
        <v>1546</v>
      </c>
      <c r="T711" t="s">
        <v>3869</v>
      </c>
      <c r="U711" t="s">
        <v>1610</v>
      </c>
      <c r="V711" t="s">
        <v>1763</v>
      </c>
      <c r="W711" t="s">
        <v>1746</v>
      </c>
      <c r="X711" t="s">
        <v>1755</v>
      </c>
    </row>
    <row r="712" spans="1:24" x14ac:dyDescent="0.3">
      <c r="A712" t="s">
        <v>2519</v>
      </c>
      <c r="B712" s="2">
        <v>45939</v>
      </c>
      <c r="C712" t="s">
        <v>430</v>
      </c>
      <c r="D712" t="s">
        <v>1593</v>
      </c>
      <c r="E712" t="s">
        <v>1782</v>
      </c>
      <c r="F712" s="4">
        <v>4</v>
      </c>
      <c r="G712">
        <v>471.89</v>
      </c>
      <c r="H712">
        <v>0.12</v>
      </c>
      <c r="I712" t="s">
        <v>1812</v>
      </c>
      <c r="J712">
        <v>1661.0527999999999</v>
      </c>
      <c r="K712" t="s">
        <v>431</v>
      </c>
      <c r="L712">
        <v>39</v>
      </c>
      <c r="M712" t="s">
        <v>9</v>
      </c>
      <c r="N712" t="s">
        <v>432</v>
      </c>
      <c r="O712" t="s">
        <v>133</v>
      </c>
      <c r="P712" t="s">
        <v>12</v>
      </c>
      <c r="Q712" t="s">
        <v>13</v>
      </c>
      <c r="R712" t="s">
        <v>3858</v>
      </c>
      <c r="S712" t="s">
        <v>1549</v>
      </c>
      <c r="T712" t="s">
        <v>3859</v>
      </c>
      <c r="U712" t="s">
        <v>1594</v>
      </c>
      <c r="V712" t="s">
        <v>1741</v>
      </c>
      <c r="W712" t="s">
        <v>1742</v>
      </c>
      <c r="X712" t="s">
        <v>1739</v>
      </c>
    </row>
    <row r="713" spans="1:24" x14ac:dyDescent="0.3">
      <c r="A713" t="s">
        <v>2520</v>
      </c>
      <c r="B713" s="2">
        <v>45559</v>
      </c>
      <c r="C713" t="s">
        <v>1132</v>
      </c>
      <c r="D713" t="s">
        <v>1673</v>
      </c>
      <c r="E713" t="s">
        <v>1790</v>
      </c>
      <c r="F713" s="4">
        <v>1</v>
      </c>
      <c r="G713">
        <v>613.17999999999995</v>
      </c>
      <c r="H713">
        <v>0.14000000000000001</v>
      </c>
      <c r="I713" t="s">
        <v>1812</v>
      </c>
      <c r="J713">
        <v>527.33479999999997</v>
      </c>
      <c r="K713" t="s">
        <v>1133</v>
      </c>
      <c r="L713">
        <v>51</v>
      </c>
      <c r="M713" t="s">
        <v>9</v>
      </c>
      <c r="N713" t="s">
        <v>1134</v>
      </c>
      <c r="O713" t="s">
        <v>22</v>
      </c>
      <c r="P713" t="s">
        <v>12</v>
      </c>
      <c r="Q713" t="s">
        <v>19</v>
      </c>
      <c r="R713" t="s">
        <v>3904</v>
      </c>
      <c r="S713" t="s">
        <v>1541</v>
      </c>
      <c r="T713" t="s">
        <v>3833</v>
      </c>
      <c r="U713" t="s">
        <v>1674</v>
      </c>
      <c r="V713" t="s">
        <v>1741</v>
      </c>
      <c r="W713" t="s">
        <v>1742</v>
      </c>
      <c r="X713" t="s">
        <v>1739</v>
      </c>
    </row>
    <row r="714" spans="1:24" x14ac:dyDescent="0.3">
      <c r="A714" t="s">
        <v>2521</v>
      </c>
      <c r="B714" s="2">
        <v>45229</v>
      </c>
      <c r="C714" t="s">
        <v>192</v>
      </c>
      <c r="D714" t="s">
        <v>1617</v>
      </c>
      <c r="E714" t="s">
        <v>1752</v>
      </c>
      <c r="F714" s="4">
        <v>1</v>
      </c>
      <c r="G714">
        <v>651.30999999999995</v>
      </c>
      <c r="H714">
        <v>0.24</v>
      </c>
      <c r="I714" t="s">
        <v>1809</v>
      </c>
      <c r="J714">
        <v>494.99560000000002</v>
      </c>
      <c r="K714" t="s">
        <v>193</v>
      </c>
      <c r="L714">
        <v>55</v>
      </c>
      <c r="M714" t="s">
        <v>9</v>
      </c>
      <c r="N714" t="s">
        <v>194</v>
      </c>
      <c r="O714" t="s">
        <v>43</v>
      </c>
      <c r="P714" t="s">
        <v>12</v>
      </c>
      <c r="Q714" t="s">
        <v>13</v>
      </c>
      <c r="R714" t="s">
        <v>3873</v>
      </c>
      <c r="S714" t="s">
        <v>1546</v>
      </c>
      <c r="T714" t="s">
        <v>3811</v>
      </c>
      <c r="U714" t="s">
        <v>1618</v>
      </c>
      <c r="V714" t="s">
        <v>1753</v>
      </c>
      <c r="W714" t="s">
        <v>1746</v>
      </c>
      <c r="X714" t="s">
        <v>1755</v>
      </c>
    </row>
    <row r="715" spans="1:24" x14ac:dyDescent="0.3">
      <c r="A715" t="s">
        <v>2522</v>
      </c>
      <c r="B715" s="2">
        <v>45333</v>
      </c>
      <c r="C715" t="s">
        <v>103</v>
      </c>
      <c r="D715" t="s">
        <v>1534</v>
      </c>
      <c r="E715" t="s">
        <v>1759</v>
      </c>
      <c r="F715" s="4">
        <v>2</v>
      </c>
      <c r="G715">
        <v>635.14</v>
      </c>
      <c r="H715">
        <v>0.1</v>
      </c>
      <c r="I715" t="s">
        <v>1812</v>
      </c>
      <c r="J715">
        <v>1143.252</v>
      </c>
      <c r="K715" t="s">
        <v>104</v>
      </c>
      <c r="L715">
        <v>59</v>
      </c>
      <c r="M715" t="s">
        <v>16</v>
      </c>
      <c r="N715" t="s">
        <v>105</v>
      </c>
      <c r="O715" t="s">
        <v>106</v>
      </c>
      <c r="P715" t="s">
        <v>12</v>
      </c>
      <c r="Q715" t="s">
        <v>19</v>
      </c>
      <c r="R715" t="s">
        <v>3856</v>
      </c>
      <c r="S715" t="s">
        <v>1527</v>
      </c>
      <c r="T715" t="s">
        <v>3836</v>
      </c>
      <c r="U715" t="s">
        <v>1590</v>
      </c>
      <c r="V715" t="s">
        <v>1760</v>
      </c>
      <c r="W715" t="s">
        <v>1737</v>
      </c>
      <c r="X715" t="s">
        <v>1755</v>
      </c>
    </row>
    <row r="716" spans="1:24" x14ac:dyDescent="0.3">
      <c r="A716" t="s">
        <v>2523</v>
      </c>
      <c r="B716" s="2">
        <v>45752</v>
      </c>
      <c r="C716" t="s">
        <v>1174</v>
      </c>
      <c r="D716" t="s">
        <v>1727</v>
      </c>
      <c r="E716" t="s">
        <v>1782</v>
      </c>
      <c r="F716" s="4">
        <v>4</v>
      </c>
      <c r="G716">
        <v>912.61</v>
      </c>
      <c r="H716">
        <v>0.14000000000000001</v>
      </c>
      <c r="I716" t="s">
        <v>1807</v>
      </c>
      <c r="J716">
        <v>3139.3784000000001</v>
      </c>
      <c r="K716" t="s">
        <v>1175</v>
      </c>
      <c r="L716">
        <v>50</v>
      </c>
      <c r="M716" t="s">
        <v>9</v>
      </c>
      <c r="N716" t="s">
        <v>1176</v>
      </c>
      <c r="O716" t="s">
        <v>214</v>
      </c>
      <c r="P716" t="s">
        <v>12</v>
      </c>
      <c r="Q716" t="s">
        <v>13</v>
      </c>
      <c r="R716" t="s">
        <v>3931</v>
      </c>
      <c r="S716" t="s">
        <v>1546</v>
      </c>
      <c r="T716" t="s">
        <v>3826</v>
      </c>
      <c r="U716" t="s">
        <v>1728</v>
      </c>
      <c r="V716" t="s">
        <v>1741</v>
      </c>
      <c r="W716" t="s">
        <v>1742</v>
      </c>
      <c r="X716" t="s">
        <v>1739</v>
      </c>
    </row>
    <row r="717" spans="1:24" x14ac:dyDescent="0.3">
      <c r="A717" t="s">
        <v>2524</v>
      </c>
      <c r="B717" s="2">
        <v>45795</v>
      </c>
      <c r="C717" t="s">
        <v>864</v>
      </c>
      <c r="D717" t="s">
        <v>1625</v>
      </c>
      <c r="E717" t="s">
        <v>1762</v>
      </c>
      <c r="F717" s="4">
        <v>3</v>
      </c>
      <c r="G717">
        <v>79.77</v>
      </c>
      <c r="H717">
        <v>0.09</v>
      </c>
      <c r="I717" t="s">
        <v>1807</v>
      </c>
      <c r="J717">
        <v>217.77209999999999</v>
      </c>
      <c r="K717" t="s">
        <v>865</v>
      </c>
      <c r="L717">
        <v>22</v>
      </c>
      <c r="M717" t="s">
        <v>9</v>
      </c>
      <c r="N717" t="s">
        <v>866</v>
      </c>
      <c r="O717" t="s">
        <v>170</v>
      </c>
      <c r="P717" t="s">
        <v>12</v>
      </c>
      <c r="Q717" t="s">
        <v>31</v>
      </c>
      <c r="R717" t="s">
        <v>3877</v>
      </c>
      <c r="S717" t="s">
        <v>1541</v>
      </c>
      <c r="T717" t="s">
        <v>3878</v>
      </c>
      <c r="U717" t="s">
        <v>1626</v>
      </c>
      <c r="V717" t="s">
        <v>1763</v>
      </c>
      <c r="W717" t="s">
        <v>1746</v>
      </c>
      <c r="X717" t="s">
        <v>1755</v>
      </c>
    </row>
    <row r="718" spans="1:24" x14ac:dyDescent="0.3">
      <c r="A718" t="s">
        <v>2525</v>
      </c>
      <c r="B718" s="2">
        <v>45755</v>
      </c>
      <c r="C718" t="s">
        <v>873</v>
      </c>
      <c r="D718" t="s">
        <v>1719</v>
      </c>
      <c r="E718" t="s">
        <v>1784</v>
      </c>
      <c r="F718" s="4">
        <v>4</v>
      </c>
      <c r="G718">
        <v>603.52</v>
      </c>
      <c r="H718">
        <v>0.25</v>
      </c>
      <c r="I718" t="s">
        <v>1807</v>
      </c>
      <c r="J718">
        <v>1810.56</v>
      </c>
      <c r="K718" t="s">
        <v>874</v>
      </c>
      <c r="L718">
        <v>42</v>
      </c>
      <c r="M718" t="s">
        <v>16</v>
      </c>
      <c r="N718" t="s">
        <v>875</v>
      </c>
      <c r="O718" t="s">
        <v>271</v>
      </c>
      <c r="P718" t="s">
        <v>12</v>
      </c>
      <c r="Q718" t="s">
        <v>19</v>
      </c>
      <c r="R718" t="s">
        <v>3927</v>
      </c>
      <c r="S718" t="s">
        <v>1541</v>
      </c>
      <c r="T718" t="s">
        <v>3822</v>
      </c>
      <c r="U718" t="s">
        <v>1720</v>
      </c>
      <c r="V718" t="s">
        <v>1741</v>
      </c>
      <c r="W718" t="s">
        <v>1742</v>
      </c>
      <c r="X718" t="s">
        <v>1739</v>
      </c>
    </row>
    <row r="719" spans="1:24" x14ac:dyDescent="0.3">
      <c r="A719" t="s">
        <v>2526</v>
      </c>
      <c r="B719" s="2">
        <v>45625</v>
      </c>
      <c r="C719" t="s">
        <v>278</v>
      </c>
      <c r="D719" t="s">
        <v>1685</v>
      </c>
      <c r="E719" t="s">
        <v>1777</v>
      </c>
      <c r="F719" s="4">
        <v>4</v>
      </c>
      <c r="G719">
        <v>453.12</v>
      </c>
      <c r="H719">
        <v>0.23</v>
      </c>
      <c r="I719" t="s">
        <v>1812</v>
      </c>
      <c r="J719">
        <v>1395.6096</v>
      </c>
      <c r="K719" t="s">
        <v>279</v>
      </c>
      <c r="L719">
        <v>21</v>
      </c>
      <c r="M719" t="s">
        <v>9</v>
      </c>
      <c r="N719" t="s">
        <v>280</v>
      </c>
      <c r="O719" t="s">
        <v>170</v>
      </c>
      <c r="P719" t="s">
        <v>12</v>
      </c>
      <c r="Q719" t="s">
        <v>13</v>
      </c>
      <c r="R719" t="s">
        <v>3910</v>
      </c>
      <c r="S719" t="s">
        <v>1546</v>
      </c>
      <c r="T719" t="s">
        <v>3838</v>
      </c>
      <c r="U719" t="s">
        <v>1686</v>
      </c>
      <c r="V719" t="s">
        <v>1741</v>
      </c>
      <c r="W719" t="s">
        <v>1742</v>
      </c>
      <c r="X719" t="s">
        <v>1739</v>
      </c>
    </row>
    <row r="720" spans="1:24" x14ac:dyDescent="0.3">
      <c r="A720" t="s">
        <v>2527</v>
      </c>
      <c r="B720" s="2">
        <v>45656</v>
      </c>
      <c r="C720" t="s">
        <v>1510</v>
      </c>
      <c r="D720" t="s">
        <v>1597</v>
      </c>
      <c r="E720" t="s">
        <v>1769</v>
      </c>
      <c r="F720" s="4">
        <v>2</v>
      </c>
      <c r="G720">
        <v>974.35</v>
      </c>
      <c r="H720">
        <v>0.15</v>
      </c>
      <c r="I720" t="s">
        <v>1807</v>
      </c>
      <c r="J720">
        <v>1656.395</v>
      </c>
      <c r="K720" t="s">
        <v>1511</v>
      </c>
      <c r="L720">
        <v>35</v>
      </c>
      <c r="M720" t="s">
        <v>9</v>
      </c>
      <c r="N720" t="s">
        <v>1512</v>
      </c>
      <c r="O720" t="s">
        <v>58</v>
      </c>
      <c r="P720" t="s">
        <v>12</v>
      </c>
      <c r="Q720" t="s">
        <v>13</v>
      </c>
      <c r="R720" t="s">
        <v>3861</v>
      </c>
      <c r="S720" t="s">
        <v>1527</v>
      </c>
      <c r="T720" t="s">
        <v>3836</v>
      </c>
      <c r="U720" t="s">
        <v>1598</v>
      </c>
      <c r="V720" t="s">
        <v>1770</v>
      </c>
      <c r="W720" t="s">
        <v>1746</v>
      </c>
      <c r="X720" t="s">
        <v>1739</v>
      </c>
    </row>
    <row r="721" spans="1:24" x14ac:dyDescent="0.3">
      <c r="A721" t="s">
        <v>2528</v>
      </c>
      <c r="B721" s="2">
        <v>45824</v>
      </c>
      <c r="C721" t="s">
        <v>1450</v>
      </c>
      <c r="D721" t="s">
        <v>1721</v>
      </c>
      <c r="E721" t="s">
        <v>1790</v>
      </c>
      <c r="F721" s="4">
        <v>4</v>
      </c>
      <c r="G721">
        <v>52.35</v>
      </c>
      <c r="H721">
        <v>0.23</v>
      </c>
      <c r="I721" t="s">
        <v>1812</v>
      </c>
      <c r="J721">
        <v>161.238</v>
      </c>
      <c r="K721" t="s">
        <v>1451</v>
      </c>
      <c r="L721">
        <v>41</v>
      </c>
      <c r="M721" t="s">
        <v>16</v>
      </c>
      <c r="N721" t="s">
        <v>1452</v>
      </c>
      <c r="O721" t="s">
        <v>96</v>
      </c>
      <c r="P721" t="s">
        <v>12</v>
      </c>
      <c r="Q721" t="s">
        <v>13</v>
      </c>
      <c r="R721" t="s">
        <v>3928</v>
      </c>
      <c r="S721" t="s">
        <v>1549</v>
      </c>
      <c r="T721" t="s">
        <v>3820</v>
      </c>
      <c r="U721" t="s">
        <v>1722</v>
      </c>
      <c r="V721" t="s">
        <v>1741</v>
      </c>
      <c r="W721" t="s">
        <v>1742</v>
      </c>
      <c r="X721" t="s">
        <v>1739</v>
      </c>
    </row>
    <row r="722" spans="1:24" x14ac:dyDescent="0.3">
      <c r="A722" t="s">
        <v>2529</v>
      </c>
      <c r="B722" s="2">
        <v>45824</v>
      </c>
      <c r="C722" t="s">
        <v>1144</v>
      </c>
      <c r="D722" t="s">
        <v>1661</v>
      </c>
      <c r="E722" t="s">
        <v>1790</v>
      </c>
      <c r="F722" s="4">
        <v>3</v>
      </c>
      <c r="G722">
        <v>681.58</v>
      </c>
      <c r="H722">
        <v>0.23</v>
      </c>
      <c r="I722" t="s">
        <v>1807</v>
      </c>
      <c r="J722">
        <v>1574.4498000000001</v>
      </c>
      <c r="K722" t="s">
        <v>1145</v>
      </c>
      <c r="L722">
        <v>21</v>
      </c>
      <c r="M722" t="s">
        <v>16</v>
      </c>
      <c r="N722" t="s">
        <v>1146</v>
      </c>
      <c r="O722" t="s">
        <v>251</v>
      </c>
      <c r="P722" t="s">
        <v>12</v>
      </c>
      <c r="Q722" t="s">
        <v>31</v>
      </c>
      <c r="R722" t="s">
        <v>3897</v>
      </c>
      <c r="S722" t="s">
        <v>1549</v>
      </c>
      <c r="T722" t="s">
        <v>3828</v>
      </c>
      <c r="U722" t="s">
        <v>1662</v>
      </c>
      <c r="V722" t="s">
        <v>1741</v>
      </c>
      <c r="W722" t="s">
        <v>1742</v>
      </c>
      <c r="X722" t="s">
        <v>1739</v>
      </c>
    </row>
    <row r="723" spans="1:24" x14ac:dyDescent="0.3">
      <c r="A723" t="s">
        <v>2530</v>
      </c>
      <c r="B723" s="2">
        <v>45384</v>
      </c>
      <c r="C723" t="s">
        <v>579</v>
      </c>
      <c r="D723" t="s">
        <v>1697</v>
      </c>
      <c r="E723" t="s">
        <v>1784</v>
      </c>
      <c r="F723" s="4">
        <v>3</v>
      </c>
      <c r="G723">
        <v>71.23</v>
      </c>
      <c r="H723">
        <v>0.03</v>
      </c>
      <c r="I723" t="s">
        <v>1807</v>
      </c>
      <c r="J723">
        <v>207.27930000000001</v>
      </c>
      <c r="K723" t="s">
        <v>580</v>
      </c>
      <c r="L723">
        <v>33</v>
      </c>
      <c r="M723" t="s">
        <v>16</v>
      </c>
      <c r="N723" t="s">
        <v>581</v>
      </c>
      <c r="O723" t="s">
        <v>582</v>
      </c>
      <c r="P723" t="s">
        <v>12</v>
      </c>
      <c r="Q723" t="s">
        <v>19</v>
      </c>
      <c r="R723" t="s">
        <v>3916</v>
      </c>
      <c r="S723" t="s">
        <v>1541</v>
      </c>
      <c r="T723" t="s">
        <v>3822</v>
      </c>
      <c r="U723" t="s">
        <v>1698</v>
      </c>
      <c r="V723" t="s">
        <v>1741</v>
      </c>
      <c r="W723" t="s">
        <v>1742</v>
      </c>
      <c r="X723" t="s">
        <v>1739</v>
      </c>
    </row>
    <row r="724" spans="1:24" x14ac:dyDescent="0.3">
      <c r="A724" t="s">
        <v>2531</v>
      </c>
      <c r="B724" s="2">
        <v>45379</v>
      </c>
      <c r="C724" t="s">
        <v>767</v>
      </c>
      <c r="D724" t="s">
        <v>1561</v>
      </c>
      <c r="E724" t="s">
        <v>1782</v>
      </c>
      <c r="F724" s="4">
        <v>1</v>
      </c>
      <c r="G724">
        <v>31.36</v>
      </c>
      <c r="H724">
        <v>0.21</v>
      </c>
      <c r="I724" t="s">
        <v>1812</v>
      </c>
      <c r="J724">
        <v>24.7744</v>
      </c>
      <c r="K724" t="s">
        <v>768</v>
      </c>
      <c r="L724">
        <v>58</v>
      </c>
      <c r="M724" t="s">
        <v>16</v>
      </c>
      <c r="N724" t="s">
        <v>769</v>
      </c>
      <c r="O724" t="s">
        <v>284</v>
      </c>
      <c r="P724" t="s">
        <v>12</v>
      </c>
      <c r="Q724" t="s">
        <v>19</v>
      </c>
      <c r="R724" t="s">
        <v>3837</v>
      </c>
      <c r="S724" t="s">
        <v>1546</v>
      </c>
      <c r="T724" t="s">
        <v>3838</v>
      </c>
      <c r="U724" t="s">
        <v>1562</v>
      </c>
      <c r="V724" t="s">
        <v>1741</v>
      </c>
      <c r="W724" t="s">
        <v>1742</v>
      </c>
      <c r="X724" t="s">
        <v>1739</v>
      </c>
    </row>
    <row r="725" spans="1:24" x14ac:dyDescent="0.3">
      <c r="A725" t="s">
        <v>2532</v>
      </c>
      <c r="B725" s="2">
        <v>45674</v>
      </c>
      <c r="C725" t="s">
        <v>1060</v>
      </c>
      <c r="D725" t="s">
        <v>1613</v>
      </c>
      <c r="E725" t="s">
        <v>1780</v>
      </c>
      <c r="F725" s="4">
        <v>2</v>
      </c>
      <c r="G725">
        <v>555.54999999999995</v>
      </c>
      <c r="H725">
        <v>0.14000000000000001</v>
      </c>
      <c r="I725" t="s">
        <v>1807</v>
      </c>
      <c r="J725">
        <v>955.54599999999994</v>
      </c>
      <c r="K725" t="s">
        <v>1061</v>
      </c>
      <c r="L725">
        <v>30</v>
      </c>
      <c r="M725" t="s">
        <v>16</v>
      </c>
      <c r="N725" t="s">
        <v>1062</v>
      </c>
      <c r="O725" t="s">
        <v>191</v>
      </c>
      <c r="P725" t="s">
        <v>12</v>
      </c>
      <c r="Q725" t="s">
        <v>26</v>
      </c>
      <c r="R725" t="s">
        <v>3871</v>
      </c>
      <c r="S725" t="s">
        <v>1549</v>
      </c>
      <c r="T725" t="s">
        <v>3828</v>
      </c>
      <c r="U725" t="s">
        <v>1614</v>
      </c>
      <c r="V725" t="s">
        <v>1741</v>
      </c>
      <c r="W725" t="s">
        <v>1742</v>
      </c>
      <c r="X725" t="s">
        <v>1739</v>
      </c>
    </row>
    <row r="726" spans="1:24" x14ac:dyDescent="0.3">
      <c r="A726" t="s">
        <v>2533</v>
      </c>
      <c r="B726" s="2">
        <v>45760</v>
      </c>
      <c r="C726" t="s">
        <v>797</v>
      </c>
      <c r="D726" t="s">
        <v>1663</v>
      </c>
      <c r="E726" t="s">
        <v>1787</v>
      </c>
      <c r="F726" s="4">
        <v>4</v>
      </c>
      <c r="G726">
        <v>805.99</v>
      </c>
      <c r="H726">
        <v>0.06</v>
      </c>
      <c r="I726" t="s">
        <v>1807</v>
      </c>
      <c r="J726">
        <v>3030.5223999999998</v>
      </c>
      <c r="K726" t="s">
        <v>798</v>
      </c>
      <c r="L726">
        <v>26</v>
      </c>
      <c r="M726" t="s">
        <v>9</v>
      </c>
      <c r="N726" t="s">
        <v>799</v>
      </c>
      <c r="O726" t="s">
        <v>22</v>
      </c>
      <c r="P726" t="s">
        <v>12</v>
      </c>
      <c r="Q726" t="s">
        <v>31</v>
      </c>
      <c r="R726" t="s">
        <v>3898</v>
      </c>
      <c r="S726" t="s">
        <v>1541</v>
      </c>
      <c r="T726" t="s">
        <v>3833</v>
      </c>
      <c r="U726" t="s">
        <v>1664</v>
      </c>
      <c r="V726" t="s">
        <v>1741</v>
      </c>
      <c r="W726" t="s">
        <v>1742</v>
      </c>
      <c r="X726" t="s">
        <v>1739</v>
      </c>
    </row>
    <row r="727" spans="1:24" x14ac:dyDescent="0.3">
      <c r="A727" t="s">
        <v>2534</v>
      </c>
      <c r="B727" s="2">
        <v>45474</v>
      </c>
      <c r="C727" t="s">
        <v>1198</v>
      </c>
      <c r="D727" t="s">
        <v>1673</v>
      </c>
      <c r="E727" t="s">
        <v>1740</v>
      </c>
      <c r="F727" s="4">
        <v>1</v>
      </c>
      <c r="G727">
        <v>506.55</v>
      </c>
      <c r="H727">
        <v>0.28000000000000003</v>
      </c>
      <c r="I727" t="s">
        <v>1807</v>
      </c>
      <c r="J727">
        <v>364.71600000000001</v>
      </c>
      <c r="K727" t="s">
        <v>1199</v>
      </c>
      <c r="L727">
        <v>50</v>
      </c>
      <c r="M727" t="s">
        <v>9</v>
      </c>
      <c r="N727" t="s">
        <v>1200</v>
      </c>
      <c r="O727" t="s">
        <v>113</v>
      </c>
      <c r="P727" t="s">
        <v>12</v>
      </c>
      <c r="Q727" t="s">
        <v>19</v>
      </c>
      <c r="R727" t="s">
        <v>3904</v>
      </c>
      <c r="S727" t="s">
        <v>1541</v>
      </c>
      <c r="T727" t="s">
        <v>3833</v>
      </c>
      <c r="U727" t="s">
        <v>1674</v>
      </c>
      <c r="V727" t="s">
        <v>1741</v>
      </c>
      <c r="W727" t="s">
        <v>1742</v>
      </c>
      <c r="X727" t="s">
        <v>1739</v>
      </c>
    </row>
    <row r="728" spans="1:24" x14ac:dyDescent="0.3">
      <c r="A728" t="s">
        <v>2535</v>
      </c>
      <c r="B728" s="2">
        <v>45640</v>
      </c>
      <c r="C728" t="s">
        <v>442</v>
      </c>
      <c r="D728" t="s">
        <v>1613</v>
      </c>
      <c r="E728" t="s">
        <v>1775</v>
      </c>
      <c r="F728" s="4">
        <v>3</v>
      </c>
      <c r="G728">
        <v>28.69</v>
      </c>
      <c r="H728">
        <v>0.02</v>
      </c>
      <c r="I728" t="s">
        <v>1807</v>
      </c>
      <c r="J728">
        <v>84.348600000000005</v>
      </c>
      <c r="K728" t="s">
        <v>443</v>
      </c>
      <c r="L728">
        <v>34</v>
      </c>
      <c r="M728" t="s">
        <v>16</v>
      </c>
      <c r="N728" t="s">
        <v>3956</v>
      </c>
      <c r="O728" t="s">
        <v>166</v>
      </c>
      <c r="P728" t="s">
        <v>12</v>
      </c>
      <c r="Q728" t="s">
        <v>19</v>
      </c>
      <c r="R728" t="s">
        <v>3871</v>
      </c>
      <c r="S728" t="s">
        <v>1549</v>
      </c>
      <c r="T728" t="s">
        <v>3828</v>
      </c>
      <c r="U728" t="s">
        <v>1614</v>
      </c>
      <c r="V728" t="s">
        <v>1741</v>
      </c>
      <c r="W728" t="s">
        <v>1742</v>
      </c>
      <c r="X728" t="s">
        <v>1739</v>
      </c>
    </row>
    <row r="729" spans="1:24" x14ac:dyDescent="0.3">
      <c r="A729" t="s">
        <v>2536</v>
      </c>
      <c r="B729" s="2">
        <v>45253</v>
      </c>
      <c r="C729" t="s">
        <v>1195</v>
      </c>
      <c r="D729" t="s">
        <v>1683</v>
      </c>
      <c r="E729" t="s">
        <v>1752</v>
      </c>
      <c r="F729" s="4">
        <v>1</v>
      </c>
      <c r="G729">
        <v>106.07</v>
      </c>
      <c r="H729">
        <v>0.23</v>
      </c>
      <c r="I729" t="s">
        <v>1812</v>
      </c>
      <c r="J729">
        <v>81.673900000000003</v>
      </c>
      <c r="K729" t="s">
        <v>1196</v>
      </c>
      <c r="L729">
        <v>53</v>
      </c>
      <c r="M729" t="s">
        <v>9</v>
      </c>
      <c r="N729" t="s">
        <v>1197</v>
      </c>
      <c r="O729" t="s">
        <v>88</v>
      </c>
      <c r="P729" t="s">
        <v>12</v>
      </c>
      <c r="Q729" t="s">
        <v>31</v>
      </c>
      <c r="R729" t="s">
        <v>3909</v>
      </c>
      <c r="S729" t="s">
        <v>1546</v>
      </c>
      <c r="T729" t="s">
        <v>3811</v>
      </c>
      <c r="U729" t="s">
        <v>1684</v>
      </c>
      <c r="V729" t="s">
        <v>1753</v>
      </c>
      <c r="W729" t="s">
        <v>1746</v>
      </c>
      <c r="X729" t="s">
        <v>1755</v>
      </c>
    </row>
    <row r="730" spans="1:24" x14ac:dyDescent="0.3">
      <c r="A730" t="s">
        <v>2537</v>
      </c>
      <c r="B730" s="2">
        <v>45225</v>
      </c>
      <c r="C730" t="s">
        <v>823</v>
      </c>
      <c r="D730" t="s">
        <v>1713</v>
      </c>
      <c r="E730" t="s">
        <v>1735</v>
      </c>
      <c r="F730" s="4">
        <v>4</v>
      </c>
      <c r="G730">
        <v>289.77</v>
      </c>
      <c r="H730">
        <v>0.06</v>
      </c>
      <c r="I730" t="s">
        <v>1809</v>
      </c>
      <c r="J730">
        <v>1089.5352</v>
      </c>
      <c r="K730" t="s">
        <v>824</v>
      </c>
      <c r="L730">
        <v>27</v>
      </c>
      <c r="M730" t="s">
        <v>16</v>
      </c>
      <c r="N730" t="s">
        <v>825</v>
      </c>
      <c r="O730" t="s">
        <v>133</v>
      </c>
      <c r="P730" t="s">
        <v>12</v>
      </c>
      <c r="Q730" t="s">
        <v>19</v>
      </c>
      <c r="R730" t="s">
        <v>3924</v>
      </c>
      <c r="S730" t="s">
        <v>1530</v>
      </c>
      <c r="T730" t="s">
        <v>3866</v>
      </c>
      <c r="U730" t="s">
        <v>1714</v>
      </c>
      <c r="V730" t="s">
        <v>1736</v>
      </c>
      <c r="W730" t="s">
        <v>1737</v>
      </c>
      <c r="X730" t="s">
        <v>1739</v>
      </c>
    </row>
    <row r="731" spans="1:24" x14ac:dyDescent="0.3">
      <c r="A731" t="s">
        <v>2538</v>
      </c>
      <c r="B731" s="2">
        <v>45263</v>
      </c>
      <c r="C731" t="s">
        <v>518</v>
      </c>
      <c r="D731" t="s">
        <v>1697</v>
      </c>
      <c r="E731" t="s">
        <v>1793</v>
      </c>
      <c r="F731" s="4">
        <v>2</v>
      </c>
      <c r="G731">
        <v>354.26</v>
      </c>
      <c r="H731">
        <v>0.01</v>
      </c>
      <c r="I731" t="s">
        <v>1812</v>
      </c>
      <c r="J731">
        <v>701.4348</v>
      </c>
      <c r="K731" t="s">
        <v>519</v>
      </c>
      <c r="L731">
        <v>59</v>
      </c>
      <c r="M731" t="s">
        <v>9</v>
      </c>
      <c r="N731" t="s">
        <v>520</v>
      </c>
      <c r="O731" t="s">
        <v>18</v>
      </c>
      <c r="P731" t="s">
        <v>12</v>
      </c>
      <c r="Q731" t="s">
        <v>26</v>
      </c>
      <c r="R731" t="s">
        <v>3916</v>
      </c>
      <c r="S731" t="s">
        <v>1541</v>
      </c>
      <c r="T731" t="s">
        <v>3822</v>
      </c>
      <c r="U731" t="s">
        <v>1698</v>
      </c>
      <c r="V731" t="s">
        <v>1741</v>
      </c>
      <c r="W731" t="s">
        <v>1742</v>
      </c>
      <c r="X731" t="s">
        <v>1739</v>
      </c>
    </row>
    <row r="732" spans="1:24" x14ac:dyDescent="0.3">
      <c r="A732" t="s">
        <v>2539</v>
      </c>
      <c r="B732" s="2">
        <v>45554</v>
      </c>
      <c r="C732" t="s">
        <v>1189</v>
      </c>
      <c r="D732" t="s">
        <v>1667</v>
      </c>
      <c r="E732" t="s">
        <v>1782</v>
      </c>
      <c r="F732" s="4">
        <v>1</v>
      </c>
      <c r="G732">
        <v>522.72</v>
      </c>
      <c r="H732">
        <v>0.25</v>
      </c>
      <c r="I732" t="s">
        <v>1809</v>
      </c>
      <c r="J732">
        <v>392.04</v>
      </c>
      <c r="K732" t="s">
        <v>1190</v>
      </c>
      <c r="L732">
        <v>18</v>
      </c>
      <c r="M732" t="s">
        <v>16</v>
      </c>
      <c r="N732" t="s">
        <v>1191</v>
      </c>
      <c r="O732" t="s">
        <v>312</v>
      </c>
      <c r="P732" t="s">
        <v>12</v>
      </c>
      <c r="Q732" t="s">
        <v>13</v>
      </c>
      <c r="R732" t="s">
        <v>3900</v>
      </c>
      <c r="S732" t="s">
        <v>1527</v>
      </c>
      <c r="T732" t="s">
        <v>3901</v>
      </c>
      <c r="U732" t="s">
        <v>1668</v>
      </c>
      <c r="V732" t="s">
        <v>1741</v>
      </c>
      <c r="W732" t="s">
        <v>1742</v>
      </c>
      <c r="X732" t="s">
        <v>1739</v>
      </c>
    </row>
    <row r="733" spans="1:24" x14ac:dyDescent="0.3">
      <c r="A733" t="s">
        <v>2540</v>
      </c>
      <c r="B733" s="2">
        <v>45569</v>
      </c>
      <c r="C733" t="s">
        <v>211</v>
      </c>
      <c r="D733" t="s">
        <v>1538</v>
      </c>
      <c r="E733" t="s">
        <v>1769</v>
      </c>
      <c r="F733" s="4">
        <v>3</v>
      </c>
      <c r="G733">
        <v>966.02</v>
      </c>
      <c r="H733">
        <v>0.03</v>
      </c>
      <c r="I733" t="s">
        <v>1812</v>
      </c>
      <c r="J733">
        <v>2811.1181999999999</v>
      </c>
      <c r="K733" t="s">
        <v>212</v>
      </c>
      <c r="L733">
        <v>51</v>
      </c>
      <c r="M733" t="s">
        <v>9</v>
      </c>
      <c r="N733" t="s">
        <v>213</v>
      </c>
      <c r="O733" t="s">
        <v>214</v>
      </c>
      <c r="P733" t="s">
        <v>12</v>
      </c>
      <c r="Q733" t="s">
        <v>19</v>
      </c>
      <c r="R733" t="s">
        <v>3880</v>
      </c>
      <c r="S733" t="s">
        <v>1541</v>
      </c>
      <c r="T733" t="s">
        <v>3881</v>
      </c>
      <c r="U733" t="s">
        <v>1630</v>
      </c>
      <c r="V733" t="s">
        <v>1770</v>
      </c>
      <c r="W733" t="s">
        <v>1746</v>
      </c>
      <c r="X733" t="s">
        <v>1739</v>
      </c>
    </row>
    <row r="734" spans="1:24" x14ac:dyDescent="0.3">
      <c r="A734" t="s">
        <v>2541</v>
      </c>
      <c r="B734" s="2">
        <v>45217</v>
      </c>
      <c r="C734" t="s">
        <v>718</v>
      </c>
      <c r="D734" t="s">
        <v>1631</v>
      </c>
      <c r="E734" t="s">
        <v>1790</v>
      </c>
      <c r="F734" s="4">
        <v>1</v>
      </c>
      <c r="G734">
        <v>498.61</v>
      </c>
      <c r="H734">
        <v>0.04</v>
      </c>
      <c r="I734" t="s">
        <v>1809</v>
      </c>
      <c r="J734">
        <v>478.66559999999998</v>
      </c>
      <c r="K734" t="s">
        <v>719</v>
      </c>
      <c r="L734">
        <v>46</v>
      </c>
      <c r="M734" t="s">
        <v>16</v>
      </c>
      <c r="N734" t="s">
        <v>720</v>
      </c>
      <c r="O734" t="s">
        <v>113</v>
      </c>
      <c r="P734" t="s">
        <v>12</v>
      </c>
      <c r="Q734" t="s">
        <v>31</v>
      </c>
      <c r="R734" t="s">
        <v>3882</v>
      </c>
      <c r="S734" t="s">
        <v>1549</v>
      </c>
      <c r="T734" t="s">
        <v>3828</v>
      </c>
      <c r="U734" t="s">
        <v>1632</v>
      </c>
      <c r="V734" t="s">
        <v>1741</v>
      </c>
      <c r="W734" t="s">
        <v>1742</v>
      </c>
      <c r="X734" t="s">
        <v>1739</v>
      </c>
    </row>
    <row r="735" spans="1:24" x14ac:dyDescent="0.3">
      <c r="A735" t="s">
        <v>2542</v>
      </c>
      <c r="B735" s="2">
        <v>45783</v>
      </c>
      <c r="C735" t="s">
        <v>1027</v>
      </c>
      <c r="D735" t="s">
        <v>1615</v>
      </c>
      <c r="E735" t="s">
        <v>1759</v>
      </c>
      <c r="F735" s="4">
        <v>4</v>
      </c>
      <c r="G735">
        <v>758.27</v>
      </c>
      <c r="H735">
        <v>0.05</v>
      </c>
      <c r="I735" t="s">
        <v>1809</v>
      </c>
      <c r="J735">
        <v>2881.4259999999999</v>
      </c>
      <c r="K735" t="s">
        <v>1028</v>
      </c>
      <c r="L735">
        <v>38</v>
      </c>
      <c r="M735" t="s">
        <v>16</v>
      </c>
      <c r="N735" t="s">
        <v>1029</v>
      </c>
      <c r="O735" t="s">
        <v>191</v>
      </c>
      <c r="P735" t="s">
        <v>12</v>
      </c>
      <c r="Q735" t="s">
        <v>19</v>
      </c>
      <c r="R735" t="s">
        <v>3872</v>
      </c>
      <c r="S735" t="s">
        <v>1546</v>
      </c>
      <c r="T735" t="s">
        <v>3820</v>
      </c>
      <c r="U735" t="s">
        <v>1616</v>
      </c>
      <c r="V735" t="s">
        <v>1760</v>
      </c>
      <c r="W735" t="s">
        <v>1737</v>
      </c>
      <c r="X735" t="s">
        <v>1755</v>
      </c>
    </row>
    <row r="736" spans="1:24" x14ac:dyDescent="0.3">
      <c r="A736" t="s">
        <v>2543</v>
      </c>
      <c r="B736" s="2">
        <v>45371</v>
      </c>
      <c r="C736" t="s">
        <v>642</v>
      </c>
      <c r="D736" t="s">
        <v>1534</v>
      </c>
      <c r="E736" t="s">
        <v>1744</v>
      </c>
      <c r="F736" s="4">
        <v>2</v>
      </c>
      <c r="G736">
        <v>371.03</v>
      </c>
      <c r="H736">
        <v>0.23</v>
      </c>
      <c r="I736" t="s">
        <v>1809</v>
      </c>
      <c r="J736">
        <v>571.38619999999992</v>
      </c>
      <c r="K736" t="s">
        <v>643</v>
      </c>
      <c r="L736">
        <v>46</v>
      </c>
      <c r="M736" t="s">
        <v>9</v>
      </c>
      <c r="N736" t="s">
        <v>644</v>
      </c>
      <c r="O736" t="s">
        <v>170</v>
      </c>
      <c r="P736" t="s">
        <v>12</v>
      </c>
      <c r="Q736" t="s">
        <v>26</v>
      </c>
      <c r="R736" t="s">
        <v>3856</v>
      </c>
      <c r="S736" t="s">
        <v>1527</v>
      </c>
      <c r="T736" t="s">
        <v>3836</v>
      </c>
      <c r="U736" t="s">
        <v>1590</v>
      </c>
      <c r="V736" t="s">
        <v>1745</v>
      </c>
      <c r="W736" t="s">
        <v>1746</v>
      </c>
      <c r="X736" t="s">
        <v>1748</v>
      </c>
    </row>
    <row r="737" spans="1:24" x14ac:dyDescent="0.3">
      <c r="A737" t="s">
        <v>2544</v>
      </c>
      <c r="B737" s="2">
        <v>45453</v>
      </c>
      <c r="C737" t="s">
        <v>1100</v>
      </c>
      <c r="D737" t="s">
        <v>1713</v>
      </c>
      <c r="E737" t="s">
        <v>1790</v>
      </c>
      <c r="F737" s="4">
        <v>1</v>
      </c>
      <c r="G737">
        <v>230.32</v>
      </c>
      <c r="H737">
        <v>0.05</v>
      </c>
      <c r="I737" t="s">
        <v>1812</v>
      </c>
      <c r="J737">
        <v>218.804</v>
      </c>
      <c r="K737" t="s">
        <v>1101</v>
      </c>
      <c r="L737">
        <v>54</v>
      </c>
      <c r="M737" t="s">
        <v>9</v>
      </c>
      <c r="N737" t="s">
        <v>1102</v>
      </c>
      <c r="O737" t="s">
        <v>74</v>
      </c>
      <c r="P737" t="s">
        <v>12</v>
      </c>
      <c r="Q737" t="s">
        <v>13</v>
      </c>
      <c r="R737" t="s">
        <v>3924</v>
      </c>
      <c r="S737" t="s">
        <v>1530</v>
      </c>
      <c r="T737" t="s">
        <v>3866</v>
      </c>
      <c r="U737" t="s">
        <v>1714</v>
      </c>
      <c r="V737" t="s">
        <v>1741</v>
      </c>
      <c r="W737" t="s">
        <v>1742</v>
      </c>
      <c r="X737" t="s">
        <v>1739</v>
      </c>
    </row>
    <row r="738" spans="1:24" x14ac:dyDescent="0.3">
      <c r="A738" t="s">
        <v>2545</v>
      </c>
      <c r="B738" s="2">
        <v>45526</v>
      </c>
      <c r="C738" t="s">
        <v>1063</v>
      </c>
      <c r="D738" t="s">
        <v>1653</v>
      </c>
      <c r="E738" t="s">
        <v>1759</v>
      </c>
      <c r="F738" s="4">
        <v>2</v>
      </c>
      <c r="G738">
        <v>985.43</v>
      </c>
      <c r="H738">
        <v>0.28000000000000003</v>
      </c>
      <c r="I738" t="s">
        <v>1812</v>
      </c>
      <c r="J738">
        <v>1419.0192</v>
      </c>
      <c r="K738" t="s">
        <v>1064</v>
      </c>
      <c r="L738">
        <v>38</v>
      </c>
      <c r="M738" t="s">
        <v>9</v>
      </c>
      <c r="N738" t="s">
        <v>1065</v>
      </c>
      <c r="O738" t="s">
        <v>166</v>
      </c>
      <c r="P738" t="s">
        <v>12</v>
      </c>
      <c r="Q738" t="s">
        <v>26</v>
      </c>
      <c r="R738" t="s">
        <v>3893</v>
      </c>
      <c r="S738" t="s">
        <v>1549</v>
      </c>
      <c r="T738" t="s">
        <v>3844</v>
      </c>
      <c r="U738" t="s">
        <v>1654</v>
      </c>
      <c r="V738" t="s">
        <v>1760</v>
      </c>
      <c r="W738" t="s">
        <v>1737</v>
      </c>
      <c r="X738" t="s">
        <v>1755</v>
      </c>
    </row>
    <row r="739" spans="1:24" x14ac:dyDescent="0.3">
      <c r="A739" t="s">
        <v>2546</v>
      </c>
      <c r="B739" s="2">
        <v>45756</v>
      </c>
      <c r="C739" t="s">
        <v>1295</v>
      </c>
      <c r="D739" t="s">
        <v>1548</v>
      </c>
      <c r="E739" t="s">
        <v>1752</v>
      </c>
      <c r="F739" s="4">
        <v>2</v>
      </c>
      <c r="G739">
        <v>492.5</v>
      </c>
      <c r="H739">
        <v>0.3</v>
      </c>
      <c r="I739" t="s">
        <v>1809</v>
      </c>
      <c r="J739">
        <v>689.5</v>
      </c>
      <c r="K739" t="s">
        <v>3950</v>
      </c>
      <c r="L739">
        <v>35</v>
      </c>
      <c r="M739" t="s">
        <v>9</v>
      </c>
      <c r="N739" t="s">
        <v>1296</v>
      </c>
      <c r="O739" t="s">
        <v>62</v>
      </c>
      <c r="P739" t="s">
        <v>12</v>
      </c>
      <c r="Q739" t="s">
        <v>19</v>
      </c>
      <c r="R739" t="s">
        <v>3922</v>
      </c>
      <c r="S739" t="s">
        <v>1541</v>
      </c>
      <c r="T739" t="s">
        <v>3878</v>
      </c>
      <c r="U739" t="s">
        <v>1710</v>
      </c>
      <c r="V739" t="s">
        <v>1753</v>
      </c>
      <c r="W739" t="s">
        <v>1746</v>
      </c>
      <c r="X739" t="s">
        <v>1755</v>
      </c>
    </row>
    <row r="740" spans="1:24" x14ac:dyDescent="0.3">
      <c r="A740" t="s">
        <v>2547</v>
      </c>
      <c r="B740" s="2">
        <v>45657</v>
      </c>
      <c r="C740" t="s">
        <v>1126</v>
      </c>
      <c r="D740" t="s">
        <v>1623</v>
      </c>
      <c r="E740" t="s">
        <v>1775</v>
      </c>
      <c r="F740" s="4">
        <v>2</v>
      </c>
      <c r="G740">
        <v>213.69</v>
      </c>
      <c r="H740">
        <v>0.28000000000000003</v>
      </c>
      <c r="I740" t="s">
        <v>1809</v>
      </c>
      <c r="J740">
        <v>307.71359999999999</v>
      </c>
      <c r="K740" t="s">
        <v>1127</v>
      </c>
      <c r="L740">
        <v>63</v>
      </c>
      <c r="M740" t="s">
        <v>16</v>
      </c>
      <c r="N740" t="s">
        <v>1128</v>
      </c>
      <c r="O740" t="s">
        <v>133</v>
      </c>
      <c r="P740" t="s">
        <v>12</v>
      </c>
      <c r="Q740" t="s">
        <v>26</v>
      </c>
      <c r="R740" t="s">
        <v>3876</v>
      </c>
      <c r="S740" t="s">
        <v>1530</v>
      </c>
      <c r="T740" t="s">
        <v>3815</v>
      </c>
      <c r="U740" t="s">
        <v>1624</v>
      </c>
      <c r="V740" t="s">
        <v>1741</v>
      </c>
      <c r="W740" t="s">
        <v>1742</v>
      </c>
      <c r="X740" t="s">
        <v>1739</v>
      </c>
    </row>
    <row r="741" spans="1:24" x14ac:dyDescent="0.3">
      <c r="A741" t="s">
        <v>2548</v>
      </c>
      <c r="B741" s="2">
        <v>45716</v>
      </c>
      <c r="C741" t="s">
        <v>238</v>
      </c>
      <c r="D741" t="s">
        <v>1571</v>
      </c>
      <c r="E741" t="s">
        <v>1765</v>
      </c>
      <c r="F741" s="4">
        <v>4</v>
      </c>
      <c r="G741">
        <v>618.83000000000004</v>
      </c>
      <c r="H741">
        <v>0.08</v>
      </c>
      <c r="I741" t="s">
        <v>1809</v>
      </c>
      <c r="J741">
        <v>2277.2944000000002</v>
      </c>
      <c r="K741" t="s">
        <v>239</v>
      </c>
      <c r="L741">
        <v>27</v>
      </c>
      <c r="M741" t="s">
        <v>16</v>
      </c>
      <c r="N741" t="s">
        <v>240</v>
      </c>
      <c r="O741" t="s">
        <v>181</v>
      </c>
      <c r="P741" t="s">
        <v>12</v>
      </c>
      <c r="Q741" t="s">
        <v>31</v>
      </c>
      <c r="R741" t="s">
        <v>3845</v>
      </c>
      <c r="S741" t="s">
        <v>1549</v>
      </c>
      <c r="T741" t="s">
        <v>3820</v>
      </c>
      <c r="U741" t="s">
        <v>1572</v>
      </c>
      <c r="V741" t="s">
        <v>1766</v>
      </c>
      <c r="W741" t="s">
        <v>1767</v>
      </c>
      <c r="X741" t="s">
        <v>1755</v>
      </c>
    </row>
    <row r="742" spans="1:24" x14ac:dyDescent="0.3">
      <c r="A742" t="s">
        <v>2549</v>
      </c>
      <c r="B742" s="2">
        <v>45313</v>
      </c>
      <c r="C742" t="s">
        <v>330</v>
      </c>
      <c r="D742" t="s">
        <v>1649</v>
      </c>
      <c r="E742" t="s">
        <v>1775</v>
      </c>
      <c r="F742" s="4">
        <v>2</v>
      </c>
      <c r="G742">
        <v>81.16</v>
      </c>
      <c r="H742">
        <v>0.16</v>
      </c>
      <c r="I742" t="s">
        <v>1809</v>
      </c>
      <c r="J742">
        <v>136.34880000000001</v>
      </c>
      <c r="K742" t="s">
        <v>331</v>
      </c>
      <c r="L742">
        <v>43</v>
      </c>
      <c r="M742" t="s">
        <v>16</v>
      </c>
      <c r="N742" t="s">
        <v>332</v>
      </c>
      <c r="O742" t="s">
        <v>312</v>
      </c>
      <c r="P742" t="s">
        <v>12</v>
      </c>
      <c r="Q742" t="s">
        <v>13</v>
      </c>
      <c r="R742" t="s">
        <v>3891</v>
      </c>
      <c r="S742" t="s">
        <v>1541</v>
      </c>
      <c r="T742" t="s">
        <v>3833</v>
      </c>
      <c r="U742" t="s">
        <v>1650</v>
      </c>
      <c r="V742" t="s">
        <v>1741</v>
      </c>
      <c r="W742" t="s">
        <v>1742</v>
      </c>
      <c r="X742" t="s">
        <v>1739</v>
      </c>
    </row>
    <row r="743" spans="1:24" x14ac:dyDescent="0.3">
      <c r="A743" t="s">
        <v>2550</v>
      </c>
      <c r="B743" s="2">
        <v>45372</v>
      </c>
      <c r="C743" t="s">
        <v>20</v>
      </c>
      <c r="D743" t="s">
        <v>1703</v>
      </c>
      <c r="E743" t="s">
        <v>1769</v>
      </c>
      <c r="F743" s="4">
        <v>1</v>
      </c>
      <c r="G743">
        <v>431.69</v>
      </c>
      <c r="H743">
        <v>0.09</v>
      </c>
      <c r="I743" t="s">
        <v>1807</v>
      </c>
      <c r="J743">
        <v>392.83789999999999</v>
      </c>
      <c r="K743" t="s">
        <v>3933</v>
      </c>
      <c r="L743">
        <v>59</v>
      </c>
      <c r="M743" t="s">
        <v>16</v>
      </c>
      <c r="N743" t="s">
        <v>21</v>
      </c>
      <c r="O743" t="s">
        <v>22</v>
      </c>
      <c r="P743" t="s">
        <v>12</v>
      </c>
      <c r="Q743" t="s">
        <v>19</v>
      </c>
      <c r="R743" t="s">
        <v>3919</v>
      </c>
      <c r="S743" t="s">
        <v>1527</v>
      </c>
      <c r="T743" t="s">
        <v>3830</v>
      </c>
      <c r="U743" t="s">
        <v>1704</v>
      </c>
      <c r="V743" t="s">
        <v>1770</v>
      </c>
      <c r="W743" t="s">
        <v>1746</v>
      </c>
      <c r="X743" t="s">
        <v>1739</v>
      </c>
    </row>
    <row r="744" spans="1:24" x14ac:dyDescent="0.3">
      <c r="A744" t="s">
        <v>2551</v>
      </c>
      <c r="B744" s="2">
        <v>45648</v>
      </c>
      <c r="C744" t="s">
        <v>1246</v>
      </c>
      <c r="D744" t="s">
        <v>1567</v>
      </c>
      <c r="E744" t="s">
        <v>1756</v>
      </c>
      <c r="F744" s="4">
        <v>3</v>
      </c>
      <c r="G744">
        <v>438.65</v>
      </c>
      <c r="H744">
        <v>0.28999999999999998</v>
      </c>
      <c r="I744" t="s">
        <v>1809</v>
      </c>
      <c r="J744">
        <v>934.32449999999983</v>
      </c>
      <c r="K744" t="s">
        <v>1247</v>
      </c>
      <c r="L744">
        <v>23</v>
      </c>
      <c r="M744" t="s">
        <v>16</v>
      </c>
      <c r="N744" t="s">
        <v>1248</v>
      </c>
      <c r="O744" t="s">
        <v>323</v>
      </c>
      <c r="P744" t="s">
        <v>12</v>
      </c>
      <c r="Q744" t="s">
        <v>13</v>
      </c>
      <c r="R744" t="s">
        <v>3842</v>
      </c>
      <c r="S744" t="s">
        <v>1530</v>
      </c>
      <c r="T744" t="s">
        <v>3818</v>
      </c>
      <c r="U744" t="s">
        <v>1568</v>
      </c>
      <c r="V744" t="s">
        <v>1757</v>
      </c>
      <c r="W744" t="s">
        <v>1742</v>
      </c>
      <c r="X744" t="s">
        <v>1748</v>
      </c>
    </row>
    <row r="745" spans="1:24" x14ac:dyDescent="0.3">
      <c r="A745" t="s">
        <v>2552</v>
      </c>
      <c r="B745" s="2">
        <v>45384</v>
      </c>
      <c r="C745" t="s">
        <v>565</v>
      </c>
      <c r="D745" t="s">
        <v>1689</v>
      </c>
      <c r="E745" t="s">
        <v>1749</v>
      </c>
      <c r="F745" s="4">
        <v>3</v>
      </c>
      <c r="G745">
        <v>339.41</v>
      </c>
      <c r="H745">
        <v>0.26</v>
      </c>
      <c r="I745" t="s">
        <v>1807</v>
      </c>
      <c r="J745">
        <v>753.49019999999996</v>
      </c>
      <c r="K745" t="s">
        <v>566</v>
      </c>
      <c r="L745">
        <v>41</v>
      </c>
      <c r="M745" t="s">
        <v>16</v>
      </c>
      <c r="N745" t="s">
        <v>567</v>
      </c>
      <c r="O745" t="s">
        <v>43</v>
      </c>
      <c r="P745" t="s">
        <v>12</v>
      </c>
      <c r="Q745" t="s">
        <v>26</v>
      </c>
      <c r="R745" t="s">
        <v>3912</v>
      </c>
      <c r="S745" t="s">
        <v>1527</v>
      </c>
      <c r="T745" t="s">
        <v>3824</v>
      </c>
      <c r="U745" t="s">
        <v>1690</v>
      </c>
      <c r="V745" t="s">
        <v>1750</v>
      </c>
      <c r="W745" t="s">
        <v>1742</v>
      </c>
      <c r="X745" t="s">
        <v>1748</v>
      </c>
    </row>
    <row r="746" spans="1:24" x14ac:dyDescent="0.3">
      <c r="A746" t="s">
        <v>2553</v>
      </c>
      <c r="B746" s="2">
        <v>45687</v>
      </c>
      <c r="C746" t="s">
        <v>1433</v>
      </c>
      <c r="D746" t="s">
        <v>1689</v>
      </c>
      <c r="E746" t="s">
        <v>1769</v>
      </c>
      <c r="F746" s="4">
        <v>4</v>
      </c>
      <c r="G746">
        <v>848.47</v>
      </c>
      <c r="H746">
        <v>0.21</v>
      </c>
      <c r="I746" t="s">
        <v>1812</v>
      </c>
      <c r="J746">
        <v>2681.1651999999999</v>
      </c>
      <c r="K746" t="s">
        <v>1434</v>
      </c>
      <c r="L746">
        <v>42</v>
      </c>
      <c r="M746" t="s">
        <v>9</v>
      </c>
      <c r="N746" t="s">
        <v>1435</v>
      </c>
      <c r="O746" t="s">
        <v>47</v>
      </c>
      <c r="P746" t="s">
        <v>12</v>
      </c>
      <c r="Q746" t="s">
        <v>13</v>
      </c>
      <c r="R746" t="s">
        <v>3912</v>
      </c>
      <c r="S746" t="s">
        <v>1527</v>
      </c>
      <c r="T746" t="s">
        <v>3824</v>
      </c>
      <c r="U746" t="s">
        <v>1690</v>
      </c>
      <c r="V746" t="s">
        <v>1770</v>
      </c>
      <c r="W746" t="s">
        <v>1746</v>
      </c>
      <c r="X746" t="s">
        <v>1739</v>
      </c>
    </row>
    <row r="747" spans="1:24" x14ac:dyDescent="0.3">
      <c r="A747" t="s">
        <v>2554</v>
      </c>
      <c r="B747" s="2">
        <v>45747</v>
      </c>
      <c r="C747" t="s">
        <v>625</v>
      </c>
      <c r="D747" t="s">
        <v>1665</v>
      </c>
      <c r="E747" t="s">
        <v>1765</v>
      </c>
      <c r="F747" s="4">
        <v>1</v>
      </c>
      <c r="G747">
        <v>664.87</v>
      </c>
      <c r="H747">
        <v>0.08</v>
      </c>
      <c r="I747" t="s">
        <v>1809</v>
      </c>
      <c r="J747">
        <v>611.68040000000008</v>
      </c>
      <c r="K747" t="s">
        <v>626</v>
      </c>
      <c r="L747">
        <v>38</v>
      </c>
      <c r="M747" t="s">
        <v>9</v>
      </c>
      <c r="N747" t="s">
        <v>627</v>
      </c>
      <c r="O747" t="s">
        <v>106</v>
      </c>
      <c r="P747" t="s">
        <v>12</v>
      </c>
      <c r="Q747" t="s">
        <v>13</v>
      </c>
      <c r="R747" t="s">
        <v>3899</v>
      </c>
      <c r="S747" t="s">
        <v>1546</v>
      </c>
      <c r="T747" t="s">
        <v>3820</v>
      </c>
      <c r="U747" t="s">
        <v>1666</v>
      </c>
      <c r="V747" t="s">
        <v>1766</v>
      </c>
      <c r="W747" t="s">
        <v>1767</v>
      </c>
      <c r="X747" t="s">
        <v>1755</v>
      </c>
    </row>
    <row r="748" spans="1:24" x14ac:dyDescent="0.3">
      <c r="A748" t="s">
        <v>2555</v>
      </c>
      <c r="B748" s="2">
        <v>45687</v>
      </c>
      <c r="C748" t="s">
        <v>348</v>
      </c>
      <c r="D748" t="s">
        <v>1579</v>
      </c>
      <c r="E748" t="s">
        <v>1762</v>
      </c>
      <c r="F748" s="4">
        <v>1</v>
      </c>
      <c r="G748">
        <v>412.11</v>
      </c>
      <c r="H748">
        <v>0.23</v>
      </c>
      <c r="I748" t="s">
        <v>1809</v>
      </c>
      <c r="J748">
        <v>317.32470000000001</v>
      </c>
      <c r="K748" t="s">
        <v>349</v>
      </c>
      <c r="L748">
        <v>53</v>
      </c>
      <c r="M748" t="s">
        <v>16</v>
      </c>
      <c r="N748" t="s">
        <v>350</v>
      </c>
      <c r="O748" t="s">
        <v>234</v>
      </c>
      <c r="P748" t="s">
        <v>12</v>
      </c>
      <c r="Q748" t="s">
        <v>31</v>
      </c>
      <c r="R748" t="s">
        <v>3850</v>
      </c>
      <c r="S748" t="s">
        <v>1549</v>
      </c>
      <c r="T748" t="s">
        <v>3851</v>
      </c>
      <c r="U748" t="s">
        <v>1580</v>
      </c>
      <c r="V748" t="s">
        <v>1763</v>
      </c>
      <c r="W748" t="s">
        <v>1746</v>
      </c>
      <c r="X748" t="s">
        <v>1755</v>
      </c>
    </row>
    <row r="749" spans="1:24" x14ac:dyDescent="0.3">
      <c r="A749" t="s">
        <v>2556</v>
      </c>
      <c r="B749" s="2">
        <v>45916</v>
      </c>
      <c r="C749" t="s">
        <v>417</v>
      </c>
      <c r="D749" t="s">
        <v>1719</v>
      </c>
      <c r="E749" t="s">
        <v>1740</v>
      </c>
      <c r="F749" s="4">
        <v>1</v>
      </c>
      <c r="G749">
        <v>126.09</v>
      </c>
      <c r="H749">
        <v>0.05</v>
      </c>
      <c r="I749" t="s">
        <v>1812</v>
      </c>
      <c r="J749">
        <v>119.7855</v>
      </c>
      <c r="K749" t="s">
        <v>418</v>
      </c>
      <c r="L749">
        <v>40</v>
      </c>
      <c r="M749" t="s">
        <v>9</v>
      </c>
      <c r="N749" t="s">
        <v>419</v>
      </c>
      <c r="O749" t="s">
        <v>11</v>
      </c>
      <c r="P749" t="s">
        <v>12</v>
      </c>
      <c r="Q749" t="s">
        <v>19</v>
      </c>
      <c r="R749" t="s">
        <v>3927</v>
      </c>
      <c r="S749" t="s">
        <v>1541</v>
      </c>
      <c r="T749" t="s">
        <v>3822</v>
      </c>
      <c r="U749" t="s">
        <v>1720</v>
      </c>
      <c r="V749" t="s">
        <v>1741</v>
      </c>
      <c r="W749" t="s">
        <v>1742</v>
      </c>
      <c r="X749" t="s">
        <v>1739</v>
      </c>
    </row>
    <row r="750" spans="1:24" x14ac:dyDescent="0.3">
      <c r="A750" t="s">
        <v>2557</v>
      </c>
      <c r="B750" s="2">
        <v>45917</v>
      </c>
      <c r="C750" t="s">
        <v>642</v>
      </c>
      <c r="D750" t="s">
        <v>1665</v>
      </c>
      <c r="E750" t="s">
        <v>1772</v>
      </c>
      <c r="F750" s="4">
        <v>4</v>
      </c>
      <c r="G750">
        <v>602.39</v>
      </c>
      <c r="H750">
        <v>0.19</v>
      </c>
      <c r="I750" t="s">
        <v>1812</v>
      </c>
      <c r="J750">
        <v>1951.7436</v>
      </c>
      <c r="K750" t="s">
        <v>643</v>
      </c>
      <c r="L750">
        <v>46</v>
      </c>
      <c r="M750" t="s">
        <v>9</v>
      </c>
      <c r="N750" t="s">
        <v>644</v>
      </c>
      <c r="O750" t="s">
        <v>170</v>
      </c>
      <c r="P750" t="s">
        <v>12</v>
      </c>
      <c r="Q750" t="s">
        <v>26</v>
      </c>
      <c r="R750" t="s">
        <v>3899</v>
      </c>
      <c r="S750" t="s">
        <v>1546</v>
      </c>
      <c r="T750" t="s">
        <v>3820</v>
      </c>
      <c r="U750" t="s">
        <v>1666</v>
      </c>
      <c r="V750" t="s">
        <v>1741</v>
      </c>
      <c r="W750" t="s">
        <v>1742</v>
      </c>
      <c r="X750" t="s">
        <v>1739</v>
      </c>
    </row>
    <row r="751" spans="1:24" x14ac:dyDescent="0.3">
      <c r="A751" t="s">
        <v>2558</v>
      </c>
      <c r="B751" s="2">
        <v>45941</v>
      </c>
      <c r="C751" t="s">
        <v>1012</v>
      </c>
      <c r="D751" t="s">
        <v>1695</v>
      </c>
      <c r="E751" t="s">
        <v>1749</v>
      </c>
      <c r="F751" s="4">
        <v>3</v>
      </c>
      <c r="G751">
        <v>447.69</v>
      </c>
      <c r="H751">
        <v>0.02</v>
      </c>
      <c r="I751" t="s">
        <v>1812</v>
      </c>
      <c r="J751">
        <v>1316.2085999999999</v>
      </c>
      <c r="K751" t="s">
        <v>1013</v>
      </c>
      <c r="L751">
        <v>58</v>
      </c>
      <c r="M751" t="s">
        <v>16</v>
      </c>
      <c r="N751" t="s">
        <v>1014</v>
      </c>
      <c r="O751" t="s">
        <v>319</v>
      </c>
      <c r="P751" t="s">
        <v>12</v>
      </c>
      <c r="Q751" t="s">
        <v>26</v>
      </c>
      <c r="R751" t="s">
        <v>3915</v>
      </c>
      <c r="S751" t="s">
        <v>1549</v>
      </c>
      <c r="T751" t="s">
        <v>3828</v>
      </c>
      <c r="U751" t="s">
        <v>1696</v>
      </c>
      <c r="V751" t="s">
        <v>1750</v>
      </c>
      <c r="W751" t="s">
        <v>1742</v>
      </c>
      <c r="X751" t="s">
        <v>1748</v>
      </c>
    </row>
    <row r="752" spans="1:24" x14ac:dyDescent="0.3">
      <c r="A752" t="s">
        <v>2559</v>
      </c>
      <c r="B752" s="2">
        <v>45778</v>
      </c>
      <c r="C752" t="s">
        <v>788</v>
      </c>
      <c r="D752" t="s">
        <v>1599</v>
      </c>
      <c r="E752" t="s">
        <v>1749</v>
      </c>
      <c r="F752" s="4">
        <v>3</v>
      </c>
      <c r="G752">
        <v>35.159999999999997</v>
      </c>
      <c r="H752">
        <v>0.04</v>
      </c>
      <c r="I752" t="s">
        <v>1812</v>
      </c>
      <c r="J752">
        <v>101.2608</v>
      </c>
      <c r="K752" t="s">
        <v>789</v>
      </c>
      <c r="L752">
        <v>41</v>
      </c>
      <c r="M752" t="s">
        <v>16</v>
      </c>
      <c r="N752" t="s">
        <v>790</v>
      </c>
      <c r="O752" t="s">
        <v>181</v>
      </c>
      <c r="P752" t="s">
        <v>12</v>
      </c>
      <c r="Q752" t="s">
        <v>13</v>
      </c>
      <c r="R752" t="s">
        <v>3862</v>
      </c>
      <c r="S752" t="s">
        <v>1546</v>
      </c>
      <c r="T752" t="s">
        <v>3811</v>
      </c>
      <c r="U752" t="s">
        <v>1600</v>
      </c>
      <c r="V752" t="s">
        <v>1750</v>
      </c>
      <c r="W752" t="s">
        <v>1742</v>
      </c>
      <c r="X752" t="s">
        <v>1748</v>
      </c>
    </row>
    <row r="753" spans="1:24" x14ac:dyDescent="0.3">
      <c r="A753" t="s">
        <v>2560</v>
      </c>
      <c r="B753" s="2">
        <v>45740</v>
      </c>
      <c r="C753" t="s">
        <v>1027</v>
      </c>
      <c r="D753" t="s">
        <v>1675</v>
      </c>
      <c r="E753" t="s">
        <v>1775</v>
      </c>
      <c r="F753" s="4">
        <v>2</v>
      </c>
      <c r="G753">
        <v>838.59</v>
      </c>
      <c r="H753">
        <v>0.18</v>
      </c>
      <c r="I753" t="s">
        <v>1812</v>
      </c>
      <c r="J753">
        <v>1375.2876000000001</v>
      </c>
      <c r="K753" t="s">
        <v>1028</v>
      </c>
      <c r="L753">
        <v>38</v>
      </c>
      <c r="M753" t="s">
        <v>16</v>
      </c>
      <c r="N753" t="s">
        <v>1029</v>
      </c>
      <c r="O753" t="s">
        <v>191</v>
      </c>
      <c r="P753" t="s">
        <v>12</v>
      </c>
      <c r="Q753" t="s">
        <v>19</v>
      </c>
      <c r="R753" t="s">
        <v>3905</v>
      </c>
      <c r="S753" t="s">
        <v>1549</v>
      </c>
      <c r="T753" t="s">
        <v>3828</v>
      </c>
      <c r="U753" t="s">
        <v>1676</v>
      </c>
      <c r="V753" t="s">
        <v>1741</v>
      </c>
      <c r="W753" t="s">
        <v>1742</v>
      </c>
      <c r="X753" t="s">
        <v>1739</v>
      </c>
    </row>
    <row r="754" spans="1:24" x14ac:dyDescent="0.3">
      <c r="A754" t="s">
        <v>2561</v>
      </c>
      <c r="B754" s="2">
        <v>45598</v>
      </c>
      <c r="C754" t="s">
        <v>316</v>
      </c>
      <c r="D754" t="s">
        <v>1649</v>
      </c>
      <c r="E754" t="s">
        <v>1759</v>
      </c>
      <c r="F754" s="4">
        <v>4</v>
      </c>
      <c r="G754">
        <v>867.94</v>
      </c>
      <c r="H754">
        <v>0.26</v>
      </c>
      <c r="I754" t="s">
        <v>1809</v>
      </c>
      <c r="J754">
        <v>2569.1024000000002</v>
      </c>
      <c r="K754" t="s">
        <v>317</v>
      </c>
      <c r="L754">
        <v>58</v>
      </c>
      <c r="M754" t="s">
        <v>16</v>
      </c>
      <c r="N754" t="s">
        <v>318</v>
      </c>
      <c r="O754" t="s">
        <v>319</v>
      </c>
      <c r="P754" t="s">
        <v>12</v>
      </c>
      <c r="Q754" t="s">
        <v>19</v>
      </c>
      <c r="R754" t="s">
        <v>3891</v>
      </c>
      <c r="S754" t="s">
        <v>1541</v>
      </c>
      <c r="T754" t="s">
        <v>3833</v>
      </c>
      <c r="U754" t="s">
        <v>1650</v>
      </c>
      <c r="V754" t="s">
        <v>1760</v>
      </c>
      <c r="W754" t="s">
        <v>1737</v>
      </c>
      <c r="X754" t="s">
        <v>1755</v>
      </c>
    </row>
    <row r="755" spans="1:24" x14ac:dyDescent="0.3">
      <c r="A755" t="s">
        <v>2562</v>
      </c>
      <c r="B755" s="2">
        <v>45591</v>
      </c>
      <c r="C755" t="s">
        <v>637</v>
      </c>
      <c r="D755" t="s">
        <v>1609</v>
      </c>
      <c r="E755" t="s">
        <v>1790</v>
      </c>
      <c r="F755" s="4">
        <v>1</v>
      </c>
      <c r="G755">
        <v>623.88</v>
      </c>
      <c r="H755">
        <v>0.25</v>
      </c>
      <c r="I755" t="s">
        <v>1807</v>
      </c>
      <c r="J755">
        <v>467.91</v>
      </c>
      <c r="K755" t="s">
        <v>638</v>
      </c>
      <c r="L755">
        <v>45</v>
      </c>
      <c r="M755" t="s">
        <v>16</v>
      </c>
      <c r="N755" t="s">
        <v>639</v>
      </c>
      <c r="O755" t="s">
        <v>162</v>
      </c>
      <c r="P755" t="s">
        <v>12</v>
      </c>
      <c r="Q755" t="s">
        <v>19</v>
      </c>
      <c r="R755" t="s">
        <v>3868</v>
      </c>
      <c r="S755" t="s">
        <v>1546</v>
      </c>
      <c r="T755" t="s">
        <v>3869</v>
      </c>
      <c r="U755" t="s">
        <v>1610</v>
      </c>
      <c r="V755" t="s">
        <v>1741</v>
      </c>
      <c r="W755" t="s">
        <v>1742</v>
      </c>
      <c r="X755" t="s">
        <v>1739</v>
      </c>
    </row>
    <row r="756" spans="1:24" x14ac:dyDescent="0.3">
      <c r="A756" t="s">
        <v>2563</v>
      </c>
      <c r="B756" s="2">
        <v>45546</v>
      </c>
      <c r="C756" t="s">
        <v>579</v>
      </c>
      <c r="D756" t="s">
        <v>1615</v>
      </c>
      <c r="E756" t="s">
        <v>1782</v>
      </c>
      <c r="F756" s="4">
        <v>2</v>
      </c>
      <c r="G756">
        <v>567.95000000000005</v>
      </c>
      <c r="H756">
        <v>0.12</v>
      </c>
      <c r="I756" t="s">
        <v>1809</v>
      </c>
      <c r="J756">
        <v>999.5920000000001</v>
      </c>
      <c r="K756" t="s">
        <v>580</v>
      </c>
      <c r="L756">
        <v>33</v>
      </c>
      <c r="M756" t="s">
        <v>16</v>
      </c>
      <c r="N756" t="s">
        <v>581</v>
      </c>
      <c r="O756" t="s">
        <v>582</v>
      </c>
      <c r="P756" t="s">
        <v>12</v>
      </c>
      <c r="Q756" t="s">
        <v>19</v>
      </c>
      <c r="R756" t="s">
        <v>3872</v>
      </c>
      <c r="S756" t="s">
        <v>1546</v>
      </c>
      <c r="T756" t="s">
        <v>3820</v>
      </c>
      <c r="U756" t="s">
        <v>1616</v>
      </c>
      <c r="V756" t="s">
        <v>1741</v>
      </c>
      <c r="W756" t="s">
        <v>1742</v>
      </c>
      <c r="X756" t="s">
        <v>1739</v>
      </c>
    </row>
    <row r="757" spans="1:24" x14ac:dyDescent="0.3">
      <c r="A757" t="s">
        <v>2564</v>
      </c>
      <c r="B757" s="2">
        <v>45483</v>
      </c>
      <c r="C757" t="s">
        <v>1007</v>
      </c>
      <c r="D757" t="s">
        <v>1593</v>
      </c>
      <c r="E757" t="s">
        <v>1793</v>
      </c>
      <c r="F757" s="4">
        <v>2</v>
      </c>
      <c r="G757">
        <v>671.69</v>
      </c>
      <c r="H757">
        <v>0.19</v>
      </c>
      <c r="I757" t="s">
        <v>1807</v>
      </c>
      <c r="J757">
        <v>1088.1378</v>
      </c>
      <c r="K757" t="s">
        <v>1008</v>
      </c>
      <c r="L757">
        <v>58</v>
      </c>
      <c r="M757" t="s">
        <v>9</v>
      </c>
      <c r="N757" t="s">
        <v>1009</v>
      </c>
      <c r="O757" t="s">
        <v>11</v>
      </c>
      <c r="P757" t="s">
        <v>12</v>
      </c>
      <c r="Q757" t="s">
        <v>19</v>
      </c>
      <c r="R757" t="s">
        <v>3858</v>
      </c>
      <c r="S757" t="s">
        <v>1549</v>
      </c>
      <c r="T757" t="s">
        <v>3859</v>
      </c>
      <c r="U757" t="s">
        <v>1594</v>
      </c>
      <c r="V757" t="s">
        <v>1741</v>
      </c>
      <c r="W757" t="s">
        <v>1742</v>
      </c>
      <c r="X757" t="s">
        <v>1739</v>
      </c>
    </row>
    <row r="758" spans="1:24" x14ac:dyDescent="0.3">
      <c r="A758" t="s">
        <v>2565</v>
      </c>
      <c r="B758" s="2">
        <v>45786</v>
      </c>
      <c r="C758" t="s">
        <v>666</v>
      </c>
      <c r="D758" t="s">
        <v>1540</v>
      </c>
      <c r="E758" t="s">
        <v>1762</v>
      </c>
      <c r="F758" s="4">
        <v>2</v>
      </c>
      <c r="G758">
        <v>257.95999999999998</v>
      </c>
      <c r="H758">
        <v>0.21</v>
      </c>
      <c r="I758" t="s">
        <v>1809</v>
      </c>
      <c r="J758">
        <v>407.57679999999999</v>
      </c>
      <c r="K758" t="s">
        <v>667</v>
      </c>
      <c r="L758">
        <v>28</v>
      </c>
      <c r="M758" t="s">
        <v>16</v>
      </c>
      <c r="N758" t="s">
        <v>668</v>
      </c>
      <c r="O758" t="s">
        <v>234</v>
      </c>
      <c r="P758" t="s">
        <v>12</v>
      </c>
      <c r="Q758" t="s">
        <v>31</v>
      </c>
      <c r="R758" t="s">
        <v>3891</v>
      </c>
      <c r="S758" t="s">
        <v>1541</v>
      </c>
      <c r="T758" t="s">
        <v>3833</v>
      </c>
      <c r="U758" t="s">
        <v>1650</v>
      </c>
      <c r="V758" t="s">
        <v>1763</v>
      </c>
      <c r="W758" t="s">
        <v>1746</v>
      </c>
      <c r="X758" t="s">
        <v>1755</v>
      </c>
    </row>
    <row r="759" spans="1:24" x14ac:dyDescent="0.3">
      <c r="A759" t="s">
        <v>2566</v>
      </c>
      <c r="B759" s="2">
        <v>45475</v>
      </c>
      <c r="C759" t="s">
        <v>660</v>
      </c>
      <c r="D759" t="s">
        <v>1727</v>
      </c>
      <c r="E759" t="s">
        <v>1796</v>
      </c>
      <c r="F759" s="4">
        <v>4</v>
      </c>
      <c r="G759">
        <v>281.48</v>
      </c>
      <c r="H759">
        <v>0.27</v>
      </c>
      <c r="I759" t="s">
        <v>1809</v>
      </c>
      <c r="J759">
        <v>821.92160000000001</v>
      </c>
      <c r="K759" t="s">
        <v>661</v>
      </c>
      <c r="L759">
        <v>44</v>
      </c>
      <c r="M759" t="s">
        <v>16</v>
      </c>
      <c r="N759" t="s">
        <v>662</v>
      </c>
      <c r="O759" t="s">
        <v>284</v>
      </c>
      <c r="P759" t="s">
        <v>12</v>
      </c>
      <c r="Q759" t="s">
        <v>19</v>
      </c>
      <c r="R759" t="s">
        <v>3931</v>
      </c>
      <c r="S759" t="s">
        <v>1546</v>
      </c>
      <c r="T759" t="s">
        <v>3826</v>
      </c>
      <c r="U759" t="s">
        <v>1728</v>
      </c>
      <c r="V759" t="s">
        <v>1741</v>
      </c>
      <c r="W759" t="s">
        <v>1742</v>
      </c>
      <c r="X759" t="s">
        <v>1739</v>
      </c>
    </row>
    <row r="760" spans="1:24" x14ac:dyDescent="0.3">
      <c r="A760" t="s">
        <v>2567</v>
      </c>
      <c r="B760" s="2">
        <v>45470</v>
      </c>
      <c r="C760" t="s">
        <v>986</v>
      </c>
      <c r="D760" t="s">
        <v>1571</v>
      </c>
      <c r="E760" t="s">
        <v>1775</v>
      </c>
      <c r="F760" s="4">
        <v>1</v>
      </c>
      <c r="G760">
        <v>202.13</v>
      </c>
      <c r="H760">
        <v>0.13</v>
      </c>
      <c r="I760" t="s">
        <v>1812</v>
      </c>
      <c r="J760">
        <v>175.85310000000001</v>
      </c>
      <c r="K760" t="s">
        <v>987</v>
      </c>
      <c r="L760">
        <v>64</v>
      </c>
      <c r="M760" t="s">
        <v>16</v>
      </c>
      <c r="N760" t="s">
        <v>988</v>
      </c>
      <c r="O760" t="s">
        <v>139</v>
      </c>
      <c r="P760" t="s">
        <v>12</v>
      </c>
      <c r="Q760" t="s">
        <v>13</v>
      </c>
      <c r="R760" t="s">
        <v>3845</v>
      </c>
      <c r="S760" t="s">
        <v>1549</v>
      </c>
      <c r="T760" t="s">
        <v>3820</v>
      </c>
      <c r="U760" t="s">
        <v>1572</v>
      </c>
      <c r="V760" t="s">
        <v>1741</v>
      </c>
      <c r="W760" t="s">
        <v>1742</v>
      </c>
      <c r="X760" t="s">
        <v>1739</v>
      </c>
    </row>
    <row r="761" spans="1:24" x14ac:dyDescent="0.3">
      <c r="A761" t="s">
        <v>2568</v>
      </c>
      <c r="B761" s="2">
        <v>45243</v>
      </c>
      <c r="C761" t="s">
        <v>856</v>
      </c>
      <c r="D761" t="s">
        <v>1679</v>
      </c>
      <c r="E761" t="s">
        <v>1756</v>
      </c>
      <c r="F761" s="4">
        <v>1</v>
      </c>
      <c r="G761">
        <v>370.66</v>
      </c>
      <c r="H761">
        <v>0.01</v>
      </c>
      <c r="I761" t="s">
        <v>1809</v>
      </c>
      <c r="J761">
        <v>366.95339999999999</v>
      </c>
      <c r="K761" t="s">
        <v>3942</v>
      </c>
      <c r="L761">
        <v>48</v>
      </c>
      <c r="M761" t="s">
        <v>16</v>
      </c>
      <c r="N761" t="s">
        <v>857</v>
      </c>
      <c r="O761" t="s">
        <v>70</v>
      </c>
      <c r="P761" t="s">
        <v>12</v>
      </c>
      <c r="Q761" t="s">
        <v>19</v>
      </c>
      <c r="R761" t="s">
        <v>3907</v>
      </c>
      <c r="S761" t="s">
        <v>1546</v>
      </c>
      <c r="T761" t="s">
        <v>3826</v>
      </c>
      <c r="U761" t="s">
        <v>1680</v>
      </c>
      <c r="V761" t="s">
        <v>1757</v>
      </c>
      <c r="W761" t="s">
        <v>1742</v>
      </c>
      <c r="X761" t="s">
        <v>1748</v>
      </c>
    </row>
    <row r="762" spans="1:24" x14ac:dyDescent="0.3">
      <c r="A762" t="s">
        <v>2569</v>
      </c>
      <c r="B762" s="2">
        <v>45341</v>
      </c>
      <c r="C762" t="s">
        <v>32</v>
      </c>
      <c r="D762" t="s">
        <v>1653</v>
      </c>
      <c r="E762" t="s">
        <v>1777</v>
      </c>
      <c r="F762" s="4">
        <v>4</v>
      </c>
      <c r="G762">
        <v>731.53</v>
      </c>
      <c r="H762">
        <v>0.12</v>
      </c>
      <c r="I762" t="s">
        <v>1807</v>
      </c>
      <c r="J762">
        <v>2574.9856</v>
      </c>
      <c r="K762" t="s">
        <v>33</v>
      </c>
      <c r="L762">
        <v>29</v>
      </c>
      <c r="M762" t="s">
        <v>16</v>
      </c>
      <c r="N762" t="s">
        <v>34</v>
      </c>
      <c r="O762" t="s">
        <v>35</v>
      </c>
      <c r="P762" t="s">
        <v>12</v>
      </c>
      <c r="Q762" t="s">
        <v>26</v>
      </c>
      <c r="R762" t="s">
        <v>3893</v>
      </c>
      <c r="S762" t="s">
        <v>1549</v>
      </c>
      <c r="T762" t="s">
        <v>3844</v>
      </c>
      <c r="U762" t="s">
        <v>1654</v>
      </c>
      <c r="V762" t="s">
        <v>1741</v>
      </c>
      <c r="W762" t="s">
        <v>1742</v>
      </c>
      <c r="X762" t="s">
        <v>1739</v>
      </c>
    </row>
    <row r="763" spans="1:24" x14ac:dyDescent="0.3">
      <c r="A763" t="s">
        <v>2570</v>
      </c>
      <c r="B763" s="2">
        <v>45371</v>
      </c>
      <c r="C763" t="s">
        <v>545</v>
      </c>
      <c r="D763" t="s">
        <v>1687</v>
      </c>
      <c r="E763" t="s">
        <v>1740</v>
      </c>
      <c r="F763" s="4">
        <v>3</v>
      </c>
      <c r="G763">
        <v>468.25</v>
      </c>
      <c r="H763">
        <v>7.0000000000000007E-2</v>
      </c>
      <c r="I763" t="s">
        <v>1809</v>
      </c>
      <c r="J763">
        <v>1306.4175</v>
      </c>
      <c r="K763" t="s">
        <v>546</v>
      </c>
      <c r="L763">
        <v>25</v>
      </c>
      <c r="M763" t="s">
        <v>16</v>
      </c>
      <c r="N763" t="s">
        <v>547</v>
      </c>
      <c r="O763" t="s">
        <v>191</v>
      </c>
      <c r="P763" t="s">
        <v>12</v>
      </c>
      <c r="Q763" t="s">
        <v>19</v>
      </c>
      <c r="R763" t="s">
        <v>3911</v>
      </c>
      <c r="S763" t="s">
        <v>1527</v>
      </c>
      <c r="T763" t="s">
        <v>3836</v>
      </c>
      <c r="U763" t="s">
        <v>1688</v>
      </c>
      <c r="V763" t="s">
        <v>1741</v>
      </c>
      <c r="W763" t="s">
        <v>1742</v>
      </c>
      <c r="X763" t="s">
        <v>1739</v>
      </c>
    </row>
    <row r="764" spans="1:24" x14ac:dyDescent="0.3">
      <c r="A764" t="s">
        <v>2571</v>
      </c>
      <c r="B764" s="2">
        <v>45360</v>
      </c>
      <c r="C764" t="s">
        <v>14</v>
      </c>
      <c r="D764" t="s">
        <v>1665</v>
      </c>
      <c r="E764" t="s">
        <v>1735</v>
      </c>
      <c r="F764" s="4">
        <v>1</v>
      </c>
      <c r="G764">
        <v>928.72</v>
      </c>
      <c r="H764">
        <v>0.1</v>
      </c>
      <c r="I764" t="s">
        <v>1812</v>
      </c>
      <c r="J764">
        <v>835.84800000000007</v>
      </c>
      <c r="K764" t="s">
        <v>15</v>
      </c>
      <c r="L764">
        <v>29</v>
      </c>
      <c r="M764" t="s">
        <v>16</v>
      </c>
      <c r="N764" t="s">
        <v>17</v>
      </c>
      <c r="O764" t="s">
        <v>18</v>
      </c>
      <c r="P764" t="s">
        <v>12</v>
      </c>
      <c r="Q764" t="s">
        <v>19</v>
      </c>
      <c r="R764" t="s">
        <v>3899</v>
      </c>
      <c r="S764" t="s">
        <v>1546</v>
      </c>
      <c r="T764" t="s">
        <v>3820</v>
      </c>
      <c r="U764" t="s">
        <v>1666</v>
      </c>
      <c r="V764" t="s">
        <v>1736</v>
      </c>
      <c r="W764" t="s">
        <v>1737</v>
      </c>
      <c r="X764" t="s">
        <v>1739</v>
      </c>
    </row>
    <row r="765" spans="1:24" x14ac:dyDescent="0.3">
      <c r="A765" t="s">
        <v>2572</v>
      </c>
      <c r="B765" s="2">
        <v>45499</v>
      </c>
      <c r="C765" t="s">
        <v>355</v>
      </c>
      <c r="D765" t="s">
        <v>1536</v>
      </c>
      <c r="E765" t="s">
        <v>1793</v>
      </c>
      <c r="F765" s="4">
        <v>3</v>
      </c>
      <c r="G765">
        <v>217.22</v>
      </c>
      <c r="H765">
        <v>0.06</v>
      </c>
      <c r="I765" t="s">
        <v>1809</v>
      </c>
      <c r="J765">
        <v>612.56039999999996</v>
      </c>
      <c r="K765" t="s">
        <v>356</v>
      </c>
      <c r="L765">
        <v>34</v>
      </c>
      <c r="M765" t="s">
        <v>16</v>
      </c>
      <c r="N765" t="s">
        <v>357</v>
      </c>
      <c r="O765" t="s">
        <v>117</v>
      </c>
      <c r="P765" t="s">
        <v>12</v>
      </c>
      <c r="Q765" t="s">
        <v>13</v>
      </c>
      <c r="R765" t="s">
        <v>3868</v>
      </c>
      <c r="S765" t="s">
        <v>1546</v>
      </c>
      <c r="T765" t="s">
        <v>3869</v>
      </c>
      <c r="U765" t="s">
        <v>1610</v>
      </c>
      <c r="V765" t="s">
        <v>1741</v>
      </c>
      <c r="W765" t="s">
        <v>1742</v>
      </c>
      <c r="X765" t="s">
        <v>1739</v>
      </c>
    </row>
    <row r="766" spans="1:24" x14ac:dyDescent="0.3">
      <c r="A766" t="s">
        <v>2573</v>
      </c>
      <c r="B766" s="2">
        <v>45745</v>
      </c>
      <c r="C766" t="s">
        <v>1246</v>
      </c>
      <c r="D766" t="s">
        <v>1579</v>
      </c>
      <c r="E766" t="s">
        <v>1749</v>
      </c>
      <c r="F766" s="4">
        <v>1</v>
      </c>
      <c r="G766">
        <v>387.99</v>
      </c>
      <c r="H766">
        <v>0.3</v>
      </c>
      <c r="I766" t="s">
        <v>1807</v>
      </c>
      <c r="J766">
        <v>271.59300000000002</v>
      </c>
      <c r="K766" t="s">
        <v>1247</v>
      </c>
      <c r="L766">
        <v>23</v>
      </c>
      <c r="M766" t="s">
        <v>16</v>
      </c>
      <c r="N766" t="s">
        <v>1248</v>
      </c>
      <c r="O766" t="s">
        <v>323</v>
      </c>
      <c r="P766" t="s">
        <v>12</v>
      </c>
      <c r="Q766" t="s">
        <v>13</v>
      </c>
      <c r="R766" t="s">
        <v>3850</v>
      </c>
      <c r="S766" t="s">
        <v>1549</v>
      </c>
      <c r="T766" t="s">
        <v>3851</v>
      </c>
      <c r="U766" t="s">
        <v>1580</v>
      </c>
      <c r="V766" t="s">
        <v>1750</v>
      </c>
      <c r="W766" t="s">
        <v>1742</v>
      </c>
      <c r="X766" t="s">
        <v>1748</v>
      </c>
    </row>
    <row r="767" spans="1:24" x14ac:dyDescent="0.3">
      <c r="A767" t="s">
        <v>2574</v>
      </c>
      <c r="B767" s="2">
        <v>45718</v>
      </c>
      <c r="C767" t="s">
        <v>1450</v>
      </c>
      <c r="D767" t="s">
        <v>1567</v>
      </c>
      <c r="E767" t="s">
        <v>1759</v>
      </c>
      <c r="F767" s="4">
        <v>4</v>
      </c>
      <c r="G767">
        <v>186.24</v>
      </c>
      <c r="H767">
        <v>0.23</v>
      </c>
      <c r="I767" t="s">
        <v>1807</v>
      </c>
      <c r="J767">
        <v>573.61920000000009</v>
      </c>
      <c r="K767" t="s">
        <v>1451</v>
      </c>
      <c r="L767">
        <v>41</v>
      </c>
      <c r="M767" t="s">
        <v>16</v>
      </c>
      <c r="N767" t="s">
        <v>1452</v>
      </c>
      <c r="O767" t="s">
        <v>96</v>
      </c>
      <c r="P767" t="s">
        <v>12</v>
      </c>
      <c r="Q767" t="s">
        <v>13</v>
      </c>
      <c r="R767" t="s">
        <v>3842</v>
      </c>
      <c r="S767" t="s">
        <v>1530</v>
      </c>
      <c r="T767" t="s">
        <v>3818</v>
      </c>
      <c r="U767" t="s">
        <v>1568</v>
      </c>
      <c r="V767" t="s">
        <v>1760</v>
      </c>
      <c r="W767" t="s">
        <v>1737</v>
      </c>
      <c r="X767" t="s">
        <v>1755</v>
      </c>
    </row>
    <row r="768" spans="1:24" x14ac:dyDescent="0.3">
      <c r="A768" t="s">
        <v>2575</v>
      </c>
      <c r="B768" s="2">
        <v>45454</v>
      </c>
      <c r="C768" t="s">
        <v>928</v>
      </c>
      <c r="D768" t="s">
        <v>1611</v>
      </c>
      <c r="E768" t="s">
        <v>1765</v>
      </c>
      <c r="F768" s="4">
        <v>4</v>
      </c>
      <c r="G768">
        <v>609.05999999999995</v>
      </c>
      <c r="H768">
        <v>0.22</v>
      </c>
      <c r="I768" t="s">
        <v>1812</v>
      </c>
      <c r="J768">
        <v>1900.2672</v>
      </c>
      <c r="K768" t="s">
        <v>929</v>
      </c>
      <c r="L768">
        <v>47</v>
      </c>
      <c r="M768" t="s">
        <v>16</v>
      </c>
      <c r="N768" t="s">
        <v>294</v>
      </c>
      <c r="O768" t="s">
        <v>43</v>
      </c>
      <c r="P768" t="s">
        <v>12</v>
      </c>
      <c r="Q768" t="s">
        <v>26</v>
      </c>
      <c r="R768" t="s">
        <v>3870</v>
      </c>
      <c r="S768" t="s">
        <v>1546</v>
      </c>
      <c r="T768" t="s">
        <v>3826</v>
      </c>
      <c r="U768" t="s">
        <v>1612</v>
      </c>
      <c r="V768" t="s">
        <v>1766</v>
      </c>
      <c r="W768" t="s">
        <v>1767</v>
      </c>
      <c r="X768" t="s">
        <v>1755</v>
      </c>
    </row>
    <row r="769" spans="1:24" x14ac:dyDescent="0.3">
      <c r="A769" t="s">
        <v>2576</v>
      </c>
      <c r="B769" s="2">
        <v>45434</v>
      </c>
      <c r="C769" t="s">
        <v>1339</v>
      </c>
      <c r="D769" t="s">
        <v>1597</v>
      </c>
      <c r="E769" t="s">
        <v>1775</v>
      </c>
      <c r="F769" s="4">
        <v>1</v>
      </c>
      <c r="G769">
        <v>827.91</v>
      </c>
      <c r="H769">
        <v>0.21</v>
      </c>
      <c r="I769" t="s">
        <v>1809</v>
      </c>
      <c r="J769">
        <v>654.0489</v>
      </c>
      <c r="K769" t="s">
        <v>1340</v>
      </c>
      <c r="L769">
        <v>59</v>
      </c>
      <c r="M769" t="s">
        <v>16</v>
      </c>
      <c r="N769" t="s">
        <v>591</v>
      </c>
      <c r="O769" t="s">
        <v>47</v>
      </c>
      <c r="P769" t="s">
        <v>12</v>
      </c>
      <c r="Q769" t="s">
        <v>19</v>
      </c>
      <c r="R769" t="s">
        <v>3861</v>
      </c>
      <c r="S769" t="s">
        <v>1527</v>
      </c>
      <c r="T769" t="s">
        <v>3836</v>
      </c>
      <c r="U769" t="s">
        <v>1598</v>
      </c>
      <c r="V769" t="s">
        <v>1741</v>
      </c>
      <c r="W769" t="s">
        <v>1742</v>
      </c>
      <c r="X769" t="s">
        <v>1739</v>
      </c>
    </row>
    <row r="770" spans="1:24" x14ac:dyDescent="0.3">
      <c r="A770" t="s">
        <v>2577</v>
      </c>
      <c r="B770" s="2">
        <v>45486</v>
      </c>
      <c r="C770" t="s">
        <v>576</v>
      </c>
      <c r="D770" t="s">
        <v>1697</v>
      </c>
      <c r="E770" t="s">
        <v>1735</v>
      </c>
      <c r="F770" s="4">
        <v>1</v>
      </c>
      <c r="G770">
        <v>303.79000000000002</v>
      </c>
      <c r="H770">
        <v>0.24</v>
      </c>
      <c r="I770" t="s">
        <v>1809</v>
      </c>
      <c r="J770">
        <v>230.88040000000001</v>
      </c>
      <c r="K770" t="s">
        <v>577</v>
      </c>
      <c r="L770">
        <v>55</v>
      </c>
      <c r="M770" t="s">
        <v>9</v>
      </c>
      <c r="N770" t="s">
        <v>578</v>
      </c>
      <c r="O770" t="s">
        <v>170</v>
      </c>
      <c r="P770" t="s">
        <v>12</v>
      </c>
      <c r="Q770" t="s">
        <v>31</v>
      </c>
      <c r="R770" t="s">
        <v>3916</v>
      </c>
      <c r="S770" t="s">
        <v>1541</v>
      </c>
      <c r="T770" t="s">
        <v>3822</v>
      </c>
      <c r="U770" t="s">
        <v>1698</v>
      </c>
      <c r="V770" t="s">
        <v>1736</v>
      </c>
      <c r="W770" t="s">
        <v>1737</v>
      </c>
      <c r="X770" t="s">
        <v>1739</v>
      </c>
    </row>
    <row r="771" spans="1:24" x14ac:dyDescent="0.3">
      <c r="A771" t="s">
        <v>2578</v>
      </c>
      <c r="B771" s="2">
        <v>45902</v>
      </c>
      <c r="C771" t="s">
        <v>364</v>
      </c>
      <c r="D771" t="s">
        <v>1605</v>
      </c>
      <c r="E771" t="s">
        <v>1759</v>
      </c>
      <c r="F771" s="4">
        <v>2</v>
      </c>
      <c r="G771">
        <v>365.91</v>
      </c>
      <c r="H771">
        <v>0.14000000000000001</v>
      </c>
      <c r="I771" t="s">
        <v>1812</v>
      </c>
      <c r="J771">
        <v>629.36520000000007</v>
      </c>
      <c r="K771" t="s">
        <v>365</v>
      </c>
      <c r="L771">
        <v>50</v>
      </c>
      <c r="M771" t="s">
        <v>16</v>
      </c>
      <c r="N771" t="s">
        <v>366</v>
      </c>
      <c r="O771" t="s">
        <v>81</v>
      </c>
      <c r="P771" t="s">
        <v>12</v>
      </c>
      <c r="Q771" t="s">
        <v>31</v>
      </c>
      <c r="R771" t="s">
        <v>3865</v>
      </c>
      <c r="S771" t="s">
        <v>1530</v>
      </c>
      <c r="T771" t="s">
        <v>3866</v>
      </c>
      <c r="U771" t="s">
        <v>1606</v>
      </c>
      <c r="V771" t="s">
        <v>1760</v>
      </c>
      <c r="W771" t="s">
        <v>1737</v>
      </c>
      <c r="X771" t="s">
        <v>1755</v>
      </c>
    </row>
    <row r="772" spans="1:24" x14ac:dyDescent="0.3">
      <c r="A772" t="s">
        <v>2579</v>
      </c>
      <c r="B772" s="2">
        <v>45762</v>
      </c>
      <c r="C772" t="s">
        <v>252</v>
      </c>
      <c r="D772" t="s">
        <v>1581</v>
      </c>
      <c r="E772" t="s">
        <v>1790</v>
      </c>
      <c r="F772" s="4">
        <v>3</v>
      </c>
      <c r="G772">
        <v>852.72</v>
      </c>
      <c r="H772">
        <v>0.16</v>
      </c>
      <c r="I772" t="s">
        <v>1807</v>
      </c>
      <c r="J772">
        <v>2148.8544000000002</v>
      </c>
      <c r="K772" t="s">
        <v>253</v>
      </c>
      <c r="L772">
        <v>29</v>
      </c>
      <c r="M772" t="s">
        <v>16</v>
      </c>
      <c r="N772" t="s">
        <v>254</v>
      </c>
      <c r="O772" t="s">
        <v>88</v>
      </c>
      <c r="P772" t="s">
        <v>12</v>
      </c>
      <c r="Q772" t="s">
        <v>19</v>
      </c>
      <c r="R772" t="s">
        <v>3852</v>
      </c>
      <c r="S772" t="s">
        <v>1530</v>
      </c>
      <c r="T772" t="s">
        <v>3820</v>
      </c>
      <c r="U772" t="s">
        <v>1582</v>
      </c>
      <c r="V772" t="s">
        <v>1741</v>
      </c>
      <c r="W772" t="s">
        <v>1742</v>
      </c>
      <c r="X772" t="s">
        <v>1739</v>
      </c>
    </row>
    <row r="773" spans="1:24" x14ac:dyDescent="0.3">
      <c r="A773" t="s">
        <v>2580</v>
      </c>
      <c r="B773" s="2">
        <v>45752</v>
      </c>
      <c r="C773" t="s">
        <v>785</v>
      </c>
      <c r="D773" t="s">
        <v>1551</v>
      </c>
      <c r="E773" t="s">
        <v>1752</v>
      </c>
      <c r="F773" s="4">
        <v>1</v>
      </c>
      <c r="G773">
        <v>768.25</v>
      </c>
      <c r="H773">
        <v>0.18</v>
      </c>
      <c r="I773" t="s">
        <v>1807</v>
      </c>
      <c r="J773">
        <v>629.96500000000003</v>
      </c>
      <c r="K773" t="s">
        <v>786</v>
      </c>
      <c r="L773">
        <v>19</v>
      </c>
      <c r="M773" t="s">
        <v>9</v>
      </c>
      <c r="N773" t="s">
        <v>787</v>
      </c>
      <c r="O773" t="s">
        <v>47</v>
      </c>
      <c r="P773" t="s">
        <v>12</v>
      </c>
      <c r="Q773" t="s">
        <v>19</v>
      </c>
      <c r="R773" t="s">
        <v>3829</v>
      </c>
      <c r="S773" t="s">
        <v>1527</v>
      </c>
      <c r="T773" t="s">
        <v>3830</v>
      </c>
      <c r="U773" t="s">
        <v>1552</v>
      </c>
      <c r="V773" t="s">
        <v>1753</v>
      </c>
      <c r="W773" t="s">
        <v>1746</v>
      </c>
      <c r="X773" t="s">
        <v>1755</v>
      </c>
    </row>
    <row r="774" spans="1:24" x14ac:dyDescent="0.3">
      <c r="A774" t="s">
        <v>2581</v>
      </c>
      <c r="B774" s="2">
        <v>45254</v>
      </c>
      <c r="C774" t="s">
        <v>1086</v>
      </c>
      <c r="D774" t="s">
        <v>1715</v>
      </c>
      <c r="E774" t="s">
        <v>1796</v>
      </c>
      <c r="F774" s="4">
        <v>2</v>
      </c>
      <c r="G774">
        <v>318.62</v>
      </c>
      <c r="H774">
        <v>0.02</v>
      </c>
      <c r="I774" t="s">
        <v>1812</v>
      </c>
      <c r="J774">
        <v>624.49519999999995</v>
      </c>
      <c r="K774" t="s">
        <v>1087</v>
      </c>
      <c r="L774">
        <v>25</v>
      </c>
      <c r="M774" t="s">
        <v>16</v>
      </c>
      <c r="N774" t="s">
        <v>1088</v>
      </c>
      <c r="O774" t="s">
        <v>264</v>
      </c>
      <c r="P774" t="s">
        <v>12</v>
      </c>
      <c r="Q774" t="s">
        <v>31</v>
      </c>
      <c r="R774" t="s">
        <v>3925</v>
      </c>
      <c r="S774" t="s">
        <v>1527</v>
      </c>
      <c r="T774" t="s">
        <v>3838</v>
      </c>
      <c r="U774" t="s">
        <v>1716</v>
      </c>
      <c r="V774" t="s">
        <v>1741</v>
      </c>
      <c r="W774" t="s">
        <v>1742</v>
      </c>
      <c r="X774" t="s">
        <v>1739</v>
      </c>
    </row>
    <row r="775" spans="1:24" x14ac:dyDescent="0.3">
      <c r="A775" t="s">
        <v>2582</v>
      </c>
      <c r="B775" s="2">
        <v>45683</v>
      </c>
      <c r="C775" t="s">
        <v>185</v>
      </c>
      <c r="D775" t="s">
        <v>1683</v>
      </c>
      <c r="E775" t="s">
        <v>1744</v>
      </c>
      <c r="F775" s="4">
        <v>4</v>
      </c>
      <c r="G775">
        <v>402.11</v>
      </c>
      <c r="H775">
        <v>0.14000000000000001</v>
      </c>
      <c r="I775" t="s">
        <v>1809</v>
      </c>
      <c r="J775">
        <v>1383.2583999999999</v>
      </c>
      <c r="K775" t="s">
        <v>186</v>
      </c>
      <c r="L775">
        <v>61</v>
      </c>
      <c r="M775" t="s">
        <v>16</v>
      </c>
      <c r="N775" t="s">
        <v>187</v>
      </c>
      <c r="O775" t="s">
        <v>25</v>
      </c>
      <c r="P775" t="s">
        <v>12</v>
      </c>
      <c r="Q775" t="s">
        <v>13</v>
      </c>
      <c r="R775" t="s">
        <v>3909</v>
      </c>
      <c r="S775" t="s">
        <v>1546</v>
      </c>
      <c r="T775" t="s">
        <v>3811</v>
      </c>
      <c r="U775" t="s">
        <v>1684</v>
      </c>
      <c r="V775" t="s">
        <v>1745</v>
      </c>
      <c r="W775" t="s">
        <v>1746</v>
      </c>
      <c r="X775" t="s">
        <v>1748</v>
      </c>
    </row>
    <row r="776" spans="1:24" x14ac:dyDescent="0.3">
      <c r="A776" t="s">
        <v>2583</v>
      </c>
      <c r="B776" s="2">
        <v>45804</v>
      </c>
      <c r="C776" t="s">
        <v>1255</v>
      </c>
      <c r="D776" t="s">
        <v>1699</v>
      </c>
      <c r="E776" t="s">
        <v>1790</v>
      </c>
      <c r="F776" s="4">
        <v>3</v>
      </c>
      <c r="G776">
        <v>846.31</v>
      </c>
      <c r="H776">
        <v>0.18</v>
      </c>
      <c r="I776" t="s">
        <v>1812</v>
      </c>
      <c r="J776">
        <v>2081.9225999999999</v>
      </c>
      <c r="K776" t="s">
        <v>1256</v>
      </c>
      <c r="L776">
        <v>55</v>
      </c>
      <c r="M776" t="s">
        <v>9</v>
      </c>
      <c r="N776" t="s">
        <v>1257</v>
      </c>
      <c r="O776" t="s">
        <v>88</v>
      </c>
      <c r="P776" t="s">
        <v>12</v>
      </c>
      <c r="Q776" t="s">
        <v>13</v>
      </c>
      <c r="R776" t="s">
        <v>3917</v>
      </c>
      <c r="S776" t="s">
        <v>1527</v>
      </c>
      <c r="T776" t="s">
        <v>3901</v>
      </c>
      <c r="U776" t="s">
        <v>1700</v>
      </c>
      <c r="V776" t="s">
        <v>1741</v>
      </c>
      <c r="W776" t="s">
        <v>1742</v>
      </c>
      <c r="X776" t="s">
        <v>1739</v>
      </c>
    </row>
    <row r="777" spans="1:24" x14ac:dyDescent="0.3">
      <c r="A777" t="s">
        <v>2584</v>
      </c>
      <c r="B777" s="2">
        <v>45821</v>
      </c>
      <c r="C777" t="s">
        <v>554</v>
      </c>
      <c r="D777" t="s">
        <v>1719</v>
      </c>
      <c r="E777" t="s">
        <v>1782</v>
      </c>
      <c r="F777" s="4">
        <v>1</v>
      </c>
      <c r="G777">
        <v>269.94</v>
      </c>
      <c r="H777">
        <v>7.0000000000000007E-2</v>
      </c>
      <c r="I777" t="s">
        <v>1812</v>
      </c>
      <c r="J777">
        <v>251.04419999999999</v>
      </c>
      <c r="K777" t="s">
        <v>555</v>
      </c>
      <c r="L777">
        <v>64</v>
      </c>
      <c r="M777" t="s">
        <v>9</v>
      </c>
      <c r="N777" t="s">
        <v>556</v>
      </c>
      <c r="O777" t="s">
        <v>247</v>
      </c>
      <c r="P777" t="s">
        <v>12</v>
      </c>
      <c r="Q777" t="s">
        <v>19</v>
      </c>
      <c r="R777" t="s">
        <v>3927</v>
      </c>
      <c r="S777" t="s">
        <v>1541</v>
      </c>
      <c r="T777" t="s">
        <v>3822</v>
      </c>
      <c r="U777" t="s">
        <v>1720</v>
      </c>
      <c r="V777" t="s">
        <v>1741</v>
      </c>
      <c r="W777" t="s">
        <v>1742</v>
      </c>
      <c r="X777" t="s">
        <v>1739</v>
      </c>
    </row>
    <row r="778" spans="1:24" x14ac:dyDescent="0.3">
      <c r="A778" t="s">
        <v>2585</v>
      </c>
      <c r="B778" s="2">
        <v>45472</v>
      </c>
      <c r="C778" t="s">
        <v>767</v>
      </c>
      <c r="D778" t="s">
        <v>1571</v>
      </c>
      <c r="E778" t="s">
        <v>1752</v>
      </c>
      <c r="F778" s="4">
        <v>3</v>
      </c>
      <c r="G778">
        <v>909.25</v>
      </c>
      <c r="H778">
        <v>0.28999999999999998</v>
      </c>
      <c r="I778" t="s">
        <v>1812</v>
      </c>
      <c r="J778">
        <v>1936.7025000000001</v>
      </c>
      <c r="K778" t="s">
        <v>768</v>
      </c>
      <c r="L778">
        <v>58</v>
      </c>
      <c r="M778" t="s">
        <v>16</v>
      </c>
      <c r="N778" t="s">
        <v>769</v>
      </c>
      <c r="O778" t="s">
        <v>284</v>
      </c>
      <c r="P778" t="s">
        <v>12</v>
      </c>
      <c r="Q778" t="s">
        <v>19</v>
      </c>
      <c r="R778" t="s">
        <v>3845</v>
      </c>
      <c r="S778" t="s">
        <v>1549</v>
      </c>
      <c r="T778" t="s">
        <v>3820</v>
      </c>
      <c r="U778" t="s">
        <v>1572</v>
      </c>
      <c r="V778" t="s">
        <v>1753</v>
      </c>
      <c r="W778" t="s">
        <v>1746</v>
      </c>
      <c r="X778" t="s">
        <v>1755</v>
      </c>
    </row>
    <row r="779" spans="1:24" x14ac:dyDescent="0.3">
      <c r="A779" t="s">
        <v>2586</v>
      </c>
      <c r="B779" s="2">
        <v>45331</v>
      </c>
      <c r="C779" t="s">
        <v>1123</v>
      </c>
      <c r="D779" t="s">
        <v>1713</v>
      </c>
      <c r="E779" t="s">
        <v>1777</v>
      </c>
      <c r="F779" s="4">
        <v>2</v>
      </c>
      <c r="G779">
        <v>229.81</v>
      </c>
      <c r="H779">
        <v>0.21</v>
      </c>
      <c r="I779" t="s">
        <v>1812</v>
      </c>
      <c r="J779">
        <v>363.09980000000002</v>
      </c>
      <c r="K779" t="s">
        <v>1124</v>
      </c>
      <c r="L779">
        <v>58</v>
      </c>
      <c r="M779" t="s">
        <v>9</v>
      </c>
      <c r="N779" t="s">
        <v>1125</v>
      </c>
      <c r="O779" t="s">
        <v>25</v>
      </c>
      <c r="P779" t="s">
        <v>12</v>
      </c>
      <c r="Q779" t="s">
        <v>26</v>
      </c>
      <c r="R779" t="s">
        <v>3924</v>
      </c>
      <c r="S779" t="s">
        <v>1530</v>
      </c>
      <c r="T779" t="s">
        <v>3866</v>
      </c>
      <c r="U779" t="s">
        <v>1714</v>
      </c>
      <c r="V779" t="s">
        <v>1741</v>
      </c>
      <c r="W779" t="s">
        <v>1742</v>
      </c>
      <c r="X779" t="s">
        <v>1739</v>
      </c>
    </row>
    <row r="780" spans="1:24" x14ac:dyDescent="0.3">
      <c r="A780" t="s">
        <v>2587</v>
      </c>
      <c r="B780" s="2">
        <v>45451</v>
      </c>
      <c r="C780" t="s">
        <v>146</v>
      </c>
      <c r="D780" t="s">
        <v>1687</v>
      </c>
      <c r="E780" t="s">
        <v>1784</v>
      </c>
      <c r="F780" s="4">
        <v>3</v>
      </c>
      <c r="G780">
        <v>442.36</v>
      </c>
      <c r="H780">
        <v>0.06</v>
      </c>
      <c r="I780" t="s">
        <v>1809</v>
      </c>
      <c r="J780">
        <v>1247.4552000000001</v>
      </c>
      <c r="K780" t="s">
        <v>147</v>
      </c>
      <c r="L780">
        <v>35</v>
      </c>
      <c r="M780" t="s">
        <v>16</v>
      </c>
      <c r="N780" t="s">
        <v>148</v>
      </c>
      <c r="O780" t="s">
        <v>39</v>
      </c>
      <c r="P780" t="s">
        <v>12</v>
      </c>
      <c r="Q780" t="s">
        <v>19</v>
      </c>
      <c r="R780" t="s">
        <v>3911</v>
      </c>
      <c r="S780" t="s">
        <v>1527</v>
      </c>
      <c r="T780" t="s">
        <v>3836</v>
      </c>
      <c r="U780" t="s">
        <v>1688</v>
      </c>
      <c r="V780" t="s">
        <v>1741</v>
      </c>
      <c r="W780" t="s">
        <v>1742</v>
      </c>
      <c r="X780" t="s">
        <v>1739</v>
      </c>
    </row>
    <row r="781" spans="1:24" x14ac:dyDescent="0.3">
      <c r="A781" t="s">
        <v>2588</v>
      </c>
      <c r="B781" s="2">
        <v>45386</v>
      </c>
      <c r="C781" t="s">
        <v>761</v>
      </c>
      <c r="D781" t="s">
        <v>1703</v>
      </c>
      <c r="E781" t="s">
        <v>1749</v>
      </c>
      <c r="F781" s="4">
        <v>3</v>
      </c>
      <c r="G781">
        <v>413.74</v>
      </c>
      <c r="H781">
        <v>0.01</v>
      </c>
      <c r="I781" t="s">
        <v>1807</v>
      </c>
      <c r="J781">
        <v>1228.8078</v>
      </c>
      <c r="K781" t="s">
        <v>762</v>
      </c>
      <c r="L781">
        <v>59</v>
      </c>
      <c r="M781" t="s">
        <v>16</v>
      </c>
      <c r="N781" t="s">
        <v>763</v>
      </c>
      <c r="O781" t="s">
        <v>181</v>
      </c>
      <c r="P781" t="s">
        <v>12</v>
      </c>
      <c r="Q781" t="s">
        <v>19</v>
      </c>
      <c r="R781" t="s">
        <v>3919</v>
      </c>
      <c r="S781" t="s">
        <v>1527</v>
      </c>
      <c r="T781" t="s">
        <v>3830</v>
      </c>
      <c r="U781" t="s">
        <v>1704</v>
      </c>
      <c r="V781" t="s">
        <v>1750</v>
      </c>
      <c r="W781" t="s">
        <v>1742</v>
      </c>
      <c r="X781" t="s">
        <v>1748</v>
      </c>
    </row>
    <row r="782" spans="1:24" x14ac:dyDescent="0.3">
      <c r="A782" t="s">
        <v>2589</v>
      </c>
      <c r="B782" s="2">
        <v>45477</v>
      </c>
      <c r="C782" t="s">
        <v>1507</v>
      </c>
      <c r="D782" t="s">
        <v>1709</v>
      </c>
      <c r="E782" t="s">
        <v>1782</v>
      </c>
      <c r="F782" s="4">
        <v>4</v>
      </c>
      <c r="G782">
        <v>79.75</v>
      </c>
      <c r="H782">
        <v>0.18</v>
      </c>
      <c r="I782" t="s">
        <v>1809</v>
      </c>
      <c r="J782">
        <v>261.58</v>
      </c>
      <c r="K782" t="s">
        <v>1508</v>
      </c>
      <c r="L782">
        <v>47</v>
      </c>
      <c r="M782" t="s">
        <v>16</v>
      </c>
      <c r="N782" t="s">
        <v>1509</v>
      </c>
      <c r="O782" t="s">
        <v>25</v>
      </c>
      <c r="P782" t="s">
        <v>12</v>
      </c>
      <c r="Q782" t="s">
        <v>26</v>
      </c>
      <c r="R782" t="s">
        <v>3922</v>
      </c>
      <c r="S782" t="s">
        <v>1541</v>
      </c>
      <c r="T782" t="s">
        <v>3878</v>
      </c>
      <c r="U782" t="s">
        <v>1710</v>
      </c>
      <c r="V782" t="s">
        <v>1741</v>
      </c>
      <c r="W782" t="s">
        <v>1742</v>
      </c>
      <c r="X782" t="s">
        <v>1739</v>
      </c>
    </row>
    <row r="783" spans="1:24" x14ac:dyDescent="0.3">
      <c r="A783" t="s">
        <v>2590</v>
      </c>
      <c r="B783" s="2">
        <v>45433</v>
      </c>
      <c r="C783" t="s">
        <v>1504</v>
      </c>
      <c r="D783" t="s">
        <v>1611</v>
      </c>
      <c r="E783" t="s">
        <v>1777</v>
      </c>
      <c r="F783" s="4">
        <v>4</v>
      </c>
      <c r="G783">
        <v>95.06</v>
      </c>
      <c r="H783">
        <v>0.03</v>
      </c>
      <c r="I783" t="s">
        <v>1807</v>
      </c>
      <c r="J783">
        <v>368.83280000000002</v>
      </c>
      <c r="K783" t="s">
        <v>1505</v>
      </c>
      <c r="L783">
        <v>56</v>
      </c>
      <c r="M783" t="s">
        <v>9</v>
      </c>
      <c r="N783" t="s">
        <v>1506</v>
      </c>
      <c r="O783" t="s">
        <v>92</v>
      </c>
      <c r="P783" t="s">
        <v>12</v>
      </c>
      <c r="Q783" t="s">
        <v>26</v>
      </c>
      <c r="R783" t="s">
        <v>3870</v>
      </c>
      <c r="S783" t="s">
        <v>1546</v>
      </c>
      <c r="T783" t="s">
        <v>3826</v>
      </c>
      <c r="U783" t="s">
        <v>1612</v>
      </c>
      <c r="V783" t="s">
        <v>1741</v>
      </c>
      <c r="W783" t="s">
        <v>1742</v>
      </c>
      <c r="X783" t="s">
        <v>1739</v>
      </c>
    </row>
    <row r="784" spans="1:24" x14ac:dyDescent="0.3">
      <c r="A784" t="s">
        <v>2591</v>
      </c>
      <c r="B784" s="2">
        <v>45759</v>
      </c>
      <c r="C784" t="s">
        <v>1278</v>
      </c>
      <c r="D784" t="s">
        <v>1727</v>
      </c>
      <c r="E784" t="s">
        <v>1762</v>
      </c>
      <c r="F784" s="4">
        <v>4</v>
      </c>
      <c r="G784">
        <v>107.08</v>
      </c>
      <c r="H784">
        <v>0.27</v>
      </c>
      <c r="I784" t="s">
        <v>1812</v>
      </c>
      <c r="J784">
        <v>312.67360000000002</v>
      </c>
      <c r="K784" t="s">
        <v>1279</v>
      </c>
      <c r="L784">
        <v>64</v>
      </c>
      <c r="M784" t="s">
        <v>16</v>
      </c>
      <c r="N784" t="s">
        <v>1280</v>
      </c>
      <c r="O784" t="s">
        <v>319</v>
      </c>
      <c r="P784" t="s">
        <v>12</v>
      </c>
      <c r="Q784" t="s">
        <v>19</v>
      </c>
      <c r="R784" t="s">
        <v>3931</v>
      </c>
      <c r="S784" t="s">
        <v>1546</v>
      </c>
      <c r="T784" t="s">
        <v>3826</v>
      </c>
      <c r="U784" t="s">
        <v>1728</v>
      </c>
      <c r="V784" t="s">
        <v>1763</v>
      </c>
      <c r="W784" t="s">
        <v>1746</v>
      </c>
      <c r="X784" t="s">
        <v>1755</v>
      </c>
    </row>
    <row r="785" spans="1:24" x14ac:dyDescent="0.3">
      <c r="A785" t="s">
        <v>2592</v>
      </c>
      <c r="B785" s="2">
        <v>45794</v>
      </c>
      <c r="C785" t="s">
        <v>1445</v>
      </c>
      <c r="D785" t="s">
        <v>1729</v>
      </c>
      <c r="E785" t="s">
        <v>1793</v>
      </c>
      <c r="F785" s="4">
        <v>1</v>
      </c>
      <c r="G785">
        <v>873.18</v>
      </c>
      <c r="H785">
        <v>0.03</v>
      </c>
      <c r="I785" t="s">
        <v>1812</v>
      </c>
      <c r="J785">
        <v>846.98459999999989</v>
      </c>
      <c r="K785" t="s">
        <v>1446</v>
      </c>
      <c r="L785">
        <v>18</v>
      </c>
      <c r="M785" t="s">
        <v>16</v>
      </c>
      <c r="N785" t="s">
        <v>1447</v>
      </c>
      <c r="O785" t="s">
        <v>39</v>
      </c>
      <c r="P785" t="s">
        <v>12</v>
      </c>
      <c r="Q785" t="s">
        <v>19</v>
      </c>
      <c r="R785" t="s">
        <v>3932</v>
      </c>
      <c r="S785" t="s">
        <v>1527</v>
      </c>
      <c r="T785" t="s">
        <v>3830</v>
      </c>
      <c r="U785" t="s">
        <v>1730</v>
      </c>
      <c r="V785" t="s">
        <v>1741</v>
      </c>
      <c r="W785" t="s">
        <v>1742</v>
      </c>
      <c r="X785" t="s">
        <v>1739</v>
      </c>
    </row>
    <row r="786" spans="1:24" x14ac:dyDescent="0.3">
      <c r="A786" t="s">
        <v>2593</v>
      </c>
      <c r="B786" s="2">
        <v>45764</v>
      </c>
      <c r="C786" t="s">
        <v>1165</v>
      </c>
      <c r="D786" t="s">
        <v>1671</v>
      </c>
      <c r="E786" t="s">
        <v>1793</v>
      </c>
      <c r="F786" s="4">
        <v>1</v>
      </c>
      <c r="G786">
        <v>914.75</v>
      </c>
      <c r="H786">
        <v>0.1</v>
      </c>
      <c r="I786" t="s">
        <v>1812</v>
      </c>
      <c r="J786">
        <v>823.27499999999998</v>
      </c>
      <c r="K786" t="s">
        <v>1166</v>
      </c>
      <c r="L786">
        <v>44</v>
      </c>
      <c r="M786" t="s">
        <v>16</v>
      </c>
      <c r="N786" t="s">
        <v>1167</v>
      </c>
      <c r="O786" t="s">
        <v>429</v>
      </c>
      <c r="P786" t="s">
        <v>12</v>
      </c>
      <c r="Q786" t="s">
        <v>13</v>
      </c>
      <c r="R786" t="s">
        <v>3903</v>
      </c>
      <c r="S786" t="s">
        <v>1527</v>
      </c>
      <c r="T786" t="s">
        <v>3847</v>
      </c>
      <c r="U786" t="s">
        <v>1672</v>
      </c>
      <c r="V786" t="s">
        <v>1741</v>
      </c>
      <c r="W786" t="s">
        <v>1742</v>
      </c>
      <c r="X786" t="s">
        <v>1739</v>
      </c>
    </row>
    <row r="787" spans="1:24" x14ac:dyDescent="0.3">
      <c r="A787" t="s">
        <v>2594</v>
      </c>
      <c r="B787" s="2">
        <v>45279</v>
      </c>
      <c r="C787" t="s">
        <v>185</v>
      </c>
      <c r="D787" t="s">
        <v>1677</v>
      </c>
      <c r="E787" t="s">
        <v>1780</v>
      </c>
      <c r="F787" s="4">
        <v>4</v>
      </c>
      <c r="G787">
        <v>457.33</v>
      </c>
      <c r="H787">
        <v>0.1</v>
      </c>
      <c r="I787" t="s">
        <v>1807</v>
      </c>
      <c r="J787">
        <v>1646.3879999999999</v>
      </c>
      <c r="K787" t="s">
        <v>186</v>
      </c>
      <c r="L787">
        <v>61</v>
      </c>
      <c r="M787" t="s">
        <v>16</v>
      </c>
      <c r="N787" t="s">
        <v>187</v>
      </c>
      <c r="O787" t="s">
        <v>25</v>
      </c>
      <c r="P787" t="s">
        <v>12</v>
      </c>
      <c r="Q787" t="s">
        <v>13</v>
      </c>
      <c r="R787" t="s">
        <v>3906</v>
      </c>
      <c r="S787" t="s">
        <v>1549</v>
      </c>
      <c r="T787" t="s">
        <v>3859</v>
      </c>
      <c r="U787" t="s">
        <v>1678</v>
      </c>
      <c r="V787" t="s">
        <v>1741</v>
      </c>
      <c r="W787" t="s">
        <v>1742</v>
      </c>
      <c r="X787" t="s">
        <v>1739</v>
      </c>
    </row>
    <row r="788" spans="1:24" x14ac:dyDescent="0.3">
      <c r="A788" t="s">
        <v>2595</v>
      </c>
      <c r="B788" s="2">
        <v>45602</v>
      </c>
      <c r="C788" t="s">
        <v>917</v>
      </c>
      <c r="D788" t="s">
        <v>1729</v>
      </c>
      <c r="E788" t="s">
        <v>1749</v>
      </c>
      <c r="F788" s="4">
        <v>3</v>
      </c>
      <c r="G788">
        <v>761.88</v>
      </c>
      <c r="H788">
        <v>0.23</v>
      </c>
      <c r="I788" t="s">
        <v>1809</v>
      </c>
      <c r="J788">
        <v>1759.9428</v>
      </c>
      <c r="K788" t="s">
        <v>918</v>
      </c>
      <c r="L788">
        <v>56</v>
      </c>
      <c r="M788" t="s">
        <v>16</v>
      </c>
      <c r="N788" t="s">
        <v>919</v>
      </c>
      <c r="O788" t="s">
        <v>198</v>
      </c>
      <c r="P788" t="s">
        <v>12</v>
      </c>
      <c r="Q788" t="s">
        <v>31</v>
      </c>
      <c r="R788" t="s">
        <v>3932</v>
      </c>
      <c r="S788" t="s">
        <v>1527</v>
      </c>
      <c r="T788" t="s">
        <v>3830</v>
      </c>
      <c r="U788" t="s">
        <v>1730</v>
      </c>
      <c r="V788" t="s">
        <v>1750</v>
      </c>
      <c r="W788" t="s">
        <v>1742</v>
      </c>
      <c r="X788" t="s">
        <v>1748</v>
      </c>
    </row>
    <row r="789" spans="1:24" x14ac:dyDescent="0.3">
      <c r="A789" t="s">
        <v>2596</v>
      </c>
      <c r="B789" s="2">
        <v>45793</v>
      </c>
      <c r="C789" t="s">
        <v>579</v>
      </c>
      <c r="D789" t="s">
        <v>1605</v>
      </c>
      <c r="E789" t="s">
        <v>1796</v>
      </c>
      <c r="F789" s="4">
        <v>4</v>
      </c>
      <c r="G789">
        <v>122.87</v>
      </c>
      <c r="H789">
        <v>0.13</v>
      </c>
      <c r="I789" t="s">
        <v>1807</v>
      </c>
      <c r="J789">
        <v>427.58760000000001</v>
      </c>
      <c r="K789" t="s">
        <v>580</v>
      </c>
      <c r="L789">
        <v>33</v>
      </c>
      <c r="M789" t="s">
        <v>16</v>
      </c>
      <c r="N789" t="s">
        <v>581</v>
      </c>
      <c r="O789" t="s">
        <v>582</v>
      </c>
      <c r="P789" t="s">
        <v>12</v>
      </c>
      <c r="Q789" t="s">
        <v>19</v>
      </c>
      <c r="R789" t="s">
        <v>3865</v>
      </c>
      <c r="S789" t="s">
        <v>1530</v>
      </c>
      <c r="T789" t="s">
        <v>3866</v>
      </c>
      <c r="U789" t="s">
        <v>1606</v>
      </c>
      <c r="V789" t="s">
        <v>1741</v>
      </c>
      <c r="W789" t="s">
        <v>1742</v>
      </c>
      <c r="X789" t="s">
        <v>1739</v>
      </c>
    </row>
    <row r="790" spans="1:24" x14ac:dyDescent="0.3">
      <c r="A790" t="s">
        <v>2597</v>
      </c>
      <c r="B790" s="2">
        <v>45778</v>
      </c>
      <c r="C790" t="s">
        <v>1448</v>
      </c>
      <c r="D790" t="s">
        <v>1677</v>
      </c>
      <c r="E790" t="s">
        <v>1752</v>
      </c>
      <c r="F790" s="4">
        <v>4</v>
      </c>
      <c r="G790">
        <v>753</v>
      </c>
      <c r="H790">
        <v>0.28000000000000003</v>
      </c>
      <c r="I790" t="s">
        <v>1812</v>
      </c>
      <c r="J790">
        <v>2168.64</v>
      </c>
      <c r="K790" t="s">
        <v>1449</v>
      </c>
      <c r="L790">
        <v>33</v>
      </c>
      <c r="M790" t="s">
        <v>16</v>
      </c>
      <c r="N790" t="s">
        <v>390</v>
      </c>
      <c r="O790" t="s">
        <v>170</v>
      </c>
      <c r="P790" t="s">
        <v>12</v>
      </c>
      <c r="Q790" t="s">
        <v>19</v>
      </c>
      <c r="R790" t="s">
        <v>3906</v>
      </c>
      <c r="S790" t="s">
        <v>1549</v>
      </c>
      <c r="T790" t="s">
        <v>3859</v>
      </c>
      <c r="U790" t="s">
        <v>1678</v>
      </c>
      <c r="V790" t="s">
        <v>1753</v>
      </c>
      <c r="W790" t="s">
        <v>1746</v>
      </c>
      <c r="X790" t="s">
        <v>1755</v>
      </c>
    </row>
    <row r="791" spans="1:24" x14ac:dyDescent="0.3">
      <c r="A791" t="s">
        <v>2598</v>
      </c>
      <c r="B791" s="2">
        <v>45325</v>
      </c>
      <c r="C791" t="s">
        <v>1144</v>
      </c>
      <c r="D791" t="s">
        <v>1538</v>
      </c>
      <c r="E791" t="s">
        <v>1756</v>
      </c>
      <c r="F791" s="4">
        <v>2</v>
      </c>
      <c r="G791">
        <v>788.05</v>
      </c>
      <c r="H791">
        <v>0.21</v>
      </c>
      <c r="I791" t="s">
        <v>1807</v>
      </c>
      <c r="J791">
        <v>1245.1189999999999</v>
      </c>
      <c r="K791" t="s">
        <v>1145</v>
      </c>
      <c r="L791">
        <v>21</v>
      </c>
      <c r="M791" t="s">
        <v>16</v>
      </c>
      <c r="N791" t="s">
        <v>1146</v>
      </c>
      <c r="O791" t="s">
        <v>251</v>
      </c>
      <c r="P791" t="s">
        <v>12</v>
      </c>
      <c r="Q791" t="s">
        <v>31</v>
      </c>
      <c r="R791" t="s">
        <v>3880</v>
      </c>
      <c r="S791" t="s">
        <v>1541</v>
      </c>
      <c r="T791" t="s">
        <v>3881</v>
      </c>
      <c r="U791" t="s">
        <v>1630</v>
      </c>
      <c r="V791" t="s">
        <v>1757</v>
      </c>
      <c r="W791" t="s">
        <v>1742</v>
      </c>
      <c r="X791" t="s">
        <v>1748</v>
      </c>
    </row>
    <row r="792" spans="1:24" x14ac:dyDescent="0.3">
      <c r="A792" t="s">
        <v>2599</v>
      </c>
      <c r="B792" s="2">
        <v>45875</v>
      </c>
      <c r="C792" t="s">
        <v>1409</v>
      </c>
      <c r="D792" t="s">
        <v>1695</v>
      </c>
      <c r="E792" t="s">
        <v>1772</v>
      </c>
      <c r="F792" s="4">
        <v>2</v>
      </c>
      <c r="G792">
        <v>807.1</v>
      </c>
      <c r="H792">
        <v>0.28999999999999998</v>
      </c>
      <c r="I792" t="s">
        <v>1807</v>
      </c>
      <c r="J792">
        <v>1146.0820000000001</v>
      </c>
      <c r="K792" t="s">
        <v>1410</v>
      </c>
      <c r="L792">
        <v>36</v>
      </c>
      <c r="M792" t="s">
        <v>16</v>
      </c>
      <c r="N792" t="s">
        <v>1411</v>
      </c>
      <c r="O792" t="s">
        <v>43</v>
      </c>
      <c r="P792" t="s">
        <v>12</v>
      </c>
      <c r="Q792" t="s">
        <v>31</v>
      </c>
      <c r="R792" t="s">
        <v>3915</v>
      </c>
      <c r="S792" t="s">
        <v>1549</v>
      </c>
      <c r="T792" t="s">
        <v>3828</v>
      </c>
      <c r="U792" t="s">
        <v>1696</v>
      </c>
      <c r="V792" t="s">
        <v>1741</v>
      </c>
      <c r="W792" t="s">
        <v>1742</v>
      </c>
      <c r="X792" t="s">
        <v>1739</v>
      </c>
    </row>
    <row r="793" spans="1:24" x14ac:dyDescent="0.3">
      <c r="A793" t="s">
        <v>2600</v>
      </c>
      <c r="B793" s="2">
        <v>45320</v>
      </c>
      <c r="C793" t="s">
        <v>453</v>
      </c>
      <c r="D793" t="s">
        <v>1545</v>
      </c>
      <c r="E793" t="s">
        <v>1740</v>
      </c>
      <c r="F793" s="4">
        <v>2</v>
      </c>
      <c r="G793">
        <v>443.09</v>
      </c>
      <c r="H793">
        <v>0.02</v>
      </c>
      <c r="I793" t="s">
        <v>1809</v>
      </c>
      <c r="J793">
        <v>868.45639999999992</v>
      </c>
      <c r="K793" t="s">
        <v>454</v>
      </c>
      <c r="L793">
        <v>33</v>
      </c>
      <c r="M793" t="s">
        <v>16</v>
      </c>
      <c r="N793" t="s">
        <v>455</v>
      </c>
      <c r="O793" t="s">
        <v>74</v>
      </c>
      <c r="P793" t="s">
        <v>12</v>
      </c>
      <c r="Q793" t="s">
        <v>13</v>
      </c>
      <c r="R793" t="s">
        <v>3912</v>
      </c>
      <c r="S793" t="s">
        <v>1527</v>
      </c>
      <c r="T793" t="s">
        <v>3824</v>
      </c>
      <c r="U793" t="s">
        <v>1690</v>
      </c>
      <c r="V793" t="s">
        <v>1741</v>
      </c>
      <c r="W793" t="s">
        <v>1742</v>
      </c>
      <c r="X793" t="s">
        <v>1739</v>
      </c>
    </row>
    <row r="794" spans="1:24" x14ac:dyDescent="0.3">
      <c r="A794" t="s">
        <v>2601</v>
      </c>
      <c r="B794" s="2">
        <v>45870</v>
      </c>
      <c r="C794" t="s">
        <v>1427</v>
      </c>
      <c r="D794" t="s">
        <v>1569</v>
      </c>
      <c r="E794" t="s">
        <v>1784</v>
      </c>
      <c r="F794" s="4">
        <v>1</v>
      </c>
      <c r="G794">
        <v>512.16</v>
      </c>
      <c r="H794">
        <v>0.02</v>
      </c>
      <c r="I794" t="s">
        <v>1812</v>
      </c>
      <c r="J794">
        <v>501.91680000000002</v>
      </c>
      <c r="K794" t="s">
        <v>1428</v>
      </c>
      <c r="L794">
        <v>19</v>
      </c>
      <c r="M794" t="s">
        <v>9</v>
      </c>
      <c r="N794" t="s">
        <v>1429</v>
      </c>
      <c r="O794" t="s">
        <v>170</v>
      </c>
      <c r="P794" t="s">
        <v>12</v>
      </c>
      <c r="Q794" t="s">
        <v>26</v>
      </c>
      <c r="R794" t="s">
        <v>3843</v>
      </c>
      <c r="S794" t="s">
        <v>1549</v>
      </c>
      <c r="T794" t="s">
        <v>3844</v>
      </c>
      <c r="U794" t="s">
        <v>1570</v>
      </c>
      <c r="V794" t="s">
        <v>1741</v>
      </c>
      <c r="W794" t="s">
        <v>1742</v>
      </c>
      <c r="X794" t="s">
        <v>1739</v>
      </c>
    </row>
    <row r="795" spans="1:24" x14ac:dyDescent="0.3">
      <c r="A795" t="s">
        <v>2602</v>
      </c>
      <c r="B795" s="2">
        <v>45577</v>
      </c>
      <c r="C795" t="s">
        <v>672</v>
      </c>
      <c r="D795" t="s">
        <v>1613</v>
      </c>
      <c r="E795" t="s">
        <v>1793</v>
      </c>
      <c r="F795" s="4">
        <v>2</v>
      </c>
      <c r="G795">
        <v>602.54999999999995</v>
      </c>
      <c r="H795">
        <v>0.23</v>
      </c>
      <c r="I795" t="s">
        <v>1812</v>
      </c>
      <c r="J795">
        <v>927.92699999999991</v>
      </c>
      <c r="K795" t="s">
        <v>673</v>
      </c>
      <c r="L795">
        <v>50</v>
      </c>
      <c r="M795" t="s">
        <v>16</v>
      </c>
      <c r="N795" t="s">
        <v>674</v>
      </c>
      <c r="O795" t="s">
        <v>323</v>
      </c>
      <c r="P795" t="s">
        <v>12</v>
      </c>
      <c r="Q795" t="s">
        <v>19</v>
      </c>
      <c r="R795" t="s">
        <v>3871</v>
      </c>
      <c r="S795" t="s">
        <v>1549</v>
      </c>
      <c r="T795" t="s">
        <v>3828</v>
      </c>
      <c r="U795" t="s">
        <v>1614</v>
      </c>
      <c r="V795" t="s">
        <v>1741</v>
      </c>
      <c r="W795" t="s">
        <v>1742</v>
      </c>
      <c r="X795" t="s">
        <v>1739</v>
      </c>
    </row>
    <row r="796" spans="1:24" x14ac:dyDescent="0.3">
      <c r="A796" t="s">
        <v>2603</v>
      </c>
      <c r="B796" s="2">
        <v>45745</v>
      </c>
      <c r="C796" t="s">
        <v>542</v>
      </c>
      <c r="D796" t="s">
        <v>1615</v>
      </c>
      <c r="E796" t="s">
        <v>1735</v>
      </c>
      <c r="F796" s="4">
        <v>3</v>
      </c>
      <c r="G796">
        <v>846.19</v>
      </c>
      <c r="H796">
        <v>0.09</v>
      </c>
      <c r="I796" t="s">
        <v>1812</v>
      </c>
      <c r="J796">
        <v>2310.0987</v>
      </c>
      <c r="K796" t="s">
        <v>543</v>
      </c>
      <c r="L796">
        <v>47</v>
      </c>
      <c r="M796" t="s">
        <v>16</v>
      </c>
      <c r="N796" t="s">
        <v>544</v>
      </c>
      <c r="O796" t="s">
        <v>81</v>
      </c>
      <c r="P796" t="s">
        <v>12</v>
      </c>
      <c r="Q796" t="s">
        <v>31</v>
      </c>
      <c r="R796" t="s">
        <v>3872</v>
      </c>
      <c r="S796" t="s">
        <v>1546</v>
      </c>
      <c r="T796" t="s">
        <v>3820</v>
      </c>
      <c r="U796" t="s">
        <v>1616</v>
      </c>
      <c r="V796" t="s">
        <v>1736</v>
      </c>
      <c r="W796" t="s">
        <v>1737</v>
      </c>
      <c r="X796" t="s">
        <v>1739</v>
      </c>
    </row>
    <row r="797" spans="1:24" x14ac:dyDescent="0.3">
      <c r="A797" t="s">
        <v>2604</v>
      </c>
      <c r="B797" s="2">
        <v>45772</v>
      </c>
      <c r="C797" t="s">
        <v>1015</v>
      </c>
      <c r="D797" t="s">
        <v>1669</v>
      </c>
      <c r="E797" t="s">
        <v>1765</v>
      </c>
      <c r="F797" s="4">
        <v>1</v>
      </c>
      <c r="G797">
        <v>506.73</v>
      </c>
      <c r="H797">
        <v>0.28999999999999998</v>
      </c>
      <c r="I797" t="s">
        <v>1807</v>
      </c>
      <c r="J797">
        <v>359.7783</v>
      </c>
      <c r="K797" t="s">
        <v>1016</v>
      </c>
      <c r="L797">
        <v>62</v>
      </c>
      <c r="M797" t="s">
        <v>16</v>
      </c>
      <c r="N797" t="s">
        <v>1017</v>
      </c>
      <c r="O797" t="s">
        <v>214</v>
      </c>
      <c r="P797" t="s">
        <v>12</v>
      </c>
      <c r="Q797" t="s">
        <v>13</v>
      </c>
      <c r="R797" t="s">
        <v>3902</v>
      </c>
      <c r="S797" t="s">
        <v>1530</v>
      </c>
      <c r="T797" t="s">
        <v>3818</v>
      </c>
      <c r="U797" t="s">
        <v>1670</v>
      </c>
      <c r="V797" t="s">
        <v>1766</v>
      </c>
      <c r="W797" t="s">
        <v>1767</v>
      </c>
      <c r="X797" t="s">
        <v>1755</v>
      </c>
    </row>
    <row r="798" spans="1:24" x14ac:dyDescent="0.3">
      <c r="A798" t="s">
        <v>2605</v>
      </c>
      <c r="B798" s="2">
        <v>45299</v>
      </c>
      <c r="C798" t="s">
        <v>195</v>
      </c>
      <c r="D798" t="s">
        <v>1633</v>
      </c>
      <c r="E798" t="s">
        <v>1787</v>
      </c>
      <c r="F798" s="4">
        <v>1</v>
      </c>
      <c r="G798">
        <v>408.66</v>
      </c>
      <c r="H798">
        <v>0.13</v>
      </c>
      <c r="I798" t="s">
        <v>1812</v>
      </c>
      <c r="J798">
        <v>355.5342</v>
      </c>
      <c r="K798" t="s">
        <v>196</v>
      </c>
      <c r="L798">
        <v>37</v>
      </c>
      <c r="M798" t="s">
        <v>16</v>
      </c>
      <c r="N798" t="s">
        <v>197</v>
      </c>
      <c r="O798" t="s">
        <v>198</v>
      </c>
      <c r="P798" t="s">
        <v>12</v>
      </c>
      <c r="Q798" t="s">
        <v>26</v>
      </c>
      <c r="R798" t="s">
        <v>3883</v>
      </c>
      <c r="S798" t="s">
        <v>1546</v>
      </c>
      <c r="T798" t="s">
        <v>3820</v>
      </c>
      <c r="U798" t="s">
        <v>1634</v>
      </c>
      <c r="V798" t="s">
        <v>1741</v>
      </c>
      <c r="W798" t="s">
        <v>1742</v>
      </c>
      <c r="X798" t="s">
        <v>1739</v>
      </c>
    </row>
    <row r="799" spans="1:24" x14ac:dyDescent="0.3">
      <c r="A799" t="s">
        <v>2606</v>
      </c>
      <c r="B799" s="2">
        <v>45447</v>
      </c>
      <c r="C799" t="s">
        <v>382</v>
      </c>
      <c r="D799" t="s">
        <v>1545</v>
      </c>
      <c r="E799" t="s">
        <v>1790</v>
      </c>
      <c r="F799" s="4">
        <v>3</v>
      </c>
      <c r="G799">
        <v>170.48</v>
      </c>
      <c r="H799">
        <v>0.06</v>
      </c>
      <c r="I799" t="s">
        <v>1812</v>
      </c>
      <c r="J799">
        <v>480.75359999999989</v>
      </c>
      <c r="K799" t="s">
        <v>383</v>
      </c>
      <c r="L799">
        <v>18</v>
      </c>
      <c r="M799" t="s">
        <v>16</v>
      </c>
      <c r="N799" t="s">
        <v>384</v>
      </c>
      <c r="O799" t="s">
        <v>139</v>
      </c>
      <c r="P799" t="s">
        <v>12</v>
      </c>
      <c r="Q799" t="s">
        <v>13</v>
      </c>
      <c r="R799" t="s">
        <v>3912</v>
      </c>
      <c r="S799" t="s">
        <v>1527</v>
      </c>
      <c r="T799" t="s">
        <v>3824</v>
      </c>
      <c r="U799" t="s">
        <v>1690</v>
      </c>
      <c r="V799" t="s">
        <v>1741</v>
      </c>
      <c r="W799" t="s">
        <v>1742</v>
      </c>
      <c r="X799" t="s">
        <v>1739</v>
      </c>
    </row>
    <row r="800" spans="1:24" x14ac:dyDescent="0.3">
      <c r="A800" t="s">
        <v>2607</v>
      </c>
      <c r="B800" s="2">
        <v>45717</v>
      </c>
      <c r="C800" t="s">
        <v>342</v>
      </c>
      <c r="D800" t="s">
        <v>1567</v>
      </c>
      <c r="E800" t="s">
        <v>1769</v>
      </c>
      <c r="F800" s="4">
        <v>1</v>
      </c>
      <c r="G800">
        <v>423.48</v>
      </c>
      <c r="H800">
        <v>0.18</v>
      </c>
      <c r="I800" t="s">
        <v>1809</v>
      </c>
      <c r="J800">
        <v>347.25360000000012</v>
      </c>
      <c r="K800" t="s">
        <v>343</v>
      </c>
      <c r="L800">
        <v>24</v>
      </c>
      <c r="M800" t="s">
        <v>9</v>
      </c>
      <c r="N800" t="s">
        <v>344</v>
      </c>
      <c r="O800" t="s">
        <v>39</v>
      </c>
      <c r="P800" t="s">
        <v>12</v>
      </c>
      <c r="Q800" t="s">
        <v>31</v>
      </c>
      <c r="R800" t="s">
        <v>3842</v>
      </c>
      <c r="S800" t="s">
        <v>1530</v>
      </c>
      <c r="T800" t="s">
        <v>3818</v>
      </c>
      <c r="U800" t="s">
        <v>1568</v>
      </c>
      <c r="V800" t="s">
        <v>1770</v>
      </c>
      <c r="W800" t="s">
        <v>1746</v>
      </c>
      <c r="X800" t="s">
        <v>1739</v>
      </c>
    </row>
    <row r="801" spans="1:24" x14ac:dyDescent="0.3">
      <c r="A801" t="s">
        <v>2608</v>
      </c>
      <c r="B801" s="2">
        <v>45213</v>
      </c>
      <c r="C801" t="s">
        <v>749</v>
      </c>
      <c r="D801" t="s">
        <v>1715</v>
      </c>
      <c r="E801" t="s">
        <v>1775</v>
      </c>
      <c r="F801" s="4">
        <v>4</v>
      </c>
      <c r="G801">
        <v>23.57</v>
      </c>
      <c r="H801">
        <v>0.1</v>
      </c>
      <c r="I801" t="s">
        <v>1807</v>
      </c>
      <c r="J801">
        <v>84.852000000000004</v>
      </c>
      <c r="K801" t="s">
        <v>750</v>
      </c>
      <c r="L801">
        <v>42</v>
      </c>
      <c r="M801" t="s">
        <v>16</v>
      </c>
      <c r="N801" t="s">
        <v>751</v>
      </c>
      <c r="O801" t="s">
        <v>92</v>
      </c>
      <c r="P801" t="s">
        <v>12</v>
      </c>
      <c r="Q801" t="s">
        <v>26</v>
      </c>
      <c r="R801" t="s">
        <v>3925</v>
      </c>
      <c r="S801" t="s">
        <v>1527</v>
      </c>
      <c r="T801" t="s">
        <v>3838</v>
      </c>
      <c r="U801" t="s">
        <v>1716</v>
      </c>
      <c r="V801" t="s">
        <v>1741</v>
      </c>
      <c r="W801" t="s">
        <v>1742</v>
      </c>
      <c r="X801" t="s">
        <v>1739</v>
      </c>
    </row>
    <row r="802" spans="1:24" x14ac:dyDescent="0.3">
      <c r="A802" t="s">
        <v>2609</v>
      </c>
      <c r="B802" s="2">
        <v>45837</v>
      </c>
      <c r="C802" t="s">
        <v>1177</v>
      </c>
      <c r="D802" t="s">
        <v>1615</v>
      </c>
      <c r="E802" t="s">
        <v>1793</v>
      </c>
      <c r="F802" s="4">
        <v>2</v>
      </c>
      <c r="G802">
        <v>953.26</v>
      </c>
      <c r="H802">
        <v>0.1</v>
      </c>
      <c r="I802" t="s">
        <v>1812</v>
      </c>
      <c r="J802">
        <v>1715.8679999999999</v>
      </c>
      <c r="K802" t="s">
        <v>1178</v>
      </c>
      <c r="L802">
        <v>20</v>
      </c>
      <c r="M802" t="s">
        <v>16</v>
      </c>
      <c r="N802" t="s">
        <v>1179</v>
      </c>
      <c r="O802" t="s">
        <v>22</v>
      </c>
      <c r="P802" t="s">
        <v>12</v>
      </c>
      <c r="Q802" t="s">
        <v>31</v>
      </c>
      <c r="R802" t="s">
        <v>3872</v>
      </c>
      <c r="S802" t="s">
        <v>1546</v>
      </c>
      <c r="T802" t="s">
        <v>3820</v>
      </c>
      <c r="U802" t="s">
        <v>1616</v>
      </c>
      <c r="V802" t="s">
        <v>1741</v>
      </c>
      <c r="W802" t="s">
        <v>1742</v>
      </c>
      <c r="X802" t="s">
        <v>1739</v>
      </c>
    </row>
    <row r="803" spans="1:24" x14ac:dyDescent="0.3">
      <c r="A803" t="s">
        <v>2610</v>
      </c>
      <c r="B803" s="2">
        <v>45277</v>
      </c>
      <c r="C803" t="s">
        <v>1078</v>
      </c>
      <c r="D803" t="s">
        <v>1677</v>
      </c>
      <c r="E803" t="s">
        <v>1762</v>
      </c>
      <c r="F803" s="4">
        <v>3</v>
      </c>
      <c r="G803">
        <v>405.13</v>
      </c>
      <c r="H803">
        <v>0.14000000000000001</v>
      </c>
      <c r="I803" t="s">
        <v>1812</v>
      </c>
      <c r="J803">
        <v>1045.2354</v>
      </c>
      <c r="K803" t="s">
        <v>3946</v>
      </c>
      <c r="L803">
        <v>55</v>
      </c>
      <c r="M803" t="s">
        <v>9</v>
      </c>
      <c r="N803" t="s">
        <v>1079</v>
      </c>
      <c r="O803" t="s">
        <v>166</v>
      </c>
      <c r="P803" t="s">
        <v>12</v>
      </c>
      <c r="Q803" t="s">
        <v>13</v>
      </c>
      <c r="R803" t="s">
        <v>3906</v>
      </c>
      <c r="S803" t="s">
        <v>1549</v>
      </c>
      <c r="T803" t="s">
        <v>3859</v>
      </c>
      <c r="U803" t="s">
        <v>1678</v>
      </c>
      <c r="V803" t="s">
        <v>1763</v>
      </c>
      <c r="W803" t="s">
        <v>1746</v>
      </c>
      <c r="X803" t="s">
        <v>1755</v>
      </c>
    </row>
    <row r="804" spans="1:24" x14ac:dyDescent="0.3">
      <c r="A804" t="s">
        <v>2611</v>
      </c>
      <c r="B804" s="2">
        <v>45248</v>
      </c>
      <c r="C804" t="s">
        <v>1054</v>
      </c>
      <c r="D804" t="s">
        <v>1532</v>
      </c>
      <c r="E804" t="s">
        <v>1752</v>
      </c>
      <c r="F804" s="4">
        <v>2</v>
      </c>
      <c r="G804">
        <v>333.83</v>
      </c>
      <c r="H804">
        <v>0.26</v>
      </c>
      <c r="I804" t="s">
        <v>1809</v>
      </c>
      <c r="J804">
        <v>494.0684</v>
      </c>
      <c r="K804" t="s">
        <v>1055</v>
      </c>
      <c r="L804">
        <v>27</v>
      </c>
      <c r="M804" t="s">
        <v>9</v>
      </c>
      <c r="N804" t="s">
        <v>1056</v>
      </c>
      <c r="O804" t="s">
        <v>133</v>
      </c>
      <c r="P804" t="s">
        <v>12</v>
      </c>
      <c r="Q804" t="s">
        <v>19</v>
      </c>
      <c r="R804" t="s">
        <v>3843</v>
      </c>
      <c r="S804" t="s">
        <v>1549</v>
      </c>
      <c r="T804" t="s">
        <v>3844</v>
      </c>
      <c r="U804" t="s">
        <v>1570</v>
      </c>
      <c r="V804" t="s">
        <v>1753</v>
      </c>
      <c r="W804" t="s">
        <v>1746</v>
      </c>
      <c r="X804" t="s">
        <v>1755</v>
      </c>
    </row>
    <row r="805" spans="1:24" x14ac:dyDescent="0.3">
      <c r="A805" t="s">
        <v>2612</v>
      </c>
      <c r="B805" s="2">
        <v>45741</v>
      </c>
      <c r="C805" t="s">
        <v>1036</v>
      </c>
      <c r="D805" t="s">
        <v>1713</v>
      </c>
      <c r="E805" t="s">
        <v>1749</v>
      </c>
      <c r="F805" s="4">
        <v>2</v>
      </c>
      <c r="G805">
        <v>727.18</v>
      </c>
      <c r="H805">
        <v>0.22</v>
      </c>
      <c r="I805" t="s">
        <v>1809</v>
      </c>
      <c r="J805">
        <v>1134.4007999999999</v>
      </c>
      <c r="K805" t="s">
        <v>1037</v>
      </c>
      <c r="L805">
        <v>50</v>
      </c>
      <c r="M805" t="s">
        <v>16</v>
      </c>
      <c r="N805" t="s">
        <v>1038</v>
      </c>
      <c r="O805" t="s">
        <v>81</v>
      </c>
      <c r="P805" t="s">
        <v>12</v>
      </c>
      <c r="Q805" t="s">
        <v>13</v>
      </c>
      <c r="R805" t="s">
        <v>3924</v>
      </c>
      <c r="S805" t="s">
        <v>1530</v>
      </c>
      <c r="T805" t="s">
        <v>3866</v>
      </c>
      <c r="U805" t="s">
        <v>1714</v>
      </c>
      <c r="V805" t="s">
        <v>1750</v>
      </c>
      <c r="W805" t="s">
        <v>1742</v>
      </c>
      <c r="X805" t="s">
        <v>1748</v>
      </c>
    </row>
    <row r="806" spans="1:24" x14ac:dyDescent="0.3">
      <c r="A806" t="s">
        <v>2613</v>
      </c>
      <c r="B806" s="2">
        <v>45778</v>
      </c>
      <c r="C806" t="s">
        <v>956</v>
      </c>
      <c r="D806" t="s">
        <v>1538</v>
      </c>
      <c r="E806" t="s">
        <v>1772</v>
      </c>
      <c r="F806" s="4">
        <v>2</v>
      </c>
      <c r="G806">
        <v>516.02</v>
      </c>
      <c r="H806">
        <v>0.19</v>
      </c>
      <c r="I806" t="s">
        <v>1812</v>
      </c>
      <c r="J806">
        <v>835.95240000000001</v>
      </c>
      <c r="K806" t="s">
        <v>957</v>
      </c>
      <c r="L806">
        <v>56</v>
      </c>
      <c r="M806" t="s">
        <v>16</v>
      </c>
      <c r="N806" t="s">
        <v>958</v>
      </c>
      <c r="O806" t="s">
        <v>234</v>
      </c>
      <c r="P806" t="s">
        <v>12</v>
      </c>
      <c r="Q806" t="s">
        <v>19</v>
      </c>
      <c r="R806" t="s">
        <v>3880</v>
      </c>
      <c r="S806" t="s">
        <v>1541</v>
      </c>
      <c r="T806" t="s">
        <v>3881</v>
      </c>
      <c r="U806" t="s">
        <v>1630</v>
      </c>
      <c r="V806" t="s">
        <v>1741</v>
      </c>
      <c r="W806" t="s">
        <v>1742</v>
      </c>
      <c r="X806" t="s">
        <v>1739</v>
      </c>
    </row>
    <row r="807" spans="1:24" x14ac:dyDescent="0.3">
      <c r="A807" t="s">
        <v>2614</v>
      </c>
      <c r="B807" s="2">
        <v>45361</v>
      </c>
      <c r="C807" t="s">
        <v>923</v>
      </c>
      <c r="D807" t="s">
        <v>1615</v>
      </c>
      <c r="E807" t="s">
        <v>1775</v>
      </c>
      <c r="F807" s="4">
        <v>2</v>
      </c>
      <c r="G807">
        <v>705.61</v>
      </c>
      <c r="H807">
        <v>0.28000000000000003</v>
      </c>
      <c r="I807" t="s">
        <v>1807</v>
      </c>
      <c r="J807">
        <v>1016.0784</v>
      </c>
      <c r="K807" t="s">
        <v>924</v>
      </c>
      <c r="L807">
        <v>19</v>
      </c>
      <c r="M807" t="s">
        <v>16</v>
      </c>
      <c r="N807" t="s">
        <v>567</v>
      </c>
      <c r="O807" t="s">
        <v>66</v>
      </c>
      <c r="P807" t="s">
        <v>12</v>
      </c>
      <c r="Q807" t="s">
        <v>19</v>
      </c>
      <c r="R807" t="s">
        <v>3872</v>
      </c>
      <c r="S807" t="s">
        <v>1546</v>
      </c>
      <c r="T807" t="s">
        <v>3820</v>
      </c>
      <c r="U807" t="s">
        <v>1616</v>
      </c>
      <c r="V807" t="s">
        <v>1741</v>
      </c>
      <c r="W807" t="s">
        <v>1742</v>
      </c>
      <c r="X807" t="s">
        <v>1739</v>
      </c>
    </row>
    <row r="808" spans="1:24" x14ac:dyDescent="0.3">
      <c r="A808" t="s">
        <v>2615</v>
      </c>
      <c r="B808" s="2">
        <v>45414</v>
      </c>
      <c r="C808" t="s">
        <v>867</v>
      </c>
      <c r="D808" t="s">
        <v>1699</v>
      </c>
      <c r="E808" t="s">
        <v>1765</v>
      </c>
      <c r="F808" s="4">
        <v>3</v>
      </c>
      <c r="G808">
        <v>654.47</v>
      </c>
      <c r="H808">
        <v>0.18</v>
      </c>
      <c r="I808" t="s">
        <v>1812</v>
      </c>
      <c r="J808">
        <v>1609.9962</v>
      </c>
      <c r="K808" t="s">
        <v>868</v>
      </c>
      <c r="L808">
        <v>38</v>
      </c>
      <c r="M808" t="s">
        <v>9</v>
      </c>
      <c r="N808" t="s">
        <v>869</v>
      </c>
      <c r="O808" t="s">
        <v>582</v>
      </c>
      <c r="P808" t="s">
        <v>12</v>
      </c>
      <c r="Q808" t="s">
        <v>13</v>
      </c>
      <c r="R808" t="s">
        <v>3917</v>
      </c>
      <c r="S808" t="s">
        <v>1527</v>
      </c>
      <c r="T808" t="s">
        <v>3901</v>
      </c>
      <c r="U808" t="s">
        <v>1700</v>
      </c>
      <c r="V808" t="s">
        <v>1766</v>
      </c>
      <c r="W808" t="s">
        <v>1767</v>
      </c>
      <c r="X808" t="s">
        <v>1755</v>
      </c>
    </row>
    <row r="809" spans="1:24" x14ac:dyDescent="0.3">
      <c r="A809" t="s">
        <v>2616</v>
      </c>
      <c r="B809" s="2">
        <v>45734</v>
      </c>
      <c r="C809" t="s">
        <v>562</v>
      </c>
      <c r="D809" t="s">
        <v>1707</v>
      </c>
      <c r="E809" t="s">
        <v>1784</v>
      </c>
      <c r="F809" s="4">
        <v>2</v>
      </c>
      <c r="G809">
        <v>315.27</v>
      </c>
      <c r="H809">
        <v>0.23</v>
      </c>
      <c r="I809" t="s">
        <v>1807</v>
      </c>
      <c r="J809">
        <v>485.51580000000001</v>
      </c>
      <c r="K809" t="s">
        <v>563</v>
      </c>
      <c r="L809">
        <v>41</v>
      </c>
      <c r="M809" t="s">
        <v>16</v>
      </c>
      <c r="N809" t="s">
        <v>564</v>
      </c>
      <c r="O809" t="s">
        <v>251</v>
      </c>
      <c r="P809" t="s">
        <v>12</v>
      </c>
      <c r="Q809" t="s">
        <v>19</v>
      </c>
      <c r="R809" t="s">
        <v>3921</v>
      </c>
      <c r="S809" t="s">
        <v>1549</v>
      </c>
      <c r="T809" t="s">
        <v>3820</v>
      </c>
      <c r="U809" t="s">
        <v>1708</v>
      </c>
      <c r="V809" t="s">
        <v>1741</v>
      </c>
      <c r="W809" t="s">
        <v>1742</v>
      </c>
      <c r="X809" t="s">
        <v>1739</v>
      </c>
    </row>
    <row r="810" spans="1:24" x14ac:dyDescent="0.3">
      <c r="A810" t="s">
        <v>2617</v>
      </c>
      <c r="B810" s="2">
        <v>45623</v>
      </c>
      <c r="C810" t="s">
        <v>713</v>
      </c>
      <c r="D810" t="s">
        <v>1587</v>
      </c>
      <c r="E810" t="s">
        <v>1744</v>
      </c>
      <c r="F810" s="4">
        <v>1</v>
      </c>
      <c r="G810">
        <v>974.47</v>
      </c>
      <c r="H810">
        <v>0.05</v>
      </c>
      <c r="I810" t="s">
        <v>1807</v>
      </c>
      <c r="J810">
        <v>925.74649999999997</v>
      </c>
      <c r="K810" t="s">
        <v>714</v>
      </c>
      <c r="L810">
        <v>50</v>
      </c>
      <c r="M810" t="s">
        <v>9</v>
      </c>
      <c r="N810" t="s">
        <v>715</v>
      </c>
      <c r="O810" t="s">
        <v>230</v>
      </c>
      <c r="P810" t="s">
        <v>12</v>
      </c>
      <c r="Q810" t="s">
        <v>19</v>
      </c>
      <c r="R810" t="s">
        <v>3855</v>
      </c>
      <c r="S810" t="s">
        <v>1549</v>
      </c>
      <c r="T810" t="s">
        <v>3820</v>
      </c>
      <c r="U810" t="s">
        <v>1588</v>
      </c>
      <c r="V810" t="s">
        <v>1745</v>
      </c>
      <c r="W810" t="s">
        <v>1746</v>
      </c>
      <c r="X810" t="s">
        <v>1748</v>
      </c>
    </row>
    <row r="811" spans="1:24" x14ac:dyDescent="0.3">
      <c r="A811" t="s">
        <v>2618</v>
      </c>
      <c r="B811" s="2">
        <v>45340</v>
      </c>
      <c r="C811" t="s">
        <v>244</v>
      </c>
      <c r="D811" t="s">
        <v>1532</v>
      </c>
      <c r="E811" t="s">
        <v>1752</v>
      </c>
      <c r="F811" s="4">
        <v>2</v>
      </c>
      <c r="G811">
        <v>803.3</v>
      </c>
      <c r="H811">
        <v>0.17</v>
      </c>
      <c r="I811" t="s">
        <v>1807</v>
      </c>
      <c r="J811">
        <v>1333.4780000000001</v>
      </c>
      <c r="K811" t="s">
        <v>245</v>
      </c>
      <c r="L811">
        <v>24</v>
      </c>
      <c r="M811" t="s">
        <v>16</v>
      </c>
      <c r="N811" t="s">
        <v>246</v>
      </c>
      <c r="O811" t="s">
        <v>247</v>
      </c>
      <c r="P811" t="s">
        <v>12</v>
      </c>
      <c r="Q811" t="s">
        <v>31</v>
      </c>
      <c r="R811" t="s">
        <v>3843</v>
      </c>
      <c r="S811" t="s">
        <v>1549</v>
      </c>
      <c r="T811" t="s">
        <v>3844</v>
      </c>
      <c r="U811" t="s">
        <v>1570</v>
      </c>
      <c r="V811" t="s">
        <v>1753</v>
      </c>
      <c r="W811" t="s">
        <v>1746</v>
      </c>
      <c r="X811" t="s">
        <v>1755</v>
      </c>
    </row>
    <row r="812" spans="1:24" x14ac:dyDescent="0.3">
      <c r="A812" t="s">
        <v>2619</v>
      </c>
      <c r="B812" s="2">
        <v>45447</v>
      </c>
      <c r="C812" t="s">
        <v>63</v>
      </c>
      <c r="D812" t="s">
        <v>1532</v>
      </c>
      <c r="E812" t="s">
        <v>1772</v>
      </c>
      <c r="F812" s="4">
        <v>4</v>
      </c>
      <c r="G812">
        <v>863.87</v>
      </c>
      <c r="H812">
        <v>0.21</v>
      </c>
      <c r="I812" t="s">
        <v>1812</v>
      </c>
      <c r="J812">
        <v>2729.8292000000001</v>
      </c>
      <c r="K812" t="s">
        <v>64</v>
      </c>
      <c r="L812">
        <v>53</v>
      </c>
      <c r="M812" t="s">
        <v>16</v>
      </c>
      <c r="N812" t="s">
        <v>65</v>
      </c>
      <c r="O812" t="s">
        <v>66</v>
      </c>
      <c r="P812" t="s">
        <v>12</v>
      </c>
      <c r="Q812" t="s">
        <v>31</v>
      </c>
      <c r="R812" t="s">
        <v>3843</v>
      </c>
      <c r="S812" t="s">
        <v>1549</v>
      </c>
      <c r="T812" t="s">
        <v>3844</v>
      </c>
      <c r="U812" t="s">
        <v>1570</v>
      </c>
      <c r="V812" t="s">
        <v>1741</v>
      </c>
      <c r="W812" t="s">
        <v>1742</v>
      </c>
      <c r="X812" t="s">
        <v>1739</v>
      </c>
    </row>
    <row r="813" spans="1:24" x14ac:dyDescent="0.3">
      <c r="A813" t="s">
        <v>2620</v>
      </c>
      <c r="B813" s="2">
        <v>45513</v>
      </c>
      <c r="C813" t="s">
        <v>1430</v>
      </c>
      <c r="D813" t="s">
        <v>1691</v>
      </c>
      <c r="E813" t="s">
        <v>1793</v>
      </c>
      <c r="F813" s="4">
        <v>1</v>
      </c>
      <c r="G813">
        <v>450.11</v>
      </c>
      <c r="H813">
        <v>0.17</v>
      </c>
      <c r="I813" t="s">
        <v>1807</v>
      </c>
      <c r="J813">
        <v>373.59129999999999</v>
      </c>
      <c r="K813" t="s">
        <v>1431</v>
      </c>
      <c r="L813">
        <v>21</v>
      </c>
      <c r="M813" t="s">
        <v>16</v>
      </c>
      <c r="N813" t="s">
        <v>1432</v>
      </c>
      <c r="O813" t="s">
        <v>117</v>
      </c>
      <c r="P813" t="s">
        <v>12</v>
      </c>
      <c r="Q813" t="s">
        <v>13</v>
      </c>
      <c r="R813" t="s">
        <v>3913</v>
      </c>
      <c r="S813" t="s">
        <v>1527</v>
      </c>
      <c r="T813" t="s">
        <v>3830</v>
      </c>
      <c r="U813" t="s">
        <v>1692</v>
      </c>
      <c r="V813" t="s">
        <v>1741</v>
      </c>
      <c r="W813" t="s">
        <v>1742</v>
      </c>
      <c r="X813" t="s">
        <v>1739</v>
      </c>
    </row>
    <row r="814" spans="1:24" x14ac:dyDescent="0.3">
      <c r="A814" t="s">
        <v>2621</v>
      </c>
      <c r="B814" s="2">
        <v>45486</v>
      </c>
      <c r="C814" t="s">
        <v>734</v>
      </c>
      <c r="D814" t="s">
        <v>1667</v>
      </c>
      <c r="E814" t="s">
        <v>1780</v>
      </c>
      <c r="F814" s="4">
        <v>1</v>
      </c>
      <c r="G814">
        <v>289.82</v>
      </c>
      <c r="H814">
        <v>0.18</v>
      </c>
      <c r="I814" t="s">
        <v>1812</v>
      </c>
      <c r="J814">
        <v>237.6524</v>
      </c>
      <c r="K814" t="s">
        <v>735</v>
      </c>
      <c r="L814">
        <v>22</v>
      </c>
      <c r="M814" t="s">
        <v>16</v>
      </c>
      <c r="N814" t="s">
        <v>736</v>
      </c>
      <c r="O814" t="s">
        <v>247</v>
      </c>
      <c r="P814" t="s">
        <v>12</v>
      </c>
      <c r="Q814" t="s">
        <v>26</v>
      </c>
      <c r="R814" t="s">
        <v>3900</v>
      </c>
      <c r="S814" t="s">
        <v>1527</v>
      </c>
      <c r="T814" t="s">
        <v>3901</v>
      </c>
      <c r="U814" t="s">
        <v>1668</v>
      </c>
      <c r="V814" t="s">
        <v>1741</v>
      </c>
      <c r="W814" t="s">
        <v>1742</v>
      </c>
      <c r="X814" t="s">
        <v>1739</v>
      </c>
    </row>
    <row r="815" spans="1:24" x14ac:dyDescent="0.3">
      <c r="A815" t="s">
        <v>2622</v>
      </c>
      <c r="B815" s="2">
        <v>45890</v>
      </c>
      <c r="C815" t="s">
        <v>1039</v>
      </c>
      <c r="D815" t="s">
        <v>1639</v>
      </c>
      <c r="E815" t="s">
        <v>1772</v>
      </c>
      <c r="F815" s="4">
        <v>4</v>
      </c>
      <c r="G815">
        <v>250.64</v>
      </c>
      <c r="H815">
        <v>0.1</v>
      </c>
      <c r="I815" t="s">
        <v>1809</v>
      </c>
      <c r="J815">
        <v>902.30399999999997</v>
      </c>
      <c r="K815" t="s">
        <v>1040</v>
      </c>
      <c r="L815">
        <v>37</v>
      </c>
      <c r="M815" t="s">
        <v>9</v>
      </c>
      <c r="N815" t="s">
        <v>1041</v>
      </c>
      <c r="O815" t="s">
        <v>166</v>
      </c>
      <c r="P815" t="s">
        <v>12</v>
      </c>
      <c r="Q815" t="s">
        <v>31</v>
      </c>
      <c r="R815" t="s">
        <v>3886</v>
      </c>
      <c r="S815" t="s">
        <v>1549</v>
      </c>
      <c r="T815" t="s">
        <v>3820</v>
      </c>
      <c r="U815" t="s">
        <v>1640</v>
      </c>
      <c r="V815" t="s">
        <v>1741</v>
      </c>
      <c r="W815" t="s">
        <v>1742</v>
      </c>
      <c r="X815" t="s">
        <v>1739</v>
      </c>
    </row>
    <row r="816" spans="1:24" x14ac:dyDescent="0.3">
      <c r="A816" t="s">
        <v>2623</v>
      </c>
      <c r="B816" s="2">
        <v>45876</v>
      </c>
      <c r="C816" t="s">
        <v>903</v>
      </c>
      <c r="D816" t="s">
        <v>1669</v>
      </c>
      <c r="E816" t="s">
        <v>1796</v>
      </c>
      <c r="F816" s="4">
        <v>4</v>
      </c>
      <c r="G816">
        <v>373.49</v>
      </c>
      <c r="H816">
        <v>0.16</v>
      </c>
      <c r="I816" t="s">
        <v>1812</v>
      </c>
      <c r="J816">
        <v>1254.9264000000001</v>
      </c>
      <c r="K816" t="s">
        <v>904</v>
      </c>
      <c r="L816">
        <v>58</v>
      </c>
      <c r="M816" t="s">
        <v>9</v>
      </c>
      <c r="N816" t="s">
        <v>905</v>
      </c>
      <c r="O816" t="s">
        <v>170</v>
      </c>
      <c r="P816" t="s">
        <v>12</v>
      </c>
      <c r="Q816" t="s">
        <v>13</v>
      </c>
      <c r="R816" t="s">
        <v>3902</v>
      </c>
      <c r="S816" t="s">
        <v>1530</v>
      </c>
      <c r="T816" t="s">
        <v>3818</v>
      </c>
      <c r="U816" t="s">
        <v>1670</v>
      </c>
      <c r="V816" t="s">
        <v>1741</v>
      </c>
      <c r="W816" t="s">
        <v>1742</v>
      </c>
      <c r="X816" t="s">
        <v>1739</v>
      </c>
    </row>
    <row r="817" spans="1:24" x14ac:dyDescent="0.3">
      <c r="A817" t="s">
        <v>2624</v>
      </c>
      <c r="B817" s="2">
        <v>45398</v>
      </c>
      <c r="C817" t="s">
        <v>241</v>
      </c>
      <c r="D817" t="s">
        <v>1534</v>
      </c>
      <c r="E817" t="s">
        <v>1769</v>
      </c>
      <c r="F817" s="4">
        <v>4</v>
      </c>
      <c r="G817">
        <v>348.91</v>
      </c>
      <c r="H817">
        <v>0.18</v>
      </c>
      <c r="I817" t="s">
        <v>1809</v>
      </c>
      <c r="J817">
        <v>1144.4248</v>
      </c>
      <c r="K817" t="s">
        <v>242</v>
      </c>
      <c r="L817">
        <v>58</v>
      </c>
      <c r="M817" t="s">
        <v>9</v>
      </c>
      <c r="N817" t="s">
        <v>243</v>
      </c>
      <c r="O817" t="s">
        <v>47</v>
      </c>
      <c r="P817" t="s">
        <v>12</v>
      </c>
      <c r="Q817" t="s">
        <v>31</v>
      </c>
      <c r="R817" t="s">
        <v>3856</v>
      </c>
      <c r="S817" t="s">
        <v>1527</v>
      </c>
      <c r="T817" t="s">
        <v>3836</v>
      </c>
      <c r="U817" t="s">
        <v>1590</v>
      </c>
      <c r="V817" t="s">
        <v>1770</v>
      </c>
      <c r="W817" t="s">
        <v>1746</v>
      </c>
      <c r="X817" t="s">
        <v>1739</v>
      </c>
    </row>
    <row r="818" spans="1:24" x14ac:dyDescent="0.3">
      <c r="A818" t="s">
        <v>2625</v>
      </c>
      <c r="B818" s="2">
        <v>45390</v>
      </c>
      <c r="C818" t="s">
        <v>382</v>
      </c>
      <c r="D818" t="s">
        <v>1719</v>
      </c>
      <c r="E818" t="s">
        <v>1790</v>
      </c>
      <c r="F818" s="4">
        <v>4</v>
      </c>
      <c r="G818">
        <v>212.96</v>
      </c>
      <c r="H818">
        <v>0.17</v>
      </c>
      <c r="I818" t="s">
        <v>1807</v>
      </c>
      <c r="J818">
        <v>707.02719999999999</v>
      </c>
      <c r="K818" t="s">
        <v>383</v>
      </c>
      <c r="L818">
        <v>18</v>
      </c>
      <c r="M818" t="s">
        <v>16</v>
      </c>
      <c r="N818" t="s">
        <v>384</v>
      </c>
      <c r="O818" t="s">
        <v>139</v>
      </c>
      <c r="P818" t="s">
        <v>12</v>
      </c>
      <c r="Q818" t="s">
        <v>13</v>
      </c>
      <c r="R818" t="s">
        <v>3927</v>
      </c>
      <c r="S818" t="s">
        <v>1541</v>
      </c>
      <c r="T818" t="s">
        <v>3822</v>
      </c>
      <c r="U818" t="s">
        <v>1720</v>
      </c>
      <c r="V818" t="s">
        <v>1741</v>
      </c>
      <c r="W818" t="s">
        <v>1742</v>
      </c>
      <c r="X818" t="s">
        <v>1739</v>
      </c>
    </row>
    <row r="819" spans="1:24" x14ac:dyDescent="0.3">
      <c r="A819" t="s">
        <v>2626</v>
      </c>
      <c r="B819" s="2">
        <v>45406</v>
      </c>
      <c r="C819" t="s">
        <v>619</v>
      </c>
      <c r="D819" t="s">
        <v>1585</v>
      </c>
      <c r="E819" t="s">
        <v>1796</v>
      </c>
      <c r="F819" s="4">
        <v>3</v>
      </c>
      <c r="G819">
        <v>871.34</v>
      </c>
      <c r="H819">
        <v>0.11</v>
      </c>
      <c r="I819" t="s">
        <v>1812</v>
      </c>
      <c r="J819">
        <v>2326.4778000000001</v>
      </c>
      <c r="K819" t="s">
        <v>620</v>
      </c>
      <c r="L819">
        <v>29</v>
      </c>
      <c r="M819" t="s">
        <v>16</v>
      </c>
      <c r="N819" t="s">
        <v>621</v>
      </c>
      <c r="O819" t="s">
        <v>58</v>
      </c>
      <c r="P819" t="s">
        <v>12</v>
      </c>
      <c r="Q819" t="s">
        <v>26</v>
      </c>
      <c r="R819" t="s">
        <v>3854</v>
      </c>
      <c r="S819" t="s">
        <v>1527</v>
      </c>
      <c r="T819" t="s">
        <v>3836</v>
      </c>
      <c r="U819" t="s">
        <v>1586</v>
      </c>
      <c r="V819" t="s">
        <v>1741</v>
      </c>
      <c r="W819" t="s">
        <v>1742</v>
      </c>
      <c r="X819" t="s">
        <v>1739</v>
      </c>
    </row>
    <row r="820" spans="1:24" x14ac:dyDescent="0.3">
      <c r="A820" t="s">
        <v>2627</v>
      </c>
      <c r="B820" s="2">
        <v>45844</v>
      </c>
      <c r="C820" t="s">
        <v>351</v>
      </c>
      <c r="D820" t="s">
        <v>1719</v>
      </c>
      <c r="E820" t="s">
        <v>1735</v>
      </c>
      <c r="F820" s="4">
        <v>2</v>
      </c>
      <c r="G820">
        <v>698.94</v>
      </c>
      <c r="H820">
        <v>0.06</v>
      </c>
      <c r="I820" t="s">
        <v>1807</v>
      </c>
      <c r="J820">
        <v>1314.0072</v>
      </c>
      <c r="K820" t="s">
        <v>352</v>
      </c>
      <c r="L820">
        <v>29</v>
      </c>
      <c r="M820" t="s">
        <v>9</v>
      </c>
      <c r="N820" t="s">
        <v>353</v>
      </c>
      <c r="O820" t="s">
        <v>354</v>
      </c>
      <c r="P820" t="s">
        <v>12</v>
      </c>
      <c r="Q820" t="s">
        <v>19</v>
      </c>
      <c r="R820" t="s">
        <v>3927</v>
      </c>
      <c r="S820" t="s">
        <v>1541</v>
      </c>
      <c r="T820" t="s">
        <v>3822</v>
      </c>
      <c r="U820" t="s">
        <v>1720</v>
      </c>
      <c r="V820" t="s">
        <v>1736</v>
      </c>
      <c r="W820" t="s">
        <v>1737</v>
      </c>
      <c r="X820" t="s">
        <v>1739</v>
      </c>
    </row>
    <row r="821" spans="1:24" x14ac:dyDescent="0.3">
      <c r="A821" t="s">
        <v>2628</v>
      </c>
      <c r="B821" s="2">
        <v>45697</v>
      </c>
      <c r="C821" t="s">
        <v>986</v>
      </c>
      <c r="D821" t="s">
        <v>1679</v>
      </c>
      <c r="E821" t="s">
        <v>1735</v>
      </c>
      <c r="F821" s="4">
        <v>1</v>
      </c>
      <c r="G821">
        <v>719.94</v>
      </c>
      <c r="H821">
        <v>0.23</v>
      </c>
      <c r="I821" t="s">
        <v>1812</v>
      </c>
      <c r="J821">
        <v>554.35380000000009</v>
      </c>
      <c r="K821" t="s">
        <v>987</v>
      </c>
      <c r="L821">
        <v>64</v>
      </c>
      <c r="M821" t="s">
        <v>16</v>
      </c>
      <c r="N821" t="s">
        <v>988</v>
      </c>
      <c r="O821" t="s">
        <v>139</v>
      </c>
      <c r="P821" t="s">
        <v>12</v>
      </c>
      <c r="Q821" t="s">
        <v>13</v>
      </c>
      <c r="R821" t="s">
        <v>3907</v>
      </c>
      <c r="S821" t="s">
        <v>1546</v>
      </c>
      <c r="T821" t="s">
        <v>3826</v>
      </c>
      <c r="U821" t="s">
        <v>1680</v>
      </c>
      <c r="V821" t="s">
        <v>1736</v>
      </c>
      <c r="W821" t="s">
        <v>1737</v>
      </c>
      <c r="X821" t="s">
        <v>1739</v>
      </c>
    </row>
    <row r="822" spans="1:24" x14ac:dyDescent="0.3">
      <c r="A822" t="s">
        <v>2629</v>
      </c>
      <c r="B822" s="2">
        <v>45607</v>
      </c>
      <c r="C822" t="s">
        <v>36</v>
      </c>
      <c r="D822" t="s">
        <v>1587</v>
      </c>
      <c r="E822" t="s">
        <v>1752</v>
      </c>
      <c r="F822" s="4">
        <v>2</v>
      </c>
      <c r="G822">
        <v>278.16000000000003</v>
      </c>
      <c r="H822">
        <v>0.22</v>
      </c>
      <c r="I822" t="s">
        <v>1809</v>
      </c>
      <c r="J822">
        <v>433.92960000000011</v>
      </c>
      <c r="K822" t="s">
        <v>37</v>
      </c>
      <c r="L822">
        <v>29</v>
      </c>
      <c r="M822" t="s">
        <v>16</v>
      </c>
      <c r="N822" t="s">
        <v>38</v>
      </c>
      <c r="O822" t="s">
        <v>39</v>
      </c>
      <c r="P822" t="s">
        <v>12</v>
      </c>
      <c r="Q822" t="s">
        <v>19</v>
      </c>
      <c r="R822" t="s">
        <v>3855</v>
      </c>
      <c r="S822" t="s">
        <v>1549</v>
      </c>
      <c r="T822" t="s">
        <v>3820</v>
      </c>
      <c r="U822" t="s">
        <v>1588</v>
      </c>
      <c r="V822" t="s">
        <v>1753</v>
      </c>
      <c r="W822" t="s">
        <v>1746</v>
      </c>
      <c r="X822" t="s">
        <v>1755</v>
      </c>
    </row>
    <row r="823" spans="1:24" x14ac:dyDescent="0.3">
      <c r="A823" t="s">
        <v>2630</v>
      </c>
      <c r="B823" s="2">
        <v>45307</v>
      </c>
      <c r="C823" t="s">
        <v>199</v>
      </c>
      <c r="D823" t="s">
        <v>1629</v>
      </c>
      <c r="E823" t="s">
        <v>1756</v>
      </c>
      <c r="F823" s="4">
        <v>1</v>
      </c>
      <c r="G823">
        <v>678.9</v>
      </c>
      <c r="H823">
        <v>0.17</v>
      </c>
      <c r="I823" t="s">
        <v>1807</v>
      </c>
      <c r="J823">
        <v>563.48699999999997</v>
      </c>
      <c r="K823" t="s">
        <v>200</v>
      </c>
      <c r="L823">
        <v>24</v>
      </c>
      <c r="M823" t="s">
        <v>9</v>
      </c>
      <c r="N823" t="s">
        <v>201</v>
      </c>
      <c r="O823" t="s">
        <v>155</v>
      </c>
      <c r="P823" t="s">
        <v>12</v>
      </c>
      <c r="Q823" t="s">
        <v>13</v>
      </c>
      <c r="R823" t="s">
        <v>3880</v>
      </c>
      <c r="S823" t="s">
        <v>1541</v>
      </c>
      <c r="T823" t="s">
        <v>3881</v>
      </c>
      <c r="U823" t="s">
        <v>1630</v>
      </c>
      <c r="V823" t="s">
        <v>1757</v>
      </c>
      <c r="W823" t="s">
        <v>1742</v>
      </c>
      <c r="X823" t="s">
        <v>1748</v>
      </c>
    </row>
    <row r="824" spans="1:24" x14ac:dyDescent="0.3">
      <c r="A824" t="s">
        <v>2631</v>
      </c>
      <c r="B824" s="2">
        <v>45520</v>
      </c>
      <c r="C824" t="s">
        <v>71</v>
      </c>
      <c r="D824" t="s">
        <v>1581</v>
      </c>
      <c r="E824" t="s">
        <v>1784</v>
      </c>
      <c r="F824" s="4">
        <v>4</v>
      </c>
      <c r="G824">
        <v>94.13</v>
      </c>
      <c r="H824">
        <v>0.15</v>
      </c>
      <c r="I824" t="s">
        <v>1807</v>
      </c>
      <c r="J824">
        <v>320.04199999999997</v>
      </c>
      <c r="K824" t="s">
        <v>72</v>
      </c>
      <c r="L824">
        <v>24</v>
      </c>
      <c r="M824" t="s">
        <v>16</v>
      </c>
      <c r="N824" t="s">
        <v>73</v>
      </c>
      <c r="O824" t="s">
        <v>74</v>
      </c>
      <c r="P824" t="s">
        <v>12</v>
      </c>
      <c r="Q824" t="s">
        <v>19</v>
      </c>
      <c r="R824" t="s">
        <v>3852</v>
      </c>
      <c r="S824" t="s">
        <v>1530</v>
      </c>
      <c r="T824" t="s">
        <v>3820</v>
      </c>
      <c r="U824" t="s">
        <v>1582</v>
      </c>
      <c r="V824" t="s">
        <v>1741</v>
      </c>
      <c r="W824" t="s">
        <v>1742</v>
      </c>
      <c r="X824" t="s">
        <v>1739</v>
      </c>
    </row>
    <row r="825" spans="1:24" x14ac:dyDescent="0.3">
      <c r="A825" t="s">
        <v>2632</v>
      </c>
      <c r="B825" s="2">
        <v>45933</v>
      </c>
      <c r="C825" t="s">
        <v>1349</v>
      </c>
      <c r="D825" t="s">
        <v>1619</v>
      </c>
      <c r="E825" t="s">
        <v>1740</v>
      </c>
      <c r="F825" s="4">
        <v>4</v>
      </c>
      <c r="G825">
        <v>415.02</v>
      </c>
      <c r="H825">
        <v>0.01</v>
      </c>
      <c r="I825" t="s">
        <v>1809</v>
      </c>
      <c r="J825">
        <v>1643.4792</v>
      </c>
      <c r="K825" t="s">
        <v>1350</v>
      </c>
      <c r="L825">
        <v>42</v>
      </c>
      <c r="M825" t="s">
        <v>16</v>
      </c>
      <c r="N825" t="s">
        <v>1351</v>
      </c>
      <c r="O825" t="s">
        <v>319</v>
      </c>
      <c r="P825" t="s">
        <v>12</v>
      </c>
      <c r="Q825" t="s">
        <v>31</v>
      </c>
      <c r="R825" t="s">
        <v>3874</v>
      </c>
      <c r="S825" t="s">
        <v>1549</v>
      </c>
      <c r="T825" t="s">
        <v>3828</v>
      </c>
      <c r="U825" t="s">
        <v>1620</v>
      </c>
      <c r="V825" t="s">
        <v>1741</v>
      </c>
      <c r="W825" t="s">
        <v>1742</v>
      </c>
      <c r="X825" t="s">
        <v>1739</v>
      </c>
    </row>
    <row r="826" spans="1:24" x14ac:dyDescent="0.3">
      <c r="A826" t="s">
        <v>2633</v>
      </c>
      <c r="B826" s="2">
        <v>45841</v>
      </c>
      <c r="C826" t="s">
        <v>192</v>
      </c>
      <c r="D826" t="s">
        <v>1553</v>
      </c>
      <c r="E826" t="s">
        <v>1752</v>
      </c>
      <c r="F826" s="4">
        <v>4</v>
      </c>
      <c r="G826">
        <v>780.07</v>
      </c>
      <c r="H826">
        <v>0.03</v>
      </c>
      <c r="I826" t="s">
        <v>1807</v>
      </c>
      <c r="J826">
        <v>3026.6716000000001</v>
      </c>
      <c r="K826" t="s">
        <v>193</v>
      </c>
      <c r="L826">
        <v>55</v>
      </c>
      <c r="M826" t="s">
        <v>9</v>
      </c>
      <c r="N826" t="s">
        <v>194</v>
      </c>
      <c r="O826" t="s">
        <v>43</v>
      </c>
      <c r="P826" t="s">
        <v>12</v>
      </c>
      <c r="Q826" t="s">
        <v>13</v>
      </c>
      <c r="R826" t="s">
        <v>3831</v>
      </c>
      <c r="S826" t="s">
        <v>1546</v>
      </c>
      <c r="T826" t="s">
        <v>3820</v>
      </c>
      <c r="U826" t="s">
        <v>1554</v>
      </c>
      <c r="V826" t="s">
        <v>1753</v>
      </c>
      <c r="W826" t="s">
        <v>1746</v>
      </c>
      <c r="X826" t="s">
        <v>1755</v>
      </c>
    </row>
    <row r="827" spans="1:24" x14ac:dyDescent="0.3">
      <c r="A827" t="s">
        <v>2634</v>
      </c>
      <c r="B827" s="2">
        <v>45877</v>
      </c>
      <c r="C827" t="s">
        <v>1312</v>
      </c>
      <c r="D827" t="s">
        <v>1605</v>
      </c>
      <c r="E827" t="s">
        <v>1784</v>
      </c>
      <c r="F827" s="4">
        <v>4</v>
      </c>
      <c r="G827">
        <v>184.57</v>
      </c>
      <c r="H827">
        <v>0.28000000000000003</v>
      </c>
      <c r="I827" t="s">
        <v>1807</v>
      </c>
      <c r="J827">
        <v>531.5616</v>
      </c>
      <c r="K827" t="s">
        <v>1313</v>
      </c>
      <c r="L827">
        <v>43</v>
      </c>
      <c r="M827" t="s">
        <v>9</v>
      </c>
      <c r="N827" t="s">
        <v>1314</v>
      </c>
      <c r="O827" t="s">
        <v>323</v>
      </c>
      <c r="P827" t="s">
        <v>12</v>
      </c>
      <c r="Q827" t="s">
        <v>26</v>
      </c>
      <c r="R827" t="s">
        <v>3865</v>
      </c>
      <c r="S827" t="s">
        <v>1530</v>
      </c>
      <c r="T827" t="s">
        <v>3866</v>
      </c>
      <c r="U827" t="s">
        <v>1606</v>
      </c>
      <c r="V827" t="s">
        <v>1741</v>
      </c>
      <c r="W827" t="s">
        <v>1742</v>
      </c>
      <c r="X827" t="s">
        <v>1739</v>
      </c>
    </row>
    <row r="828" spans="1:24" x14ac:dyDescent="0.3">
      <c r="A828" t="s">
        <v>2635</v>
      </c>
      <c r="B828" s="2">
        <v>45532</v>
      </c>
      <c r="C828" t="s">
        <v>903</v>
      </c>
      <c r="D828" t="s">
        <v>1661</v>
      </c>
      <c r="E828" t="s">
        <v>1752</v>
      </c>
      <c r="F828" s="4">
        <v>4</v>
      </c>
      <c r="G828">
        <v>277.58</v>
      </c>
      <c r="H828">
        <v>0.22</v>
      </c>
      <c r="I828" t="s">
        <v>1809</v>
      </c>
      <c r="J828">
        <v>866.04959999999994</v>
      </c>
      <c r="K828" t="s">
        <v>904</v>
      </c>
      <c r="L828">
        <v>58</v>
      </c>
      <c r="M828" t="s">
        <v>9</v>
      </c>
      <c r="N828" t="s">
        <v>905</v>
      </c>
      <c r="O828" t="s">
        <v>170</v>
      </c>
      <c r="P828" t="s">
        <v>12</v>
      </c>
      <c r="Q828" t="s">
        <v>13</v>
      </c>
      <c r="R828" t="s">
        <v>3897</v>
      </c>
      <c r="S828" t="s">
        <v>1549</v>
      </c>
      <c r="T828" t="s">
        <v>3828</v>
      </c>
      <c r="U828" t="s">
        <v>1662</v>
      </c>
      <c r="V828" t="s">
        <v>1753</v>
      </c>
      <c r="W828" t="s">
        <v>1746</v>
      </c>
      <c r="X828" t="s">
        <v>1755</v>
      </c>
    </row>
    <row r="829" spans="1:24" x14ac:dyDescent="0.3">
      <c r="A829" t="s">
        <v>2636</v>
      </c>
      <c r="B829" s="2">
        <v>45734</v>
      </c>
      <c r="C829" t="s">
        <v>364</v>
      </c>
      <c r="D829" t="s">
        <v>1593</v>
      </c>
      <c r="E829" t="s">
        <v>1749</v>
      </c>
      <c r="F829" s="4">
        <v>1</v>
      </c>
      <c r="G829">
        <v>36.799999999999997</v>
      </c>
      <c r="H829">
        <v>0.18</v>
      </c>
      <c r="I829" t="s">
        <v>1807</v>
      </c>
      <c r="J829">
        <v>30.175999999999998</v>
      </c>
      <c r="K829" t="s">
        <v>365</v>
      </c>
      <c r="L829">
        <v>50</v>
      </c>
      <c r="M829" t="s">
        <v>16</v>
      </c>
      <c r="N829" t="s">
        <v>366</v>
      </c>
      <c r="O829" t="s">
        <v>81</v>
      </c>
      <c r="P829" t="s">
        <v>12</v>
      </c>
      <c r="Q829" t="s">
        <v>31</v>
      </c>
      <c r="R829" t="s">
        <v>3858</v>
      </c>
      <c r="S829" t="s">
        <v>1549</v>
      </c>
      <c r="T829" t="s">
        <v>3859</v>
      </c>
      <c r="U829" t="s">
        <v>1594</v>
      </c>
      <c r="V829" t="s">
        <v>1750</v>
      </c>
      <c r="W829" t="s">
        <v>1742</v>
      </c>
      <c r="X829" t="s">
        <v>1748</v>
      </c>
    </row>
    <row r="830" spans="1:24" x14ac:dyDescent="0.3">
      <c r="A830" t="s">
        <v>2637</v>
      </c>
      <c r="B830" s="2">
        <v>45809</v>
      </c>
      <c r="C830" t="s">
        <v>1103</v>
      </c>
      <c r="D830" t="s">
        <v>1707</v>
      </c>
      <c r="E830" t="s">
        <v>1759</v>
      </c>
      <c r="F830" s="4">
        <v>1</v>
      </c>
      <c r="G830">
        <v>539.37</v>
      </c>
      <c r="H830">
        <v>0.14000000000000001</v>
      </c>
      <c r="I830" t="s">
        <v>1807</v>
      </c>
      <c r="J830">
        <v>463.85820000000001</v>
      </c>
      <c r="K830" t="s">
        <v>1104</v>
      </c>
      <c r="L830">
        <v>41</v>
      </c>
      <c r="M830" t="s">
        <v>9</v>
      </c>
      <c r="N830" t="s">
        <v>1105</v>
      </c>
      <c r="O830" t="s">
        <v>284</v>
      </c>
      <c r="P830" t="s">
        <v>12</v>
      </c>
      <c r="Q830" t="s">
        <v>26</v>
      </c>
      <c r="R830" t="s">
        <v>3921</v>
      </c>
      <c r="S830" t="s">
        <v>1549</v>
      </c>
      <c r="T830" t="s">
        <v>3820</v>
      </c>
      <c r="U830" t="s">
        <v>1708</v>
      </c>
      <c r="V830" t="s">
        <v>1760</v>
      </c>
      <c r="W830" t="s">
        <v>1737</v>
      </c>
      <c r="X830" t="s">
        <v>1755</v>
      </c>
    </row>
    <row r="831" spans="1:24" x14ac:dyDescent="0.3">
      <c r="A831" t="s">
        <v>2638</v>
      </c>
      <c r="B831" s="2">
        <v>45760</v>
      </c>
      <c r="C831" t="s">
        <v>316</v>
      </c>
      <c r="D831" t="s">
        <v>1571</v>
      </c>
      <c r="E831" t="s">
        <v>1793</v>
      </c>
      <c r="F831" s="4">
        <v>1</v>
      </c>
      <c r="G831">
        <v>27.83</v>
      </c>
      <c r="H831">
        <v>0.3</v>
      </c>
      <c r="I831" t="s">
        <v>1809</v>
      </c>
      <c r="J831">
        <v>19.481000000000002</v>
      </c>
      <c r="K831" t="s">
        <v>317</v>
      </c>
      <c r="L831">
        <v>58</v>
      </c>
      <c r="M831" t="s">
        <v>16</v>
      </c>
      <c r="N831" t="s">
        <v>318</v>
      </c>
      <c r="O831" t="s">
        <v>319</v>
      </c>
      <c r="P831" t="s">
        <v>12</v>
      </c>
      <c r="Q831" t="s">
        <v>19</v>
      </c>
      <c r="R831" t="s">
        <v>3845</v>
      </c>
      <c r="S831" t="s">
        <v>1549</v>
      </c>
      <c r="T831" t="s">
        <v>3820</v>
      </c>
      <c r="U831" t="s">
        <v>1572</v>
      </c>
      <c r="V831" t="s">
        <v>1741</v>
      </c>
      <c r="W831" t="s">
        <v>1742</v>
      </c>
      <c r="X831" t="s">
        <v>1739</v>
      </c>
    </row>
    <row r="832" spans="1:24" x14ac:dyDescent="0.3">
      <c r="A832" t="s">
        <v>2639</v>
      </c>
      <c r="B832" s="2">
        <v>45456</v>
      </c>
      <c r="C832" t="s">
        <v>891</v>
      </c>
      <c r="D832" t="s">
        <v>1671</v>
      </c>
      <c r="E832" t="s">
        <v>1752</v>
      </c>
      <c r="F832" s="4">
        <v>3</v>
      </c>
      <c r="G832">
        <v>698.72</v>
      </c>
      <c r="H832">
        <v>0.28000000000000003</v>
      </c>
      <c r="I832" t="s">
        <v>1812</v>
      </c>
      <c r="J832">
        <v>1509.2352000000001</v>
      </c>
      <c r="K832" t="s">
        <v>892</v>
      </c>
      <c r="L832">
        <v>54</v>
      </c>
      <c r="M832" t="s">
        <v>9</v>
      </c>
      <c r="N832" t="s">
        <v>893</v>
      </c>
      <c r="O832" t="s">
        <v>838</v>
      </c>
      <c r="P832" t="s">
        <v>12</v>
      </c>
      <c r="Q832" t="s">
        <v>31</v>
      </c>
      <c r="R832" t="s">
        <v>3903</v>
      </c>
      <c r="S832" t="s">
        <v>1527</v>
      </c>
      <c r="T832" t="s">
        <v>3847</v>
      </c>
      <c r="U832" t="s">
        <v>1672</v>
      </c>
      <c r="V832" t="s">
        <v>1753</v>
      </c>
      <c r="W832" t="s">
        <v>1746</v>
      </c>
      <c r="X832" t="s">
        <v>1755</v>
      </c>
    </row>
    <row r="833" spans="1:24" x14ac:dyDescent="0.3">
      <c r="A833" t="s">
        <v>2640</v>
      </c>
      <c r="B833" s="2">
        <v>45698</v>
      </c>
      <c r="C833" t="s">
        <v>59</v>
      </c>
      <c r="D833" t="s">
        <v>1683</v>
      </c>
      <c r="E833" t="s">
        <v>1780</v>
      </c>
      <c r="F833" s="4">
        <v>4</v>
      </c>
      <c r="G833">
        <v>528.23</v>
      </c>
      <c r="H833">
        <v>0.15</v>
      </c>
      <c r="I833" t="s">
        <v>1812</v>
      </c>
      <c r="J833">
        <v>1795.982</v>
      </c>
      <c r="K833" t="s">
        <v>60</v>
      </c>
      <c r="L833">
        <v>32</v>
      </c>
      <c r="M833" t="s">
        <v>16</v>
      </c>
      <c r="N833" t="s">
        <v>61</v>
      </c>
      <c r="O833" t="s">
        <v>62</v>
      </c>
      <c r="P833" t="s">
        <v>12</v>
      </c>
      <c r="Q833" t="s">
        <v>19</v>
      </c>
      <c r="R833" t="s">
        <v>3909</v>
      </c>
      <c r="S833" t="s">
        <v>1546</v>
      </c>
      <c r="T833" t="s">
        <v>3811</v>
      </c>
      <c r="U833" t="s">
        <v>1684</v>
      </c>
      <c r="V833" t="s">
        <v>1741</v>
      </c>
      <c r="W833" t="s">
        <v>1742</v>
      </c>
      <c r="X833" t="s">
        <v>1739</v>
      </c>
    </row>
    <row r="834" spans="1:24" x14ac:dyDescent="0.3">
      <c r="A834" t="s">
        <v>2641</v>
      </c>
      <c r="B834" s="2">
        <v>45548</v>
      </c>
      <c r="C834" t="s">
        <v>1496</v>
      </c>
      <c r="D834" t="s">
        <v>1623</v>
      </c>
      <c r="E834" t="s">
        <v>1787</v>
      </c>
      <c r="F834" s="4">
        <v>2</v>
      </c>
      <c r="G834">
        <v>780.9</v>
      </c>
      <c r="H834">
        <v>0.24</v>
      </c>
      <c r="I834" t="s">
        <v>1809</v>
      </c>
      <c r="J834">
        <v>1186.9680000000001</v>
      </c>
      <c r="K834" t="s">
        <v>1497</v>
      </c>
      <c r="L834">
        <v>28</v>
      </c>
      <c r="M834" t="s">
        <v>9</v>
      </c>
      <c r="N834" t="s">
        <v>1498</v>
      </c>
      <c r="O834" t="s">
        <v>247</v>
      </c>
      <c r="P834" t="s">
        <v>12</v>
      </c>
      <c r="Q834" t="s">
        <v>19</v>
      </c>
      <c r="R834" t="s">
        <v>3876</v>
      </c>
      <c r="S834" t="s">
        <v>1530</v>
      </c>
      <c r="T834" t="s">
        <v>3815</v>
      </c>
      <c r="U834" t="s">
        <v>1624</v>
      </c>
      <c r="V834" t="s">
        <v>1741</v>
      </c>
      <c r="W834" t="s">
        <v>1742</v>
      </c>
      <c r="X834" t="s">
        <v>1739</v>
      </c>
    </row>
    <row r="835" spans="1:24" x14ac:dyDescent="0.3">
      <c r="A835" t="s">
        <v>2642</v>
      </c>
      <c r="B835" s="2">
        <v>45236</v>
      </c>
      <c r="C835" t="s">
        <v>589</v>
      </c>
      <c r="D835" t="s">
        <v>1573</v>
      </c>
      <c r="E835" t="s">
        <v>1782</v>
      </c>
      <c r="F835" s="4">
        <v>1</v>
      </c>
      <c r="G835">
        <v>977.97</v>
      </c>
      <c r="H835">
        <v>0.06</v>
      </c>
      <c r="I835" t="s">
        <v>1812</v>
      </c>
      <c r="J835">
        <v>919.29179999999997</v>
      </c>
      <c r="K835" t="s">
        <v>590</v>
      </c>
      <c r="L835">
        <v>60</v>
      </c>
      <c r="M835" t="s">
        <v>9</v>
      </c>
      <c r="N835" t="s">
        <v>591</v>
      </c>
      <c r="O835" t="s">
        <v>429</v>
      </c>
      <c r="P835" t="s">
        <v>12</v>
      </c>
      <c r="Q835" t="s">
        <v>26</v>
      </c>
      <c r="R835" t="s">
        <v>3846</v>
      </c>
      <c r="S835" t="s">
        <v>1527</v>
      </c>
      <c r="T835" t="s">
        <v>3847</v>
      </c>
      <c r="U835" t="s">
        <v>1574</v>
      </c>
      <c r="V835" t="s">
        <v>1741</v>
      </c>
      <c r="W835" t="s">
        <v>1742</v>
      </c>
      <c r="X835" t="s">
        <v>1739</v>
      </c>
    </row>
    <row r="836" spans="1:24" x14ac:dyDescent="0.3">
      <c r="A836" t="s">
        <v>2643</v>
      </c>
      <c r="B836" s="2">
        <v>45310</v>
      </c>
      <c r="C836" t="s">
        <v>1141</v>
      </c>
      <c r="D836" t="s">
        <v>1697</v>
      </c>
      <c r="E836" t="s">
        <v>1777</v>
      </c>
      <c r="F836" s="4">
        <v>4</v>
      </c>
      <c r="G836">
        <v>354.65</v>
      </c>
      <c r="H836">
        <v>0.19</v>
      </c>
      <c r="I836" t="s">
        <v>1807</v>
      </c>
      <c r="J836">
        <v>1149.066</v>
      </c>
      <c r="K836" t="s">
        <v>1142</v>
      </c>
      <c r="L836">
        <v>45</v>
      </c>
      <c r="M836" t="s">
        <v>9</v>
      </c>
      <c r="N836" t="s">
        <v>1143</v>
      </c>
      <c r="O836" t="s">
        <v>170</v>
      </c>
      <c r="P836" t="s">
        <v>12</v>
      </c>
      <c r="Q836" t="s">
        <v>19</v>
      </c>
      <c r="R836" t="s">
        <v>3916</v>
      </c>
      <c r="S836" t="s">
        <v>1541</v>
      </c>
      <c r="T836" t="s">
        <v>3822</v>
      </c>
      <c r="U836" t="s">
        <v>1698</v>
      </c>
      <c r="V836" t="s">
        <v>1741</v>
      </c>
      <c r="W836" t="s">
        <v>1742</v>
      </c>
      <c r="X836" t="s">
        <v>1739</v>
      </c>
    </row>
    <row r="837" spans="1:24" x14ac:dyDescent="0.3">
      <c r="A837" t="s">
        <v>2644</v>
      </c>
      <c r="B837" s="2">
        <v>45376</v>
      </c>
      <c r="C837" t="s">
        <v>891</v>
      </c>
      <c r="D837" t="s">
        <v>1667</v>
      </c>
      <c r="E837" t="s">
        <v>1796</v>
      </c>
      <c r="F837" s="4">
        <v>1</v>
      </c>
      <c r="G837">
        <v>671.62</v>
      </c>
      <c r="H837">
        <v>0.09</v>
      </c>
      <c r="I837" t="s">
        <v>1812</v>
      </c>
      <c r="J837">
        <v>611.17420000000004</v>
      </c>
      <c r="K837" t="s">
        <v>892</v>
      </c>
      <c r="L837">
        <v>54</v>
      </c>
      <c r="M837" t="s">
        <v>9</v>
      </c>
      <c r="N837" t="s">
        <v>893</v>
      </c>
      <c r="O837" t="s">
        <v>838</v>
      </c>
      <c r="P837" t="s">
        <v>12</v>
      </c>
      <c r="Q837" t="s">
        <v>31</v>
      </c>
      <c r="R837" t="s">
        <v>3900</v>
      </c>
      <c r="S837" t="s">
        <v>1527</v>
      </c>
      <c r="T837" t="s">
        <v>3901</v>
      </c>
      <c r="U837" t="s">
        <v>1668</v>
      </c>
      <c r="V837" t="s">
        <v>1741</v>
      </c>
      <c r="W837" t="s">
        <v>1742</v>
      </c>
      <c r="X837" t="s">
        <v>1739</v>
      </c>
    </row>
    <row r="838" spans="1:24" x14ac:dyDescent="0.3">
      <c r="A838" t="s">
        <v>2645</v>
      </c>
      <c r="B838" s="2">
        <v>45914</v>
      </c>
      <c r="C838" t="s">
        <v>989</v>
      </c>
      <c r="D838" t="s">
        <v>1695</v>
      </c>
      <c r="E838" t="s">
        <v>1749</v>
      </c>
      <c r="F838" s="4">
        <v>1</v>
      </c>
      <c r="G838">
        <v>867.32</v>
      </c>
      <c r="H838">
        <v>0.28999999999999998</v>
      </c>
      <c r="I838" t="s">
        <v>1809</v>
      </c>
      <c r="J838">
        <v>615.79719999999998</v>
      </c>
      <c r="K838" t="s">
        <v>990</v>
      </c>
      <c r="L838">
        <v>25</v>
      </c>
      <c r="M838" t="s">
        <v>9</v>
      </c>
      <c r="N838" t="s">
        <v>991</v>
      </c>
      <c r="O838" t="s">
        <v>47</v>
      </c>
      <c r="P838" t="s">
        <v>12</v>
      </c>
      <c r="Q838" t="s">
        <v>13</v>
      </c>
      <c r="R838" t="s">
        <v>3915</v>
      </c>
      <c r="S838" t="s">
        <v>1549</v>
      </c>
      <c r="T838" t="s">
        <v>3828</v>
      </c>
      <c r="U838" t="s">
        <v>1696</v>
      </c>
      <c r="V838" t="s">
        <v>1750</v>
      </c>
      <c r="W838" t="s">
        <v>1742</v>
      </c>
      <c r="X838" t="s">
        <v>1748</v>
      </c>
    </row>
    <row r="839" spans="1:24" x14ac:dyDescent="0.3">
      <c r="A839" t="s">
        <v>2646</v>
      </c>
      <c r="B839" s="2">
        <v>45336</v>
      </c>
      <c r="C839" t="s">
        <v>292</v>
      </c>
      <c r="D839" t="s">
        <v>1551</v>
      </c>
      <c r="E839" t="s">
        <v>1777</v>
      </c>
      <c r="F839" s="4">
        <v>3</v>
      </c>
      <c r="G839">
        <v>240.27</v>
      </c>
      <c r="H839">
        <v>0.15</v>
      </c>
      <c r="I839" t="s">
        <v>1809</v>
      </c>
      <c r="J839">
        <v>612.68850000000009</v>
      </c>
      <c r="K839" t="s">
        <v>293</v>
      </c>
      <c r="L839">
        <v>53</v>
      </c>
      <c r="M839" t="s">
        <v>9</v>
      </c>
      <c r="N839" t="s">
        <v>294</v>
      </c>
      <c r="O839" t="s">
        <v>133</v>
      </c>
      <c r="P839" t="s">
        <v>12</v>
      </c>
      <c r="Q839" t="s">
        <v>19</v>
      </c>
      <c r="R839" t="s">
        <v>3829</v>
      </c>
      <c r="S839" t="s">
        <v>1527</v>
      </c>
      <c r="T839" t="s">
        <v>3830</v>
      </c>
      <c r="U839" t="s">
        <v>1552</v>
      </c>
      <c r="V839" t="s">
        <v>1741</v>
      </c>
      <c r="W839" t="s">
        <v>1742</v>
      </c>
      <c r="X839" t="s">
        <v>1739</v>
      </c>
    </row>
    <row r="840" spans="1:24" x14ac:dyDescent="0.3">
      <c r="A840" t="s">
        <v>2647</v>
      </c>
      <c r="B840" s="2">
        <v>45728</v>
      </c>
      <c r="C840" t="s">
        <v>272</v>
      </c>
      <c r="D840" t="s">
        <v>1587</v>
      </c>
      <c r="E840" t="s">
        <v>1787</v>
      </c>
      <c r="F840" s="4">
        <v>2</v>
      </c>
      <c r="G840">
        <v>619.12</v>
      </c>
      <c r="H840">
        <v>0.28000000000000003</v>
      </c>
      <c r="I840" t="s">
        <v>1812</v>
      </c>
      <c r="J840">
        <v>891.53279999999995</v>
      </c>
      <c r="K840" t="s">
        <v>273</v>
      </c>
      <c r="L840">
        <v>37</v>
      </c>
      <c r="M840" t="s">
        <v>9</v>
      </c>
      <c r="N840" t="s">
        <v>274</v>
      </c>
      <c r="O840" t="s">
        <v>30</v>
      </c>
      <c r="P840" t="s">
        <v>12</v>
      </c>
      <c r="Q840" t="s">
        <v>13</v>
      </c>
      <c r="R840" t="s">
        <v>3855</v>
      </c>
      <c r="S840" t="s">
        <v>1549</v>
      </c>
      <c r="T840" t="s">
        <v>3820</v>
      </c>
      <c r="U840" t="s">
        <v>1588</v>
      </c>
      <c r="V840" t="s">
        <v>1741</v>
      </c>
      <c r="W840" t="s">
        <v>1742</v>
      </c>
      <c r="X840" t="s">
        <v>1739</v>
      </c>
    </row>
    <row r="841" spans="1:24" x14ac:dyDescent="0.3">
      <c r="A841" t="s">
        <v>2648</v>
      </c>
      <c r="B841" s="2">
        <v>45755</v>
      </c>
      <c r="C841" t="s">
        <v>687</v>
      </c>
      <c r="D841" t="s">
        <v>1705</v>
      </c>
      <c r="E841" t="s">
        <v>1735</v>
      </c>
      <c r="F841" s="4">
        <v>3</v>
      </c>
      <c r="G841">
        <v>693.42</v>
      </c>
      <c r="H841">
        <v>0.08</v>
      </c>
      <c r="I841" t="s">
        <v>1809</v>
      </c>
      <c r="J841">
        <v>1913.8391999999999</v>
      </c>
      <c r="K841" t="s">
        <v>688</v>
      </c>
      <c r="L841">
        <v>61</v>
      </c>
      <c r="M841" t="s">
        <v>9</v>
      </c>
      <c r="N841" t="s">
        <v>689</v>
      </c>
      <c r="O841" t="s">
        <v>18</v>
      </c>
      <c r="P841" t="s">
        <v>12</v>
      </c>
      <c r="Q841" t="s">
        <v>19</v>
      </c>
      <c r="R841" t="s">
        <v>3920</v>
      </c>
      <c r="S841" t="s">
        <v>1527</v>
      </c>
      <c r="T841" t="s">
        <v>3824</v>
      </c>
      <c r="U841" t="s">
        <v>1706</v>
      </c>
      <c r="V841" t="s">
        <v>1736</v>
      </c>
      <c r="W841" t="s">
        <v>1737</v>
      </c>
      <c r="X841" t="s">
        <v>1739</v>
      </c>
    </row>
    <row r="842" spans="1:24" x14ac:dyDescent="0.3">
      <c r="A842" t="s">
        <v>2649</v>
      </c>
      <c r="B842" s="2">
        <v>45695</v>
      </c>
      <c r="C842" t="s">
        <v>376</v>
      </c>
      <c r="D842" t="s">
        <v>1627</v>
      </c>
      <c r="E842" t="s">
        <v>1772</v>
      </c>
      <c r="F842" s="4">
        <v>4</v>
      </c>
      <c r="G842">
        <v>751.63</v>
      </c>
      <c r="H842">
        <v>0.28000000000000003</v>
      </c>
      <c r="I842" t="s">
        <v>1812</v>
      </c>
      <c r="J842">
        <v>2164.6943999999999</v>
      </c>
      <c r="K842" t="s">
        <v>377</v>
      </c>
      <c r="L842">
        <v>27</v>
      </c>
      <c r="M842" t="s">
        <v>9</v>
      </c>
      <c r="N842" t="s">
        <v>378</v>
      </c>
      <c r="O842" t="s">
        <v>47</v>
      </c>
      <c r="P842" t="s">
        <v>12</v>
      </c>
      <c r="Q842" t="s">
        <v>26</v>
      </c>
      <c r="R842" t="s">
        <v>3879</v>
      </c>
      <c r="S842" t="s">
        <v>1546</v>
      </c>
      <c r="T842" t="s">
        <v>3820</v>
      </c>
      <c r="U842" t="s">
        <v>1628</v>
      </c>
      <c r="V842" t="s">
        <v>1741</v>
      </c>
      <c r="W842" t="s">
        <v>1742</v>
      </c>
      <c r="X842" t="s">
        <v>1739</v>
      </c>
    </row>
    <row r="843" spans="1:24" x14ac:dyDescent="0.3">
      <c r="A843" t="s">
        <v>2650</v>
      </c>
      <c r="B843" s="2">
        <v>45380</v>
      </c>
      <c r="C843" t="s">
        <v>382</v>
      </c>
      <c r="D843" t="s">
        <v>1593</v>
      </c>
      <c r="E843" t="s">
        <v>1784</v>
      </c>
      <c r="F843" s="4">
        <v>3</v>
      </c>
      <c r="G843">
        <v>108.14</v>
      </c>
      <c r="H843">
        <v>0.19</v>
      </c>
      <c r="I843" t="s">
        <v>1812</v>
      </c>
      <c r="J843">
        <v>262.78019999999998</v>
      </c>
      <c r="K843" t="s">
        <v>383</v>
      </c>
      <c r="L843">
        <v>18</v>
      </c>
      <c r="M843" t="s">
        <v>16</v>
      </c>
      <c r="N843" t="s">
        <v>384</v>
      </c>
      <c r="O843" t="s">
        <v>139</v>
      </c>
      <c r="P843" t="s">
        <v>12</v>
      </c>
      <c r="Q843" t="s">
        <v>13</v>
      </c>
      <c r="R843" t="s">
        <v>3858</v>
      </c>
      <c r="S843" t="s">
        <v>1549</v>
      </c>
      <c r="T843" t="s">
        <v>3859</v>
      </c>
      <c r="U843" t="s">
        <v>1594</v>
      </c>
      <c r="V843" t="s">
        <v>1741</v>
      </c>
      <c r="W843" t="s">
        <v>1742</v>
      </c>
      <c r="X843" t="s">
        <v>1739</v>
      </c>
    </row>
    <row r="844" spans="1:24" x14ac:dyDescent="0.3">
      <c r="A844" t="s">
        <v>2651</v>
      </c>
      <c r="B844" s="2">
        <v>45446</v>
      </c>
      <c r="C844" t="s">
        <v>811</v>
      </c>
      <c r="D844" t="s">
        <v>1585</v>
      </c>
      <c r="E844" t="s">
        <v>1752</v>
      </c>
      <c r="F844" s="4">
        <v>1</v>
      </c>
      <c r="G844">
        <v>964.11</v>
      </c>
      <c r="H844">
        <v>0.17</v>
      </c>
      <c r="I844" t="s">
        <v>1812</v>
      </c>
      <c r="J844">
        <v>800.21129999999994</v>
      </c>
      <c r="K844" t="s">
        <v>812</v>
      </c>
      <c r="L844">
        <v>42</v>
      </c>
      <c r="M844" t="s">
        <v>9</v>
      </c>
      <c r="N844" t="s">
        <v>813</v>
      </c>
      <c r="O844" t="s">
        <v>288</v>
      </c>
      <c r="P844" t="s">
        <v>12</v>
      </c>
      <c r="Q844" t="s">
        <v>19</v>
      </c>
      <c r="R844" t="s">
        <v>3854</v>
      </c>
      <c r="S844" t="s">
        <v>1527</v>
      </c>
      <c r="T844" t="s">
        <v>3836</v>
      </c>
      <c r="U844" t="s">
        <v>1586</v>
      </c>
      <c r="V844" t="s">
        <v>1753</v>
      </c>
      <c r="W844" t="s">
        <v>1746</v>
      </c>
      <c r="X844" t="s">
        <v>1755</v>
      </c>
    </row>
    <row r="845" spans="1:24" x14ac:dyDescent="0.3">
      <c r="A845" t="s">
        <v>2652</v>
      </c>
      <c r="B845" s="2">
        <v>45525</v>
      </c>
      <c r="C845" t="s">
        <v>444</v>
      </c>
      <c r="D845" t="s">
        <v>1569</v>
      </c>
      <c r="E845" t="s">
        <v>1735</v>
      </c>
      <c r="F845" s="4">
        <v>1</v>
      </c>
      <c r="G845">
        <v>346.2</v>
      </c>
      <c r="H845">
        <v>0.28999999999999998</v>
      </c>
      <c r="I845" t="s">
        <v>1807</v>
      </c>
      <c r="J845">
        <v>245.80199999999999</v>
      </c>
      <c r="K845" t="s">
        <v>445</v>
      </c>
      <c r="L845">
        <v>57</v>
      </c>
      <c r="M845" t="s">
        <v>16</v>
      </c>
      <c r="N845" t="s">
        <v>446</v>
      </c>
      <c r="O845" t="s">
        <v>22</v>
      </c>
      <c r="P845" t="s">
        <v>12</v>
      </c>
      <c r="Q845" t="s">
        <v>26</v>
      </c>
      <c r="R845" t="s">
        <v>3843</v>
      </c>
      <c r="S845" t="s">
        <v>1549</v>
      </c>
      <c r="T845" t="s">
        <v>3844</v>
      </c>
      <c r="U845" t="s">
        <v>1570</v>
      </c>
      <c r="V845" t="s">
        <v>1736</v>
      </c>
      <c r="W845" t="s">
        <v>1737</v>
      </c>
      <c r="X845" t="s">
        <v>1739</v>
      </c>
    </row>
    <row r="846" spans="1:24" x14ac:dyDescent="0.3">
      <c r="A846" t="s">
        <v>2653</v>
      </c>
      <c r="B846" s="2">
        <v>45527</v>
      </c>
      <c r="C846" t="s">
        <v>1395</v>
      </c>
      <c r="D846" t="s">
        <v>1617</v>
      </c>
      <c r="E846" t="s">
        <v>1784</v>
      </c>
      <c r="F846" s="4">
        <v>3</v>
      </c>
      <c r="G846">
        <v>791.75</v>
      </c>
      <c r="H846">
        <v>0.28999999999999998</v>
      </c>
      <c r="I846" t="s">
        <v>1807</v>
      </c>
      <c r="J846">
        <v>1686.4275</v>
      </c>
      <c r="K846" t="s">
        <v>1396</v>
      </c>
      <c r="L846">
        <v>62</v>
      </c>
      <c r="M846" t="s">
        <v>16</v>
      </c>
      <c r="N846" t="s">
        <v>1397</v>
      </c>
      <c r="O846" t="s">
        <v>582</v>
      </c>
      <c r="P846" t="s">
        <v>12</v>
      </c>
      <c r="Q846" t="s">
        <v>19</v>
      </c>
      <c r="R846" t="s">
        <v>3873</v>
      </c>
      <c r="S846" t="s">
        <v>1546</v>
      </c>
      <c r="T846" t="s">
        <v>3811</v>
      </c>
      <c r="U846" t="s">
        <v>1618</v>
      </c>
      <c r="V846" t="s">
        <v>1741</v>
      </c>
      <c r="W846" t="s">
        <v>1742</v>
      </c>
      <c r="X846" t="s">
        <v>1739</v>
      </c>
    </row>
    <row r="847" spans="1:24" x14ac:dyDescent="0.3">
      <c r="A847" t="s">
        <v>2654</v>
      </c>
      <c r="B847" s="2">
        <v>45265</v>
      </c>
      <c r="C847" t="s">
        <v>995</v>
      </c>
      <c r="D847" t="s">
        <v>1609</v>
      </c>
      <c r="E847" t="s">
        <v>1780</v>
      </c>
      <c r="F847" s="4">
        <v>1</v>
      </c>
      <c r="G847">
        <v>529.84</v>
      </c>
      <c r="H847">
        <v>0.13</v>
      </c>
      <c r="I847" t="s">
        <v>1809</v>
      </c>
      <c r="J847">
        <v>460.96080000000001</v>
      </c>
      <c r="K847" t="s">
        <v>996</v>
      </c>
      <c r="L847">
        <v>34</v>
      </c>
      <c r="M847" t="s">
        <v>16</v>
      </c>
      <c r="N847" t="s">
        <v>997</v>
      </c>
      <c r="O847" t="s">
        <v>309</v>
      </c>
      <c r="P847" t="s">
        <v>12</v>
      </c>
      <c r="Q847" t="s">
        <v>19</v>
      </c>
      <c r="R847" t="s">
        <v>3868</v>
      </c>
      <c r="S847" t="s">
        <v>1546</v>
      </c>
      <c r="T847" t="s">
        <v>3869</v>
      </c>
      <c r="U847" t="s">
        <v>1610</v>
      </c>
      <c r="V847" t="s">
        <v>1741</v>
      </c>
      <c r="W847" t="s">
        <v>1742</v>
      </c>
      <c r="X847" t="s">
        <v>1739</v>
      </c>
    </row>
    <row r="848" spans="1:24" x14ac:dyDescent="0.3">
      <c r="A848" t="s">
        <v>2655</v>
      </c>
      <c r="B848" s="2">
        <v>45936</v>
      </c>
      <c r="C848" t="s">
        <v>1436</v>
      </c>
      <c r="D848" t="s">
        <v>1639</v>
      </c>
      <c r="E848" t="s">
        <v>1749</v>
      </c>
      <c r="F848" s="4">
        <v>3</v>
      </c>
      <c r="G848">
        <v>582.57000000000005</v>
      </c>
      <c r="H848">
        <v>0.11</v>
      </c>
      <c r="I848" t="s">
        <v>1809</v>
      </c>
      <c r="J848">
        <v>1555.4619</v>
      </c>
      <c r="K848" t="s">
        <v>1437</v>
      </c>
      <c r="L848">
        <v>42</v>
      </c>
      <c r="M848" t="s">
        <v>9</v>
      </c>
      <c r="N848" t="s">
        <v>1438</v>
      </c>
      <c r="O848" t="s">
        <v>66</v>
      </c>
      <c r="P848" t="s">
        <v>12</v>
      </c>
      <c r="Q848" t="s">
        <v>19</v>
      </c>
      <c r="R848" t="s">
        <v>3886</v>
      </c>
      <c r="S848" t="s">
        <v>1549</v>
      </c>
      <c r="T848" t="s">
        <v>3820</v>
      </c>
      <c r="U848" t="s">
        <v>1640</v>
      </c>
      <c r="V848" t="s">
        <v>1750</v>
      </c>
      <c r="W848" t="s">
        <v>1742</v>
      </c>
      <c r="X848" t="s">
        <v>1748</v>
      </c>
    </row>
    <row r="849" spans="1:24" x14ac:dyDescent="0.3">
      <c r="A849" t="s">
        <v>2656</v>
      </c>
      <c r="B849" s="2">
        <v>45242</v>
      </c>
      <c r="C849" t="s">
        <v>681</v>
      </c>
      <c r="D849" t="s">
        <v>1721</v>
      </c>
      <c r="E849" t="s">
        <v>1790</v>
      </c>
      <c r="F849" s="4">
        <v>1</v>
      </c>
      <c r="G849">
        <v>219.81</v>
      </c>
      <c r="H849">
        <v>0.22</v>
      </c>
      <c r="I849" t="s">
        <v>1812</v>
      </c>
      <c r="J849">
        <v>171.45179999999999</v>
      </c>
      <c r="K849" t="s">
        <v>682</v>
      </c>
      <c r="L849">
        <v>63</v>
      </c>
      <c r="M849" t="s">
        <v>16</v>
      </c>
      <c r="N849" t="s">
        <v>683</v>
      </c>
      <c r="O849" t="s">
        <v>92</v>
      </c>
      <c r="P849" t="s">
        <v>12</v>
      </c>
      <c r="Q849" t="s">
        <v>31</v>
      </c>
      <c r="R849" t="s">
        <v>3928</v>
      </c>
      <c r="S849" t="s">
        <v>1549</v>
      </c>
      <c r="T849" t="s">
        <v>3820</v>
      </c>
      <c r="U849" t="s">
        <v>1722</v>
      </c>
      <c r="V849" t="s">
        <v>1741</v>
      </c>
      <c r="W849" t="s">
        <v>1742</v>
      </c>
      <c r="X849" t="s">
        <v>1739</v>
      </c>
    </row>
    <row r="850" spans="1:24" x14ac:dyDescent="0.3">
      <c r="A850" t="s">
        <v>2657</v>
      </c>
      <c r="B850" s="2">
        <v>45437</v>
      </c>
      <c r="C850" t="s">
        <v>1510</v>
      </c>
      <c r="D850" t="s">
        <v>1671</v>
      </c>
      <c r="E850" t="s">
        <v>1793</v>
      </c>
      <c r="F850" s="4">
        <v>4</v>
      </c>
      <c r="G850">
        <v>883.31</v>
      </c>
      <c r="H850">
        <v>0.27</v>
      </c>
      <c r="I850" t="s">
        <v>1807</v>
      </c>
      <c r="J850">
        <v>2579.2651999999998</v>
      </c>
      <c r="K850" t="s">
        <v>1511</v>
      </c>
      <c r="L850">
        <v>35</v>
      </c>
      <c r="M850" t="s">
        <v>9</v>
      </c>
      <c r="N850" t="s">
        <v>1512</v>
      </c>
      <c r="O850" t="s">
        <v>58</v>
      </c>
      <c r="P850" t="s">
        <v>12</v>
      </c>
      <c r="Q850" t="s">
        <v>13</v>
      </c>
      <c r="R850" t="s">
        <v>3903</v>
      </c>
      <c r="S850" t="s">
        <v>1527</v>
      </c>
      <c r="T850" t="s">
        <v>3847</v>
      </c>
      <c r="U850" t="s">
        <v>1672</v>
      </c>
      <c r="V850" t="s">
        <v>1741</v>
      </c>
      <c r="W850" t="s">
        <v>1742</v>
      </c>
      <c r="X850" t="s">
        <v>1739</v>
      </c>
    </row>
    <row r="851" spans="1:24" x14ac:dyDescent="0.3">
      <c r="A851" t="s">
        <v>2658</v>
      </c>
      <c r="B851" s="2">
        <v>45627</v>
      </c>
      <c r="C851" t="s">
        <v>746</v>
      </c>
      <c r="D851" t="s">
        <v>1565</v>
      </c>
      <c r="E851" t="s">
        <v>1782</v>
      </c>
      <c r="F851" s="4">
        <v>4</v>
      </c>
      <c r="G851">
        <v>329.06</v>
      </c>
      <c r="H851">
        <v>0.04</v>
      </c>
      <c r="I851" t="s">
        <v>1812</v>
      </c>
      <c r="J851">
        <v>1263.5904</v>
      </c>
      <c r="K851" t="s">
        <v>747</v>
      </c>
      <c r="L851">
        <v>28</v>
      </c>
      <c r="M851" t="s">
        <v>16</v>
      </c>
      <c r="N851" t="s">
        <v>748</v>
      </c>
      <c r="O851" t="s">
        <v>62</v>
      </c>
      <c r="P851" t="s">
        <v>12</v>
      </c>
      <c r="Q851" t="s">
        <v>13</v>
      </c>
      <c r="R851" t="s">
        <v>3841</v>
      </c>
      <c r="S851" t="s">
        <v>1549</v>
      </c>
      <c r="T851" t="s">
        <v>3820</v>
      </c>
      <c r="U851" t="s">
        <v>1566</v>
      </c>
      <c r="V851" t="s">
        <v>1741</v>
      </c>
      <c r="W851" t="s">
        <v>1742</v>
      </c>
      <c r="X851" t="s">
        <v>1739</v>
      </c>
    </row>
    <row r="852" spans="1:24" x14ac:dyDescent="0.3">
      <c r="A852" t="s">
        <v>2659</v>
      </c>
      <c r="B852" s="2">
        <v>45678</v>
      </c>
      <c r="C852" t="s">
        <v>367</v>
      </c>
      <c r="D852" t="s">
        <v>1667</v>
      </c>
      <c r="E852" t="s">
        <v>1775</v>
      </c>
      <c r="F852" s="4">
        <v>1</v>
      </c>
      <c r="G852">
        <v>935.78</v>
      </c>
      <c r="H852">
        <v>0.03</v>
      </c>
      <c r="I852" t="s">
        <v>1809</v>
      </c>
      <c r="J852">
        <v>907.70659999999998</v>
      </c>
      <c r="K852" t="s">
        <v>368</v>
      </c>
      <c r="L852">
        <v>53</v>
      </c>
      <c r="M852" t="s">
        <v>16</v>
      </c>
      <c r="N852" t="s">
        <v>369</v>
      </c>
      <c r="O852" t="s">
        <v>247</v>
      </c>
      <c r="P852" t="s">
        <v>12</v>
      </c>
      <c r="Q852" t="s">
        <v>13</v>
      </c>
      <c r="R852" t="s">
        <v>3900</v>
      </c>
      <c r="S852" t="s">
        <v>1527</v>
      </c>
      <c r="T852" t="s">
        <v>3901</v>
      </c>
      <c r="U852" t="s">
        <v>1668</v>
      </c>
      <c r="V852" t="s">
        <v>1741</v>
      </c>
      <c r="W852" t="s">
        <v>1742</v>
      </c>
      <c r="X852" t="s">
        <v>1739</v>
      </c>
    </row>
    <row r="853" spans="1:24" x14ac:dyDescent="0.3">
      <c r="A853" t="s">
        <v>2660</v>
      </c>
      <c r="B853" s="2">
        <v>45484</v>
      </c>
      <c r="C853" t="s">
        <v>998</v>
      </c>
      <c r="D853" t="s">
        <v>1651</v>
      </c>
      <c r="E853" t="s">
        <v>1772</v>
      </c>
      <c r="F853" s="4">
        <v>4</v>
      </c>
      <c r="G853">
        <v>597.79999999999995</v>
      </c>
      <c r="H853">
        <v>0.2</v>
      </c>
      <c r="I853" t="s">
        <v>1807</v>
      </c>
      <c r="J853">
        <v>1912.96</v>
      </c>
      <c r="K853" t="s">
        <v>999</v>
      </c>
      <c r="L853">
        <v>21</v>
      </c>
      <c r="M853" t="s">
        <v>16</v>
      </c>
      <c r="N853" t="s">
        <v>1000</v>
      </c>
      <c r="O853" t="s">
        <v>264</v>
      </c>
      <c r="P853" t="s">
        <v>12</v>
      </c>
      <c r="Q853" t="s">
        <v>26</v>
      </c>
      <c r="R853" t="s">
        <v>3892</v>
      </c>
      <c r="S853" t="s">
        <v>1541</v>
      </c>
      <c r="T853" t="s">
        <v>3881</v>
      </c>
      <c r="U853" t="s">
        <v>1652</v>
      </c>
      <c r="V853" t="s">
        <v>1741</v>
      </c>
      <c r="W853" t="s">
        <v>1742</v>
      </c>
      <c r="X853" t="s">
        <v>1739</v>
      </c>
    </row>
    <row r="854" spans="1:24" x14ac:dyDescent="0.3">
      <c r="A854" t="s">
        <v>2661</v>
      </c>
      <c r="B854" s="2">
        <v>45700</v>
      </c>
      <c r="C854" t="s">
        <v>820</v>
      </c>
      <c r="D854" t="s">
        <v>1557</v>
      </c>
      <c r="E854" t="s">
        <v>1793</v>
      </c>
      <c r="F854" s="4">
        <v>4</v>
      </c>
      <c r="G854">
        <v>266.98</v>
      </c>
      <c r="H854">
        <v>0.16</v>
      </c>
      <c r="I854" t="s">
        <v>1807</v>
      </c>
      <c r="J854">
        <v>897.05280000000005</v>
      </c>
      <c r="K854" t="s">
        <v>821</v>
      </c>
      <c r="L854">
        <v>63</v>
      </c>
      <c r="M854" t="s">
        <v>16</v>
      </c>
      <c r="N854" t="s">
        <v>822</v>
      </c>
      <c r="O854" t="s">
        <v>96</v>
      </c>
      <c r="P854" t="s">
        <v>12</v>
      </c>
      <c r="Q854" t="s">
        <v>31</v>
      </c>
      <c r="R854" t="s">
        <v>3834</v>
      </c>
      <c r="S854" t="s">
        <v>1546</v>
      </c>
      <c r="T854" t="s">
        <v>3820</v>
      </c>
      <c r="U854" t="s">
        <v>1558</v>
      </c>
      <c r="V854" t="s">
        <v>1741</v>
      </c>
      <c r="W854" t="s">
        <v>1742</v>
      </c>
      <c r="X854" t="s">
        <v>1739</v>
      </c>
    </row>
    <row r="855" spans="1:24" x14ac:dyDescent="0.3">
      <c r="A855" t="s">
        <v>2662</v>
      </c>
      <c r="B855" s="2">
        <v>45873</v>
      </c>
      <c r="C855" t="s">
        <v>1252</v>
      </c>
      <c r="D855" t="s">
        <v>1671</v>
      </c>
      <c r="E855" t="s">
        <v>1784</v>
      </c>
      <c r="F855" s="4">
        <v>3</v>
      </c>
      <c r="G855">
        <v>360.18</v>
      </c>
      <c r="H855">
        <v>0.03</v>
      </c>
      <c r="I855" t="s">
        <v>1807</v>
      </c>
      <c r="J855">
        <v>1048.1238000000001</v>
      </c>
      <c r="K855" t="s">
        <v>1253</v>
      </c>
      <c r="L855">
        <v>36</v>
      </c>
      <c r="M855" t="s">
        <v>9</v>
      </c>
      <c r="N855" t="s">
        <v>1254</v>
      </c>
      <c r="O855" t="s">
        <v>139</v>
      </c>
      <c r="P855" t="s">
        <v>12</v>
      </c>
      <c r="Q855" t="s">
        <v>13</v>
      </c>
      <c r="R855" t="s">
        <v>3903</v>
      </c>
      <c r="S855" t="s">
        <v>1527</v>
      </c>
      <c r="T855" t="s">
        <v>3847</v>
      </c>
      <c r="U855" t="s">
        <v>1672</v>
      </c>
      <c r="V855" t="s">
        <v>1741</v>
      </c>
      <c r="W855" t="s">
        <v>1742</v>
      </c>
      <c r="X855" t="s">
        <v>1739</v>
      </c>
    </row>
    <row r="856" spans="1:24" x14ac:dyDescent="0.3">
      <c r="A856" t="s">
        <v>2663</v>
      </c>
      <c r="B856" s="2">
        <v>45860</v>
      </c>
      <c r="C856" t="s">
        <v>1123</v>
      </c>
      <c r="D856" t="s">
        <v>1643</v>
      </c>
      <c r="E856" t="s">
        <v>1735</v>
      </c>
      <c r="F856" s="4">
        <v>3</v>
      </c>
      <c r="G856">
        <v>247.41</v>
      </c>
      <c r="H856">
        <v>0.05</v>
      </c>
      <c r="I856" t="s">
        <v>1812</v>
      </c>
      <c r="J856">
        <v>705.11850000000004</v>
      </c>
      <c r="K856" t="s">
        <v>1124</v>
      </c>
      <c r="L856">
        <v>58</v>
      </c>
      <c r="M856" t="s">
        <v>9</v>
      </c>
      <c r="N856" t="s">
        <v>1125</v>
      </c>
      <c r="O856" t="s">
        <v>25</v>
      </c>
      <c r="P856" t="s">
        <v>12</v>
      </c>
      <c r="Q856" t="s">
        <v>26</v>
      </c>
      <c r="R856" t="s">
        <v>3888</v>
      </c>
      <c r="S856" t="s">
        <v>1527</v>
      </c>
      <c r="T856" t="s">
        <v>3836</v>
      </c>
      <c r="U856" t="s">
        <v>1644</v>
      </c>
      <c r="V856" t="s">
        <v>1736</v>
      </c>
      <c r="W856" t="s">
        <v>1737</v>
      </c>
      <c r="X856" t="s">
        <v>1739</v>
      </c>
    </row>
    <row r="857" spans="1:24" x14ac:dyDescent="0.3">
      <c r="A857" t="s">
        <v>2664</v>
      </c>
      <c r="B857" s="2">
        <v>45235</v>
      </c>
      <c r="C857" t="s">
        <v>281</v>
      </c>
      <c r="D857" t="s">
        <v>1621</v>
      </c>
      <c r="E857" t="s">
        <v>1784</v>
      </c>
      <c r="F857" s="4">
        <v>3</v>
      </c>
      <c r="G857">
        <v>674.66</v>
      </c>
      <c r="H857">
        <v>0.23</v>
      </c>
      <c r="I857" t="s">
        <v>1807</v>
      </c>
      <c r="J857">
        <v>1558.4646</v>
      </c>
      <c r="K857" t="s">
        <v>282</v>
      </c>
      <c r="L857">
        <v>22</v>
      </c>
      <c r="M857" t="s">
        <v>16</v>
      </c>
      <c r="N857" t="s">
        <v>283</v>
      </c>
      <c r="O857" t="s">
        <v>284</v>
      </c>
      <c r="P857" t="s">
        <v>12</v>
      </c>
      <c r="Q857" t="s">
        <v>13</v>
      </c>
      <c r="R857" t="s">
        <v>3875</v>
      </c>
      <c r="S857" t="s">
        <v>1549</v>
      </c>
      <c r="T857" t="s">
        <v>3859</v>
      </c>
      <c r="U857" t="s">
        <v>1622</v>
      </c>
      <c r="V857" t="s">
        <v>1741</v>
      </c>
      <c r="W857" t="s">
        <v>1742</v>
      </c>
      <c r="X857" t="s">
        <v>1739</v>
      </c>
    </row>
    <row r="858" spans="1:24" x14ac:dyDescent="0.3">
      <c r="A858" t="s">
        <v>2665</v>
      </c>
      <c r="B858" s="2">
        <v>45874</v>
      </c>
      <c r="C858" t="s">
        <v>1275</v>
      </c>
      <c r="D858" t="s">
        <v>1615</v>
      </c>
      <c r="E858" t="s">
        <v>1752</v>
      </c>
      <c r="F858" s="4">
        <v>1</v>
      </c>
      <c r="G858">
        <v>913.98</v>
      </c>
      <c r="H858">
        <v>0.27</v>
      </c>
      <c r="I858" t="s">
        <v>1809</v>
      </c>
      <c r="J858">
        <v>667.20539999999994</v>
      </c>
      <c r="K858" t="s">
        <v>1276</v>
      </c>
      <c r="L858">
        <v>46</v>
      </c>
      <c r="M858" t="s">
        <v>9</v>
      </c>
      <c r="N858" t="s">
        <v>1277</v>
      </c>
      <c r="O858" t="s">
        <v>162</v>
      </c>
      <c r="P858" t="s">
        <v>12</v>
      </c>
      <c r="Q858" t="s">
        <v>31</v>
      </c>
      <c r="R858" t="s">
        <v>3872</v>
      </c>
      <c r="S858" t="s">
        <v>1546</v>
      </c>
      <c r="T858" t="s">
        <v>3820</v>
      </c>
      <c r="U858" t="s">
        <v>1616</v>
      </c>
      <c r="V858" t="s">
        <v>1753</v>
      </c>
      <c r="W858" t="s">
        <v>1746</v>
      </c>
      <c r="X858" t="s">
        <v>1755</v>
      </c>
    </row>
    <row r="859" spans="1:24" x14ac:dyDescent="0.3">
      <c r="A859" t="s">
        <v>2666</v>
      </c>
      <c r="B859" s="2">
        <v>45769</v>
      </c>
      <c r="C859" t="s">
        <v>980</v>
      </c>
      <c r="D859" t="s">
        <v>1717</v>
      </c>
      <c r="E859" t="s">
        <v>1772</v>
      </c>
      <c r="F859" s="4">
        <v>4</v>
      </c>
      <c r="G859">
        <v>370.5</v>
      </c>
      <c r="H859">
        <v>0.13</v>
      </c>
      <c r="I859" t="s">
        <v>1809</v>
      </c>
      <c r="J859">
        <v>1289.3399999999999</v>
      </c>
      <c r="K859" t="s">
        <v>981</v>
      </c>
      <c r="L859">
        <v>49</v>
      </c>
      <c r="M859" t="s">
        <v>9</v>
      </c>
      <c r="N859" t="s">
        <v>982</v>
      </c>
      <c r="O859" t="s">
        <v>74</v>
      </c>
      <c r="P859" t="s">
        <v>12</v>
      </c>
      <c r="Q859" t="s">
        <v>31</v>
      </c>
      <c r="R859" t="s">
        <v>3926</v>
      </c>
      <c r="S859" t="s">
        <v>1546</v>
      </c>
      <c r="T859" t="s">
        <v>3811</v>
      </c>
      <c r="U859" t="s">
        <v>1718</v>
      </c>
      <c r="V859" t="s">
        <v>1741</v>
      </c>
      <c r="W859" t="s">
        <v>1742</v>
      </c>
      <c r="X859" t="s">
        <v>1739</v>
      </c>
    </row>
    <row r="860" spans="1:24" x14ac:dyDescent="0.3">
      <c r="A860" t="s">
        <v>2667</v>
      </c>
      <c r="B860" s="2">
        <v>45619</v>
      </c>
      <c r="C860" t="s">
        <v>1109</v>
      </c>
      <c r="D860" t="s">
        <v>1675</v>
      </c>
      <c r="E860" t="s">
        <v>1780</v>
      </c>
      <c r="F860" s="4">
        <v>1</v>
      </c>
      <c r="G860">
        <v>735.1</v>
      </c>
      <c r="H860">
        <v>0.1</v>
      </c>
      <c r="I860" t="s">
        <v>1809</v>
      </c>
      <c r="J860">
        <v>661.59</v>
      </c>
      <c r="K860" t="s">
        <v>1110</v>
      </c>
      <c r="L860">
        <v>32</v>
      </c>
      <c r="M860" t="s">
        <v>9</v>
      </c>
      <c r="N860" t="s">
        <v>1111</v>
      </c>
      <c r="O860" t="s">
        <v>309</v>
      </c>
      <c r="P860" t="s">
        <v>12</v>
      </c>
      <c r="Q860" t="s">
        <v>13</v>
      </c>
      <c r="R860" t="s">
        <v>3905</v>
      </c>
      <c r="S860" t="s">
        <v>1549</v>
      </c>
      <c r="T860" t="s">
        <v>3828</v>
      </c>
      <c r="U860" t="s">
        <v>1676</v>
      </c>
      <c r="V860" t="s">
        <v>1741</v>
      </c>
      <c r="W860" t="s">
        <v>1742</v>
      </c>
      <c r="X860" t="s">
        <v>1739</v>
      </c>
    </row>
    <row r="861" spans="1:24" x14ac:dyDescent="0.3">
      <c r="A861" t="s">
        <v>2668</v>
      </c>
      <c r="B861" s="2">
        <v>45614</v>
      </c>
      <c r="C861" t="s">
        <v>456</v>
      </c>
      <c r="D861" t="s">
        <v>1689</v>
      </c>
      <c r="E861" t="s">
        <v>1744</v>
      </c>
      <c r="F861" s="4">
        <v>3</v>
      </c>
      <c r="G861">
        <v>448.55</v>
      </c>
      <c r="H861">
        <v>0.05</v>
      </c>
      <c r="I861" t="s">
        <v>1807</v>
      </c>
      <c r="J861">
        <v>1278.3675000000001</v>
      </c>
      <c r="K861" t="s">
        <v>457</v>
      </c>
      <c r="L861">
        <v>29</v>
      </c>
      <c r="M861" t="s">
        <v>9</v>
      </c>
      <c r="N861" t="s">
        <v>458</v>
      </c>
      <c r="O861" t="s">
        <v>155</v>
      </c>
      <c r="P861" t="s">
        <v>12</v>
      </c>
      <c r="Q861" t="s">
        <v>19</v>
      </c>
      <c r="R861" t="s">
        <v>3912</v>
      </c>
      <c r="S861" t="s">
        <v>1527</v>
      </c>
      <c r="T861" t="s">
        <v>3824</v>
      </c>
      <c r="U861" t="s">
        <v>1690</v>
      </c>
      <c r="V861" t="s">
        <v>1745</v>
      </c>
      <c r="W861" t="s">
        <v>1746</v>
      </c>
      <c r="X861" t="s">
        <v>1748</v>
      </c>
    </row>
    <row r="862" spans="1:24" x14ac:dyDescent="0.3">
      <c r="A862" t="s">
        <v>2669</v>
      </c>
      <c r="B862" s="2">
        <v>45691</v>
      </c>
      <c r="C862" t="s">
        <v>218</v>
      </c>
      <c r="D862" t="s">
        <v>1699</v>
      </c>
      <c r="E862" t="s">
        <v>1780</v>
      </c>
      <c r="F862" s="4">
        <v>3</v>
      </c>
      <c r="G862">
        <v>904.96</v>
      </c>
      <c r="H862">
        <v>7.0000000000000007E-2</v>
      </c>
      <c r="I862" t="s">
        <v>1812</v>
      </c>
      <c r="J862">
        <v>2524.8384000000001</v>
      </c>
      <c r="K862" t="s">
        <v>219</v>
      </c>
      <c r="L862">
        <v>22</v>
      </c>
      <c r="M862" t="s">
        <v>16</v>
      </c>
      <c r="N862" t="s">
        <v>220</v>
      </c>
      <c r="O862" t="s">
        <v>66</v>
      </c>
      <c r="P862" t="s">
        <v>12</v>
      </c>
      <c r="Q862" t="s">
        <v>19</v>
      </c>
      <c r="R862" t="s">
        <v>3917</v>
      </c>
      <c r="S862" t="s">
        <v>1527</v>
      </c>
      <c r="T862" t="s">
        <v>3901</v>
      </c>
      <c r="U862" t="s">
        <v>1700</v>
      </c>
      <c r="V862" t="s">
        <v>1741</v>
      </c>
      <c r="W862" t="s">
        <v>1742</v>
      </c>
      <c r="X862" t="s">
        <v>1739</v>
      </c>
    </row>
    <row r="863" spans="1:24" x14ac:dyDescent="0.3">
      <c r="A863" t="s">
        <v>2670</v>
      </c>
      <c r="B863" s="2">
        <v>45608</v>
      </c>
      <c r="C863" t="s">
        <v>1174</v>
      </c>
      <c r="D863" t="s">
        <v>1667</v>
      </c>
      <c r="E863" t="s">
        <v>1780</v>
      </c>
      <c r="F863" s="4">
        <v>4</v>
      </c>
      <c r="G863">
        <v>408.72</v>
      </c>
      <c r="H863">
        <v>0.16</v>
      </c>
      <c r="I863" t="s">
        <v>1812</v>
      </c>
      <c r="J863">
        <v>1373.2991999999999</v>
      </c>
      <c r="K863" t="s">
        <v>1175</v>
      </c>
      <c r="L863">
        <v>50</v>
      </c>
      <c r="M863" t="s">
        <v>9</v>
      </c>
      <c r="N863" t="s">
        <v>1176</v>
      </c>
      <c r="O863" t="s">
        <v>214</v>
      </c>
      <c r="P863" t="s">
        <v>12</v>
      </c>
      <c r="Q863" t="s">
        <v>13</v>
      </c>
      <c r="R863" t="s">
        <v>3900</v>
      </c>
      <c r="S863" t="s">
        <v>1527</v>
      </c>
      <c r="T863" t="s">
        <v>3901</v>
      </c>
      <c r="U863" t="s">
        <v>1668</v>
      </c>
      <c r="V863" t="s">
        <v>1741</v>
      </c>
      <c r="W863" t="s">
        <v>1742</v>
      </c>
      <c r="X863" t="s">
        <v>1739</v>
      </c>
    </row>
    <row r="864" spans="1:24" x14ac:dyDescent="0.3">
      <c r="A864" t="s">
        <v>2671</v>
      </c>
      <c r="B864" s="2">
        <v>45412</v>
      </c>
      <c r="C864" t="s">
        <v>888</v>
      </c>
      <c r="D864" t="s">
        <v>1673</v>
      </c>
      <c r="E864" t="s">
        <v>1749</v>
      </c>
      <c r="F864" s="4">
        <v>4</v>
      </c>
      <c r="G864">
        <v>770.65</v>
      </c>
      <c r="H864">
        <v>0.27</v>
      </c>
      <c r="I864" t="s">
        <v>1807</v>
      </c>
      <c r="J864">
        <v>2250.2979999999998</v>
      </c>
      <c r="K864" t="s">
        <v>889</v>
      </c>
      <c r="L864">
        <v>54</v>
      </c>
      <c r="M864" t="s">
        <v>16</v>
      </c>
      <c r="N864" t="s">
        <v>890</v>
      </c>
      <c r="O864" t="s">
        <v>88</v>
      </c>
      <c r="P864" t="s">
        <v>12</v>
      </c>
      <c r="Q864" t="s">
        <v>13</v>
      </c>
      <c r="R864" t="s">
        <v>3904</v>
      </c>
      <c r="S864" t="s">
        <v>1541</v>
      </c>
      <c r="T864" t="s">
        <v>3833</v>
      </c>
      <c r="U864" t="s">
        <v>1674</v>
      </c>
      <c r="V864" t="s">
        <v>1750</v>
      </c>
      <c r="W864" t="s">
        <v>1742</v>
      </c>
      <c r="X864" t="s">
        <v>1748</v>
      </c>
    </row>
    <row r="865" spans="1:24" x14ac:dyDescent="0.3">
      <c r="A865" t="s">
        <v>2672</v>
      </c>
      <c r="B865" s="2">
        <v>45767</v>
      </c>
      <c r="C865" t="s">
        <v>657</v>
      </c>
      <c r="D865" t="s">
        <v>1591</v>
      </c>
      <c r="E865" t="s">
        <v>1759</v>
      </c>
      <c r="F865" s="4">
        <v>1</v>
      </c>
      <c r="G865">
        <v>649.22</v>
      </c>
      <c r="H865">
        <v>0.03</v>
      </c>
      <c r="I865" t="s">
        <v>1812</v>
      </c>
      <c r="J865">
        <v>629.74340000000007</v>
      </c>
      <c r="K865" t="s">
        <v>658</v>
      </c>
      <c r="L865">
        <v>52</v>
      </c>
      <c r="M865" t="s">
        <v>9</v>
      </c>
      <c r="N865" t="s">
        <v>659</v>
      </c>
      <c r="O865" t="s">
        <v>264</v>
      </c>
      <c r="P865" t="s">
        <v>12</v>
      </c>
      <c r="Q865" t="s">
        <v>19</v>
      </c>
      <c r="R865" t="s">
        <v>3857</v>
      </c>
      <c r="S865" t="s">
        <v>1527</v>
      </c>
      <c r="T865" t="s">
        <v>3830</v>
      </c>
      <c r="U865" t="s">
        <v>1592</v>
      </c>
      <c r="V865" t="s">
        <v>1760</v>
      </c>
      <c r="W865" t="s">
        <v>1737</v>
      </c>
      <c r="X865" t="s">
        <v>1755</v>
      </c>
    </row>
    <row r="866" spans="1:24" x14ac:dyDescent="0.3">
      <c r="A866" t="s">
        <v>2673</v>
      </c>
      <c r="B866" s="2">
        <v>45428</v>
      </c>
      <c r="C866" t="s">
        <v>1080</v>
      </c>
      <c r="D866" t="s">
        <v>1597</v>
      </c>
      <c r="E866" t="s">
        <v>1772</v>
      </c>
      <c r="F866" s="4">
        <v>2</v>
      </c>
      <c r="G866">
        <v>379.78</v>
      </c>
      <c r="H866">
        <v>0.2</v>
      </c>
      <c r="I866" t="s">
        <v>1807</v>
      </c>
      <c r="J866">
        <v>607.64800000000002</v>
      </c>
      <c r="K866" t="s">
        <v>1081</v>
      </c>
      <c r="L866">
        <v>31</v>
      </c>
      <c r="M866" t="s">
        <v>9</v>
      </c>
      <c r="N866" t="s">
        <v>1082</v>
      </c>
      <c r="O866" t="s">
        <v>51</v>
      </c>
      <c r="P866" t="s">
        <v>12</v>
      </c>
      <c r="Q866" t="s">
        <v>31</v>
      </c>
      <c r="R866" t="s">
        <v>3861</v>
      </c>
      <c r="S866" t="s">
        <v>1527</v>
      </c>
      <c r="T866" t="s">
        <v>3836</v>
      </c>
      <c r="U866" t="s">
        <v>1598</v>
      </c>
      <c r="V866" t="s">
        <v>1741</v>
      </c>
      <c r="W866" t="s">
        <v>1742</v>
      </c>
      <c r="X866" t="s">
        <v>1739</v>
      </c>
    </row>
    <row r="867" spans="1:24" x14ac:dyDescent="0.3">
      <c r="A867" t="s">
        <v>2674</v>
      </c>
      <c r="B867" s="2">
        <v>45770</v>
      </c>
      <c r="C867" t="s">
        <v>788</v>
      </c>
      <c r="D867" t="s">
        <v>1617</v>
      </c>
      <c r="E867" t="s">
        <v>1765</v>
      </c>
      <c r="F867" s="4">
        <v>3</v>
      </c>
      <c r="G867">
        <v>924.15</v>
      </c>
      <c r="H867">
        <v>0.1</v>
      </c>
      <c r="I867" t="s">
        <v>1809</v>
      </c>
      <c r="J867">
        <v>2495.2049999999999</v>
      </c>
      <c r="K867" t="s">
        <v>789</v>
      </c>
      <c r="L867">
        <v>41</v>
      </c>
      <c r="M867" t="s">
        <v>16</v>
      </c>
      <c r="N867" t="s">
        <v>790</v>
      </c>
      <c r="O867" t="s">
        <v>181</v>
      </c>
      <c r="P867" t="s">
        <v>12</v>
      </c>
      <c r="Q867" t="s">
        <v>13</v>
      </c>
      <c r="R867" t="s">
        <v>3873</v>
      </c>
      <c r="S867" t="s">
        <v>1546</v>
      </c>
      <c r="T867" t="s">
        <v>3811</v>
      </c>
      <c r="U867" t="s">
        <v>1618</v>
      </c>
      <c r="V867" t="s">
        <v>1766</v>
      </c>
      <c r="W867" t="s">
        <v>1767</v>
      </c>
      <c r="X867" t="s">
        <v>1755</v>
      </c>
    </row>
    <row r="868" spans="1:24" x14ac:dyDescent="0.3">
      <c r="A868" t="s">
        <v>2675</v>
      </c>
      <c r="B868" s="2">
        <v>45571</v>
      </c>
      <c r="C868" t="s">
        <v>1430</v>
      </c>
      <c r="D868" t="s">
        <v>1621</v>
      </c>
      <c r="E868" t="s">
        <v>1790</v>
      </c>
      <c r="F868" s="4">
        <v>3</v>
      </c>
      <c r="G868">
        <v>144.66999999999999</v>
      </c>
      <c r="H868">
        <v>0.28999999999999998</v>
      </c>
      <c r="I868" t="s">
        <v>1812</v>
      </c>
      <c r="J868">
        <v>308.14710000000002</v>
      </c>
      <c r="K868" t="s">
        <v>1431</v>
      </c>
      <c r="L868">
        <v>21</v>
      </c>
      <c r="M868" t="s">
        <v>16</v>
      </c>
      <c r="N868" t="s">
        <v>1432</v>
      </c>
      <c r="O868" t="s">
        <v>117</v>
      </c>
      <c r="P868" t="s">
        <v>12</v>
      </c>
      <c r="Q868" t="s">
        <v>13</v>
      </c>
      <c r="R868" t="s">
        <v>3875</v>
      </c>
      <c r="S868" t="s">
        <v>1549</v>
      </c>
      <c r="T868" t="s">
        <v>3859</v>
      </c>
      <c r="U868" t="s">
        <v>1622</v>
      </c>
      <c r="V868" t="s">
        <v>1741</v>
      </c>
      <c r="W868" t="s">
        <v>1742</v>
      </c>
      <c r="X868" t="s">
        <v>1739</v>
      </c>
    </row>
    <row r="869" spans="1:24" x14ac:dyDescent="0.3">
      <c r="A869" t="s">
        <v>2676</v>
      </c>
      <c r="B869" s="2">
        <v>45700</v>
      </c>
      <c r="C869" t="s">
        <v>414</v>
      </c>
      <c r="D869" t="s">
        <v>1597</v>
      </c>
      <c r="E869" t="s">
        <v>1784</v>
      </c>
      <c r="F869" s="4">
        <v>2</v>
      </c>
      <c r="G869">
        <v>667.17</v>
      </c>
      <c r="H869">
        <v>0.1</v>
      </c>
      <c r="I869" t="s">
        <v>1809</v>
      </c>
      <c r="J869">
        <v>1200.9059999999999</v>
      </c>
      <c r="K869" t="s">
        <v>415</v>
      </c>
      <c r="L869">
        <v>50</v>
      </c>
      <c r="M869" t="s">
        <v>9</v>
      </c>
      <c r="N869" t="s">
        <v>416</v>
      </c>
      <c r="O869" t="s">
        <v>99</v>
      </c>
      <c r="P869" t="s">
        <v>12</v>
      </c>
      <c r="Q869" t="s">
        <v>19</v>
      </c>
      <c r="R869" t="s">
        <v>3861</v>
      </c>
      <c r="S869" t="s">
        <v>1527</v>
      </c>
      <c r="T869" t="s">
        <v>3836</v>
      </c>
      <c r="U869" t="s">
        <v>1598</v>
      </c>
      <c r="V869" t="s">
        <v>1741</v>
      </c>
      <c r="W869" t="s">
        <v>1742</v>
      </c>
      <c r="X869" t="s">
        <v>1739</v>
      </c>
    </row>
    <row r="870" spans="1:24" x14ac:dyDescent="0.3">
      <c r="A870" t="s">
        <v>2677</v>
      </c>
      <c r="B870" s="2">
        <v>45382</v>
      </c>
      <c r="C870" t="s">
        <v>1238</v>
      </c>
      <c r="D870" t="s">
        <v>1663</v>
      </c>
      <c r="E870" t="s">
        <v>1749</v>
      </c>
      <c r="F870" s="4">
        <v>1</v>
      </c>
      <c r="G870">
        <v>984.6</v>
      </c>
      <c r="H870">
        <v>0.22</v>
      </c>
      <c r="I870" t="s">
        <v>1807</v>
      </c>
      <c r="J870">
        <v>767.98800000000006</v>
      </c>
      <c r="K870" t="s">
        <v>1239</v>
      </c>
      <c r="L870">
        <v>34</v>
      </c>
      <c r="M870" t="s">
        <v>9</v>
      </c>
      <c r="N870" t="s">
        <v>80</v>
      </c>
      <c r="O870" t="s">
        <v>309</v>
      </c>
      <c r="P870" t="s">
        <v>12</v>
      </c>
      <c r="Q870" t="s">
        <v>26</v>
      </c>
      <c r="R870" t="s">
        <v>3898</v>
      </c>
      <c r="S870" t="s">
        <v>1541</v>
      </c>
      <c r="T870" t="s">
        <v>3833</v>
      </c>
      <c r="U870" t="s">
        <v>1664</v>
      </c>
      <c r="V870" t="s">
        <v>1750</v>
      </c>
      <c r="W870" t="s">
        <v>1742</v>
      </c>
      <c r="X870" t="s">
        <v>1748</v>
      </c>
    </row>
    <row r="871" spans="1:24" x14ac:dyDescent="0.3">
      <c r="A871" t="s">
        <v>2678</v>
      </c>
      <c r="B871" s="2">
        <v>45260</v>
      </c>
      <c r="C871" t="s">
        <v>879</v>
      </c>
      <c r="D871" t="s">
        <v>1557</v>
      </c>
      <c r="E871" t="s">
        <v>1765</v>
      </c>
      <c r="F871" s="4">
        <v>1</v>
      </c>
      <c r="G871">
        <v>139.29</v>
      </c>
      <c r="H871">
        <v>0</v>
      </c>
      <c r="I871" t="s">
        <v>1807</v>
      </c>
      <c r="J871">
        <v>139.29</v>
      </c>
      <c r="K871" t="s">
        <v>880</v>
      </c>
      <c r="L871">
        <v>48</v>
      </c>
      <c r="M871" t="s">
        <v>9</v>
      </c>
      <c r="N871" t="s">
        <v>881</v>
      </c>
      <c r="O871" t="s">
        <v>25</v>
      </c>
      <c r="P871" t="s">
        <v>12</v>
      </c>
      <c r="Q871" t="s">
        <v>26</v>
      </c>
      <c r="R871" t="s">
        <v>3834</v>
      </c>
      <c r="S871" t="s">
        <v>1546</v>
      </c>
      <c r="T871" t="s">
        <v>3820</v>
      </c>
      <c r="U871" t="s">
        <v>1558</v>
      </c>
      <c r="V871" t="s">
        <v>1766</v>
      </c>
      <c r="W871" t="s">
        <v>1767</v>
      </c>
      <c r="X871" t="s">
        <v>1755</v>
      </c>
    </row>
    <row r="872" spans="1:24" x14ac:dyDescent="0.3">
      <c r="A872" t="s">
        <v>2679</v>
      </c>
      <c r="B872" s="2">
        <v>45702</v>
      </c>
      <c r="C872" t="s">
        <v>134</v>
      </c>
      <c r="D872" t="s">
        <v>1563</v>
      </c>
      <c r="E872" t="s">
        <v>1765</v>
      </c>
      <c r="F872" s="4">
        <v>3</v>
      </c>
      <c r="G872">
        <v>459.57</v>
      </c>
      <c r="H872">
        <v>0.1</v>
      </c>
      <c r="I872" t="s">
        <v>1812</v>
      </c>
      <c r="J872">
        <v>1240.8389999999999</v>
      </c>
      <c r="K872" t="s">
        <v>3935</v>
      </c>
      <c r="L872">
        <v>27</v>
      </c>
      <c r="M872" t="s">
        <v>16</v>
      </c>
      <c r="N872" t="s">
        <v>135</v>
      </c>
      <c r="O872" t="s">
        <v>96</v>
      </c>
      <c r="P872" t="s">
        <v>12</v>
      </c>
      <c r="Q872" t="s">
        <v>19</v>
      </c>
      <c r="R872" t="s">
        <v>3839</v>
      </c>
      <c r="S872" t="s">
        <v>1541</v>
      </c>
      <c r="T872" t="s">
        <v>3840</v>
      </c>
      <c r="U872" t="s">
        <v>1564</v>
      </c>
      <c r="V872" t="s">
        <v>1766</v>
      </c>
      <c r="W872" t="s">
        <v>1767</v>
      </c>
      <c r="X872" t="s">
        <v>1755</v>
      </c>
    </row>
    <row r="873" spans="1:24" x14ac:dyDescent="0.3">
      <c r="A873" t="s">
        <v>2680</v>
      </c>
      <c r="B873" s="2">
        <v>45302</v>
      </c>
      <c r="C873" t="s">
        <v>241</v>
      </c>
      <c r="D873" t="s">
        <v>1611</v>
      </c>
      <c r="E873" t="s">
        <v>1784</v>
      </c>
      <c r="F873" s="4">
        <v>1</v>
      </c>
      <c r="G873">
        <v>517.82000000000005</v>
      </c>
      <c r="H873">
        <v>0.28999999999999998</v>
      </c>
      <c r="I873" t="s">
        <v>1807</v>
      </c>
      <c r="J873">
        <v>367.65219999999999</v>
      </c>
      <c r="K873" t="s">
        <v>242</v>
      </c>
      <c r="L873">
        <v>58</v>
      </c>
      <c r="M873" t="s">
        <v>9</v>
      </c>
      <c r="N873" t="s">
        <v>243</v>
      </c>
      <c r="O873" t="s">
        <v>47</v>
      </c>
      <c r="P873" t="s">
        <v>12</v>
      </c>
      <c r="Q873" t="s">
        <v>31</v>
      </c>
      <c r="R873" t="s">
        <v>3870</v>
      </c>
      <c r="S873" t="s">
        <v>1546</v>
      </c>
      <c r="T873" t="s">
        <v>3826</v>
      </c>
      <c r="U873" t="s">
        <v>1612</v>
      </c>
      <c r="V873" t="s">
        <v>1741</v>
      </c>
      <c r="W873" t="s">
        <v>1742</v>
      </c>
      <c r="X873" t="s">
        <v>1739</v>
      </c>
    </row>
    <row r="874" spans="1:24" x14ac:dyDescent="0.3">
      <c r="A874" t="s">
        <v>2681</v>
      </c>
      <c r="B874" s="2">
        <v>45653</v>
      </c>
      <c r="C874" t="s">
        <v>1171</v>
      </c>
      <c r="D874" t="s">
        <v>1683</v>
      </c>
      <c r="E874" t="s">
        <v>1759</v>
      </c>
      <c r="F874" s="4">
        <v>4</v>
      </c>
      <c r="G874">
        <v>282.45</v>
      </c>
      <c r="H874">
        <v>0.28999999999999998</v>
      </c>
      <c r="I874" t="s">
        <v>1812</v>
      </c>
      <c r="J874">
        <v>802.1579999999999</v>
      </c>
      <c r="K874" t="s">
        <v>1172</v>
      </c>
      <c r="L874">
        <v>23</v>
      </c>
      <c r="M874" t="s">
        <v>9</v>
      </c>
      <c r="N874" t="s">
        <v>1173</v>
      </c>
      <c r="O874" t="s">
        <v>264</v>
      </c>
      <c r="P874" t="s">
        <v>12</v>
      </c>
      <c r="Q874" t="s">
        <v>13</v>
      </c>
      <c r="R874" t="s">
        <v>3909</v>
      </c>
      <c r="S874" t="s">
        <v>1546</v>
      </c>
      <c r="T874" t="s">
        <v>3811</v>
      </c>
      <c r="U874" t="s">
        <v>1684</v>
      </c>
      <c r="V874" t="s">
        <v>1760</v>
      </c>
      <c r="W874" t="s">
        <v>1737</v>
      </c>
      <c r="X874" t="s">
        <v>1755</v>
      </c>
    </row>
    <row r="875" spans="1:24" x14ac:dyDescent="0.3">
      <c r="A875" t="s">
        <v>2682</v>
      </c>
      <c r="B875" s="2">
        <v>45250</v>
      </c>
      <c r="C875" t="s">
        <v>1389</v>
      </c>
      <c r="D875" t="s">
        <v>1705</v>
      </c>
      <c r="E875" t="s">
        <v>1762</v>
      </c>
      <c r="F875" s="4">
        <v>2</v>
      </c>
      <c r="G875">
        <v>386.46</v>
      </c>
      <c r="H875">
        <v>0.23</v>
      </c>
      <c r="I875" t="s">
        <v>1812</v>
      </c>
      <c r="J875">
        <v>595.14840000000004</v>
      </c>
      <c r="K875" t="s">
        <v>1390</v>
      </c>
      <c r="L875">
        <v>59</v>
      </c>
      <c r="M875" t="s">
        <v>16</v>
      </c>
      <c r="N875" t="s">
        <v>1391</v>
      </c>
      <c r="O875" t="s">
        <v>191</v>
      </c>
      <c r="P875" t="s">
        <v>12</v>
      </c>
      <c r="Q875" t="s">
        <v>13</v>
      </c>
      <c r="R875" t="s">
        <v>3920</v>
      </c>
      <c r="S875" t="s">
        <v>1527</v>
      </c>
      <c r="T875" t="s">
        <v>3824</v>
      </c>
      <c r="U875" t="s">
        <v>1706</v>
      </c>
      <c r="V875" t="s">
        <v>1763</v>
      </c>
      <c r="W875" t="s">
        <v>1746</v>
      </c>
      <c r="X875" t="s">
        <v>1755</v>
      </c>
    </row>
    <row r="876" spans="1:24" x14ac:dyDescent="0.3">
      <c r="A876" t="s">
        <v>2683</v>
      </c>
      <c r="B876" s="2">
        <v>45661</v>
      </c>
      <c r="C876" t="s">
        <v>634</v>
      </c>
      <c r="D876" t="s">
        <v>1569</v>
      </c>
      <c r="E876" t="s">
        <v>1749</v>
      </c>
      <c r="F876" s="4">
        <v>1</v>
      </c>
      <c r="G876">
        <v>270.45</v>
      </c>
      <c r="H876">
        <v>0.15</v>
      </c>
      <c r="I876" t="s">
        <v>1812</v>
      </c>
      <c r="J876">
        <v>229.88249999999999</v>
      </c>
      <c r="K876" t="s">
        <v>635</v>
      </c>
      <c r="L876">
        <v>18</v>
      </c>
      <c r="M876" t="s">
        <v>16</v>
      </c>
      <c r="N876" t="s">
        <v>636</v>
      </c>
      <c r="O876" t="s">
        <v>133</v>
      </c>
      <c r="P876" t="s">
        <v>12</v>
      </c>
      <c r="Q876" t="s">
        <v>31</v>
      </c>
      <c r="R876" t="s">
        <v>3843</v>
      </c>
      <c r="S876" t="s">
        <v>1549</v>
      </c>
      <c r="T876" t="s">
        <v>3844</v>
      </c>
      <c r="U876" t="s">
        <v>1570</v>
      </c>
      <c r="V876" t="s">
        <v>1750</v>
      </c>
      <c r="W876" t="s">
        <v>1742</v>
      </c>
      <c r="X876" t="s">
        <v>1748</v>
      </c>
    </row>
    <row r="877" spans="1:24" x14ac:dyDescent="0.3">
      <c r="A877" t="s">
        <v>2684</v>
      </c>
      <c r="B877" s="2">
        <v>45493</v>
      </c>
      <c r="C877" t="s">
        <v>159</v>
      </c>
      <c r="D877" t="s">
        <v>1683</v>
      </c>
      <c r="E877" t="s">
        <v>1772</v>
      </c>
      <c r="F877" s="4">
        <v>4</v>
      </c>
      <c r="G877">
        <v>762.94</v>
      </c>
      <c r="H877">
        <v>0.09</v>
      </c>
      <c r="I877" t="s">
        <v>1812</v>
      </c>
      <c r="J877">
        <v>2777.1016</v>
      </c>
      <c r="K877" t="s">
        <v>160</v>
      </c>
      <c r="L877">
        <v>19</v>
      </c>
      <c r="M877" t="s">
        <v>9</v>
      </c>
      <c r="N877" t="s">
        <v>161</v>
      </c>
      <c r="O877" t="s">
        <v>162</v>
      </c>
      <c r="P877" t="s">
        <v>12</v>
      </c>
      <c r="Q877" t="s">
        <v>19</v>
      </c>
      <c r="R877" t="s">
        <v>3909</v>
      </c>
      <c r="S877" t="s">
        <v>1546</v>
      </c>
      <c r="T877" t="s">
        <v>3811</v>
      </c>
      <c r="U877" t="s">
        <v>1684</v>
      </c>
      <c r="V877" t="s">
        <v>1741</v>
      </c>
      <c r="W877" t="s">
        <v>1742</v>
      </c>
      <c r="X877" t="s">
        <v>1739</v>
      </c>
    </row>
    <row r="878" spans="1:24" x14ac:dyDescent="0.3">
      <c r="A878" t="s">
        <v>2685</v>
      </c>
      <c r="B878" s="2">
        <v>45242</v>
      </c>
      <c r="C878" t="s">
        <v>1501</v>
      </c>
      <c r="D878" t="s">
        <v>1613</v>
      </c>
      <c r="E878" t="s">
        <v>1780</v>
      </c>
      <c r="F878" s="4">
        <v>1</v>
      </c>
      <c r="G878">
        <v>409.03</v>
      </c>
      <c r="H878">
        <v>0.25</v>
      </c>
      <c r="I878" t="s">
        <v>1812</v>
      </c>
      <c r="J878">
        <v>306.77249999999998</v>
      </c>
      <c r="K878" t="s">
        <v>1502</v>
      </c>
      <c r="L878">
        <v>23</v>
      </c>
      <c r="M878" t="s">
        <v>16</v>
      </c>
      <c r="N878" t="s">
        <v>1503</v>
      </c>
      <c r="O878" t="s">
        <v>354</v>
      </c>
      <c r="P878" t="s">
        <v>12</v>
      </c>
      <c r="Q878" t="s">
        <v>13</v>
      </c>
      <c r="R878" t="s">
        <v>3871</v>
      </c>
      <c r="S878" t="s">
        <v>1549</v>
      </c>
      <c r="T878" t="s">
        <v>3828</v>
      </c>
      <c r="U878" t="s">
        <v>1614</v>
      </c>
      <c r="V878" t="s">
        <v>1741</v>
      </c>
      <c r="W878" t="s">
        <v>1742</v>
      </c>
      <c r="X878" t="s">
        <v>1739</v>
      </c>
    </row>
    <row r="879" spans="1:24" x14ac:dyDescent="0.3">
      <c r="A879" t="s">
        <v>2686</v>
      </c>
      <c r="B879" s="2">
        <v>45411</v>
      </c>
      <c r="C879" t="s">
        <v>705</v>
      </c>
      <c r="D879" t="s">
        <v>1723</v>
      </c>
      <c r="E879" t="s">
        <v>1793</v>
      </c>
      <c r="F879" s="4">
        <v>2</v>
      </c>
      <c r="G879">
        <v>891.13</v>
      </c>
      <c r="H879">
        <v>0.13</v>
      </c>
      <c r="I879" t="s">
        <v>1807</v>
      </c>
      <c r="J879">
        <v>1550.5662</v>
      </c>
      <c r="K879" t="s">
        <v>706</v>
      </c>
      <c r="L879">
        <v>50</v>
      </c>
      <c r="M879" t="s">
        <v>16</v>
      </c>
      <c r="N879" t="s">
        <v>3809</v>
      </c>
      <c r="O879" t="s">
        <v>88</v>
      </c>
      <c r="P879" t="s">
        <v>12</v>
      </c>
      <c r="Q879" t="s">
        <v>13</v>
      </c>
      <c r="R879" t="s">
        <v>3929</v>
      </c>
      <c r="S879" t="s">
        <v>1530</v>
      </c>
      <c r="T879" t="s">
        <v>3815</v>
      </c>
      <c r="U879" t="s">
        <v>1724</v>
      </c>
      <c r="V879" t="s">
        <v>1741</v>
      </c>
      <c r="W879" t="s">
        <v>1742</v>
      </c>
      <c r="X879" t="s">
        <v>1739</v>
      </c>
    </row>
    <row r="880" spans="1:24" x14ac:dyDescent="0.3">
      <c r="A880" t="s">
        <v>2687</v>
      </c>
      <c r="B880" s="2">
        <v>45593</v>
      </c>
      <c r="C880" t="s">
        <v>130</v>
      </c>
      <c r="D880" t="s">
        <v>1715</v>
      </c>
      <c r="E880" t="s">
        <v>1787</v>
      </c>
      <c r="F880" s="4">
        <v>1</v>
      </c>
      <c r="G880">
        <v>553.38</v>
      </c>
      <c r="H880">
        <v>0.21</v>
      </c>
      <c r="I880" t="s">
        <v>1809</v>
      </c>
      <c r="J880">
        <v>437.17020000000002</v>
      </c>
      <c r="K880" t="s">
        <v>131</v>
      </c>
      <c r="L880">
        <v>25</v>
      </c>
      <c r="M880" t="s">
        <v>9</v>
      </c>
      <c r="N880" t="s">
        <v>132</v>
      </c>
      <c r="O880" t="s">
        <v>133</v>
      </c>
      <c r="P880" t="s">
        <v>12</v>
      </c>
      <c r="Q880" t="s">
        <v>13</v>
      </c>
      <c r="R880" t="s">
        <v>3925</v>
      </c>
      <c r="S880" t="s">
        <v>1527</v>
      </c>
      <c r="T880" t="s">
        <v>3838</v>
      </c>
      <c r="U880" t="s">
        <v>1716</v>
      </c>
      <c r="V880" t="s">
        <v>1741</v>
      </c>
      <c r="W880" t="s">
        <v>1742</v>
      </c>
      <c r="X880" t="s">
        <v>1739</v>
      </c>
    </row>
    <row r="881" spans="1:24" x14ac:dyDescent="0.3">
      <c r="A881" t="s">
        <v>2688</v>
      </c>
      <c r="B881" s="2">
        <v>45281</v>
      </c>
      <c r="C881" t="s">
        <v>530</v>
      </c>
      <c r="D881" t="s">
        <v>1701</v>
      </c>
      <c r="E881" t="s">
        <v>1780</v>
      </c>
      <c r="F881" s="4">
        <v>2</v>
      </c>
      <c r="G881">
        <v>652.29999999999995</v>
      </c>
      <c r="H881">
        <v>0.16</v>
      </c>
      <c r="I881" t="s">
        <v>1812</v>
      </c>
      <c r="J881">
        <v>1095.864</v>
      </c>
      <c r="K881" t="s">
        <v>531</v>
      </c>
      <c r="L881">
        <v>18</v>
      </c>
      <c r="M881" t="s">
        <v>16</v>
      </c>
      <c r="N881" t="s">
        <v>532</v>
      </c>
      <c r="O881" t="s">
        <v>11</v>
      </c>
      <c r="P881" t="s">
        <v>12</v>
      </c>
      <c r="Q881" t="s">
        <v>19</v>
      </c>
      <c r="R881" t="s">
        <v>3918</v>
      </c>
      <c r="S881" t="s">
        <v>1530</v>
      </c>
      <c r="T881" t="s">
        <v>3820</v>
      </c>
      <c r="U881" t="s">
        <v>1702</v>
      </c>
      <c r="V881" t="s">
        <v>1741</v>
      </c>
      <c r="W881" t="s">
        <v>1742</v>
      </c>
      <c r="X881" t="s">
        <v>1739</v>
      </c>
    </row>
    <row r="882" spans="1:24" x14ac:dyDescent="0.3">
      <c r="A882" t="s">
        <v>2689</v>
      </c>
      <c r="B882" s="2">
        <v>45575</v>
      </c>
      <c r="C882" t="s">
        <v>417</v>
      </c>
      <c r="D882" t="s">
        <v>1615</v>
      </c>
      <c r="E882" t="s">
        <v>1769</v>
      </c>
      <c r="F882" s="4">
        <v>4</v>
      </c>
      <c r="G882">
        <v>194.36</v>
      </c>
      <c r="H882">
        <v>0.18</v>
      </c>
      <c r="I882" t="s">
        <v>1812</v>
      </c>
      <c r="J882">
        <v>637.50080000000014</v>
      </c>
      <c r="K882" t="s">
        <v>418</v>
      </c>
      <c r="L882">
        <v>40</v>
      </c>
      <c r="M882" t="s">
        <v>9</v>
      </c>
      <c r="N882" t="s">
        <v>419</v>
      </c>
      <c r="O882" t="s">
        <v>11</v>
      </c>
      <c r="P882" t="s">
        <v>12</v>
      </c>
      <c r="Q882" t="s">
        <v>19</v>
      </c>
      <c r="R882" t="s">
        <v>3872</v>
      </c>
      <c r="S882" t="s">
        <v>1546</v>
      </c>
      <c r="T882" t="s">
        <v>3820</v>
      </c>
      <c r="U882" t="s">
        <v>1616</v>
      </c>
      <c r="V882" t="s">
        <v>1770</v>
      </c>
      <c r="W882" t="s">
        <v>1746</v>
      </c>
      <c r="X882" t="s">
        <v>1739</v>
      </c>
    </row>
    <row r="883" spans="1:24" x14ac:dyDescent="0.3">
      <c r="A883" t="s">
        <v>2690</v>
      </c>
      <c r="B883" s="2">
        <v>45660</v>
      </c>
      <c r="C883" t="s">
        <v>509</v>
      </c>
      <c r="D883" t="s">
        <v>1715</v>
      </c>
      <c r="E883" t="s">
        <v>1740</v>
      </c>
      <c r="F883" s="4">
        <v>3</v>
      </c>
      <c r="G883">
        <v>476.37</v>
      </c>
      <c r="H883">
        <v>0.21</v>
      </c>
      <c r="I883" t="s">
        <v>1812</v>
      </c>
      <c r="J883">
        <v>1128.9969000000001</v>
      </c>
      <c r="K883" t="s">
        <v>510</v>
      </c>
      <c r="L883">
        <v>35</v>
      </c>
      <c r="M883" t="s">
        <v>16</v>
      </c>
      <c r="N883" t="s">
        <v>511</v>
      </c>
      <c r="O883" t="s">
        <v>18</v>
      </c>
      <c r="P883" t="s">
        <v>12</v>
      </c>
      <c r="Q883" t="s">
        <v>26</v>
      </c>
      <c r="R883" t="s">
        <v>3925</v>
      </c>
      <c r="S883" t="s">
        <v>1527</v>
      </c>
      <c r="T883" t="s">
        <v>3838</v>
      </c>
      <c r="U883" t="s">
        <v>1716</v>
      </c>
      <c r="V883" t="s">
        <v>1741</v>
      </c>
      <c r="W883" t="s">
        <v>1742</v>
      </c>
      <c r="X883" t="s">
        <v>1739</v>
      </c>
    </row>
    <row r="884" spans="1:24" x14ac:dyDescent="0.3">
      <c r="A884" t="s">
        <v>2691</v>
      </c>
      <c r="B884" s="2">
        <v>45360</v>
      </c>
      <c r="C884" t="s">
        <v>1129</v>
      </c>
      <c r="D884" t="s">
        <v>1611</v>
      </c>
      <c r="E884" t="s">
        <v>1756</v>
      </c>
      <c r="F884" s="4">
        <v>3</v>
      </c>
      <c r="G884">
        <v>174.57</v>
      </c>
      <c r="H884">
        <v>0</v>
      </c>
      <c r="I884" t="s">
        <v>1809</v>
      </c>
      <c r="J884">
        <v>523.71</v>
      </c>
      <c r="K884" t="s">
        <v>1130</v>
      </c>
      <c r="L884">
        <v>40</v>
      </c>
      <c r="M884" t="s">
        <v>16</v>
      </c>
      <c r="N884" t="s">
        <v>1131</v>
      </c>
      <c r="O884" t="s">
        <v>162</v>
      </c>
      <c r="P884" t="s">
        <v>12</v>
      </c>
      <c r="Q884" t="s">
        <v>19</v>
      </c>
      <c r="R884" t="s">
        <v>3870</v>
      </c>
      <c r="S884" t="s">
        <v>1546</v>
      </c>
      <c r="T884" t="s">
        <v>3826</v>
      </c>
      <c r="U884" t="s">
        <v>1612</v>
      </c>
      <c r="V884" t="s">
        <v>1757</v>
      </c>
      <c r="W884" t="s">
        <v>1742</v>
      </c>
      <c r="X884" t="s">
        <v>1748</v>
      </c>
    </row>
    <row r="885" spans="1:24" x14ac:dyDescent="0.3">
      <c r="A885" t="s">
        <v>2692</v>
      </c>
      <c r="B885" s="2">
        <v>45526</v>
      </c>
      <c r="C885" t="s">
        <v>409</v>
      </c>
      <c r="D885" t="s">
        <v>1701</v>
      </c>
      <c r="E885" t="s">
        <v>1735</v>
      </c>
      <c r="F885" s="4">
        <v>3</v>
      </c>
      <c r="G885">
        <v>762</v>
      </c>
      <c r="H885">
        <v>0.02</v>
      </c>
      <c r="I885" t="s">
        <v>1809</v>
      </c>
      <c r="J885">
        <v>2240.2800000000002</v>
      </c>
      <c r="K885" t="s">
        <v>410</v>
      </c>
      <c r="L885">
        <v>44</v>
      </c>
      <c r="M885" t="s">
        <v>16</v>
      </c>
      <c r="N885" t="s">
        <v>411</v>
      </c>
      <c r="O885" t="s">
        <v>234</v>
      </c>
      <c r="P885" t="s">
        <v>12</v>
      </c>
      <c r="Q885" t="s">
        <v>26</v>
      </c>
      <c r="R885" t="s">
        <v>3918</v>
      </c>
      <c r="S885" t="s">
        <v>1530</v>
      </c>
      <c r="T885" t="s">
        <v>3820</v>
      </c>
      <c r="U885" t="s">
        <v>1702</v>
      </c>
      <c r="V885" t="s">
        <v>1736</v>
      </c>
      <c r="W885" t="s">
        <v>1737</v>
      </c>
      <c r="X885" t="s">
        <v>1739</v>
      </c>
    </row>
    <row r="886" spans="1:24" x14ac:dyDescent="0.3">
      <c r="A886" t="s">
        <v>2693</v>
      </c>
      <c r="B886" s="2">
        <v>45395</v>
      </c>
      <c r="C886" t="s">
        <v>1303</v>
      </c>
      <c r="D886" t="s">
        <v>1675</v>
      </c>
      <c r="E886" t="s">
        <v>1796</v>
      </c>
      <c r="F886" s="4">
        <v>1</v>
      </c>
      <c r="G886">
        <v>44.08</v>
      </c>
      <c r="H886">
        <v>0.05</v>
      </c>
      <c r="I886" t="s">
        <v>1807</v>
      </c>
      <c r="J886">
        <v>41.875999999999998</v>
      </c>
      <c r="K886" t="s">
        <v>1304</v>
      </c>
      <c r="L886">
        <v>28</v>
      </c>
      <c r="M886" t="s">
        <v>9</v>
      </c>
      <c r="N886" t="s">
        <v>1305</v>
      </c>
      <c r="O886" t="s">
        <v>117</v>
      </c>
      <c r="P886" t="s">
        <v>12</v>
      </c>
      <c r="Q886" t="s">
        <v>26</v>
      </c>
      <c r="R886" t="s">
        <v>3905</v>
      </c>
      <c r="S886" t="s">
        <v>1549</v>
      </c>
      <c r="T886" t="s">
        <v>3828</v>
      </c>
      <c r="U886" t="s">
        <v>1676</v>
      </c>
      <c r="V886" t="s">
        <v>1741</v>
      </c>
      <c r="W886" t="s">
        <v>1742</v>
      </c>
      <c r="X886" t="s">
        <v>1739</v>
      </c>
    </row>
    <row r="887" spans="1:24" x14ac:dyDescent="0.3">
      <c r="A887" t="s">
        <v>2694</v>
      </c>
      <c r="B887" s="2">
        <v>45466</v>
      </c>
      <c r="C887" t="s">
        <v>1504</v>
      </c>
      <c r="D887" t="s">
        <v>1649</v>
      </c>
      <c r="E887" t="s">
        <v>1780</v>
      </c>
      <c r="F887" s="4">
        <v>1</v>
      </c>
      <c r="G887">
        <v>992.37</v>
      </c>
      <c r="H887">
        <v>0.24</v>
      </c>
      <c r="I887" t="s">
        <v>1812</v>
      </c>
      <c r="J887">
        <v>754.20119999999997</v>
      </c>
      <c r="K887" t="s">
        <v>1505</v>
      </c>
      <c r="L887">
        <v>56</v>
      </c>
      <c r="M887" t="s">
        <v>9</v>
      </c>
      <c r="N887" t="s">
        <v>1506</v>
      </c>
      <c r="O887" t="s">
        <v>92</v>
      </c>
      <c r="P887" t="s">
        <v>12</v>
      </c>
      <c r="Q887" t="s">
        <v>26</v>
      </c>
      <c r="R887" t="s">
        <v>3891</v>
      </c>
      <c r="S887" t="s">
        <v>1541</v>
      </c>
      <c r="T887" t="s">
        <v>3833</v>
      </c>
      <c r="U887" t="s">
        <v>1650</v>
      </c>
      <c r="V887" t="s">
        <v>1741</v>
      </c>
      <c r="W887" t="s">
        <v>1742</v>
      </c>
      <c r="X887" t="s">
        <v>1739</v>
      </c>
    </row>
    <row r="888" spans="1:24" x14ac:dyDescent="0.3">
      <c r="A888" t="s">
        <v>2695</v>
      </c>
      <c r="B888" s="2">
        <v>45876</v>
      </c>
      <c r="C888" t="s">
        <v>651</v>
      </c>
      <c r="D888" t="s">
        <v>1593</v>
      </c>
      <c r="E888" t="s">
        <v>1772</v>
      </c>
      <c r="F888" s="4">
        <v>3</v>
      </c>
      <c r="G888">
        <v>465.4</v>
      </c>
      <c r="H888">
        <v>0.28999999999999998</v>
      </c>
      <c r="I888" t="s">
        <v>1812</v>
      </c>
      <c r="J888">
        <v>991.30199999999979</v>
      </c>
      <c r="K888" t="s">
        <v>652</v>
      </c>
      <c r="L888">
        <v>37</v>
      </c>
      <c r="M888" t="s">
        <v>16</v>
      </c>
      <c r="N888" t="s">
        <v>653</v>
      </c>
      <c r="O888" t="s">
        <v>155</v>
      </c>
      <c r="P888" t="s">
        <v>12</v>
      </c>
      <c r="Q888" t="s">
        <v>26</v>
      </c>
      <c r="R888" t="s">
        <v>3858</v>
      </c>
      <c r="S888" t="s">
        <v>1549</v>
      </c>
      <c r="T888" t="s">
        <v>3859</v>
      </c>
      <c r="U888" t="s">
        <v>1594</v>
      </c>
      <c r="V888" t="s">
        <v>1741</v>
      </c>
      <c r="W888" t="s">
        <v>1742</v>
      </c>
      <c r="X888" t="s">
        <v>1739</v>
      </c>
    </row>
    <row r="889" spans="1:24" x14ac:dyDescent="0.3">
      <c r="A889" t="s">
        <v>2696</v>
      </c>
      <c r="B889" s="2">
        <v>45724</v>
      </c>
      <c r="C889" t="s">
        <v>1048</v>
      </c>
      <c r="D889" t="s">
        <v>1563</v>
      </c>
      <c r="E889" t="s">
        <v>1772</v>
      </c>
      <c r="F889" s="4">
        <v>2</v>
      </c>
      <c r="G889">
        <v>693.61</v>
      </c>
      <c r="H889">
        <v>0.15</v>
      </c>
      <c r="I889" t="s">
        <v>1809</v>
      </c>
      <c r="J889">
        <v>1179.1369999999999</v>
      </c>
      <c r="K889" t="s">
        <v>1049</v>
      </c>
      <c r="L889">
        <v>46</v>
      </c>
      <c r="M889" t="s">
        <v>16</v>
      </c>
      <c r="N889" t="s">
        <v>1050</v>
      </c>
      <c r="O889" t="s">
        <v>11</v>
      </c>
      <c r="P889" t="s">
        <v>12</v>
      </c>
      <c r="Q889" t="s">
        <v>26</v>
      </c>
      <c r="R889" t="s">
        <v>3839</v>
      </c>
      <c r="S889" t="s">
        <v>1541</v>
      </c>
      <c r="T889" t="s">
        <v>3840</v>
      </c>
      <c r="U889" t="s">
        <v>1564</v>
      </c>
      <c r="V889" t="s">
        <v>1741</v>
      </c>
      <c r="W889" t="s">
        <v>1742</v>
      </c>
      <c r="X889" t="s">
        <v>1739</v>
      </c>
    </row>
    <row r="890" spans="1:24" x14ac:dyDescent="0.3">
      <c r="A890" t="s">
        <v>2697</v>
      </c>
      <c r="B890" s="2">
        <v>45801</v>
      </c>
      <c r="C890" t="s">
        <v>1418</v>
      </c>
      <c r="D890" t="s">
        <v>1665</v>
      </c>
      <c r="E890" t="s">
        <v>1765</v>
      </c>
      <c r="F890" s="4">
        <v>2</v>
      </c>
      <c r="G890">
        <v>995.11</v>
      </c>
      <c r="H890">
        <v>0.13</v>
      </c>
      <c r="I890" t="s">
        <v>1809</v>
      </c>
      <c r="J890">
        <v>1731.4914000000001</v>
      </c>
      <c r="K890" t="s">
        <v>1419</v>
      </c>
      <c r="L890">
        <v>18</v>
      </c>
      <c r="M890" t="s">
        <v>9</v>
      </c>
      <c r="N890" t="s">
        <v>1420</v>
      </c>
      <c r="O890" t="s">
        <v>11</v>
      </c>
      <c r="P890" t="s">
        <v>12</v>
      </c>
      <c r="Q890" t="s">
        <v>31</v>
      </c>
      <c r="R890" t="s">
        <v>3899</v>
      </c>
      <c r="S890" t="s">
        <v>1546</v>
      </c>
      <c r="T890" t="s">
        <v>3820</v>
      </c>
      <c r="U890" t="s">
        <v>1666</v>
      </c>
      <c r="V890" t="s">
        <v>1766</v>
      </c>
      <c r="W890" t="s">
        <v>1767</v>
      </c>
      <c r="X890" t="s">
        <v>1755</v>
      </c>
    </row>
    <row r="891" spans="1:24" x14ac:dyDescent="0.3">
      <c r="A891" t="s">
        <v>2698</v>
      </c>
      <c r="B891" s="2">
        <v>45749</v>
      </c>
      <c r="C891" t="s">
        <v>1177</v>
      </c>
      <c r="D891" t="s">
        <v>1577</v>
      </c>
      <c r="E891" t="s">
        <v>1752</v>
      </c>
      <c r="F891" s="4">
        <v>3</v>
      </c>
      <c r="G891">
        <v>70.97</v>
      </c>
      <c r="H891">
        <v>0.06</v>
      </c>
      <c r="I891" t="s">
        <v>1812</v>
      </c>
      <c r="J891">
        <v>200.1354</v>
      </c>
      <c r="K891" t="s">
        <v>1178</v>
      </c>
      <c r="L891">
        <v>20</v>
      </c>
      <c r="M891" t="s">
        <v>16</v>
      </c>
      <c r="N891" t="s">
        <v>1179</v>
      </c>
      <c r="O891" t="s">
        <v>22</v>
      </c>
      <c r="P891" t="s">
        <v>12</v>
      </c>
      <c r="Q891" t="s">
        <v>31</v>
      </c>
      <c r="R891" t="s">
        <v>3849</v>
      </c>
      <c r="S891" t="s">
        <v>1530</v>
      </c>
      <c r="T891" t="s">
        <v>3813</v>
      </c>
      <c r="U891" t="s">
        <v>1578</v>
      </c>
      <c r="V891" t="s">
        <v>1753</v>
      </c>
      <c r="W891" t="s">
        <v>1746</v>
      </c>
      <c r="X891" t="s">
        <v>1755</v>
      </c>
    </row>
    <row r="892" spans="1:24" x14ac:dyDescent="0.3">
      <c r="A892" t="s">
        <v>2699</v>
      </c>
      <c r="B892" s="2">
        <v>45325</v>
      </c>
      <c r="C892" t="s">
        <v>391</v>
      </c>
      <c r="D892" t="s">
        <v>1697</v>
      </c>
      <c r="E892" t="s">
        <v>1769</v>
      </c>
      <c r="F892" s="4">
        <v>3</v>
      </c>
      <c r="G892">
        <v>470.42</v>
      </c>
      <c r="H892">
        <v>0.16</v>
      </c>
      <c r="I892" t="s">
        <v>1807</v>
      </c>
      <c r="J892">
        <v>1185.4584</v>
      </c>
      <c r="K892" t="s">
        <v>392</v>
      </c>
      <c r="L892">
        <v>30</v>
      </c>
      <c r="M892" t="s">
        <v>9</v>
      </c>
      <c r="N892" t="s">
        <v>393</v>
      </c>
      <c r="O892" t="s">
        <v>230</v>
      </c>
      <c r="P892" t="s">
        <v>12</v>
      </c>
      <c r="Q892" t="s">
        <v>13</v>
      </c>
      <c r="R892" t="s">
        <v>3916</v>
      </c>
      <c r="S892" t="s">
        <v>1541</v>
      </c>
      <c r="T892" t="s">
        <v>3822</v>
      </c>
      <c r="U892" t="s">
        <v>1698</v>
      </c>
      <c r="V892" t="s">
        <v>1770</v>
      </c>
      <c r="W892" t="s">
        <v>1746</v>
      </c>
      <c r="X892" t="s">
        <v>1739</v>
      </c>
    </row>
    <row r="893" spans="1:24" x14ac:dyDescent="0.3">
      <c r="A893" t="s">
        <v>2700</v>
      </c>
      <c r="B893" s="2">
        <v>45932</v>
      </c>
      <c r="C893" t="s">
        <v>980</v>
      </c>
      <c r="D893" t="s">
        <v>1703</v>
      </c>
      <c r="E893" t="s">
        <v>1787</v>
      </c>
      <c r="F893" s="4">
        <v>2</v>
      </c>
      <c r="G893">
        <v>215.59</v>
      </c>
      <c r="H893">
        <v>0.18</v>
      </c>
      <c r="I893" t="s">
        <v>1807</v>
      </c>
      <c r="J893">
        <v>353.56760000000003</v>
      </c>
      <c r="K893" t="s">
        <v>981</v>
      </c>
      <c r="L893">
        <v>49</v>
      </c>
      <c r="M893" t="s">
        <v>9</v>
      </c>
      <c r="N893" t="s">
        <v>982</v>
      </c>
      <c r="O893" t="s">
        <v>74</v>
      </c>
      <c r="P893" t="s">
        <v>12</v>
      </c>
      <c r="Q893" t="s">
        <v>31</v>
      </c>
      <c r="R893" t="s">
        <v>3919</v>
      </c>
      <c r="S893" t="s">
        <v>1527</v>
      </c>
      <c r="T893" t="s">
        <v>3830</v>
      </c>
      <c r="U893" t="s">
        <v>1704</v>
      </c>
      <c r="V893" t="s">
        <v>1741</v>
      </c>
      <c r="W893" t="s">
        <v>1742</v>
      </c>
      <c r="X893" t="s">
        <v>1739</v>
      </c>
    </row>
    <row r="894" spans="1:24" x14ac:dyDescent="0.3">
      <c r="A894" t="s">
        <v>2701</v>
      </c>
      <c r="B894" s="2">
        <v>45895</v>
      </c>
      <c r="C894" t="s">
        <v>761</v>
      </c>
      <c r="D894" t="s">
        <v>1715</v>
      </c>
      <c r="E894" t="s">
        <v>1735</v>
      </c>
      <c r="F894" s="4">
        <v>1</v>
      </c>
      <c r="G894">
        <v>533.79999999999995</v>
      </c>
      <c r="H894">
        <v>0.27</v>
      </c>
      <c r="I894" t="s">
        <v>1812</v>
      </c>
      <c r="J894">
        <v>389.67399999999998</v>
      </c>
      <c r="K894" t="s">
        <v>762</v>
      </c>
      <c r="L894">
        <v>59</v>
      </c>
      <c r="M894" t="s">
        <v>16</v>
      </c>
      <c r="N894" t="s">
        <v>763</v>
      </c>
      <c r="O894" t="s">
        <v>181</v>
      </c>
      <c r="P894" t="s">
        <v>12</v>
      </c>
      <c r="Q894" t="s">
        <v>19</v>
      </c>
      <c r="R894" t="s">
        <v>3925</v>
      </c>
      <c r="S894" t="s">
        <v>1527</v>
      </c>
      <c r="T894" t="s">
        <v>3838</v>
      </c>
      <c r="U894" t="s">
        <v>1716</v>
      </c>
      <c r="V894" t="s">
        <v>1736</v>
      </c>
      <c r="W894" t="s">
        <v>1737</v>
      </c>
      <c r="X894" t="s">
        <v>1739</v>
      </c>
    </row>
    <row r="895" spans="1:24" x14ac:dyDescent="0.3">
      <c r="A895" t="s">
        <v>2702</v>
      </c>
      <c r="B895" s="2">
        <v>45614</v>
      </c>
      <c r="C895" t="s">
        <v>330</v>
      </c>
      <c r="D895" t="s">
        <v>1595</v>
      </c>
      <c r="E895" t="s">
        <v>1749</v>
      </c>
      <c r="F895" s="4">
        <v>2</v>
      </c>
      <c r="G895">
        <v>732.67</v>
      </c>
      <c r="H895">
        <v>0.24</v>
      </c>
      <c r="I895" t="s">
        <v>1809</v>
      </c>
      <c r="J895">
        <v>1113.6584</v>
      </c>
      <c r="K895" t="s">
        <v>331</v>
      </c>
      <c r="L895">
        <v>43</v>
      </c>
      <c r="M895" t="s">
        <v>16</v>
      </c>
      <c r="N895" t="s">
        <v>332</v>
      </c>
      <c r="O895" t="s">
        <v>312</v>
      </c>
      <c r="P895" t="s">
        <v>12</v>
      </c>
      <c r="Q895" t="s">
        <v>13</v>
      </c>
      <c r="R895" t="s">
        <v>3860</v>
      </c>
      <c r="S895" t="s">
        <v>1541</v>
      </c>
      <c r="T895" t="s">
        <v>3822</v>
      </c>
      <c r="U895" t="s">
        <v>1596</v>
      </c>
      <c r="V895" t="s">
        <v>1750</v>
      </c>
      <c r="W895" t="s">
        <v>1742</v>
      </c>
      <c r="X895" t="s">
        <v>1748</v>
      </c>
    </row>
    <row r="896" spans="1:24" x14ac:dyDescent="0.3">
      <c r="A896" t="s">
        <v>2703</v>
      </c>
      <c r="B896" s="2">
        <v>45247</v>
      </c>
      <c r="C896" t="s">
        <v>1487</v>
      </c>
      <c r="D896" t="s">
        <v>1651</v>
      </c>
      <c r="E896" t="s">
        <v>1780</v>
      </c>
      <c r="F896" s="4">
        <v>4</v>
      </c>
      <c r="G896">
        <v>106.48</v>
      </c>
      <c r="H896">
        <v>0.1</v>
      </c>
      <c r="I896" t="s">
        <v>1812</v>
      </c>
      <c r="J896">
        <v>383.32799999999997</v>
      </c>
      <c r="K896" t="s">
        <v>1488</v>
      </c>
      <c r="L896">
        <v>23</v>
      </c>
      <c r="M896" t="s">
        <v>9</v>
      </c>
      <c r="N896" t="s">
        <v>1489</v>
      </c>
      <c r="O896" t="s">
        <v>251</v>
      </c>
      <c r="P896" t="s">
        <v>12</v>
      </c>
      <c r="Q896" t="s">
        <v>31</v>
      </c>
      <c r="R896" t="s">
        <v>3892</v>
      </c>
      <c r="S896" t="s">
        <v>1541</v>
      </c>
      <c r="T896" t="s">
        <v>3881</v>
      </c>
      <c r="U896" t="s">
        <v>1652</v>
      </c>
      <c r="V896" t="s">
        <v>1741</v>
      </c>
      <c r="W896" t="s">
        <v>1742</v>
      </c>
      <c r="X896" t="s">
        <v>1739</v>
      </c>
    </row>
    <row r="897" spans="1:24" x14ac:dyDescent="0.3">
      <c r="A897" t="s">
        <v>2704</v>
      </c>
      <c r="B897" s="2">
        <v>45696</v>
      </c>
      <c r="C897" t="s">
        <v>367</v>
      </c>
      <c r="D897" t="s">
        <v>1645</v>
      </c>
      <c r="E897" t="s">
        <v>1749</v>
      </c>
      <c r="F897" s="4">
        <v>1</v>
      </c>
      <c r="G897">
        <v>38.950000000000003</v>
      </c>
      <c r="H897">
        <v>0.28000000000000003</v>
      </c>
      <c r="I897" t="s">
        <v>1807</v>
      </c>
      <c r="J897">
        <v>28.044</v>
      </c>
      <c r="K897" t="s">
        <v>368</v>
      </c>
      <c r="L897">
        <v>53</v>
      </c>
      <c r="M897" t="s">
        <v>16</v>
      </c>
      <c r="N897" t="s">
        <v>369</v>
      </c>
      <c r="O897" t="s">
        <v>247</v>
      </c>
      <c r="P897" t="s">
        <v>12</v>
      </c>
      <c r="Q897" t="s">
        <v>13</v>
      </c>
      <c r="R897" t="s">
        <v>3889</v>
      </c>
      <c r="S897" t="s">
        <v>1549</v>
      </c>
      <c r="T897" t="s">
        <v>3828</v>
      </c>
      <c r="U897" t="s">
        <v>1646</v>
      </c>
      <c r="V897" t="s">
        <v>1750</v>
      </c>
      <c r="W897" t="s">
        <v>1742</v>
      </c>
      <c r="X897" t="s">
        <v>1748</v>
      </c>
    </row>
    <row r="898" spans="1:24" x14ac:dyDescent="0.3">
      <c r="A898" t="s">
        <v>2705</v>
      </c>
      <c r="B898" s="2">
        <v>45294</v>
      </c>
      <c r="C898" t="s">
        <v>1321</v>
      </c>
      <c r="D898" t="s">
        <v>1723</v>
      </c>
      <c r="E898" t="s">
        <v>1787</v>
      </c>
      <c r="F898" s="4">
        <v>1</v>
      </c>
      <c r="G898">
        <v>835.17</v>
      </c>
      <c r="H898">
        <v>0.02</v>
      </c>
      <c r="I898" t="s">
        <v>1812</v>
      </c>
      <c r="J898">
        <v>818.46659999999997</v>
      </c>
      <c r="K898" t="s">
        <v>1322</v>
      </c>
      <c r="L898">
        <v>37</v>
      </c>
      <c r="M898" t="s">
        <v>9</v>
      </c>
      <c r="N898" t="s">
        <v>1323</v>
      </c>
      <c r="O898" t="s">
        <v>30</v>
      </c>
      <c r="P898" t="s">
        <v>12</v>
      </c>
      <c r="Q898" t="s">
        <v>19</v>
      </c>
      <c r="R898" t="s">
        <v>3929</v>
      </c>
      <c r="S898" t="s">
        <v>1530</v>
      </c>
      <c r="T898" t="s">
        <v>3815</v>
      </c>
      <c r="U898" t="s">
        <v>1724</v>
      </c>
      <c r="V898" t="s">
        <v>1741</v>
      </c>
      <c r="W898" t="s">
        <v>1742</v>
      </c>
      <c r="X898" t="s">
        <v>1739</v>
      </c>
    </row>
    <row r="899" spans="1:24" x14ac:dyDescent="0.3">
      <c r="A899" t="s">
        <v>2706</v>
      </c>
      <c r="B899" s="2">
        <v>45389</v>
      </c>
      <c r="C899" t="s">
        <v>453</v>
      </c>
      <c r="D899" t="s">
        <v>1697</v>
      </c>
      <c r="E899" t="s">
        <v>1749</v>
      </c>
      <c r="F899" s="4">
        <v>1</v>
      </c>
      <c r="G899">
        <v>113.07</v>
      </c>
      <c r="H899">
        <v>0.24</v>
      </c>
      <c r="I899" t="s">
        <v>1807</v>
      </c>
      <c r="J899">
        <v>85.933199999999999</v>
      </c>
      <c r="K899" t="s">
        <v>454</v>
      </c>
      <c r="L899">
        <v>33</v>
      </c>
      <c r="M899" t="s">
        <v>16</v>
      </c>
      <c r="N899" t="s">
        <v>455</v>
      </c>
      <c r="O899" t="s">
        <v>74</v>
      </c>
      <c r="P899" t="s">
        <v>12</v>
      </c>
      <c r="Q899" t="s">
        <v>13</v>
      </c>
      <c r="R899" t="s">
        <v>3916</v>
      </c>
      <c r="S899" t="s">
        <v>1541</v>
      </c>
      <c r="T899" t="s">
        <v>3822</v>
      </c>
      <c r="U899" t="s">
        <v>1698</v>
      </c>
      <c r="V899" t="s">
        <v>1750</v>
      </c>
      <c r="W899" t="s">
        <v>1742</v>
      </c>
      <c r="X899" t="s">
        <v>1748</v>
      </c>
    </row>
    <row r="900" spans="1:24" x14ac:dyDescent="0.3">
      <c r="A900" t="s">
        <v>2707</v>
      </c>
      <c r="B900" s="2">
        <v>45930</v>
      </c>
      <c r="C900" t="s">
        <v>1421</v>
      </c>
      <c r="D900" t="s">
        <v>1719</v>
      </c>
      <c r="E900" t="s">
        <v>1777</v>
      </c>
      <c r="F900" s="4">
        <v>2</v>
      </c>
      <c r="G900">
        <v>451.33</v>
      </c>
      <c r="H900">
        <v>0.23</v>
      </c>
      <c r="I900" t="s">
        <v>1812</v>
      </c>
      <c r="J900">
        <v>695.04819999999995</v>
      </c>
      <c r="K900" t="s">
        <v>1422</v>
      </c>
      <c r="L900">
        <v>63</v>
      </c>
      <c r="M900" t="s">
        <v>16</v>
      </c>
      <c r="N900" t="s">
        <v>1423</v>
      </c>
      <c r="O900" t="s">
        <v>198</v>
      </c>
      <c r="P900" t="s">
        <v>12</v>
      </c>
      <c r="Q900" t="s">
        <v>31</v>
      </c>
      <c r="R900" t="s">
        <v>3927</v>
      </c>
      <c r="S900" t="s">
        <v>1541</v>
      </c>
      <c r="T900" t="s">
        <v>3822</v>
      </c>
      <c r="U900" t="s">
        <v>1720</v>
      </c>
      <c r="V900" t="s">
        <v>1741</v>
      </c>
      <c r="W900" t="s">
        <v>1742</v>
      </c>
      <c r="X900" t="s">
        <v>1739</v>
      </c>
    </row>
    <row r="901" spans="1:24" x14ac:dyDescent="0.3">
      <c r="A901" t="s">
        <v>2708</v>
      </c>
      <c r="B901" s="2">
        <v>45456</v>
      </c>
      <c r="C901" t="s">
        <v>1150</v>
      </c>
      <c r="D901" t="s">
        <v>1703</v>
      </c>
      <c r="E901" t="s">
        <v>1759</v>
      </c>
      <c r="F901" s="4">
        <v>3</v>
      </c>
      <c r="G901">
        <v>619.80999999999995</v>
      </c>
      <c r="H901">
        <v>0.16</v>
      </c>
      <c r="I901" t="s">
        <v>1812</v>
      </c>
      <c r="J901">
        <v>1561.9212</v>
      </c>
      <c r="K901" t="s">
        <v>1151</v>
      </c>
      <c r="L901">
        <v>37</v>
      </c>
      <c r="M901" t="s">
        <v>16</v>
      </c>
      <c r="N901" t="s">
        <v>1152</v>
      </c>
      <c r="O901" t="s">
        <v>25</v>
      </c>
      <c r="P901" t="s">
        <v>12</v>
      </c>
      <c r="Q901" t="s">
        <v>26</v>
      </c>
      <c r="R901" t="s">
        <v>3919</v>
      </c>
      <c r="S901" t="s">
        <v>1527</v>
      </c>
      <c r="T901" t="s">
        <v>3830</v>
      </c>
      <c r="U901" t="s">
        <v>1704</v>
      </c>
      <c r="V901" t="s">
        <v>1760</v>
      </c>
      <c r="W901" t="s">
        <v>1737</v>
      </c>
      <c r="X901" t="s">
        <v>1755</v>
      </c>
    </row>
    <row r="902" spans="1:24" x14ac:dyDescent="0.3">
      <c r="A902" t="s">
        <v>2709</v>
      </c>
      <c r="B902" s="2">
        <v>45713</v>
      </c>
      <c r="C902" t="s">
        <v>376</v>
      </c>
      <c r="D902" t="s">
        <v>1655</v>
      </c>
      <c r="E902" t="s">
        <v>1762</v>
      </c>
      <c r="F902" s="4">
        <v>4</v>
      </c>
      <c r="G902">
        <v>46.97</v>
      </c>
      <c r="H902">
        <v>0.26</v>
      </c>
      <c r="I902" t="s">
        <v>1809</v>
      </c>
      <c r="J902">
        <v>139.03120000000001</v>
      </c>
      <c r="K902" t="s">
        <v>377</v>
      </c>
      <c r="L902">
        <v>27</v>
      </c>
      <c r="M902" t="s">
        <v>9</v>
      </c>
      <c r="N902" t="s">
        <v>378</v>
      </c>
      <c r="O902" t="s">
        <v>47</v>
      </c>
      <c r="P902" t="s">
        <v>12</v>
      </c>
      <c r="Q902" t="s">
        <v>26</v>
      </c>
      <c r="R902" t="s">
        <v>3894</v>
      </c>
      <c r="S902" t="s">
        <v>1546</v>
      </c>
      <c r="T902" t="s">
        <v>3811</v>
      </c>
      <c r="U902" t="s">
        <v>1656</v>
      </c>
      <c r="V902" t="s">
        <v>1763</v>
      </c>
      <c r="W902" t="s">
        <v>1746</v>
      </c>
      <c r="X902" t="s">
        <v>1755</v>
      </c>
    </row>
    <row r="903" spans="1:24" x14ac:dyDescent="0.3">
      <c r="A903" t="s">
        <v>2710</v>
      </c>
      <c r="B903" s="2">
        <v>45784</v>
      </c>
      <c r="C903" t="s">
        <v>601</v>
      </c>
      <c r="D903" t="s">
        <v>1623</v>
      </c>
      <c r="E903" t="s">
        <v>1744</v>
      </c>
      <c r="F903" s="4">
        <v>2</v>
      </c>
      <c r="G903">
        <v>71.48</v>
      </c>
      <c r="H903">
        <v>0.14000000000000001</v>
      </c>
      <c r="I903" t="s">
        <v>1812</v>
      </c>
      <c r="J903">
        <v>122.9456</v>
      </c>
      <c r="K903" t="s">
        <v>602</v>
      </c>
      <c r="L903">
        <v>54</v>
      </c>
      <c r="M903" t="s">
        <v>16</v>
      </c>
      <c r="N903" t="s">
        <v>603</v>
      </c>
      <c r="O903" t="s">
        <v>18</v>
      </c>
      <c r="P903" t="s">
        <v>12</v>
      </c>
      <c r="Q903" t="s">
        <v>31</v>
      </c>
      <c r="R903" t="s">
        <v>3876</v>
      </c>
      <c r="S903" t="s">
        <v>1530</v>
      </c>
      <c r="T903" t="s">
        <v>3815</v>
      </c>
      <c r="U903" t="s">
        <v>1624</v>
      </c>
      <c r="V903" t="s">
        <v>1745</v>
      </c>
      <c r="W903" t="s">
        <v>1746</v>
      </c>
      <c r="X903" t="s">
        <v>1748</v>
      </c>
    </row>
    <row r="904" spans="1:24" x14ac:dyDescent="0.3">
      <c r="A904" t="s">
        <v>2711</v>
      </c>
      <c r="B904" s="2">
        <v>45812</v>
      </c>
      <c r="C904" t="s">
        <v>8</v>
      </c>
      <c r="D904" t="s">
        <v>1643</v>
      </c>
      <c r="E904" t="s">
        <v>1796</v>
      </c>
      <c r="F904" s="4">
        <v>2</v>
      </c>
      <c r="G904">
        <v>404.08</v>
      </c>
      <c r="H904">
        <v>7.0000000000000007E-2</v>
      </c>
      <c r="I904" t="s">
        <v>1807</v>
      </c>
      <c r="J904">
        <v>751.58879999999988</v>
      </c>
      <c r="K904" t="s">
        <v>3952</v>
      </c>
      <c r="L904">
        <v>26</v>
      </c>
      <c r="M904" t="s">
        <v>16</v>
      </c>
      <c r="N904" t="s">
        <v>10</v>
      </c>
      <c r="O904" t="s">
        <v>11</v>
      </c>
      <c r="P904" t="s">
        <v>12</v>
      </c>
      <c r="Q904" t="s">
        <v>19</v>
      </c>
      <c r="R904" t="s">
        <v>3888</v>
      </c>
      <c r="S904" t="s">
        <v>1527</v>
      </c>
      <c r="T904" t="s">
        <v>3836</v>
      </c>
      <c r="U904" t="s">
        <v>1644</v>
      </c>
      <c r="V904" t="s">
        <v>1741</v>
      </c>
      <c r="W904" t="s">
        <v>1742</v>
      </c>
      <c r="X904" t="s">
        <v>1739</v>
      </c>
    </row>
    <row r="905" spans="1:24" x14ac:dyDescent="0.3">
      <c r="A905" t="s">
        <v>2712</v>
      </c>
      <c r="B905" s="2">
        <v>45653</v>
      </c>
      <c r="C905" t="s">
        <v>835</v>
      </c>
      <c r="D905" t="s">
        <v>1565</v>
      </c>
      <c r="E905" t="s">
        <v>1787</v>
      </c>
      <c r="F905" s="4">
        <v>1</v>
      </c>
      <c r="G905">
        <v>519.91</v>
      </c>
      <c r="H905">
        <v>0.05</v>
      </c>
      <c r="I905" t="s">
        <v>1812</v>
      </c>
      <c r="J905">
        <v>493.91449999999992</v>
      </c>
      <c r="K905" t="s">
        <v>836</v>
      </c>
      <c r="L905">
        <v>38</v>
      </c>
      <c r="M905" t="s">
        <v>9</v>
      </c>
      <c r="N905" t="s">
        <v>837</v>
      </c>
      <c r="O905" t="s">
        <v>838</v>
      </c>
      <c r="P905" t="s">
        <v>12</v>
      </c>
      <c r="Q905" t="s">
        <v>13</v>
      </c>
      <c r="R905" t="s">
        <v>3841</v>
      </c>
      <c r="S905" t="s">
        <v>1549</v>
      </c>
      <c r="T905" t="s">
        <v>3820</v>
      </c>
      <c r="U905" t="s">
        <v>1566</v>
      </c>
      <c r="V905" t="s">
        <v>1741</v>
      </c>
      <c r="W905" t="s">
        <v>1742</v>
      </c>
      <c r="X905" t="s">
        <v>1739</v>
      </c>
    </row>
    <row r="906" spans="1:24" x14ac:dyDescent="0.3">
      <c r="A906" t="s">
        <v>2713</v>
      </c>
      <c r="B906" s="2">
        <v>45672</v>
      </c>
      <c r="C906" t="s">
        <v>485</v>
      </c>
      <c r="D906" t="s">
        <v>1627</v>
      </c>
      <c r="E906" t="s">
        <v>1780</v>
      </c>
      <c r="F906" s="4">
        <v>3</v>
      </c>
      <c r="G906">
        <v>566.16</v>
      </c>
      <c r="H906">
        <v>0.05</v>
      </c>
      <c r="I906" t="s">
        <v>1809</v>
      </c>
      <c r="J906">
        <v>1613.556</v>
      </c>
      <c r="K906" t="s">
        <v>486</v>
      </c>
      <c r="L906">
        <v>32</v>
      </c>
      <c r="M906" t="s">
        <v>16</v>
      </c>
      <c r="N906" t="s">
        <v>487</v>
      </c>
      <c r="O906" t="s">
        <v>251</v>
      </c>
      <c r="P906" t="s">
        <v>12</v>
      </c>
      <c r="Q906" t="s">
        <v>19</v>
      </c>
      <c r="R906" t="s">
        <v>3879</v>
      </c>
      <c r="S906" t="s">
        <v>1546</v>
      </c>
      <c r="T906" t="s">
        <v>3820</v>
      </c>
      <c r="U906" t="s">
        <v>1628</v>
      </c>
      <c r="V906" t="s">
        <v>1741</v>
      </c>
      <c r="W906" t="s">
        <v>1742</v>
      </c>
      <c r="X906" t="s">
        <v>1739</v>
      </c>
    </row>
    <row r="907" spans="1:24" x14ac:dyDescent="0.3">
      <c r="A907" t="s">
        <v>2714</v>
      </c>
      <c r="B907" s="2">
        <v>45799</v>
      </c>
      <c r="C907" t="s">
        <v>1210</v>
      </c>
      <c r="D907" t="s">
        <v>1635</v>
      </c>
      <c r="E907" t="s">
        <v>1772</v>
      </c>
      <c r="F907" s="4">
        <v>2</v>
      </c>
      <c r="G907">
        <v>295.12</v>
      </c>
      <c r="H907">
        <v>0.09</v>
      </c>
      <c r="I907" t="s">
        <v>1812</v>
      </c>
      <c r="J907">
        <v>537.11840000000007</v>
      </c>
      <c r="K907" t="s">
        <v>1211</v>
      </c>
      <c r="L907">
        <v>46</v>
      </c>
      <c r="M907" t="s">
        <v>9</v>
      </c>
      <c r="N907" t="s">
        <v>1212</v>
      </c>
      <c r="O907" t="s">
        <v>113</v>
      </c>
      <c r="P907" t="s">
        <v>12</v>
      </c>
      <c r="Q907" t="s">
        <v>13</v>
      </c>
      <c r="R907" t="s">
        <v>3884</v>
      </c>
      <c r="S907" t="s">
        <v>1549</v>
      </c>
      <c r="T907" t="s">
        <v>3859</v>
      </c>
      <c r="U907" t="s">
        <v>1636</v>
      </c>
      <c r="V907" t="s">
        <v>1741</v>
      </c>
      <c r="W907" t="s">
        <v>1742</v>
      </c>
      <c r="X907" t="s">
        <v>1739</v>
      </c>
    </row>
    <row r="908" spans="1:24" x14ac:dyDescent="0.3">
      <c r="A908" t="s">
        <v>2715</v>
      </c>
      <c r="B908" s="2">
        <v>45848</v>
      </c>
      <c r="C908" t="s">
        <v>379</v>
      </c>
      <c r="D908" t="s">
        <v>1599</v>
      </c>
      <c r="E908" t="s">
        <v>1775</v>
      </c>
      <c r="F908" s="4">
        <v>2</v>
      </c>
      <c r="G908">
        <v>414.18</v>
      </c>
      <c r="H908">
        <v>0.25</v>
      </c>
      <c r="I908" t="s">
        <v>1809</v>
      </c>
      <c r="J908">
        <v>621.27</v>
      </c>
      <c r="K908" t="s">
        <v>380</v>
      </c>
      <c r="L908">
        <v>40</v>
      </c>
      <c r="M908" t="s">
        <v>16</v>
      </c>
      <c r="N908" t="s">
        <v>381</v>
      </c>
      <c r="O908" t="s">
        <v>43</v>
      </c>
      <c r="P908" t="s">
        <v>12</v>
      </c>
      <c r="Q908" t="s">
        <v>31</v>
      </c>
      <c r="R908" t="s">
        <v>3862</v>
      </c>
      <c r="S908" t="s">
        <v>1546</v>
      </c>
      <c r="T908" t="s">
        <v>3811</v>
      </c>
      <c r="U908" t="s">
        <v>1600</v>
      </c>
      <c r="V908" t="s">
        <v>1741</v>
      </c>
      <c r="W908" t="s">
        <v>1742</v>
      </c>
      <c r="X908" t="s">
        <v>1739</v>
      </c>
    </row>
    <row r="909" spans="1:24" x14ac:dyDescent="0.3">
      <c r="A909" t="s">
        <v>2716</v>
      </c>
      <c r="B909" s="2">
        <v>45918</v>
      </c>
      <c r="C909" t="s">
        <v>847</v>
      </c>
      <c r="D909" t="s">
        <v>1647</v>
      </c>
      <c r="E909" t="s">
        <v>1765</v>
      </c>
      <c r="F909" s="4">
        <v>2</v>
      </c>
      <c r="G909">
        <v>433.75</v>
      </c>
      <c r="H909">
        <v>0</v>
      </c>
      <c r="I909" t="s">
        <v>1807</v>
      </c>
      <c r="J909">
        <v>867.5</v>
      </c>
      <c r="K909" t="s">
        <v>848</v>
      </c>
      <c r="L909">
        <v>45</v>
      </c>
      <c r="M909" t="s">
        <v>16</v>
      </c>
      <c r="N909" t="s">
        <v>849</v>
      </c>
      <c r="O909" t="s">
        <v>198</v>
      </c>
      <c r="P909" t="s">
        <v>12</v>
      </c>
      <c r="Q909" t="s">
        <v>26</v>
      </c>
      <c r="R909" t="s">
        <v>3890</v>
      </c>
      <c r="S909" t="s">
        <v>1530</v>
      </c>
      <c r="T909" t="s">
        <v>3820</v>
      </c>
      <c r="U909" t="s">
        <v>1648</v>
      </c>
      <c r="V909" t="s">
        <v>1766</v>
      </c>
      <c r="W909" t="s">
        <v>1767</v>
      </c>
      <c r="X909" t="s">
        <v>1755</v>
      </c>
    </row>
    <row r="910" spans="1:24" x14ac:dyDescent="0.3">
      <c r="A910" t="s">
        <v>2717</v>
      </c>
      <c r="B910" s="2">
        <v>45288</v>
      </c>
      <c r="C910" t="s">
        <v>885</v>
      </c>
      <c r="D910" t="s">
        <v>1701</v>
      </c>
      <c r="E910" t="s">
        <v>1796</v>
      </c>
      <c r="F910" s="4">
        <v>3</v>
      </c>
      <c r="G910">
        <v>104.33</v>
      </c>
      <c r="H910">
        <v>0.13</v>
      </c>
      <c r="I910" t="s">
        <v>1812</v>
      </c>
      <c r="J910">
        <v>272.30130000000003</v>
      </c>
      <c r="K910" t="s">
        <v>886</v>
      </c>
      <c r="L910">
        <v>46</v>
      </c>
      <c r="M910" t="s">
        <v>16</v>
      </c>
      <c r="N910" t="s">
        <v>887</v>
      </c>
      <c r="O910" t="s">
        <v>166</v>
      </c>
      <c r="P910" t="s">
        <v>12</v>
      </c>
      <c r="Q910" t="s">
        <v>19</v>
      </c>
      <c r="R910" t="s">
        <v>3918</v>
      </c>
      <c r="S910" t="s">
        <v>1530</v>
      </c>
      <c r="T910" t="s">
        <v>3820</v>
      </c>
      <c r="U910" t="s">
        <v>1702</v>
      </c>
      <c r="V910" t="s">
        <v>1741</v>
      </c>
      <c r="W910" t="s">
        <v>1742</v>
      </c>
      <c r="X910" t="s">
        <v>1739</v>
      </c>
    </row>
    <row r="911" spans="1:24" x14ac:dyDescent="0.3">
      <c r="A911" t="s">
        <v>2718</v>
      </c>
      <c r="B911" s="2">
        <v>45477</v>
      </c>
      <c r="C911" t="s">
        <v>1415</v>
      </c>
      <c r="D911" t="s">
        <v>1536</v>
      </c>
      <c r="E911" t="s">
        <v>1777</v>
      </c>
      <c r="F911" s="4">
        <v>1</v>
      </c>
      <c r="G911">
        <v>221.7</v>
      </c>
      <c r="H911">
        <v>0.04</v>
      </c>
      <c r="I911" t="s">
        <v>1807</v>
      </c>
      <c r="J911">
        <v>212.83199999999999</v>
      </c>
      <c r="K911" t="s">
        <v>1416</v>
      </c>
      <c r="L911">
        <v>28</v>
      </c>
      <c r="M911" t="s">
        <v>16</v>
      </c>
      <c r="N911" t="s">
        <v>1417</v>
      </c>
      <c r="O911" t="s">
        <v>74</v>
      </c>
      <c r="P911" t="s">
        <v>12</v>
      </c>
      <c r="Q911" t="s">
        <v>19</v>
      </c>
      <c r="R911" t="s">
        <v>3868</v>
      </c>
      <c r="S911" t="s">
        <v>1546</v>
      </c>
      <c r="T911" t="s">
        <v>3869</v>
      </c>
      <c r="U911" t="s">
        <v>1610</v>
      </c>
      <c r="V911" t="s">
        <v>1741</v>
      </c>
      <c r="W911" t="s">
        <v>1742</v>
      </c>
      <c r="X911" t="s">
        <v>1739</v>
      </c>
    </row>
    <row r="912" spans="1:24" x14ac:dyDescent="0.3">
      <c r="A912" t="s">
        <v>2719</v>
      </c>
      <c r="B912" s="2">
        <v>45796</v>
      </c>
      <c r="C912" t="s">
        <v>681</v>
      </c>
      <c r="D912" t="s">
        <v>1665</v>
      </c>
      <c r="E912" t="s">
        <v>1756</v>
      </c>
      <c r="F912" s="4">
        <v>2</v>
      </c>
      <c r="G912">
        <v>491.26</v>
      </c>
      <c r="H912">
        <v>0.14000000000000001</v>
      </c>
      <c r="I912" t="s">
        <v>1812</v>
      </c>
      <c r="J912">
        <v>844.96719999999993</v>
      </c>
      <c r="K912" t="s">
        <v>682</v>
      </c>
      <c r="L912">
        <v>63</v>
      </c>
      <c r="M912" t="s">
        <v>16</v>
      </c>
      <c r="N912" t="s">
        <v>683</v>
      </c>
      <c r="O912" t="s">
        <v>92</v>
      </c>
      <c r="P912" t="s">
        <v>12</v>
      </c>
      <c r="Q912" t="s">
        <v>31</v>
      </c>
      <c r="R912" t="s">
        <v>3899</v>
      </c>
      <c r="S912" t="s">
        <v>1546</v>
      </c>
      <c r="T912" t="s">
        <v>3820</v>
      </c>
      <c r="U912" t="s">
        <v>1666</v>
      </c>
      <c r="V912" t="s">
        <v>1757</v>
      </c>
      <c r="W912" t="s">
        <v>1742</v>
      </c>
      <c r="X912" t="s">
        <v>1748</v>
      </c>
    </row>
    <row r="913" spans="1:24" x14ac:dyDescent="0.3">
      <c r="A913" t="s">
        <v>2720</v>
      </c>
      <c r="B913" s="2">
        <v>45630</v>
      </c>
      <c r="C913" t="s">
        <v>592</v>
      </c>
      <c r="D913" t="s">
        <v>1605</v>
      </c>
      <c r="E913" t="s">
        <v>1765</v>
      </c>
      <c r="F913" s="4">
        <v>4</v>
      </c>
      <c r="G913">
        <v>923.14</v>
      </c>
      <c r="H913">
        <v>0.15</v>
      </c>
      <c r="I913" t="s">
        <v>1807</v>
      </c>
      <c r="J913">
        <v>3138.6759999999999</v>
      </c>
      <c r="K913" t="s">
        <v>593</v>
      </c>
      <c r="L913">
        <v>23</v>
      </c>
      <c r="M913" t="s">
        <v>16</v>
      </c>
      <c r="N913" t="s">
        <v>594</v>
      </c>
      <c r="O913" t="s">
        <v>58</v>
      </c>
      <c r="P913" t="s">
        <v>12</v>
      </c>
      <c r="Q913" t="s">
        <v>26</v>
      </c>
      <c r="R913" t="s">
        <v>3865</v>
      </c>
      <c r="S913" t="s">
        <v>1530</v>
      </c>
      <c r="T913" t="s">
        <v>3866</v>
      </c>
      <c r="U913" t="s">
        <v>1606</v>
      </c>
      <c r="V913" t="s">
        <v>1766</v>
      </c>
      <c r="W913" t="s">
        <v>1767</v>
      </c>
      <c r="X913" t="s">
        <v>1755</v>
      </c>
    </row>
    <row r="914" spans="1:24" x14ac:dyDescent="0.3">
      <c r="A914" t="s">
        <v>2721</v>
      </c>
      <c r="B914" s="2">
        <v>45625</v>
      </c>
      <c r="C914" t="s">
        <v>628</v>
      </c>
      <c r="D914" t="s">
        <v>1659</v>
      </c>
      <c r="E914" t="s">
        <v>1762</v>
      </c>
      <c r="F914" s="4">
        <v>2</v>
      </c>
      <c r="G914">
        <v>747.65</v>
      </c>
      <c r="H914">
        <v>0.08</v>
      </c>
      <c r="I914" t="s">
        <v>1807</v>
      </c>
      <c r="J914">
        <v>1375.6759999999999</v>
      </c>
      <c r="K914" t="s">
        <v>629</v>
      </c>
      <c r="L914">
        <v>46</v>
      </c>
      <c r="M914" t="s">
        <v>9</v>
      </c>
      <c r="N914" t="s">
        <v>630</v>
      </c>
      <c r="O914" t="s">
        <v>81</v>
      </c>
      <c r="P914" t="s">
        <v>12</v>
      </c>
      <c r="Q914" t="s">
        <v>13</v>
      </c>
      <c r="R914" t="s">
        <v>3896</v>
      </c>
      <c r="S914" t="s">
        <v>1541</v>
      </c>
      <c r="T914" t="s">
        <v>3878</v>
      </c>
      <c r="U914" t="s">
        <v>1660</v>
      </c>
      <c r="V914" t="s">
        <v>1763</v>
      </c>
      <c r="W914" t="s">
        <v>1746</v>
      </c>
      <c r="X914" t="s">
        <v>1755</v>
      </c>
    </row>
    <row r="915" spans="1:24" x14ac:dyDescent="0.3">
      <c r="A915" t="s">
        <v>2722</v>
      </c>
      <c r="B915" s="2">
        <v>45773</v>
      </c>
      <c r="C915" t="s">
        <v>379</v>
      </c>
      <c r="D915" t="s">
        <v>1615</v>
      </c>
      <c r="E915" t="s">
        <v>1762</v>
      </c>
      <c r="F915" s="4">
        <v>3</v>
      </c>
      <c r="G915">
        <v>94.55</v>
      </c>
      <c r="H915">
        <v>0.13</v>
      </c>
      <c r="I915" t="s">
        <v>1812</v>
      </c>
      <c r="J915">
        <v>246.77549999999999</v>
      </c>
      <c r="K915" t="s">
        <v>380</v>
      </c>
      <c r="L915">
        <v>40</v>
      </c>
      <c r="M915" t="s">
        <v>16</v>
      </c>
      <c r="N915" t="s">
        <v>381</v>
      </c>
      <c r="O915" t="s">
        <v>43</v>
      </c>
      <c r="P915" t="s">
        <v>12</v>
      </c>
      <c r="Q915" t="s">
        <v>31</v>
      </c>
      <c r="R915" t="s">
        <v>3872</v>
      </c>
      <c r="S915" t="s">
        <v>1546</v>
      </c>
      <c r="T915" t="s">
        <v>3820</v>
      </c>
      <c r="U915" t="s">
        <v>1616</v>
      </c>
      <c r="V915" t="s">
        <v>1763</v>
      </c>
      <c r="W915" t="s">
        <v>1746</v>
      </c>
      <c r="X915" t="s">
        <v>1755</v>
      </c>
    </row>
    <row r="916" spans="1:24" x14ac:dyDescent="0.3">
      <c r="A916" t="s">
        <v>2723</v>
      </c>
      <c r="B916" s="2">
        <v>45308</v>
      </c>
      <c r="C916" t="s">
        <v>152</v>
      </c>
      <c r="D916" t="s">
        <v>1561</v>
      </c>
      <c r="E916" t="s">
        <v>1796</v>
      </c>
      <c r="F916" s="4">
        <v>3</v>
      </c>
      <c r="G916">
        <v>620.12</v>
      </c>
      <c r="H916">
        <v>0.06</v>
      </c>
      <c r="I916" t="s">
        <v>1807</v>
      </c>
      <c r="J916">
        <v>1748.7384</v>
      </c>
      <c r="K916" t="s">
        <v>153</v>
      </c>
      <c r="L916">
        <v>50</v>
      </c>
      <c r="M916" t="s">
        <v>9</v>
      </c>
      <c r="N916" t="s">
        <v>154</v>
      </c>
      <c r="O916" t="s">
        <v>155</v>
      </c>
      <c r="P916" t="s">
        <v>12</v>
      </c>
      <c r="Q916" t="s">
        <v>13</v>
      </c>
      <c r="R916" t="s">
        <v>3837</v>
      </c>
      <c r="S916" t="s">
        <v>1546</v>
      </c>
      <c r="T916" t="s">
        <v>3838</v>
      </c>
      <c r="U916" t="s">
        <v>1562</v>
      </c>
      <c r="V916" t="s">
        <v>1741</v>
      </c>
      <c r="W916" t="s">
        <v>1742</v>
      </c>
      <c r="X916" t="s">
        <v>1739</v>
      </c>
    </row>
    <row r="917" spans="1:24" x14ac:dyDescent="0.3">
      <c r="A917" t="s">
        <v>2724</v>
      </c>
      <c r="B917" s="2">
        <v>45869</v>
      </c>
      <c r="C917" t="s">
        <v>1478</v>
      </c>
      <c r="D917" t="s">
        <v>1669</v>
      </c>
      <c r="E917" t="s">
        <v>1759</v>
      </c>
      <c r="F917" s="4">
        <v>2</v>
      </c>
      <c r="G917">
        <v>354.09</v>
      </c>
      <c r="H917">
        <v>0.12</v>
      </c>
      <c r="I917" t="s">
        <v>1812</v>
      </c>
      <c r="J917">
        <v>623.19839999999999</v>
      </c>
      <c r="K917" t="s">
        <v>1479</v>
      </c>
      <c r="L917">
        <v>36</v>
      </c>
      <c r="M917" t="s">
        <v>16</v>
      </c>
      <c r="N917" t="s">
        <v>1480</v>
      </c>
      <c r="O917" t="s">
        <v>170</v>
      </c>
      <c r="P917" t="s">
        <v>12</v>
      </c>
      <c r="Q917" t="s">
        <v>26</v>
      </c>
      <c r="R917" t="s">
        <v>3902</v>
      </c>
      <c r="S917" t="s">
        <v>1530</v>
      </c>
      <c r="T917" t="s">
        <v>3818</v>
      </c>
      <c r="U917" t="s">
        <v>1670</v>
      </c>
      <c r="V917" t="s">
        <v>1760</v>
      </c>
      <c r="W917" t="s">
        <v>1737</v>
      </c>
      <c r="X917" t="s">
        <v>1755</v>
      </c>
    </row>
    <row r="918" spans="1:24" x14ac:dyDescent="0.3">
      <c r="A918" t="s">
        <v>2725</v>
      </c>
      <c r="B918" s="2">
        <v>45621</v>
      </c>
      <c r="C918" t="s">
        <v>442</v>
      </c>
      <c r="D918" t="s">
        <v>1637</v>
      </c>
      <c r="E918" t="s">
        <v>1756</v>
      </c>
      <c r="F918" s="4">
        <v>3</v>
      </c>
      <c r="G918">
        <v>214.94</v>
      </c>
      <c r="H918">
        <v>0.22</v>
      </c>
      <c r="I918" t="s">
        <v>1812</v>
      </c>
      <c r="J918">
        <v>502.95960000000002</v>
      </c>
      <c r="K918" t="s">
        <v>443</v>
      </c>
      <c r="L918">
        <v>34</v>
      </c>
      <c r="M918" t="s">
        <v>16</v>
      </c>
      <c r="N918" t="s">
        <v>3956</v>
      </c>
      <c r="O918" t="s">
        <v>166</v>
      </c>
      <c r="P918" t="s">
        <v>12</v>
      </c>
      <c r="Q918" t="s">
        <v>19</v>
      </c>
      <c r="R918" t="s">
        <v>3885</v>
      </c>
      <c r="S918" t="s">
        <v>1530</v>
      </c>
      <c r="T918" t="s">
        <v>3818</v>
      </c>
      <c r="U918" t="s">
        <v>1638</v>
      </c>
      <c r="V918" t="s">
        <v>1757</v>
      </c>
      <c r="W918" t="s">
        <v>1742</v>
      </c>
      <c r="X918" t="s">
        <v>1748</v>
      </c>
    </row>
    <row r="919" spans="1:24" x14ac:dyDescent="0.3">
      <c r="A919" t="s">
        <v>2726</v>
      </c>
      <c r="B919" s="2">
        <v>45428</v>
      </c>
      <c r="C919" t="s">
        <v>645</v>
      </c>
      <c r="D919" t="s">
        <v>1548</v>
      </c>
      <c r="E919" t="s">
        <v>1777</v>
      </c>
      <c r="F919" s="4">
        <v>2</v>
      </c>
      <c r="G919">
        <v>309.77999999999997</v>
      </c>
      <c r="H919">
        <v>0.16</v>
      </c>
      <c r="I919" t="s">
        <v>1807</v>
      </c>
      <c r="J919">
        <v>520.43039999999996</v>
      </c>
      <c r="K919" t="s">
        <v>646</v>
      </c>
      <c r="L919">
        <v>30</v>
      </c>
      <c r="M919" t="s">
        <v>9</v>
      </c>
      <c r="N919" t="s">
        <v>647</v>
      </c>
      <c r="O919" t="s">
        <v>234</v>
      </c>
      <c r="P919" t="s">
        <v>12</v>
      </c>
      <c r="Q919" t="s">
        <v>26</v>
      </c>
      <c r="R919" t="s">
        <v>3922</v>
      </c>
      <c r="S919" t="s">
        <v>1541</v>
      </c>
      <c r="T919" t="s">
        <v>3878</v>
      </c>
      <c r="U919" t="s">
        <v>1710</v>
      </c>
      <c r="V919" t="s">
        <v>1741</v>
      </c>
      <c r="W919" t="s">
        <v>1742</v>
      </c>
      <c r="X919" t="s">
        <v>1739</v>
      </c>
    </row>
    <row r="920" spans="1:24" x14ac:dyDescent="0.3">
      <c r="A920" t="s">
        <v>2727</v>
      </c>
      <c r="B920" s="2">
        <v>45807</v>
      </c>
      <c r="C920" t="s">
        <v>252</v>
      </c>
      <c r="D920" t="s">
        <v>1557</v>
      </c>
      <c r="E920" t="s">
        <v>1749</v>
      </c>
      <c r="F920" s="4">
        <v>2</v>
      </c>
      <c r="G920">
        <v>183.85</v>
      </c>
      <c r="H920">
        <v>0.14000000000000001</v>
      </c>
      <c r="I920" t="s">
        <v>1809</v>
      </c>
      <c r="J920">
        <v>316.22199999999998</v>
      </c>
      <c r="K920" t="s">
        <v>253</v>
      </c>
      <c r="L920">
        <v>29</v>
      </c>
      <c r="M920" t="s">
        <v>16</v>
      </c>
      <c r="N920" t="s">
        <v>254</v>
      </c>
      <c r="O920" t="s">
        <v>88</v>
      </c>
      <c r="P920" t="s">
        <v>12</v>
      </c>
      <c r="Q920" t="s">
        <v>19</v>
      </c>
      <c r="R920" t="s">
        <v>3834</v>
      </c>
      <c r="S920" t="s">
        <v>1546</v>
      </c>
      <c r="T920" t="s">
        <v>3820</v>
      </c>
      <c r="U920" t="s">
        <v>1558</v>
      </c>
      <c r="V920" t="s">
        <v>1750</v>
      </c>
      <c r="W920" t="s">
        <v>1742</v>
      </c>
      <c r="X920" t="s">
        <v>1748</v>
      </c>
    </row>
    <row r="921" spans="1:24" x14ac:dyDescent="0.3">
      <c r="A921" t="s">
        <v>2728</v>
      </c>
      <c r="B921" s="2">
        <v>45238</v>
      </c>
      <c r="C921" t="s">
        <v>1258</v>
      </c>
      <c r="D921" t="s">
        <v>1671</v>
      </c>
      <c r="E921" t="s">
        <v>1735</v>
      </c>
      <c r="F921" s="4">
        <v>1</v>
      </c>
      <c r="G921">
        <v>550.05999999999995</v>
      </c>
      <c r="H921">
        <v>0.01</v>
      </c>
      <c r="I921" t="s">
        <v>1807</v>
      </c>
      <c r="J921">
        <v>544.55939999999998</v>
      </c>
      <c r="K921" t="s">
        <v>1259</v>
      </c>
      <c r="L921">
        <v>48</v>
      </c>
      <c r="M921" t="s">
        <v>16</v>
      </c>
      <c r="N921" t="s">
        <v>1260</v>
      </c>
      <c r="O921" t="s">
        <v>838</v>
      </c>
      <c r="P921" t="s">
        <v>12</v>
      </c>
      <c r="Q921" t="s">
        <v>13</v>
      </c>
      <c r="R921" t="s">
        <v>3903</v>
      </c>
      <c r="S921" t="s">
        <v>1527</v>
      </c>
      <c r="T921" t="s">
        <v>3847</v>
      </c>
      <c r="U921" t="s">
        <v>1672</v>
      </c>
      <c r="V921" t="s">
        <v>1736</v>
      </c>
      <c r="W921" t="s">
        <v>1737</v>
      </c>
      <c r="X921" t="s">
        <v>1739</v>
      </c>
    </row>
    <row r="922" spans="1:24" x14ac:dyDescent="0.3">
      <c r="A922" t="s">
        <v>2729</v>
      </c>
      <c r="B922" s="2">
        <v>45253</v>
      </c>
      <c r="C922" t="s">
        <v>121</v>
      </c>
      <c r="D922" t="s">
        <v>1689</v>
      </c>
      <c r="E922" t="s">
        <v>1752</v>
      </c>
      <c r="F922" s="4">
        <v>2</v>
      </c>
      <c r="G922">
        <v>32.19</v>
      </c>
      <c r="H922">
        <v>0.13</v>
      </c>
      <c r="I922" t="s">
        <v>1812</v>
      </c>
      <c r="J922">
        <v>56.010599999999997</v>
      </c>
      <c r="K922" t="s">
        <v>122</v>
      </c>
      <c r="L922">
        <v>64</v>
      </c>
      <c r="M922" t="s">
        <v>16</v>
      </c>
      <c r="N922" t="s">
        <v>123</v>
      </c>
      <c r="O922" t="s">
        <v>30</v>
      </c>
      <c r="P922" t="s">
        <v>12</v>
      </c>
      <c r="Q922" t="s">
        <v>31</v>
      </c>
      <c r="R922" t="s">
        <v>3912</v>
      </c>
      <c r="S922" t="s">
        <v>1527</v>
      </c>
      <c r="T922" t="s">
        <v>3824</v>
      </c>
      <c r="U922" t="s">
        <v>1690</v>
      </c>
      <c r="V922" t="s">
        <v>1753</v>
      </c>
      <c r="W922" t="s">
        <v>1746</v>
      </c>
      <c r="X922" t="s">
        <v>1755</v>
      </c>
    </row>
    <row r="923" spans="1:24" x14ac:dyDescent="0.3">
      <c r="A923" t="s">
        <v>2730</v>
      </c>
      <c r="B923" s="2">
        <v>45460</v>
      </c>
      <c r="C923" t="s">
        <v>465</v>
      </c>
      <c r="D923" t="s">
        <v>1597</v>
      </c>
      <c r="E923" t="s">
        <v>1796</v>
      </c>
      <c r="F923" s="4">
        <v>2</v>
      </c>
      <c r="G923">
        <v>892.06</v>
      </c>
      <c r="H923">
        <v>0.08</v>
      </c>
      <c r="I923" t="s">
        <v>1807</v>
      </c>
      <c r="J923">
        <v>1641.3904</v>
      </c>
      <c r="K923" t="s">
        <v>466</v>
      </c>
      <c r="L923">
        <v>32</v>
      </c>
      <c r="M923" t="s">
        <v>9</v>
      </c>
      <c r="N923" t="s">
        <v>390</v>
      </c>
      <c r="O923" t="s">
        <v>284</v>
      </c>
      <c r="P923" t="s">
        <v>12</v>
      </c>
      <c r="Q923" t="s">
        <v>13</v>
      </c>
      <c r="R923" t="s">
        <v>3861</v>
      </c>
      <c r="S923" t="s">
        <v>1527</v>
      </c>
      <c r="T923" t="s">
        <v>3836</v>
      </c>
      <c r="U923" t="s">
        <v>1598</v>
      </c>
      <c r="V923" t="s">
        <v>1741</v>
      </c>
      <c r="W923" t="s">
        <v>1742</v>
      </c>
      <c r="X923" t="s">
        <v>1739</v>
      </c>
    </row>
    <row r="924" spans="1:24" x14ac:dyDescent="0.3">
      <c r="A924" t="s">
        <v>2731</v>
      </c>
      <c r="B924" s="2">
        <v>45628</v>
      </c>
      <c r="C924" t="s">
        <v>1439</v>
      </c>
      <c r="D924" t="s">
        <v>1647</v>
      </c>
      <c r="E924" t="s">
        <v>1759</v>
      </c>
      <c r="F924" s="4">
        <v>1</v>
      </c>
      <c r="G924">
        <v>127.47</v>
      </c>
      <c r="H924">
        <v>0.16</v>
      </c>
      <c r="I924" t="s">
        <v>1812</v>
      </c>
      <c r="J924">
        <v>107.0748</v>
      </c>
      <c r="K924" t="s">
        <v>1440</v>
      </c>
      <c r="L924">
        <v>53</v>
      </c>
      <c r="M924" t="s">
        <v>9</v>
      </c>
      <c r="N924" t="s">
        <v>1441</v>
      </c>
      <c r="O924" t="s">
        <v>709</v>
      </c>
      <c r="P924" t="s">
        <v>12</v>
      </c>
      <c r="Q924" t="s">
        <v>31</v>
      </c>
      <c r="R924" t="s">
        <v>3890</v>
      </c>
      <c r="S924" t="s">
        <v>1530</v>
      </c>
      <c r="T924" t="s">
        <v>3820</v>
      </c>
      <c r="U924" t="s">
        <v>1648</v>
      </c>
      <c r="V924" t="s">
        <v>1760</v>
      </c>
      <c r="W924" t="s">
        <v>1737</v>
      </c>
      <c r="X924" t="s">
        <v>1755</v>
      </c>
    </row>
    <row r="925" spans="1:24" x14ac:dyDescent="0.3">
      <c r="A925" t="s">
        <v>2732</v>
      </c>
      <c r="B925" s="2">
        <v>45778</v>
      </c>
      <c r="C925" t="s">
        <v>1198</v>
      </c>
      <c r="D925" t="s">
        <v>1685</v>
      </c>
      <c r="E925" t="s">
        <v>1782</v>
      </c>
      <c r="F925" s="4">
        <v>3</v>
      </c>
      <c r="G925">
        <v>212.87</v>
      </c>
      <c r="H925">
        <v>0.18</v>
      </c>
      <c r="I925" t="s">
        <v>1807</v>
      </c>
      <c r="J925">
        <v>523.66020000000003</v>
      </c>
      <c r="K925" t="s">
        <v>1199</v>
      </c>
      <c r="L925">
        <v>50</v>
      </c>
      <c r="M925" t="s">
        <v>9</v>
      </c>
      <c r="N925" t="s">
        <v>1200</v>
      </c>
      <c r="O925" t="s">
        <v>113</v>
      </c>
      <c r="P925" t="s">
        <v>12</v>
      </c>
      <c r="Q925" t="s">
        <v>19</v>
      </c>
      <c r="R925" t="s">
        <v>3910</v>
      </c>
      <c r="S925" t="s">
        <v>1546</v>
      </c>
      <c r="T925" t="s">
        <v>3838</v>
      </c>
      <c r="U925" t="s">
        <v>1686</v>
      </c>
      <c r="V925" t="s">
        <v>1741</v>
      </c>
      <c r="W925" t="s">
        <v>1742</v>
      </c>
      <c r="X925" t="s">
        <v>1739</v>
      </c>
    </row>
    <row r="926" spans="1:24" x14ac:dyDescent="0.3">
      <c r="A926" t="s">
        <v>2733</v>
      </c>
      <c r="B926" s="2">
        <v>45471</v>
      </c>
      <c r="C926" t="s">
        <v>592</v>
      </c>
      <c r="D926" t="s">
        <v>1693</v>
      </c>
      <c r="E926" t="s">
        <v>1762</v>
      </c>
      <c r="F926" s="4">
        <v>1</v>
      </c>
      <c r="G926">
        <v>26.37</v>
      </c>
      <c r="H926">
        <v>0.3</v>
      </c>
      <c r="I926" t="s">
        <v>1812</v>
      </c>
      <c r="J926">
        <v>18.459</v>
      </c>
      <c r="K926" t="s">
        <v>593</v>
      </c>
      <c r="L926">
        <v>23</v>
      </c>
      <c r="M926" t="s">
        <v>16</v>
      </c>
      <c r="N926" t="s">
        <v>594</v>
      </c>
      <c r="O926" t="s">
        <v>58</v>
      </c>
      <c r="P926" t="s">
        <v>12</v>
      </c>
      <c r="Q926" t="s">
        <v>26</v>
      </c>
      <c r="R926" t="s">
        <v>3914</v>
      </c>
      <c r="S926" t="s">
        <v>1549</v>
      </c>
      <c r="T926" t="s">
        <v>3844</v>
      </c>
      <c r="U926" t="s">
        <v>1694</v>
      </c>
      <c r="V926" t="s">
        <v>1763</v>
      </c>
      <c r="W926" t="s">
        <v>1746</v>
      </c>
      <c r="X926" t="s">
        <v>1755</v>
      </c>
    </row>
    <row r="927" spans="1:24" x14ac:dyDescent="0.3">
      <c r="A927" t="s">
        <v>2734</v>
      </c>
      <c r="B927" s="2">
        <v>45770</v>
      </c>
      <c r="C927" t="s">
        <v>1421</v>
      </c>
      <c r="D927" t="s">
        <v>1599</v>
      </c>
      <c r="E927" t="s">
        <v>1793</v>
      </c>
      <c r="F927" s="4">
        <v>4</v>
      </c>
      <c r="G927">
        <v>953.98</v>
      </c>
      <c r="H927">
        <v>0.16</v>
      </c>
      <c r="I927" t="s">
        <v>1807</v>
      </c>
      <c r="J927">
        <v>3205.3728000000001</v>
      </c>
      <c r="K927" t="s">
        <v>1422</v>
      </c>
      <c r="L927">
        <v>63</v>
      </c>
      <c r="M927" t="s">
        <v>16</v>
      </c>
      <c r="N927" t="s">
        <v>1423</v>
      </c>
      <c r="O927" t="s">
        <v>198</v>
      </c>
      <c r="P927" t="s">
        <v>12</v>
      </c>
      <c r="Q927" t="s">
        <v>31</v>
      </c>
      <c r="R927" t="s">
        <v>3862</v>
      </c>
      <c r="S927" t="s">
        <v>1546</v>
      </c>
      <c r="T927" t="s">
        <v>3811</v>
      </c>
      <c r="U927" t="s">
        <v>1600</v>
      </c>
      <c r="V927" t="s">
        <v>1741</v>
      </c>
      <c r="W927" t="s">
        <v>1742</v>
      </c>
      <c r="X927" t="s">
        <v>1739</v>
      </c>
    </row>
    <row r="928" spans="1:24" x14ac:dyDescent="0.3">
      <c r="A928" t="s">
        <v>2735</v>
      </c>
      <c r="B928" s="2">
        <v>45369</v>
      </c>
      <c r="C928" t="s">
        <v>693</v>
      </c>
      <c r="D928" t="s">
        <v>1665</v>
      </c>
      <c r="E928" t="s">
        <v>1796</v>
      </c>
      <c r="F928" s="4">
        <v>3</v>
      </c>
      <c r="G928">
        <v>968.88</v>
      </c>
      <c r="H928">
        <v>0.15</v>
      </c>
      <c r="I928" t="s">
        <v>1807</v>
      </c>
      <c r="J928">
        <v>2470.6439999999998</v>
      </c>
      <c r="K928" t="s">
        <v>694</v>
      </c>
      <c r="L928">
        <v>44</v>
      </c>
      <c r="M928" t="s">
        <v>9</v>
      </c>
      <c r="N928" t="s">
        <v>695</v>
      </c>
      <c r="O928" t="s">
        <v>35</v>
      </c>
      <c r="P928" t="s">
        <v>12</v>
      </c>
      <c r="Q928" t="s">
        <v>13</v>
      </c>
      <c r="R928" t="s">
        <v>3899</v>
      </c>
      <c r="S928" t="s">
        <v>1546</v>
      </c>
      <c r="T928" t="s">
        <v>3820</v>
      </c>
      <c r="U928" t="s">
        <v>1666</v>
      </c>
      <c r="V928" t="s">
        <v>1741</v>
      </c>
      <c r="W928" t="s">
        <v>1742</v>
      </c>
      <c r="X928" t="s">
        <v>1739</v>
      </c>
    </row>
    <row r="929" spans="1:24" x14ac:dyDescent="0.3">
      <c r="A929" t="s">
        <v>2736</v>
      </c>
      <c r="B929" s="2">
        <v>45910</v>
      </c>
      <c r="C929" t="s">
        <v>610</v>
      </c>
      <c r="D929" t="s">
        <v>1683</v>
      </c>
      <c r="E929" t="s">
        <v>1793</v>
      </c>
      <c r="F929" s="4">
        <v>1</v>
      </c>
      <c r="G929">
        <v>533.04999999999995</v>
      </c>
      <c r="H929">
        <v>0.11</v>
      </c>
      <c r="I929" t="s">
        <v>1809</v>
      </c>
      <c r="J929">
        <v>474.41449999999998</v>
      </c>
      <c r="K929" t="s">
        <v>611</v>
      </c>
      <c r="L929">
        <v>42</v>
      </c>
      <c r="M929" t="s">
        <v>9</v>
      </c>
      <c r="N929" t="s">
        <v>612</v>
      </c>
      <c r="O929" t="s">
        <v>22</v>
      </c>
      <c r="P929" t="s">
        <v>12</v>
      </c>
      <c r="Q929" t="s">
        <v>19</v>
      </c>
      <c r="R929" t="s">
        <v>3909</v>
      </c>
      <c r="S929" t="s">
        <v>1546</v>
      </c>
      <c r="T929" t="s">
        <v>3811</v>
      </c>
      <c r="U929" t="s">
        <v>1684</v>
      </c>
      <c r="V929" t="s">
        <v>1741</v>
      </c>
      <c r="W929" t="s">
        <v>1742</v>
      </c>
      <c r="X929" t="s">
        <v>1739</v>
      </c>
    </row>
    <row r="930" spans="1:24" x14ac:dyDescent="0.3">
      <c r="A930" t="s">
        <v>2737</v>
      </c>
      <c r="B930" s="2">
        <v>45637</v>
      </c>
      <c r="C930" t="s">
        <v>1177</v>
      </c>
      <c r="D930" t="s">
        <v>1693</v>
      </c>
      <c r="E930" t="s">
        <v>1740</v>
      </c>
      <c r="F930" s="4">
        <v>3</v>
      </c>
      <c r="G930">
        <v>138.86000000000001</v>
      </c>
      <c r="H930">
        <v>0.11</v>
      </c>
      <c r="I930" t="s">
        <v>1809</v>
      </c>
      <c r="J930">
        <v>370.75619999999998</v>
      </c>
      <c r="K930" t="s">
        <v>1178</v>
      </c>
      <c r="L930">
        <v>20</v>
      </c>
      <c r="M930" t="s">
        <v>16</v>
      </c>
      <c r="N930" t="s">
        <v>1179</v>
      </c>
      <c r="O930" t="s">
        <v>22</v>
      </c>
      <c r="P930" t="s">
        <v>12</v>
      </c>
      <c r="Q930" t="s">
        <v>31</v>
      </c>
      <c r="R930" t="s">
        <v>3914</v>
      </c>
      <c r="S930" t="s">
        <v>1549</v>
      </c>
      <c r="T930" t="s">
        <v>3844</v>
      </c>
      <c r="U930" t="s">
        <v>1694</v>
      </c>
      <c r="V930" t="s">
        <v>1741</v>
      </c>
      <c r="W930" t="s">
        <v>1742</v>
      </c>
      <c r="X930" t="s">
        <v>1739</v>
      </c>
    </row>
    <row r="931" spans="1:24" x14ac:dyDescent="0.3">
      <c r="A931" t="s">
        <v>2738</v>
      </c>
      <c r="B931" s="2">
        <v>45706</v>
      </c>
      <c r="C931" t="s">
        <v>527</v>
      </c>
      <c r="D931" t="s">
        <v>1575</v>
      </c>
      <c r="E931" t="s">
        <v>1735</v>
      </c>
      <c r="F931" s="4">
        <v>1</v>
      </c>
      <c r="G931">
        <v>588.92999999999995</v>
      </c>
      <c r="H931">
        <v>0.03</v>
      </c>
      <c r="I931" t="s">
        <v>1812</v>
      </c>
      <c r="J931">
        <v>571.26209999999992</v>
      </c>
      <c r="K931" t="s">
        <v>528</v>
      </c>
      <c r="L931">
        <v>41</v>
      </c>
      <c r="M931" t="s">
        <v>16</v>
      </c>
      <c r="N931" t="s">
        <v>529</v>
      </c>
      <c r="O931" t="s">
        <v>88</v>
      </c>
      <c r="P931" t="s">
        <v>12</v>
      </c>
      <c r="Q931" t="s">
        <v>13</v>
      </c>
      <c r="R931" t="s">
        <v>3848</v>
      </c>
      <c r="S931" t="s">
        <v>1549</v>
      </c>
      <c r="T931" t="s">
        <v>3844</v>
      </c>
      <c r="U931" t="s">
        <v>1576</v>
      </c>
      <c r="V931" t="s">
        <v>1736</v>
      </c>
      <c r="W931" t="s">
        <v>1737</v>
      </c>
      <c r="X931" t="s">
        <v>1739</v>
      </c>
    </row>
    <row r="932" spans="1:24" x14ac:dyDescent="0.3">
      <c r="A932" t="s">
        <v>2739</v>
      </c>
      <c r="B932" s="2">
        <v>45557</v>
      </c>
      <c r="C932" t="s">
        <v>1240</v>
      </c>
      <c r="D932" t="s">
        <v>1635</v>
      </c>
      <c r="E932" t="s">
        <v>1756</v>
      </c>
      <c r="F932" s="4">
        <v>2</v>
      </c>
      <c r="G932">
        <v>576.83000000000004</v>
      </c>
      <c r="H932">
        <v>0.19</v>
      </c>
      <c r="I932" t="s">
        <v>1809</v>
      </c>
      <c r="J932">
        <v>934.46460000000013</v>
      </c>
      <c r="K932" t="s">
        <v>1241</v>
      </c>
      <c r="L932">
        <v>22</v>
      </c>
      <c r="M932" t="s">
        <v>16</v>
      </c>
      <c r="N932" t="s">
        <v>1242</v>
      </c>
      <c r="O932" t="s">
        <v>323</v>
      </c>
      <c r="P932" t="s">
        <v>12</v>
      </c>
      <c r="Q932" t="s">
        <v>26</v>
      </c>
      <c r="R932" t="s">
        <v>3884</v>
      </c>
      <c r="S932" t="s">
        <v>1549</v>
      </c>
      <c r="T932" t="s">
        <v>3859</v>
      </c>
      <c r="U932" t="s">
        <v>1636</v>
      </c>
      <c r="V932" t="s">
        <v>1757</v>
      </c>
      <c r="W932" t="s">
        <v>1742</v>
      </c>
      <c r="X932" t="s">
        <v>1748</v>
      </c>
    </row>
    <row r="933" spans="1:24" x14ac:dyDescent="0.3">
      <c r="A933" t="s">
        <v>2740</v>
      </c>
      <c r="B933" s="2">
        <v>45338</v>
      </c>
      <c r="C933" t="s">
        <v>1007</v>
      </c>
      <c r="D933" t="s">
        <v>1661</v>
      </c>
      <c r="E933" t="s">
        <v>1777</v>
      </c>
      <c r="F933" s="4">
        <v>1</v>
      </c>
      <c r="G933">
        <v>681.3</v>
      </c>
      <c r="H933">
        <v>0.05</v>
      </c>
      <c r="I933" t="s">
        <v>1807</v>
      </c>
      <c r="J933">
        <v>647.2349999999999</v>
      </c>
      <c r="K933" t="s">
        <v>1008</v>
      </c>
      <c r="L933">
        <v>58</v>
      </c>
      <c r="M933" t="s">
        <v>9</v>
      </c>
      <c r="N933" t="s">
        <v>1009</v>
      </c>
      <c r="O933" t="s">
        <v>11</v>
      </c>
      <c r="P933" t="s">
        <v>12</v>
      </c>
      <c r="Q933" t="s">
        <v>19</v>
      </c>
      <c r="R933" t="s">
        <v>3897</v>
      </c>
      <c r="S933" t="s">
        <v>1549</v>
      </c>
      <c r="T933" t="s">
        <v>3828</v>
      </c>
      <c r="U933" t="s">
        <v>1662</v>
      </c>
      <c r="V933" t="s">
        <v>1741</v>
      </c>
      <c r="W933" t="s">
        <v>1742</v>
      </c>
      <c r="X933" t="s">
        <v>1739</v>
      </c>
    </row>
    <row r="934" spans="1:24" x14ac:dyDescent="0.3">
      <c r="A934" t="s">
        <v>2741</v>
      </c>
      <c r="B934" s="2">
        <v>45441</v>
      </c>
      <c r="C934" t="s">
        <v>1395</v>
      </c>
      <c r="D934" t="s">
        <v>1581</v>
      </c>
      <c r="E934" t="s">
        <v>1784</v>
      </c>
      <c r="F934" s="4">
        <v>3</v>
      </c>
      <c r="G934">
        <v>504.97</v>
      </c>
      <c r="H934">
        <v>0.3</v>
      </c>
      <c r="I934" t="s">
        <v>1807</v>
      </c>
      <c r="J934">
        <v>1060.4369999999999</v>
      </c>
      <c r="K934" t="s">
        <v>1396</v>
      </c>
      <c r="L934">
        <v>62</v>
      </c>
      <c r="M934" t="s">
        <v>16</v>
      </c>
      <c r="N934" t="s">
        <v>1397</v>
      </c>
      <c r="O934" t="s">
        <v>582</v>
      </c>
      <c r="P934" t="s">
        <v>12</v>
      </c>
      <c r="Q934" t="s">
        <v>19</v>
      </c>
      <c r="R934" t="s">
        <v>3852</v>
      </c>
      <c r="S934" t="s">
        <v>1530</v>
      </c>
      <c r="T934" t="s">
        <v>3820</v>
      </c>
      <c r="U934" t="s">
        <v>1582</v>
      </c>
      <c r="V934" t="s">
        <v>1741</v>
      </c>
      <c r="W934" t="s">
        <v>1742</v>
      </c>
      <c r="X934" t="s">
        <v>1739</v>
      </c>
    </row>
    <row r="935" spans="1:24" x14ac:dyDescent="0.3">
      <c r="A935" t="s">
        <v>2742</v>
      </c>
      <c r="B935" s="2">
        <v>45396</v>
      </c>
      <c r="C935" t="s">
        <v>221</v>
      </c>
      <c r="D935" t="s">
        <v>1607</v>
      </c>
      <c r="E935" t="s">
        <v>1775</v>
      </c>
      <c r="F935" s="4">
        <v>3</v>
      </c>
      <c r="G935">
        <v>649.78</v>
      </c>
      <c r="H935">
        <v>0.1</v>
      </c>
      <c r="I935" t="s">
        <v>1809</v>
      </c>
      <c r="J935">
        <v>1754.4059999999999</v>
      </c>
      <c r="K935" t="s">
        <v>222</v>
      </c>
      <c r="L935">
        <v>23</v>
      </c>
      <c r="M935" t="s">
        <v>9</v>
      </c>
      <c r="N935" t="s">
        <v>223</v>
      </c>
      <c r="O935" t="s">
        <v>162</v>
      </c>
      <c r="P935" t="s">
        <v>12</v>
      </c>
      <c r="Q935" t="s">
        <v>31</v>
      </c>
      <c r="R935" t="s">
        <v>3867</v>
      </c>
      <c r="S935" t="s">
        <v>1549</v>
      </c>
      <c r="T935" t="s">
        <v>3851</v>
      </c>
      <c r="U935" t="s">
        <v>1608</v>
      </c>
      <c r="V935" t="s">
        <v>1741</v>
      </c>
      <c r="W935" t="s">
        <v>1742</v>
      </c>
      <c r="X935" t="s">
        <v>1739</v>
      </c>
    </row>
    <row r="936" spans="1:24" x14ac:dyDescent="0.3">
      <c r="A936" t="s">
        <v>2743</v>
      </c>
      <c r="B936" s="2">
        <v>45317</v>
      </c>
      <c r="C936" t="s">
        <v>779</v>
      </c>
      <c r="D936" t="s">
        <v>1609</v>
      </c>
      <c r="E936" t="s">
        <v>1769</v>
      </c>
      <c r="F936" s="4">
        <v>2</v>
      </c>
      <c r="G936">
        <v>986.73</v>
      </c>
      <c r="H936">
        <v>0.05</v>
      </c>
      <c r="I936" t="s">
        <v>1809</v>
      </c>
      <c r="J936">
        <v>1874.787</v>
      </c>
      <c r="K936" t="s">
        <v>780</v>
      </c>
      <c r="L936">
        <v>58</v>
      </c>
      <c r="M936" t="s">
        <v>9</v>
      </c>
      <c r="N936" t="s">
        <v>781</v>
      </c>
      <c r="O936" t="s">
        <v>155</v>
      </c>
      <c r="P936" t="s">
        <v>12</v>
      </c>
      <c r="Q936" t="s">
        <v>19</v>
      </c>
      <c r="R936" t="s">
        <v>3868</v>
      </c>
      <c r="S936" t="s">
        <v>1546</v>
      </c>
      <c r="T936" t="s">
        <v>3869</v>
      </c>
      <c r="U936" t="s">
        <v>1610</v>
      </c>
      <c r="V936" t="s">
        <v>1770</v>
      </c>
      <c r="W936" t="s">
        <v>1746</v>
      </c>
      <c r="X936" t="s">
        <v>1739</v>
      </c>
    </row>
    <row r="937" spans="1:24" x14ac:dyDescent="0.3">
      <c r="A937" t="s">
        <v>2744</v>
      </c>
      <c r="B937" s="2">
        <v>45235</v>
      </c>
      <c r="C937" t="s">
        <v>409</v>
      </c>
      <c r="D937" t="s">
        <v>1557</v>
      </c>
      <c r="E937" t="s">
        <v>1784</v>
      </c>
      <c r="F937" s="4">
        <v>2</v>
      </c>
      <c r="G937">
        <v>65.44</v>
      </c>
      <c r="H937">
        <v>0.05</v>
      </c>
      <c r="I937" t="s">
        <v>1809</v>
      </c>
      <c r="J937">
        <v>124.336</v>
      </c>
      <c r="K937" t="s">
        <v>410</v>
      </c>
      <c r="L937">
        <v>44</v>
      </c>
      <c r="M937" t="s">
        <v>16</v>
      </c>
      <c r="N937" t="s">
        <v>411</v>
      </c>
      <c r="O937" t="s">
        <v>234</v>
      </c>
      <c r="P937" t="s">
        <v>12</v>
      </c>
      <c r="Q937" t="s">
        <v>26</v>
      </c>
      <c r="R937" t="s">
        <v>3834</v>
      </c>
      <c r="S937" t="s">
        <v>1546</v>
      </c>
      <c r="T937" t="s">
        <v>3820</v>
      </c>
      <c r="U937" t="s">
        <v>1558</v>
      </c>
      <c r="V937" t="s">
        <v>1741</v>
      </c>
      <c r="W937" t="s">
        <v>1742</v>
      </c>
      <c r="X937" t="s">
        <v>1739</v>
      </c>
    </row>
    <row r="938" spans="1:24" x14ac:dyDescent="0.3">
      <c r="A938" t="s">
        <v>2745</v>
      </c>
      <c r="B938" s="2">
        <v>45824</v>
      </c>
      <c r="C938" t="s">
        <v>1183</v>
      </c>
      <c r="D938" t="s">
        <v>1657</v>
      </c>
      <c r="E938" t="s">
        <v>1780</v>
      </c>
      <c r="F938" s="4">
        <v>3</v>
      </c>
      <c r="G938">
        <v>953.74</v>
      </c>
      <c r="H938">
        <v>0.04</v>
      </c>
      <c r="I938" t="s">
        <v>1807</v>
      </c>
      <c r="J938">
        <v>2746.7712000000001</v>
      </c>
      <c r="K938" t="s">
        <v>1184</v>
      </c>
      <c r="L938">
        <v>52</v>
      </c>
      <c r="M938" t="s">
        <v>16</v>
      </c>
      <c r="N938" t="s">
        <v>1185</v>
      </c>
      <c r="O938" t="s">
        <v>312</v>
      </c>
      <c r="P938" t="s">
        <v>12</v>
      </c>
      <c r="Q938" t="s">
        <v>31</v>
      </c>
      <c r="R938" t="s">
        <v>3895</v>
      </c>
      <c r="S938" t="s">
        <v>1541</v>
      </c>
      <c r="T938" t="s">
        <v>3822</v>
      </c>
      <c r="U938" t="s">
        <v>1658</v>
      </c>
      <c r="V938" t="s">
        <v>1741</v>
      </c>
      <c r="W938" t="s">
        <v>1742</v>
      </c>
      <c r="X938" t="s">
        <v>1739</v>
      </c>
    </row>
    <row r="939" spans="1:24" x14ac:dyDescent="0.3">
      <c r="A939" t="s">
        <v>2746</v>
      </c>
      <c r="B939" s="2">
        <v>45543</v>
      </c>
      <c r="C939" t="s">
        <v>244</v>
      </c>
      <c r="D939" t="s">
        <v>1683</v>
      </c>
      <c r="E939" t="s">
        <v>1772</v>
      </c>
      <c r="F939" s="4">
        <v>3</v>
      </c>
      <c r="G939">
        <v>904.48</v>
      </c>
      <c r="H939">
        <v>0.21</v>
      </c>
      <c r="I939" t="s">
        <v>1809</v>
      </c>
      <c r="J939">
        <v>2143.6176</v>
      </c>
      <c r="K939" t="s">
        <v>245</v>
      </c>
      <c r="L939">
        <v>24</v>
      </c>
      <c r="M939" t="s">
        <v>16</v>
      </c>
      <c r="N939" t="s">
        <v>246</v>
      </c>
      <c r="O939" t="s">
        <v>247</v>
      </c>
      <c r="P939" t="s">
        <v>12</v>
      </c>
      <c r="Q939" t="s">
        <v>31</v>
      </c>
      <c r="R939" t="s">
        <v>3909</v>
      </c>
      <c r="S939" t="s">
        <v>1546</v>
      </c>
      <c r="T939" t="s">
        <v>3811</v>
      </c>
      <c r="U939" t="s">
        <v>1684</v>
      </c>
      <c r="V939" t="s">
        <v>1741</v>
      </c>
      <c r="W939" t="s">
        <v>1742</v>
      </c>
      <c r="X939" t="s">
        <v>1739</v>
      </c>
    </row>
    <row r="940" spans="1:24" x14ac:dyDescent="0.3">
      <c r="A940" t="s">
        <v>2747</v>
      </c>
      <c r="B940" s="2">
        <v>45595</v>
      </c>
      <c r="C940" t="s">
        <v>1496</v>
      </c>
      <c r="D940" t="s">
        <v>1655</v>
      </c>
      <c r="E940" t="s">
        <v>1784</v>
      </c>
      <c r="F940" s="4">
        <v>3</v>
      </c>
      <c r="G940">
        <v>920.82</v>
      </c>
      <c r="H940">
        <v>0.1</v>
      </c>
      <c r="I940" t="s">
        <v>1809</v>
      </c>
      <c r="J940">
        <v>2486.2139999999999</v>
      </c>
      <c r="K940" t="s">
        <v>1497</v>
      </c>
      <c r="L940">
        <v>28</v>
      </c>
      <c r="M940" t="s">
        <v>9</v>
      </c>
      <c r="N940" t="s">
        <v>1498</v>
      </c>
      <c r="O940" t="s">
        <v>247</v>
      </c>
      <c r="P940" t="s">
        <v>12</v>
      </c>
      <c r="Q940" t="s">
        <v>19</v>
      </c>
      <c r="R940" t="s">
        <v>3894</v>
      </c>
      <c r="S940" t="s">
        <v>1546</v>
      </c>
      <c r="T940" t="s">
        <v>3811</v>
      </c>
      <c r="U940" t="s">
        <v>1656</v>
      </c>
      <c r="V940" t="s">
        <v>1741</v>
      </c>
      <c r="W940" t="s">
        <v>1742</v>
      </c>
      <c r="X940" t="s">
        <v>1739</v>
      </c>
    </row>
    <row r="941" spans="1:24" x14ac:dyDescent="0.3">
      <c r="A941" t="s">
        <v>2748</v>
      </c>
      <c r="B941" s="2">
        <v>45803</v>
      </c>
      <c r="C941" t="s">
        <v>953</v>
      </c>
      <c r="D941" t="s">
        <v>1587</v>
      </c>
      <c r="E941" t="s">
        <v>1740</v>
      </c>
      <c r="F941" s="4">
        <v>1</v>
      </c>
      <c r="G941">
        <v>182.28</v>
      </c>
      <c r="H941">
        <v>0.15</v>
      </c>
      <c r="I941" t="s">
        <v>1812</v>
      </c>
      <c r="J941">
        <v>154.93799999999999</v>
      </c>
      <c r="K941" t="s">
        <v>954</v>
      </c>
      <c r="L941">
        <v>44</v>
      </c>
      <c r="M941" t="s">
        <v>9</v>
      </c>
      <c r="N941" t="s">
        <v>955</v>
      </c>
      <c r="O941" t="s">
        <v>74</v>
      </c>
      <c r="P941" t="s">
        <v>12</v>
      </c>
      <c r="Q941" t="s">
        <v>19</v>
      </c>
      <c r="R941" t="s">
        <v>3855</v>
      </c>
      <c r="S941" t="s">
        <v>1549</v>
      </c>
      <c r="T941" t="s">
        <v>3820</v>
      </c>
      <c r="U941" t="s">
        <v>1588</v>
      </c>
      <c r="V941" t="s">
        <v>1741</v>
      </c>
      <c r="W941" t="s">
        <v>1742</v>
      </c>
      <c r="X941" t="s">
        <v>1739</v>
      </c>
    </row>
    <row r="942" spans="1:24" x14ac:dyDescent="0.3">
      <c r="A942" t="s">
        <v>2749</v>
      </c>
      <c r="B942" s="2">
        <v>45880</v>
      </c>
      <c r="C942" t="s">
        <v>1361</v>
      </c>
      <c r="D942" t="s">
        <v>1593</v>
      </c>
      <c r="E942" t="s">
        <v>1787</v>
      </c>
      <c r="F942" s="4">
        <v>3</v>
      </c>
      <c r="G942">
        <v>938.68</v>
      </c>
      <c r="H942">
        <v>0.14000000000000001</v>
      </c>
      <c r="I942" t="s">
        <v>1807</v>
      </c>
      <c r="J942">
        <v>2421.7944000000002</v>
      </c>
      <c r="K942" t="s">
        <v>1362</v>
      </c>
      <c r="L942">
        <v>35</v>
      </c>
      <c r="M942" t="s">
        <v>9</v>
      </c>
      <c r="N942" t="s">
        <v>1363</v>
      </c>
      <c r="O942" t="s">
        <v>284</v>
      </c>
      <c r="P942" t="s">
        <v>12</v>
      </c>
      <c r="Q942" t="s">
        <v>19</v>
      </c>
      <c r="R942" t="s">
        <v>3858</v>
      </c>
      <c r="S942" t="s">
        <v>1549</v>
      </c>
      <c r="T942" t="s">
        <v>3859</v>
      </c>
      <c r="U942" t="s">
        <v>1594</v>
      </c>
      <c r="V942" t="s">
        <v>1741</v>
      </c>
      <c r="W942" t="s">
        <v>1742</v>
      </c>
      <c r="X942" t="s">
        <v>1739</v>
      </c>
    </row>
    <row r="943" spans="1:24" x14ac:dyDescent="0.3">
      <c r="A943" t="s">
        <v>2750</v>
      </c>
      <c r="B943" s="2">
        <v>45690</v>
      </c>
      <c r="C943" t="s">
        <v>292</v>
      </c>
      <c r="D943" t="s">
        <v>1713</v>
      </c>
      <c r="E943" t="s">
        <v>1756</v>
      </c>
      <c r="F943" s="4">
        <v>3</v>
      </c>
      <c r="G943">
        <v>219.96</v>
      </c>
      <c r="H943">
        <v>0.18</v>
      </c>
      <c r="I943" t="s">
        <v>1809</v>
      </c>
      <c r="J943">
        <v>541.10160000000008</v>
      </c>
      <c r="K943" t="s">
        <v>293</v>
      </c>
      <c r="L943">
        <v>53</v>
      </c>
      <c r="M943" t="s">
        <v>9</v>
      </c>
      <c r="N943" t="s">
        <v>294</v>
      </c>
      <c r="O943" t="s">
        <v>133</v>
      </c>
      <c r="P943" t="s">
        <v>12</v>
      </c>
      <c r="Q943" t="s">
        <v>19</v>
      </c>
      <c r="R943" t="s">
        <v>3924</v>
      </c>
      <c r="S943" t="s">
        <v>1530</v>
      </c>
      <c r="T943" t="s">
        <v>3866</v>
      </c>
      <c r="U943" t="s">
        <v>1714</v>
      </c>
      <c r="V943" t="s">
        <v>1757</v>
      </c>
      <c r="W943" t="s">
        <v>1742</v>
      </c>
      <c r="X943" t="s">
        <v>1748</v>
      </c>
    </row>
    <row r="944" spans="1:24" x14ac:dyDescent="0.3">
      <c r="A944" t="s">
        <v>2751</v>
      </c>
      <c r="B944" s="2">
        <v>45841</v>
      </c>
      <c r="C944" t="s">
        <v>1442</v>
      </c>
      <c r="D944" t="s">
        <v>1673</v>
      </c>
      <c r="E944" t="s">
        <v>1793</v>
      </c>
      <c r="F944" s="4">
        <v>3</v>
      </c>
      <c r="G944">
        <v>385.74</v>
      </c>
      <c r="H944">
        <v>0.27</v>
      </c>
      <c r="I944" t="s">
        <v>1807</v>
      </c>
      <c r="J944">
        <v>844.77059999999994</v>
      </c>
      <c r="K944" t="s">
        <v>1443</v>
      </c>
      <c r="L944">
        <v>32</v>
      </c>
      <c r="M944" t="s">
        <v>16</v>
      </c>
      <c r="N944" t="s">
        <v>1444</v>
      </c>
      <c r="O944" t="s">
        <v>319</v>
      </c>
      <c r="P944" t="s">
        <v>12</v>
      </c>
      <c r="Q944" t="s">
        <v>26</v>
      </c>
      <c r="R944" t="s">
        <v>3904</v>
      </c>
      <c r="S944" t="s">
        <v>1541</v>
      </c>
      <c r="T944" t="s">
        <v>3833</v>
      </c>
      <c r="U944" t="s">
        <v>1674</v>
      </c>
      <c r="V944" t="s">
        <v>1741</v>
      </c>
      <c r="W944" t="s">
        <v>1742</v>
      </c>
      <c r="X944" t="s">
        <v>1739</v>
      </c>
    </row>
    <row r="945" spans="1:24" x14ac:dyDescent="0.3">
      <c r="A945" t="s">
        <v>2752</v>
      </c>
      <c r="B945" s="2">
        <v>45380</v>
      </c>
      <c r="C945" t="s">
        <v>1384</v>
      </c>
      <c r="D945" t="s">
        <v>1693</v>
      </c>
      <c r="E945" t="s">
        <v>1793</v>
      </c>
      <c r="F945" s="4">
        <v>2</v>
      </c>
      <c r="G945">
        <v>830.94</v>
      </c>
      <c r="H945">
        <v>0.28000000000000003</v>
      </c>
      <c r="I945" t="s">
        <v>1809</v>
      </c>
      <c r="J945">
        <v>1196.5536</v>
      </c>
      <c r="K945" t="s">
        <v>1385</v>
      </c>
      <c r="L945">
        <v>60</v>
      </c>
      <c r="M945" t="s">
        <v>9</v>
      </c>
      <c r="N945" t="s">
        <v>1386</v>
      </c>
      <c r="O945" t="s">
        <v>99</v>
      </c>
      <c r="P945" t="s">
        <v>12</v>
      </c>
      <c r="Q945" t="s">
        <v>19</v>
      </c>
      <c r="R945" t="s">
        <v>3914</v>
      </c>
      <c r="S945" t="s">
        <v>1549</v>
      </c>
      <c r="T945" t="s">
        <v>3844</v>
      </c>
      <c r="U945" t="s">
        <v>1694</v>
      </c>
      <c r="V945" t="s">
        <v>1741</v>
      </c>
      <c r="W945" t="s">
        <v>1742</v>
      </c>
      <c r="X945" t="s">
        <v>1739</v>
      </c>
    </row>
    <row r="946" spans="1:24" x14ac:dyDescent="0.3">
      <c r="A946" t="s">
        <v>2753</v>
      </c>
      <c r="B946" s="2">
        <v>45503</v>
      </c>
      <c r="C946" t="s">
        <v>1183</v>
      </c>
      <c r="D946" t="s">
        <v>1534</v>
      </c>
      <c r="E946" t="s">
        <v>1769</v>
      </c>
      <c r="F946" s="4">
        <v>3</v>
      </c>
      <c r="G946">
        <v>462.75</v>
      </c>
      <c r="H946">
        <v>0.22</v>
      </c>
      <c r="I946" t="s">
        <v>1809</v>
      </c>
      <c r="J946">
        <v>1082.835</v>
      </c>
      <c r="K946" t="s">
        <v>1184</v>
      </c>
      <c r="L946">
        <v>52</v>
      </c>
      <c r="M946" t="s">
        <v>16</v>
      </c>
      <c r="N946" t="s">
        <v>1185</v>
      </c>
      <c r="O946" t="s">
        <v>312</v>
      </c>
      <c r="P946" t="s">
        <v>12</v>
      </c>
      <c r="Q946" t="s">
        <v>31</v>
      </c>
      <c r="R946" t="s">
        <v>3856</v>
      </c>
      <c r="S946" t="s">
        <v>1527</v>
      </c>
      <c r="T946" t="s">
        <v>3836</v>
      </c>
      <c r="U946" t="s">
        <v>1590</v>
      </c>
      <c r="V946" t="s">
        <v>1770</v>
      </c>
      <c r="W946" t="s">
        <v>1746</v>
      </c>
      <c r="X946" t="s">
        <v>1739</v>
      </c>
    </row>
    <row r="947" spans="1:24" x14ac:dyDescent="0.3">
      <c r="A947" t="s">
        <v>2754</v>
      </c>
      <c r="B947" s="2">
        <v>45567</v>
      </c>
      <c r="C947" t="s">
        <v>244</v>
      </c>
      <c r="D947" t="s">
        <v>1559</v>
      </c>
      <c r="E947" t="s">
        <v>1784</v>
      </c>
      <c r="F947" s="4">
        <v>4</v>
      </c>
      <c r="G947">
        <v>973.9</v>
      </c>
      <c r="H947">
        <v>0.02</v>
      </c>
      <c r="I947" t="s">
        <v>1812</v>
      </c>
      <c r="J947">
        <v>3817.6880000000001</v>
      </c>
      <c r="K947" t="s">
        <v>245</v>
      </c>
      <c r="L947">
        <v>24</v>
      </c>
      <c r="M947" t="s">
        <v>16</v>
      </c>
      <c r="N947" t="s">
        <v>246</v>
      </c>
      <c r="O947" t="s">
        <v>247</v>
      </c>
      <c r="P947" t="s">
        <v>12</v>
      </c>
      <c r="Q947" t="s">
        <v>31</v>
      </c>
      <c r="R947" t="s">
        <v>3835</v>
      </c>
      <c r="S947" t="s">
        <v>1527</v>
      </c>
      <c r="T947" t="s">
        <v>3836</v>
      </c>
      <c r="U947" t="s">
        <v>1560</v>
      </c>
      <c r="V947" t="s">
        <v>1741</v>
      </c>
      <c r="W947" t="s">
        <v>1742</v>
      </c>
      <c r="X947" t="s">
        <v>1739</v>
      </c>
    </row>
    <row r="948" spans="1:24" x14ac:dyDescent="0.3">
      <c r="A948" t="s">
        <v>2755</v>
      </c>
      <c r="B948" s="2">
        <v>45600</v>
      </c>
      <c r="C948" t="s">
        <v>470</v>
      </c>
      <c r="D948" t="s">
        <v>1601</v>
      </c>
      <c r="E948" t="s">
        <v>1740</v>
      </c>
      <c r="F948" s="4">
        <v>2</v>
      </c>
      <c r="G948">
        <v>157.18</v>
      </c>
      <c r="H948">
        <v>0.15</v>
      </c>
      <c r="I948" t="s">
        <v>1807</v>
      </c>
      <c r="J948">
        <v>267.20600000000002</v>
      </c>
      <c r="K948" t="s">
        <v>471</v>
      </c>
      <c r="L948">
        <v>30</v>
      </c>
      <c r="M948" t="s">
        <v>9</v>
      </c>
      <c r="N948" t="s">
        <v>472</v>
      </c>
      <c r="O948" t="s">
        <v>51</v>
      </c>
      <c r="P948" t="s">
        <v>12</v>
      </c>
      <c r="Q948" t="s">
        <v>13</v>
      </c>
      <c r="R948" t="s">
        <v>3863</v>
      </c>
      <c r="S948" t="s">
        <v>1527</v>
      </c>
      <c r="T948" t="s">
        <v>3824</v>
      </c>
      <c r="U948" t="s">
        <v>1602</v>
      </c>
      <c r="V948" t="s">
        <v>1741</v>
      </c>
      <c r="W948" t="s">
        <v>1742</v>
      </c>
      <c r="X948" t="s">
        <v>1739</v>
      </c>
    </row>
    <row r="949" spans="1:24" x14ac:dyDescent="0.3">
      <c r="A949" t="s">
        <v>2756</v>
      </c>
      <c r="B949" s="2">
        <v>45415</v>
      </c>
      <c r="C949" t="s">
        <v>63</v>
      </c>
      <c r="D949" t="s">
        <v>1677</v>
      </c>
      <c r="E949" t="s">
        <v>1780</v>
      </c>
      <c r="F949" s="4">
        <v>3</v>
      </c>
      <c r="G949">
        <v>239.57</v>
      </c>
      <c r="H949">
        <v>0.16</v>
      </c>
      <c r="I949" t="s">
        <v>1807</v>
      </c>
      <c r="J949">
        <v>603.71640000000002</v>
      </c>
      <c r="K949" t="s">
        <v>64</v>
      </c>
      <c r="L949">
        <v>53</v>
      </c>
      <c r="M949" t="s">
        <v>16</v>
      </c>
      <c r="N949" t="s">
        <v>65</v>
      </c>
      <c r="O949" t="s">
        <v>66</v>
      </c>
      <c r="P949" t="s">
        <v>12</v>
      </c>
      <c r="Q949" t="s">
        <v>31</v>
      </c>
      <c r="R949" t="s">
        <v>3906</v>
      </c>
      <c r="S949" t="s">
        <v>1549</v>
      </c>
      <c r="T949" t="s">
        <v>3859</v>
      </c>
      <c r="U949" t="s">
        <v>1678</v>
      </c>
      <c r="V949" t="s">
        <v>1741</v>
      </c>
      <c r="W949" t="s">
        <v>1742</v>
      </c>
      <c r="X949" t="s">
        <v>1739</v>
      </c>
    </row>
    <row r="950" spans="1:24" x14ac:dyDescent="0.3">
      <c r="A950" t="s">
        <v>2757</v>
      </c>
      <c r="B950" s="2">
        <v>45343</v>
      </c>
      <c r="C950" t="s">
        <v>1018</v>
      </c>
      <c r="D950" t="s">
        <v>1548</v>
      </c>
      <c r="E950" t="s">
        <v>1787</v>
      </c>
      <c r="F950" s="4">
        <v>4</v>
      </c>
      <c r="G950">
        <v>583.21</v>
      </c>
      <c r="H950">
        <v>0.2</v>
      </c>
      <c r="I950" t="s">
        <v>1807</v>
      </c>
      <c r="J950">
        <v>1866.2719999999999</v>
      </c>
      <c r="K950" t="s">
        <v>1019</v>
      </c>
      <c r="L950">
        <v>46</v>
      </c>
      <c r="M950" t="s">
        <v>9</v>
      </c>
      <c r="N950" t="s">
        <v>1020</v>
      </c>
      <c r="O950" t="s">
        <v>58</v>
      </c>
      <c r="P950" t="s">
        <v>12</v>
      </c>
      <c r="Q950" t="s">
        <v>26</v>
      </c>
      <c r="R950" t="s">
        <v>3922</v>
      </c>
      <c r="S950" t="s">
        <v>1541</v>
      </c>
      <c r="T950" t="s">
        <v>3878</v>
      </c>
      <c r="U950" t="s">
        <v>1710</v>
      </c>
      <c r="V950" t="s">
        <v>1741</v>
      </c>
      <c r="W950" t="s">
        <v>1742</v>
      </c>
      <c r="X950" t="s">
        <v>1739</v>
      </c>
    </row>
    <row r="951" spans="1:24" x14ac:dyDescent="0.3">
      <c r="A951" t="s">
        <v>2758</v>
      </c>
      <c r="B951" s="2">
        <v>45399</v>
      </c>
      <c r="C951" t="s">
        <v>1269</v>
      </c>
      <c r="D951" t="s">
        <v>1693</v>
      </c>
      <c r="E951" t="s">
        <v>1765</v>
      </c>
      <c r="F951" s="4">
        <v>3</v>
      </c>
      <c r="G951">
        <v>758.75</v>
      </c>
      <c r="H951">
        <v>0.27</v>
      </c>
      <c r="I951" t="s">
        <v>1809</v>
      </c>
      <c r="J951">
        <v>1661.6624999999999</v>
      </c>
      <c r="K951" t="s">
        <v>1270</v>
      </c>
      <c r="L951">
        <v>35</v>
      </c>
      <c r="M951" t="s">
        <v>16</v>
      </c>
      <c r="N951" t="s">
        <v>1271</v>
      </c>
      <c r="O951" t="s">
        <v>106</v>
      </c>
      <c r="P951" t="s">
        <v>12</v>
      </c>
      <c r="Q951" t="s">
        <v>26</v>
      </c>
      <c r="R951" t="s">
        <v>3914</v>
      </c>
      <c r="S951" t="s">
        <v>1549</v>
      </c>
      <c r="T951" t="s">
        <v>3844</v>
      </c>
      <c r="U951" t="s">
        <v>1694</v>
      </c>
      <c r="V951" t="s">
        <v>1766</v>
      </c>
      <c r="W951" t="s">
        <v>1767</v>
      </c>
      <c r="X951" t="s">
        <v>1755</v>
      </c>
    </row>
    <row r="952" spans="1:24" x14ac:dyDescent="0.3">
      <c r="A952" t="s">
        <v>2759</v>
      </c>
      <c r="B952" s="2">
        <v>45689</v>
      </c>
      <c r="C952" t="s">
        <v>965</v>
      </c>
      <c r="D952" t="s">
        <v>1653</v>
      </c>
      <c r="E952" t="s">
        <v>1756</v>
      </c>
      <c r="F952" s="4">
        <v>4</v>
      </c>
      <c r="G952">
        <v>372.42</v>
      </c>
      <c r="H952">
        <v>0.19</v>
      </c>
      <c r="I952" t="s">
        <v>1807</v>
      </c>
      <c r="J952">
        <v>1206.6407999999999</v>
      </c>
      <c r="K952" t="s">
        <v>966</v>
      </c>
      <c r="L952">
        <v>20</v>
      </c>
      <c r="M952" t="s">
        <v>9</v>
      </c>
      <c r="N952" t="s">
        <v>967</v>
      </c>
      <c r="O952" t="s">
        <v>30</v>
      </c>
      <c r="P952" t="s">
        <v>12</v>
      </c>
      <c r="Q952" t="s">
        <v>26</v>
      </c>
      <c r="R952" t="s">
        <v>3893</v>
      </c>
      <c r="S952" t="s">
        <v>1549</v>
      </c>
      <c r="T952" t="s">
        <v>3844</v>
      </c>
      <c r="U952" t="s">
        <v>1654</v>
      </c>
      <c r="V952" t="s">
        <v>1757</v>
      </c>
      <c r="W952" t="s">
        <v>1742</v>
      </c>
      <c r="X952" t="s">
        <v>1748</v>
      </c>
    </row>
    <row r="953" spans="1:24" x14ac:dyDescent="0.3">
      <c r="A953" t="s">
        <v>2760</v>
      </c>
      <c r="B953" s="2">
        <v>45699</v>
      </c>
      <c r="C953" t="s">
        <v>512</v>
      </c>
      <c r="D953" t="s">
        <v>1657</v>
      </c>
      <c r="E953" t="s">
        <v>1796</v>
      </c>
      <c r="F953" s="4">
        <v>4</v>
      </c>
      <c r="G953">
        <v>286.27999999999997</v>
      </c>
      <c r="H953">
        <v>0.28000000000000003</v>
      </c>
      <c r="I953" t="s">
        <v>1809</v>
      </c>
      <c r="J953">
        <v>824.48639999999989</v>
      </c>
      <c r="K953" t="s">
        <v>513</v>
      </c>
      <c r="L953">
        <v>60</v>
      </c>
      <c r="M953" t="s">
        <v>16</v>
      </c>
      <c r="N953" t="s">
        <v>514</v>
      </c>
      <c r="O953" t="s">
        <v>170</v>
      </c>
      <c r="P953" t="s">
        <v>12</v>
      </c>
      <c r="Q953" t="s">
        <v>13</v>
      </c>
      <c r="R953" t="s">
        <v>3895</v>
      </c>
      <c r="S953" t="s">
        <v>1541</v>
      </c>
      <c r="T953" t="s">
        <v>3822</v>
      </c>
      <c r="U953" t="s">
        <v>1658</v>
      </c>
      <c r="V953" t="s">
        <v>1741</v>
      </c>
      <c r="W953" t="s">
        <v>1742</v>
      </c>
      <c r="X953" t="s">
        <v>1739</v>
      </c>
    </row>
    <row r="954" spans="1:24" x14ac:dyDescent="0.3">
      <c r="A954" t="s">
        <v>2761</v>
      </c>
      <c r="B954" s="2">
        <v>45663</v>
      </c>
      <c r="C954" t="s">
        <v>879</v>
      </c>
      <c r="D954" t="s">
        <v>1677</v>
      </c>
      <c r="E954" t="s">
        <v>1775</v>
      </c>
      <c r="F954" s="4">
        <v>3</v>
      </c>
      <c r="G954">
        <v>488.37</v>
      </c>
      <c r="H954">
        <v>0.27</v>
      </c>
      <c r="I954" t="s">
        <v>1812</v>
      </c>
      <c r="J954">
        <v>1069.5302999999999</v>
      </c>
      <c r="K954" t="s">
        <v>880</v>
      </c>
      <c r="L954">
        <v>48</v>
      </c>
      <c r="M954" t="s">
        <v>9</v>
      </c>
      <c r="N954" t="s">
        <v>881</v>
      </c>
      <c r="O954" t="s">
        <v>25</v>
      </c>
      <c r="P954" t="s">
        <v>12</v>
      </c>
      <c r="Q954" t="s">
        <v>26</v>
      </c>
      <c r="R954" t="s">
        <v>3906</v>
      </c>
      <c r="S954" t="s">
        <v>1549</v>
      </c>
      <c r="T954" t="s">
        <v>3859</v>
      </c>
      <c r="U954" t="s">
        <v>1678</v>
      </c>
      <c r="V954" t="s">
        <v>1741</v>
      </c>
      <c r="W954" t="s">
        <v>1742</v>
      </c>
      <c r="X954" t="s">
        <v>1739</v>
      </c>
    </row>
    <row r="955" spans="1:24" x14ac:dyDescent="0.3">
      <c r="A955" t="s">
        <v>2762</v>
      </c>
      <c r="B955" s="2">
        <v>45377</v>
      </c>
      <c r="C955" t="s">
        <v>1430</v>
      </c>
      <c r="D955" t="s">
        <v>1705</v>
      </c>
      <c r="E955" t="s">
        <v>1765</v>
      </c>
      <c r="F955" s="4">
        <v>3</v>
      </c>
      <c r="G955">
        <v>662.82</v>
      </c>
      <c r="H955">
        <v>0.01</v>
      </c>
      <c r="I955" t="s">
        <v>1812</v>
      </c>
      <c r="J955">
        <v>1968.5753999999999</v>
      </c>
      <c r="K955" t="s">
        <v>1431</v>
      </c>
      <c r="L955">
        <v>21</v>
      </c>
      <c r="M955" t="s">
        <v>16</v>
      </c>
      <c r="N955" t="s">
        <v>1432</v>
      </c>
      <c r="O955" t="s">
        <v>117</v>
      </c>
      <c r="P955" t="s">
        <v>12</v>
      </c>
      <c r="Q955" t="s">
        <v>13</v>
      </c>
      <c r="R955" t="s">
        <v>3920</v>
      </c>
      <c r="S955" t="s">
        <v>1527</v>
      </c>
      <c r="T955" t="s">
        <v>3824</v>
      </c>
      <c r="U955" t="s">
        <v>1706</v>
      </c>
      <c r="V955" t="s">
        <v>1766</v>
      </c>
      <c r="W955" t="s">
        <v>1767</v>
      </c>
      <c r="X955" t="s">
        <v>1755</v>
      </c>
    </row>
    <row r="956" spans="1:24" x14ac:dyDescent="0.3">
      <c r="A956" t="s">
        <v>2763</v>
      </c>
      <c r="B956" s="2">
        <v>45412</v>
      </c>
      <c r="C956" t="s">
        <v>1510</v>
      </c>
      <c r="D956" t="s">
        <v>1540</v>
      </c>
      <c r="E956" t="s">
        <v>1787</v>
      </c>
      <c r="F956" s="4">
        <v>2</v>
      </c>
      <c r="G956">
        <v>824.34</v>
      </c>
      <c r="H956">
        <v>0.1</v>
      </c>
      <c r="I956" t="s">
        <v>1812</v>
      </c>
      <c r="J956">
        <v>1483.8119999999999</v>
      </c>
      <c r="K956" t="s">
        <v>1511</v>
      </c>
      <c r="L956">
        <v>35</v>
      </c>
      <c r="M956" t="s">
        <v>9</v>
      </c>
      <c r="N956" t="s">
        <v>1512</v>
      </c>
      <c r="O956" t="s">
        <v>58</v>
      </c>
      <c r="P956" t="s">
        <v>12</v>
      </c>
      <c r="Q956" t="s">
        <v>13</v>
      </c>
      <c r="R956" t="s">
        <v>3891</v>
      </c>
      <c r="S956" t="s">
        <v>1541</v>
      </c>
      <c r="T956" t="s">
        <v>3833</v>
      </c>
      <c r="U956" t="s">
        <v>1650</v>
      </c>
      <c r="V956" t="s">
        <v>1741</v>
      </c>
      <c r="W956" t="s">
        <v>1742</v>
      </c>
      <c r="X956" t="s">
        <v>1739</v>
      </c>
    </row>
    <row r="957" spans="1:24" x14ac:dyDescent="0.3">
      <c r="A957" t="s">
        <v>2764</v>
      </c>
      <c r="B957" s="2">
        <v>45349</v>
      </c>
      <c r="C957" t="s">
        <v>391</v>
      </c>
      <c r="D957" t="s">
        <v>1649</v>
      </c>
      <c r="E957" t="s">
        <v>1765</v>
      </c>
      <c r="F957" s="4">
        <v>1</v>
      </c>
      <c r="G957">
        <v>437.12</v>
      </c>
      <c r="H957">
        <v>0.21</v>
      </c>
      <c r="I957" t="s">
        <v>1807</v>
      </c>
      <c r="J957">
        <v>345.32479999999998</v>
      </c>
      <c r="K957" t="s">
        <v>392</v>
      </c>
      <c r="L957">
        <v>30</v>
      </c>
      <c r="M957" t="s">
        <v>9</v>
      </c>
      <c r="N957" t="s">
        <v>393</v>
      </c>
      <c r="O957" t="s">
        <v>230</v>
      </c>
      <c r="P957" t="s">
        <v>12</v>
      </c>
      <c r="Q957" t="s">
        <v>13</v>
      </c>
      <c r="R957" t="s">
        <v>3891</v>
      </c>
      <c r="S957" t="s">
        <v>1541</v>
      </c>
      <c r="T957" t="s">
        <v>3833</v>
      </c>
      <c r="U957" t="s">
        <v>1650</v>
      </c>
      <c r="V957" t="s">
        <v>1766</v>
      </c>
      <c r="W957" t="s">
        <v>1767</v>
      </c>
      <c r="X957" t="s">
        <v>1755</v>
      </c>
    </row>
    <row r="958" spans="1:24" x14ac:dyDescent="0.3">
      <c r="A958" t="s">
        <v>2765</v>
      </c>
      <c r="B958" s="2">
        <v>45486</v>
      </c>
      <c r="C958" t="s">
        <v>1106</v>
      </c>
      <c r="D958" t="s">
        <v>1707</v>
      </c>
      <c r="E958" t="s">
        <v>1759</v>
      </c>
      <c r="F958" s="4">
        <v>3</v>
      </c>
      <c r="G958">
        <v>23.37</v>
      </c>
      <c r="H958">
        <v>0.15</v>
      </c>
      <c r="I958" t="s">
        <v>1809</v>
      </c>
      <c r="J958">
        <v>59.593499999999999</v>
      </c>
      <c r="K958" t="s">
        <v>1107</v>
      </c>
      <c r="L958">
        <v>60</v>
      </c>
      <c r="M958" t="s">
        <v>16</v>
      </c>
      <c r="N958" t="s">
        <v>1108</v>
      </c>
      <c r="O958" t="s">
        <v>234</v>
      </c>
      <c r="P958" t="s">
        <v>12</v>
      </c>
      <c r="Q958" t="s">
        <v>13</v>
      </c>
      <c r="R958" t="s">
        <v>3921</v>
      </c>
      <c r="S958" t="s">
        <v>1549</v>
      </c>
      <c r="T958" t="s">
        <v>3820</v>
      </c>
      <c r="U958" t="s">
        <v>1708</v>
      </c>
      <c r="V958" t="s">
        <v>1760</v>
      </c>
      <c r="W958" t="s">
        <v>1737</v>
      </c>
      <c r="X958" t="s">
        <v>1755</v>
      </c>
    </row>
    <row r="959" spans="1:24" x14ac:dyDescent="0.3">
      <c r="A959" t="s">
        <v>2766</v>
      </c>
      <c r="B959" s="2">
        <v>45761</v>
      </c>
      <c r="C959" t="s">
        <v>610</v>
      </c>
      <c r="D959" t="s">
        <v>1603</v>
      </c>
      <c r="E959" t="s">
        <v>1765</v>
      </c>
      <c r="F959" s="4">
        <v>1</v>
      </c>
      <c r="G959">
        <v>579.69000000000005</v>
      </c>
      <c r="H959">
        <v>0.02</v>
      </c>
      <c r="I959" t="s">
        <v>1807</v>
      </c>
      <c r="J959">
        <v>568.09620000000007</v>
      </c>
      <c r="K959" t="s">
        <v>611</v>
      </c>
      <c r="L959">
        <v>42</v>
      </c>
      <c r="M959" t="s">
        <v>9</v>
      </c>
      <c r="N959" t="s">
        <v>612</v>
      </c>
      <c r="O959" t="s">
        <v>22</v>
      </c>
      <c r="P959" t="s">
        <v>12</v>
      </c>
      <c r="Q959" t="s">
        <v>19</v>
      </c>
      <c r="R959" t="s">
        <v>3864</v>
      </c>
      <c r="S959" t="s">
        <v>1530</v>
      </c>
      <c r="T959" t="s">
        <v>3813</v>
      </c>
      <c r="U959" t="s">
        <v>1604</v>
      </c>
      <c r="V959" t="s">
        <v>1766</v>
      </c>
      <c r="W959" t="s">
        <v>1767</v>
      </c>
      <c r="X959" t="s">
        <v>1755</v>
      </c>
    </row>
    <row r="960" spans="1:24" x14ac:dyDescent="0.3">
      <c r="A960" t="s">
        <v>2767</v>
      </c>
      <c r="B960" s="2">
        <v>45639</v>
      </c>
      <c r="C960" t="s">
        <v>1318</v>
      </c>
      <c r="D960" t="s">
        <v>1687</v>
      </c>
      <c r="E960" t="s">
        <v>1782</v>
      </c>
      <c r="F960" s="4">
        <v>3</v>
      </c>
      <c r="G960">
        <v>240.51</v>
      </c>
      <c r="H960">
        <v>7.0000000000000007E-2</v>
      </c>
      <c r="I960" t="s">
        <v>1807</v>
      </c>
      <c r="J960">
        <v>671.02289999999994</v>
      </c>
      <c r="K960" t="s">
        <v>1319</v>
      </c>
      <c r="L960">
        <v>27</v>
      </c>
      <c r="M960" t="s">
        <v>9</v>
      </c>
      <c r="N960" t="s">
        <v>1320</v>
      </c>
      <c r="O960" t="s">
        <v>88</v>
      </c>
      <c r="P960" t="s">
        <v>12</v>
      </c>
      <c r="Q960" t="s">
        <v>13</v>
      </c>
      <c r="R960" t="s">
        <v>3911</v>
      </c>
      <c r="S960" t="s">
        <v>1527</v>
      </c>
      <c r="T960" t="s">
        <v>3836</v>
      </c>
      <c r="U960" t="s">
        <v>1688</v>
      </c>
      <c r="V960" t="s">
        <v>1741</v>
      </c>
      <c r="W960" t="s">
        <v>1742</v>
      </c>
      <c r="X960" t="s">
        <v>1739</v>
      </c>
    </row>
    <row r="961" spans="1:24" x14ac:dyDescent="0.3">
      <c r="A961" t="s">
        <v>2768</v>
      </c>
      <c r="B961" s="2">
        <v>45893</v>
      </c>
      <c r="C961" t="s">
        <v>1180</v>
      </c>
      <c r="D961" t="s">
        <v>1581</v>
      </c>
      <c r="E961" t="s">
        <v>1782</v>
      </c>
      <c r="F961" s="4">
        <v>2</v>
      </c>
      <c r="G961">
        <v>855.4</v>
      </c>
      <c r="H961">
        <v>0.08</v>
      </c>
      <c r="I961" t="s">
        <v>1812</v>
      </c>
      <c r="J961">
        <v>1573.9359999999999</v>
      </c>
      <c r="K961" t="s">
        <v>1181</v>
      </c>
      <c r="L961">
        <v>27</v>
      </c>
      <c r="M961" t="s">
        <v>16</v>
      </c>
      <c r="N961" t="s">
        <v>1182</v>
      </c>
      <c r="O961" t="s">
        <v>30</v>
      </c>
      <c r="P961" t="s">
        <v>12</v>
      </c>
      <c r="Q961" t="s">
        <v>13</v>
      </c>
      <c r="R961" t="s">
        <v>3852</v>
      </c>
      <c r="S961" t="s">
        <v>1530</v>
      </c>
      <c r="T961" t="s">
        <v>3820</v>
      </c>
      <c r="U961" t="s">
        <v>1582</v>
      </c>
      <c r="V961" t="s">
        <v>1741</v>
      </c>
      <c r="W961" t="s">
        <v>1742</v>
      </c>
      <c r="X961" t="s">
        <v>1739</v>
      </c>
    </row>
    <row r="962" spans="1:24" x14ac:dyDescent="0.3">
      <c r="A962" t="s">
        <v>2769</v>
      </c>
      <c r="B962" s="2">
        <v>45227</v>
      </c>
      <c r="C962" t="s">
        <v>40</v>
      </c>
      <c r="D962" t="s">
        <v>1711</v>
      </c>
      <c r="E962" t="s">
        <v>1762</v>
      </c>
      <c r="F962" s="4">
        <v>1</v>
      </c>
      <c r="G962">
        <v>537.26</v>
      </c>
      <c r="H962">
        <v>0.09</v>
      </c>
      <c r="I962" t="s">
        <v>1807</v>
      </c>
      <c r="J962">
        <v>488.90660000000003</v>
      </c>
      <c r="K962" t="s">
        <v>41</v>
      </c>
      <c r="L962">
        <v>53</v>
      </c>
      <c r="M962" t="s">
        <v>16</v>
      </c>
      <c r="N962" t="s">
        <v>42</v>
      </c>
      <c r="O962" t="s">
        <v>43</v>
      </c>
      <c r="P962" t="s">
        <v>12</v>
      </c>
      <c r="Q962" t="s">
        <v>26</v>
      </c>
      <c r="R962" t="s">
        <v>3923</v>
      </c>
      <c r="S962" t="s">
        <v>1546</v>
      </c>
      <c r="T962" t="s">
        <v>3820</v>
      </c>
      <c r="U962" t="s">
        <v>1712</v>
      </c>
      <c r="V962" t="s">
        <v>1763</v>
      </c>
      <c r="W962" t="s">
        <v>1746</v>
      </c>
      <c r="X962" t="s">
        <v>1755</v>
      </c>
    </row>
    <row r="963" spans="1:24" x14ac:dyDescent="0.3">
      <c r="A963" t="s">
        <v>2770</v>
      </c>
      <c r="B963" s="2">
        <v>45637</v>
      </c>
      <c r="C963" t="s">
        <v>1186</v>
      </c>
      <c r="D963" t="s">
        <v>1633</v>
      </c>
      <c r="E963" t="s">
        <v>1772</v>
      </c>
      <c r="F963" s="4">
        <v>3</v>
      </c>
      <c r="G963">
        <v>918.26</v>
      </c>
      <c r="H963">
        <v>0.17</v>
      </c>
      <c r="I963" t="s">
        <v>1812</v>
      </c>
      <c r="J963">
        <v>2286.4674</v>
      </c>
      <c r="K963" t="s">
        <v>1187</v>
      </c>
      <c r="L963">
        <v>60</v>
      </c>
      <c r="M963" t="s">
        <v>9</v>
      </c>
      <c r="N963" t="s">
        <v>1188</v>
      </c>
      <c r="O963" t="s">
        <v>264</v>
      </c>
      <c r="P963" t="s">
        <v>12</v>
      </c>
      <c r="Q963" t="s">
        <v>26</v>
      </c>
      <c r="R963" t="s">
        <v>3883</v>
      </c>
      <c r="S963" t="s">
        <v>1546</v>
      </c>
      <c r="T963" t="s">
        <v>3820</v>
      </c>
      <c r="U963" t="s">
        <v>1634</v>
      </c>
      <c r="V963" t="s">
        <v>1741</v>
      </c>
      <c r="W963" t="s">
        <v>1742</v>
      </c>
      <c r="X963" t="s">
        <v>1739</v>
      </c>
    </row>
    <row r="964" spans="1:24" x14ac:dyDescent="0.3">
      <c r="A964" t="s">
        <v>2771</v>
      </c>
      <c r="B964" s="2">
        <v>45472</v>
      </c>
      <c r="C964" t="s">
        <v>336</v>
      </c>
      <c r="D964" t="s">
        <v>1540</v>
      </c>
      <c r="E964" t="s">
        <v>1769</v>
      </c>
      <c r="F964" s="4">
        <v>4</v>
      </c>
      <c r="G964">
        <v>579.70000000000005</v>
      </c>
      <c r="H964">
        <v>0.18</v>
      </c>
      <c r="I964" t="s">
        <v>1809</v>
      </c>
      <c r="J964">
        <v>1901.4159999999999</v>
      </c>
      <c r="K964" t="s">
        <v>337</v>
      </c>
      <c r="L964">
        <v>30</v>
      </c>
      <c r="M964" t="s">
        <v>16</v>
      </c>
      <c r="N964" t="s">
        <v>338</v>
      </c>
      <c r="O964" t="s">
        <v>58</v>
      </c>
      <c r="P964" t="s">
        <v>12</v>
      </c>
      <c r="Q964" t="s">
        <v>19</v>
      </c>
      <c r="R964" t="s">
        <v>3891</v>
      </c>
      <c r="S964" t="s">
        <v>1541</v>
      </c>
      <c r="T964" t="s">
        <v>3833</v>
      </c>
      <c r="U964" t="s">
        <v>1650</v>
      </c>
      <c r="V964" t="s">
        <v>1770</v>
      </c>
      <c r="W964" t="s">
        <v>1746</v>
      </c>
      <c r="X964" t="s">
        <v>1739</v>
      </c>
    </row>
    <row r="965" spans="1:24" x14ac:dyDescent="0.3">
      <c r="A965" t="s">
        <v>2772</v>
      </c>
      <c r="B965" s="2">
        <v>45710</v>
      </c>
      <c r="C965" t="s">
        <v>485</v>
      </c>
      <c r="D965" t="s">
        <v>1617</v>
      </c>
      <c r="E965" t="s">
        <v>1759</v>
      </c>
      <c r="F965" s="4">
        <v>1</v>
      </c>
      <c r="G965">
        <v>824.32</v>
      </c>
      <c r="H965">
        <v>0.18</v>
      </c>
      <c r="I965" t="s">
        <v>1807</v>
      </c>
      <c r="J965">
        <v>675.94240000000013</v>
      </c>
      <c r="K965" t="s">
        <v>486</v>
      </c>
      <c r="L965">
        <v>32</v>
      </c>
      <c r="M965" t="s">
        <v>16</v>
      </c>
      <c r="N965" t="s">
        <v>487</v>
      </c>
      <c r="O965" t="s">
        <v>251</v>
      </c>
      <c r="P965" t="s">
        <v>12</v>
      </c>
      <c r="Q965" t="s">
        <v>19</v>
      </c>
      <c r="R965" t="s">
        <v>3873</v>
      </c>
      <c r="S965" t="s">
        <v>1546</v>
      </c>
      <c r="T965" t="s">
        <v>3811</v>
      </c>
      <c r="U965" t="s">
        <v>1618</v>
      </c>
      <c r="V965" t="s">
        <v>1760</v>
      </c>
      <c r="W965" t="s">
        <v>1737</v>
      </c>
      <c r="X965" t="s">
        <v>1755</v>
      </c>
    </row>
    <row r="966" spans="1:24" x14ac:dyDescent="0.3">
      <c r="A966" t="s">
        <v>2773</v>
      </c>
      <c r="B966" s="2">
        <v>45682</v>
      </c>
      <c r="C966" t="s">
        <v>379</v>
      </c>
      <c r="D966" t="s">
        <v>1623</v>
      </c>
      <c r="E966" t="s">
        <v>1784</v>
      </c>
      <c r="F966" s="4">
        <v>4</v>
      </c>
      <c r="G966">
        <v>614.99</v>
      </c>
      <c r="H966">
        <v>0.16</v>
      </c>
      <c r="I966" t="s">
        <v>1809</v>
      </c>
      <c r="J966">
        <v>2066.3663999999999</v>
      </c>
      <c r="K966" t="s">
        <v>380</v>
      </c>
      <c r="L966">
        <v>40</v>
      </c>
      <c r="M966" t="s">
        <v>16</v>
      </c>
      <c r="N966" t="s">
        <v>381</v>
      </c>
      <c r="O966" t="s">
        <v>43</v>
      </c>
      <c r="P966" t="s">
        <v>12</v>
      </c>
      <c r="Q966" t="s">
        <v>31</v>
      </c>
      <c r="R966" t="s">
        <v>3876</v>
      </c>
      <c r="S966" t="s">
        <v>1530</v>
      </c>
      <c r="T966" t="s">
        <v>3815</v>
      </c>
      <c r="U966" t="s">
        <v>1624</v>
      </c>
      <c r="V966" t="s">
        <v>1741</v>
      </c>
      <c r="W966" t="s">
        <v>1742</v>
      </c>
      <c r="X966" t="s">
        <v>1739</v>
      </c>
    </row>
    <row r="967" spans="1:24" x14ac:dyDescent="0.3">
      <c r="A967" t="s">
        <v>2774</v>
      </c>
      <c r="B967" s="2">
        <v>45730</v>
      </c>
      <c r="C967" t="s">
        <v>436</v>
      </c>
      <c r="D967" t="s">
        <v>1655</v>
      </c>
      <c r="E967" t="s">
        <v>1735</v>
      </c>
      <c r="F967" s="4">
        <v>4</v>
      </c>
      <c r="G967">
        <v>189.21</v>
      </c>
      <c r="H967">
        <v>0.06</v>
      </c>
      <c r="I967" t="s">
        <v>1812</v>
      </c>
      <c r="J967">
        <v>711.42959999999994</v>
      </c>
      <c r="K967" t="s">
        <v>437</v>
      </c>
      <c r="L967">
        <v>43</v>
      </c>
      <c r="M967" t="s">
        <v>16</v>
      </c>
      <c r="N967" t="s">
        <v>438</v>
      </c>
      <c r="O967" t="s">
        <v>288</v>
      </c>
      <c r="P967" t="s">
        <v>12</v>
      </c>
      <c r="Q967" t="s">
        <v>31</v>
      </c>
      <c r="R967" t="s">
        <v>3894</v>
      </c>
      <c r="S967" t="s">
        <v>1546</v>
      </c>
      <c r="T967" t="s">
        <v>3811</v>
      </c>
      <c r="U967" t="s">
        <v>1656</v>
      </c>
      <c r="V967" t="s">
        <v>1736</v>
      </c>
      <c r="W967" t="s">
        <v>1737</v>
      </c>
      <c r="X967" t="s">
        <v>1739</v>
      </c>
    </row>
    <row r="968" spans="1:24" x14ac:dyDescent="0.3">
      <c r="A968" t="s">
        <v>2775</v>
      </c>
      <c r="B968" s="2">
        <v>45629</v>
      </c>
      <c r="C968" t="s">
        <v>512</v>
      </c>
      <c r="D968" t="s">
        <v>1655</v>
      </c>
      <c r="E968" t="s">
        <v>1782</v>
      </c>
      <c r="F968" s="4">
        <v>2</v>
      </c>
      <c r="G968">
        <v>233.33</v>
      </c>
      <c r="H968">
        <v>0.05</v>
      </c>
      <c r="I968" t="s">
        <v>1807</v>
      </c>
      <c r="J968">
        <v>443.327</v>
      </c>
      <c r="K968" t="s">
        <v>513</v>
      </c>
      <c r="L968">
        <v>60</v>
      </c>
      <c r="M968" t="s">
        <v>16</v>
      </c>
      <c r="N968" t="s">
        <v>514</v>
      </c>
      <c r="O968" t="s">
        <v>170</v>
      </c>
      <c r="P968" t="s">
        <v>12</v>
      </c>
      <c r="Q968" t="s">
        <v>13</v>
      </c>
      <c r="R968" t="s">
        <v>3894</v>
      </c>
      <c r="S968" t="s">
        <v>1546</v>
      </c>
      <c r="T968" t="s">
        <v>3811</v>
      </c>
      <c r="U968" t="s">
        <v>1656</v>
      </c>
      <c r="V968" t="s">
        <v>1741</v>
      </c>
      <c r="W968" t="s">
        <v>1742</v>
      </c>
      <c r="X968" t="s">
        <v>1739</v>
      </c>
    </row>
    <row r="969" spans="1:24" x14ac:dyDescent="0.3">
      <c r="A969" t="s">
        <v>2776</v>
      </c>
      <c r="B969" s="2">
        <v>45783</v>
      </c>
      <c r="C969" t="s">
        <v>788</v>
      </c>
      <c r="D969" t="s">
        <v>1609</v>
      </c>
      <c r="E969" t="s">
        <v>1793</v>
      </c>
      <c r="F969" s="4">
        <v>3</v>
      </c>
      <c r="G969">
        <v>529.89</v>
      </c>
      <c r="H969">
        <v>0.21</v>
      </c>
      <c r="I969" t="s">
        <v>1807</v>
      </c>
      <c r="J969">
        <v>1255.8393000000001</v>
      </c>
      <c r="K969" t="s">
        <v>789</v>
      </c>
      <c r="L969">
        <v>41</v>
      </c>
      <c r="M969" t="s">
        <v>16</v>
      </c>
      <c r="N969" t="s">
        <v>790</v>
      </c>
      <c r="O969" t="s">
        <v>181</v>
      </c>
      <c r="P969" t="s">
        <v>12</v>
      </c>
      <c r="Q969" t="s">
        <v>13</v>
      </c>
      <c r="R969" t="s">
        <v>3868</v>
      </c>
      <c r="S969" t="s">
        <v>1546</v>
      </c>
      <c r="T969" t="s">
        <v>3869</v>
      </c>
      <c r="U969" t="s">
        <v>1610</v>
      </c>
      <c r="V969" t="s">
        <v>1741</v>
      </c>
      <c r="W969" t="s">
        <v>1742</v>
      </c>
      <c r="X969" t="s">
        <v>1739</v>
      </c>
    </row>
    <row r="970" spans="1:24" x14ac:dyDescent="0.3">
      <c r="A970" t="s">
        <v>2777</v>
      </c>
      <c r="B970" s="2">
        <v>45518</v>
      </c>
      <c r="C970" t="s">
        <v>1487</v>
      </c>
      <c r="D970" t="s">
        <v>1715</v>
      </c>
      <c r="E970" t="s">
        <v>1740</v>
      </c>
      <c r="F970" s="4">
        <v>2</v>
      </c>
      <c r="G970">
        <v>954.1</v>
      </c>
      <c r="H970">
        <v>0.17</v>
      </c>
      <c r="I970" t="s">
        <v>1809</v>
      </c>
      <c r="J970">
        <v>1583.806</v>
      </c>
      <c r="K970" t="s">
        <v>1488</v>
      </c>
      <c r="L970">
        <v>23</v>
      </c>
      <c r="M970" t="s">
        <v>9</v>
      </c>
      <c r="N970" t="s">
        <v>1489</v>
      </c>
      <c r="O970" t="s">
        <v>251</v>
      </c>
      <c r="P970" t="s">
        <v>12</v>
      </c>
      <c r="Q970" t="s">
        <v>31</v>
      </c>
      <c r="R970" t="s">
        <v>3925</v>
      </c>
      <c r="S970" t="s">
        <v>1527</v>
      </c>
      <c r="T970" t="s">
        <v>3838</v>
      </c>
      <c r="U970" t="s">
        <v>1716</v>
      </c>
      <c r="V970" t="s">
        <v>1741</v>
      </c>
      <c r="W970" t="s">
        <v>1742</v>
      </c>
      <c r="X970" t="s">
        <v>1739</v>
      </c>
    </row>
    <row r="971" spans="1:24" x14ac:dyDescent="0.3">
      <c r="A971" t="s">
        <v>2778</v>
      </c>
      <c r="B971" s="2">
        <v>45274</v>
      </c>
      <c r="C971" t="s">
        <v>1007</v>
      </c>
      <c r="D971" t="s">
        <v>1661</v>
      </c>
      <c r="E971" t="s">
        <v>1762</v>
      </c>
      <c r="F971" s="4">
        <v>1</v>
      </c>
      <c r="G971">
        <v>370.04</v>
      </c>
      <c r="H971">
        <v>0.04</v>
      </c>
      <c r="I971" t="s">
        <v>1812</v>
      </c>
      <c r="J971">
        <v>355.23840000000001</v>
      </c>
      <c r="K971" t="s">
        <v>1008</v>
      </c>
      <c r="L971">
        <v>58</v>
      </c>
      <c r="M971" t="s">
        <v>9</v>
      </c>
      <c r="N971" t="s">
        <v>1009</v>
      </c>
      <c r="O971" t="s">
        <v>11</v>
      </c>
      <c r="P971" t="s">
        <v>12</v>
      </c>
      <c r="Q971" t="s">
        <v>19</v>
      </c>
      <c r="R971" t="s">
        <v>3897</v>
      </c>
      <c r="S971" t="s">
        <v>1549</v>
      </c>
      <c r="T971" t="s">
        <v>3828</v>
      </c>
      <c r="U971" t="s">
        <v>1662</v>
      </c>
      <c r="V971" t="s">
        <v>1763</v>
      </c>
      <c r="W971" t="s">
        <v>1746</v>
      </c>
      <c r="X971" t="s">
        <v>1755</v>
      </c>
    </row>
    <row r="972" spans="1:24" x14ac:dyDescent="0.3">
      <c r="A972" t="s">
        <v>2779</v>
      </c>
      <c r="B972" s="2">
        <v>45297</v>
      </c>
      <c r="C972" t="s">
        <v>224</v>
      </c>
      <c r="D972" t="s">
        <v>1723</v>
      </c>
      <c r="E972" t="s">
        <v>1796</v>
      </c>
      <c r="F972" s="4">
        <v>4</v>
      </c>
      <c r="G972">
        <v>492.71</v>
      </c>
      <c r="H972">
        <v>0.08</v>
      </c>
      <c r="I972" t="s">
        <v>1807</v>
      </c>
      <c r="J972">
        <v>1813.1728000000001</v>
      </c>
      <c r="K972" t="s">
        <v>225</v>
      </c>
      <c r="L972">
        <v>50</v>
      </c>
      <c r="M972" t="s">
        <v>9</v>
      </c>
      <c r="N972" t="s">
        <v>226</v>
      </c>
      <c r="O972" t="s">
        <v>113</v>
      </c>
      <c r="P972" t="s">
        <v>12</v>
      </c>
      <c r="Q972" t="s">
        <v>31</v>
      </c>
      <c r="R972" t="s">
        <v>3929</v>
      </c>
      <c r="S972" t="s">
        <v>1530</v>
      </c>
      <c r="T972" t="s">
        <v>3815</v>
      </c>
      <c r="U972" t="s">
        <v>1724</v>
      </c>
      <c r="V972" t="s">
        <v>1741</v>
      </c>
      <c r="W972" t="s">
        <v>1742</v>
      </c>
      <c r="X972" t="s">
        <v>1739</v>
      </c>
    </row>
    <row r="973" spans="1:24" x14ac:dyDescent="0.3">
      <c r="A973" t="s">
        <v>2780</v>
      </c>
      <c r="B973" s="2">
        <v>45530</v>
      </c>
      <c r="C973" t="s">
        <v>882</v>
      </c>
      <c r="D973" t="s">
        <v>1713</v>
      </c>
      <c r="E973" t="s">
        <v>1780</v>
      </c>
      <c r="F973" s="4">
        <v>4</v>
      </c>
      <c r="G973">
        <v>853.26</v>
      </c>
      <c r="H973">
        <v>0.24</v>
      </c>
      <c r="I973" t="s">
        <v>1812</v>
      </c>
      <c r="J973">
        <v>2593.9104000000002</v>
      </c>
      <c r="K973" t="s">
        <v>883</v>
      </c>
      <c r="L973">
        <v>59</v>
      </c>
      <c r="M973" t="s">
        <v>9</v>
      </c>
      <c r="N973" t="s">
        <v>884</v>
      </c>
      <c r="O973" t="s">
        <v>99</v>
      </c>
      <c r="P973" t="s">
        <v>12</v>
      </c>
      <c r="Q973" t="s">
        <v>26</v>
      </c>
      <c r="R973" t="s">
        <v>3924</v>
      </c>
      <c r="S973" t="s">
        <v>1530</v>
      </c>
      <c r="T973" t="s">
        <v>3866</v>
      </c>
      <c r="U973" t="s">
        <v>1714</v>
      </c>
      <c r="V973" t="s">
        <v>1741</v>
      </c>
      <c r="W973" t="s">
        <v>1742</v>
      </c>
      <c r="X973" t="s">
        <v>1739</v>
      </c>
    </row>
    <row r="974" spans="1:24" x14ac:dyDescent="0.3">
      <c r="A974" t="s">
        <v>2781</v>
      </c>
      <c r="B974" s="2">
        <v>45740</v>
      </c>
      <c r="C974" t="s">
        <v>1249</v>
      </c>
      <c r="D974" t="s">
        <v>1534</v>
      </c>
      <c r="E974" t="s">
        <v>1787</v>
      </c>
      <c r="F974" s="4">
        <v>1</v>
      </c>
      <c r="G974">
        <v>402.47</v>
      </c>
      <c r="H974">
        <v>0.19</v>
      </c>
      <c r="I974" t="s">
        <v>1809</v>
      </c>
      <c r="J974">
        <v>326.00070000000011</v>
      </c>
      <c r="K974" t="s">
        <v>1250</v>
      </c>
      <c r="L974">
        <v>33</v>
      </c>
      <c r="M974" t="s">
        <v>9</v>
      </c>
      <c r="N974" t="s">
        <v>1251</v>
      </c>
      <c r="O974" t="s">
        <v>319</v>
      </c>
      <c r="P974" t="s">
        <v>12</v>
      </c>
      <c r="Q974" t="s">
        <v>13</v>
      </c>
      <c r="R974" t="s">
        <v>3856</v>
      </c>
      <c r="S974" t="s">
        <v>1527</v>
      </c>
      <c r="T974" t="s">
        <v>3836</v>
      </c>
      <c r="U974" t="s">
        <v>1590</v>
      </c>
      <c r="V974" t="s">
        <v>1741</v>
      </c>
      <c r="W974" t="s">
        <v>1742</v>
      </c>
      <c r="X974" t="s">
        <v>1739</v>
      </c>
    </row>
    <row r="975" spans="1:24" x14ac:dyDescent="0.3">
      <c r="A975" t="s">
        <v>2782</v>
      </c>
      <c r="B975" s="2">
        <v>45311</v>
      </c>
      <c r="C975" t="s">
        <v>1238</v>
      </c>
      <c r="D975" t="s">
        <v>1639</v>
      </c>
      <c r="E975" t="s">
        <v>1793</v>
      </c>
      <c r="F975" s="4">
        <v>2</v>
      </c>
      <c r="G975">
        <v>528.29999999999995</v>
      </c>
      <c r="H975">
        <v>0.24</v>
      </c>
      <c r="I975" t="s">
        <v>1807</v>
      </c>
      <c r="J975">
        <v>803.01599999999996</v>
      </c>
      <c r="K975" t="s">
        <v>1239</v>
      </c>
      <c r="L975">
        <v>34</v>
      </c>
      <c r="M975" t="s">
        <v>9</v>
      </c>
      <c r="N975" t="s">
        <v>80</v>
      </c>
      <c r="O975" t="s">
        <v>309</v>
      </c>
      <c r="P975" t="s">
        <v>12</v>
      </c>
      <c r="Q975" t="s">
        <v>26</v>
      </c>
      <c r="R975" t="s">
        <v>3886</v>
      </c>
      <c r="S975" t="s">
        <v>1549</v>
      </c>
      <c r="T975" t="s">
        <v>3820</v>
      </c>
      <c r="U975" t="s">
        <v>1640</v>
      </c>
      <c r="V975" t="s">
        <v>1741</v>
      </c>
      <c r="W975" t="s">
        <v>1742</v>
      </c>
      <c r="X975" t="s">
        <v>1739</v>
      </c>
    </row>
    <row r="976" spans="1:24" x14ac:dyDescent="0.3">
      <c r="A976" t="s">
        <v>2783</v>
      </c>
      <c r="B976" s="2">
        <v>45667</v>
      </c>
      <c r="C976" t="s">
        <v>1358</v>
      </c>
      <c r="D976" t="s">
        <v>1551</v>
      </c>
      <c r="E976" t="s">
        <v>1759</v>
      </c>
      <c r="F976" s="4">
        <v>4</v>
      </c>
      <c r="G976">
        <v>599.85</v>
      </c>
      <c r="H976">
        <v>0.25</v>
      </c>
      <c r="I976" t="s">
        <v>1807</v>
      </c>
      <c r="J976">
        <v>1799.55</v>
      </c>
      <c r="K976" t="s">
        <v>1359</v>
      </c>
      <c r="L976">
        <v>41</v>
      </c>
      <c r="M976" t="s">
        <v>16</v>
      </c>
      <c r="N976" t="s">
        <v>1360</v>
      </c>
      <c r="O976" t="s">
        <v>838</v>
      </c>
      <c r="P976" t="s">
        <v>12</v>
      </c>
      <c r="Q976" t="s">
        <v>13</v>
      </c>
      <c r="R976" t="s">
        <v>3829</v>
      </c>
      <c r="S976" t="s">
        <v>1527</v>
      </c>
      <c r="T976" t="s">
        <v>3830</v>
      </c>
      <c r="U976" t="s">
        <v>1552</v>
      </c>
      <c r="V976" t="s">
        <v>1760</v>
      </c>
      <c r="W976" t="s">
        <v>1737</v>
      </c>
      <c r="X976" t="s">
        <v>1755</v>
      </c>
    </row>
    <row r="977" spans="1:24" x14ac:dyDescent="0.3">
      <c r="A977" t="s">
        <v>2784</v>
      </c>
      <c r="B977" s="2">
        <v>45281</v>
      </c>
      <c r="C977" t="s">
        <v>948</v>
      </c>
      <c r="D977" t="s">
        <v>1563</v>
      </c>
      <c r="E977" t="s">
        <v>1769</v>
      </c>
      <c r="F977" s="4">
        <v>2</v>
      </c>
      <c r="G977">
        <v>61.42</v>
      </c>
      <c r="H977">
        <v>0.08</v>
      </c>
      <c r="I977" t="s">
        <v>1809</v>
      </c>
      <c r="J977">
        <v>113.0128</v>
      </c>
      <c r="K977" t="s">
        <v>949</v>
      </c>
      <c r="L977">
        <v>41</v>
      </c>
      <c r="M977" t="s">
        <v>9</v>
      </c>
      <c r="N977" t="s">
        <v>950</v>
      </c>
      <c r="O977" t="s">
        <v>92</v>
      </c>
      <c r="P977" t="s">
        <v>12</v>
      </c>
      <c r="Q977" t="s">
        <v>19</v>
      </c>
      <c r="R977" t="s">
        <v>3839</v>
      </c>
      <c r="S977" t="s">
        <v>1541</v>
      </c>
      <c r="T977" t="s">
        <v>3840</v>
      </c>
      <c r="U977" t="s">
        <v>1564</v>
      </c>
      <c r="V977" t="s">
        <v>1770</v>
      </c>
      <c r="W977" t="s">
        <v>1746</v>
      </c>
      <c r="X977" t="s">
        <v>1739</v>
      </c>
    </row>
    <row r="978" spans="1:24" x14ac:dyDescent="0.3">
      <c r="A978" t="s">
        <v>2785</v>
      </c>
      <c r="B978" s="2">
        <v>45693</v>
      </c>
      <c r="C978" t="s">
        <v>791</v>
      </c>
      <c r="D978" t="s">
        <v>1569</v>
      </c>
      <c r="E978" t="s">
        <v>1772</v>
      </c>
      <c r="F978" s="4">
        <v>2</v>
      </c>
      <c r="G978">
        <v>466.42</v>
      </c>
      <c r="H978">
        <v>0.12</v>
      </c>
      <c r="I978" t="s">
        <v>1809</v>
      </c>
      <c r="J978">
        <v>820.89920000000006</v>
      </c>
      <c r="K978" t="s">
        <v>792</v>
      </c>
      <c r="L978">
        <v>48</v>
      </c>
      <c r="M978" t="s">
        <v>9</v>
      </c>
      <c r="N978" t="s">
        <v>793</v>
      </c>
      <c r="O978" t="s">
        <v>58</v>
      </c>
      <c r="P978" t="s">
        <v>12</v>
      </c>
      <c r="Q978" t="s">
        <v>13</v>
      </c>
      <c r="R978" t="s">
        <v>3843</v>
      </c>
      <c r="S978" t="s">
        <v>1549</v>
      </c>
      <c r="T978" t="s">
        <v>3844</v>
      </c>
      <c r="U978" t="s">
        <v>1570</v>
      </c>
      <c r="V978" t="s">
        <v>1741</v>
      </c>
      <c r="W978" t="s">
        <v>1742</v>
      </c>
      <c r="X978" t="s">
        <v>1739</v>
      </c>
    </row>
    <row r="979" spans="1:24" x14ac:dyDescent="0.3">
      <c r="A979" t="s">
        <v>2786</v>
      </c>
      <c r="B979" s="2">
        <v>45857</v>
      </c>
      <c r="C979" t="s">
        <v>348</v>
      </c>
      <c r="D979" t="s">
        <v>1593</v>
      </c>
      <c r="E979" t="s">
        <v>1756</v>
      </c>
      <c r="F979" s="4">
        <v>4</v>
      </c>
      <c r="G979">
        <v>540.69000000000005</v>
      </c>
      <c r="H979">
        <v>0.09</v>
      </c>
      <c r="I979" t="s">
        <v>1812</v>
      </c>
      <c r="J979">
        <v>1968.1116</v>
      </c>
      <c r="K979" t="s">
        <v>349</v>
      </c>
      <c r="L979">
        <v>53</v>
      </c>
      <c r="M979" t="s">
        <v>16</v>
      </c>
      <c r="N979" t="s">
        <v>350</v>
      </c>
      <c r="O979" t="s">
        <v>234</v>
      </c>
      <c r="P979" t="s">
        <v>12</v>
      </c>
      <c r="Q979" t="s">
        <v>31</v>
      </c>
      <c r="R979" t="s">
        <v>3858</v>
      </c>
      <c r="S979" t="s">
        <v>1549</v>
      </c>
      <c r="T979" t="s">
        <v>3859</v>
      </c>
      <c r="U979" t="s">
        <v>1594</v>
      </c>
      <c r="V979" t="s">
        <v>1757</v>
      </c>
      <c r="W979" t="s">
        <v>1742</v>
      </c>
      <c r="X979" t="s">
        <v>1748</v>
      </c>
    </row>
    <row r="980" spans="1:24" x14ac:dyDescent="0.3">
      <c r="A980" t="s">
        <v>2787</v>
      </c>
      <c r="B980" s="2">
        <v>45737</v>
      </c>
      <c r="C980" t="s">
        <v>933</v>
      </c>
      <c r="D980" t="s">
        <v>1569</v>
      </c>
      <c r="E980" t="s">
        <v>1780</v>
      </c>
      <c r="F980" s="4">
        <v>3</v>
      </c>
      <c r="G980">
        <v>677.46</v>
      </c>
      <c r="H980">
        <v>0.05</v>
      </c>
      <c r="I980" t="s">
        <v>1807</v>
      </c>
      <c r="J980">
        <v>1930.761</v>
      </c>
      <c r="K980" t="s">
        <v>934</v>
      </c>
      <c r="L980">
        <v>48</v>
      </c>
      <c r="M980" t="s">
        <v>16</v>
      </c>
      <c r="N980" t="s">
        <v>935</v>
      </c>
      <c r="O980" t="s">
        <v>429</v>
      </c>
      <c r="P980" t="s">
        <v>12</v>
      </c>
      <c r="Q980" t="s">
        <v>19</v>
      </c>
      <c r="R980" t="s">
        <v>3843</v>
      </c>
      <c r="S980" t="s">
        <v>1549</v>
      </c>
      <c r="T980" t="s">
        <v>3844</v>
      </c>
      <c r="U980" t="s">
        <v>1570</v>
      </c>
      <c r="V980" t="s">
        <v>1741</v>
      </c>
      <c r="W980" t="s">
        <v>1742</v>
      </c>
      <c r="X980" t="s">
        <v>1739</v>
      </c>
    </row>
    <row r="981" spans="1:24" x14ac:dyDescent="0.3">
      <c r="A981" t="s">
        <v>2788</v>
      </c>
      <c r="B981" s="2">
        <v>45771</v>
      </c>
      <c r="C981" t="s">
        <v>1021</v>
      </c>
      <c r="D981" t="s">
        <v>1573</v>
      </c>
      <c r="E981" t="s">
        <v>1740</v>
      </c>
      <c r="F981" s="4">
        <v>3</v>
      </c>
      <c r="G981">
        <v>614.63</v>
      </c>
      <c r="H981">
        <v>0.06</v>
      </c>
      <c r="I981" t="s">
        <v>1809</v>
      </c>
      <c r="J981">
        <v>1733.2565999999999</v>
      </c>
      <c r="K981" t="s">
        <v>1022</v>
      </c>
      <c r="L981">
        <v>62</v>
      </c>
      <c r="M981" t="s">
        <v>16</v>
      </c>
      <c r="N981" t="s">
        <v>1023</v>
      </c>
      <c r="O981" t="s">
        <v>198</v>
      </c>
      <c r="P981" t="s">
        <v>12</v>
      </c>
      <c r="Q981" t="s">
        <v>19</v>
      </c>
      <c r="R981" t="s">
        <v>3846</v>
      </c>
      <c r="S981" t="s">
        <v>1527</v>
      </c>
      <c r="T981" t="s">
        <v>3847</v>
      </c>
      <c r="U981" t="s">
        <v>1574</v>
      </c>
      <c r="V981" t="s">
        <v>1741</v>
      </c>
      <c r="W981" t="s">
        <v>1742</v>
      </c>
      <c r="X981" t="s">
        <v>1739</v>
      </c>
    </row>
    <row r="982" spans="1:24" x14ac:dyDescent="0.3">
      <c r="A982" t="s">
        <v>2789</v>
      </c>
      <c r="B982" s="2">
        <v>45272</v>
      </c>
      <c r="C982" t="s">
        <v>740</v>
      </c>
      <c r="D982" t="s">
        <v>1663</v>
      </c>
      <c r="E982" t="s">
        <v>1765</v>
      </c>
      <c r="F982" s="4">
        <v>4</v>
      </c>
      <c r="G982">
        <v>649.52</v>
      </c>
      <c r="H982">
        <v>0.11</v>
      </c>
      <c r="I982" t="s">
        <v>1807</v>
      </c>
      <c r="J982">
        <v>2312.2912000000001</v>
      </c>
      <c r="K982" t="s">
        <v>741</v>
      </c>
      <c r="L982">
        <v>59</v>
      </c>
      <c r="M982" t="s">
        <v>9</v>
      </c>
      <c r="N982" t="s">
        <v>742</v>
      </c>
      <c r="O982" t="s">
        <v>88</v>
      </c>
      <c r="P982" t="s">
        <v>12</v>
      </c>
      <c r="Q982" t="s">
        <v>19</v>
      </c>
      <c r="R982" t="s">
        <v>3898</v>
      </c>
      <c r="S982" t="s">
        <v>1541</v>
      </c>
      <c r="T982" t="s">
        <v>3833</v>
      </c>
      <c r="U982" t="s">
        <v>1664</v>
      </c>
      <c r="V982" t="s">
        <v>1766</v>
      </c>
      <c r="W982" t="s">
        <v>1767</v>
      </c>
      <c r="X982" t="s">
        <v>1755</v>
      </c>
    </row>
    <row r="983" spans="1:24" x14ac:dyDescent="0.3">
      <c r="A983" t="s">
        <v>2790</v>
      </c>
      <c r="B983" s="2">
        <v>45481</v>
      </c>
      <c r="C983" t="s">
        <v>1361</v>
      </c>
      <c r="D983" t="s">
        <v>1701</v>
      </c>
      <c r="E983" t="s">
        <v>1765</v>
      </c>
      <c r="F983" s="4">
        <v>2</v>
      </c>
      <c r="G983">
        <v>943.93</v>
      </c>
      <c r="H983">
        <v>0.22</v>
      </c>
      <c r="I983" t="s">
        <v>1809</v>
      </c>
      <c r="J983">
        <v>1472.5308</v>
      </c>
      <c r="K983" t="s">
        <v>1362</v>
      </c>
      <c r="L983">
        <v>35</v>
      </c>
      <c r="M983" t="s">
        <v>9</v>
      </c>
      <c r="N983" t="s">
        <v>1363</v>
      </c>
      <c r="O983" t="s">
        <v>284</v>
      </c>
      <c r="P983" t="s">
        <v>12</v>
      </c>
      <c r="Q983" t="s">
        <v>19</v>
      </c>
      <c r="R983" t="s">
        <v>3918</v>
      </c>
      <c r="S983" t="s">
        <v>1530</v>
      </c>
      <c r="T983" t="s">
        <v>3820</v>
      </c>
      <c r="U983" t="s">
        <v>1702</v>
      </c>
      <c r="V983" t="s">
        <v>1766</v>
      </c>
      <c r="W983" t="s">
        <v>1767</v>
      </c>
      <c r="X983" t="s">
        <v>1755</v>
      </c>
    </row>
    <row r="984" spans="1:24" x14ac:dyDescent="0.3">
      <c r="A984" t="s">
        <v>2791</v>
      </c>
      <c r="B984" s="2">
        <v>45228</v>
      </c>
      <c r="C984" t="s">
        <v>545</v>
      </c>
      <c r="D984" t="s">
        <v>1593</v>
      </c>
      <c r="E984" t="s">
        <v>1765</v>
      </c>
      <c r="F984" s="4">
        <v>4</v>
      </c>
      <c r="G984">
        <v>538.73</v>
      </c>
      <c r="H984">
        <v>0.03</v>
      </c>
      <c r="I984" t="s">
        <v>1807</v>
      </c>
      <c r="J984">
        <v>2090.2723999999998</v>
      </c>
      <c r="K984" t="s">
        <v>546</v>
      </c>
      <c r="L984">
        <v>25</v>
      </c>
      <c r="M984" t="s">
        <v>16</v>
      </c>
      <c r="N984" t="s">
        <v>547</v>
      </c>
      <c r="O984" t="s">
        <v>191</v>
      </c>
      <c r="P984" t="s">
        <v>12</v>
      </c>
      <c r="Q984" t="s">
        <v>19</v>
      </c>
      <c r="R984" t="s">
        <v>3858</v>
      </c>
      <c r="S984" t="s">
        <v>1549</v>
      </c>
      <c r="T984" t="s">
        <v>3859</v>
      </c>
      <c r="U984" t="s">
        <v>1594</v>
      </c>
      <c r="V984" t="s">
        <v>1766</v>
      </c>
      <c r="W984" t="s">
        <v>1767</v>
      </c>
      <c r="X984" t="s">
        <v>1755</v>
      </c>
    </row>
    <row r="985" spans="1:24" x14ac:dyDescent="0.3">
      <c r="A985" t="s">
        <v>2792</v>
      </c>
      <c r="B985" s="2">
        <v>45432</v>
      </c>
      <c r="C985" t="s">
        <v>313</v>
      </c>
      <c r="D985" t="s">
        <v>1663</v>
      </c>
      <c r="E985" t="s">
        <v>1765</v>
      </c>
      <c r="F985" s="4">
        <v>2</v>
      </c>
      <c r="G985">
        <v>853.93</v>
      </c>
      <c r="H985">
        <v>0.01</v>
      </c>
      <c r="I985" t="s">
        <v>1809</v>
      </c>
      <c r="J985">
        <v>1690.7814000000001</v>
      </c>
      <c r="K985" t="s">
        <v>314</v>
      </c>
      <c r="L985">
        <v>43</v>
      </c>
      <c r="M985" t="s">
        <v>9</v>
      </c>
      <c r="N985" t="s">
        <v>315</v>
      </c>
      <c r="O985" t="s">
        <v>288</v>
      </c>
      <c r="P985" t="s">
        <v>12</v>
      </c>
      <c r="Q985" t="s">
        <v>31</v>
      </c>
      <c r="R985" t="s">
        <v>3898</v>
      </c>
      <c r="S985" t="s">
        <v>1541</v>
      </c>
      <c r="T985" t="s">
        <v>3833</v>
      </c>
      <c r="U985" t="s">
        <v>1664</v>
      </c>
      <c r="V985" t="s">
        <v>1766</v>
      </c>
      <c r="W985" t="s">
        <v>1767</v>
      </c>
      <c r="X985" t="s">
        <v>1755</v>
      </c>
    </row>
    <row r="986" spans="1:24" x14ac:dyDescent="0.3">
      <c r="A986" t="s">
        <v>2793</v>
      </c>
      <c r="B986" s="2">
        <v>45914</v>
      </c>
      <c r="C986" t="s">
        <v>1493</v>
      </c>
      <c r="D986" t="s">
        <v>1589</v>
      </c>
      <c r="E986" t="s">
        <v>1752</v>
      </c>
      <c r="F986" s="4">
        <v>4</v>
      </c>
      <c r="G986">
        <v>465.42</v>
      </c>
      <c r="H986">
        <v>0.26</v>
      </c>
      <c r="I986" t="s">
        <v>1812</v>
      </c>
      <c r="J986">
        <v>1377.6432</v>
      </c>
      <c r="K986" t="s">
        <v>1494</v>
      </c>
      <c r="L986">
        <v>59</v>
      </c>
      <c r="M986" t="s">
        <v>16</v>
      </c>
      <c r="N986" t="s">
        <v>1495</v>
      </c>
      <c r="O986" t="s">
        <v>39</v>
      </c>
      <c r="P986" t="s">
        <v>12</v>
      </c>
      <c r="Q986" t="s">
        <v>13</v>
      </c>
      <c r="R986" t="s">
        <v>3856</v>
      </c>
      <c r="S986" t="s">
        <v>1527</v>
      </c>
      <c r="T986" t="s">
        <v>3836</v>
      </c>
      <c r="U986" t="s">
        <v>1590</v>
      </c>
      <c r="V986" t="s">
        <v>1753</v>
      </c>
      <c r="W986" t="s">
        <v>1746</v>
      </c>
      <c r="X986" t="s">
        <v>1755</v>
      </c>
    </row>
    <row r="987" spans="1:24" x14ac:dyDescent="0.3">
      <c r="A987" t="s">
        <v>2794</v>
      </c>
      <c r="B987" s="2">
        <v>45758</v>
      </c>
      <c r="C987" t="s">
        <v>205</v>
      </c>
      <c r="D987" t="s">
        <v>1529</v>
      </c>
      <c r="E987" t="s">
        <v>1775</v>
      </c>
      <c r="F987" s="4">
        <v>4</v>
      </c>
      <c r="G987">
        <v>880.26</v>
      </c>
      <c r="H987">
        <v>0.11</v>
      </c>
      <c r="I987" t="s">
        <v>1812</v>
      </c>
      <c r="J987">
        <v>3133.7256000000002</v>
      </c>
      <c r="K987" t="s">
        <v>206</v>
      </c>
      <c r="L987">
        <v>49</v>
      </c>
      <c r="M987" t="s">
        <v>16</v>
      </c>
      <c r="N987" t="s">
        <v>207</v>
      </c>
      <c r="O987" t="s">
        <v>198</v>
      </c>
      <c r="P987" t="s">
        <v>12</v>
      </c>
      <c r="Q987" t="s">
        <v>26</v>
      </c>
      <c r="R987" t="s">
        <v>3812</v>
      </c>
      <c r="S987" t="s">
        <v>1530</v>
      </c>
      <c r="T987" t="s">
        <v>3813</v>
      </c>
      <c r="U987" t="s">
        <v>1531</v>
      </c>
      <c r="V987" t="s">
        <v>1741</v>
      </c>
      <c r="W987" t="s">
        <v>1742</v>
      </c>
      <c r="X987" t="s">
        <v>1739</v>
      </c>
    </row>
    <row r="988" spans="1:24" x14ac:dyDescent="0.3">
      <c r="A988" t="s">
        <v>2795</v>
      </c>
      <c r="B988" s="2">
        <v>45429</v>
      </c>
      <c r="C988" t="s">
        <v>1470</v>
      </c>
      <c r="D988" t="s">
        <v>1633</v>
      </c>
      <c r="E988" t="s">
        <v>1775</v>
      </c>
      <c r="F988" s="4">
        <v>3</v>
      </c>
      <c r="G988">
        <v>461.02</v>
      </c>
      <c r="H988">
        <v>0.28999999999999998</v>
      </c>
      <c r="I988" t="s">
        <v>1809</v>
      </c>
      <c r="J988">
        <v>981.97259999999994</v>
      </c>
      <c r="K988" t="s">
        <v>1259</v>
      </c>
      <c r="L988">
        <v>32</v>
      </c>
      <c r="M988" t="s">
        <v>9</v>
      </c>
      <c r="N988" t="s">
        <v>1471</v>
      </c>
      <c r="O988" t="s">
        <v>181</v>
      </c>
      <c r="P988" t="s">
        <v>12</v>
      </c>
      <c r="Q988" t="s">
        <v>13</v>
      </c>
      <c r="R988" t="s">
        <v>3883</v>
      </c>
      <c r="S988" t="s">
        <v>1546</v>
      </c>
      <c r="T988" t="s">
        <v>3820</v>
      </c>
      <c r="U988" t="s">
        <v>1634</v>
      </c>
      <c r="V988" t="s">
        <v>1741</v>
      </c>
      <c r="W988" t="s">
        <v>1742</v>
      </c>
      <c r="X988" t="s">
        <v>1739</v>
      </c>
    </row>
    <row r="989" spans="1:24" x14ac:dyDescent="0.3">
      <c r="A989" t="s">
        <v>2796</v>
      </c>
      <c r="B989" s="2">
        <v>45578</v>
      </c>
      <c r="C989" t="s">
        <v>110</v>
      </c>
      <c r="D989" t="s">
        <v>1581</v>
      </c>
      <c r="E989" t="s">
        <v>1780</v>
      </c>
      <c r="F989" s="4">
        <v>1</v>
      </c>
      <c r="G989">
        <v>531.99</v>
      </c>
      <c r="H989">
        <v>0.17</v>
      </c>
      <c r="I989" t="s">
        <v>1809</v>
      </c>
      <c r="J989">
        <v>441.55169999999998</v>
      </c>
      <c r="K989" t="s">
        <v>111</v>
      </c>
      <c r="L989">
        <v>31</v>
      </c>
      <c r="M989" t="s">
        <v>9</v>
      </c>
      <c r="N989" t="s">
        <v>112</v>
      </c>
      <c r="O989" t="s">
        <v>113</v>
      </c>
      <c r="P989" t="s">
        <v>12</v>
      </c>
      <c r="Q989" t="s">
        <v>13</v>
      </c>
      <c r="R989" t="s">
        <v>3852</v>
      </c>
      <c r="S989" t="s">
        <v>1530</v>
      </c>
      <c r="T989" t="s">
        <v>3820</v>
      </c>
      <c r="U989" t="s">
        <v>1582</v>
      </c>
      <c r="V989" t="s">
        <v>1741</v>
      </c>
      <c r="W989" t="s">
        <v>1742</v>
      </c>
      <c r="X989" t="s">
        <v>1739</v>
      </c>
    </row>
    <row r="990" spans="1:24" x14ac:dyDescent="0.3">
      <c r="A990" t="s">
        <v>2797</v>
      </c>
      <c r="B990" s="2">
        <v>45486</v>
      </c>
      <c r="C990" t="s">
        <v>27</v>
      </c>
      <c r="D990" t="s">
        <v>1625</v>
      </c>
      <c r="E990" t="s">
        <v>1790</v>
      </c>
      <c r="F990" s="4">
        <v>2</v>
      </c>
      <c r="G990">
        <v>274.08999999999997</v>
      </c>
      <c r="H990">
        <v>0.13</v>
      </c>
      <c r="I990" t="s">
        <v>1809</v>
      </c>
      <c r="J990">
        <v>476.91660000000002</v>
      </c>
      <c r="K990" t="s">
        <v>28</v>
      </c>
      <c r="L990">
        <v>24</v>
      </c>
      <c r="M990" t="s">
        <v>9</v>
      </c>
      <c r="N990" t="s">
        <v>29</v>
      </c>
      <c r="O990" t="s">
        <v>30</v>
      </c>
      <c r="P990" t="s">
        <v>12</v>
      </c>
      <c r="Q990" t="s">
        <v>31</v>
      </c>
      <c r="R990" t="s">
        <v>3877</v>
      </c>
      <c r="S990" t="s">
        <v>1541</v>
      </c>
      <c r="T990" t="s">
        <v>3878</v>
      </c>
      <c r="U990" t="s">
        <v>1626</v>
      </c>
      <c r="V990" t="s">
        <v>1741</v>
      </c>
      <c r="W990" t="s">
        <v>1742</v>
      </c>
      <c r="X990" t="s">
        <v>1739</v>
      </c>
    </row>
    <row r="991" spans="1:24" x14ac:dyDescent="0.3">
      <c r="A991" t="s">
        <v>2798</v>
      </c>
      <c r="B991" s="2">
        <v>45694</v>
      </c>
      <c r="C991" t="s">
        <v>1355</v>
      </c>
      <c r="D991" t="s">
        <v>1707</v>
      </c>
      <c r="E991" t="s">
        <v>1772</v>
      </c>
      <c r="F991" s="4">
        <v>1</v>
      </c>
      <c r="G991">
        <v>66.14</v>
      </c>
      <c r="H991">
        <v>0.14000000000000001</v>
      </c>
      <c r="I991" t="s">
        <v>1812</v>
      </c>
      <c r="J991">
        <v>56.880400000000002</v>
      </c>
      <c r="K991" t="s">
        <v>1356</v>
      </c>
      <c r="L991">
        <v>19</v>
      </c>
      <c r="M991" t="s">
        <v>9</v>
      </c>
      <c r="N991" t="s">
        <v>1357</v>
      </c>
      <c r="O991" t="s">
        <v>354</v>
      </c>
      <c r="P991" t="s">
        <v>12</v>
      </c>
      <c r="Q991" t="s">
        <v>31</v>
      </c>
      <c r="R991" t="s">
        <v>3921</v>
      </c>
      <c r="S991" t="s">
        <v>1549</v>
      </c>
      <c r="T991" t="s">
        <v>3820</v>
      </c>
      <c r="U991" t="s">
        <v>1708</v>
      </c>
      <c r="V991" t="s">
        <v>1741</v>
      </c>
      <c r="W991" t="s">
        <v>1742</v>
      </c>
      <c r="X991" t="s">
        <v>1739</v>
      </c>
    </row>
    <row r="992" spans="1:24" x14ac:dyDescent="0.3">
      <c r="A992" t="s">
        <v>2799</v>
      </c>
      <c r="B992" s="2">
        <v>45875</v>
      </c>
      <c r="C992" t="s">
        <v>278</v>
      </c>
      <c r="D992" t="s">
        <v>1571</v>
      </c>
      <c r="E992" t="s">
        <v>1769</v>
      </c>
      <c r="F992" s="4">
        <v>3</v>
      </c>
      <c r="G992">
        <v>955.82</v>
      </c>
      <c r="H992">
        <v>0.16</v>
      </c>
      <c r="I992" t="s">
        <v>1812</v>
      </c>
      <c r="J992">
        <v>2408.6664000000001</v>
      </c>
      <c r="K992" t="s">
        <v>279</v>
      </c>
      <c r="L992">
        <v>21</v>
      </c>
      <c r="M992" t="s">
        <v>9</v>
      </c>
      <c r="N992" t="s">
        <v>280</v>
      </c>
      <c r="O992" t="s">
        <v>170</v>
      </c>
      <c r="P992" t="s">
        <v>12</v>
      </c>
      <c r="Q992" t="s">
        <v>13</v>
      </c>
      <c r="R992" t="s">
        <v>3845</v>
      </c>
      <c r="S992" t="s">
        <v>1549</v>
      </c>
      <c r="T992" t="s">
        <v>3820</v>
      </c>
      <c r="U992" t="s">
        <v>1572</v>
      </c>
      <c r="V992" t="s">
        <v>1770</v>
      </c>
      <c r="W992" t="s">
        <v>1746</v>
      </c>
      <c r="X992" t="s">
        <v>1739</v>
      </c>
    </row>
    <row r="993" spans="1:24" x14ac:dyDescent="0.3">
      <c r="A993" t="s">
        <v>2800</v>
      </c>
      <c r="B993" s="2">
        <v>45432</v>
      </c>
      <c r="C993" t="s">
        <v>995</v>
      </c>
      <c r="D993" t="s">
        <v>1575</v>
      </c>
      <c r="E993" t="s">
        <v>1777</v>
      </c>
      <c r="F993" s="4">
        <v>1</v>
      </c>
      <c r="G993">
        <v>904.92</v>
      </c>
      <c r="H993">
        <v>0.13</v>
      </c>
      <c r="I993" t="s">
        <v>1807</v>
      </c>
      <c r="J993">
        <v>787.28039999999999</v>
      </c>
      <c r="K993" t="s">
        <v>996</v>
      </c>
      <c r="L993">
        <v>34</v>
      </c>
      <c r="M993" t="s">
        <v>16</v>
      </c>
      <c r="N993" t="s">
        <v>997</v>
      </c>
      <c r="O993" t="s">
        <v>309</v>
      </c>
      <c r="P993" t="s">
        <v>12</v>
      </c>
      <c r="Q993" t="s">
        <v>19</v>
      </c>
      <c r="R993" t="s">
        <v>3848</v>
      </c>
      <c r="S993" t="s">
        <v>1549</v>
      </c>
      <c r="T993" t="s">
        <v>3844</v>
      </c>
      <c r="U993" t="s">
        <v>1576</v>
      </c>
      <c r="V993" t="s">
        <v>1741</v>
      </c>
      <c r="W993" t="s">
        <v>1742</v>
      </c>
      <c r="X993" t="s">
        <v>1739</v>
      </c>
    </row>
    <row r="994" spans="1:24" x14ac:dyDescent="0.3">
      <c r="A994" t="s">
        <v>2801</v>
      </c>
      <c r="B994" s="2">
        <v>45575</v>
      </c>
      <c r="C994" t="s">
        <v>8</v>
      </c>
      <c r="D994" t="s">
        <v>1611</v>
      </c>
      <c r="E994" t="s">
        <v>1762</v>
      </c>
      <c r="F994" s="4">
        <v>3</v>
      </c>
      <c r="G994">
        <v>490.02</v>
      </c>
      <c r="H994">
        <v>0.26</v>
      </c>
      <c r="I994" t="s">
        <v>1807</v>
      </c>
      <c r="J994">
        <v>1087.8444</v>
      </c>
      <c r="K994" t="s">
        <v>3952</v>
      </c>
      <c r="L994">
        <v>26</v>
      </c>
      <c r="M994" t="s">
        <v>16</v>
      </c>
      <c r="N994" t="s">
        <v>10</v>
      </c>
      <c r="O994" t="s">
        <v>11</v>
      </c>
      <c r="P994" t="s">
        <v>12</v>
      </c>
      <c r="Q994" t="s">
        <v>19</v>
      </c>
      <c r="R994" t="s">
        <v>3870</v>
      </c>
      <c r="S994" t="s">
        <v>1546</v>
      </c>
      <c r="T994" t="s">
        <v>3826</v>
      </c>
      <c r="U994" t="s">
        <v>1612</v>
      </c>
      <c r="V994" t="s">
        <v>1763</v>
      </c>
      <c r="W994" t="s">
        <v>1746</v>
      </c>
      <c r="X994" t="s">
        <v>1755</v>
      </c>
    </row>
    <row r="995" spans="1:24" x14ac:dyDescent="0.3">
      <c r="A995" t="s">
        <v>2802</v>
      </c>
      <c r="B995" s="2">
        <v>45340</v>
      </c>
      <c r="C995" t="s">
        <v>1123</v>
      </c>
      <c r="D995" t="s">
        <v>1569</v>
      </c>
      <c r="E995" t="s">
        <v>1759</v>
      </c>
      <c r="F995" s="4">
        <v>2</v>
      </c>
      <c r="G995">
        <v>957.54</v>
      </c>
      <c r="H995">
        <v>0.1</v>
      </c>
      <c r="I995" t="s">
        <v>1812</v>
      </c>
      <c r="J995">
        <v>1723.5719999999999</v>
      </c>
      <c r="K995" t="s">
        <v>1124</v>
      </c>
      <c r="L995">
        <v>58</v>
      </c>
      <c r="M995" t="s">
        <v>9</v>
      </c>
      <c r="N995" t="s">
        <v>1125</v>
      </c>
      <c r="O995" t="s">
        <v>25</v>
      </c>
      <c r="P995" t="s">
        <v>12</v>
      </c>
      <c r="Q995" t="s">
        <v>26</v>
      </c>
      <c r="R995" t="s">
        <v>3843</v>
      </c>
      <c r="S995" t="s">
        <v>1549</v>
      </c>
      <c r="T995" t="s">
        <v>3844</v>
      </c>
      <c r="U995" t="s">
        <v>1570</v>
      </c>
      <c r="V995" t="s">
        <v>1760</v>
      </c>
      <c r="W995" t="s">
        <v>1737</v>
      </c>
      <c r="X995" t="s">
        <v>1755</v>
      </c>
    </row>
    <row r="996" spans="1:24" x14ac:dyDescent="0.3">
      <c r="A996" t="s">
        <v>2803</v>
      </c>
      <c r="B996" s="2">
        <v>45926</v>
      </c>
      <c r="C996" t="s">
        <v>1024</v>
      </c>
      <c r="D996" t="s">
        <v>1729</v>
      </c>
      <c r="E996" t="s">
        <v>1780</v>
      </c>
      <c r="F996" s="4">
        <v>2</v>
      </c>
      <c r="G996">
        <v>314.39999999999998</v>
      </c>
      <c r="H996">
        <v>7.0000000000000007E-2</v>
      </c>
      <c r="I996" t="s">
        <v>1809</v>
      </c>
      <c r="J996">
        <v>584.78399999999988</v>
      </c>
      <c r="K996" t="s">
        <v>1025</v>
      </c>
      <c r="L996">
        <v>54</v>
      </c>
      <c r="M996" t="s">
        <v>9</v>
      </c>
      <c r="N996" t="s">
        <v>1026</v>
      </c>
      <c r="O996" t="s">
        <v>198</v>
      </c>
      <c r="P996" t="s">
        <v>12</v>
      </c>
      <c r="Q996" t="s">
        <v>26</v>
      </c>
      <c r="R996" t="s">
        <v>3932</v>
      </c>
      <c r="S996" t="s">
        <v>1527</v>
      </c>
      <c r="T996" t="s">
        <v>3830</v>
      </c>
      <c r="U996" t="s">
        <v>1730</v>
      </c>
      <c r="V996" t="s">
        <v>1741</v>
      </c>
      <c r="W996" t="s">
        <v>1742</v>
      </c>
      <c r="X996" t="s">
        <v>1739</v>
      </c>
    </row>
    <row r="997" spans="1:24" x14ac:dyDescent="0.3">
      <c r="A997" t="s">
        <v>2804</v>
      </c>
      <c r="B997" s="2">
        <v>45373</v>
      </c>
      <c r="C997" t="s">
        <v>1216</v>
      </c>
      <c r="D997" t="s">
        <v>1579</v>
      </c>
      <c r="E997" t="s">
        <v>1759</v>
      </c>
      <c r="F997" s="4">
        <v>3</v>
      </c>
      <c r="G997">
        <v>480.11</v>
      </c>
      <c r="H997">
        <v>0.11</v>
      </c>
      <c r="I997" t="s">
        <v>1809</v>
      </c>
      <c r="J997">
        <v>1281.8937000000001</v>
      </c>
      <c r="K997" t="s">
        <v>1217</v>
      </c>
      <c r="L997">
        <v>50</v>
      </c>
      <c r="M997" t="s">
        <v>9</v>
      </c>
      <c r="N997" t="s">
        <v>1218</v>
      </c>
      <c r="O997" t="s">
        <v>166</v>
      </c>
      <c r="P997" t="s">
        <v>12</v>
      </c>
      <c r="Q997" t="s">
        <v>26</v>
      </c>
      <c r="R997" t="s">
        <v>3850</v>
      </c>
      <c r="S997" t="s">
        <v>1549</v>
      </c>
      <c r="T997" t="s">
        <v>3851</v>
      </c>
      <c r="U997" t="s">
        <v>1580</v>
      </c>
      <c r="V997" t="s">
        <v>1760</v>
      </c>
      <c r="W997" t="s">
        <v>1737</v>
      </c>
      <c r="X997" t="s">
        <v>1755</v>
      </c>
    </row>
    <row r="998" spans="1:24" x14ac:dyDescent="0.3">
      <c r="A998" t="s">
        <v>2805</v>
      </c>
      <c r="B998" s="2">
        <v>45579</v>
      </c>
      <c r="C998" t="s">
        <v>1198</v>
      </c>
      <c r="D998" t="s">
        <v>1627</v>
      </c>
      <c r="E998" t="s">
        <v>1759</v>
      </c>
      <c r="F998" s="4">
        <v>4</v>
      </c>
      <c r="G998">
        <v>826.55</v>
      </c>
      <c r="H998">
        <v>0.28000000000000003</v>
      </c>
      <c r="I998" t="s">
        <v>1807</v>
      </c>
      <c r="J998">
        <v>2380.4639999999999</v>
      </c>
      <c r="K998" t="s">
        <v>1199</v>
      </c>
      <c r="L998">
        <v>50</v>
      </c>
      <c r="M998" t="s">
        <v>9</v>
      </c>
      <c r="N998" t="s">
        <v>1200</v>
      </c>
      <c r="O998" t="s">
        <v>113</v>
      </c>
      <c r="P998" t="s">
        <v>12</v>
      </c>
      <c r="Q998" t="s">
        <v>19</v>
      </c>
      <c r="R998" t="s">
        <v>3879</v>
      </c>
      <c r="S998" t="s">
        <v>1546</v>
      </c>
      <c r="T998" t="s">
        <v>3820</v>
      </c>
      <c r="U998" t="s">
        <v>1628</v>
      </c>
      <c r="V998" t="s">
        <v>1760</v>
      </c>
      <c r="W998" t="s">
        <v>1737</v>
      </c>
      <c r="X998" t="s">
        <v>1755</v>
      </c>
    </row>
    <row r="999" spans="1:24" x14ac:dyDescent="0.3">
      <c r="A999" t="s">
        <v>2806</v>
      </c>
      <c r="B999" s="2">
        <v>45805</v>
      </c>
      <c r="C999" t="s">
        <v>619</v>
      </c>
      <c r="D999" t="s">
        <v>1585</v>
      </c>
      <c r="E999" t="s">
        <v>1749</v>
      </c>
      <c r="F999" s="4">
        <v>3</v>
      </c>
      <c r="G999">
        <v>530.16999999999996</v>
      </c>
      <c r="H999">
        <v>0.18</v>
      </c>
      <c r="I999" t="s">
        <v>1809</v>
      </c>
      <c r="J999">
        <v>1304.2182</v>
      </c>
      <c r="K999" t="s">
        <v>620</v>
      </c>
      <c r="L999">
        <v>29</v>
      </c>
      <c r="M999" t="s">
        <v>16</v>
      </c>
      <c r="N999" t="s">
        <v>621</v>
      </c>
      <c r="O999" t="s">
        <v>58</v>
      </c>
      <c r="P999" t="s">
        <v>12</v>
      </c>
      <c r="Q999" t="s">
        <v>26</v>
      </c>
      <c r="R999" t="s">
        <v>3854</v>
      </c>
      <c r="S999" t="s">
        <v>1527</v>
      </c>
      <c r="T999" t="s">
        <v>3836</v>
      </c>
      <c r="U999" t="s">
        <v>1586</v>
      </c>
      <c r="V999" t="s">
        <v>1750</v>
      </c>
      <c r="W999" t="s">
        <v>1742</v>
      </c>
      <c r="X999" t="s">
        <v>1748</v>
      </c>
    </row>
    <row r="1000" spans="1:24" x14ac:dyDescent="0.3">
      <c r="A1000" t="s">
        <v>2807</v>
      </c>
      <c r="B1000" s="2">
        <v>45522</v>
      </c>
      <c r="C1000" t="s">
        <v>1252</v>
      </c>
      <c r="D1000" t="s">
        <v>1599</v>
      </c>
      <c r="E1000" t="s">
        <v>1790</v>
      </c>
      <c r="F1000" s="4">
        <v>3</v>
      </c>
      <c r="G1000">
        <v>336.17</v>
      </c>
      <c r="H1000">
        <v>0.04</v>
      </c>
      <c r="I1000" t="s">
        <v>1812</v>
      </c>
      <c r="J1000">
        <v>968.16959999999995</v>
      </c>
      <c r="K1000" t="s">
        <v>1253</v>
      </c>
      <c r="L1000">
        <v>36</v>
      </c>
      <c r="M1000" t="s">
        <v>9</v>
      </c>
      <c r="N1000" t="s">
        <v>1254</v>
      </c>
      <c r="O1000" t="s">
        <v>139</v>
      </c>
      <c r="P1000" t="s">
        <v>12</v>
      </c>
      <c r="Q1000" t="s">
        <v>13</v>
      </c>
      <c r="R1000" t="s">
        <v>3862</v>
      </c>
      <c r="S1000" t="s">
        <v>1546</v>
      </c>
      <c r="T1000" t="s">
        <v>3811</v>
      </c>
      <c r="U1000" t="s">
        <v>1600</v>
      </c>
      <c r="V1000" t="s">
        <v>1741</v>
      </c>
      <c r="W1000" t="s">
        <v>1742</v>
      </c>
      <c r="X1000" t="s">
        <v>1739</v>
      </c>
    </row>
    <row r="1001" spans="1:24" x14ac:dyDescent="0.3">
      <c r="A1001" t="s">
        <v>2808</v>
      </c>
      <c r="B1001" s="2">
        <v>45304</v>
      </c>
      <c r="C1001" t="s">
        <v>1292</v>
      </c>
      <c r="D1001" t="s">
        <v>1693</v>
      </c>
      <c r="E1001" t="s">
        <v>1765</v>
      </c>
      <c r="F1001" s="4">
        <v>4</v>
      </c>
      <c r="G1001">
        <v>22.51</v>
      </c>
      <c r="H1001">
        <v>0.27</v>
      </c>
      <c r="I1001" t="s">
        <v>1809</v>
      </c>
      <c r="J1001">
        <v>65.729200000000006</v>
      </c>
      <c r="K1001" t="s">
        <v>1293</v>
      </c>
      <c r="L1001">
        <v>42</v>
      </c>
      <c r="M1001" t="s">
        <v>16</v>
      </c>
      <c r="N1001" t="s">
        <v>1294</v>
      </c>
      <c r="O1001" t="s">
        <v>74</v>
      </c>
      <c r="P1001" t="s">
        <v>12</v>
      </c>
      <c r="Q1001" t="s">
        <v>19</v>
      </c>
      <c r="R1001" t="s">
        <v>3914</v>
      </c>
      <c r="S1001" t="s">
        <v>1549</v>
      </c>
      <c r="T1001" t="s">
        <v>3844</v>
      </c>
      <c r="U1001" t="s">
        <v>1694</v>
      </c>
      <c r="V1001" t="s">
        <v>1766</v>
      </c>
      <c r="W1001" t="s">
        <v>1767</v>
      </c>
      <c r="X1001" t="s">
        <v>1755</v>
      </c>
    </row>
    <row r="1002" spans="1:24" x14ac:dyDescent="0.3">
      <c r="A1002" t="s">
        <v>2809</v>
      </c>
      <c r="B1002" s="2">
        <v>45456</v>
      </c>
      <c r="C1002" t="s">
        <v>619</v>
      </c>
      <c r="D1002" t="s">
        <v>1649</v>
      </c>
      <c r="E1002" t="s">
        <v>1744</v>
      </c>
      <c r="F1002" s="4">
        <v>2</v>
      </c>
      <c r="G1002">
        <v>909.51</v>
      </c>
      <c r="H1002">
        <v>0.27</v>
      </c>
      <c r="I1002" t="s">
        <v>1807</v>
      </c>
      <c r="J1002">
        <v>1327.8846000000001</v>
      </c>
      <c r="K1002" t="s">
        <v>620</v>
      </c>
      <c r="L1002">
        <v>29</v>
      </c>
      <c r="M1002" t="s">
        <v>16</v>
      </c>
      <c r="N1002" t="s">
        <v>621</v>
      </c>
      <c r="O1002" t="s">
        <v>58</v>
      </c>
      <c r="P1002" t="s">
        <v>12</v>
      </c>
      <c r="Q1002" t="s">
        <v>26</v>
      </c>
      <c r="R1002" t="s">
        <v>3891</v>
      </c>
      <c r="S1002" t="s">
        <v>1541</v>
      </c>
      <c r="T1002" t="s">
        <v>3833</v>
      </c>
      <c r="U1002" t="s">
        <v>1650</v>
      </c>
      <c r="V1002" t="s">
        <v>1745</v>
      </c>
      <c r="W1002" t="s">
        <v>1746</v>
      </c>
      <c r="X1002" t="s">
        <v>1748</v>
      </c>
    </row>
    <row r="1003" spans="1:24" x14ac:dyDescent="0.3">
      <c r="A1003" t="s">
        <v>2810</v>
      </c>
      <c r="B1003" s="2">
        <v>45776</v>
      </c>
      <c r="C1003" t="s">
        <v>195</v>
      </c>
      <c r="D1003" t="s">
        <v>1669</v>
      </c>
      <c r="E1003" t="s">
        <v>1782</v>
      </c>
      <c r="F1003" s="4">
        <v>4</v>
      </c>
      <c r="G1003">
        <v>593.84</v>
      </c>
      <c r="H1003">
        <v>0.24</v>
      </c>
      <c r="I1003" t="s">
        <v>1809</v>
      </c>
      <c r="J1003">
        <v>1805.2736</v>
      </c>
      <c r="K1003" t="s">
        <v>196</v>
      </c>
      <c r="L1003">
        <v>37</v>
      </c>
      <c r="M1003" t="s">
        <v>16</v>
      </c>
      <c r="N1003" t="s">
        <v>197</v>
      </c>
      <c r="O1003" t="s">
        <v>198</v>
      </c>
      <c r="P1003" t="s">
        <v>12</v>
      </c>
      <c r="Q1003" t="s">
        <v>26</v>
      </c>
      <c r="R1003" t="s">
        <v>3902</v>
      </c>
      <c r="S1003" t="s">
        <v>1530</v>
      </c>
      <c r="T1003" t="s">
        <v>3818</v>
      </c>
      <c r="U1003" t="s">
        <v>1670</v>
      </c>
      <c r="V1003" t="s">
        <v>1741</v>
      </c>
      <c r="W1003" t="s">
        <v>1742</v>
      </c>
      <c r="X1003" t="s">
        <v>1739</v>
      </c>
    </row>
    <row r="1004" spans="1:24" x14ac:dyDescent="0.3">
      <c r="A1004" t="s">
        <v>2811</v>
      </c>
      <c r="B1004" s="2">
        <v>45566</v>
      </c>
      <c r="C1004" t="s">
        <v>379</v>
      </c>
      <c r="D1004" t="s">
        <v>1677</v>
      </c>
      <c r="E1004" t="s">
        <v>1772</v>
      </c>
      <c r="F1004" s="4">
        <v>3</v>
      </c>
      <c r="G1004">
        <v>909.11</v>
      </c>
      <c r="H1004">
        <v>0.23</v>
      </c>
      <c r="I1004" t="s">
        <v>1812</v>
      </c>
      <c r="J1004">
        <v>2100.0441000000001</v>
      </c>
      <c r="K1004" t="s">
        <v>380</v>
      </c>
      <c r="L1004">
        <v>40</v>
      </c>
      <c r="M1004" t="s">
        <v>16</v>
      </c>
      <c r="N1004" t="s">
        <v>381</v>
      </c>
      <c r="O1004" t="s">
        <v>43</v>
      </c>
      <c r="P1004" t="s">
        <v>12</v>
      </c>
      <c r="Q1004" t="s">
        <v>31</v>
      </c>
      <c r="R1004" t="s">
        <v>3906</v>
      </c>
      <c r="S1004" t="s">
        <v>1549</v>
      </c>
      <c r="T1004" t="s">
        <v>3859</v>
      </c>
      <c r="U1004" t="s">
        <v>1678</v>
      </c>
      <c r="V1004" t="s">
        <v>1741</v>
      </c>
      <c r="W1004" t="s">
        <v>1742</v>
      </c>
      <c r="X1004" t="s">
        <v>1739</v>
      </c>
    </row>
    <row r="1005" spans="1:24" x14ac:dyDescent="0.3">
      <c r="A1005" t="s">
        <v>2812</v>
      </c>
      <c r="B1005" s="2">
        <v>45542</v>
      </c>
      <c r="C1005" t="s">
        <v>1229</v>
      </c>
      <c r="D1005" t="s">
        <v>1579</v>
      </c>
      <c r="E1005" t="s">
        <v>1740</v>
      </c>
      <c r="F1005" s="4">
        <v>4</v>
      </c>
      <c r="G1005">
        <v>996.85</v>
      </c>
      <c r="H1005">
        <v>0.24</v>
      </c>
      <c r="I1005" t="s">
        <v>1809</v>
      </c>
      <c r="J1005">
        <v>3030.424</v>
      </c>
      <c r="K1005" t="s">
        <v>1230</v>
      </c>
      <c r="L1005">
        <v>57</v>
      </c>
      <c r="M1005" t="s">
        <v>16</v>
      </c>
      <c r="N1005" t="s">
        <v>1231</v>
      </c>
      <c r="O1005" t="s">
        <v>429</v>
      </c>
      <c r="P1005" t="s">
        <v>12</v>
      </c>
      <c r="Q1005" t="s">
        <v>26</v>
      </c>
      <c r="R1005" t="s">
        <v>3850</v>
      </c>
      <c r="S1005" t="s">
        <v>1549</v>
      </c>
      <c r="T1005" t="s">
        <v>3851</v>
      </c>
      <c r="U1005" t="s">
        <v>1580</v>
      </c>
      <c r="V1005" t="s">
        <v>1741</v>
      </c>
      <c r="W1005" t="s">
        <v>1742</v>
      </c>
      <c r="X1005" t="s">
        <v>1739</v>
      </c>
    </row>
    <row r="1006" spans="1:24" x14ac:dyDescent="0.3">
      <c r="A1006" t="s">
        <v>2813</v>
      </c>
      <c r="B1006" s="2">
        <v>45834</v>
      </c>
      <c r="C1006" t="s">
        <v>939</v>
      </c>
      <c r="D1006" t="s">
        <v>1526</v>
      </c>
      <c r="E1006" t="s">
        <v>1790</v>
      </c>
      <c r="F1006" s="4">
        <v>1</v>
      </c>
      <c r="G1006">
        <v>522.69000000000005</v>
      </c>
      <c r="H1006">
        <v>0.06</v>
      </c>
      <c r="I1006" t="s">
        <v>1812</v>
      </c>
      <c r="J1006">
        <v>491.32860000000011</v>
      </c>
      <c r="K1006" t="s">
        <v>940</v>
      </c>
      <c r="L1006">
        <v>50</v>
      </c>
      <c r="M1006" t="s">
        <v>9</v>
      </c>
      <c r="N1006" t="s">
        <v>941</v>
      </c>
      <c r="O1006" t="s">
        <v>35</v>
      </c>
      <c r="P1006" t="s">
        <v>12</v>
      </c>
      <c r="Q1006" t="s">
        <v>31</v>
      </c>
      <c r="R1006" t="s">
        <v>3810</v>
      </c>
      <c r="S1006" t="s">
        <v>1546</v>
      </c>
      <c r="T1006" t="s">
        <v>3811</v>
      </c>
      <c r="U1006" t="s">
        <v>1528</v>
      </c>
      <c r="V1006" t="s">
        <v>1741</v>
      </c>
      <c r="W1006" t="s">
        <v>1742</v>
      </c>
      <c r="X1006" t="s">
        <v>1739</v>
      </c>
    </row>
    <row r="1007" spans="1:24" x14ac:dyDescent="0.3">
      <c r="A1007" t="s">
        <v>2814</v>
      </c>
      <c r="B1007" s="2">
        <v>45405</v>
      </c>
      <c r="C1007" t="s">
        <v>631</v>
      </c>
      <c r="D1007" t="s">
        <v>1639</v>
      </c>
      <c r="E1007" t="s">
        <v>1749</v>
      </c>
      <c r="F1007" s="4">
        <v>3</v>
      </c>
      <c r="G1007">
        <v>261.05</v>
      </c>
      <c r="H1007">
        <v>0.12</v>
      </c>
      <c r="I1007" t="s">
        <v>1809</v>
      </c>
      <c r="J1007">
        <v>689.17200000000014</v>
      </c>
      <c r="K1007" t="s">
        <v>632</v>
      </c>
      <c r="L1007">
        <v>60</v>
      </c>
      <c r="M1007" t="s">
        <v>9</v>
      </c>
      <c r="N1007" t="s">
        <v>633</v>
      </c>
      <c r="O1007" t="s">
        <v>51</v>
      </c>
      <c r="P1007" t="s">
        <v>12</v>
      </c>
      <c r="Q1007" t="s">
        <v>13</v>
      </c>
      <c r="R1007" t="s">
        <v>3886</v>
      </c>
      <c r="S1007" t="s">
        <v>1549</v>
      </c>
      <c r="T1007" t="s">
        <v>3820</v>
      </c>
      <c r="U1007" t="s">
        <v>1640</v>
      </c>
      <c r="V1007" t="s">
        <v>1750</v>
      </c>
      <c r="W1007" t="s">
        <v>1742</v>
      </c>
      <c r="X1007" t="s">
        <v>1748</v>
      </c>
    </row>
    <row r="1008" spans="1:24" x14ac:dyDescent="0.3">
      <c r="A1008" t="s">
        <v>2815</v>
      </c>
      <c r="B1008" s="2">
        <v>45918</v>
      </c>
      <c r="C1008" t="s">
        <v>310</v>
      </c>
      <c r="D1008" t="s">
        <v>1577</v>
      </c>
      <c r="E1008" t="s">
        <v>1790</v>
      </c>
      <c r="F1008" s="4">
        <v>3</v>
      </c>
      <c r="G1008">
        <v>644.73</v>
      </c>
      <c r="H1008">
        <v>0.01</v>
      </c>
      <c r="I1008" t="s">
        <v>1812</v>
      </c>
      <c r="J1008">
        <v>1914.8480999999999</v>
      </c>
      <c r="K1008" t="s">
        <v>3939</v>
      </c>
      <c r="L1008">
        <v>58</v>
      </c>
      <c r="M1008" t="s">
        <v>9</v>
      </c>
      <c r="N1008" t="s">
        <v>311</v>
      </c>
      <c r="O1008" t="s">
        <v>312</v>
      </c>
      <c r="P1008" t="s">
        <v>12</v>
      </c>
      <c r="Q1008" t="s">
        <v>26</v>
      </c>
      <c r="R1008" t="s">
        <v>3849</v>
      </c>
      <c r="S1008" t="s">
        <v>1530</v>
      </c>
      <c r="T1008" t="s">
        <v>3813</v>
      </c>
      <c r="U1008" t="s">
        <v>1578</v>
      </c>
      <c r="V1008" t="s">
        <v>1741</v>
      </c>
      <c r="W1008" t="s">
        <v>1742</v>
      </c>
      <c r="X1008" t="s">
        <v>1739</v>
      </c>
    </row>
    <row r="1009" spans="1:24" x14ac:dyDescent="0.3">
      <c r="A1009" t="s">
        <v>2816</v>
      </c>
      <c r="B1009" s="2">
        <v>45217</v>
      </c>
      <c r="C1009" t="s">
        <v>642</v>
      </c>
      <c r="D1009" t="s">
        <v>1681</v>
      </c>
      <c r="E1009" t="s">
        <v>1744</v>
      </c>
      <c r="F1009" s="4">
        <v>2</v>
      </c>
      <c r="G1009">
        <v>541.52</v>
      </c>
      <c r="H1009">
        <v>0.26</v>
      </c>
      <c r="I1009" t="s">
        <v>1809</v>
      </c>
      <c r="J1009">
        <v>801.44959999999992</v>
      </c>
      <c r="K1009" t="s">
        <v>643</v>
      </c>
      <c r="L1009">
        <v>46</v>
      </c>
      <c r="M1009" t="s">
        <v>9</v>
      </c>
      <c r="N1009" t="s">
        <v>644</v>
      </c>
      <c r="O1009" t="s">
        <v>170</v>
      </c>
      <c r="P1009" t="s">
        <v>12</v>
      </c>
      <c r="Q1009" t="s">
        <v>26</v>
      </c>
      <c r="R1009" t="s">
        <v>3908</v>
      </c>
      <c r="S1009" t="s">
        <v>1530</v>
      </c>
      <c r="T1009" t="s">
        <v>3866</v>
      </c>
      <c r="U1009" t="s">
        <v>1682</v>
      </c>
      <c r="V1009" t="s">
        <v>1745</v>
      </c>
      <c r="W1009" t="s">
        <v>1746</v>
      </c>
      <c r="X1009" t="s">
        <v>1748</v>
      </c>
    </row>
    <row r="1010" spans="1:24" x14ac:dyDescent="0.3">
      <c r="A1010" t="s">
        <v>2817</v>
      </c>
      <c r="B1010" s="2">
        <v>45259</v>
      </c>
      <c r="C1010" t="s">
        <v>1306</v>
      </c>
      <c r="D1010" t="s">
        <v>1657</v>
      </c>
      <c r="E1010" t="s">
        <v>1772</v>
      </c>
      <c r="F1010" s="4">
        <v>1</v>
      </c>
      <c r="G1010">
        <v>395.18</v>
      </c>
      <c r="H1010">
        <v>0.09</v>
      </c>
      <c r="I1010" t="s">
        <v>1809</v>
      </c>
      <c r="J1010">
        <v>359.61380000000003</v>
      </c>
      <c r="K1010" t="s">
        <v>1307</v>
      </c>
      <c r="L1010">
        <v>18</v>
      </c>
      <c r="M1010" t="s">
        <v>16</v>
      </c>
      <c r="N1010" t="s">
        <v>1308</v>
      </c>
      <c r="O1010" t="s">
        <v>11</v>
      </c>
      <c r="P1010" t="s">
        <v>12</v>
      </c>
      <c r="Q1010" t="s">
        <v>19</v>
      </c>
      <c r="R1010" t="s">
        <v>3895</v>
      </c>
      <c r="S1010" t="s">
        <v>1541</v>
      </c>
      <c r="T1010" t="s">
        <v>3822</v>
      </c>
      <c r="U1010" t="s">
        <v>1658</v>
      </c>
      <c r="V1010" t="s">
        <v>1741</v>
      </c>
      <c r="W1010" t="s">
        <v>1742</v>
      </c>
      <c r="X1010" t="s">
        <v>1739</v>
      </c>
    </row>
    <row r="1011" spans="1:24" x14ac:dyDescent="0.3">
      <c r="A1011" t="s">
        <v>2818</v>
      </c>
      <c r="B1011" s="2">
        <v>45740</v>
      </c>
      <c r="C1011" t="s">
        <v>351</v>
      </c>
      <c r="D1011" t="s">
        <v>1545</v>
      </c>
      <c r="E1011" t="s">
        <v>1765</v>
      </c>
      <c r="F1011" s="4">
        <v>4</v>
      </c>
      <c r="G1011">
        <v>56.37</v>
      </c>
      <c r="H1011">
        <v>0.17</v>
      </c>
      <c r="I1011" t="s">
        <v>1807</v>
      </c>
      <c r="J1011">
        <v>187.14840000000001</v>
      </c>
      <c r="K1011" t="s">
        <v>352</v>
      </c>
      <c r="L1011">
        <v>29</v>
      </c>
      <c r="M1011" t="s">
        <v>9</v>
      </c>
      <c r="N1011" t="s">
        <v>353</v>
      </c>
      <c r="O1011" t="s">
        <v>354</v>
      </c>
      <c r="P1011" t="s">
        <v>12</v>
      </c>
      <c r="Q1011" t="s">
        <v>19</v>
      </c>
      <c r="R1011" t="s">
        <v>3912</v>
      </c>
      <c r="S1011" t="s">
        <v>1527</v>
      </c>
      <c r="T1011" t="s">
        <v>3824</v>
      </c>
      <c r="U1011" t="s">
        <v>1690</v>
      </c>
      <c r="V1011" t="s">
        <v>1766</v>
      </c>
      <c r="W1011" t="s">
        <v>1767</v>
      </c>
      <c r="X1011" t="s">
        <v>1755</v>
      </c>
    </row>
    <row r="1012" spans="1:24" x14ac:dyDescent="0.3">
      <c r="A1012" t="s">
        <v>2819</v>
      </c>
      <c r="B1012" s="2">
        <v>45908</v>
      </c>
      <c r="C1012" t="s">
        <v>675</v>
      </c>
      <c r="D1012" t="s">
        <v>1689</v>
      </c>
      <c r="E1012" t="s">
        <v>1769</v>
      </c>
      <c r="F1012" s="4">
        <v>4</v>
      </c>
      <c r="G1012">
        <v>202.59</v>
      </c>
      <c r="H1012">
        <v>0.06</v>
      </c>
      <c r="I1012" t="s">
        <v>1812</v>
      </c>
      <c r="J1012">
        <v>761.73839999999996</v>
      </c>
      <c r="K1012" t="s">
        <v>676</v>
      </c>
      <c r="L1012">
        <v>48</v>
      </c>
      <c r="M1012" t="s">
        <v>9</v>
      </c>
      <c r="N1012" t="s">
        <v>677</v>
      </c>
      <c r="O1012" t="s">
        <v>429</v>
      </c>
      <c r="P1012" t="s">
        <v>12</v>
      </c>
      <c r="Q1012" t="s">
        <v>19</v>
      </c>
      <c r="R1012" t="s">
        <v>3912</v>
      </c>
      <c r="S1012" t="s">
        <v>1527</v>
      </c>
      <c r="T1012" t="s">
        <v>3824</v>
      </c>
      <c r="U1012" t="s">
        <v>1690</v>
      </c>
      <c r="V1012" t="s">
        <v>1770</v>
      </c>
      <c r="W1012" t="s">
        <v>1746</v>
      </c>
      <c r="X1012" t="s">
        <v>1739</v>
      </c>
    </row>
    <row r="1013" spans="1:24" x14ac:dyDescent="0.3">
      <c r="A1013" t="s">
        <v>2820</v>
      </c>
      <c r="B1013" s="2">
        <v>45601</v>
      </c>
      <c r="C1013" t="s">
        <v>27</v>
      </c>
      <c r="D1013" t="s">
        <v>1693</v>
      </c>
      <c r="E1013" t="s">
        <v>1756</v>
      </c>
      <c r="F1013" s="4">
        <v>2</v>
      </c>
      <c r="G1013">
        <v>358.36</v>
      </c>
      <c r="H1013">
        <v>0.05</v>
      </c>
      <c r="I1013" t="s">
        <v>1809</v>
      </c>
      <c r="J1013">
        <v>680.88400000000001</v>
      </c>
      <c r="K1013" t="s">
        <v>28</v>
      </c>
      <c r="L1013">
        <v>24</v>
      </c>
      <c r="M1013" t="s">
        <v>9</v>
      </c>
      <c r="N1013" t="s">
        <v>29</v>
      </c>
      <c r="O1013" t="s">
        <v>30</v>
      </c>
      <c r="P1013" t="s">
        <v>12</v>
      </c>
      <c r="Q1013" t="s">
        <v>31</v>
      </c>
      <c r="R1013" t="s">
        <v>3914</v>
      </c>
      <c r="S1013" t="s">
        <v>1549</v>
      </c>
      <c r="T1013" t="s">
        <v>3844</v>
      </c>
      <c r="U1013" t="s">
        <v>1694</v>
      </c>
      <c r="V1013" t="s">
        <v>1757</v>
      </c>
      <c r="W1013" t="s">
        <v>1742</v>
      </c>
      <c r="X1013" t="s">
        <v>1748</v>
      </c>
    </row>
    <row r="1014" spans="1:24" x14ac:dyDescent="0.3">
      <c r="A1014" t="s">
        <v>2821</v>
      </c>
      <c r="B1014" s="2">
        <v>45535</v>
      </c>
      <c r="C1014" t="s">
        <v>261</v>
      </c>
      <c r="D1014" t="s">
        <v>1605</v>
      </c>
      <c r="E1014" t="s">
        <v>1793</v>
      </c>
      <c r="F1014" s="4">
        <v>4</v>
      </c>
      <c r="G1014">
        <v>85.62</v>
      </c>
      <c r="H1014">
        <v>0.28000000000000003</v>
      </c>
      <c r="I1014" t="s">
        <v>1812</v>
      </c>
      <c r="J1014">
        <v>246.5856</v>
      </c>
      <c r="K1014" t="s">
        <v>262</v>
      </c>
      <c r="L1014">
        <v>56</v>
      </c>
      <c r="M1014" t="s">
        <v>16</v>
      </c>
      <c r="N1014" t="s">
        <v>263</v>
      </c>
      <c r="O1014" t="s">
        <v>264</v>
      </c>
      <c r="P1014" t="s">
        <v>12</v>
      </c>
      <c r="Q1014" t="s">
        <v>13</v>
      </c>
      <c r="R1014" t="s">
        <v>3865</v>
      </c>
      <c r="S1014" t="s">
        <v>1530</v>
      </c>
      <c r="T1014" t="s">
        <v>3866</v>
      </c>
      <c r="U1014" t="s">
        <v>1606</v>
      </c>
      <c r="V1014" t="s">
        <v>1741</v>
      </c>
      <c r="W1014" t="s">
        <v>1742</v>
      </c>
      <c r="X1014" t="s">
        <v>1739</v>
      </c>
    </row>
    <row r="1015" spans="1:24" x14ac:dyDescent="0.3">
      <c r="A1015" t="s">
        <v>2822</v>
      </c>
      <c r="B1015" s="2">
        <v>45459</v>
      </c>
      <c r="C1015" t="s">
        <v>604</v>
      </c>
      <c r="D1015" t="s">
        <v>1543</v>
      </c>
      <c r="E1015" t="s">
        <v>1790</v>
      </c>
      <c r="F1015" s="4">
        <v>4</v>
      </c>
      <c r="G1015">
        <v>929.26</v>
      </c>
      <c r="H1015">
        <v>0.23</v>
      </c>
      <c r="I1015" t="s">
        <v>1809</v>
      </c>
      <c r="J1015">
        <v>2862.1208000000001</v>
      </c>
      <c r="K1015" t="s">
        <v>605</v>
      </c>
      <c r="L1015">
        <v>53</v>
      </c>
      <c r="M1015" t="s">
        <v>9</v>
      </c>
      <c r="N1015" t="s">
        <v>606</v>
      </c>
      <c r="O1015" t="s">
        <v>88</v>
      </c>
      <c r="P1015" t="s">
        <v>12</v>
      </c>
      <c r="Q1015" t="s">
        <v>19</v>
      </c>
      <c r="R1015" t="s">
        <v>3902</v>
      </c>
      <c r="S1015" t="s">
        <v>1530</v>
      </c>
      <c r="T1015" t="s">
        <v>3818</v>
      </c>
      <c r="U1015" t="s">
        <v>1670</v>
      </c>
      <c r="V1015" t="s">
        <v>1741</v>
      </c>
      <c r="W1015" t="s">
        <v>1742</v>
      </c>
      <c r="X1015" t="s">
        <v>1739</v>
      </c>
    </row>
    <row r="1016" spans="1:24" x14ac:dyDescent="0.3">
      <c r="A1016" t="s">
        <v>2823</v>
      </c>
      <c r="B1016" s="2">
        <v>45681</v>
      </c>
      <c r="C1016" t="s">
        <v>965</v>
      </c>
      <c r="D1016" t="s">
        <v>1651</v>
      </c>
      <c r="E1016" t="s">
        <v>1780</v>
      </c>
      <c r="F1016" s="4">
        <v>2</v>
      </c>
      <c r="G1016">
        <v>92.64</v>
      </c>
      <c r="H1016">
        <v>0.14000000000000001</v>
      </c>
      <c r="I1016" t="s">
        <v>1812</v>
      </c>
      <c r="J1016">
        <v>159.3408</v>
      </c>
      <c r="K1016" t="s">
        <v>966</v>
      </c>
      <c r="L1016">
        <v>20</v>
      </c>
      <c r="M1016" t="s">
        <v>9</v>
      </c>
      <c r="N1016" t="s">
        <v>967</v>
      </c>
      <c r="O1016" t="s">
        <v>30</v>
      </c>
      <c r="P1016" t="s">
        <v>12</v>
      </c>
      <c r="Q1016" t="s">
        <v>26</v>
      </c>
      <c r="R1016" t="s">
        <v>3892</v>
      </c>
      <c r="S1016" t="s">
        <v>1541</v>
      </c>
      <c r="T1016" t="s">
        <v>3881</v>
      </c>
      <c r="U1016" t="s">
        <v>1652</v>
      </c>
      <c r="V1016" t="s">
        <v>1741</v>
      </c>
      <c r="W1016" t="s">
        <v>1742</v>
      </c>
      <c r="X1016" t="s">
        <v>1739</v>
      </c>
    </row>
    <row r="1017" spans="1:24" x14ac:dyDescent="0.3">
      <c r="A1017" t="s">
        <v>2824</v>
      </c>
      <c r="B1017" s="2">
        <v>45725</v>
      </c>
      <c r="C1017" t="s">
        <v>788</v>
      </c>
      <c r="D1017" t="s">
        <v>1655</v>
      </c>
      <c r="E1017" t="s">
        <v>1752</v>
      </c>
      <c r="F1017" s="4">
        <v>4</v>
      </c>
      <c r="G1017">
        <v>139.05000000000001</v>
      </c>
      <c r="H1017">
        <v>0.28999999999999998</v>
      </c>
      <c r="I1017" t="s">
        <v>1812</v>
      </c>
      <c r="J1017">
        <v>394.90199999999999</v>
      </c>
      <c r="K1017" t="s">
        <v>789</v>
      </c>
      <c r="L1017">
        <v>41</v>
      </c>
      <c r="M1017" t="s">
        <v>16</v>
      </c>
      <c r="N1017" t="s">
        <v>790</v>
      </c>
      <c r="O1017" t="s">
        <v>181</v>
      </c>
      <c r="P1017" t="s">
        <v>12</v>
      </c>
      <c r="Q1017" t="s">
        <v>13</v>
      </c>
      <c r="R1017" t="s">
        <v>3894</v>
      </c>
      <c r="S1017" t="s">
        <v>1546</v>
      </c>
      <c r="T1017" t="s">
        <v>3811</v>
      </c>
      <c r="U1017" t="s">
        <v>1656</v>
      </c>
      <c r="V1017" t="s">
        <v>1753</v>
      </c>
      <c r="W1017" t="s">
        <v>1746</v>
      </c>
      <c r="X1017" t="s">
        <v>1755</v>
      </c>
    </row>
    <row r="1018" spans="1:24" x14ac:dyDescent="0.3">
      <c r="A1018" t="s">
        <v>2825</v>
      </c>
      <c r="B1018" s="2">
        <v>45461</v>
      </c>
      <c r="C1018" t="s">
        <v>470</v>
      </c>
      <c r="D1018" t="s">
        <v>1637</v>
      </c>
      <c r="E1018" t="s">
        <v>1752</v>
      </c>
      <c r="F1018" s="4">
        <v>3</v>
      </c>
      <c r="G1018">
        <v>155.87</v>
      </c>
      <c r="H1018">
        <v>0.03</v>
      </c>
      <c r="I1018" t="s">
        <v>1812</v>
      </c>
      <c r="J1018">
        <v>453.58170000000001</v>
      </c>
      <c r="K1018" t="s">
        <v>471</v>
      </c>
      <c r="L1018">
        <v>30</v>
      </c>
      <c r="M1018" t="s">
        <v>9</v>
      </c>
      <c r="N1018" t="s">
        <v>472</v>
      </c>
      <c r="O1018" t="s">
        <v>51</v>
      </c>
      <c r="P1018" t="s">
        <v>12</v>
      </c>
      <c r="Q1018" t="s">
        <v>13</v>
      </c>
      <c r="R1018" t="s">
        <v>3885</v>
      </c>
      <c r="S1018" t="s">
        <v>1530</v>
      </c>
      <c r="T1018" t="s">
        <v>3818</v>
      </c>
      <c r="U1018" t="s">
        <v>1638</v>
      </c>
      <c r="V1018" t="s">
        <v>1753</v>
      </c>
      <c r="W1018" t="s">
        <v>1746</v>
      </c>
      <c r="X1018" t="s">
        <v>1755</v>
      </c>
    </row>
    <row r="1019" spans="1:24" x14ac:dyDescent="0.3">
      <c r="A1019" t="s">
        <v>2826</v>
      </c>
      <c r="B1019" s="2">
        <v>45837</v>
      </c>
      <c r="C1019" t="s">
        <v>1352</v>
      </c>
      <c r="D1019" t="s">
        <v>1599</v>
      </c>
      <c r="E1019" t="s">
        <v>1787</v>
      </c>
      <c r="F1019" s="4">
        <v>4</v>
      </c>
      <c r="G1019">
        <v>115.42</v>
      </c>
      <c r="H1019">
        <v>0.03</v>
      </c>
      <c r="I1019" t="s">
        <v>1812</v>
      </c>
      <c r="J1019">
        <v>447.82960000000003</v>
      </c>
      <c r="K1019" t="s">
        <v>1353</v>
      </c>
      <c r="L1019">
        <v>51</v>
      </c>
      <c r="M1019" t="s">
        <v>9</v>
      </c>
      <c r="N1019" t="s">
        <v>1354</v>
      </c>
      <c r="O1019" t="s">
        <v>35</v>
      </c>
      <c r="P1019" t="s">
        <v>12</v>
      </c>
      <c r="Q1019" t="s">
        <v>26</v>
      </c>
      <c r="R1019" t="s">
        <v>3862</v>
      </c>
      <c r="S1019" t="s">
        <v>1546</v>
      </c>
      <c r="T1019" t="s">
        <v>3811</v>
      </c>
      <c r="U1019" t="s">
        <v>1600</v>
      </c>
      <c r="V1019" t="s">
        <v>1741</v>
      </c>
      <c r="W1019" t="s">
        <v>1742</v>
      </c>
      <c r="X1019" t="s">
        <v>1739</v>
      </c>
    </row>
    <row r="1020" spans="1:24" x14ac:dyDescent="0.3">
      <c r="A1020" t="s">
        <v>2827</v>
      </c>
      <c r="B1020" s="2">
        <v>45823</v>
      </c>
      <c r="C1020" t="s">
        <v>417</v>
      </c>
      <c r="D1020" t="s">
        <v>1635</v>
      </c>
      <c r="E1020" t="s">
        <v>1759</v>
      </c>
      <c r="F1020" s="4">
        <v>3</v>
      </c>
      <c r="G1020">
        <v>593.62</v>
      </c>
      <c r="H1020">
        <v>0.08</v>
      </c>
      <c r="I1020" t="s">
        <v>1807</v>
      </c>
      <c r="J1020">
        <v>1638.3912</v>
      </c>
      <c r="K1020" t="s">
        <v>418</v>
      </c>
      <c r="L1020">
        <v>40</v>
      </c>
      <c r="M1020" t="s">
        <v>9</v>
      </c>
      <c r="N1020" t="s">
        <v>419</v>
      </c>
      <c r="O1020" t="s">
        <v>11</v>
      </c>
      <c r="P1020" t="s">
        <v>12</v>
      </c>
      <c r="Q1020" t="s">
        <v>19</v>
      </c>
      <c r="R1020" t="s">
        <v>3884</v>
      </c>
      <c r="S1020" t="s">
        <v>1549</v>
      </c>
      <c r="T1020" t="s">
        <v>3859</v>
      </c>
      <c r="U1020" t="s">
        <v>1636</v>
      </c>
      <c r="V1020" t="s">
        <v>1760</v>
      </c>
      <c r="W1020" t="s">
        <v>1737</v>
      </c>
      <c r="X1020" t="s">
        <v>1755</v>
      </c>
    </row>
    <row r="1021" spans="1:24" x14ac:dyDescent="0.3">
      <c r="A1021" t="s">
        <v>2828</v>
      </c>
      <c r="B1021" s="2">
        <v>45733</v>
      </c>
      <c r="C1021" t="s">
        <v>1095</v>
      </c>
      <c r="D1021" t="s">
        <v>1621</v>
      </c>
      <c r="E1021" t="s">
        <v>1752</v>
      </c>
      <c r="F1021" s="4">
        <v>2</v>
      </c>
      <c r="G1021">
        <v>825.04</v>
      </c>
      <c r="H1021">
        <v>0.2</v>
      </c>
      <c r="I1021" t="s">
        <v>1807</v>
      </c>
      <c r="J1021">
        <v>1320.0640000000001</v>
      </c>
      <c r="K1021" t="s">
        <v>3954</v>
      </c>
      <c r="L1021">
        <v>38</v>
      </c>
      <c r="M1021" t="s">
        <v>9</v>
      </c>
      <c r="N1021" t="s">
        <v>1096</v>
      </c>
      <c r="O1021" t="s">
        <v>35</v>
      </c>
      <c r="P1021" t="s">
        <v>12</v>
      </c>
      <c r="Q1021" t="s">
        <v>19</v>
      </c>
      <c r="R1021" t="s">
        <v>3875</v>
      </c>
      <c r="S1021" t="s">
        <v>1549</v>
      </c>
      <c r="T1021" t="s">
        <v>3859</v>
      </c>
      <c r="U1021" t="s">
        <v>1622</v>
      </c>
      <c r="V1021" t="s">
        <v>1753</v>
      </c>
      <c r="W1021" t="s">
        <v>1746</v>
      </c>
      <c r="X1021" t="s">
        <v>1755</v>
      </c>
    </row>
    <row r="1022" spans="1:24" x14ac:dyDescent="0.3">
      <c r="A1022" t="s">
        <v>2829</v>
      </c>
      <c r="B1022" s="2">
        <v>45322</v>
      </c>
      <c r="C1022" t="s">
        <v>1415</v>
      </c>
      <c r="D1022" t="s">
        <v>1581</v>
      </c>
      <c r="E1022" t="s">
        <v>1780</v>
      </c>
      <c r="F1022" s="4">
        <v>1</v>
      </c>
      <c r="G1022">
        <v>963.76</v>
      </c>
      <c r="H1022">
        <v>0.14000000000000001</v>
      </c>
      <c r="I1022" t="s">
        <v>1809</v>
      </c>
      <c r="J1022">
        <v>828.83359999999993</v>
      </c>
      <c r="K1022" t="s">
        <v>1416</v>
      </c>
      <c r="L1022">
        <v>28</v>
      </c>
      <c r="M1022" t="s">
        <v>16</v>
      </c>
      <c r="N1022" t="s">
        <v>1417</v>
      </c>
      <c r="O1022" t="s">
        <v>74</v>
      </c>
      <c r="P1022" t="s">
        <v>12</v>
      </c>
      <c r="Q1022" t="s">
        <v>19</v>
      </c>
      <c r="R1022" t="s">
        <v>3852</v>
      </c>
      <c r="S1022" t="s">
        <v>1530</v>
      </c>
      <c r="T1022" t="s">
        <v>3820</v>
      </c>
      <c r="U1022" t="s">
        <v>1582</v>
      </c>
      <c r="V1022" t="s">
        <v>1741</v>
      </c>
      <c r="W1022" t="s">
        <v>1742</v>
      </c>
      <c r="X1022" t="s">
        <v>1739</v>
      </c>
    </row>
    <row r="1023" spans="1:24" x14ac:dyDescent="0.3">
      <c r="A1023" t="s">
        <v>2830</v>
      </c>
      <c r="B1023" s="2">
        <v>45415</v>
      </c>
      <c r="C1023" t="s">
        <v>917</v>
      </c>
      <c r="D1023" t="s">
        <v>1641</v>
      </c>
      <c r="E1023" t="s">
        <v>1759</v>
      </c>
      <c r="F1023" s="4">
        <v>1</v>
      </c>
      <c r="G1023">
        <v>238.24</v>
      </c>
      <c r="H1023">
        <v>0.12</v>
      </c>
      <c r="I1023" t="s">
        <v>1809</v>
      </c>
      <c r="J1023">
        <v>209.65119999999999</v>
      </c>
      <c r="K1023" t="s">
        <v>918</v>
      </c>
      <c r="L1023">
        <v>56</v>
      </c>
      <c r="M1023" t="s">
        <v>16</v>
      </c>
      <c r="N1023" t="s">
        <v>919</v>
      </c>
      <c r="O1023" t="s">
        <v>198</v>
      </c>
      <c r="P1023" t="s">
        <v>12</v>
      </c>
      <c r="Q1023" t="s">
        <v>31</v>
      </c>
      <c r="R1023" t="s">
        <v>3887</v>
      </c>
      <c r="S1023" t="s">
        <v>1527</v>
      </c>
      <c r="T1023" t="s">
        <v>3836</v>
      </c>
      <c r="U1023" t="s">
        <v>1642</v>
      </c>
      <c r="V1023" t="s">
        <v>1760</v>
      </c>
      <c r="W1023" t="s">
        <v>1737</v>
      </c>
      <c r="X1023" t="s">
        <v>1755</v>
      </c>
    </row>
    <row r="1024" spans="1:24" x14ac:dyDescent="0.3">
      <c r="A1024" t="s">
        <v>2831</v>
      </c>
      <c r="B1024" s="2">
        <v>45644</v>
      </c>
      <c r="C1024" t="s">
        <v>1395</v>
      </c>
      <c r="D1024" t="s">
        <v>1695</v>
      </c>
      <c r="E1024" t="s">
        <v>1787</v>
      </c>
      <c r="F1024" s="4">
        <v>1</v>
      </c>
      <c r="G1024">
        <v>756.63</v>
      </c>
      <c r="H1024">
        <v>0.04</v>
      </c>
      <c r="I1024" t="s">
        <v>1809</v>
      </c>
      <c r="J1024">
        <v>726.36479999999995</v>
      </c>
      <c r="K1024" t="s">
        <v>1396</v>
      </c>
      <c r="L1024">
        <v>62</v>
      </c>
      <c r="M1024" t="s">
        <v>16</v>
      </c>
      <c r="N1024" t="s">
        <v>1397</v>
      </c>
      <c r="O1024" t="s">
        <v>582</v>
      </c>
      <c r="P1024" t="s">
        <v>12</v>
      </c>
      <c r="Q1024" t="s">
        <v>19</v>
      </c>
      <c r="R1024" t="s">
        <v>3915</v>
      </c>
      <c r="S1024" t="s">
        <v>1549</v>
      </c>
      <c r="T1024" t="s">
        <v>3828</v>
      </c>
      <c r="U1024" t="s">
        <v>1696</v>
      </c>
      <c r="V1024" t="s">
        <v>1741</v>
      </c>
      <c r="W1024" t="s">
        <v>1742</v>
      </c>
      <c r="X1024" t="s">
        <v>1739</v>
      </c>
    </row>
    <row r="1025" spans="1:24" x14ac:dyDescent="0.3">
      <c r="A1025" t="s">
        <v>2832</v>
      </c>
      <c r="B1025" s="2">
        <v>45845</v>
      </c>
      <c r="C1025" t="s">
        <v>85</v>
      </c>
      <c r="D1025" t="s">
        <v>1717</v>
      </c>
      <c r="E1025" t="s">
        <v>1762</v>
      </c>
      <c r="F1025" s="4">
        <v>3</v>
      </c>
      <c r="G1025">
        <v>159.76</v>
      </c>
      <c r="H1025">
        <v>0.22</v>
      </c>
      <c r="I1025" t="s">
        <v>1807</v>
      </c>
      <c r="J1025">
        <v>373.83839999999998</v>
      </c>
      <c r="K1025" t="s">
        <v>86</v>
      </c>
      <c r="L1025">
        <v>59</v>
      </c>
      <c r="M1025" t="s">
        <v>9</v>
      </c>
      <c r="N1025" t="s">
        <v>87</v>
      </c>
      <c r="O1025" t="s">
        <v>88</v>
      </c>
      <c r="P1025" t="s">
        <v>12</v>
      </c>
      <c r="Q1025" t="s">
        <v>19</v>
      </c>
      <c r="R1025" t="s">
        <v>3926</v>
      </c>
      <c r="S1025" t="s">
        <v>1546</v>
      </c>
      <c r="T1025" t="s">
        <v>3811</v>
      </c>
      <c r="U1025" t="s">
        <v>1718</v>
      </c>
      <c r="V1025" t="s">
        <v>1763</v>
      </c>
      <c r="W1025" t="s">
        <v>1746</v>
      </c>
      <c r="X1025" t="s">
        <v>1755</v>
      </c>
    </row>
    <row r="1026" spans="1:24" x14ac:dyDescent="0.3">
      <c r="A1026" t="s">
        <v>2833</v>
      </c>
      <c r="B1026" s="2">
        <v>45354</v>
      </c>
      <c r="C1026" t="s">
        <v>1138</v>
      </c>
      <c r="D1026" t="s">
        <v>1721</v>
      </c>
      <c r="E1026" t="s">
        <v>1765</v>
      </c>
      <c r="F1026" s="4">
        <v>1</v>
      </c>
      <c r="G1026">
        <v>329.94</v>
      </c>
      <c r="H1026">
        <v>0.14000000000000001</v>
      </c>
      <c r="I1026" t="s">
        <v>1812</v>
      </c>
      <c r="J1026">
        <v>283.7484</v>
      </c>
      <c r="K1026" t="s">
        <v>1139</v>
      </c>
      <c r="L1026">
        <v>20</v>
      </c>
      <c r="M1026" t="s">
        <v>16</v>
      </c>
      <c r="N1026" t="s">
        <v>1140</v>
      </c>
      <c r="O1026" t="s">
        <v>58</v>
      </c>
      <c r="P1026" t="s">
        <v>12</v>
      </c>
      <c r="Q1026" t="s">
        <v>19</v>
      </c>
      <c r="R1026" t="s">
        <v>3928</v>
      </c>
      <c r="S1026" t="s">
        <v>1549</v>
      </c>
      <c r="T1026" t="s">
        <v>3820</v>
      </c>
      <c r="U1026" t="s">
        <v>1722</v>
      </c>
      <c r="V1026" t="s">
        <v>1766</v>
      </c>
      <c r="W1026" t="s">
        <v>1767</v>
      </c>
      <c r="X1026" t="s">
        <v>1755</v>
      </c>
    </row>
    <row r="1027" spans="1:24" x14ac:dyDescent="0.3">
      <c r="A1027" t="s">
        <v>2834</v>
      </c>
      <c r="B1027" s="2">
        <v>45720</v>
      </c>
      <c r="C1027" t="s">
        <v>221</v>
      </c>
      <c r="D1027" t="s">
        <v>1565</v>
      </c>
      <c r="E1027" t="s">
        <v>1765</v>
      </c>
      <c r="F1027" s="4">
        <v>1</v>
      </c>
      <c r="G1027">
        <v>234.06</v>
      </c>
      <c r="H1027">
        <v>0.11</v>
      </c>
      <c r="I1027" t="s">
        <v>1809</v>
      </c>
      <c r="J1027">
        <v>208.3134</v>
      </c>
      <c r="K1027" t="s">
        <v>222</v>
      </c>
      <c r="L1027">
        <v>23</v>
      </c>
      <c r="M1027" t="s">
        <v>9</v>
      </c>
      <c r="N1027" t="s">
        <v>223</v>
      </c>
      <c r="O1027" t="s">
        <v>162</v>
      </c>
      <c r="P1027" t="s">
        <v>12</v>
      </c>
      <c r="Q1027" t="s">
        <v>31</v>
      </c>
      <c r="R1027" t="s">
        <v>3841</v>
      </c>
      <c r="S1027" t="s">
        <v>1549</v>
      </c>
      <c r="T1027" t="s">
        <v>3820</v>
      </c>
      <c r="U1027" t="s">
        <v>1566</v>
      </c>
      <c r="V1027" t="s">
        <v>1766</v>
      </c>
      <c r="W1027" t="s">
        <v>1767</v>
      </c>
      <c r="X1027" t="s">
        <v>1755</v>
      </c>
    </row>
    <row r="1028" spans="1:24" x14ac:dyDescent="0.3">
      <c r="A1028" t="s">
        <v>2835</v>
      </c>
      <c r="B1028" s="2">
        <v>45278</v>
      </c>
      <c r="C1028" t="s">
        <v>989</v>
      </c>
      <c r="D1028" t="s">
        <v>1693</v>
      </c>
      <c r="E1028" t="s">
        <v>1735</v>
      </c>
      <c r="F1028" s="4">
        <v>2</v>
      </c>
      <c r="G1028">
        <v>773.75</v>
      </c>
      <c r="H1028">
        <v>0.16</v>
      </c>
      <c r="I1028" t="s">
        <v>1809</v>
      </c>
      <c r="J1028">
        <v>1299.9000000000001</v>
      </c>
      <c r="K1028" t="s">
        <v>990</v>
      </c>
      <c r="L1028">
        <v>25</v>
      </c>
      <c r="M1028" t="s">
        <v>9</v>
      </c>
      <c r="N1028" t="s">
        <v>991</v>
      </c>
      <c r="O1028" t="s">
        <v>47</v>
      </c>
      <c r="P1028" t="s">
        <v>12</v>
      </c>
      <c r="Q1028" t="s">
        <v>13</v>
      </c>
      <c r="R1028" t="s">
        <v>3914</v>
      </c>
      <c r="S1028" t="s">
        <v>1549</v>
      </c>
      <c r="T1028" t="s">
        <v>3844</v>
      </c>
      <c r="U1028" t="s">
        <v>1694</v>
      </c>
      <c r="V1028" t="s">
        <v>1736</v>
      </c>
      <c r="W1028" t="s">
        <v>1737</v>
      </c>
      <c r="X1028" t="s">
        <v>1739</v>
      </c>
    </row>
    <row r="1029" spans="1:24" x14ac:dyDescent="0.3">
      <c r="A1029" t="s">
        <v>2836</v>
      </c>
      <c r="B1029" s="2">
        <v>45422</v>
      </c>
      <c r="C1029" t="s">
        <v>1336</v>
      </c>
      <c r="D1029" t="s">
        <v>1635</v>
      </c>
      <c r="E1029" t="s">
        <v>1793</v>
      </c>
      <c r="F1029" s="4">
        <v>1</v>
      </c>
      <c r="G1029">
        <v>73.88</v>
      </c>
      <c r="H1029">
        <v>0.04</v>
      </c>
      <c r="I1029" t="s">
        <v>1807</v>
      </c>
      <c r="J1029">
        <v>70.924799999999991</v>
      </c>
      <c r="K1029" t="s">
        <v>1337</v>
      </c>
      <c r="L1029">
        <v>47</v>
      </c>
      <c r="M1029" t="s">
        <v>16</v>
      </c>
      <c r="N1029" t="s">
        <v>1338</v>
      </c>
      <c r="O1029" t="s">
        <v>39</v>
      </c>
      <c r="P1029" t="s">
        <v>12</v>
      </c>
      <c r="Q1029" t="s">
        <v>13</v>
      </c>
      <c r="R1029" t="s">
        <v>3884</v>
      </c>
      <c r="S1029" t="s">
        <v>1549</v>
      </c>
      <c r="T1029" t="s">
        <v>3859</v>
      </c>
      <c r="U1029" t="s">
        <v>1636</v>
      </c>
      <c r="V1029" t="s">
        <v>1741</v>
      </c>
      <c r="W1029" t="s">
        <v>1742</v>
      </c>
      <c r="X1029" t="s">
        <v>1739</v>
      </c>
    </row>
    <row r="1030" spans="1:24" x14ac:dyDescent="0.3">
      <c r="A1030" t="s">
        <v>2837</v>
      </c>
      <c r="B1030" s="2">
        <v>45337</v>
      </c>
      <c r="C1030" t="s">
        <v>32</v>
      </c>
      <c r="D1030" t="s">
        <v>1703</v>
      </c>
      <c r="E1030" t="s">
        <v>1793</v>
      </c>
      <c r="F1030" s="4">
        <v>1</v>
      </c>
      <c r="G1030">
        <v>859.3</v>
      </c>
      <c r="H1030">
        <v>0.16</v>
      </c>
      <c r="I1030" t="s">
        <v>1809</v>
      </c>
      <c r="J1030">
        <v>721.8119999999999</v>
      </c>
      <c r="K1030" t="s">
        <v>33</v>
      </c>
      <c r="L1030">
        <v>29</v>
      </c>
      <c r="M1030" t="s">
        <v>16</v>
      </c>
      <c r="N1030" t="s">
        <v>34</v>
      </c>
      <c r="O1030" t="s">
        <v>35</v>
      </c>
      <c r="P1030" t="s">
        <v>12</v>
      </c>
      <c r="Q1030" t="s">
        <v>26</v>
      </c>
      <c r="R1030" t="s">
        <v>3919</v>
      </c>
      <c r="S1030" t="s">
        <v>1527</v>
      </c>
      <c r="T1030" t="s">
        <v>3830</v>
      </c>
      <c r="U1030" t="s">
        <v>1704</v>
      </c>
      <c r="V1030" t="s">
        <v>1741</v>
      </c>
      <c r="W1030" t="s">
        <v>1742</v>
      </c>
      <c r="X1030" t="s">
        <v>1739</v>
      </c>
    </row>
    <row r="1031" spans="1:24" x14ac:dyDescent="0.3">
      <c r="A1031" t="s">
        <v>2838</v>
      </c>
      <c r="B1031" s="2">
        <v>45564</v>
      </c>
      <c r="C1031" t="s">
        <v>439</v>
      </c>
      <c r="D1031" t="s">
        <v>1693</v>
      </c>
      <c r="E1031" t="s">
        <v>1759</v>
      </c>
      <c r="F1031" s="4">
        <v>4</v>
      </c>
      <c r="G1031">
        <v>762.43</v>
      </c>
      <c r="H1031">
        <v>0.05</v>
      </c>
      <c r="I1031" t="s">
        <v>1807</v>
      </c>
      <c r="J1031">
        <v>2897.233999999999</v>
      </c>
      <c r="K1031" t="s">
        <v>440</v>
      </c>
      <c r="L1031">
        <v>29</v>
      </c>
      <c r="M1031" t="s">
        <v>9</v>
      </c>
      <c r="N1031" t="s">
        <v>441</v>
      </c>
      <c r="O1031" t="s">
        <v>39</v>
      </c>
      <c r="P1031" t="s">
        <v>12</v>
      </c>
      <c r="Q1031" t="s">
        <v>31</v>
      </c>
      <c r="R1031" t="s">
        <v>3914</v>
      </c>
      <c r="S1031" t="s">
        <v>1549</v>
      </c>
      <c r="T1031" t="s">
        <v>3844</v>
      </c>
      <c r="U1031" t="s">
        <v>1694</v>
      </c>
      <c r="V1031" t="s">
        <v>1760</v>
      </c>
      <c r="W1031" t="s">
        <v>1737</v>
      </c>
      <c r="X1031" t="s">
        <v>1755</v>
      </c>
    </row>
    <row r="1032" spans="1:24" x14ac:dyDescent="0.3">
      <c r="A1032" t="s">
        <v>2839</v>
      </c>
      <c r="B1032" s="2">
        <v>45424</v>
      </c>
      <c r="C1032" t="s">
        <v>423</v>
      </c>
      <c r="D1032" t="s">
        <v>1677</v>
      </c>
      <c r="E1032" t="s">
        <v>1735</v>
      </c>
      <c r="F1032" s="4">
        <v>1</v>
      </c>
      <c r="G1032">
        <v>328.51</v>
      </c>
      <c r="H1032">
        <v>0.2</v>
      </c>
      <c r="I1032" t="s">
        <v>1812</v>
      </c>
      <c r="J1032">
        <v>262.80799999999999</v>
      </c>
      <c r="K1032" t="s">
        <v>424</v>
      </c>
      <c r="L1032">
        <v>64</v>
      </c>
      <c r="M1032" t="s">
        <v>16</v>
      </c>
      <c r="N1032" t="s">
        <v>425</v>
      </c>
      <c r="O1032" t="s">
        <v>191</v>
      </c>
      <c r="P1032" t="s">
        <v>12</v>
      </c>
      <c r="Q1032" t="s">
        <v>26</v>
      </c>
      <c r="R1032" t="s">
        <v>3906</v>
      </c>
      <c r="S1032" t="s">
        <v>1549</v>
      </c>
      <c r="T1032" t="s">
        <v>3859</v>
      </c>
      <c r="U1032" t="s">
        <v>1678</v>
      </c>
      <c r="V1032" t="s">
        <v>1736</v>
      </c>
      <c r="W1032" t="s">
        <v>1737</v>
      </c>
      <c r="X1032" t="s">
        <v>1739</v>
      </c>
    </row>
    <row r="1033" spans="1:24" x14ac:dyDescent="0.3">
      <c r="A1033" t="s">
        <v>2840</v>
      </c>
      <c r="B1033" s="2">
        <v>45719</v>
      </c>
      <c r="C1033" t="s">
        <v>864</v>
      </c>
      <c r="D1033" t="s">
        <v>1619</v>
      </c>
      <c r="E1033" t="s">
        <v>1752</v>
      </c>
      <c r="F1033" s="4">
        <v>1</v>
      </c>
      <c r="G1033">
        <v>34.51</v>
      </c>
      <c r="H1033">
        <v>0.04</v>
      </c>
      <c r="I1033" t="s">
        <v>1812</v>
      </c>
      <c r="J1033">
        <v>33.129600000000003</v>
      </c>
      <c r="K1033" t="s">
        <v>865</v>
      </c>
      <c r="L1033">
        <v>22</v>
      </c>
      <c r="M1033" t="s">
        <v>9</v>
      </c>
      <c r="N1033" t="s">
        <v>866</v>
      </c>
      <c r="O1033" t="s">
        <v>170</v>
      </c>
      <c r="P1033" t="s">
        <v>12</v>
      </c>
      <c r="Q1033" t="s">
        <v>31</v>
      </c>
      <c r="R1033" t="s">
        <v>3874</v>
      </c>
      <c r="S1033" t="s">
        <v>1549</v>
      </c>
      <c r="T1033" t="s">
        <v>3828</v>
      </c>
      <c r="U1033" t="s">
        <v>1620</v>
      </c>
      <c r="V1033" t="s">
        <v>1753</v>
      </c>
      <c r="W1033" t="s">
        <v>1746</v>
      </c>
      <c r="X1033" t="s">
        <v>1755</v>
      </c>
    </row>
    <row r="1034" spans="1:24" x14ac:dyDescent="0.3">
      <c r="A1034" t="s">
        <v>2841</v>
      </c>
      <c r="B1034" s="2">
        <v>45250</v>
      </c>
      <c r="C1034" t="s">
        <v>367</v>
      </c>
      <c r="D1034" t="s">
        <v>1569</v>
      </c>
      <c r="E1034" t="s">
        <v>1775</v>
      </c>
      <c r="F1034" s="4">
        <v>3</v>
      </c>
      <c r="G1034">
        <v>663.73</v>
      </c>
      <c r="H1034">
        <v>0.06</v>
      </c>
      <c r="I1034" t="s">
        <v>1812</v>
      </c>
      <c r="J1034">
        <v>1871.7185999999999</v>
      </c>
      <c r="K1034" t="s">
        <v>368</v>
      </c>
      <c r="L1034">
        <v>53</v>
      </c>
      <c r="M1034" t="s">
        <v>16</v>
      </c>
      <c r="N1034" t="s">
        <v>369</v>
      </c>
      <c r="O1034" t="s">
        <v>247</v>
      </c>
      <c r="P1034" t="s">
        <v>12</v>
      </c>
      <c r="Q1034" t="s">
        <v>13</v>
      </c>
      <c r="R1034" t="s">
        <v>3843</v>
      </c>
      <c r="S1034" t="s">
        <v>1549</v>
      </c>
      <c r="T1034" t="s">
        <v>3844</v>
      </c>
      <c r="U1034" t="s">
        <v>1570</v>
      </c>
      <c r="V1034" t="s">
        <v>1741</v>
      </c>
      <c r="W1034" t="s">
        <v>1742</v>
      </c>
      <c r="X1034" t="s">
        <v>1739</v>
      </c>
    </row>
    <row r="1035" spans="1:24" x14ac:dyDescent="0.3">
      <c r="A1035" t="s">
        <v>2842</v>
      </c>
      <c r="B1035" s="2">
        <v>45479</v>
      </c>
      <c r="C1035" t="s">
        <v>782</v>
      </c>
      <c r="D1035" t="s">
        <v>1597</v>
      </c>
      <c r="E1035" t="s">
        <v>1769</v>
      </c>
      <c r="F1035" s="4">
        <v>1</v>
      </c>
      <c r="G1035">
        <v>409.41</v>
      </c>
      <c r="H1035">
        <v>0.13</v>
      </c>
      <c r="I1035" t="s">
        <v>1809</v>
      </c>
      <c r="J1035">
        <v>356.18669999999997</v>
      </c>
      <c r="K1035" t="s">
        <v>783</v>
      </c>
      <c r="L1035">
        <v>32</v>
      </c>
      <c r="M1035" t="s">
        <v>9</v>
      </c>
      <c r="N1035" t="s">
        <v>784</v>
      </c>
      <c r="O1035" t="s">
        <v>288</v>
      </c>
      <c r="P1035" t="s">
        <v>12</v>
      </c>
      <c r="Q1035" t="s">
        <v>26</v>
      </c>
      <c r="R1035" t="s">
        <v>3861</v>
      </c>
      <c r="S1035" t="s">
        <v>1527</v>
      </c>
      <c r="T1035" t="s">
        <v>3836</v>
      </c>
      <c r="U1035" t="s">
        <v>1598</v>
      </c>
      <c r="V1035" t="s">
        <v>1770</v>
      </c>
      <c r="W1035" t="s">
        <v>1746</v>
      </c>
      <c r="X1035" t="s">
        <v>1739</v>
      </c>
    </row>
    <row r="1036" spans="1:24" x14ac:dyDescent="0.3">
      <c r="A1036" t="s">
        <v>2843</v>
      </c>
      <c r="B1036" s="2">
        <v>45727</v>
      </c>
      <c r="C1036" t="s">
        <v>327</v>
      </c>
      <c r="D1036" t="s">
        <v>1687</v>
      </c>
      <c r="E1036" t="s">
        <v>1749</v>
      </c>
      <c r="F1036" s="4">
        <v>3</v>
      </c>
      <c r="G1036">
        <v>461.03</v>
      </c>
      <c r="H1036">
        <v>0.11</v>
      </c>
      <c r="I1036" t="s">
        <v>1809</v>
      </c>
      <c r="J1036">
        <v>1230.9501</v>
      </c>
      <c r="K1036" t="s">
        <v>328</v>
      </c>
      <c r="L1036">
        <v>28</v>
      </c>
      <c r="M1036" t="s">
        <v>16</v>
      </c>
      <c r="N1036" t="s">
        <v>329</v>
      </c>
      <c r="O1036" t="s">
        <v>234</v>
      </c>
      <c r="P1036" t="s">
        <v>12</v>
      </c>
      <c r="Q1036" t="s">
        <v>19</v>
      </c>
      <c r="R1036" t="s">
        <v>3911</v>
      </c>
      <c r="S1036" t="s">
        <v>1527</v>
      </c>
      <c r="T1036" t="s">
        <v>3836</v>
      </c>
      <c r="U1036" t="s">
        <v>1688</v>
      </c>
      <c r="V1036" t="s">
        <v>1750</v>
      </c>
      <c r="W1036" t="s">
        <v>1742</v>
      </c>
      <c r="X1036" t="s">
        <v>1748</v>
      </c>
    </row>
    <row r="1037" spans="1:24" x14ac:dyDescent="0.3">
      <c r="A1037" t="s">
        <v>2844</v>
      </c>
      <c r="B1037" s="2">
        <v>45394</v>
      </c>
      <c r="C1037" t="s">
        <v>1138</v>
      </c>
      <c r="D1037" t="s">
        <v>1569</v>
      </c>
      <c r="E1037" t="s">
        <v>1782</v>
      </c>
      <c r="F1037" s="4">
        <v>2</v>
      </c>
      <c r="G1037">
        <v>760.14</v>
      </c>
      <c r="H1037">
        <v>0.02</v>
      </c>
      <c r="I1037" t="s">
        <v>1812</v>
      </c>
      <c r="J1037">
        <v>1489.8743999999999</v>
      </c>
      <c r="K1037" t="s">
        <v>1139</v>
      </c>
      <c r="L1037">
        <v>20</v>
      </c>
      <c r="M1037" t="s">
        <v>16</v>
      </c>
      <c r="N1037" t="s">
        <v>1140</v>
      </c>
      <c r="O1037" t="s">
        <v>58</v>
      </c>
      <c r="P1037" t="s">
        <v>12</v>
      </c>
      <c r="Q1037" t="s">
        <v>19</v>
      </c>
      <c r="R1037" t="s">
        <v>3843</v>
      </c>
      <c r="S1037" t="s">
        <v>1549</v>
      </c>
      <c r="T1037" t="s">
        <v>3844</v>
      </c>
      <c r="U1037" t="s">
        <v>1570</v>
      </c>
      <c r="V1037" t="s">
        <v>1741</v>
      </c>
      <c r="W1037" t="s">
        <v>1742</v>
      </c>
      <c r="X1037" t="s">
        <v>1739</v>
      </c>
    </row>
    <row r="1038" spans="1:24" x14ac:dyDescent="0.3">
      <c r="A1038" t="s">
        <v>2845</v>
      </c>
      <c r="B1038" s="2">
        <v>45773</v>
      </c>
      <c r="C1038" t="s">
        <v>876</v>
      </c>
      <c r="D1038" t="s">
        <v>1577</v>
      </c>
      <c r="E1038" t="s">
        <v>1740</v>
      </c>
      <c r="F1038" s="4">
        <v>3</v>
      </c>
      <c r="G1038">
        <v>688.76</v>
      </c>
      <c r="H1038">
        <v>0.12</v>
      </c>
      <c r="I1038" t="s">
        <v>1809</v>
      </c>
      <c r="J1038">
        <v>1818.3263999999999</v>
      </c>
      <c r="K1038" t="s">
        <v>877</v>
      </c>
      <c r="L1038">
        <v>21</v>
      </c>
      <c r="M1038" t="s">
        <v>16</v>
      </c>
      <c r="N1038" t="s">
        <v>878</v>
      </c>
      <c r="O1038" t="s">
        <v>214</v>
      </c>
      <c r="P1038" t="s">
        <v>12</v>
      </c>
      <c r="Q1038" t="s">
        <v>19</v>
      </c>
      <c r="R1038" t="s">
        <v>3849</v>
      </c>
      <c r="S1038" t="s">
        <v>1530</v>
      </c>
      <c r="T1038" t="s">
        <v>3813</v>
      </c>
      <c r="U1038" t="s">
        <v>1578</v>
      </c>
      <c r="V1038" t="s">
        <v>1741</v>
      </c>
      <c r="W1038" t="s">
        <v>1742</v>
      </c>
      <c r="X1038" t="s">
        <v>1739</v>
      </c>
    </row>
    <row r="1039" spans="1:24" x14ac:dyDescent="0.3">
      <c r="A1039" t="s">
        <v>2846</v>
      </c>
      <c r="B1039" s="2">
        <v>45779</v>
      </c>
      <c r="C1039" t="s">
        <v>527</v>
      </c>
      <c r="D1039" t="s">
        <v>1617</v>
      </c>
      <c r="E1039" t="s">
        <v>1769</v>
      </c>
      <c r="F1039" s="4">
        <v>2</v>
      </c>
      <c r="G1039">
        <v>257.77999999999997</v>
      </c>
      <c r="H1039">
        <v>0.05</v>
      </c>
      <c r="I1039" t="s">
        <v>1807</v>
      </c>
      <c r="J1039">
        <v>489.78199999999993</v>
      </c>
      <c r="K1039" t="s">
        <v>528</v>
      </c>
      <c r="L1039">
        <v>41</v>
      </c>
      <c r="M1039" t="s">
        <v>16</v>
      </c>
      <c r="N1039" t="s">
        <v>529</v>
      </c>
      <c r="O1039" t="s">
        <v>88</v>
      </c>
      <c r="P1039" t="s">
        <v>12</v>
      </c>
      <c r="Q1039" t="s">
        <v>13</v>
      </c>
      <c r="R1039" t="s">
        <v>3873</v>
      </c>
      <c r="S1039" t="s">
        <v>1546</v>
      </c>
      <c r="T1039" t="s">
        <v>3811</v>
      </c>
      <c r="U1039" t="s">
        <v>1618</v>
      </c>
      <c r="V1039" t="s">
        <v>1770</v>
      </c>
      <c r="W1039" t="s">
        <v>1746</v>
      </c>
      <c r="X1039" t="s">
        <v>1739</v>
      </c>
    </row>
    <row r="1040" spans="1:24" x14ac:dyDescent="0.3">
      <c r="A1040" t="s">
        <v>2847</v>
      </c>
      <c r="B1040" s="2">
        <v>45400</v>
      </c>
      <c r="C1040" t="s">
        <v>195</v>
      </c>
      <c r="D1040" t="s">
        <v>1637</v>
      </c>
      <c r="E1040" t="s">
        <v>1762</v>
      </c>
      <c r="F1040" s="4">
        <v>2</v>
      </c>
      <c r="G1040">
        <v>314.29000000000002</v>
      </c>
      <c r="H1040">
        <v>0.19</v>
      </c>
      <c r="I1040" t="s">
        <v>1812</v>
      </c>
      <c r="J1040">
        <v>509.14980000000008</v>
      </c>
      <c r="K1040" t="s">
        <v>196</v>
      </c>
      <c r="L1040">
        <v>37</v>
      </c>
      <c r="M1040" t="s">
        <v>16</v>
      </c>
      <c r="N1040" t="s">
        <v>197</v>
      </c>
      <c r="O1040" t="s">
        <v>198</v>
      </c>
      <c r="P1040" t="s">
        <v>12</v>
      </c>
      <c r="Q1040" t="s">
        <v>26</v>
      </c>
      <c r="R1040" t="s">
        <v>3885</v>
      </c>
      <c r="S1040" t="s">
        <v>1530</v>
      </c>
      <c r="T1040" t="s">
        <v>3818</v>
      </c>
      <c r="U1040" t="s">
        <v>1638</v>
      </c>
      <c r="V1040" t="s">
        <v>1763</v>
      </c>
      <c r="W1040" t="s">
        <v>1746</v>
      </c>
      <c r="X1040" t="s">
        <v>1755</v>
      </c>
    </row>
    <row r="1041" spans="1:24" x14ac:dyDescent="0.3">
      <c r="A1041" t="s">
        <v>2848</v>
      </c>
      <c r="B1041" s="2">
        <v>45520</v>
      </c>
      <c r="C1041" t="s">
        <v>515</v>
      </c>
      <c r="D1041" t="s">
        <v>1675</v>
      </c>
      <c r="E1041" t="s">
        <v>1782</v>
      </c>
      <c r="F1041" s="4">
        <v>3</v>
      </c>
      <c r="G1041">
        <v>336.09</v>
      </c>
      <c r="H1041">
        <v>0.01</v>
      </c>
      <c r="I1041" t="s">
        <v>1809</v>
      </c>
      <c r="J1041">
        <v>998.18729999999994</v>
      </c>
      <c r="K1041" t="s">
        <v>516</v>
      </c>
      <c r="L1041">
        <v>46</v>
      </c>
      <c r="M1041" t="s">
        <v>9</v>
      </c>
      <c r="N1041" t="s">
        <v>517</v>
      </c>
      <c r="O1041" t="s">
        <v>264</v>
      </c>
      <c r="P1041" t="s">
        <v>12</v>
      </c>
      <c r="Q1041" t="s">
        <v>13</v>
      </c>
      <c r="R1041" t="s">
        <v>3905</v>
      </c>
      <c r="S1041" t="s">
        <v>1549</v>
      </c>
      <c r="T1041" t="s">
        <v>3828</v>
      </c>
      <c r="U1041" t="s">
        <v>1676</v>
      </c>
      <c r="V1041" t="s">
        <v>1741</v>
      </c>
      <c r="W1041" t="s">
        <v>1742</v>
      </c>
      <c r="X1041" t="s">
        <v>1739</v>
      </c>
    </row>
    <row r="1042" spans="1:24" x14ac:dyDescent="0.3">
      <c r="A1042" t="s">
        <v>2849</v>
      </c>
      <c r="B1042" s="2">
        <v>45861</v>
      </c>
      <c r="C1042" t="s">
        <v>20</v>
      </c>
      <c r="D1042" t="s">
        <v>1681</v>
      </c>
      <c r="E1042" t="s">
        <v>1790</v>
      </c>
      <c r="F1042" s="4">
        <v>3</v>
      </c>
      <c r="G1042">
        <v>202.07</v>
      </c>
      <c r="H1042">
        <v>0.23</v>
      </c>
      <c r="I1042" t="s">
        <v>1809</v>
      </c>
      <c r="J1042">
        <v>466.78170000000011</v>
      </c>
      <c r="K1042" t="s">
        <v>3933</v>
      </c>
      <c r="L1042">
        <v>59</v>
      </c>
      <c r="M1042" t="s">
        <v>16</v>
      </c>
      <c r="N1042" t="s">
        <v>21</v>
      </c>
      <c r="O1042" t="s">
        <v>22</v>
      </c>
      <c r="P1042" t="s">
        <v>12</v>
      </c>
      <c r="Q1042" t="s">
        <v>19</v>
      </c>
      <c r="R1042" t="s">
        <v>3908</v>
      </c>
      <c r="S1042" t="s">
        <v>1530</v>
      </c>
      <c r="T1042" t="s">
        <v>3866</v>
      </c>
      <c r="U1042" t="s">
        <v>1682</v>
      </c>
      <c r="V1042" t="s">
        <v>1741</v>
      </c>
      <c r="W1042" t="s">
        <v>1742</v>
      </c>
      <c r="X1042" t="s">
        <v>1739</v>
      </c>
    </row>
    <row r="1043" spans="1:24" x14ac:dyDescent="0.3">
      <c r="A1043" t="s">
        <v>2850</v>
      </c>
      <c r="B1043" s="2">
        <v>45781</v>
      </c>
      <c r="C1043" t="s">
        <v>968</v>
      </c>
      <c r="D1043" t="s">
        <v>1565</v>
      </c>
      <c r="E1043" t="s">
        <v>1765</v>
      </c>
      <c r="F1043" s="4">
        <v>2</v>
      </c>
      <c r="G1043">
        <v>485.25</v>
      </c>
      <c r="H1043">
        <v>0.28000000000000003</v>
      </c>
      <c r="I1043" t="s">
        <v>1807</v>
      </c>
      <c r="J1043">
        <v>698.76</v>
      </c>
      <c r="K1043" t="s">
        <v>969</v>
      </c>
      <c r="L1043">
        <v>35</v>
      </c>
      <c r="M1043" t="s">
        <v>9</v>
      </c>
      <c r="N1043" t="s">
        <v>970</v>
      </c>
      <c r="O1043" t="s">
        <v>170</v>
      </c>
      <c r="P1043" t="s">
        <v>12</v>
      </c>
      <c r="Q1043" t="s">
        <v>31</v>
      </c>
      <c r="R1043" t="s">
        <v>3841</v>
      </c>
      <c r="S1043" t="s">
        <v>1549</v>
      </c>
      <c r="T1043" t="s">
        <v>3820</v>
      </c>
      <c r="U1043" t="s">
        <v>1566</v>
      </c>
      <c r="V1043" t="s">
        <v>1766</v>
      </c>
      <c r="W1043" t="s">
        <v>1767</v>
      </c>
      <c r="X1043" t="s">
        <v>1755</v>
      </c>
    </row>
    <row r="1044" spans="1:24" x14ac:dyDescent="0.3">
      <c r="A1044" t="s">
        <v>2851</v>
      </c>
      <c r="B1044" s="2">
        <v>45906</v>
      </c>
      <c r="C1044" t="s">
        <v>562</v>
      </c>
      <c r="D1044" t="s">
        <v>1681</v>
      </c>
      <c r="E1044" t="s">
        <v>1772</v>
      </c>
      <c r="F1044" s="4">
        <v>4</v>
      </c>
      <c r="G1044">
        <v>552.38</v>
      </c>
      <c r="H1044">
        <v>0.1</v>
      </c>
      <c r="I1044" t="s">
        <v>1809</v>
      </c>
      <c r="J1044">
        <v>1988.568</v>
      </c>
      <c r="K1044" t="s">
        <v>563</v>
      </c>
      <c r="L1044">
        <v>41</v>
      </c>
      <c r="M1044" t="s">
        <v>16</v>
      </c>
      <c r="N1044" t="s">
        <v>564</v>
      </c>
      <c r="O1044" t="s">
        <v>251</v>
      </c>
      <c r="P1044" t="s">
        <v>12</v>
      </c>
      <c r="Q1044" t="s">
        <v>19</v>
      </c>
      <c r="R1044" t="s">
        <v>3908</v>
      </c>
      <c r="S1044" t="s">
        <v>1530</v>
      </c>
      <c r="T1044" t="s">
        <v>3866</v>
      </c>
      <c r="U1044" t="s">
        <v>1682</v>
      </c>
      <c r="V1044" t="s">
        <v>1741</v>
      </c>
      <c r="W1044" t="s">
        <v>1742</v>
      </c>
      <c r="X1044" t="s">
        <v>1739</v>
      </c>
    </row>
    <row r="1045" spans="1:24" x14ac:dyDescent="0.3">
      <c r="A1045" t="s">
        <v>2852</v>
      </c>
      <c r="B1045" s="2">
        <v>45251</v>
      </c>
      <c r="C1045" t="s">
        <v>373</v>
      </c>
      <c r="D1045" t="s">
        <v>1647</v>
      </c>
      <c r="E1045" t="s">
        <v>1790</v>
      </c>
      <c r="F1045" s="4">
        <v>4</v>
      </c>
      <c r="G1045">
        <v>377.26</v>
      </c>
      <c r="H1045">
        <v>0.22</v>
      </c>
      <c r="I1045" t="s">
        <v>1812</v>
      </c>
      <c r="J1045">
        <v>1177.0512000000001</v>
      </c>
      <c r="K1045" t="s">
        <v>374</v>
      </c>
      <c r="L1045">
        <v>38</v>
      </c>
      <c r="M1045" t="s">
        <v>9</v>
      </c>
      <c r="N1045" t="s">
        <v>375</v>
      </c>
      <c r="O1045" t="s">
        <v>18</v>
      </c>
      <c r="P1045" t="s">
        <v>12</v>
      </c>
      <c r="Q1045" t="s">
        <v>19</v>
      </c>
      <c r="R1045" t="s">
        <v>3890</v>
      </c>
      <c r="S1045" t="s">
        <v>1530</v>
      </c>
      <c r="T1045" t="s">
        <v>3820</v>
      </c>
      <c r="U1045" t="s">
        <v>1648</v>
      </c>
      <c r="V1045" t="s">
        <v>1741</v>
      </c>
      <c r="W1045" t="s">
        <v>1742</v>
      </c>
      <c r="X1045" t="s">
        <v>1739</v>
      </c>
    </row>
    <row r="1046" spans="1:24" x14ac:dyDescent="0.3">
      <c r="A1046" t="s">
        <v>2853</v>
      </c>
      <c r="B1046" s="2">
        <v>45257</v>
      </c>
      <c r="C1046" t="s">
        <v>199</v>
      </c>
      <c r="D1046" t="s">
        <v>1625</v>
      </c>
      <c r="E1046" t="s">
        <v>1796</v>
      </c>
      <c r="F1046" s="4">
        <v>4</v>
      </c>
      <c r="G1046">
        <v>189.07</v>
      </c>
      <c r="H1046">
        <v>0.1</v>
      </c>
      <c r="I1046" t="s">
        <v>1812</v>
      </c>
      <c r="J1046">
        <v>680.65200000000004</v>
      </c>
      <c r="K1046" t="s">
        <v>200</v>
      </c>
      <c r="L1046">
        <v>24</v>
      </c>
      <c r="M1046" t="s">
        <v>9</v>
      </c>
      <c r="N1046" t="s">
        <v>201</v>
      </c>
      <c r="O1046" t="s">
        <v>155</v>
      </c>
      <c r="P1046" t="s">
        <v>12</v>
      </c>
      <c r="Q1046" t="s">
        <v>13</v>
      </c>
      <c r="R1046" t="s">
        <v>3877</v>
      </c>
      <c r="S1046" t="s">
        <v>1541</v>
      </c>
      <c r="T1046" t="s">
        <v>3878</v>
      </c>
      <c r="U1046" t="s">
        <v>1626</v>
      </c>
      <c r="V1046" t="s">
        <v>1741</v>
      </c>
      <c r="W1046" t="s">
        <v>1742</v>
      </c>
      <c r="X1046" t="s">
        <v>1739</v>
      </c>
    </row>
    <row r="1047" spans="1:24" x14ac:dyDescent="0.3">
      <c r="A1047" t="s">
        <v>2854</v>
      </c>
      <c r="B1047" s="2">
        <v>45818</v>
      </c>
      <c r="C1047" t="s">
        <v>1516</v>
      </c>
      <c r="D1047" t="s">
        <v>1591</v>
      </c>
      <c r="E1047" t="s">
        <v>1752</v>
      </c>
      <c r="F1047" s="4">
        <v>3</v>
      </c>
      <c r="G1047">
        <v>272.27</v>
      </c>
      <c r="H1047">
        <v>0.01</v>
      </c>
      <c r="I1047" t="s">
        <v>1807</v>
      </c>
      <c r="J1047">
        <v>808.64189999999996</v>
      </c>
      <c r="K1047" t="s">
        <v>1517</v>
      </c>
      <c r="L1047" s="7">
        <v>27</v>
      </c>
      <c r="M1047" s="7" t="s">
        <v>16</v>
      </c>
      <c r="N1047" t="s">
        <v>1518</v>
      </c>
      <c r="O1047" t="s">
        <v>35</v>
      </c>
      <c r="P1047" t="s">
        <v>12</v>
      </c>
      <c r="Q1047" t="s">
        <v>19</v>
      </c>
      <c r="R1047" t="s">
        <v>3857</v>
      </c>
      <c r="S1047" t="s">
        <v>1527</v>
      </c>
      <c r="T1047" t="s">
        <v>3830</v>
      </c>
      <c r="U1047" t="s">
        <v>1592</v>
      </c>
      <c r="V1047" t="s">
        <v>1753</v>
      </c>
      <c r="W1047" t="s">
        <v>1746</v>
      </c>
      <c r="X1047" t="s">
        <v>1755</v>
      </c>
    </row>
    <row r="1048" spans="1:24" x14ac:dyDescent="0.3">
      <c r="A1048" t="s">
        <v>2855</v>
      </c>
      <c r="B1048" s="2">
        <v>45806</v>
      </c>
      <c r="C1048" t="s">
        <v>835</v>
      </c>
      <c r="D1048" t="s">
        <v>1715</v>
      </c>
      <c r="E1048" t="s">
        <v>1775</v>
      </c>
      <c r="F1048" s="4">
        <v>1</v>
      </c>
      <c r="G1048">
        <v>209.39</v>
      </c>
      <c r="H1048">
        <v>0.28000000000000003</v>
      </c>
      <c r="I1048" t="s">
        <v>1809</v>
      </c>
      <c r="J1048">
        <v>150.76079999999999</v>
      </c>
      <c r="K1048" t="s">
        <v>836</v>
      </c>
      <c r="L1048">
        <v>38</v>
      </c>
      <c r="M1048" t="s">
        <v>9</v>
      </c>
      <c r="N1048" t="s">
        <v>837</v>
      </c>
      <c r="O1048" t="s">
        <v>838</v>
      </c>
      <c r="P1048" t="s">
        <v>12</v>
      </c>
      <c r="Q1048" t="s">
        <v>13</v>
      </c>
      <c r="R1048" t="s">
        <v>3925</v>
      </c>
      <c r="S1048" t="s">
        <v>1527</v>
      </c>
      <c r="T1048" t="s">
        <v>3838</v>
      </c>
      <c r="U1048" t="s">
        <v>1716</v>
      </c>
      <c r="V1048" t="s">
        <v>1741</v>
      </c>
      <c r="W1048" t="s">
        <v>1742</v>
      </c>
      <c r="X1048" t="s">
        <v>1739</v>
      </c>
    </row>
    <row r="1049" spans="1:24" x14ac:dyDescent="0.3">
      <c r="A1049" t="s">
        <v>2856</v>
      </c>
      <c r="B1049" s="2">
        <v>45288</v>
      </c>
      <c r="C1049" t="s">
        <v>199</v>
      </c>
      <c r="D1049" t="s">
        <v>1691</v>
      </c>
      <c r="E1049" t="s">
        <v>1769</v>
      </c>
      <c r="F1049" s="4">
        <v>1</v>
      </c>
      <c r="G1049">
        <v>813.87</v>
      </c>
      <c r="H1049">
        <v>0.23</v>
      </c>
      <c r="I1049" t="s">
        <v>1807</v>
      </c>
      <c r="J1049">
        <v>626.67989999999998</v>
      </c>
      <c r="K1049" t="s">
        <v>200</v>
      </c>
      <c r="L1049">
        <v>24</v>
      </c>
      <c r="M1049" t="s">
        <v>9</v>
      </c>
      <c r="N1049" t="s">
        <v>201</v>
      </c>
      <c r="O1049" t="s">
        <v>155</v>
      </c>
      <c r="P1049" t="s">
        <v>12</v>
      </c>
      <c r="Q1049" t="s">
        <v>13</v>
      </c>
      <c r="R1049" t="s">
        <v>3913</v>
      </c>
      <c r="S1049" t="s">
        <v>1527</v>
      </c>
      <c r="T1049" t="s">
        <v>3830</v>
      </c>
      <c r="U1049" t="s">
        <v>1692</v>
      </c>
      <c r="V1049" t="s">
        <v>1770</v>
      </c>
      <c r="W1049" t="s">
        <v>1746</v>
      </c>
      <c r="X1049" t="s">
        <v>1739</v>
      </c>
    </row>
    <row r="1050" spans="1:24" x14ac:dyDescent="0.3">
      <c r="A1050" t="s">
        <v>2857</v>
      </c>
      <c r="B1050" s="2">
        <v>45783</v>
      </c>
      <c r="C1050" t="s">
        <v>814</v>
      </c>
      <c r="D1050" t="s">
        <v>1587</v>
      </c>
      <c r="E1050" t="s">
        <v>1735</v>
      </c>
      <c r="F1050" s="4">
        <v>1</v>
      </c>
      <c r="G1050">
        <v>143.69999999999999</v>
      </c>
      <c r="H1050">
        <v>0.19</v>
      </c>
      <c r="I1050" t="s">
        <v>1809</v>
      </c>
      <c r="J1050">
        <v>116.39700000000001</v>
      </c>
      <c r="K1050" t="s">
        <v>815</v>
      </c>
      <c r="L1050">
        <v>24</v>
      </c>
      <c r="M1050" t="s">
        <v>16</v>
      </c>
      <c r="N1050" t="s">
        <v>816</v>
      </c>
      <c r="O1050" t="s">
        <v>709</v>
      </c>
      <c r="P1050" t="s">
        <v>12</v>
      </c>
      <c r="Q1050" t="s">
        <v>31</v>
      </c>
      <c r="R1050" t="s">
        <v>3855</v>
      </c>
      <c r="S1050" t="s">
        <v>1549</v>
      </c>
      <c r="T1050" t="s">
        <v>3820</v>
      </c>
      <c r="U1050" t="s">
        <v>1588</v>
      </c>
      <c r="V1050" t="s">
        <v>1736</v>
      </c>
      <c r="W1050" t="s">
        <v>1737</v>
      </c>
      <c r="X1050" t="s">
        <v>1739</v>
      </c>
    </row>
    <row r="1051" spans="1:24" x14ac:dyDescent="0.3">
      <c r="A1051" t="s">
        <v>2858</v>
      </c>
      <c r="B1051" s="2">
        <v>45385</v>
      </c>
      <c r="C1051" t="s">
        <v>1433</v>
      </c>
      <c r="D1051" t="s">
        <v>1623</v>
      </c>
      <c r="E1051" t="s">
        <v>1740</v>
      </c>
      <c r="F1051" s="4">
        <v>4</v>
      </c>
      <c r="G1051">
        <v>837.34</v>
      </c>
      <c r="H1051">
        <v>0.05</v>
      </c>
      <c r="I1051" t="s">
        <v>1809</v>
      </c>
      <c r="J1051">
        <v>3181.8919999999998</v>
      </c>
      <c r="K1051" t="s">
        <v>1434</v>
      </c>
      <c r="L1051">
        <v>42</v>
      </c>
      <c r="M1051" t="s">
        <v>9</v>
      </c>
      <c r="N1051" t="s">
        <v>1435</v>
      </c>
      <c r="O1051" t="s">
        <v>47</v>
      </c>
      <c r="P1051" t="s">
        <v>12</v>
      </c>
      <c r="Q1051" t="s">
        <v>13</v>
      </c>
      <c r="R1051" t="s">
        <v>3876</v>
      </c>
      <c r="S1051" t="s">
        <v>1530</v>
      </c>
      <c r="T1051" t="s">
        <v>3815</v>
      </c>
      <c r="U1051" t="s">
        <v>1624</v>
      </c>
      <c r="V1051" t="s">
        <v>1741</v>
      </c>
      <c r="W1051" t="s">
        <v>1742</v>
      </c>
      <c r="X1051" t="s">
        <v>1739</v>
      </c>
    </row>
    <row r="1052" spans="1:24" x14ac:dyDescent="0.3">
      <c r="A1052" t="s">
        <v>2859</v>
      </c>
      <c r="B1052" s="2">
        <v>45878</v>
      </c>
      <c r="C1052" t="s">
        <v>412</v>
      </c>
      <c r="D1052" t="s">
        <v>1561</v>
      </c>
      <c r="E1052" t="s">
        <v>1796</v>
      </c>
      <c r="F1052" s="4">
        <v>1</v>
      </c>
      <c r="G1052">
        <v>151.66</v>
      </c>
      <c r="H1052">
        <v>0.16</v>
      </c>
      <c r="I1052" t="s">
        <v>1812</v>
      </c>
      <c r="J1052">
        <v>127.3944</v>
      </c>
      <c r="K1052" t="s">
        <v>413</v>
      </c>
      <c r="L1052">
        <v>62</v>
      </c>
      <c r="M1052" t="s">
        <v>9</v>
      </c>
      <c r="N1052" t="s">
        <v>3955</v>
      </c>
      <c r="O1052" t="s">
        <v>51</v>
      </c>
      <c r="P1052" t="s">
        <v>12</v>
      </c>
      <c r="Q1052" t="s">
        <v>19</v>
      </c>
      <c r="R1052" t="s">
        <v>3837</v>
      </c>
      <c r="S1052" t="s">
        <v>1546</v>
      </c>
      <c r="T1052" t="s">
        <v>3838</v>
      </c>
      <c r="U1052" t="s">
        <v>1562</v>
      </c>
      <c r="V1052" t="s">
        <v>1741</v>
      </c>
      <c r="W1052" t="s">
        <v>1742</v>
      </c>
      <c r="X1052" t="s">
        <v>1739</v>
      </c>
    </row>
    <row r="1053" spans="1:24" x14ac:dyDescent="0.3">
      <c r="A1053" t="s">
        <v>2860</v>
      </c>
      <c r="B1053" s="2">
        <v>45720</v>
      </c>
      <c r="C1053" t="s">
        <v>1516</v>
      </c>
      <c r="D1053" t="s">
        <v>1619</v>
      </c>
      <c r="E1053" t="s">
        <v>1765</v>
      </c>
      <c r="F1053" s="4">
        <v>3</v>
      </c>
      <c r="G1053">
        <v>961.4</v>
      </c>
      <c r="H1053">
        <v>0.02</v>
      </c>
      <c r="I1053" t="s">
        <v>1809</v>
      </c>
      <c r="J1053">
        <v>2826.5160000000001</v>
      </c>
      <c r="K1053" t="s">
        <v>1517</v>
      </c>
      <c r="L1053" s="7">
        <v>27</v>
      </c>
      <c r="M1053" s="7" t="s">
        <v>16</v>
      </c>
      <c r="N1053" t="s">
        <v>1518</v>
      </c>
      <c r="O1053" t="s">
        <v>35</v>
      </c>
      <c r="P1053" t="s">
        <v>12</v>
      </c>
      <c r="Q1053" t="s">
        <v>19</v>
      </c>
      <c r="R1053" t="s">
        <v>3874</v>
      </c>
      <c r="S1053" t="s">
        <v>1549</v>
      </c>
      <c r="T1053" t="s">
        <v>3828</v>
      </c>
      <c r="U1053" t="s">
        <v>1620</v>
      </c>
      <c r="V1053" t="s">
        <v>1766</v>
      </c>
      <c r="W1053" t="s">
        <v>1767</v>
      </c>
      <c r="X1053" t="s">
        <v>1755</v>
      </c>
    </row>
    <row r="1054" spans="1:24" x14ac:dyDescent="0.3">
      <c r="A1054" t="s">
        <v>2861</v>
      </c>
      <c r="B1054" s="2">
        <v>45503</v>
      </c>
      <c r="C1054" t="s">
        <v>1144</v>
      </c>
      <c r="D1054" t="s">
        <v>1679</v>
      </c>
      <c r="E1054" t="s">
        <v>1793</v>
      </c>
      <c r="F1054" s="4">
        <v>4</v>
      </c>
      <c r="G1054">
        <v>475.98</v>
      </c>
      <c r="H1054">
        <v>0.19</v>
      </c>
      <c r="I1054" t="s">
        <v>1809</v>
      </c>
      <c r="J1054">
        <v>1542.1751999999999</v>
      </c>
      <c r="K1054" t="s">
        <v>1145</v>
      </c>
      <c r="L1054">
        <v>21</v>
      </c>
      <c r="M1054" t="s">
        <v>16</v>
      </c>
      <c r="N1054" t="s">
        <v>1146</v>
      </c>
      <c r="O1054" t="s">
        <v>251</v>
      </c>
      <c r="P1054" t="s">
        <v>12</v>
      </c>
      <c r="Q1054" t="s">
        <v>31</v>
      </c>
      <c r="R1054" t="s">
        <v>3907</v>
      </c>
      <c r="S1054" t="s">
        <v>1546</v>
      </c>
      <c r="T1054" t="s">
        <v>3826</v>
      </c>
      <c r="U1054" t="s">
        <v>1680</v>
      </c>
      <c r="V1054" t="s">
        <v>1741</v>
      </c>
      <c r="W1054" t="s">
        <v>1742</v>
      </c>
      <c r="X1054" t="s">
        <v>1739</v>
      </c>
    </row>
    <row r="1055" spans="1:24" x14ac:dyDescent="0.3">
      <c r="A1055" t="s">
        <v>2862</v>
      </c>
      <c r="B1055" s="2">
        <v>45551</v>
      </c>
      <c r="C1055" t="s">
        <v>1174</v>
      </c>
      <c r="D1055" t="s">
        <v>1607</v>
      </c>
      <c r="E1055" t="s">
        <v>1784</v>
      </c>
      <c r="F1055" s="4">
        <v>4</v>
      </c>
      <c r="G1055">
        <v>132.88999999999999</v>
      </c>
      <c r="H1055">
        <v>0.12</v>
      </c>
      <c r="I1055" t="s">
        <v>1807</v>
      </c>
      <c r="J1055">
        <v>467.77280000000002</v>
      </c>
      <c r="K1055" t="s">
        <v>1175</v>
      </c>
      <c r="L1055">
        <v>50</v>
      </c>
      <c r="M1055" t="s">
        <v>9</v>
      </c>
      <c r="N1055" t="s">
        <v>1176</v>
      </c>
      <c r="O1055" t="s">
        <v>214</v>
      </c>
      <c r="P1055" t="s">
        <v>12</v>
      </c>
      <c r="Q1055" t="s">
        <v>13</v>
      </c>
      <c r="R1055" t="s">
        <v>3867</v>
      </c>
      <c r="S1055" t="s">
        <v>1549</v>
      </c>
      <c r="T1055" t="s">
        <v>3851</v>
      </c>
      <c r="U1055" t="s">
        <v>1608</v>
      </c>
      <c r="V1055" t="s">
        <v>1741</v>
      </c>
      <c r="W1055" t="s">
        <v>1742</v>
      </c>
      <c r="X1055" t="s">
        <v>1739</v>
      </c>
    </row>
    <row r="1056" spans="1:24" x14ac:dyDescent="0.3">
      <c r="A1056" t="s">
        <v>2863</v>
      </c>
      <c r="B1056" s="2">
        <v>45850</v>
      </c>
      <c r="C1056" t="s">
        <v>1339</v>
      </c>
      <c r="D1056" t="s">
        <v>1601</v>
      </c>
      <c r="E1056" t="s">
        <v>1777</v>
      </c>
      <c r="F1056" s="4">
        <v>3</v>
      </c>
      <c r="G1056">
        <v>471.31</v>
      </c>
      <c r="H1056">
        <v>0</v>
      </c>
      <c r="I1056" t="s">
        <v>1809</v>
      </c>
      <c r="J1056">
        <v>1413.93</v>
      </c>
      <c r="K1056" t="s">
        <v>1340</v>
      </c>
      <c r="L1056">
        <v>59</v>
      </c>
      <c r="M1056" t="s">
        <v>16</v>
      </c>
      <c r="N1056" t="s">
        <v>591</v>
      </c>
      <c r="O1056" t="s">
        <v>47</v>
      </c>
      <c r="P1056" t="s">
        <v>12</v>
      </c>
      <c r="Q1056" t="s">
        <v>19</v>
      </c>
      <c r="R1056" t="s">
        <v>3863</v>
      </c>
      <c r="S1056" t="s">
        <v>1527</v>
      </c>
      <c r="T1056" t="s">
        <v>3824</v>
      </c>
      <c r="U1056" t="s">
        <v>1602</v>
      </c>
      <c r="V1056" t="s">
        <v>1741</v>
      </c>
      <c r="W1056" t="s">
        <v>1742</v>
      </c>
      <c r="X1056" t="s">
        <v>1739</v>
      </c>
    </row>
    <row r="1057" spans="1:24" x14ac:dyDescent="0.3">
      <c r="A1057" t="s">
        <v>2864</v>
      </c>
      <c r="B1057" s="2">
        <v>45441</v>
      </c>
      <c r="C1057" t="s">
        <v>1415</v>
      </c>
      <c r="D1057" t="s">
        <v>1683</v>
      </c>
      <c r="E1057" t="s">
        <v>1782</v>
      </c>
      <c r="F1057" s="4">
        <v>2</v>
      </c>
      <c r="G1057">
        <v>720.32</v>
      </c>
      <c r="H1057">
        <v>0.26</v>
      </c>
      <c r="I1057" t="s">
        <v>1807</v>
      </c>
      <c r="J1057">
        <v>1066.0735999999999</v>
      </c>
      <c r="K1057" t="s">
        <v>1416</v>
      </c>
      <c r="L1057">
        <v>28</v>
      </c>
      <c r="M1057" t="s">
        <v>16</v>
      </c>
      <c r="N1057" t="s">
        <v>1417</v>
      </c>
      <c r="O1057" t="s">
        <v>74</v>
      </c>
      <c r="P1057" t="s">
        <v>12</v>
      </c>
      <c r="Q1057" t="s">
        <v>19</v>
      </c>
      <c r="R1057" t="s">
        <v>3909</v>
      </c>
      <c r="S1057" t="s">
        <v>1546</v>
      </c>
      <c r="T1057" t="s">
        <v>3811</v>
      </c>
      <c r="U1057" t="s">
        <v>1684</v>
      </c>
      <c r="V1057" t="s">
        <v>1741</v>
      </c>
      <c r="W1057" t="s">
        <v>1742</v>
      </c>
      <c r="X1057" t="s">
        <v>1739</v>
      </c>
    </row>
    <row r="1058" spans="1:24" x14ac:dyDescent="0.3">
      <c r="A1058" t="s">
        <v>2865</v>
      </c>
      <c r="B1058" s="2">
        <v>45431</v>
      </c>
      <c r="C1058" t="s">
        <v>272</v>
      </c>
      <c r="D1058" t="s">
        <v>1663</v>
      </c>
      <c r="E1058" t="s">
        <v>1793</v>
      </c>
      <c r="F1058" s="4">
        <v>4</v>
      </c>
      <c r="G1058">
        <v>99.92</v>
      </c>
      <c r="H1058">
        <v>0.11</v>
      </c>
      <c r="I1058" t="s">
        <v>1812</v>
      </c>
      <c r="J1058">
        <v>355.71519999999998</v>
      </c>
      <c r="K1058" t="s">
        <v>273</v>
      </c>
      <c r="L1058">
        <v>37</v>
      </c>
      <c r="M1058" t="s">
        <v>9</v>
      </c>
      <c r="N1058" t="s">
        <v>274</v>
      </c>
      <c r="O1058" t="s">
        <v>30</v>
      </c>
      <c r="P1058" t="s">
        <v>12</v>
      </c>
      <c r="Q1058" t="s">
        <v>13</v>
      </c>
      <c r="R1058" t="s">
        <v>3898</v>
      </c>
      <c r="S1058" t="s">
        <v>1541</v>
      </c>
      <c r="T1058" t="s">
        <v>3833</v>
      </c>
      <c r="U1058" t="s">
        <v>1664</v>
      </c>
      <c r="V1058" t="s">
        <v>1741</v>
      </c>
      <c r="W1058" t="s">
        <v>1742</v>
      </c>
      <c r="X1058" t="s">
        <v>1739</v>
      </c>
    </row>
    <row r="1059" spans="1:24" x14ac:dyDescent="0.3">
      <c r="A1059" t="s">
        <v>2866</v>
      </c>
      <c r="B1059" s="2">
        <v>45873</v>
      </c>
      <c r="C1059" t="s">
        <v>244</v>
      </c>
      <c r="D1059" t="s">
        <v>1551</v>
      </c>
      <c r="E1059" t="s">
        <v>1749</v>
      </c>
      <c r="F1059" s="4">
        <v>3</v>
      </c>
      <c r="G1059">
        <v>900.63</v>
      </c>
      <c r="H1059">
        <v>0.11</v>
      </c>
      <c r="I1059" t="s">
        <v>1812</v>
      </c>
      <c r="J1059">
        <v>2404.6821</v>
      </c>
      <c r="K1059" t="s">
        <v>245</v>
      </c>
      <c r="L1059">
        <v>24</v>
      </c>
      <c r="M1059" t="s">
        <v>16</v>
      </c>
      <c r="N1059" t="s">
        <v>246</v>
      </c>
      <c r="O1059" t="s">
        <v>247</v>
      </c>
      <c r="P1059" t="s">
        <v>12</v>
      </c>
      <c r="Q1059" t="s">
        <v>31</v>
      </c>
      <c r="R1059" t="s">
        <v>3829</v>
      </c>
      <c r="S1059" t="s">
        <v>1527</v>
      </c>
      <c r="T1059" t="s">
        <v>3830</v>
      </c>
      <c r="U1059" t="s">
        <v>1552</v>
      </c>
      <c r="V1059" t="s">
        <v>1750</v>
      </c>
      <c r="W1059" t="s">
        <v>1742</v>
      </c>
      <c r="X1059" t="s">
        <v>1748</v>
      </c>
    </row>
    <row r="1060" spans="1:24" x14ac:dyDescent="0.3">
      <c r="A1060" t="s">
        <v>2867</v>
      </c>
      <c r="B1060" s="2">
        <v>45629</v>
      </c>
      <c r="C1060" t="s">
        <v>1352</v>
      </c>
      <c r="D1060" t="s">
        <v>1623</v>
      </c>
      <c r="E1060" t="s">
        <v>1765</v>
      </c>
      <c r="F1060" s="4">
        <v>1</v>
      </c>
      <c r="G1060">
        <v>681.72</v>
      </c>
      <c r="H1060">
        <v>0.11</v>
      </c>
      <c r="I1060" t="s">
        <v>1809</v>
      </c>
      <c r="J1060">
        <v>606.73080000000004</v>
      </c>
      <c r="K1060" t="s">
        <v>1353</v>
      </c>
      <c r="L1060">
        <v>51</v>
      </c>
      <c r="M1060" t="s">
        <v>9</v>
      </c>
      <c r="N1060" t="s">
        <v>1354</v>
      </c>
      <c r="O1060" t="s">
        <v>35</v>
      </c>
      <c r="P1060" t="s">
        <v>12</v>
      </c>
      <c r="Q1060" t="s">
        <v>26</v>
      </c>
      <c r="R1060" t="s">
        <v>3876</v>
      </c>
      <c r="S1060" t="s">
        <v>1530</v>
      </c>
      <c r="T1060" t="s">
        <v>3815</v>
      </c>
      <c r="U1060" t="s">
        <v>1624</v>
      </c>
      <c r="V1060" t="s">
        <v>1766</v>
      </c>
      <c r="W1060" t="s">
        <v>1767</v>
      </c>
      <c r="X1060" t="s">
        <v>1755</v>
      </c>
    </row>
    <row r="1061" spans="1:24" x14ac:dyDescent="0.3">
      <c r="A1061" t="s">
        <v>2868</v>
      </c>
      <c r="B1061" s="2">
        <v>45222</v>
      </c>
      <c r="C1061" t="s">
        <v>48</v>
      </c>
      <c r="D1061" t="s">
        <v>1687</v>
      </c>
      <c r="E1061" t="s">
        <v>1780</v>
      </c>
      <c r="F1061" s="4">
        <v>2</v>
      </c>
      <c r="G1061">
        <v>838.22</v>
      </c>
      <c r="H1061">
        <v>0.3</v>
      </c>
      <c r="I1061" t="s">
        <v>1807</v>
      </c>
      <c r="J1061">
        <v>1173.508</v>
      </c>
      <c r="K1061" t="s">
        <v>49</v>
      </c>
      <c r="L1061">
        <v>53</v>
      </c>
      <c r="M1061" t="s">
        <v>9</v>
      </c>
      <c r="N1061" t="s">
        <v>50</v>
      </c>
      <c r="O1061" t="s">
        <v>51</v>
      </c>
      <c r="P1061" t="s">
        <v>12</v>
      </c>
      <c r="Q1061" t="s">
        <v>19</v>
      </c>
      <c r="R1061" t="s">
        <v>3911</v>
      </c>
      <c r="S1061" t="s">
        <v>1527</v>
      </c>
      <c r="T1061" t="s">
        <v>3836</v>
      </c>
      <c r="U1061" t="s">
        <v>1688</v>
      </c>
      <c r="V1061" t="s">
        <v>1741</v>
      </c>
      <c r="W1061" t="s">
        <v>1742</v>
      </c>
      <c r="X1061" t="s">
        <v>1739</v>
      </c>
    </row>
    <row r="1062" spans="1:24" x14ac:dyDescent="0.3">
      <c r="A1062" t="s">
        <v>2869</v>
      </c>
      <c r="B1062" s="2">
        <v>45797</v>
      </c>
      <c r="C1062" t="s">
        <v>631</v>
      </c>
      <c r="D1062" t="s">
        <v>1705</v>
      </c>
      <c r="E1062" t="s">
        <v>1777</v>
      </c>
      <c r="F1062" s="4">
        <v>2</v>
      </c>
      <c r="G1062">
        <v>816.22</v>
      </c>
      <c r="H1062">
        <v>0.27</v>
      </c>
      <c r="I1062" t="s">
        <v>1807</v>
      </c>
      <c r="J1062">
        <v>1191.6812</v>
      </c>
      <c r="K1062" t="s">
        <v>632</v>
      </c>
      <c r="L1062">
        <v>60</v>
      </c>
      <c r="M1062" t="s">
        <v>9</v>
      </c>
      <c r="N1062" t="s">
        <v>633</v>
      </c>
      <c r="O1062" t="s">
        <v>51</v>
      </c>
      <c r="P1062" t="s">
        <v>12</v>
      </c>
      <c r="Q1062" t="s">
        <v>13</v>
      </c>
      <c r="R1062" t="s">
        <v>3920</v>
      </c>
      <c r="S1062" t="s">
        <v>1527</v>
      </c>
      <c r="T1062" t="s">
        <v>3824</v>
      </c>
      <c r="U1062" t="s">
        <v>1706</v>
      </c>
      <c r="V1062" t="s">
        <v>1741</v>
      </c>
      <c r="W1062" t="s">
        <v>1742</v>
      </c>
      <c r="X1062" t="s">
        <v>1739</v>
      </c>
    </row>
    <row r="1063" spans="1:24" x14ac:dyDescent="0.3">
      <c r="A1063" t="s">
        <v>2870</v>
      </c>
      <c r="B1063" s="2">
        <v>45554</v>
      </c>
      <c r="C1063" t="s">
        <v>1174</v>
      </c>
      <c r="D1063" t="s">
        <v>1653</v>
      </c>
      <c r="E1063" t="s">
        <v>1762</v>
      </c>
      <c r="F1063" s="4">
        <v>2</v>
      </c>
      <c r="G1063">
        <v>654.12</v>
      </c>
      <c r="H1063">
        <v>0.27</v>
      </c>
      <c r="I1063" t="s">
        <v>1809</v>
      </c>
      <c r="J1063">
        <v>955.01519999999994</v>
      </c>
      <c r="K1063" t="s">
        <v>1175</v>
      </c>
      <c r="L1063">
        <v>50</v>
      </c>
      <c r="M1063" t="s">
        <v>9</v>
      </c>
      <c r="N1063" t="s">
        <v>1176</v>
      </c>
      <c r="O1063" t="s">
        <v>214</v>
      </c>
      <c r="P1063" t="s">
        <v>12</v>
      </c>
      <c r="Q1063" t="s">
        <v>13</v>
      </c>
      <c r="R1063" t="s">
        <v>3893</v>
      </c>
      <c r="S1063" t="s">
        <v>1549</v>
      </c>
      <c r="T1063" t="s">
        <v>3844</v>
      </c>
      <c r="U1063" t="s">
        <v>1654</v>
      </c>
      <c r="V1063" t="s">
        <v>1763</v>
      </c>
      <c r="W1063" t="s">
        <v>1746</v>
      </c>
      <c r="X1063" t="s">
        <v>1755</v>
      </c>
    </row>
    <row r="1064" spans="1:24" x14ac:dyDescent="0.3">
      <c r="A1064" t="s">
        <v>2871</v>
      </c>
      <c r="B1064" s="2">
        <v>45385</v>
      </c>
      <c r="C1064" t="s">
        <v>367</v>
      </c>
      <c r="D1064" t="s">
        <v>1677</v>
      </c>
      <c r="E1064" t="s">
        <v>1780</v>
      </c>
      <c r="F1064" s="4">
        <v>4</v>
      </c>
      <c r="G1064">
        <v>528.22</v>
      </c>
      <c r="H1064">
        <v>0.2</v>
      </c>
      <c r="I1064" t="s">
        <v>1809</v>
      </c>
      <c r="J1064">
        <v>1690.3040000000001</v>
      </c>
      <c r="K1064" t="s">
        <v>368</v>
      </c>
      <c r="L1064">
        <v>53</v>
      </c>
      <c r="M1064" t="s">
        <v>16</v>
      </c>
      <c r="N1064" t="s">
        <v>369</v>
      </c>
      <c r="O1064" t="s">
        <v>247</v>
      </c>
      <c r="P1064" t="s">
        <v>12</v>
      </c>
      <c r="Q1064" t="s">
        <v>13</v>
      </c>
      <c r="R1064" t="s">
        <v>3906</v>
      </c>
      <c r="S1064" t="s">
        <v>1549</v>
      </c>
      <c r="T1064" t="s">
        <v>3859</v>
      </c>
      <c r="U1064" t="s">
        <v>1678</v>
      </c>
      <c r="V1064" t="s">
        <v>1741</v>
      </c>
      <c r="W1064" t="s">
        <v>1742</v>
      </c>
      <c r="X1064" t="s">
        <v>1739</v>
      </c>
    </row>
    <row r="1065" spans="1:24" x14ac:dyDescent="0.3">
      <c r="A1065" t="s">
        <v>2872</v>
      </c>
      <c r="B1065" s="2">
        <v>45704</v>
      </c>
      <c r="C1065" t="s">
        <v>710</v>
      </c>
      <c r="D1065" t="s">
        <v>1599</v>
      </c>
      <c r="E1065" t="s">
        <v>1762</v>
      </c>
      <c r="F1065" s="4">
        <v>4</v>
      </c>
      <c r="G1065">
        <v>36.72</v>
      </c>
      <c r="H1065">
        <v>7.0000000000000007E-2</v>
      </c>
      <c r="I1065" t="s">
        <v>1812</v>
      </c>
      <c r="J1065">
        <v>136.5984</v>
      </c>
      <c r="K1065" t="s">
        <v>711</v>
      </c>
      <c r="L1065">
        <v>35</v>
      </c>
      <c r="M1065" t="s">
        <v>9</v>
      </c>
      <c r="N1065" t="s">
        <v>712</v>
      </c>
      <c r="O1065" t="s">
        <v>81</v>
      </c>
      <c r="P1065" t="s">
        <v>12</v>
      </c>
      <c r="Q1065" t="s">
        <v>19</v>
      </c>
      <c r="R1065" t="s">
        <v>3862</v>
      </c>
      <c r="S1065" t="s">
        <v>1546</v>
      </c>
      <c r="T1065" t="s">
        <v>3811</v>
      </c>
      <c r="U1065" t="s">
        <v>1600</v>
      </c>
      <c r="V1065" t="s">
        <v>1763</v>
      </c>
      <c r="W1065" t="s">
        <v>1746</v>
      </c>
      <c r="X1065" t="s">
        <v>1755</v>
      </c>
    </row>
    <row r="1066" spans="1:24" x14ac:dyDescent="0.3">
      <c r="A1066" t="s">
        <v>2873</v>
      </c>
      <c r="B1066" s="2">
        <v>45545</v>
      </c>
      <c r="C1066" t="s">
        <v>1144</v>
      </c>
      <c r="D1066" t="s">
        <v>1687</v>
      </c>
      <c r="E1066" t="s">
        <v>1796</v>
      </c>
      <c r="F1066" s="4">
        <v>2</v>
      </c>
      <c r="G1066">
        <v>705.97</v>
      </c>
      <c r="H1066">
        <v>0.1</v>
      </c>
      <c r="I1066" t="s">
        <v>1809</v>
      </c>
      <c r="J1066">
        <v>1270.7460000000001</v>
      </c>
      <c r="K1066" t="s">
        <v>1145</v>
      </c>
      <c r="L1066">
        <v>21</v>
      </c>
      <c r="M1066" t="s">
        <v>16</v>
      </c>
      <c r="N1066" t="s">
        <v>1146</v>
      </c>
      <c r="O1066" t="s">
        <v>251</v>
      </c>
      <c r="P1066" t="s">
        <v>12</v>
      </c>
      <c r="Q1066" t="s">
        <v>31</v>
      </c>
      <c r="R1066" t="s">
        <v>3911</v>
      </c>
      <c r="S1066" t="s">
        <v>1527</v>
      </c>
      <c r="T1066" t="s">
        <v>3836</v>
      </c>
      <c r="U1066" t="s">
        <v>1688</v>
      </c>
      <c r="V1066" t="s">
        <v>1741</v>
      </c>
      <c r="W1066" t="s">
        <v>1742</v>
      </c>
      <c r="X1066" t="s">
        <v>1739</v>
      </c>
    </row>
    <row r="1067" spans="1:24" x14ac:dyDescent="0.3">
      <c r="A1067" t="s">
        <v>2874</v>
      </c>
      <c r="B1067" s="2">
        <v>45736</v>
      </c>
      <c r="C1067" t="s">
        <v>100</v>
      </c>
      <c r="D1067" t="s">
        <v>1611</v>
      </c>
      <c r="E1067" t="s">
        <v>1740</v>
      </c>
      <c r="F1067" s="4">
        <v>2</v>
      </c>
      <c r="G1067">
        <v>994.29</v>
      </c>
      <c r="H1067">
        <v>0.01</v>
      </c>
      <c r="I1067" t="s">
        <v>1809</v>
      </c>
      <c r="J1067">
        <v>1968.6941999999999</v>
      </c>
      <c r="K1067" t="s">
        <v>101</v>
      </c>
      <c r="L1067">
        <v>40</v>
      </c>
      <c r="M1067" t="s">
        <v>9</v>
      </c>
      <c r="N1067" t="s">
        <v>102</v>
      </c>
      <c r="O1067" t="s">
        <v>35</v>
      </c>
      <c r="P1067" t="s">
        <v>12</v>
      </c>
      <c r="Q1067" t="s">
        <v>31</v>
      </c>
      <c r="R1067" t="s">
        <v>3870</v>
      </c>
      <c r="S1067" t="s">
        <v>1546</v>
      </c>
      <c r="T1067" t="s">
        <v>3826</v>
      </c>
      <c r="U1067" t="s">
        <v>1612</v>
      </c>
      <c r="V1067" t="s">
        <v>1741</v>
      </c>
      <c r="W1067" t="s">
        <v>1742</v>
      </c>
      <c r="X1067" t="s">
        <v>1739</v>
      </c>
    </row>
    <row r="1068" spans="1:24" x14ac:dyDescent="0.3">
      <c r="A1068" t="s">
        <v>2875</v>
      </c>
      <c r="B1068" s="2">
        <v>45608</v>
      </c>
      <c r="C1068" t="s">
        <v>1292</v>
      </c>
      <c r="D1068" t="s">
        <v>1715</v>
      </c>
      <c r="E1068" t="s">
        <v>1793</v>
      </c>
      <c r="F1068" s="4">
        <v>1</v>
      </c>
      <c r="G1068">
        <v>909.04</v>
      </c>
      <c r="H1068">
        <v>0.11</v>
      </c>
      <c r="I1068" t="s">
        <v>1807</v>
      </c>
      <c r="J1068">
        <v>809.04560000000004</v>
      </c>
      <c r="K1068" t="s">
        <v>1293</v>
      </c>
      <c r="L1068">
        <v>42</v>
      </c>
      <c r="M1068" t="s">
        <v>16</v>
      </c>
      <c r="N1068" t="s">
        <v>1294</v>
      </c>
      <c r="O1068" t="s">
        <v>74</v>
      </c>
      <c r="P1068" t="s">
        <v>12</v>
      </c>
      <c r="Q1068" t="s">
        <v>19</v>
      </c>
      <c r="R1068" t="s">
        <v>3925</v>
      </c>
      <c r="S1068" t="s">
        <v>1527</v>
      </c>
      <c r="T1068" t="s">
        <v>3838</v>
      </c>
      <c r="U1068" t="s">
        <v>1716</v>
      </c>
      <c r="V1068" t="s">
        <v>1741</v>
      </c>
      <c r="W1068" t="s">
        <v>1742</v>
      </c>
      <c r="X1068" t="s">
        <v>1739</v>
      </c>
    </row>
    <row r="1069" spans="1:24" x14ac:dyDescent="0.3">
      <c r="A1069" t="s">
        <v>2876</v>
      </c>
      <c r="B1069" s="2">
        <v>45334</v>
      </c>
      <c r="C1069" t="s">
        <v>1083</v>
      </c>
      <c r="D1069" t="s">
        <v>1599</v>
      </c>
      <c r="E1069" t="s">
        <v>1775</v>
      </c>
      <c r="F1069" s="4">
        <v>1</v>
      </c>
      <c r="G1069">
        <v>164.73</v>
      </c>
      <c r="H1069">
        <v>0.12</v>
      </c>
      <c r="I1069" t="s">
        <v>1809</v>
      </c>
      <c r="J1069">
        <v>144.9624</v>
      </c>
      <c r="K1069" t="s">
        <v>1084</v>
      </c>
      <c r="L1069">
        <v>26</v>
      </c>
      <c r="M1069" t="s">
        <v>9</v>
      </c>
      <c r="N1069" t="s">
        <v>1085</v>
      </c>
      <c r="O1069" t="s">
        <v>162</v>
      </c>
      <c r="P1069" t="s">
        <v>12</v>
      </c>
      <c r="Q1069" t="s">
        <v>26</v>
      </c>
      <c r="R1069" t="s">
        <v>3862</v>
      </c>
      <c r="S1069" t="s">
        <v>1546</v>
      </c>
      <c r="T1069" t="s">
        <v>3811</v>
      </c>
      <c r="U1069" t="s">
        <v>1600</v>
      </c>
      <c r="V1069" t="s">
        <v>1741</v>
      </c>
      <c r="W1069" t="s">
        <v>1742</v>
      </c>
      <c r="X1069" t="s">
        <v>1739</v>
      </c>
    </row>
    <row r="1070" spans="1:24" x14ac:dyDescent="0.3">
      <c r="A1070" t="s">
        <v>2877</v>
      </c>
      <c r="B1070" s="2">
        <v>45690</v>
      </c>
      <c r="C1070" t="s">
        <v>227</v>
      </c>
      <c r="D1070" t="s">
        <v>1605</v>
      </c>
      <c r="E1070" t="s">
        <v>1762</v>
      </c>
      <c r="F1070" s="4">
        <v>2</v>
      </c>
      <c r="G1070">
        <v>606.35</v>
      </c>
      <c r="H1070">
        <v>0.16</v>
      </c>
      <c r="I1070" t="s">
        <v>1812</v>
      </c>
      <c r="J1070">
        <v>1018.668</v>
      </c>
      <c r="K1070" t="s">
        <v>228</v>
      </c>
      <c r="L1070">
        <v>51</v>
      </c>
      <c r="M1070" t="s">
        <v>9</v>
      </c>
      <c r="N1070" t="s">
        <v>229</v>
      </c>
      <c r="O1070" t="s">
        <v>230</v>
      </c>
      <c r="P1070" t="s">
        <v>12</v>
      </c>
      <c r="Q1070" t="s">
        <v>26</v>
      </c>
      <c r="R1070" t="s">
        <v>3865</v>
      </c>
      <c r="S1070" t="s">
        <v>1530</v>
      </c>
      <c r="T1070" t="s">
        <v>3866</v>
      </c>
      <c r="U1070" t="s">
        <v>1606</v>
      </c>
      <c r="V1070" t="s">
        <v>1763</v>
      </c>
      <c r="W1070" t="s">
        <v>1746</v>
      </c>
      <c r="X1070" t="s">
        <v>1755</v>
      </c>
    </row>
    <row r="1071" spans="1:24" x14ac:dyDescent="0.3">
      <c r="A1071" t="s">
        <v>2878</v>
      </c>
      <c r="B1071" s="2">
        <v>45481</v>
      </c>
      <c r="C1071" t="s">
        <v>539</v>
      </c>
      <c r="D1071" t="s">
        <v>1727</v>
      </c>
      <c r="E1071" t="s">
        <v>1752</v>
      </c>
      <c r="F1071" s="4">
        <v>3</v>
      </c>
      <c r="G1071">
        <v>904.19</v>
      </c>
      <c r="H1071">
        <v>0.09</v>
      </c>
      <c r="I1071" t="s">
        <v>1807</v>
      </c>
      <c r="J1071">
        <v>2468.4387000000002</v>
      </c>
      <c r="K1071" t="s">
        <v>540</v>
      </c>
      <c r="L1071">
        <v>39</v>
      </c>
      <c r="M1071" t="s">
        <v>16</v>
      </c>
      <c r="N1071" t="s">
        <v>541</v>
      </c>
      <c r="O1071" t="s">
        <v>191</v>
      </c>
      <c r="P1071" t="s">
        <v>12</v>
      </c>
      <c r="Q1071" t="s">
        <v>26</v>
      </c>
      <c r="R1071" t="s">
        <v>3931</v>
      </c>
      <c r="S1071" t="s">
        <v>1546</v>
      </c>
      <c r="T1071" t="s">
        <v>3826</v>
      </c>
      <c r="U1071" t="s">
        <v>1728</v>
      </c>
      <c r="V1071" t="s">
        <v>1753</v>
      </c>
      <c r="W1071" t="s">
        <v>1746</v>
      </c>
      <c r="X1071" t="s">
        <v>1755</v>
      </c>
    </row>
    <row r="1072" spans="1:24" x14ac:dyDescent="0.3">
      <c r="A1072" t="s">
        <v>2879</v>
      </c>
      <c r="B1072" s="2">
        <v>45576</v>
      </c>
      <c r="C1072" t="s">
        <v>503</v>
      </c>
      <c r="D1072" t="s">
        <v>1631</v>
      </c>
      <c r="E1072" t="s">
        <v>1744</v>
      </c>
      <c r="F1072" s="4">
        <v>4</v>
      </c>
      <c r="G1072">
        <v>694.61</v>
      </c>
      <c r="H1072">
        <v>0.18</v>
      </c>
      <c r="I1072" t="s">
        <v>1812</v>
      </c>
      <c r="J1072">
        <v>2278.3208</v>
      </c>
      <c r="K1072" t="s">
        <v>504</v>
      </c>
      <c r="L1072">
        <v>41</v>
      </c>
      <c r="M1072" t="s">
        <v>16</v>
      </c>
      <c r="N1072" t="s">
        <v>505</v>
      </c>
      <c r="O1072" t="s">
        <v>35</v>
      </c>
      <c r="P1072" t="s">
        <v>12</v>
      </c>
      <c r="Q1072" t="s">
        <v>13</v>
      </c>
      <c r="R1072" t="s">
        <v>3882</v>
      </c>
      <c r="S1072" t="s">
        <v>1549</v>
      </c>
      <c r="T1072" t="s">
        <v>3828</v>
      </c>
      <c r="U1072" t="s">
        <v>1632</v>
      </c>
      <c r="V1072" t="s">
        <v>1745</v>
      </c>
      <c r="W1072" t="s">
        <v>1746</v>
      </c>
      <c r="X1072" t="s">
        <v>1748</v>
      </c>
    </row>
    <row r="1073" spans="1:24" x14ac:dyDescent="0.3">
      <c r="A1073" t="s">
        <v>2880</v>
      </c>
      <c r="B1073" s="2">
        <v>45215</v>
      </c>
      <c r="C1073" t="s">
        <v>721</v>
      </c>
      <c r="D1073" t="s">
        <v>1709</v>
      </c>
      <c r="E1073" t="s">
        <v>1744</v>
      </c>
      <c r="F1073" s="4">
        <v>4</v>
      </c>
      <c r="G1073">
        <v>753.83</v>
      </c>
      <c r="H1073">
        <v>0.24</v>
      </c>
      <c r="I1073" t="s">
        <v>1807</v>
      </c>
      <c r="J1073">
        <v>2291.6432</v>
      </c>
      <c r="K1073" t="s">
        <v>722</v>
      </c>
      <c r="L1073">
        <v>54</v>
      </c>
      <c r="M1073" t="s">
        <v>9</v>
      </c>
      <c r="N1073" t="s">
        <v>723</v>
      </c>
      <c r="O1073" t="s">
        <v>117</v>
      </c>
      <c r="P1073" t="s">
        <v>12</v>
      </c>
      <c r="Q1073" t="s">
        <v>19</v>
      </c>
      <c r="R1073" t="s">
        <v>3922</v>
      </c>
      <c r="S1073" t="s">
        <v>1541</v>
      </c>
      <c r="T1073" t="s">
        <v>3878</v>
      </c>
      <c r="U1073" t="s">
        <v>1710</v>
      </c>
      <c r="V1073" t="s">
        <v>1745</v>
      </c>
      <c r="W1073" t="s">
        <v>1746</v>
      </c>
      <c r="X1073" t="s">
        <v>1748</v>
      </c>
    </row>
    <row r="1074" spans="1:24" x14ac:dyDescent="0.3">
      <c r="A1074" t="s">
        <v>2881</v>
      </c>
      <c r="B1074" s="2">
        <v>45653</v>
      </c>
      <c r="C1074" t="s">
        <v>640</v>
      </c>
      <c r="D1074" t="s">
        <v>1573</v>
      </c>
      <c r="E1074" t="s">
        <v>1765</v>
      </c>
      <c r="F1074" s="4">
        <v>1</v>
      </c>
      <c r="G1074">
        <v>66.22</v>
      </c>
      <c r="H1074">
        <v>0.02</v>
      </c>
      <c r="I1074" t="s">
        <v>1807</v>
      </c>
      <c r="J1074">
        <v>64.895600000000002</v>
      </c>
      <c r="K1074" t="s">
        <v>641</v>
      </c>
      <c r="L1074">
        <v>54</v>
      </c>
      <c r="M1074" t="s">
        <v>9</v>
      </c>
      <c r="N1074" t="s">
        <v>204</v>
      </c>
      <c r="O1074" t="s">
        <v>198</v>
      </c>
      <c r="P1074" t="s">
        <v>12</v>
      </c>
      <c r="Q1074" t="s">
        <v>19</v>
      </c>
      <c r="R1074" t="s">
        <v>3846</v>
      </c>
      <c r="S1074" t="s">
        <v>1527</v>
      </c>
      <c r="T1074" t="s">
        <v>3847</v>
      </c>
      <c r="U1074" t="s">
        <v>1574</v>
      </c>
      <c r="V1074" t="s">
        <v>1766</v>
      </c>
      <c r="W1074" t="s">
        <v>1767</v>
      </c>
      <c r="X1074" t="s">
        <v>1755</v>
      </c>
    </row>
    <row r="1075" spans="1:24" x14ac:dyDescent="0.3">
      <c r="A1075" t="s">
        <v>2882</v>
      </c>
      <c r="B1075" s="2">
        <v>45241</v>
      </c>
      <c r="C1075" t="s">
        <v>1048</v>
      </c>
      <c r="D1075" t="s">
        <v>1659</v>
      </c>
      <c r="E1075" t="s">
        <v>1782</v>
      </c>
      <c r="F1075" s="4">
        <v>2</v>
      </c>
      <c r="G1075">
        <v>891.8</v>
      </c>
      <c r="H1075">
        <v>0.28999999999999998</v>
      </c>
      <c r="I1075" t="s">
        <v>1812</v>
      </c>
      <c r="J1075">
        <v>1266.356</v>
      </c>
      <c r="K1075" t="s">
        <v>1049</v>
      </c>
      <c r="L1075">
        <v>46</v>
      </c>
      <c r="M1075" t="s">
        <v>16</v>
      </c>
      <c r="N1075" t="s">
        <v>1050</v>
      </c>
      <c r="O1075" t="s">
        <v>11</v>
      </c>
      <c r="P1075" t="s">
        <v>12</v>
      </c>
      <c r="Q1075" t="s">
        <v>26</v>
      </c>
      <c r="R1075" t="s">
        <v>3896</v>
      </c>
      <c r="S1075" t="s">
        <v>1541</v>
      </c>
      <c r="T1075" t="s">
        <v>3878</v>
      </c>
      <c r="U1075" t="s">
        <v>1660</v>
      </c>
      <c r="V1075" t="s">
        <v>1741</v>
      </c>
      <c r="W1075" t="s">
        <v>1742</v>
      </c>
      <c r="X1075" t="s">
        <v>1739</v>
      </c>
    </row>
    <row r="1076" spans="1:24" x14ac:dyDescent="0.3">
      <c r="A1076" t="s">
        <v>2883</v>
      </c>
      <c r="B1076" s="2">
        <v>45428</v>
      </c>
      <c r="C1076" t="s">
        <v>1123</v>
      </c>
      <c r="D1076" t="s">
        <v>1681</v>
      </c>
      <c r="E1076" t="s">
        <v>1769</v>
      </c>
      <c r="F1076" s="4">
        <v>4</v>
      </c>
      <c r="G1076">
        <v>255.48</v>
      </c>
      <c r="H1076">
        <v>0.03</v>
      </c>
      <c r="I1076" t="s">
        <v>1812</v>
      </c>
      <c r="J1076">
        <v>991.26239999999996</v>
      </c>
      <c r="K1076" t="s">
        <v>1124</v>
      </c>
      <c r="L1076">
        <v>58</v>
      </c>
      <c r="M1076" t="s">
        <v>9</v>
      </c>
      <c r="N1076" t="s">
        <v>1125</v>
      </c>
      <c r="O1076" t="s">
        <v>25</v>
      </c>
      <c r="P1076" t="s">
        <v>12</v>
      </c>
      <c r="Q1076" t="s">
        <v>26</v>
      </c>
      <c r="R1076" t="s">
        <v>3908</v>
      </c>
      <c r="S1076" t="s">
        <v>1530</v>
      </c>
      <c r="T1076" t="s">
        <v>3866</v>
      </c>
      <c r="U1076" t="s">
        <v>1682</v>
      </c>
      <c r="V1076" t="s">
        <v>1770</v>
      </c>
      <c r="W1076" t="s">
        <v>1746</v>
      </c>
      <c r="X1076" t="s">
        <v>1739</v>
      </c>
    </row>
    <row r="1077" spans="1:24" x14ac:dyDescent="0.3">
      <c r="A1077" t="s">
        <v>2884</v>
      </c>
      <c r="B1077" s="2">
        <v>45593</v>
      </c>
      <c r="C1077" t="s">
        <v>942</v>
      </c>
      <c r="D1077" t="s">
        <v>1699</v>
      </c>
      <c r="E1077" t="s">
        <v>1790</v>
      </c>
      <c r="F1077" s="4">
        <v>4</v>
      </c>
      <c r="G1077">
        <v>604.87</v>
      </c>
      <c r="H1077">
        <v>0.28000000000000003</v>
      </c>
      <c r="I1077" t="s">
        <v>1809</v>
      </c>
      <c r="J1077">
        <v>1742.0255999999999</v>
      </c>
      <c r="K1077" t="s">
        <v>943</v>
      </c>
      <c r="L1077">
        <v>36</v>
      </c>
      <c r="M1077" t="s">
        <v>9</v>
      </c>
      <c r="N1077" t="s">
        <v>944</v>
      </c>
      <c r="O1077" t="s">
        <v>284</v>
      </c>
      <c r="P1077" t="s">
        <v>12</v>
      </c>
      <c r="Q1077" t="s">
        <v>13</v>
      </c>
      <c r="R1077" t="s">
        <v>3917</v>
      </c>
      <c r="S1077" t="s">
        <v>1527</v>
      </c>
      <c r="T1077" t="s">
        <v>3901</v>
      </c>
      <c r="U1077" t="s">
        <v>1700</v>
      </c>
      <c r="V1077" t="s">
        <v>1741</v>
      </c>
      <c r="W1077" t="s">
        <v>1742</v>
      </c>
      <c r="X1077" t="s">
        <v>1739</v>
      </c>
    </row>
    <row r="1078" spans="1:24" x14ac:dyDescent="0.3">
      <c r="A1078" t="s">
        <v>2885</v>
      </c>
      <c r="B1078" s="2">
        <v>45370</v>
      </c>
      <c r="C1078" t="s">
        <v>174</v>
      </c>
      <c r="D1078" t="s">
        <v>1597</v>
      </c>
      <c r="E1078" t="s">
        <v>1790</v>
      </c>
      <c r="F1078" s="4">
        <v>3</v>
      </c>
      <c r="G1078">
        <v>623.82000000000005</v>
      </c>
      <c r="H1078">
        <v>0.13</v>
      </c>
      <c r="I1078" t="s">
        <v>1812</v>
      </c>
      <c r="J1078">
        <v>1628.1702</v>
      </c>
      <c r="K1078" t="s">
        <v>3936</v>
      </c>
      <c r="L1078">
        <v>55</v>
      </c>
      <c r="M1078" t="s">
        <v>16</v>
      </c>
      <c r="N1078" t="s">
        <v>175</v>
      </c>
      <c r="O1078" t="s">
        <v>133</v>
      </c>
      <c r="P1078" t="s">
        <v>12</v>
      </c>
      <c r="Q1078" t="s">
        <v>13</v>
      </c>
      <c r="R1078" t="s">
        <v>3861</v>
      </c>
      <c r="S1078" t="s">
        <v>1527</v>
      </c>
      <c r="T1078" t="s">
        <v>3836</v>
      </c>
      <c r="U1078" t="s">
        <v>1598</v>
      </c>
      <c r="V1078" t="s">
        <v>1741</v>
      </c>
      <c r="W1078" t="s">
        <v>1742</v>
      </c>
      <c r="X1078" t="s">
        <v>1739</v>
      </c>
    </row>
    <row r="1079" spans="1:24" x14ac:dyDescent="0.3">
      <c r="A1079" t="s">
        <v>2886</v>
      </c>
      <c r="B1079" s="2">
        <v>45882</v>
      </c>
      <c r="C1079" t="s">
        <v>465</v>
      </c>
      <c r="D1079" t="s">
        <v>1673</v>
      </c>
      <c r="E1079" t="s">
        <v>1787</v>
      </c>
      <c r="F1079" s="4">
        <v>3</v>
      </c>
      <c r="G1079">
        <v>575.24</v>
      </c>
      <c r="H1079">
        <v>0.12</v>
      </c>
      <c r="I1079" t="s">
        <v>1812</v>
      </c>
      <c r="J1079">
        <v>1518.6335999999999</v>
      </c>
      <c r="K1079" t="s">
        <v>466</v>
      </c>
      <c r="L1079">
        <v>32</v>
      </c>
      <c r="M1079" t="s">
        <v>9</v>
      </c>
      <c r="N1079" t="s">
        <v>390</v>
      </c>
      <c r="O1079" t="s">
        <v>284</v>
      </c>
      <c r="P1079" t="s">
        <v>12</v>
      </c>
      <c r="Q1079" t="s">
        <v>13</v>
      </c>
      <c r="R1079" t="s">
        <v>3904</v>
      </c>
      <c r="S1079" t="s">
        <v>1541</v>
      </c>
      <c r="T1079" t="s">
        <v>3833</v>
      </c>
      <c r="U1079" t="s">
        <v>1674</v>
      </c>
      <c r="V1079" t="s">
        <v>1741</v>
      </c>
      <c r="W1079" t="s">
        <v>1742</v>
      </c>
      <c r="X1079" t="s">
        <v>1739</v>
      </c>
    </row>
    <row r="1080" spans="1:24" x14ac:dyDescent="0.3">
      <c r="A1080" t="s">
        <v>2887</v>
      </c>
      <c r="B1080" s="2">
        <v>45878</v>
      </c>
      <c r="C1080" t="s">
        <v>1272</v>
      </c>
      <c r="D1080" t="s">
        <v>1536</v>
      </c>
      <c r="E1080" t="s">
        <v>1775</v>
      </c>
      <c r="F1080" s="4">
        <v>1</v>
      </c>
      <c r="G1080">
        <v>769.4</v>
      </c>
      <c r="H1080">
        <v>0.16</v>
      </c>
      <c r="I1080" t="s">
        <v>1807</v>
      </c>
      <c r="J1080">
        <v>646.29599999999994</v>
      </c>
      <c r="K1080" t="s">
        <v>1273</v>
      </c>
      <c r="L1080">
        <v>26</v>
      </c>
      <c r="M1080" t="s">
        <v>16</v>
      </c>
      <c r="N1080" t="s">
        <v>1274</v>
      </c>
      <c r="O1080" t="s">
        <v>113</v>
      </c>
      <c r="P1080" t="s">
        <v>12</v>
      </c>
      <c r="Q1080" t="s">
        <v>13</v>
      </c>
      <c r="R1080" t="s">
        <v>3868</v>
      </c>
      <c r="S1080" t="s">
        <v>1546</v>
      </c>
      <c r="T1080" t="s">
        <v>3869</v>
      </c>
      <c r="U1080" t="s">
        <v>1610</v>
      </c>
      <c r="V1080" t="s">
        <v>1741</v>
      </c>
      <c r="W1080" t="s">
        <v>1742</v>
      </c>
      <c r="X1080" t="s">
        <v>1739</v>
      </c>
    </row>
    <row r="1081" spans="1:24" x14ac:dyDescent="0.3">
      <c r="A1081" t="s">
        <v>2888</v>
      </c>
      <c r="B1081" s="2">
        <v>45420</v>
      </c>
      <c r="C1081" t="s">
        <v>1024</v>
      </c>
      <c r="D1081" t="s">
        <v>1536</v>
      </c>
      <c r="E1081" t="s">
        <v>1790</v>
      </c>
      <c r="F1081" s="4">
        <v>1</v>
      </c>
      <c r="G1081">
        <v>227.28</v>
      </c>
      <c r="H1081">
        <v>0.13</v>
      </c>
      <c r="I1081" t="s">
        <v>1812</v>
      </c>
      <c r="J1081">
        <v>197.7336</v>
      </c>
      <c r="K1081" t="s">
        <v>1025</v>
      </c>
      <c r="L1081">
        <v>54</v>
      </c>
      <c r="M1081" t="s">
        <v>9</v>
      </c>
      <c r="N1081" t="s">
        <v>1026</v>
      </c>
      <c r="O1081" t="s">
        <v>198</v>
      </c>
      <c r="P1081" t="s">
        <v>12</v>
      </c>
      <c r="Q1081" t="s">
        <v>26</v>
      </c>
      <c r="R1081" t="s">
        <v>3868</v>
      </c>
      <c r="S1081" t="s">
        <v>1546</v>
      </c>
      <c r="T1081" t="s">
        <v>3869</v>
      </c>
      <c r="U1081" t="s">
        <v>1610</v>
      </c>
      <c r="V1081" t="s">
        <v>1741</v>
      </c>
      <c r="W1081" t="s">
        <v>1742</v>
      </c>
      <c r="X1081" t="s">
        <v>1739</v>
      </c>
    </row>
    <row r="1082" spans="1:24" x14ac:dyDescent="0.3">
      <c r="A1082" t="s">
        <v>2889</v>
      </c>
      <c r="B1082" s="2">
        <v>45361</v>
      </c>
      <c r="C1082" t="s">
        <v>192</v>
      </c>
      <c r="D1082" t="s">
        <v>1532</v>
      </c>
      <c r="E1082" t="s">
        <v>1790</v>
      </c>
      <c r="F1082" s="4">
        <v>4</v>
      </c>
      <c r="G1082">
        <v>127.58</v>
      </c>
      <c r="H1082">
        <v>0.15</v>
      </c>
      <c r="I1082" t="s">
        <v>1807</v>
      </c>
      <c r="J1082">
        <v>433.77199999999999</v>
      </c>
      <c r="K1082" t="s">
        <v>193</v>
      </c>
      <c r="L1082">
        <v>55</v>
      </c>
      <c r="M1082" t="s">
        <v>9</v>
      </c>
      <c r="N1082" t="s">
        <v>194</v>
      </c>
      <c r="O1082" t="s">
        <v>43</v>
      </c>
      <c r="P1082" t="s">
        <v>12</v>
      </c>
      <c r="Q1082" t="s">
        <v>13</v>
      </c>
      <c r="R1082" t="s">
        <v>3843</v>
      </c>
      <c r="S1082" t="s">
        <v>1549</v>
      </c>
      <c r="T1082" t="s">
        <v>3844</v>
      </c>
      <c r="U1082" t="s">
        <v>1570</v>
      </c>
      <c r="V1082" t="s">
        <v>1741</v>
      </c>
      <c r="W1082" t="s">
        <v>1742</v>
      </c>
      <c r="X1082" t="s">
        <v>1739</v>
      </c>
    </row>
    <row r="1083" spans="1:24" x14ac:dyDescent="0.3">
      <c r="A1083" t="s">
        <v>2890</v>
      </c>
      <c r="B1083" s="2">
        <v>45702</v>
      </c>
      <c r="C1083" t="s">
        <v>1284</v>
      </c>
      <c r="D1083" t="s">
        <v>1619</v>
      </c>
      <c r="E1083" t="s">
        <v>1749</v>
      </c>
      <c r="F1083" s="4">
        <v>1</v>
      </c>
      <c r="G1083">
        <v>793.21</v>
      </c>
      <c r="H1083">
        <v>0.09</v>
      </c>
      <c r="I1083" t="s">
        <v>1807</v>
      </c>
      <c r="J1083">
        <v>721.8211</v>
      </c>
      <c r="K1083" t="s">
        <v>1285</v>
      </c>
      <c r="L1083">
        <v>33</v>
      </c>
      <c r="M1083" t="s">
        <v>9</v>
      </c>
      <c r="N1083" t="s">
        <v>1286</v>
      </c>
      <c r="O1083" t="s">
        <v>47</v>
      </c>
      <c r="P1083" t="s">
        <v>12</v>
      </c>
      <c r="Q1083" t="s">
        <v>31</v>
      </c>
      <c r="R1083" t="s">
        <v>3874</v>
      </c>
      <c r="S1083" t="s">
        <v>1549</v>
      </c>
      <c r="T1083" t="s">
        <v>3828</v>
      </c>
      <c r="U1083" t="s">
        <v>1620</v>
      </c>
      <c r="V1083" t="s">
        <v>1750</v>
      </c>
      <c r="W1083" t="s">
        <v>1742</v>
      </c>
      <c r="X1083" t="s">
        <v>1748</v>
      </c>
    </row>
    <row r="1084" spans="1:24" x14ac:dyDescent="0.3">
      <c r="A1084" t="s">
        <v>2891</v>
      </c>
      <c r="B1084" s="2">
        <v>45871</v>
      </c>
      <c r="C1084" t="s">
        <v>942</v>
      </c>
      <c r="D1084" t="s">
        <v>1697</v>
      </c>
      <c r="E1084" t="s">
        <v>1777</v>
      </c>
      <c r="F1084" s="4">
        <v>3</v>
      </c>
      <c r="G1084">
        <v>435.61</v>
      </c>
      <c r="H1084">
        <v>0.03</v>
      </c>
      <c r="I1084" t="s">
        <v>1809</v>
      </c>
      <c r="J1084">
        <v>1267.6251</v>
      </c>
      <c r="K1084" t="s">
        <v>943</v>
      </c>
      <c r="L1084">
        <v>36</v>
      </c>
      <c r="M1084" t="s">
        <v>9</v>
      </c>
      <c r="N1084" t="s">
        <v>944</v>
      </c>
      <c r="O1084" t="s">
        <v>284</v>
      </c>
      <c r="P1084" t="s">
        <v>12</v>
      </c>
      <c r="Q1084" t="s">
        <v>13</v>
      </c>
      <c r="R1084" t="s">
        <v>3916</v>
      </c>
      <c r="S1084" t="s">
        <v>1541</v>
      </c>
      <c r="T1084" t="s">
        <v>3822</v>
      </c>
      <c r="U1084" t="s">
        <v>1698</v>
      </c>
      <c r="V1084" t="s">
        <v>1741</v>
      </c>
      <c r="W1084" t="s">
        <v>1742</v>
      </c>
      <c r="X1084" t="s">
        <v>1739</v>
      </c>
    </row>
    <row r="1085" spans="1:24" x14ac:dyDescent="0.3">
      <c r="A1085" t="s">
        <v>2892</v>
      </c>
      <c r="B1085" s="2">
        <v>45531</v>
      </c>
      <c r="C1085" t="s">
        <v>1189</v>
      </c>
      <c r="D1085" t="s">
        <v>1589</v>
      </c>
      <c r="E1085" t="s">
        <v>1787</v>
      </c>
      <c r="F1085" s="4">
        <v>1</v>
      </c>
      <c r="G1085">
        <v>850.06</v>
      </c>
      <c r="H1085">
        <v>0.28999999999999998</v>
      </c>
      <c r="I1085" t="s">
        <v>1809</v>
      </c>
      <c r="J1085">
        <v>603.54259999999988</v>
      </c>
      <c r="K1085" t="s">
        <v>1190</v>
      </c>
      <c r="L1085">
        <v>18</v>
      </c>
      <c r="M1085" t="s">
        <v>16</v>
      </c>
      <c r="N1085" t="s">
        <v>1191</v>
      </c>
      <c r="O1085" t="s">
        <v>312</v>
      </c>
      <c r="P1085" t="s">
        <v>12</v>
      </c>
      <c r="Q1085" t="s">
        <v>13</v>
      </c>
      <c r="R1085" t="s">
        <v>3856</v>
      </c>
      <c r="S1085" t="s">
        <v>1527</v>
      </c>
      <c r="T1085" t="s">
        <v>3836</v>
      </c>
      <c r="U1085" t="s">
        <v>1590</v>
      </c>
      <c r="V1085" t="s">
        <v>1741</v>
      </c>
      <c r="W1085" t="s">
        <v>1742</v>
      </c>
      <c r="X1085" t="s">
        <v>1739</v>
      </c>
    </row>
    <row r="1086" spans="1:24" x14ac:dyDescent="0.3">
      <c r="A1086" t="s">
        <v>2893</v>
      </c>
      <c r="B1086" s="2">
        <v>45330</v>
      </c>
      <c r="C1086" t="s">
        <v>1078</v>
      </c>
      <c r="D1086" t="s">
        <v>1563</v>
      </c>
      <c r="E1086" t="s">
        <v>1787</v>
      </c>
      <c r="F1086" s="4">
        <v>2</v>
      </c>
      <c r="G1086">
        <v>753.92</v>
      </c>
      <c r="H1086">
        <v>0.17</v>
      </c>
      <c r="I1086" t="s">
        <v>1809</v>
      </c>
      <c r="J1086">
        <v>1251.5072</v>
      </c>
      <c r="K1086" t="s">
        <v>3946</v>
      </c>
      <c r="L1086">
        <v>55</v>
      </c>
      <c r="M1086" t="s">
        <v>9</v>
      </c>
      <c r="N1086" t="s">
        <v>1079</v>
      </c>
      <c r="O1086" t="s">
        <v>166</v>
      </c>
      <c r="P1086" t="s">
        <v>12</v>
      </c>
      <c r="Q1086" t="s">
        <v>13</v>
      </c>
      <c r="R1086" t="s">
        <v>3839</v>
      </c>
      <c r="S1086" t="s">
        <v>1541</v>
      </c>
      <c r="T1086" t="s">
        <v>3840</v>
      </c>
      <c r="U1086" t="s">
        <v>1564</v>
      </c>
      <c r="V1086" t="s">
        <v>1741</v>
      </c>
      <c r="W1086" t="s">
        <v>1742</v>
      </c>
      <c r="X1086" t="s">
        <v>1739</v>
      </c>
    </row>
    <row r="1087" spans="1:24" x14ac:dyDescent="0.3">
      <c r="A1087" t="s">
        <v>2894</v>
      </c>
      <c r="B1087" s="2">
        <v>45311</v>
      </c>
      <c r="C1087" t="s">
        <v>1484</v>
      </c>
      <c r="D1087" t="s">
        <v>1536</v>
      </c>
      <c r="E1087" t="s">
        <v>1780</v>
      </c>
      <c r="F1087" s="4">
        <v>3</v>
      </c>
      <c r="G1087">
        <v>408.99</v>
      </c>
      <c r="H1087">
        <v>0.27</v>
      </c>
      <c r="I1087" t="s">
        <v>1809</v>
      </c>
      <c r="J1087">
        <v>895.68809999999996</v>
      </c>
      <c r="K1087" t="s">
        <v>1485</v>
      </c>
      <c r="L1087">
        <v>42</v>
      </c>
      <c r="M1087" t="s">
        <v>16</v>
      </c>
      <c r="N1087" t="s">
        <v>1486</v>
      </c>
      <c r="O1087" t="s">
        <v>30</v>
      </c>
      <c r="P1087" t="s">
        <v>12</v>
      </c>
      <c r="Q1087" t="s">
        <v>19</v>
      </c>
      <c r="R1087" t="s">
        <v>3868</v>
      </c>
      <c r="S1087" t="s">
        <v>1546</v>
      </c>
      <c r="T1087" t="s">
        <v>3869</v>
      </c>
      <c r="U1087" t="s">
        <v>1610</v>
      </c>
      <c r="V1087" t="s">
        <v>1741</v>
      </c>
      <c r="W1087" t="s">
        <v>1742</v>
      </c>
      <c r="X1087" t="s">
        <v>1739</v>
      </c>
    </row>
    <row r="1088" spans="1:24" x14ac:dyDescent="0.3">
      <c r="A1088" t="s">
        <v>2895</v>
      </c>
      <c r="B1088" s="2">
        <v>45567</v>
      </c>
      <c r="C1088" t="s">
        <v>897</v>
      </c>
      <c r="D1088" t="s">
        <v>1645</v>
      </c>
      <c r="E1088" t="s">
        <v>1756</v>
      </c>
      <c r="F1088" s="4">
        <v>3</v>
      </c>
      <c r="G1088">
        <v>404.5</v>
      </c>
      <c r="H1088">
        <v>0.22</v>
      </c>
      <c r="I1088" t="s">
        <v>1809</v>
      </c>
      <c r="J1088">
        <v>946.53000000000009</v>
      </c>
      <c r="K1088" t="s">
        <v>898</v>
      </c>
      <c r="L1088">
        <v>22</v>
      </c>
      <c r="M1088" t="s">
        <v>9</v>
      </c>
      <c r="N1088" t="s">
        <v>899</v>
      </c>
      <c r="O1088" t="s">
        <v>709</v>
      </c>
      <c r="P1088" t="s">
        <v>12</v>
      </c>
      <c r="Q1088" t="s">
        <v>31</v>
      </c>
      <c r="R1088" t="s">
        <v>3889</v>
      </c>
      <c r="S1088" t="s">
        <v>1549</v>
      </c>
      <c r="T1088" t="s">
        <v>3828</v>
      </c>
      <c r="U1088" t="s">
        <v>1646</v>
      </c>
      <c r="V1088" t="s">
        <v>1757</v>
      </c>
      <c r="W1088" t="s">
        <v>1742</v>
      </c>
      <c r="X1088" t="s">
        <v>1748</v>
      </c>
    </row>
    <row r="1089" spans="1:24" x14ac:dyDescent="0.3">
      <c r="A1089" t="s">
        <v>2896</v>
      </c>
      <c r="B1089" s="2">
        <v>45239</v>
      </c>
      <c r="C1089" t="s">
        <v>1174</v>
      </c>
      <c r="D1089" t="s">
        <v>1609</v>
      </c>
      <c r="E1089" t="s">
        <v>1749</v>
      </c>
      <c r="F1089" s="4">
        <v>3</v>
      </c>
      <c r="G1089">
        <v>717.81</v>
      </c>
      <c r="H1089">
        <v>0.17</v>
      </c>
      <c r="I1089" t="s">
        <v>1812</v>
      </c>
      <c r="J1089">
        <v>1787.3469</v>
      </c>
      <c r="K1089" t="s">
        <v>1175</v>
      </c>
      <c r="L1089">
        <v>50</v>
      </c>
      <c r="M1089" t="s">
        <v>9</v>
      </c>
      <c r="N1089" t="s">
        <v>1176</v>
      </c>
      <c r="O1089" t="s">
        <v>214</v>
      </c>
      <c r="P1089" t="s">
        <v>12</v>
      </c>
      <c r="Q1089" t="s">
        <v>13</v>
      </c>
      <c r="R1089" t="s">
        <v>3868</v>
      </c>
      <c r="S1089" t="s">
        <v>1546</v>
      </c>
      <c r="T1089" t="s">
        <v>3869</v>
      </c>
      <c r="U1089" t="s">
        <v>1610</v>
      </c>
      <c r="V1089" t="s">
        <v>1750</v>
      </c>
      <c r="W1089" t="s">
        <v>1742</v>
      </c>
      <c r="X1089" t="s">
        <v>1748</v>
      </c>
    </row>
    <row r="1090" spans="1:24" x14ac:dyDescent="0.3">
      <c r="A1090" t="s">
        <v>2897</v>
      </c>
      <c r="B1090" s="2">
        <v>45284</v>
      </c>
      <c r="C1090" t="s">
        <v>797</v>
      </c>
      <c r="D1090" t="s">
        <v>1699</v>
      </c>
      <c r="E1090" t="s">
        <v>1740</v>
      </c>
      <c r="F1090" s="4">
        <v>3</v>
      </c>
      <c r="G1090">
        <v>204.77</v>
      </c>
      <c r="H1090">
        <v>0.14000000000000001</v>
      </c>
      <c r="I1090" t="s">
        <v>1807</v>
      </c>
      <c r="J1090">
        <v>528.3066</v>
      </c>
      <c r="K1090" t="s">
        <v>798</v>
      </c>
      <c r="L1090">
        <v>26</v>
      </c>
      <c r="M1090" t="s">
        <v>9</v>
      </c>
      <c r="N1090" t="s">
        <v>799</v>
      </c>
      <c r="O1090" t="s">
        <v>22</v>
      </c>
      <c r="P1090" t="s">
        <v>12</v>
      </c>
      <c r="Q1090" t="s">
        <v>31</v>
      </c>
      <c r="R1090" t="s">
        <v>3917</v>
      </c>
      <c r="S1090" t="s">
        <v>1527</v>
      </c>
      <c r="T1090" t="s">
        <v>3901</v>
      </c>
      <c r="U1090" t="s">
        <v>1700</v>
      </c>
      <c r="V1090" t="s">
        <v>1741</v>
      </c>
      <c r="W1090" t="s">
        <v>1742</v>
      </c>
      <c r="X1090" t="s">
        <v>1739</v>
      </c>
    </row>
    <row r="1091" spans="1:24" x14ac:dyDescent="0.3">
      <c r="A1091" t="s">
        <v>2898</v>
      </c>
      <c r="B1091" s="2">
        <v>45686</v>
      </c>
      <c r="C1091" t="s">
        <v>152</v>
      </c>
      <c r="D1091" t="s">
        <v>1627</v>
      </c>
      <c r="E1091" t="s">
        <v>1793</v>
      </c>
      <c r="F1091" s="4">
        <v>4</v>
      </c>
      <c r="G1091">
        <v>106.23</v>
      </c>
      <c r="H1091">
        <v>0.28000000000000003</v>
      </c>
      <c r="I1091" t="s">
        <v>1812</v>
      </c>
      <c r="J1091">
        <v>305.94240000000002</v>
      </c>
      <c r="K1091" t="s">
        <v>153</v>
      </c>
      <c r="L1091">
        <v>50</v>
      </c>
      <c r="M1091" t="s">
        <v>9</v>
      </c>
      <c r="N1091" t="s">
        <v>154</v>
      </c>
      <c r="O1091" t="s">
        <v>155</v>
      </c>
      <c r="P1091" t="s">
        <v>12</v>
      </c>
      <c r="Q1091" t="s">
        <v>13</v>
      </c>
      <c r="R1091" t="s">
        <v>3879</v>
      </c>
      <c r="S1091" t="s">
        <v>1546</v>
      </c>
      <c r="T1091" t="s">
        <v>3820</v>
      </c>
      <c r="U1091" t="s">
        <v>1628</v>
      </c>
      <c r="V1091" t="s">
        <v>1741</v>
      </c>
      <c r="W1091" t="s">
        <v>1742</v>
      </c>
      <c r="X1091" t="s">
        <v>1739</v>
      </c>
    </row>
    <row r="1092" spans="1:24" x14ac:dyDescent="0.3">
      <c r="A1092" t="s">
        <v>2899</v>
      </c>
      <c r="B1092" s="2">
        <v>45824</v>
      </c>
      <c r="C1092" t="s">
        <v>1012</v>
      </c>
      <c r="D1092" t="s">
        <v>1663</v>
      </c>
      <c r="E1092" t="s">
        <v>1756</v>
      </c>
      <c r="F1092" s="4">
        <v>2</v>
      </c>
      <c r="G1092">
        <v>769.48</v>
      </c>
      <c r="H1092">
        <v>0.11</v>
      </c>
      <c r="I1092" t="s">
        <v>1809</v>
      </c>
      <c r="J1092">
        <v>1369.6744000000001</v>
      </c>
      <c r="K1092" t="s">
        <v>1013</v>
      </c>
      <c r="L1092">
        <v>58</v>
      </c>
      <c r="M1092" t="s">
        <v>16</v>
      </c>
      <c r="N1092" t="s">
        <v>1014</v>
      </c>
      <c r="O1092" t="s">
        <v>319</v>
      </c>
      <c r="P1092" t="s">
        <v>12</v>
      </c>
      <c r="Q1092" t="s">
        <v>26</v>
      </c>
      <c r="R1092" t="s">
        <v>3898</v>
      </c>
      <c r="S1092" t="s">
        <v>1541</v>
      </c>
      <c r="T1092" t="s">
        <v>3833</v>
      </c>
      <c r="U1092" t="s">
        <v>1664</v>
      </c>
      <c r="V1092" t="s">
        <v>1757</v>
      </c>
      <c r="W1092" t="s">
        <v>1742</v>
      </c>
      <c r="X1092" t="s">
        <v>1748</v>
      </c>
    </row>
    <row r="1093" spans="1:24" x14ac:dyDescent="0.3">
      <c r="A1093" t="s">
        <v>2900</v>
      </c>
      <c r="B1093" s="2">
        <v>45867</v>
      </c>
      <c r="C1093" t="s">
        <v>808</v>
      </c>
      <c r="D1093" t="s">
        <v>1645</v>
      </c>
      <c r="E1093" t="s">
        <v>1780</v>
      </c>
      <c r="F1093" s="4">
        <v>2</v>
      </c>
      <c r="G1093">
        <v>714.21</v>
      </c>
      <c r="H1093">
        <v>0.14000000000000001</v>
      </c>
      <c r="I1093" t="s">
        <v>1807</v>
      </c>
      <c r="J1093">
        <v>1228.4412</v>
      </c>
      <c r="K1093" t="s">
        <v>809</v>
      </c>
      <c r="L1093">
        <v>57</v>
      </c>
      <c r="M1093" t="s">
        <v>9</v>
      </c>
      <c r="N1093" t="s">
        <v>810</v>
      </c>
      <c r="O1093" t="s">
        <v>25</v>
      </c>
      <c r="P1093" t="s">
        <v>12</v>
      </c>
      <c r="Q1093" t="s">
        <v>13</v>
      </c>
      <c r="R1093" t="s">
        <v>3889</v>
      </c>
      <c r="S1093" t="s">
        <v>1549</v>
      </c>
      <c r="T1093" t="s">
        <v>3828</v>
      </c>
      <c r="U1093" t="s">
        <v>1646</v>
      </c>
      <c r="V1093" t="s">
        <v>1741</v>
      </c>
      <c r="W1093" t="s">
        <v>1742</v>
      </c>
      <c r="X1093" t="s">
        <v>1739</v>
      </c>
    </row>
    <row r="1094" spans="1:24" x14ac:dyDescent="0.3">
      <c r="A1094" t="s">
        <v>2901</v>
      </c>
      <c r="B1094" s="2">
        <v>45578</v>
      </c>
      <c r="C1094" t="s">
        <v>856</v>
      </c>
      <c r="D1094" t="s">
        <v>1553</v>
      </c>
      <c r="E1094" t="s">
        <v>1784</v>
      </c>
      <c r="F1094" s="4">
        <v>4</v>
      </c>
      <c r="G1094">
        <v>632.24</v>
      </c>
      <c r="H1094">
        <v>0.25</v>
      </c>
      <c r="I1094" t="s">
        <v>1809</v>
      </c>
      <c r="J1094">
        <v>1896.72</v>
      </c>
      <c r="K1094" t="s">
        <v>3942</v>
      </c>
      <c r="L1094">
        <v>48</v>
      </c>
      <c r="M1094" t="s">
        <v>16</v>
      </c>
      <c r="N1094" t="s">
        <v>857</v>
      </c>
      <c r="O1094" t="s">
        <v>70</v>
      </c>
      <c r="P1094" t="s">
        <v>12</v>
      </c>
      <c r="Q1094" t="s">
        <v>19</v>
      </c>
      <c r="R1094" t="s">
        <v>3831</v>
      </c>
      <c r="S1094" t="s">
        <v>1546</v>
      </c>
      <c r="T1094" t="s">
        <v>3820</v>
      </c>
      <c r="U1094" t="s">
        <v>1554</v>
      </c>
      <c r="V1094" t="s">
        <v>1741</v>
      </c>
      <c r="W1094" t="s">
        <v>1742</v>
      </c>
      <c r="X1094" t="s">
        <v>1739</v>
      </c>
    </row>
    <row r="1095" spans="1:24" x14ac:dyDescent="0.3">
      <c r="A1095" t="s">
        <v>2902</v>
      </c>
      <c r="B1095" s="2">
        <v>45575</v>
      </c>
      <c r="C1095" t="s">
        <v>533</v>
      </c>
      <c r="D1095" t="s">
        <v>1687</v>
      </c>
      <c r="E1095" t="s">
        <v>1749</v>
      </c>
      <c r="F1095" s="4">
        <v>2</v>
      </c>
      <c r="G1095">
        <v>845.27</v>
      </c>
      <c r="H1095">
        <v>0.18</v>
      </c>
      <c r="I1095" t="s">
        <v>1809</v>
      </c>
      <c r="J1095">
        <v>1386.2428</v>
      </c>
      <c r="K1095" t="s">
        <v>534</v>
      </c>
      <c r="L1095">
        <v>37</v>
      </c>
      <c r="M1095" t="s">
        <v>9</v>
      </c>
      <c r="N1095" t="s">
        <v>535</v>
      </c>
      <c r="O1095" t="s">
        <v>133</v>
      </c>
      <c r="P1095" t="s">
        <v>12</v>
      </c>
      <c r="Q1095" t="s">
        <v>31</v>
      </c>
      <c r="R1095" t="s">
        <v>3911</v>
      </c>
      <c r="S1095" t="s">
        <v>1527</v>
      </c>
      <c r="T1095" t="s">
        <v>3836</v>
      </c>
      <c r="U1095" t="s">
        <v>1688</v>
      </c>
      <c r="V1095" t="s">
        <v>1750</v>
      </c>
      <c r="W1095" t="s">
        <v>1742</v>
      </c>
      <c r="X1095" t="s">
        <v>1748</v>
      </c>
    </row>
    <row r="1096" spans="1:24" x14ac:dyDescent="0.3">
      <c r="A1096" t="s">
        <v>2903</v>
      </c>
      <c r="B1096" s="2">
        <v>45816</v>
      </c>
      <c r="C1096" t="s">
        <v>1510</v>
      </c>
      <c r="D1096" t="s">
        <v>1705</v>
      </c>
      <c r="E1096" t="s">
        <v>1780</v>
      </c>
      <c r="F1096" s="4">
        <v>1</v>
      </c>
      <c r="G1096">
        <v>575.94000000000005</v>
      </c>
      <c r="H1096">
        <v>0.17</v>
      </c>
      <c r="I1096" t="s">
        <v>1807</v>
      </c>
      <c r="J1096">
        <v>478.03019999999998</v>
      </c>
      <c r="K1096" t="s">
        <v>1511</v>
      </c>
      <c r="L1096">
        <v>35</v>
      </c>
      <c r="M1096" t="s">
        <v>9</v>
      </c>
      <c r="N1096" t="s">
        <v>1512</v>
      </c>
      <c r="O1096" t="s">
        <v>58</v>
      </c>
      <c r="P1096" t="s">
        <v>12</v>
      </c>
      <c r="Q1096" t="s">
        <v>13</v>
      </c>
      <c r="R1096" t="s">
        <v>3920</v>
      </c>
      <c r="S1096" t="s">
        <v>1527</v>
      </c>
      <c r="T1096" t="s">
        <v>3824</v>
      </c>
      <c r="U1096" t="s">
        <v>1706</v>
      </c>
      <c r="V1096" t="s">
        <v>1741</v>
      </c>
      <c r="W1096" t="s">
        <v>1742</v>
      </c>
      <c r="X1096" t="s">
        <v>1739</v>
      </c>
    </row>
    <row r="1097" spans="1:24" x14ac:dyDescent="0.3">
      <c r="A1097" t="s">
        <v>2904</v>
      </c>
      <c r="B1097" s="2">
        <v>45620</v>
      </c>
      <c r="C1097" t="s">
        <v>797</v>
      </c>
      <c r="D1097" t="s">
        <v>1699</v>
      </c>
      <c r="E1097" t="s">
        <v>1784</v>
      </c>
      <c r="F1097" s="4">
        <v>1</v>
      </c>
      <c r="G1097">
        <v>907.97</v>
      </c>
      <c r="H1097">
        <v>0.26</v>
      </c>
      <c r="I1097" t="s">
        <v>1812</v>
      </c>
      <c r="J1097">
        <v>671.89779999999996</v>
      </c>
      <c r="K1097" t="s">
        <v>798</v>
      </c>
      <c r="L1097">
        <v>26</v>
      </c>
      <c r="M1097" t="s">
        <v>9</v>
      </c>
      <c r="N1097" t="s">
        <v>799</v>
      </c>
      <c r="O1097" t="s">
        <v>22</v>
      </c>
      <c r="P1097" t="s">
        <v>12</v>
      </c>
      <c r="Q1097" t="s">
        <v>31</v>
      </c>
      <c r="R1097" t="s">
        <v>3917</v>
      </c>
      <c r="S1097" t="s">
        <v>1527</v>
      </c>
      <c r="T1097" t="s">
        <v>3901</v>
      </c>
      <c r="U1097" t="s">
        <v>1700</v>
      </c>
      <c r="V1097" t="s">
        <v>1741</v>
      </c>
      <c r="W1097" t="s">
        <v>1742</v>
      </c>
      <c r="X1097" t="s">
        <v>1739</v>
      </c>
    </row>
    <row r="1098" spans="1:24" x14ac:dyDescent="0.3">
      <c r="A1098" t="s">
        <v>2905</v>
      </c>
      <c r="B1098" s="2">
        <v>45695</v>
      </c>
      <c r="C1098" t="s">
        <v>842</v>
      </c>
      <c r="D1098" t="s">
        <v>1571</v>
      </c>
      <c r="E1098" t="s">
        <v>1777</v>
      </c>
      <c r="F1098" s="4">
        <v>1</v>
      </c>
      <c r="G1098">
        <v>99.35</v>
      </c>
      <c r="H1098">
        <v>0.08</v>
      </c>
      <c r="I1098" t="s">
        <v>1812</v>
      </c>
      <c r="J1098">
        <v>91.402000000000001</v>
      </c>
      <c r="K1098" t="s">
        <v>843</v>
      </c>
      <c r="L1098">
        <v>18</v>
      </c>
      <c r="M1098" t="s">
        <v>9</v>
      </c>
      <c r="N1098" t="s">
        <v>844</v>
      </c>
      <c r="O1098" t="s">
        <v>582</v>
      </c>
      <c r="P1098" t="s">
        <v>12</v>
      </c>
      <c r="Q1098" t="s">
        <v>26</v>
      </c>
      <c r="R1098" t="s">
        <v>3845</v>
      </c>
      <c r="S1098" t="s">
        <v>1549</v>
      </c>
      <c r="T1098" t="s">
        <v>3820</v>
      </c>
      <c r="U1098" t="s">
        <v>1572</v>
      </c>
      <c r="V1098" t="s">
        <v>1741</v>
      </c>
      <c r="W1098" t="s">
        <v>1742</v>
      </c>
      <c r="X1098" t="s">
        <v>1739</v>
      </c>
    </row>
    <row r="1099" spans="1:24" x14ac:dyDescent="0.3">
      <c r="A1099" t="s">
        <v>2906</v>
      </c>
      <c r="B1099" s="2">
        <v>45596</v>
      </c>
      <c r="C1099" t="s">
        <v>258</v>
      </c>
      <c r="D1099" t="s">
        <v>1526</v>
      </c>
      <c r="E1099" t="s">
        <v>1749</v>
      </c>
      <c r="F1099" s="4">
        <v>2</v>
      </c>
      <c r="G1099">
        <v>374.42</v>
      </c>
      <c r="H1099">
        <v>0.21</v>
      </c>
      <c r="I1099" t="s">
        <v>1812</v>
      </c>
      <c r="J1099">
        <v>591.58360000000005</v>
      </c>
      <c r="K1099" t="s">
        <v>259</v>
      </c>
      <c r="L1099">
        <v>39</v>
      </c>
      <c r="M1099" t="s">
        <v>16</v>
      </c>
      <c r="N1099" t="s">
        <v>260</v>
      </c>
      <c r="O1099" t="s">
        <v>230</v>
      </c>
      <c r="P1099" t="s">
        <v>12</v>
      </c>
      <c r="Q1099" t="s">
        <v>13</v>
      </c>
      <c r="R1099" t="s">
        <v>3810</v>
      </c>
      <c r="S1099" t="s">
        <v>1546</v>
      </c>
      <c r="T1099" t="s">
        <v>3811</v>
      </c>
      <c r="U1099" t="s">
        <v>1528</v>
      </c>
      <c r="V1099" t="s">
        <v>1750</v>
      </c>
      <c r="W1099" t="s">
        <v>1742</v>
      </c>
      <c r="X1099" t="s">
        <v>1748</v>
      </c>
    </row>
    <row r="1100" spans="1:24" x14ac:dyDescent="0.3">
      <c r="A1100" t="s">
        <v>2907</v>
      </c>
      <c r="B1100" s="2">
        <v>45869</v>
      </c>
      <c r="C1100" t="s">
        <v>1464</v>
      </c>
      <c r="D1100" t="s">
        <v>1561</v>
      </c>
      <c r="E1100" t="s">
        <v>1784</v>
      </c>
      <c r="F1100" s="4">
        <v>3</v>
      </c>
      <c r="G1100">
        <v>248.43</v>
      </c>
      <c r="H1100">
        <v>0.24</v>
      </c>
      <c r="I1100" t="s">
        <v>1812</v>
      </c>
      <c r="J1100">
        <v>566.42039999999997</v>
      </c>
      <c r="K1100" t="s">
        <v>1465</v>
      </c>
      <c r="L1100">
        <v>26</v>
      </c>
      <c r="M1100" t="s">
        <v>9</v>
      </c>
      <c r="N1100" t="s">
        <v>1466</v>
      </c>
      <c r="O1100" t="s">
        <v>81</v>
      </c>
      <c r="P1100" t="s">
        <v>12</v>
      </c>
      <c r="Q1100" t="s">
        <v>13</v>
      </c>
      <c r="R1100" t="s">
        <v>3837</v>
      </c>
      <c r="S1100" t="s">
        <v>1546</v>
      </c>
      <c r="T1100" t="s">
        <v>3838</v>
      </c>
      <c r="U1100" t="s">
        <v>1562</v>
      </c>
      <c r="V1100" t="s">
        <v>1741</v>
      </c>
      <c r="W1100" t="s">
        <v>1742</v>
      </c>
      <c r="X1100" t="s">
        <v>1739</v>
      </c>
    </row>
    <row r="1101" spans="1:24" x14ac:dyDescent="0.3">
      <c r="A1101" t="s">
        <v>2908</v>
      </c>
      <c r="B1101" s="2">
        <v>45631</v>
      </c>
      <c r="C1101" t="s">
        <v>1427</v>
      </c>
      <c r="D1101" t="s">
        <v>1701</v>
      </c>
      <c r="E1101" t="s">
        <v>1740</v>
      </c>
      <c r="F1101" s="4">
        <v>1</v>
      </c>
      <c r="G1101">
        <v>784.46</v>
      </c>
      <c r="H1101">
        <v>0.14000000000000001</v>
      </c>
      <c r="I1101" t="s">
        <v>1812</v>
      </c>
      <c r="J1101">
        <v>674.63560000000007</v>
      </c>
      <c r="K1101" t="s">
        <v>1428</v>
      </c>
      <c r="L1101">
        <v>19</v>
      </c>
      <c r="M1101" t="s">
        <v>9</v>
      </c>
      <c r="N1101" t="s">
        <v>1429</v>
      </c>
      <c r="O1101" t="s">
        <v>170</v>
      </c>
      <c r="P1101" t="s">
        <v>12</v>
      </c>
      <c r="Q1101" t="s">
        <v>26</v>
      </c>
      <c r="R1101" t="s">
        <v>3918</v>
      </c>
      <c r="S1101" t="s">
        <v>1530</v>
      </c>
      <c r="T1101" t="s">
        <v>3820</v>
      </c>
      <c r="U1101" t="s">
        <v>1702</v>
      </c>
      <c r="V1101" t="s">
        <v>1741</v>
      </c>
      <c r="W1101" t="s">
        <v>1742</v>
      </c>
      <c r="X1101" t="s">
        <v>1739</v>
      </c>
    </row>
    <row r="1102" spans="1:24" x14ac:dyDescent="0.3">
      <c r="A1102" t="s">
        <v>2909</v>
      </c>
      <c r="B1102" s="2">
        <v>45379</v>
      </c>
      <c r="C1102" t="s">
        <v>820</v>
      </c>
      <c r="D1102" t="s">
        <v>1635</v>
      </c>
      <c r="E1102" t="s">
        <v>1772</v>
      </c>
      <c r="F1102" s="4">
        <v>3</v>
      </c>
      <c r="G1102">
        <v>70.88</v>
      </c>
      <c r="H1102">
        <v>0.27</v>
      </c>
      <c r="I1102" t="s">
        <v>1812</v>
      </c>
      <c r="J1102">
        <v>155.22720000000001</v>
      </c>
      <c r="K1102" t="s">
        <v>821</v>
      </c>
      <c r="L1102">
        <v>63</v>
      </c>
      <c r="M1102" t="s">
        <v>16</v>
      </c>
      <c r="N1102" t="s">
        <v>822</v>
      </c>
      <c r="O1102" t="s">
        <v>96</v>
      </c>
      <c r="P1102" t="s">
        <v>12</v>
      </c>
      <c r="Q1102" t="s">
        <v>31</v>
      </c>
      <c r="R1102" t="s">
        <v>3884</v>
      </c>
      <c r="S1102" t="s">
        <v>1549</v>
      </c>
      <c r="T1102" t="s">
        <v>3859</v>
      </c>
      <c r="U1102" t="s">
        <v>1636</v>
      </c>
      <c r="V1102" t="s">
        <v>1741</v>
      </c>
      <c r="W1102" t="s">
        <v>1742</v>
      </c>
      <c r="X1102" t="s">
        <v>1739</v>
      </c>
    </row>
    <row r="1103" spans="1:24" x14ac:dyDescent="0.3">
      <c r="A1103" t="s">
        <v>2910</v>
      </c>
      <c r="B1103" s="2">
        <v>45641</v>
      </c>
      <c r="C1103" t="s">
        <v>382</v>
      </c>
      <c r="D1103" t="s">
        <v>1545</v>
      </c>
      <c r="E1103" t="s">
        <v>1740</v>
      </c>
      <c r="F1103" s="4">
        <v>3</v>
      </c>
      <c r="G1103">
        <v>324.29000000000002</v>
      </c>
      <c r="H1103">
        <v>0.16</v>
      </c>
      <c r="I1103" t="s">
        <v>1812</v>
      </c>
      <c r="J1103">
        <v>817.21080000000006</v>
      </c>
      <c r="K1103" t="s">
        <v>383</v>
      </c>
      <c r="L1103">
        <v>18</v>
      </c>
      <c r="M1103" t="s">
        <v>16</v>
      </c>
      <c r="N1103" t="s">
        <v>384</v>
      </c>
      <c r="O1103" t="s">
        <v>139</v>
      </c>
      <c r="P1103" t="s">
        <v>12</v>
      </c>
      <c r="Q1103" t="s">
        <v>13</v>
      </c>
      <c r="R1103" t="s">
        <v>3912</v>
      </c>
      <c r="S1103" t="s">
        <v>1527</v>
      </c>
      <c r="T1103" t="s">
        <v>3824</v>
      </c>
      <c r="U1103" t="s">
        <v>1690</v>
      </c>
      <c r="V1103" t="s">
        <v>1741</v>
      </c>
      <c r="W1103" t="s">
        <v>1742</v>
      </c>
      <c r="X1103" t="s">
        <v>1739</v>
      </c>
    </row>
    <row r="1104" spans="1:24" x14ac:dyDescent="0.3">
      <c r="A1104" t="s">
        <v>2911</v>
      </c>
      <c r="B1104" s="2">
        <v>45842</v>
      </c>
      <c r="C1104" t="s">
        <v>473</v>
      </c>
      <c r="D1104" t="s">
        <v>1561</v>
      </c>
      <c r="E1104" t="s">
        <v>1749</v>
      </c>
      <c r="F1104" s="4">
        <v>4</v>
      </c>
      <c r="G1104">
        <v>243.92</v>
      </c>
      <c r="H1104">
        <v>0.02</v>
      </c>
      <c r="I1104" t="s">
        <v>1809</v>
      </c>
      <c r="J1104">
        <v>956.16639999999995</v>
      </c>
      <c r="K1104" t="s">
        <v>474</v>
      </c>
      <c r="L1104">
        <v>37</v>
      </c>
      <c r="M1104" t="s">
        <v>9</v>
      </c>
      <c r="N1104" t="s">
        <v>475</v>
      </c>
      <c r="O1104" t="s">
        <v>30</v>
      </c>
      <c r="P1104" t="s">
        <v>12</v>
      </c>
      <c r="Q1104" t="s">
        <v>26</v>
      </c>
      <c r="R1104" t="s">
        <v>3837</v>
      </c>
      <c r="S1104" t="s">
        <v>1546</v>
      </c>
      <c r="T1104" t="s">
        <v>3838</v>
      </c>
      <c r="U1104" t="s">
        <v>1562</v>
      </c>
      <c r="V1104" t="s">
        <v>1750</v>
      </c>
      <c r="W1104" t="s">
        <v>1742</v>
      </c>
      <c r="X1104" t="s">
        <v>1748</v>
      </c>
    </row>
    <row r="1105" spans="1:24" x14ac:dyDescent="0.3">
      <c r="A1105" t="s">
        <v>2912</v>
      </c>
      <c r="B1105" s="2">
        <v>45257</v>
      </c>
      <c r="C1105" t="s">
        <v>1159</v>
      </c>
      <c r="D1105" t="s">
        <v>1587</v>
      </c>
      <c r="E1105" t="s">
        <v>1780</v>
      </c>
      <c r="F1105" s="4">
        <v>1</v>
      </c>
      <c r="G1105">
        <v>664.35</v>
      </c>
      <c r="H1105">
        <v>0</v>
      </c>
      <c r="I1105" t="s">
        <v>1807</v>
      </c>
      <c r="J1105">
        <v>664.35</v>
      </c>
      <c r="K1105" t="s">
        <v>1160</v>
      </c>
      <c r="L1105">
        <v>30</v>
      </c>
      <c r="M1105" t="s">
        <v>9</v>
      </c>
      <c r="N1105" t="s">
        <v>1161</v>
      </c>
      <c r="O1105" t="s">
        <v>198</v>
      </c>
      <c r="P1105" t="s">
        <v>12</v>
      </c>
      <c r="Q1105" t="s">
        <v>19</v>
      </c>
      <c r="R1105" t="s">
        <v>3855</v>
      </c>
      <c r="S1105" t="s">
        <v>1549</v>
      </c>
      <c r="T1105" t="s">
        <v>3820</v>
      </c>
      <c r="U1105" t="s">
        <v>1588</v>
      </c>
      <c r="V1105" t="s">
        <v>1741</v>
      </c>
      <c r="W1105" t="s">
        <v>1742</v>
      </c>
      <c r="X1105" t="s">
        <v>1739</v>
      </c>
    </row>
    <row r="1106" spans="1:24" x14ac:dyDescent="0.3">
      <c r="A1106" t="s">
        <v>2913</v>
      </c>
      <c r="B1106" s="2">
        <v>45468</v>
      </c>
      <c r="C1106" t="s">
        <v>1186</v>
      </c>
      <c r="D1106" t="s">
        <v>1573</v>
      </c>
      <c r="E1106" t="s">
        <v>1772</v>
      </c>
      <c r="F1106" s="4">
        <v>2</v>
      </c>
      <c r="G1106">
        <v>218.07</v>
      </c>
      <c r="H1106">
        <v>0.19</v>
      </c>
      <c r="I1106" t="s">
        <v>1809</v>
      </c>
      <c r="J1106">
        <v>353.27339999999998</v>
      </c>
      <c r="K1106" t="s">
        <v>1187</v>
      </c>
      <c r="L1106">
        <v>60</v>
      </c>
      <c r="M1106" t="s">
        <v>9</v>
      </c>
      <c r="N1106" t="s">
        <v>1188</v>
      </c>
      <c r="O1106" t="s">
        <v>264</v>
      </c>
      <c r="P1106" t="s">
        <v>12</v>
      </c>
      <c r="Q1106" t="s">
        <v>26</v>
      </c>
      <c r="R1106" t="s">
        <v>3846</v>
      </c>
      <c r="S1106" t="s">
        <v>1527</v>
      </c>
      <c r="T1106" t="s">
        <v>3847</v>
      </c>
      <c r="U1106" t="s">
        <v>1574</v>
      </c>
      <c r="V1106" t="s">
        <v>1741</v>
      </c>
      <c r="W1106" t="s">
        <v>1742</v>
      </c>
      <c r="X1106" t="s">
        <v>1739</v>
      </c>
    </row>
    <row r="1107" spans="1:24" x14ac:dyDescent="0.3">
      <c r="A1107" t="s">
        <v>2914</v>
      </c>
      <c r="B1107" s="2">
        <v>45228</v>
      </c>
      <c r="C1107" t="s">
        <v>1183</v>
      </c>
      <c r="D1107" t="s">
        <v>1561</v>
      </c>
      <c r="E1107" t="s">
        <v>1749</v>
      </c>
      <c r="F1107" s="4">
        <v>4</v>
      </c>
      <c r="G1107">
        <v>921.83</v>
      </c>
      <c r="H1107">
        <v>0.27</v>
      </c>
      <c r="I1107" t="s">
        <v>1807</v>
      </c>
      <c r="J1107">
        <v>2691.7435999999998</v>
      </c>
      <c r="K1107" t="s">
        <v>1184</v>
      </c>
      <c r="L1107">
        <v>52</v>
      </c>
      <c r="M1107" t="s">
        <v>16</v>
      </c>
      <c r="N1107" t="s">
        <v>1185</v>
      </c>
      <c r="O1107" t="s">
        <v>312</v>
      </c>
      <c r="P1107" t="s">
        <v>12</v>
      </c>
      <c r="Q1107" t="s">
        <v>31</v>
      </c>
      <c r="R1107" t="s">
        <v>3837</v>
      </c>
      <c r="S1107" t="s">
        <v>1546</v>
      </c>
      <c r="T1107" t="s">
        <v>3838</v>
      </c>
      <c r="U1107" t="s">
        <v>1562</v>
      </c>
      <c r="V1107" t="s">
        <v>1750</v>
      </c>
      <c r="W1107" t="s">
        <v>1742</v>
      </c>
      <c r="X1107" t="s">
        <v>1748</v>
      </c>
    </row>
    <row r="1108" spans="1:24" x14ac:dyDescent="0.3">
      <c r="A1108" t="s">
        <v>2915</v>
      </c>
      <c r="B1108" s="2">
        <v>45661</v>
      </c>
      <c r="C1108" t="s">
        <v>554</v>
      </c>
      <c r="D1108" t="s">
        <v>1631</v>
      </c>
      <c r="E1108" t="s">
        <v>1740</v>
      </c>
      <c r="F1108" s="4">
        <v>3</v>
      </c>
      <c r="G1108">
        <v>326.2</v>
      </c>
      <c r="H1108">
        <v>0.22</v>
      </c>
      <c r="I1108" t="s">
        <v>1812</v>
      </c>
      <c r="J1108">
        <v>763.30799999999999</v>
      </c>
      <c r="K1108" t="s">
        <v>555</v>
      </c>
      <c r="L1108">
        <v>64</v>
      </c>
      <c r="M1108" t="s">
        <v>9</v>
      </c>
      <c r="N1108" t="s">
        <v>556</v>
      </c>
      <c r="O1108" t="s">
        <v>247</v>
      </c>
      <c r="P1108" t="s">
        <v>12</v>
      </c>
      <c r="Q1108" t="s">
        <v>19</v>
      </c>
      <c r="R1108" t="s">
        <v>3882</v>
      </c>
      <c r="S1108" t="s">
        <v>1549</v>
      </c>
      <c r="T1108" t="s">
        <v>3828</v>
      </c>
      <c r="U1108" t="s">
        <v>1632</v>
      </c>
      <c r="V1108" t="s">
        <v>1741</v>
      </c>
      <c r="W1108" t="s">
        <v>1742</v>
      </c>
      <c r="X1108" t="s">
        <v>1739</v>
      </c>
    </row>
    <row r="1109" spans="1:24" x14ac:dyDescent="0.3">
      <c r="A1109" t="s">
        <v>2916</v>
      </c>
      <c r="B1109" s="2">
        <v>45701</v>
      </c>
      <c r="C1109" t="s">
        <v>1398</v>
      </c>
      <c r="D1109" t="s">
        <v>1565</v>
      </c>
      <c r="E1109" t="s">
        <v>1796</v>
      </c>
      <c r="F1109" s="4">
        <v>1</v>
      </c>
      <c r="G1109">
        <v>244.25</v>
      </c>
      <c r="H1109">
        <v>0.09</v>
      </c>
      <c r="I1109" t="s">
        <v>1809</v>
      </c>
      <c r="J1109">
        <v>222.26750000000001</v>
      </c>
      <c r="K1109" t="s">
        <v>1399</v>
      </c>
      <c r="L1109">
        <v>29</v>
      </c>
      <c r="M1109" t="s">
        <v>16</v>
      </c>
      <c r="N1109" t="s">
        <v>1400</v>
      </c>
      <c r="O1109" t="s">
        <v>51</v>
      </c>
      <c r="P1109" t="s">
        <v>12</v>
      </c>
      <c r="Q1109" t="s">
        <v>31</v>
      </c>
      <c r="R1109" t="s">
        <v>3841</v>
      </c>
      <c r="S1109" t="s">
        <v>1549</v>
      </c>
      <c r="T1109" t="s">
        <v>3820</v>
      </c>
      <c r="U1109" t="s">
        <v>1566</v>
      </c>
      <c r="V1109" t="s">
        <v>1741</v>
      </c>
      <c r="W1109" t="s">
        <v>1742</v>
      </c>
      <c r="X1109" t="s">
        <v>1739</v>
      </c>
    </row>
    <row r="1110" spans="1:24" x14ac:dyDescent="0.3">
      <c r="A1110" t="s">
        <v>2917</v>
      </c>
      <c r="B1110" s="2">
        <v>45448</v>
      </c>
      <c r="C1110" t="s">
        <v>1141</v>
      </c>
      <c r="D1110" t="s">
        <v>1653</v>
      </c>
      <c r="E1110" t="s">
        <v>1772</v>
      </c>
      <c r="F1110" s="4">
        <v>3</v>
      </c>
      <c r="G1110">
        <v>808.87</v>
      </c>
      <c r="H1110">
        <v>0.12</v>
      </c>
      <c r="I1110" t="s">
        <v>1812</v>
      </c>
      <c r="J1110">
        <v>2135.4168</v>
      </c>
      <c r="K1110" t="s">
        <v>1142</v>
      </c>
      <c r="L1110">
        <v>45</v>
      </c>
      <c r="M1110" t="s">
        <v>9</v>
      </c>
      <c r="N1110" t="s">
        <v>1143</v>
      </c>
      <c r="O1110" t="s">
        <v>170</v>
      </c>
      <c r="P1110" t="s">
        <v>12</v>
      </c>
      <c r="Q1110" t="s">
        <v>19</v>
      </c>
      <c r="R1110" t="s">
        <v>3893</v>
      </c>
      <c r="S1110" t="s">
        <v>1549</v>
      </c>
      <c r="T1110" t="s">
        <v>3844</v>
      </c>
      <c r="U1110" t="s">
        <v>1654</v>
      </c>
      <c r="V1110" t="s">
        <v>1741</v>
      </c>
      <c r="W1110" t="s">
        <v>1742</v>
      </c>
      <c r="X1110" t="s">
        <v>1739</v>
      </c>
    </row>
    <row r="1111" spans="1:24" x14ac:dyDescent="0.3">
      <c r="A1111" t="s">
        <v>2918</v>
      </c>
      <c r="B1111" s="2">
        <v>45387</v>
      </c>
      <c r="C1111" t="s">
        <v>1051</v>
      </c>
      <c r="D1111" t="s">
        <v>1593</v>
      </c>
      <c r="E1111" t="s">
        <v>1744</v>
      </c>
      <c r="F1111" s="4">
        <v>3</v>
      </c>
      <c r="G1111">
        <v>826.15</v>
      </c>
      <c r="H1111">
        <v>0</v>
      </c>
      <c r="I1111" t="s">
        <v>1809</v>
      </c>
      <c r="J1111">
        <v>2478.4499999999998</v>
      </c>
      <c r="K1111" t="s">
        <v>1052</v>
      </c>
      <c r="L1111">
        <v>52</v>
      </c>
      <c r="M1111" t="s">
        <v>16</v>
      </c>
      <c r="N1111" t="s">
        <v>1053</v>
      </c>
      <c r="O1111" t="s">
        <v>166</v>
      </c>
      <c r="P1111" t="s">
        <v>12</v>
      </c>
      <c r="Q1111" t="s">
        <v>31</v>
      </c>
      <c r="R1111" t="s">
        <v>3858</v>
      </c>
      <c r="S1111" t="s">
        <v>1549</v>
      </c>
      <c r="T1111" t="s">
        <v>3859</v>
      </c>
      <c r="U1111" t="s">
        <v>1594</v>
      </c>
      <c r="V1111" t="s">
        <v>1745</v>
      </c>
      <c r="W1111" t="s">
        <v>1746</v>
      </c>
      <c r="X1111" t="s">
        <v>1748</v>
      </c>
    </row>
    <row r="1112" spans="1:24" x14ac:dyDescent="0.3">
      <c r="A1112" t="s">
        <v>2919</v>
      </c>
      <c r="B1112" s="2">
        <v>45652</v>
      </c>
      <c r="C1112" t="s">
        <v>610</v>
      </c>
      <c r="D1112" t="s">
        <v>1579</v>
      </c>
      <c r="E1112" t="s">
        <v>1796</v>
      </c>
      <c r="F1112" s="4">
        <v>3</v>
      </c>
      <c r="G1112">
        <v>631.20000000000005</v>
      </c>
      <c r="H1112">
        <v>0.24</v>
      </c>
      <c r="I1112" t="s">
        <v>1807</v>
      </c>
      <c r="J1112">
        <v>1439.136</v>
      </c>
      <c r="K1112" t="s">
        <v>611</v>
      </c>
      <c r="L1112">
        <v>42</v>
      </c>
      <c r="M1112" t="s">
        <v>9</v>
      </c>
      <c r="N1112" t="s">
        <v>612</v>
      </c>
      <c r="O1112" t="s">
        <v>22</v>
      </c>
      <c r="P1112" t="s">
        <v>12</v>
      </c>
      <c r="Q1112" t="s">
        <v>19</v>
      </c>
      <c r="R1112" t="s">
        <v>3850</v>
      </c>
      <c r="S1112" t="s">
        <v>1549</v>
      </c>
      <c r="T1112" t="s">
        <v>3851</v>
      </c>
      <c r="U1112" t="s">
        <v>1580</v>
      </c>
      <c r="V1112" t="s">
        <v>1741</v>
      </c>
      <c r="W1112" t="s">
        <v>1742</v>
      </c>
      <c r="X1112" t="s">
        <v>1739</v>
      </c>
    </row>
    <row r="1113" spans="1:24" x14ac:dyDescent="0.3">
      <c r="A1113" t="s">
        <v>2920</v>
      </c>
      <c r="B1113" s="2">
        <v>45316</v>
      </c>
      <c r="C1113" t="s">
        <v>864</v>
      </c>
      <c r="D1113" t="s">
        <v>1647</v>
      </c>
      <c r="E1113" t="s">
        <v>1772</v>
      </c>
      <c r="F1113" s="4">
        <v>1</v>
      </c>
      <c r="G1113">
        <v>937.01</v>
      </c>
      <c r="H1113">
        <v>7.0000000000000007E-2</v>
      </c>
      <c r="I1113" t="s">
        <v>1807</v>
      </c>
      <c r="J1113">
        <v>871.41929999999991</v>
      </c>
      <c r="K1113" t="s">
        <v>865</v>
      </c>
      <c r="L1113">
        <v>22</v>
      </c>
      <c r="M1113" t="s">
        <v>9</v>
      </c>
      <c r="N1113" t="s">
        <v>866</v>
      </c>
      <c r="O1113" t="s">
        <v>170</v>
      </c>
      <c r="P1113" t="s">
        <v>12</v>
      </c>
      <c r="Q1113" t="s">
        <v>31</v>
      </c>
      <c r="R1113" t="s">
        <v>3890</v>
      </c>
      <c r="S1113" t="s">
        <v>1530</v>
      </c>
      <c r="T1113" t="s">
        <v>3820</v>
      </c>
      <c r="U1113" t="s">
        <v>1648</v>
      </c>
      <c r="V1113" t="s">
        <v>1741</v>
      </c>
      <c r="W1113" t="s">
        <v>1742</v>
      </c>
      <c r="X1113" t="s">
        <v>1739</v>
      </c>
    </row>
    <row r="1114" spans="1:24" x14ac:dyDescent="0.3">
      <c r="A1114" t="s">
        <v>2921</v>
      </c>
      <c r="B1114" s="2">
        <v>45316</v>
      </c>
      <c r="C1114" t="s">
        <v>503</v>
      </c>
      <c r="D1114" t="s">
        <v>1677</v>
      </c>
      <c r="E1114" t="s">
        <v>1756</v>
      </c>
      <c r="F1114" s="4">
        <v>2</v>
      </c>
      <c r="G1114">
        <v>644</v>
      </c>
      <c r="H1114">
        <v>0.04</v>
      </c>
      <c r="I1114" t="s">
        <v>1809</v>
      </c>
      <c r="J1114">
        <v>1236.48</v>
      </c>
      <c r="K1114" t="s">
        <v>504</v>
      </c>
      <c r="L1114">
        <v>41</v>
      </c>
      <c r="M1114" t="s">
        <v>16</v>
      </c>
      <c r="N1114" t="s">
        <v>505</v>
      </c>
      <c r="O1114" t="s">
        <v>35</v>
      </c>
      <c r="P1114" t="s">
        <v>12</v>
      </c>
      <c r="Q1114" t="s">
        <v>13</v>
      </c>
      <c r="R1114" t="s">
        <v>3906</v>
      </c>
      <c r="S1114" t="s">
        <v>1549</v>
      </c>
      <c r="T1114" t="s">
        <v>3859</v>
      </c>
      <c r="U1114" t="s">
        <v>1678</v>
      </c>
      <c r="V1114" t="s">
        <v>1757</v>
      </c>
      <c r="W1114" t="s">
        <v>1742</v>
      </c>
      <c r="X1114" t="s">
        <v>1748</v>
      </c>
    </row>
    <row r="1115" spans="1:24" x14ac:dyDescent="0.3">
      <c r="A1115" t="s">
        <v>2922</v>
      </c>
      <c r="B1115" s="2">
        <v>45888</v>
      </c>
      <c r="C1115" t="s">
        <v>333</v>
      </c>
      <c r="D1115" t="s">
        <v>1713</v>
      </c>
      <c r="E1115" t="s">
        <v>1756</v>
      </c>
      <c r="F1115" s="4">
        <v>3</v>
      </c>
      <c r="G1115">
        <v>629.58000000000004</v>
      </c>
      <c r="H1115">
        <v>0.05</v>
      </c>
      <c r="I1115" t="s">
        <v>1807</v>
      </c>
      <c r="J1115">
        <v>1794.3030000000001</v>
      </c>
      <c r="K1115" t="s">
        <v>334</v>
      </c>
      <c r="L1115">
        <v>62</v>
      </c>
      <c r="M1115" t="s">
        <v>16</v>
      </c>
      <c r="N1115" t="s">
        <v>335</v>
      </c>
      <c r="O1115" t="s">
        <v>181</v>
      </c>
      <c r="P1115" t="s">
        <v>12</v>
      </c>
      <c r="Q1115" t="s">
        <v>13</v>
      </c>
      <c r="R1115" t="s">
        <v>3924</v>
      </c>
      <c r="S1115" t="s">
        <v>1530</v>
      </c>
      <c r="T1115" t="s">
        <v>3866</v>
      </c>
      <c r="U1115" t="s">
        <v>1714</v>
      </c>
      <c r="V1115" t="s">
        <v>1757</v>
      </c>
      <c r="W1115" t="s">
        <v>1742</v>
      </c>
      <c r="X1115" t="s">
        <v>1748</v>
      </c>
    </row>
    <row r="1116" spans="1:24" x14ac:dyDescent="0.3">
      <c r="A1116" t="s">
        <v>2923</v>
      </c>
      <c r="B1116" s="2">
        <v>45791</v>
      </c>
      <c r="C1116" t="s">
        <v>1421</v>
      </c>
      <c r="D1116" t="s">
        <v>1705</v>
      </c>
      <c r="E1116" t="s">
        <v>1744</v>
      </c>
      <c r="F1116" s="4">
        <v>2</v>
      </c>
      <c r="G1116">
        <v>121.52</v>
      </c>
      <c r="H1116">
        <v>0.18</v>
      </c>
      <c r="I1116" t="s">
        <v>1812</v>
      </c>
      <c r="J1116">
        <v>199.2928</v>
      </c>
      <c r="K1116" t="s">
        <v>1422</v>
      </c>
      <c r="L1116">
        <v>63</v>
      </c>
      <c r="M1116" t="s">
        <v>16</v>
      </c>
      <c r="N1116" t="s">
        <v>1423</v>
      </c>
      <c r="O1116" t="s">
        <v>198</v>
      </c>
      <c r="P1116" t="s">
        <v>12</v>
      </c>
      <c r="Q1116" t="s">
        <v>31</v>
      </c>
      <c r="R1116" t="s">
        <v>3920</v>
      </c>
      <c r="S1116" t="s">
        <v>1527</v>
      </c>
      <c r="T1116" t="s">
        <v>3824</v>
      </c>
      <c r="U1116" t="s">
        <v>1706</v>
      </c>
      <c r="V1116" t="s">
        <v>1745</v>
      </c>
      <c r="W1116" t="s">
        <v>1746</v>
      </c>
      <c r="X1116" t="s">
        <v>1748</v>
      </c>
    </row>
    <row r="1117" spans="1:24" x14ac:dyDescent="0.3">
      <c r="A1117" t="s">
        <v>2924</v>
      </c>
      <c r="B1117" s="2">
        <v>45420</v>
      </c>
      <c r="C1117" t="s">
        <v>1235</v>
      </c>
      <c r="D1117" t="s">
        <v>1661</v>
      </c>
      <c r="E1117" t="s">
        <v>1796</v>
      </c>
      <c r="F1117" s="4">
        <v>2</v>
      </c>
      <c r="G1117">
        <v>549.83000000000004</v>
      </c>
      <c r="H1117">
        <v>7.0000000000000007E-2</v>
      </c>
      <c r="I1117" t="s">
        <v>1809</v>
      </c>
      <c r="J1117">
        <v>1022.6838</v>
      </c>
      <c r="K1117" t="s">
        <v>1236</v>
      </c>
      <c r="L1117">
        <v>31</v>
      </c>
      <c r="M1117" t="s">
        <v>9</v>
      </c>
      <c r="N1117" t="s">
        <v>1237</v>
      </c>
      <c r="O1117" t="s">
        <v>181</v>
      </c>
      <c r="P1117" t="s">
        <v>12</v>
      </c>
      <c r="Q1117" t="s">
        <v>19</v>
      </c>
      <c r="R1117" t="s">
        <v>3897</v>
      </c>
      <c r="S1117" t="s">
        <v>1549</v>
      </c>
      <c r="T1117" t="s">
        <v>3828</v>
      </c>
      <c r="U1117" t="s">
        <v>1662</v>
      </c>
      <c r="V1117" t="s">
        <v>1741</v>
      </c>
      <c r="W1117" t="s">
        <v>1742</v>
      </c>
      <c r="X1117" t="s">
        <v>1739</v>
      </c>
    </row>
    <row r="1118" spans="1:24" x14ac:dyDescent="0.3">
      <c r="A1118" t="s">
        <v>2925</v>
      </c>
      <c r="B1118" s="2">
        <v>45219</v>
      </c>
      <c r="C1118" t="s">
        <v>470</v>
      </c>
      <c r="D1118" t="s">
        <v>1557</v>
      </c>
      <c r="E1118" t="s">
        <v>1765</v>
      </c>
      <c r="F1118" s="4">
        <v>3</v>
      </c>
      <c r="G1118">
        <v>278.38</v>
      </c>
      <c r="H1118">
        <v>0.03</v>
      </c>
      <c r="I1118" t="s">
        <v>1807</v>
      </c>
      <c r="J1118">
        <v>810.08579999999995</v>
      </c>
      <c r="K1118" t="s">
        <v>471</v>
      </c>
      <c r="L1118">
        <v>30</v>
      </c>
      <c r="M1118" t="s">
        <v>9</v>
      </c>
      <c r="N1118" t="s">
        <v>472</v>
      </c>
      <c r="O1118" t="s">
        <v>51</v>
      </c>
      <c r="P1118" t="s">
        <v>12</v>
      </c>
      <c r="Q1118" t="s">
        <v>13</v>
      </c>
      <c r="R1118" t="s">
        <v>3834</v>
      </c>
      <c r="S1118" t="s">
        <v>1546</v>
      </c>
      <c r="T1118" t="s">
        <v>3820</v>
      </c>
      <c r="U1118" t="s">
        <v>1558</v>
      </c>
      <c r="V1118" t="s">
        <v>1766</v>
      </c>
      <c r="W1118" t="s">
        <v>1767</v>
      </c>
      <c r="X1118" t="s">
        <v>1755</v>
      </c>
    </row>
    <row r="1119" spans="1:24" x14ac:dyDescent="0.3">
      <c r="A1119" t="s">
        <v>2926</v>
      </c>
      <c r="B1119" s="2">
        <v>45510</v>
      </c>
      <c r="C1119" t="s">
        <v>1339</v>
      </c>
      <c r="D1119" t="s">
        <v>1723</v>
      </c>
      <c r="E1119" t="s">
        <v>1749</v>
      </c>
      <c r="F1119" s="4">
        <v>4</v>
      </c>
      <c r="G1119">
        <v>723.66</v>
      </c>
      <c r="H1119">
        <v>0.03</v>
      </c>
      <c r="I1119" t="s">
        <v>1809</v>
      </c>
      <c r="J1119">
        <v>2807.8008</v>
      </c>
      <c r="K1119" t="s">
        <v>1340</v>
      </c>
      <c r="L1119">
        <v>59</v>
      </c>
      <c r="M1119" t="s">
        <v>16</v>
      </c>
      <c r="N1119" t="s">
        <v>591</v>
      </c>
      <c r="O1119" t="s">
        <v>47</v>
      </c>
      <c r="P1119" t="s">
        <v>12</v>
      </c>
      <c r="Q1119" t="s">
        <v>19</v>
      </c>
      <c r="R1119" t="s">
        <v>3929</v>
      </c>
      <c r="S1119" t="s">
        <v>1530</v>
      </c>
      <c r="T1119" t="s">
        <v>3815</v>
      </c>
      <c r="U1119" t="s">
        <v>1724</v>
      </c>
      <c r="V1119" t="s">
        <v>1750</v>
      </c>
      <c r="W1119" t="s">
        <v>1742</v>
      </c>
      <c r="X1119" t="s">
        <v>1748</v>
      </c>
    </row>
    <row r="1120" spans="1:24" x14ac:dyDescent="0.3">
      <c r="A1120" t="s">
        <v>2927</v>
      </c>
      <c r="B1120" s="2">
        <v>45687</v>
      </c>
      <c r="C1120" t="s">
        <v>663</v>
      </c>
      <c r="D1120" t="s">
        <v>1675</v>
      </c>
      <c r="E1120" t="s">
        <v>1769</v>
      </c>
      <c r="F1120" s="4">
        <v>1</v>
      </c>
      <c r="G1120">
        <v>724.74</v>
      </c>
      <c r="H1120">
        <v>0.15</v>
      </c>
      <c r="I1120" t="s">
        <v>1809</v>
      </c>
      <c r="J1120">
        <v>616.029</v>
      </c>
      <c r="K1120" t="s">
        <v>664</v>
      </c>
      <c r="L1120">
        <v>26</v>
      </c>
      <c r="M1120" t="s">
        <v>16</v>
      </c>
      <c r="N1120" t="s">
        <v>665</v>
      </c>
      <c r="O1120" t="s">
        <v>88</v>
      </c>
      <c r="P1120" t="s">
        <v>12</v>
      </c>
      <c r="Q1120" t="s">
        <v>13</v>
      </c>
      <c r="R1120" t="s">
        <v>3905</v>
      </c>
      <c r="S1120" t="s">
        <v>1549</v>
      </c>
      <c r="T1120" t="s">
        <v>3828</v>
      </c>
      <c r="U1120" t="s">
        <v>1676</v>
      </c>
      <c r="V1120" t="s">
        <v>1770</v>
      </c>
      <c r="W1120" t="s">
        <v>1746</v>
      </c>
      <c r="X1120" t="s">
        <v>1739</v>
      </c>
    </row>
    <row r="1121" spans="1:24" x14ac:dyDescent="0.3">
      <c r="A1121" t="s">
        <v>2928</v>
      </c>
      <c r="B1121" s="2">
        <v>45271</v>
      </c>
      <c r="C1121" t="s">
        <v>1389</v>
      </c>
      <c r="D1121" t="s">
        <v>1573</v>
      </c>
      <c r="E1121" t="s">
        <v>1752</v>
      </c>
      <c r="F1121" s="4">
        <v>2</v>
      </c>
      <c r="G1121">
        <v>961.84</v>
      </c>
      <c r="H1121">
        <v>0.25</v>
      </c>
      <c r="I1121" t="s">
        <v>1809</v>
      </c>
      <c r="J1121">
        <v>1442.76</v>
      </c>
      <c r="K1121" t="s">
        <v>1390</v>
      </c>
      <c r="L1121">
        <v>59</v>
      </c>
      <c r="M1121" t="s">
        <v>16</v>
      </c>
      <c r="N1121" t="s">
        <v>1391</v>
      </c>
      <c r="O1121" t="s">
        <v>191</v>
      </c>
      <c r="P1121" t="s">
        <v>12</v>
      </c>
      <c r="Q1121" t="s">
        <v>13</v>
      </c>
      <c r="R1121" t="s">
        <v>3846</v>
      </c>
      <c r="S1121" t="s">
        <v>1527</v>
      </c>
      <c r="T1121" t="s">
        <v>3847</v>
      </c>
      <c r="U1121" t="s">
        <v>1574</v>
      </c>
      <c r="V1121" t="s">
        <v>1753</v>
      </c>
      <c r="W1121" t="s">
        <v>1746</v>
      </c>
      <c r="X1121" t="s">
        <v>1755</v>
      </c>
    </row>
    <row r="1122" spans="1:24" x14ac:dyDescent="0.3">
      <c r="A1122" t="s">
        <v>2929</v>
      </c>
      <c r="B1122" s="2">
        <v>45446</v>
      </c>
      <c r="C1122" t="s">
        <v>89</v>
      </c>
      <c r="D1122" t="s">
        <v>1605</v>
      </c>
      <c r="E1122" t="s">
        <v>1787</v>
      </c>
      <c r="F1122" s="4">
        <v>4</v>
      </c>
      <c r="G1122">
        <v>21.12</v>
      </c>
      <c r="H1122">
        <v>0.18</v>
      </c>
      <c r="I1122" t="s">
        <v>1812</v>
      </c>
      <c r="J1122">
        <v>69.273600000000002</v>
      </c>
      <c r="K1122" t="s">
        <v>90</v>
      </c>
      <c r="L1122">
        <v>36</v>
      </c>
      <c r="M1122" t="s">
        <v>16</v>
      </c>
      <c r="N1122" t="s">
        <v>91</v>
      </c>
      <c r="O1122" t="s">
        <v>92</v>
      </c>
      <c r="P1122" t="s">
        <v>12</v>
      </c>
      <c r="Q1122" t="s">
        <v>31</v>
      </c>
      <c r="R1122" t="s">
        <v>3865</v>
      </c>
      <c r="S1122" t="s">
        <v>1530</v>
      </c>
      <c r="T1122" t="s">
        <v>3866</v>
      </c>
      <c r="U1122" t="s">
        <v>1606</v>
      </c>
      <c r="V1122" t="s">
        <v>1741</v>
      </c>
      <c r="W1122" t="s">
        <v>1742</v>
      </c>
      <c r="X1122" t="s">
        <v>1739</v>
      </c>
    </row>
    <row r="1123" spans="1:24" x14ac:dyDescent="0.3">
      <c r="A1123" t="s">
        <v>2930</v>
      </c>
      <c r="B1123" s="2">
        <v>45579</v>
      </c>
      <c r="C1123" t="s">
        <v>995</v>
      </c>
      <c r="D1123" t="s">
        <v>1526</v>
      </c>
      <c r="E1123" t="s">
        <v>1752</v>
      </c>
      <c r="F1123" s="4">
        <v>3</v>
      </c>
      <c r="G1123">
        <v>819.93</v>
      </c>
      <c r="H1123">
        <v>0.08</v>
      </c>
      <c r="I1123" t="s">
        <v>1809</v>
      </c>
      <c r="J1123">
        <v>2263.0068000000001</v>
      </c>
      <c r="K1123" t="s">
        <v>996</v>
      </c>
      <c r="L1123">
        <v>34</v>
      </c>
      <c r="M1123" t="s">
        <v>16</v>
      </c>
      <c r="N1123" t="s">
        <v>997</v>
      </c>
      <c r="O1123" t="s">
        <v>309</v>
      </c>
      <c r="P1123" t="s">
        <v>12</v>
      </c>
      <c r="Q1123" t="s">
        <v>19</v>
      </c>
      <c r="R1123" t="s">
        <v>3810</v>
      </c>
      <c r="S1123" t="s">
        <v>1546</v>
      </c>
      <c r="T1123" t="s">
        <v>3811</v>
      </c>
      <c r="U1123" t="s">
        <v>1528</v>
      </c>
      <c r="V1123" t="s">
        <v>1753</v>
      </c>
      <c r="W1123" t="s">
        <v>1746</v>
      </c>
      <c r="X1123" t="s">
        <v>1755</v>
      </c>
    </row>
    <row r="1124" spans="1:24" x14ac:dyDescent="0.3">
      <c r="A1124" t="s">
        <v>2931</v>
      </c>
      <c r="B1124" s="2">
        <v>45725</v>
      </c>
      <c r="C1124" t="s">
        <v>923</v>
      </c>
      <c r="D1124" t="s">
        <v>1615</v>
      </c>
      <c r="E1124" t="s">
        <v>1735</v>
      </c>
      <c r="F1124" s="4">
        <v>2</v>
      </c>
      <c r="G1124">
        <v>700.95</v>
      </c>
      <c r="H1124">
        <v>0.18</v>
      </c>
      <c r="I1124" t="s">
        <v>1807</v>
      </c>
      <c r="J1124">
        <v>1149.558</v>
      </c>
      <c r="K1124" t="s">
        <v>924</v>
      </c>
      <c r="L1124">
        <v>19</v>
      </c>
      <c r="M1124" t="s">
        <v>16</v>
      </c>
      <c r="N1124" t="s">
        <v>567</v>
      </c>
      <c r="O1124" t="s">
        <v>66</v>
      </c>
      <c r="P1124" t="s">
        <v>12</v>
      </c>
      <c r="Q1124" t="s">
        <v>19</v>
      </c>
      <c r="R1124" t="s">
        <v>3872</v>
      </c>
      <c r="S1124" t="s">
        <v>1546</v>
      </c>
      <c r="T1124" t="s">
        <v>3820</v>
      </c>
      <c r="U1124" t="s">
        <v>1616</v>
      </c>
      <c r="V1124" t="s">
        <v>1736</v>
      </c>
      <c r="W1124" t="s">
        <v>1737</v>
      </c>
      <c r="X1124" t="s">
        <v>1739</v>
      </c>
    </row>
    <row r="1125" spans="1:24" x14ac:dyDescent="0.3">
      <c r="A1125" t="s">
        <v>2932</v>
      </c>
      <c r="B1125" s="2">
        <v>45910</v>
      </c>
      <c r="C1125" t="s">
        <v>473</v>
      </c>
      <c r="D1125" t="s">
        <v>1565</v>
      </c>
      <c r="E1125" t="s">
        <v>1782</v>
      </c>
      <c r="F1125" s="4">
        <v>2</v>
      </c>
      <c r="G1125">
        <v>456.38</v>
      </c>
      <c r="H1125">
        <v>0.12</v>
      </c>
      <c r="I1125" t="s">
        <v>1807</v>
      </c>
      <c r="J1125">
        <v>803.22879999999998</v>
      </c>
      <c r="K1125" t="s">
        <v>474</v>
      </c>
      <c r="L1125">
        <v>37</v>
      </c>
      <c r="M1125" t="s">
        <v>9</v>
      </c>
      <c r="N1125" t="s">
        <v>475</v>
      </c>
      <c r="O1125" t="s">
        <v>30</v>
      </c>
      <c r="P1125" t="s">
        <v>12</v>
      </c>
      <c r="Q1125" t="s">
        <v>26</v>
      </c>
      <c r="R1125" t="s">
        <v>3841</v>
      </c>
      <c r="S1125" t="s">
        <v>1549</v>
      </c>
      <c r="T1125" t="s">
        <v>3820</v>
      </c>
      <c r="U1125" t="s">
        <v>1566</v>
      </c>
      <c r="V1125" t="s">
        <v>1741</v>
      </c>
      <c r="W1125" t="s">
        <v>1742</v>
      </c>
      <c r="X1125" t="s">
        <v>1739</v>
      </c>
    </row>
    <row r="1126" spans="1:24" x14ac:dyDescent="0.3">
      <c r="A1126" t="s">
        <v>2933</v>
      </c>
      <c r="B1126" s="2">
        <v>45447</v>
      </c>
      <c r="C1126" t="s">
        <v>1118</v>
      </c>
      <c r="D1126" t="s">
        <v>1683</v>
      </c>
      <c r="E1126" t="s">
        <v>1782</v>
      </c>
      <c r="F1126" s="4">
        <v>3</v>
      </c>
      <c r="G1126">
        <v>291.05</v>
      </c>
      <c r="H1126">
        <v>0.3</v>
      </c>
      <c r="I1126" t="s">
        <v>1807</v>
      </c>
      <c r="J1126">
        <v>611.20500000000004</v>
      </c>
      <c r="K1126" t="s">
        <v>1119</v>
      </c>
      <c r="L1126">
        <v>60</v>
      </c>
      <c r="M1126" t="s">
        <v>9</v>
      </c>
      <c r="N1126" t="s">
        <v>1120</v>
      </c>
      <c r="O1126" t="s">
        <v>251</v>
      </c>
      <c r="P1126" t="s">
        <v>12</v>
      </c>
      <c r="Q1126" t="s">
        <v>19</v>
      </c>
      <c r="R1126" t="s">
        <v>3909</v>
      </c>
      <c r="S1126" t="s">
        <v>1546</v>
      </c>
      <c r="T1126" t="s">
        <v>3811</v>
      </c>
      <c r="U1126" t="s">
        <v>1684</v>
      </c>
      <c r="V1126" t="s">
        <v>1741</v>
      </c>
      <c r="W1126" t="s">
        <v>1742</v>
      </c>
      <c r="X1126" t="s">
        <v>1739</v>
      </c>
    </row>
    <row r="1127" spans="1:24" x14ac:dyDescent="0.3">
      <c r="A1127" t="s">
        <v>2934</v>
      </c>
      <c r="B1127" s="2">
        <v>45307</v>
      </c>
      <c r="C1127" t="s">
        <v>743</v>
      </c>
      <c r="D1127" t="s">
        <v>1721</v>
      </c>
      <c r="E1127" t="s">
        <v>1784</v>
      </c>
      <c r="F1127" s="4">
        <v>2</v>
      </c>
      <c r="G1127">
        <v>463.52</v>
      </c>
      <c r="H1127">
        <v>0.27</v>
      </c>
      <c r="I1127" t="s">
        <v>1809</v>
      </c>
      <c r="J1127">
        <v>676.73919999999998</v>
      </c>
      <c r="K1127" t="s">
        <v>744</v>
      </c>
      <c r="L1127">
        <v>43</v>
      </c>
      <c r="M1127" t="s">
        <v>16</v>
      </c>
      <c r="N1127" t="s">
        <v>745</v>
      </c>
      <c r="O1127" t="s">
        <v>43</v>
      </c>
      <c r="P1127" t="s">
        <v>12</v>
      </c>
      <c r="Q1127" t="s">
        <v>31</v>
      </c>
      <c r="R1127" t="s">
        <v>3928</v>
      </c>
      <c r="S1127" t="s">
        <v>1549</v>
      </c>
      <c r="T1127" t="s">
        <v>3820</v>
      </c>
      <c r="U1127" t="s">
        <v>1722</v>
      </c>
      <c r="V1127" t="s">
        <v>1741</v>
      </c>
      <c r="W1127" t="s">
        <v>1742</v>
      </c>
      <c r="X1127" t="s">
        <v>1739</v>
      </c>
    </row>
    <row r="1128" spans="1:24" x14ac:dyDescent="0.3">
      <c r="A1128" t="s">
        <v>2935</v>
      </c>
      <c r="B1128" s="2">
        <v>45653</v>
      </c>
      <c r="C1128" t="s">
        <v>1171</v>
      </c>
      <c r="D1128" t="s">
        <v>1526</v>
      </c>
      <c r="E1128" t="s">
        <v>1790</v>
      </c>
      <c r="F1128" s="4">
        <v>3</v>
      </c>
      <c r="G1128">
        <v>241.64</v>
      </c>
      <c r="H1128">
        <v>0.28999999999999998</v>
      </c>
      <c r="I1128" t="s">
        <v>1809</v>
      </c>
      <c r="J1128">
        <v>514.69319999999993</v>
      </c>
      <c r="K1128" t="s">
        <v>1172</v>
      </c>
      <c r="L1128">
        <v>23</v>
      </c>
      <c r="M1128" t="s">
        <v>9</v>
      </c>
      <c r="N1128" t="s">
        <v>1173</v>
      </c>
      <c r="O1128" t="s">
        <v>264</v>
      </c>
      <c r="P1128" t="s">
        <v>12</v>
      </c>
      <c r="Q1128" t="s">
        <v>13</v>
      </c>
      <c r="R1128" t="s">
        <v>3810</v>
      </c>
      <c r="S1128" t="s">
        <v>1546</v>
      </c>
      <c r="T1128" t="s">
        <v>3811</v>
      </c>
      <c r="U1128" t="s">
        <v>1528</v>
      </c>
      <c r="V1128" t="s">
        <v>1741</v>
      </c>
      <c r="W1128" t="s">
        <v>1742</v>
      </c>
      <c r="X1128" t="s">
        <v>1739</v>
      </c>
    </row>
    <row r="1129" spans="1:24" x14ac:dyDescent="0.3">
      <c r="A1129" t="s">
        <v>2936</v>
      </c>
      <c r="B1129" s="2">
        <v>45817</v>
      </c>
      <c r="C1129" t="s">
        <v>1470</v>
      </c>
      <c r="D1129" t="s">
        <v>1591</v>
      </c>
      <c r="E1129" t="s">
        <v>1772</v>
      </c>
      <c r="F1129" s="4">
        <v>2</v>
      </c>
      <c r="G1129">
        <v>47.86</v>
      </c>
      <c r="H1129">
        <v>0.03</v>
      </c>
      <c r="I1129" t="s">
        <v>1809</v>
      </c>
      <c r="J1129">
        <v>92.848399999999998</v>
      </c>
      <c r="K1129" t="s">
        <v>1259</v>
      </c>
      <c r="L1129">
        <v>32</v>
      </c>
      <c r="M1129" t="s">
        <v>9</v>
      </c>
      <c r="N1129" t="s">
        <v>1471</v>
      </c>
      <c r="O1129" t="s">
        <v>181</v>
      </c>
      <c r="P1129" t="s">
        <v>12</v>
      </c>
      <c r="Q1129" t="s">
        <v>13</v>
      </c>
      <c r="R1129" t="s">
        <v>3857</v>
      </c>
      <c r="S1129" t="s">
        <v>1527</v>
      </c>
      <c r="T1129" t="s">
        <v>3830</v>
      </c>
      <c r="U1129" t="s">
        <v>1592</v>
      </c>
      <c r="V1129" t="s">
        <v>1741</v>
      </c>
      <c r="W1129" t="s">
        <v>1742</v>
      </c>
      <c r="X1129" t="s">
        <v>1739</v>
      </c>
    </row>
    <row r="1130" spans="1:24" x14ac:dyDescent="0.3">
      <c r="A1130" t="s">
        <v>2937</v>
      </c>
      <c r="B1130" s="2">
        <v>45509</v>
      </c>
      <c r="C1130" t="s">
        <v>1069</v>
      </c>
      <c r="D1130" t="s">
        <v>1715</v>
      </c>
      <c r="E1130" t="s">
        <v>1749</v>
      </c>
      <c r="F1130" s="4">
        <v>1</v>
      </c>
      <c r="G1130">
        <v>805.07</v>
      </c>
      <c r="H1130">
        <v>0.06</v>
      </c>
      <c r="I1130" t="s">
        <v>1812</v>
      </c>
      <c r="J1130">
        <v>756.76580000000001</v>
      </c>
      <c r="K1130" t="s">
        <v>1070</v>
      </c>
      <c r="L1130">
        <v>33</v>
      </c>
      <c r="M1130" t="s">
        <v>9</v>
      </c>
      <c r="N1130" t="s">
        <v>1071</v>
      </c>
      <c r="O1130" t="s">
        <v>230</v>
      </c>
      <c r="P1130" t="s">
        <v>12</v>
      </c>
      <c r="Q1130" t="s">
        <v>13</v>
      </c>
      <c r="R1130" t="s">
        <v>3925</v>
      </c>
      <c r="S1130" t="s">
        <v>1527</v>
      </c>
      <c r="T1130" t="s">
        <v>3838</v>
      </c>
      <c r="U1130" t="s">
        <v>1716</v>
      </c>
      <c r="V1130" t="s">
        <v>1750</v>
      </c>
      <c r="W1130" t="s">
        <v>1742</v>
      </c>
      <c r="X1130" t="s">
        <v>1748</v>
      </c>
    </row>
    <row r="1131" spans="1:24" x14ac:dyDescent="0.3">
      <c r="A1131" t="s">
        <v>2938</v>
      </c>
      <c r="B1131" s="2">
        <v>45753</v>
      </c>
      <c r="C1131" t="s">
        <v>1153</v>
      </c>
      <c r="D1131" t="s">
        <v>1599</v>
      </c>
      <c r="E1131" t="s">
        <v>1740</v>
      </c>
      <c r="F1131" s="4">
        <v>3</v>
      </c>
      <c r="G1131">
        <v>848.48</v>
      </c>
      <c r="H1131">
        <v>0</v>
      </c>
      <c r="I1131" t="s">
        <v>1812</v>
      </c>
      <c r="J1131">
        <v>2545.44</v>
      </c>
      <c r="K1131" t="s">
        <v>1154</v>
      </c>
      <c r="L1131">
        <v>60</v>
      </c>
      <c r="M1131" t="s">
        <v>9</v>
      </c>
      <c r="N1131" t="s">
        <v>1155</v>
      </c>
      <c r="O1131" t="s">
        <v>429</v>
      </c>
      <c r="P1131" t="s">
        <v>12</v>
      </c>
      <c r="Q1131" t="s">
        <v>13</v>
      </c>
      <c r="R1131" t="s">
        <v>3862</v>
      </c>
      <c r="S1131" t="s">
        <v>1546</v>
      </c>
      <c r="T1131" t="s">
        <v>3811</v>
      </c>
      <c r="U1131" t="s">
        <v>1600</v>
      </c>
      <c r="V1131" t="s">
        <v>1741</v>
      </c>
      <c r="W1131" t="s">
        <v>1742</v>
      </c>
      <c r="X1131" t="s">
        <v>1739</v>
      </c>
    </row>
    <row r="1132" spans="1:24" x14ac:dyDescent="0.3">
      <c r="A1132" t="s">
        <v>2939</v>
      </c>
      <c r="B1132" s="2">
        <v>45512</v>
      </c>
      <c r="C1132" t="s">
        <v>776</v>
      </c>
      <c r="D1132" t="s">
        <v>1637</v>
      </c>
      <c r="E1132" t="s">
        <v>1765</v>
      </c>
      <c r="F1132" s="4">
        <v>2</v>
      </c>
      <c r="G1132">
        <v>568.95000000000005</v>
      </c>
      <c r="H1132">
        <v>0.22</v>
      </c>
      <c r="I1132" t="s">
        <v>1807</v>
      </c>
      <c r="J1132">
        <v>887.56200000000013</v>
      </c>
      <c r="K1132" t="s">
        <v>777</v>
      </c>
      <c r="L1132">
        <v>57</v>
      </c>
      <c r="M1132" t="s">
        <v>16</v>
      </c>
      <c r="N1132" t="s">
        <v>778</v>
      </c>
      <c r="O1132" t="s">
        <v>117</v>
      </c>
      <c r="P1132" t="s">
        <v>12</v>
      </c>
      <c r="Q1132" t="s">
        <v>26</v>
      </c>
      <c r="R1132" t="s">
        <v>3885</v>
      </c>
      <c r="S1132" t="s">
        <v>1530</v>
      </c>
      <c r="T1132" t="s">
        <v>3818</v>
      </c>
      <c r="U1132" t="s">
        <v>1638</v>
      </c>
      <c r="V1132" t="s">
        <v>1766</v>
      </c>
      <c r="W1132" t="s">
        <v>1767</v>
      </c>
      <c r="X1132" t="s">
        <v>1755</v>
      </c>
    </row>
    <row r="1133" spans="1:24" x14ac:dyDescent="0.3">
      <c r="A1133" t="s">
        <v>2940</v>
      </c>
      <c r="B1133" s="2">
        <v>45764</v>
      </c>
      <c r="C1133" t="s">
        <v>536</v>
      </c>
      <c r="D1133" t="s">
        <v>1637</v>
      </c>
      <c r="E1133" t="s">
        <v>1775</v>
      </c>
      <c r="F1133" s="4">
        <v>3</v>
      </c>
      <c r="G1133">
        <v>269.83999999999997</v>
      </c>
      <c r="H1133">
        <v>0.05</v>
      </c>
      <c r="I1133" t="s">
        <v>1809</v>
      </c>
      <c r="J1133">
        <v>769.04399999999998</v>
      </c>
      <c r="K1133" t="s">
        <v>537</v>
      </c>
      <c r="L1133">
        <v>21</v>
      </c>
      <c r="M1133" t="s">
        <v>9</v>
      </c>
      <c r="N1133" t="s">
        <v>538</v>
      </c>
      <c r="O1133" t="s">
        <v>234</v>
      </c>
      <c r="P1133" t="s">
        <v>12</v>
      </c>
      <c r="Q1133" t="s">
        <v>31</v>
      </c>
      <c r="R1133" t="s">
        <v>3885</v>
      </c>
      <c r="S1133" t="s">
        <v>1530</v>
      </c>
      <c r="T1133" t="s">
        <v>3818</v>
      </c>
      <c r="U1133" t="s">
        <v>1638</v>
      </c>
      <c r="V1133" t="s">
        <v>1741</v>
      </c>
      <c r="W1133" t="s">
        <v>1742</v>
      </c>
      <c r="X1133" t="s">
        <v>1739</v>
      </c>
    </row>
    <row r="1134" spans="1:24" x14ac:dyDescent="0.3">
      <c r="A1134" t="s">
        <v>2941</v>
      </c>
      <c r="B1134" s="2">
        <v>45746</v>
      </c>
      <c r="C1134" t="s">
        <v>965</v>
      </c>
      <c r="D1134" t="s">
        <v>1655</v>
      </c>
      <c r="E1134" t="s">
        <v>1780</v>
      </c>
      <c r="F1134" s="4">
        <v>4</v>
      </c>
      <c r="G1134">
        <v>267.36</v>
      </c>
      <c r="H1134">
        <v>0.27</v>
      </c>
      <c r="I1134" t="s">
        <v>1809</v>
      </c>
      <c r="J1134">
        <v>780.69119999999998</v>
      </c>
      <c r="K1134" t="s">
        <v>966</v>
      </c>
      <c r="L1134">
        <v>20</v>
      </c>
      <c r="M1134" t="s">
        <v>9</v>
      </c>
      <c r="N1134" t="s">
        <v>967</v>
      </c>
      <c r="O1134" t="s">
        <v>30</v>
      </c>
      <c r="P1134" t="s">
        <v>12</v>
      </c>
      <c r="Q1134" t="s">
        <v>26</v>
      </c>
      <c r="R1134" t="s">
        <v>3894</v>
      </c>
      <c r="S1134" t="s">
        <v>1546</v>
      </c>
      <c r="T1134" t="s">
        <v>3811</v>
      </c>
      <c r="U1134" t="s">
        <v>1656</v>
      </c>
      <c r="V1134" t="s">
        <v>1741</v>
      </c>
      <c r="W1134" t="s">
        <v>1742</v>
      </c>
      <c r="X1134" t="s">
        <v>1739</v>
      </c>
    </row>
    <row r="1135" spans="1:24" x14ac:dyDescent="0.3">
      <c r="A1135" t="s">
        <v>2942</v>
      </c>
      <c r="B1135" s="2">
        <v>45647</v>
      </c>
      <c r="C1135" t="s">
        <v>394</v>
      </c>
      <c r="D1135" t="s">
        <v>1605</v>
      </c>
      <c r="E1135" t="s">
        <v>1740</v>
      </c>
      <c r="F1135" s="4">
        <v>1</v>
      </c>
      <c r="G1135">
        <v>438.41</v>
      </c>
      <c r="H1135">
        <v>0.09</v>
      </c>
      <c r="I1135" t="s">
        <v>1807</v>
      </c>
      <c r="J1135">
        <v>398.95310000000012</v>
      </c>
      <c r="K1135" t="s">
        <v>395</v>
      </c>
      <c r="L1135">
        <v>53</v>
      </c>
      <c r="M1135" t="s">
        <v>16</v>
      </c>
      <c r="N1135" t="s">
        <v>396</v>
      </c>
      <c r="O1135" t="s">
        <v>181</v>
      </c>
      <c r="P1135" t="s">
        <v>12</v>
      </c>
      <c r="Q1135" t="s">
        <v>26</v>
      </c>
      <c r="R1135" t="s">
        <v>3865</v>
      </c>
      <c r="S1135" t="s">
        <v>1530</v>
      </c>
      <c r="T1135" t="s">
        <v>3866</v>
      </c>
      <c r="U1135" t="s">
        <v>1606</v>
      </c>
      <c r="V1135" t="s">
        <v>1741</v>
      </c>
      <c r="W1135" t="s">
        <v>1742</v>
      </c>
      <c r="X1135" t="s">
        <v>1739</v>
      </c>
    </row>
    <row r="1136" spans="1:24" x14ac:dyDescent="0.3">
      <c r="A1136" t="s">
        <v>2943</v>
      </c>
      <c r="B1136" s="2">
        <v>45443</v>
      </c>
      <c r="C1136" t="s">
        <v>542</v>
      </c>
      <c r="D1136" t="s">
        <v>1633</v>
      </c>
      <c r="E1136" t="s">
        <v>1793</v>
      </c>
      <c r="F1136" s="4">
        <v>2</v>
      </c>
      <c r="G1136">
        <v>86.72</v>
      </c>
      <c r="H1136">
        <v>0.28000000000000003</v>
      </c>
      <c r="I1136" t="s">
        <v>1812</v>
      </c>
      <c r="J1136">
        <v>124.8768</v>
      </c>
      <c r="K1136" t="s">
        <v>543</v>
      </c>
      <c r="L1136">
        <v>47</v>
      </c>
      <c r="M1136" t="s">
        <v>16</v>
      </c>
      <c r="N1136" t="s">
        <v>544</v>
      </c>
      <c r="O1136" t="s">
        <v>81</v>
      </c>
      <c r="P1136" t="s">
        <v>12</v>
      </c>
      <c r="Q1136" t="s">
        <v>31</v>
      </c>
      <c r="R1136" t="s">
        <v>3883</v>
      </c>
      <c r="S1136" t="s">
        <v>1546</v>
      </c>
      <c r="T1136" t="s">
        <v>3820</v>
      </c>
      <c r="U1136" t="s">
        <v>1634</v>
      </c>
      <c r="V1136" t="s">
        <v>1741</v>
      </c>
      <c r="W1136" t="s">
        <v>1742</v>
      </c>
      <c r="X1136" t="s">
        <v>1739</v>
      </c>
    </row>
    <row r="1137" spans="1:24" x14ac:dyDescent="0.3">
      <c r="A1137" t="s">
        <v>2944</v>
      </c>
      <c r="B1137" s="2">
        <v>45722</v>
      </c>
      <c r="C1137" t="s">
        <v>1303</v>
      </c>
      <c r="D1137" t="s">
        <v>1709</v>
      </c>
      <c r="E1137" t="s">
        <v>1759</v>
      </c>
      <c r="F1137" s="4">
        <v>4</v>
      </c>
      <c r="G1137">
        <v>630.21</v>
      </c>
      <c r="H1137">
        <v>0.14000000000000001</v>
      </c>
      <c r="I1137" t="s">
        <v>1812</v>
      </c>
      <c r="J1137">
        <v>2167.9223999999999</v>
      </c>
      <c r="K1137" t="s">
        <v>1304</v>
      </c>
      <c r="L1137">
        <v>28</v>
      </c>
      <c r="M1137" t="s">
        <v>9</v>
      </c>
      <c r="N1137" t="s">
        <v>1305</v>
      </c>
      <c r="O1137" t="s">
        <v>117</v>
      </c>
      <c r="P1137" t="s">
        <v>12</v>
      </c>
      <c r="Q1137" t="s">
        <v>26</v>
      </c>
      <c r="R1137" t="s">
        <v>3922</v>
      </c>
      <c r="S1137" t="s">
        <v>1541</v>
      </c>
      <c r="T1137" t="s">
        <v>3878</v>
      </c>
      <c r="U1137" t="s">
        <v>1710</v>
      </c>
      <c r="V1137" t="s">
        <v>1760</v>
      </c>
      <c r="W1137" t="s">
        <v>1737</v>
      </c>
      <c r="X1137" t="s">
        <v>1755</v>
      </c>
    </row>
    <row r="1138" spans="1:24" x14ac:dyDescent="0.3">
      <c r="A1138" t="s">
        <v>2945</v>
      </c>
      <c r="B1138" s="2">
        <v>45575</v>
      </c>
      <c r="C1138" t="s">
        <v>1112</v>
      </c>
      <c r="D1138" t="s">
        <v>1649</v>
      </c>
      <c r="E1138" t="s">
        <v>1759</v>
      </c>
      <c r="F1138" s="4">
        <v>3</v>
      </c>
      <c r="G1138">
        <v>180.84</v>
      </c>
      <c r="H1138">
        <v>0.03</v>
      </c>
      <c r="I1138" t="s">
        <v>1809</v>
      </c>
      <c r="J1138">
        <v>526.24439999999993</v>
      </c>
      <c r="K1138" t="s">
        <v>1113</v>
      </c>
      <c r="L1138">
        <v>34</v>
      </c>
      <c r="M1138" t="s">
        <v>9</v>
      </c>
      <c r="N1138" t="s">
        <v>1114</v>
      </c>
      <c r="O1138" t="s">
        <v>62</v>
      </c>
      <c r="P1138" t="s">
        <v>12</v>
      </c>
      <c r="Q1138" t="s">
        <v>31</v>
      </c>
      <c r="R1138" t="s">
        <v>3891</v>
      </c>
      <c r="S1138" t="s">
        <v>1541</v>
      </c>
      <c r="T1138" t="s">
        <v>3833</v>
      </c>
      <c r="U1138" t="s">
        <v>1650</v>
      </c>
      <c r="V1138" t="s">
        <v>1760</v>
      </c>
      <c r="W1138" t="s">
        <v>1737</v>
      </c>
      <c r="X1138" t="s">
        <v>1755</v>
      </c>
    </row>
    <row r="1139" spans="1:24" x14ac:dyDescent="0.3">
      <c r="A1139" t="s">
        <v>2946</v>
      </c>
      <c r="B1139" s="2">
        <v>45441</v>
      </c>
      <c r="C1139" t="s">
        <v>27</v>
      </c>
      <c r="D1139" t="s">
        <v>1659</v>
      </c>
      <c r="E1139" t="s">
        <v>1787</v>
      </c>
      <c r="F1139" s="4">
        <v>1</v>
      </c>
      <c r="G1139">
        <v>453.41</v>
      </c>
      <c r="H1139">
        <v>0.04</v>
      </c>
      <c r="I1139" t="s">
        <v>1812</v>
      </c>
      <c r="J1139">
        <v>435.27359999999999</v>
      </c>
      <c r="K1139" t="s">
        <v>28</v>
      </c>
      <c r="L1139">
        <v>24</v>
      </c>
      <c r="M1139" t="s">
        <v>9</v>
      </c>
      <c r="N1139" t="s">
        <v>29</v>
      </c>
      <c r="O1139" t="s">
        <v>30</v>
      </c>
      <c r="P1139" t="s">
        <v>12</v>
      </c>
      <c r="Q1139" t="s">
        <v>31</v>
      </c>
      <c r="R1139" t="s">
        <v>3896</v>
      </c>
      <c r="S1139" t="s">
        <v>1541</v>
      </c>
      <c r="T1139" t="s">
        <v>3878</v>
      </c>
      <c r="U1139" t="s">
        <v>1660</v>
      </c>
      <c r="V1139" t="s">
        <v>1741</v>
      </c>
      <c r="W1139" t="s">
        <v>1742</v>
      </c>
      <c r="X1139" t="s">
        <v>1739</v>
      </c>
    </row>
    <row r="1140" spans="1:24" x14ac:dyDescent="0.3">
      <c r="A1140" t="s">
        <v>2947</v>
      </c>
      <c r="B1140" s="2">
        <v>45940</v>
      </c>
      <c r="C1140" t="s">
        <v>103</v>
      </c>
      <c r="D1140" t="s">
        <v>1633</v>
      </c>
      <c r="E1140" t="s">
        <v>1759</v>
      </c>
      <c r="F1140" s="4">
        <v>1</v>
      </c>
      <c r="G1140">
        <v>629.09</v>
      </c>
      <c r="H1140">
        <v>0.02</v>
      </c>
      <c r="I1140" t="s">
        <v>1807</v>
      </c>
      <c r="J1140">
        <v>616.50819999999999</v>
      </c>
      <c r="K1140" t="s">
        <v>104</v>
      </c>
      <c r="L1140">
        <v>59</v>
      </c>
      <c r="M1140" t="s">
        <v>16</v>
      </c>
      <c r="N1140" t="s">
        <v>105</v>
      </c>
      <c r="O1140" t="s">
        <v>106</v>
      </c>
      <c r="P1140" t="s">
        <v>12</v>
      </c>
      <c r="Q1140" t="s">
        <v>19</v>
      </c>
      <c r="R1140" t="s">
        <v>3883</v>
      </c>
      <c r="S1140" t="s">
        <v>1546</v>
      </c>
      <c r="T1140" t="s">
        <v>3820</v>
      </c>
      <c r="U1140" t="s">
        <v>1634</v>
      </c>
      <c r="V1140" t="s">
        <v>1760</v>
      </c>
      <c r="W1140" t="s">
        <v>1737</v>
      </c>
      <c r="X1140" t="s">
        <v>1755</v>
      </c>
    </row>
    <row r="1141" spans="1:24" x14ac:dyDescent="0.3">
      <c r="A1141" t="s">
        <v>2948</v>
      </c>
      <c r="B1141" s="2">
        <v>45518</v>
      </c>
      <c r="C1141" t="s">
        <v>97</v>
      </c>
      <c r="D1141" t="s">
        <v>1685</v>
      </c>
      <c r="E1141" t="s">
        <v>1744</v>
      </c>
      <c r="F1141" s="4">
        <v>2</v>
      </c>
      <c r="G1141">
        <v>257.45</v>
      </c>
      <c r="H1141">
        <v>0</v>
      </c>
      <c r="I1141" t="s">
        <v>1812</v>
      </c>
      <c r="J1141">
        <v>514.9</v>
      </c>
      <c r="K1141" t="s">
        <v>3953</v>
      </c>
      <c r="L1141">
        <v>52</v>
      </c>
      <c r="M1141" t="s">
        <v>16</v>
      </c>
      <c r="N1141" t="s">
        <v>98</v>
      </c>
      <c r="O1141" t="s">
        <v>99</v>
      </c>
      <c r="P1141" t="s">
        <v>12</v>
      </c>
      <c r="Q1141" t="s">
        <v>31</v>
      </c>
      <c r="R1141" t="s">
        <v>3910</v>
      </c>
      <c r="S1141" t="s">
        <v>1546</v>
      </c>
      <c r="T1141" t="s">
        <v>3838</v>
      </c>
      <c r="U1141" t="s">
        <v>1686</v>
      </c>
      <c r="V1141" t="s">
        <v>1745</v>
      </c>
      <c r="W1141" t="s">
        <v>1746</v>
      </c>
      <c r="X1141" t="s">
        <v>1748</v>
      </c>
    </row>
    <row r="1142" spans="1:24" x14ac:dyDescent="0.3">
      <c r="A1142" t="s">
        <v>2949</v>
      </c>
      <c r="B1142" s="2">
        <v>45861</v>
      </c>
      <c r="C1142" t="s">
        <v>586</v>
      </c>
      <c r="D1142" t="s">
        <v>1599</v>
      </c>
      <c r="E1142" t="s">
        <v>1784</v>
      </c>
      <c r="F1142" s="4">
        <v>2</v>
      </c>
      <c r="G1142">
        <v>696.61</v>
      </c>
      <c r="H1142">
        <v>0.17</v>
      </c>
      <c r="I1142" t="s">
        <v>1809</v>
      </c>
      <c r="J1142">
        <v>1156.3725999999999</v>
      </c>
      <c r="K1142" t="s">
        <v>587</v>
      </c>
      <c r="L1142">
        <v>38</v>
      </c>
      <c r="M1142" t="s">
        <v>9</v>
      </c>
      <c r="N1142" t="s">
        <v>588</v>
      </c>
      <c r="O1142" t="s">
        <v>117</v>
      </c>
      <c r="P1142" t="s">
        <v>12</v>
      </c>
      <c r="Q1142" t="s">
        <v>31</v>
      </c>
      <c r="R1142" t="s">
        <v>3862</v>
      </c>
      <c r="S1142" t="s">
        <v>1546</v>
      </c>
      <c r="T1142" t="s">
        <v>3811</v>
      </c>
      <c r="U1142" t="s">
        <v>1600</v>
      </c>
      <c r="V1142" t="s">
        <v>1741</v>
      </c>
      <c r="W1142" t="s">
        <v>1742</v>
      </c>
      <c r="X1142" t="s">
        <v>1739</v>
      </c>
    </row>
    <row r="1143" spans="1:24" x14ac:dyDescent="0.3">
      <c r="A1143" t="s">
        <v>2950</v>
      </c>
      <c r="B1143" s="2">
        <v>45416</v>
      </c>
      <c r="C1143" t="s">
        <v>1153</v>
      </c>
      <c r="D1143" t="s">
        <v>1623</v>
      </c>
      <c r="E1143" t="s">
        <v>1762</v>
      </c>
      <c r="F1143" s="4">
        <v>2</v>
      </c>
      <c r="G1143">
        <v>143.79</v>
      </c>
      <c r="H1143">
        <v>0.1</v>
      </c>
      <c r="I1143" t="s">
        <v>1809</v>
      </c>
      <c r="J1143">
        <v>258.822</v>
      </c>
      <c r="K1143" t="s">
        <v>1154</v>
      </c>
      <c r="L1143">
        <v>60</v>
      </c>
      <c r="M1143" t="s">
        <v>9</v>
      </c>
      <c r="N1143" t="s">
        <v>1155</v>
      </c>
      <c r="O1143" t="s">
        <v>429</v>
      </c>
      <c r="P1143" t="s">
        <v>12</v>
      </c>
      <c r="Q1143" t="s">
        <v>13</v>
      </c>
      <c r="R1143" t="s">
        <v>3876</v>
      </c>
      <c r="S1143" t="s">
        <v>1530</v>
      </c>
      <c r="T1143" t="s">
        <v>3815</v>
      </c>
      <c r="U1143" t="s">
        <v>1624</v>
      </c>
      <c r="V1143" t="s">
        <v>1763</v>
      </c>
      <c r="W1143" t="s">
        <v>1746</v>
      </c>
      <c r="X1143" t="s">
        <v>1755</v>
      </c>
    </row>
    <row r="1144" spans="1:24" x14ac:dyDescent="0.3">
      <c r="A1144" t="s">
        <v>2951</v>
      </c>
      <c r="B1144" s="2">
        <v>45608</v>
      </c>
      <c r="C1144" t="s">
        <v>928</v>
      </c>
      <c r="D1144" t="s">
        <v>1697</v>
      </c>
      <c r="E1144" t="s">
        <v>1740</v>
      </c>
      <c r="F1144" s="4">
        <v>3</v>
      </c>
      <c r="G1144">
        <v>460.93</v>
      </c>
      <c r="H1144">
        <v>0.19</v>
      </c>
      <c r="I1144" t="s">
        <v>1812</v>
      </c>
      <c r="J1144">
        <v>1120.0599</v>
      </c>
      <c r="K1144" t="s">
        <v>929</v>
      </c>
      <c r="L1144">
        <v>47</v>
      </c>
      <c r="M1144" t="s">
        <v>16</v>
      </c>
      <c r="N1144" t="s">
        <v>294</v>
      </c>
      <c r="O1144" t="s">
        <v>43</v>
      </c>
      <c r="P1144" t="s">
        <v>12</v>
      </c>
      <c r="Q1144" t="s">
        <v>26</v>
      </c>
      <c r="R1144" t="s">
        <v>3916</v>
      </c>
      <c r="S1144" t="s">
        <v>1541</v>
      </c>
      <c r="T1144" t="s">
        <v>3822</v>
      </c>
      <c r="U1144" t="s">
        <v>1698</v>
      </c>
      <c r="V1144" t="s">
        <v>1741</v>
      </c>
      <c r="W1144" t="s">
        <v>1742</v>
      </c>
      <c r="X1144" t="s">
        <v>1739</v>
      </c>
    </row>
    <row r="1145" spans="1:24" x14ac:dyDescent="0.3">
      <c r="A1145" t="s">
        <v>2952</v>
      </c>
      <c r="B1145" s="2">
        <v>45301</v>
      </c>
      <c r="C1145" t="s">
        <v>1516</v>
      </c>
      <c r="D1145" t="s">
        <v>1587</v>
      </c>
      <c r="E1145" t="s">
        <v>1769</v>
      </c>
      <c r="F1145" s="4">
        <v>2</v>
      </c>
      <c r="G1145">
        <v>67.55</v>
      </c>
      <c r="H1145">
        <v>0.03</v>
      </c>
      <c r="I1145" t="s">
        <v>1807</v>
      </c>
      <c r="J1145">
        <v>131.047</v>
      </c>
      <c r="K1145" t="s">
        <v>1517</v>
      </c>
      <c r="L1145" s="7">
        <v>27</v>
      </c>
      <c r="M1145" s="7" t="s">
        <v>16</v>
      </c>
      <c r="N1145" t="s">
        <v>1518</v>
      </c>
      <c r="O1145" t="s">
        <v>35</v>
      </c>
      <c r="P1145" t="s">
        <v>12</v>
      </c>
      <c r="Q1145" t="s">
        <v>19</v>
      </c>
      <c r="R1145" t="s">
        <v>3855</v>
      </c>
      <c r="S1145" t="s">
        <v>1549</v>
      </c>
      <c r="T1145" t="s">
        <v>3820</v>
      </c>
      <c r="U1145" t="s">
        <v>1588</v>
      </c>
      <c r="V1145" t="s">
        <v>1770</v>
      </c>
      <c r="W1145" t="s">
        <v>1746</v>
      </c>
      <c r="X1145" t="s">
        <v>1739</v>
      </c>
    </row>
    <row r="1146" spans="1:24" x14ac:dyDescent="0.3">
      <c r="A1146" t="s">
        <v>2953</v>
      </c>
      <c r="B1146" s="2">
        <v>45433</v>
      </c>
      <c r="C1146" t="s">
        <v>678</v>
      </c>
      <c r="D1146" t="s">
        <v>1629</v>
      </c>
      <c r="E1146" t="s">
        <v>1740</v>
      </c>
      <c r="F1146" s="4">
        <v>3</v>
      </c>
      <c r="G1146">
        <v>803.31</v>
      </c>
      <c r="H1146">
        <v>0.1</v>
      </c>
      <c r="I1146" t="s">
        <v>1809</v>
      </c>
      <c r="J1146">
        <v>2168.9369999999999</v>
      </c>
      <c r="K1146" t="s">
        <v>679</v>
      </c>
      <c r="L1146">
        <v>20</v>
      </c>
      <c r="M1146" t="s">
        <v>16</v>
      </c>
      <c r="N1146" t="s">
        <v>680</v>
      </c>
      <c r="O1146" t="s">
        <v>81</v>
      </c>
      <c r="P1146" t="s">
        <v>12</v>
      </c>
      <c r="Q1146" t="s">
        <v>31</v>
      </c>
      <c r="R1146" t="s">
        <v>3880</v>
      </c>
      <c r="S1146" t="s">
        <v>1541</v>
      </c>
      <c r="T1146" t="s">
        <v>3881</v>
      </c>
      <c r="U1146" t="s">
        <v>1630</v>
      </c>
      <c r="V1146" t="s">
        <v>1741</v>
      </c>
      <c r="W1146" t="s">
        <v>1742</v>
      </c>
      <c r="X1146" t="s">
        <v>1739</v>
      </c>
    </row>
    <row r="1147" spans="1:24" x14ac:dyDescent="0.3">
      <c r="A1147" t="s">
        <v>2954</v>
      </c>
      <c r="B1147" s="2">
        <v>45821</v>
      </c>
      <c r="C1147" t="s">
        <v>1324</v>
      </c>
      <c r="D1147" t="s">
        <v>1563</v>
      </c>
      <c r="E1147" t="s">
        <v>1780</v>
      </c>
      <c r="F1147" s="4">
        <v>4</v>
      </c>
      <c r="G1147">
        <v>254.71</v>
      </c>
      <c r="H1147">
        <v>0.2</v>
      </c>
      <c r="I1147" t="s">
        <v>1812</v>
      </c>
      <c r="J1147">
        <v>815.07200000000012</v>
      </c>
      <c r="K1147" t="s">
        <v>1325</v>
      </c>
      <c r="L1147">
        <v>51</v>
      </c>
      <c r="M1147" t="s">
        <v>16</v>
      </c>
      <c r="N1147" t="s">
        <v>1326</v>
      </c>
      <c r="O1147" t="s">
        <v>88</v>
      </c>
      <c r="P1147" t="s">
        <v>12</v>
      </c>
      <c r="Q1147" t="s">
        <v>26</v>
      </c>
      <c r="R1147" t="s">
        <v>3839</v>
      </c>
      <c r="S1147" t="s">
        <v>1541</v>
      </c>
      <c r="T1147" t="s">
        <v>3840</v>
      </c>
      <c r="U1147" t="s">
        <v>1564</v>
      </c>
      <c r="V1147" t="s">
        <v>1741</v>
      </c>
      <c r="W1147" t="s">
        <v>1742</v>
      </c>
      <c r="X1147" t="s">
        <v>1739</v>
      </c>
    </row>
    <row r="1148" spans="1:24" x14ac:dyDescent="0.3">
      <c r="A1148" t="s">
        <v>2955</v>
      </c>
      <c r="B1148" s="2">
        <v>45508</v>
      </c>
      <c r="C1148" t="s">
        <v>192</v>
      </c>
      <c r="D1148" t="s">
        <v>1631</v>
      </c>
      <c r="E1148" t="s">
        <v>1752</v>
      </c>
      <c r="F1148" s="4">
        <v>4</v>
      </c>
      <c r="G1148">
        <v>594.89</v>
      </c>
      <c r="H1148">
        <v>0.3</v>
      </c>
      <c r="I1148" t="s">
        <v>1809</v>
      </c>
      <c r="J1148">
        <v>1665.692</v>
      </c>
      <c r="K1148" t="s">
        <v>193</v>
      </c>
      <c r="L1148">
        <v>55</v>
      </c>
      <c r="M1148" t="s">
        <v>9</v>
      </c>
      <c r="N1148" t="s">
        <v>194</v>
      </c>
      <c r="O1148" t="s">
        <v>43</v>
      </c>
      <c r="P1148" t="s">
        <v>12</v>
      </c>
      <c r="Q1148" t="s">
        <v>13</v>
      </c>
      <c r="R1148" t="s">
        <v>3882</v>
      </c>
      <c r="S1148" t="s">
        <v>1549</v>
      </c>
      <c r="T1148" t="s">
        <v>3828</v>
      </c>
      <c r="U1148" t="s">
        <v>1632</v>
      </c>
      <c r="V1148" t="s">
        <v>1753</v>
      </c>
      <c r="W1148" t="s">
        <v>1746</v>
      </c>
      <c r="X1148" t="s">
        <v>1755</v>
      </c>
    </row>
    <row r="1149" spans="1:24" x14ac:dyDescent="0.3">
      <c r="A1149" t="s">
        <v>2956</v>
      </c>
      <c r="B1149" s="2">
        <v>45854</v>
      </c>
      <c r="C1149" t="s">
        <v>705</v>
      </c>
      <c r="D1149" t="s">
        <v>1713</v>
      </c>
      <c r="E1149" t="s">
        <v>1735</v>
      </c>
      <c r="F1149" s="4">
        <v>2</v>
      </c>
      <c r="G1149">
        <v>844.31</v>
      </c>
      <c r="H1149">
        <v>7.0000000000000007E-2</v>
      </c>
      <c r="I1149" t="s">
        <v>1809</v>
      </c>
      <c r="J1149">
        <v>1570.4166</v>
      </c>
      <c r="K1149" t="s">
        <v>706</v>
      </c>
      <c r="L1149">
        <v>50</v>
      </c>
      <c r="M1149" t="s">
        <v>16</v>
      </c>
      <c r="N1149" t="s">
        <v>3809</v>
      </c>
      <c r="O1149" t="s">
        <v>88</v>
      </c>
      <c r="P1149" t="s">
        <v>12</v>
      </c>
      <c r="Q1149" t="s">
        <v>13</v>
      </c>
      <c r="R1149" t="s">
        <v>3924</v>
      </c>
      <c r="S1149" t="s">
        <v>1530</v>
      </c>
      <c r="T1149" t="s">
        <v>3866</v>
      </c>
      <c r="U1149" t="s">
        <v>1714</v>
      </c>
      <c r="V1149" t="s">
        <v>1736</v>
      </c>
      <c r="W1149" t="s">
        <v>1737</v>
      </c>
      <c r="X1149" t="s">
        <v>1739</v>
      </c>
    </row>
    <row r="1150" spans="1:24" x14ac:dyDescent="0.3">
      <c r="A1150" t="s">
        <v>2957</v>
      </c>
      <c r="B1150" s="2">
        <v>45569</v>
      </c>
      <c r="C1150" t="s">
        <v>453</v>
      </c>
      <c r="D1150" t="s">
        <v>1561</v>
      </c>
      <c r="E1150" t="s">
        <v>1759</v>
      </c>
      <c r="F1150" s="4">
        <v>4</v>
      </c>
      <c r="G1150">
        <v>101.33</v>
      </c>
      <c r="H1150">
        <v>0</v>
      </c>
      <c r="I1150" t="s">
        <v>1807</v>
      </c>
      <c r="J1150">
        <v>405.32</v>
      </c>
      <c r="K1150" t="s">
        <v>454</v>
      </c>
      <c r="L1150">
        <v>33</v>
      </c>
      <c r="M1150" t="s">
        <v>16</v>
      </c>
      <c r="N1150" t="s">
        <v>455</v>
      </c>
      <c r="O1150" t="s">
        <v>74</v>
      </c>
      <c r="P1150" t="s">
        <v>12</v>
      </c>
      <c r="Q1150" t="s">
        <v>13</v>
      </c>
      <c r="R1150" t="s">
        <v>3837</v>
      </c>
      <c r="S1150" t="s">
        <v>1546</v>
      </c>
      <c r="T1150" t="s">
        <v>3838</v>
      </c>
      <c r="U1150" t="s">
        <v>1562</v>
      </c>
      <c r="V1150" t="s">
        <v>1760</v>
      </c>
      <c r="W1150" t="s">
        <v>1737</v>
      </c>
      <c r="X1150" t="s">
        <v>1755</v>
      </c>
    </row>
    <row r="1151" spans="1:24" x14ac:dyDescent="0.3">
      <c r="A1151" t="s">
        <v>2958</v>
      </c>
      <c r="B1151" s="2">
        <v>45824</v>
      </c>
      <c r="C1151" t="s">
        <v>444</v>
      </c>
      <c r="D1151" t="s">
        <v>1583</v>
      </c>
      <c r="E1151" t="s">
        <v>1765</v>
      </c>
      <c r="F1151" s="4">
        <v>3</v>
      </c>
      <c r="G1151">
        <v>922.56</v>
      </c>
      <c r="H1151">
        <v>0.18</v>
      </c>
      <c r="I1151" t="s">
        <v>1809</v>
      </c>
      <c r="J1151">
        <v>2269.4976000000001</v>
      </c>
      <c r="K1151" t="s">
        <v>445</v>
      </c>
      <c r="L1151">
        <v>57</v>
      </c>
      <c r="M1151" t="s">
        <v>16</v>
      </c>
      <c r="N1151" t="s">
        <v>446</v>
      </c>
      <c r="O1151" t="s">
        <v>22</v>
      </c>
      <c r="P1151" t="s">
        <v>12</v>
      </c>
      <c r="Q1151" t="s">
        <v>26</v>
      </c>
      <c r="R1151" t="s">
        <v>3853</v>
      </c>
      <c r="S1151" t="s">
        <v>1546</v>
      </c>
      <c r="T1151" t="s">
        <v>3826</v>
      </c>
      <c r="U1151" t="s">
        <v>1584</v>
      </c>
      <c r="V1151" t="s">
        <v>1766</v>
      </c>
      <c r="W1151" t="s">
        <v>1767</v>
      </c>
      <c r="X1151" t="s">
        <v>1755</v>
      </c>
    </row>
    <row r="1152" spans="1:24" x14ac:dyDescent="0.3">
      <c r="A1152" t="s">
        <v>2959</v>
      </c>
      <c r="B1152" s="2">
        <v>45352</v>
      </c>
      <c r="C1152" t="s">
        <v>1324</v>
      </c>
      <c r="D1152" t="s">
        <v>1607</v>
      </c>
      <c r="E1152" t="s">
        <v>1782</v>
      </c>
      <c r="F1152" s="4">
        <v>4</v>
      </c>
      <c r="G1152">
        <v>867.19</v>
      </c>
      <c r="H1152">
        <v>7.0000000000000007E-2</v>
      </c>
      <c r="I1152" t="s">
        <v>1812</v>
      </c>
      <c r="J1152">
        <v>3225.9468000000002</v>
      </c>
      <c r="K1152" t="s">
        <v>1325</v>
      </c>
      <c r="L1152">
        <v>51</v>
      </c>
      <c r="M1152" t="s">
        <v>16</v>
      </c>
      <c r="N1152" t="s">
        <v>1326</v>
      </c>
      <c r="O1152" t="s">
        <v>88</v>
      </c>
      <c r="P1152" t="s">
        <v>12</v>
      </c>
      <c r="Q1152" t="s">
        <v>26</v>
      </c>
      <c r="R1152" t="s">
        <v>3867</v>
      </c>
      <c r="S1152" t="s">
        <v>1549</v>
      </c>
      <c r="T1152" t="s">
        <v>3851</v>
      </c>
      <c r="U1152" t="s">
        <v>1608</v>
      </c>
      <c r="V1152" t="s">
        <v>1741</v>
      </c>
      <c r="W1152" t="s">
        <v>1742</v>
      </c>
      <c r="X1152" t="s">
        <v>1739</v>
      </c>
    </row>
    <row r="1153" spans="1:24" x14ac:dyDescent="0.3">
      <c r="A1153" t="s">
        <v>2960</v>
      </c>
      <c r="B1153" s="2">
        <v>45454</v>
      </c>
      <c r="C1153" t="s">
        <v>36</v>
      </c>
      <c r="D1153" t="s">
        <v>1697</v>
      </c>
      <c r="E1153" t="s">
        <v>1790</v>
      </c>
      <c r="F1153" s="4">
        <v>3</v>
      </c>
      <c r="G1153">
        <v>816.87</v>
      </c>
      <c r="H1153">
        <v>0.14000000000000001</v>
      </c>
      <c r="I1153" t="s">
        <v>1809</v>
      </c>
      <c r="J1153">
        <v>2107.5246000000002</v>
      </c>
      <c r="K1153" t="s">
        <v>37</v>
      </c>
      <c r="L1153">
        <v>29</v>
      </c>
      <c r="M1153" t="s">
        <v>16</v>
      </c>
      <c r="N1153" t="s">
        <v>38</v>
      </c>
      <c r="O1153" t="s">
        <v>39</v>
      </c>
      <c r="P1153" t="s">
        <v>12</v>
      </c>
      <c r="Q1153" t="s">
        <v>19</v>
      </c>
      <c r="R1153" t="s">
        <v>3916</v>
      </c>
      <c r="S1153" t="s">
        <v>1541</v>
      </c>
      <c r="T1153" t="s">
        <v>3822</v>
      </c>
      <c r="U1153" t="s">
        <v>1698</v>
      </c>
      <c r="V1153" t="s">
        <v>1741</v>
      </c>
      <c r="W1153" t="s">
        <v>1742</v>
      </c>
      <c r="X1153" t="s">
        <v>1739</v>
      </c>
    </row>
    <row r="1154" spans="1:24" x14ac:dyDescent="0.3">
      <c r="A1154" t="s">
        <v>2961</v>
      </c>
      <c r="B1154" s="2">
        <v>45924</v>
      </c>
      <c r="C1154" t="s">
        <v>1461</v>
      </c>
      <c r="D1154" t="s">
        <v>1661</v>
      </c>
      <c r="E1154" t="s">
        <v>1749</v>
      </c>
      <c r="F1154" s="4">
        <v>3</v>
      </c>
      <c r="G1154">
        <v>258.06</v>
      </c>
      <c r="H1154">
        <v>0</v>
      </c>
      <c r="I1154" t="s">
        <v>1809</v>
      </c>
      <c r="J1154">
        <v>774.18000000000006</v>
      </c>
      <c r="K1154" t="s">
        <v>1462</v>
      </c>
      <c r="L1154">
        <v>21</v>
      </c>
      <c r="M1154" t="s">
        <v>9</v>
      </c>
      <c r="N1154" t="s">
        <v>1463</v>
      </c>
      <c r="O1154" t="s">
        <v>247</v>
      </c>
      <c r="P1154" t="s">
        <v>12</v>
      </c>
      <c r="Q1154" t="s">
        <v>26</v>
      </c>
      <c r="R1154" t="s">
        <v>3897</v>
      </c>
      <c r="S1154" t="s">
        <v>1549</v>
      </c>
      <c r="T1154" t="s">
        <v>3828</v>
      </c>
      <c r="U1154" t="s">
        <v>1662</v>
      </c>
      <c r="V1154" t="s">
        <v>1750</v>
      </c>
      <c r="W1154" t="s">
        <v>1742</v>
      </c>
      <c r="X1154" t="s">
        <v>1748</v>
      </c>
    </row>
    <row r="1155" spans="1:24" x14ac:dyDescent="0.3">
      <c r="A1155" t="s">
        <v>2962</v>
      </c>
      <c r="B1155" s="2">
        <v>45694</v>
      </c>
      <c r="C1155" t="s">
        <v>974</v>
      </c>
      <c r="D1155" t="s">
        <v>1607</v>
      </c>
      <c r="E1155" t="s">
        <v>1782</v>
      </c>
      <c r="F1155" s="4">
        <v>2</v>
      </c>
      <c r="G1155">
        <v>574.58000000000004</v>
      </c>
      <c r="H1155">
        <v>0.06</v>
      </c>
      <c r="I1155" t="s">
        <v>1807</v>
      </c>
      <c r="J1155">
        <v>1080.2103999999999</v>
      </c>
      <c r="K1155" t="s">
        <v>975</v>
      </c>
      <c r="L1155">
        <v>62</v>
      </c>
      <c r="M1155" t="s">
        <v>9</v>
      </c>
      <c r="N1155" t="s">
        <v>976</v>
      </c>
      <c r="O1155" t="s">
        <v>92</v>
      </c>
      <c r="P1155" t="s">
        <v>12</v>
      </c>
      <c r="Q1155" t="s">
        <v>31</v>
      </c>
      <c r="R1155" t="s">
        <v>3867</v>
      </c>
      <c r="S1155" t="s">
        <v>1549</v>
      </c>
      <c r="T1155" t="s">
        <v>3851</v>
      </c>
      <c r="U1155" t="s">
        <v>1608</v>
      </c>
      <c r="V1155" t="s">
        <v>1741</v>
      </c>
      <c r="W1155" t="s">
        <v>1742</v>
      </c>
      <c r="X1155" t="s">
        <v>1739</v>
      </c>
    </row>
    <row r="1156" spans="1:24" x14ac:dyDescent="0.3">
      <c r="A1156" t="s">
        <v>2963</v>
      </c>
      <c r="B1156" s="2">
        <v>45587</v>
      </c>
      <c r="C1156" t="s">
        <v>97</v>
      </c>
      <c r="D1156" t="s">
        <v>1697</v>
      </c>
      <c r="E1156" t="s">
        <v>1759</v>
      </c>
      <c r="F1156" s="4">
        <v>2</v>
      </c>
      <c r="G1156">
        <v>472.18</v>
      </c>
      <c r="H1156">
        <v>0.27</v>
      </c>
      <c r="I1156" t="s">
        <v>1809</v>
      </c>
      <c r="J1156">
        <v>689.38279999999997</v>
      </c>
      <c r="K1156" t="s">
        <v>3953</v>
      </c>
      <c r="L1156">
        <v>52</v>
      </c>
      <c r="M1156" t="s">
        <v>16</v>
      </c>
      <c r="N1156" t="s">
        <v>98</v>
      </c>
      <c r="O1156" t="s">
        <v>99</v>
      </c>
      <c r="P1156" t="s">
        <v>12</v>
      </c>
      <c r="Q1156" t="s">
        <v>31</v>
      </c>
      <c r="R1156" t="s">
        <v>3916</v>
      </c>
      <c r="S1156" t="s">
        <v>1541</v>
      </c>
      <c r="T1156" t="s">
        <v>3822</v>
      </c>
      <c r="U1156" t="s">
        <v>1698</v>
      </c>
      <c r="V1156" t="s">
        <v>1760</v>
      </c>
      <c r="W1156" t="s">
        <v>1737</v>
      </c>
      <c r="X1156" t="s">
        <v>1755</v>
      </c>
    </row>
    <row r="1157" spans="1:24" x14ac:dyDescent="0.3">
      <c r="A1157" t="s">
        <v>2964</v>
      </c>
      <c r="B1157" s="2">
        <v>45556</v>
      </c>
      <c r="C1157" t="s">
        <v>1057</v>
      </c>
      <c r="D1157" t="s">
        <v>1613</v>
      </c>
      <c r="E1157" t="s">
        <v>1756</v>
      </c>
      <c r="F1157" s="4">
        <v>2</v>
      </c>
      <c r="G1157">
        <v>20.47</v>
      </c>
      <c r="H1157">
        <v>0.12</v>
      </c>
      <c r="I1157" t="s">
        <v>1812</v>
      </c>
      <c r="J1157">
        <v>36.027200000000001</v>
      </c>
      <c r="K1157" t="s">
        <v>1058</v>
      </c>
      <c r="L1157">
        <v>56</v>
      </c>
      <c r="M1157" t="s">
        <v>16</v>
      </c>
      <c r="N1157" t="s">
        <v>1059</v>
      </c>
      <c r="O1157" t="s">
        <v>271</v>
      </c>
      <c r="P1157" t="s">
        <v>12</v>
      </c>
      <c r="Q1157" t="s">
        <v>26</v>
      </c>
      <c r="R1157" t="s">
        <v>3871</v>
      </c>
      <c r="S1157" t="s">
        <v>1549</v>
      </c>
      <c r="T1157" t="s">
        <v>3828</v>
      </c>
      <c r="U1157" t="s">
        <v>1614</v>
      </c>
      <c r="V1157" t="s">
        <v>1757</v>
      </c>
      <c r="W1157" t="s">
        <v>1742</v>
      </c>
      <c r="X1157" t="s">
        <v>1748</v>
      </c>
    </row>
    <row r="1158" spans="1:24" x14ac:dyDescent="0.3">
      <c r="A1158" t="s">
        <v>2965</v>
      </c>
      <c r="B1158" s="2">
        <v>45923</v>
      </c>
      <c r="C1158" t="s">
        <v>100</v>
      </c>
      <c r="D1158" t="s">
        <v>1575</v>
      </c>
      <c r="E1158" t="s">
        <v>1762</v>
      </c>
      <c r="F1158" s="4">
        <v>3</v>
      </c>
      <c r="G1158">
        <v>235.41</v>
      </c>
      <c r="H1158">
        <v>0.15</v>
      </c>
      <c r="I1158" t="s">
        <v>1809</v>
      </c>
      <c r="J1158">
        <v>600.29549999999995</v>
      </c>
      <c r="K1158" t="s">
        <v>101</v>
      </c>
      <c r="L1158">
        <v>40</v>
      </c>
      <c r="M1158" t="s">
        <v>9</v>
      </c>
      <c r="N1158" t="s">
        <v>102</v>
      </c>
      <c r="O1158" t="s">
        <v>35</v>
      </c>
      <c r="P1158" t="s">
        <v>12</v>
      </c>
      <c r="Q1158" t="s">
        <v>31</v>
      </c>
      <c r="R1158" t="s">
        <v>3848</v>
      </c>
      <c r="S1158" t="s">
        <v>1549</v>
      </c>
      <c r="T1158" t="s">
        <v>3844</v>
      </c>
      <c r="U1158" t="s">
        <v>1576</v>
      </c>
      <c r="V1158" t="s">
        <v>1763</v>
      </c>
      <c r="W1158" t="s">
        <v>1746</v>
      </c>
      <c r="X1158" t="s">
        <v>1755</v>
      </c>
    </row>
    <row r="1159" spans="1:24" x14ac:dyDescent="0.3">
      <c r="A1159" t="s">
        <v>2966</v>
      </c>
      <c r="B1159" s="2">
        <v>45811</v>
      </c>
      <c r="C1159" t="s">
        <v>734</v>
      </c>
      <c r="D1159" t="s">
        <v>1687</v>
      </c>
      <c r="E1159" t="s">
        <v>1762</v>
      </c>
      <c r="F1159" s="4">
        <v>3</v>
      </c>
      <c r="G1159">
        <v>744.9</v>
      </c>
      <c r="H1159">
        <v>0.27</v>
      </c>
      <c r="I1159" t="s">
        <v>1809</v>
      </c>
      <c r="J1159">
        <v>1631.3309999999999</v>
      </c>
      <c r="K1159" t="s">
        <v>735</v>
      </c>
      <c r="L1159">
        <v>22</v>
      </c>
      <c r="M1159" t="s">
        <v>16</v>
      </c>
      <c r="N1159" t="s">
        <v>736</v>
      </c>
      <c r="O1159" t="s">
        <v>247</v>
      </c>
      <c r="P1159" t="s">
        <v>12</v>
      </c>
      <c r="Q1159" t="s">
        <v>26</v>
      </c>
      <c r="R1159" t="s">
        <v>3911</v>
      </c>
      <c r="S1159" t="s">
        <v>1527</v>
      </c>
      <c r="T1159" t="s">
        <v>3836</v>
      </c>
      <c r="U1159" t="s">
        <v>1688</v>
      </c>
      <c r="V1159" t="s">
        <v>1763</v>
      </c>
      <c r="W1159" t="s">
        <v>1746</v>
      </c>
      <c r="X1159" t="s">
        <v>1755</v>
      </c>
    </row>
    <row r="1160" spans="1:24" x14ac:dyDescent="0.3">
      <c r="A1160" t="s">
        <v>2967</v>
      </c>
      <c r="B1160" s="2">
        <v>45559</v>
      </c>
      <c r="C1160" t="s">
        <v>178</v>
      </c>
      <c r="D1160" t="s">
        <v>1567</v>
      </c>
      <c r="E1160" t="s">
        <v>1749</v>
      </c>
      <c r="F1160" s="4">
        <v>2</v>
      </c>
      <c r="G1160">
        <v>382.2</v>
      </c>
      <c r="H1160">
        <v>0.15</v>
      </c>
      <c r="I1160" t="s">
        <v>1807</v>
      </c>
      <c r="J1160">
        <v>649.74</v>
      </c>
      <c r="K1160" t="s">
        <v>179</v>
      </c>
      <c r="L1160">
        <v>54</v>
      </c>
      <c r="M1160" t="s">
        <v>9</v>
      </c>
      <c r="N1160" t="s">
        <v>180</v>
      </c>
      <c r="O1160" t="s">
        <v>181</v>
      </c>
      <c r="P1160" t="s">
        <v>12</v>
      </c>
      <c r="Q1160" t="s">
        <v>31</v>
      </c>
      <c r="R1160" t="s">
        <v>3842</v>
      </c>
      <c r="S1160" t="s">
        <v>1530</v>
      </c>
      <c r="T1160" t="s">
        <v>3818</v>
      </c>
      <c r="U1160" t="s">
        <v>1568</v>
      </c>
      <c r="V1160" t="s">
        <v>1750</v>
      </c>
      <c r="W1160" t="s">
        <v>1742</v>
      </c>
      <c r="X1160" t="s">
        <v>1748</v>
      </c>
    </row>
    <row r="1161" spans="1:24" x14ac:dyDescent="0.3">
      <c r="A1161" t="s">
        <v>2968</v>
      </c>
      <c r="B1161" s="2">
        <v>45881</v>
      </c>
      <c r="C1161" t="s">
        <v>1075</v>
      </c>
      <c r="D1161" t="s">
        <v>1711</v>
      </c>
      <c r="E1161" t="s">
        <v>1787</v>
      </c>
      <c r="F1161" s="4">
        <v>1</v>
      </c>
      <c r="G1161">
        <v>269.25</v>
      </c>
      <c r="H1161">
        <v>0.14000000000000001</v>
      </c>
      <c r="I1161" t="s">
        <v>1809</v>
      </c>
      <c r="J1161">
        <v>231.55500000000001</v>
      </c>
      <c r="K1161" t="s">
        <v>1076</v>
      </c>
      <c r="L1161">
        <v>39</v>
      </c>
      <c r="M1161" t="s">
        <v>16</v>
      </c>
      <c r="N1161" t="s">
        <v>1077</v>
      </c>
      <c r="O1161" t="s">
        <v>234</v>
      </c>
      <c r="P1161" t="s">
        <v>12</v>
      </c>
      <c r="Q1161" t="s">
        <v>19</v>
      </c>
      <c r="R1161" t="s">
        <v>3923</v>
      </c>
      <c r="S1161" t="s">
        <v>1546</v>
      </c>
      <c r="T1161" t="s">
        <v>3820</v>
      </c>
      <c r="U1161" t="s">
        <v>1712</v>
      </c>
      <c r="V1161" t="s">
        <v>1741</v>
      </c>
      <c r="W1161" t="s">
        <v>1742</v>
      </c>
      <c r="X1161" t="s">
        <v>1739</v>
      </c>
    </row>
    <row r="1162" spans="1:24" x14ac:dyDescent="0.3">
      <c r="A1162" t="s">
        <v>2969</v>
      </c>
      <c r="B1162" s="2">
        <v>45367</v>
      </c>
      <c r="C1162" t="s">
        <v>1129</v>
      </c>
      <c r="D1162" t="s">
        <v>1591</v>
      </c>
      <c r="E1162" t="s">
        <v>1775</v>
      </c>
      <c r="F1162" s="4">
        <v>2</v>
      </c>
      <c r="G1162">
        <v>723.75</v>
      </c>
      <c r="H1162">
        <v>0.03</v>
      </c>
      <c r="I1162" t="s">
        <v>1809</v>
      </c>
      <c r="J1162">
        <v>1404.075</v>
      </c>
      <c r="K1162" t="s">
        <v>1130</v>
      </c>
      <c r="L1162">
        <v>40</v>
      </c>
      <c r="M1162" t="s">
        <v>16</v>
      </c>
      <c r="N1162" t="s">
        <v>1131</v>
      </c>
      <c r="O1162" t="s">
        <v>162</v>
      </c>
      <c r="P1162" t="s">
        <v>12</v>
      </c>
      <c r="Q1162" t="s">
        <v>19</v>
      </c>
      <c r="R1162" t="s">
        <v>3857</v>
      </c>
      <c r="S1162" t="s">
        <v>1527</v>
      </c>
      <c r="T1162" t="s">
        <v>3830</v>
      </c>
      <c r="U1162" t="s">
        <v>1592</v>
      </c>
      <c r="V1162" t="s">
        <v>1741</v>
      </c>
      <c r="W1162" t="s">
        <v>1742</v>
      </c>
      <c r="X1162" t="s">
        <v>1739</v>
      </c>
    </row>
    <row r="1163" spans="1:24" x14ac:dyDescent="0.3">
      <c r="A1163" t="s">
        <v>2970</v>
      </c>
      <c r="B1163" s="2">
        <v>45832</v>
      </c>
      <c r="C1163" t="s">
        <v>885</v>
      </c>
      <c r="D1163" t="s">
        <v>1569</v>
      </c>
      <c r="E1163" t="s">
        <v>1796</v>
      </c>
      <c r="F1163" s="4">
        <v>4</v>
      </c>
      <c r="G1163">
        <v>58.92</v>
      </c>
      <c r="H1163">
        <v>0.18</v>
      </c>
      <c r="I1163" t="s">
        <v>1807</v>
      </c>
      <c r="J1163">
        <v>193.2576</v>
      </c>
      <c r="K1163" t="s">
        <v>886</v>
      </c>
      <c r="L1163">
        <v>46</v>
      </c>
      <c r="M1163" t="s">
        <v>16</v>
      </c>
      <c r="N1163" t="s">
        <v>887</v>
      </c>
      <c r="O1163" t="s">
        <v>166</v>
      </c>
      <c r="P1163" t="s">
        <v>12</v>
      </c>
      <c r="Q1163" t="s">
        <v>19</v>
      </c>
      <c r="R1163" t="s">
        <v>3843</v>
      </c>
      <c r="S1163" t="s">
        <v>1549</v>
      </c>
      <c r="T1163" t="s">
        <v>3844</v>
      </c>
      <c r="U1163" t="s">
        <v>1570</v>
      </c>
      <c r="V1163" t="s">
        <v>1741</v>
      </c>
      <c r="W1163" t="s">
        <v>1742</v>
      </c>
      <c r="X1163" t="s">
        <v>1739</v>
      </c>
    </row>
    <row r="1164" spans="1:24" x14ac:dyDescent="0.3">
      <c r="A1164" t="s">
        <v>2971</v>
      </c>
      <c r="B1164" s="2">
        <v>45438</v>
      </c>
      <c r="C1164" t="s">
        <v>613</v>
      </c>
      <c r="D1164" t="s">
        <v>1673</v>
      </c>
      <c r="E1164" t="s">
        <v>1772</v>
      </c>
      <c r="F1164" s="4">
        <v>2</v>
      </c>
      <c r="G1164">
        <v>913.08</v>
      </c>
      <c r="H1164">
        <v>0.26</v>
      </c>
      <c r="I1164" t="s">
        <v>1807</v>
      </c>
      <c r="J1164">
        <v>1351.3584000000001</v>
      </c>
      <c r="K1164" t="s">
        <v>614</v>
      </c>
      <c r="L1164">
        <v>29</v>
      </c>
      <c r="M1164" t="s">
        <v>9</v>
      </c>
      <c r="N1164" t="s">
        <v>615</v>
      </c>
      <c r="O1164" t="s">
        <v>230</v>
      </c>
      <c r="P1164" t="s">
        <v>12</v>
      </c>
      <c r="Q1164" t="s">
        <v>31</v>
      </c>
      <c r="R1164" t="s">
        <v>3904</v>
      </c>
      <c r="S1164" t="s">
        <v>1541</v>
      </c>
      <c r="T1164" t="s">
        <v>3833</v>
      </c>
      <c r="U1164" t="s">
        <v>1674</v>
      </c>
      <c r="V1164" t="s">
        <v>1741</v>
      </c>
      <c r="W1164" t="s">
        <v>1742</v>
      </c>
      <c r="X1164" t="s">
        <v>1739</v>
      </c>
    </row>
    <row r="1165" spans="1:24" x14ac:dyDescent="0.3">
      <c r="A1165" t="s">
        <v>2972</v>
      </c>
      <c r="B1165" s="2">
        <v>45691</v>
      </c>
      <c r="C1165" t="s">
        <v>770</v>
      </c>
      <c r="D1165" t="s">
        <v>1693</v>
      </c>
      <c r="E1165" t="s">
        <v>1740</v>
      </c>
      <c r="F1165" s="4">
        <v>1</v>
      </c>
      <c r="G1165">
        <v>791.83</v>
      </c>
      <c r="H1165">
        <v>0.28000000000000003</v>
      </c>
      <c r="I1165" t="s">
        <v>1809</v>
      </c>
      <c r="J1165">
        <v>570.11760000000004</v>
      </c>
      <c r="K1165" t="s">
        <v>771</v>
      </c>
      <c r="L1165">
        <v>56</v>
      </c>
      <c r="M1165" t="s">
        <v>16</v>
      </c>
      <c r="N1165" t="s">
        <v>772</v>
      </c>
      <c r="O1165" t="s">
        <v>166</v>
      </c>
      <c r="P1165" t="s">
        <v>12</v>
      </c>
      <c r="Q1165" t="s">
        <v>31</v>
      </c>
      <c r="R1165" t="s">
        <v>3914</v>
      </c>
      <c r="S1165" t="s">
        <v>1549</v>
      </c>
      <c r="T1165" t="s">
        <v>3844</v>
      </c>
      <c r="U1165" t="s">
        <v>1694</v>
      </c>
      <c r="V1165" t="s">
        <v>1741</v>
      </c>
      <c r="W1165" t="s">
        <v>1742</v>
      </c>
      <c r="X1165" t="s">
        <v>1739</v>
      </c>
    </row>
    <row r="1166" spans="1:24" x14ac:dyDescent="0.3">
      <c r="A1166" t="s">
        <v>2973</v>
      </c>
      <c r="B1166" s="2">
        <v>45506</v>
      </c>
      <c r="C1166" t="s">
        <v>1436</v>
      </c>
      <c r="D1166" t="s">
        <v>1534</v>
      </c>
      <c r="E1166" t="s">
        <v>1784</v>
      </c>
      <c r="F1166" s="4">
        <v>1</v>
      </c>
      <c r="G1166">
        <v>74.290000000000006</v>
      </c>
      <c r="H1166">
        <v>0.3</v>
      </c>
      <c r="I1166" t="s">
        <v>1812</v>
      </c>
      <c r="J1166">
        <v>52.003</v>
      </c>
      <c r="K1166" t="s">
        <v>1437</v>
      </c>
      <c r="L1166">
        <v>42</v>
      </c>
      <c r="M1166" t="s">
        <v>9</v>
      </c>
      <c r="N1166" t="s">
        <v>1438</v>
      </c>
      <c r="O1166" t="s">
        <v>66</v>
      </c>
      <c r="P1166" t="s">
        <v>12</v>
      </c>
      <c r="Q1166" t="s">
        <v>19</v>
      </c>
      <c r="R1166" t="s">
        <v>3856</v>
      </c>
      <c r="S1166" t="s">
        <v>1527</v>
      </c>
      <c r="T1166" t="s">
        <v>3836</v>
      </c>
      <c r="U1166" t="s">
        <v>1590</v>
      </c>
      <c r="V1166" t="s">
        <v>1741</v>
      </c>
      <c r="W1166" t="s">
        <v>1742</v>
      </c>
      <c r="X1166" t="s">
        <v>1739</v>
      </c>
    </row>
    <row r="1167" spans="1:24" x14ac:dyDescent="0.3">
      <c r="A1167" t="s">
        <v>2974</v>
      </c>
      <c r="B1167" s="2">
        <v>45251</v>
      </c>
      <c r="C1167" t="s">
        <v>773</v>
      </c>
      <c r="D1167" t="s">
        <v>1601</v>
      </c>
      <c r="E1167" t="s">
        <v>1735</v>
      </c>
      <c r="F1167" s="4">
        <v>2</v>
      </c>
      <c r="G1167">
        <v>961.68</v>
      </c>
      <c r="H1167">
        <v>0.27</v>
      </c>
      <c r="I1167" t="s">
        <v>1809</v>
      </c>
      <c r="J1167">
        <v>1404.0527999999999</v>
      </c>
      <c r="K1167" t="s">
        <v>774</v>
      </c>
      <c r="L1167">
        <v>19</v>
      </c>
      <c r="M1167" t="s">
        <v>9</v>
      </c>
      <c r="N1167" t="s">
        <v>775</v>
      </c>
      <c r="O1167" t="s">
        <v>354</v>
      </c>
      <c r="P1167" t="s">
        <v>12</v>
      </c>
      <c r="Q1167" t="s">
        <v>13</v>
      </c>
      <c r="R1167" t="s">
        <v>3863</v>
      </c>
      <c r="S1167" t="s">
        <v>1527</v>
      </c>
      <c r="T1167" t="s">
        <v>3824</v>
      </c>
      <c r="U1167" t="s">
        <v>1602</v>
      </c>
      <c r="V1167" t="s">
        <v>1736</v>
      </c>
      <c r="W1167" t="s">
        <v>1737</v>
      </c>
      <c r="X1167" t="s">
        <v>1739</v>
      </c>
    </row>
    <row r="1168" spans="1:24" x14ac:dyDescent="0.3">
      <c r="A1168" t="s">
        <v>2975</v>
      </c>
      <c r="B1168" s="2">
        <v>45722</v>
      </c>
      <c r="C1168" t="s">
        <v>1501</v>
      </c>
      <c r="D1168" t="s">
        <v>1569</v>
      </c>
      <c r="E1168" t="s">
        <v>1782</v>
      </c>
      <c r="F1168" s="4">
        <v>1</v>
      </c>
      <c r="G1168">
        <v>90.72</v>
      </c>
      <c r="H1168">
        <v>0.1</v>
      </c>
      <c r="I1168" t="s">
        <v>1809</v>
      </c>
      <c r="J1168">
        <v>81.647999999999996</v>
      </c>
      <c r="K1168" t="s">
        <v>1502</v>
      </c>
      <c r="L1168">
        <v>23</v>
      </c>
      <c r="M1168" t="s">
        <v>16</v>
      </c>
      <c r="N1168" t="s">
        <v>1503</v>
      </c>
      <c r="O1168" t="s">
        <v>354</v>
      </c>
      <c r="P1168" t="s">
        <v>12</v>
      </c>
      <c r="Q1168" t="s">
        <v>13</v>
      </c>
      <c r="R1168" t="s">
        <v>3843</v>
      </c>
      <c r="S1168" t="s">
        <v>1549</v>
      </c>
      <c r="T1168" t="s">
        <v>3844</v>
      </c>
      <c r="U1168" t="s">
        <v>1570</v>
      </c>
      <c r="V1168" t="s">
        <v>1741</v>
      </c>
      <c r="W1168" t="s">
        <v>1742</v>
      </c>
      <c r="X1168" t="s">
        <v>1739</v>
      </c>
    </row>
    <row r="1169" spans="1:24" x14ac:dyDescent="0.3">
      <c r="A1169" t="s">
        <v>2976</v>
      </c>
      <c r="B1169" s="2">
        <v>45689</v>
      </c>
      <c r="C1169" t="s">
        <v>221</v>
      </c>
      <c r="D1169" t="s">
        <v>1647</v>
      </c>
      <c r="E1169" t="s">
        <v>1762</v>
      </c>
      <c r="F1169" s="4">
        <v>1</v>
      </c>
      <c r="G1169">
        <v>458.69</v>
      </c>
      <c r="H1169">
        <v>0.16</v>
      </c>
      <c r="I1169" t="s">
        <v>1809</v>
      </c>
      <c r="J1169">
        <v>385.2996</v>
      </c>
      <c r="K1169" t="s">
        <v>222</v>
      </c>
      <c r="L1169">
        <v>23</v>
      </c>
      <c r="M1169" t="s">
        <v>9</v>
      </c>
      <c r="N1169" t="s">
        <v>223</v>
      </c>
      <c r="O1169" t="s">
        <v>162</v>
      </c>
      <c r="P1169" t="s">
        <v>12</v>
      </c>
      <c r="Q1169" t="s">
        <v>31</v>
      </c>
      <c r="R1169" t="s">
        <v>3890</v>
      </c>
      <c r="S1169" t="s">
        <v>1530</v>
      </c>
      <c r="T1169" t="s">
        <v>3820</v>
      </c>
      <c r="U1169" t="s">
        <v>1648</v>
      </c>
      <c r="V1169" t="s">
        <v>1763</v>
      </c>
      <c r="W1169" t="s">
        <v>1746</v>
      </c>
      <c r="X1169" t="s">
        <v>1755</v>
      </c>
    </row>
    <row r="1170" spans="1:24" x14ac:dyDescent="0.3">
      <c r="A1170" t="s">
        <v>2977</v>
      </c>
      <c r="B1170" s="2">
        <v>45346</v>
      </c>
      <c r="C1170" t="s">
        <v>737</v>
      </c>
      <c r="D1170" t="s">
        <v>1599</v>
      </c>
      <c r="E1170" t="s">
        <v>1762</v>
      </c>
      <c r="F1170" s="4">
        <v>1</v>
      </c>
      <c r="G1170">
        <v>168.29</v>
      </c>
      <c r="H1170">
        <v>0.05</v>
      </c>
      <c r="I1170" t="s">
        <v>1809</v>
      </c>
      <c r="J1170">
        <v>159.87549999999999</v>
      </c>
      <c r="K1170" t="s">
        <v>738</v>
      </c>
      <c r="L1170">
        <v>27</v>
      </c>
      <c r="M1170" t="s">
        <v>16</v>
      </c>
      <c r="N1170" t="s">
        <v>739</v>
      </c>
      <c r="O1170" t="s">
        <v>312</v>
      </c>
      <c r="P1170" t="s">
        <v>12</v>
      </c>
      <c r="Q1170" t="s">
        <v>26</v>
      </c>
      <c r="R1170" t="s">
        <v>3862</v>
      </c>
      <c r="S1170" t="s">
        <v>1546</v>
      </c>
      <c r="T1170" t="s">
        <v>3811</v>
      </c>
      <c r="U1170" t="s">
        <v>1600</v>
      </c>
      <c r="V1170" t="s">
        <v>1763</v>
      </c>
      <c r="W1170" t="s">
        <v>1746</v>
      </c>
      <c r="X1170" t="s">
        <v>1755</v>
      </c>
    </row>
    <row r="1171" spans="1:24" x14ac:dyDescent="0.3">
      <c r="A1171" t="s">
        <v>2978</v>
      </c>
      <c r="B1171" s="2">
        <v>45549</v>
      </c>
      <c r="C1171" t="s">
        <v>681</v>
      </c>
      <c r="D1171" t="s">
        <v>1565</v>
      </c>
      <c r="E1171" t="s">
        <v>1790</v>
      </c>
      <c r="F1171" s="4">
        <v>1</v>
      </c>
      <c r="G1171">
        <v>391.77</v>
      </c>
      <c r="H1171">
        <v>0.1</v>
      </c>
      <c r="I1171" t="s">
        <v>1809</v>
      </c>
      <c r="J1171">
        <v>352.59300000000002</v>
      </c>
      <c r="K1171" t="s">
        <v>682</v>
      </c>
      <c r="L1171">
        <v>63</v>
      </c>
      <c r="M1171" t="s">
        <v>16</v>
      </c>
      <c r="N1171" t="s">
        <v>683</v>
      </c>
      <c r="O1171" t="s">
        <v>92</v>
      </c>
      <c r="P1171" t="s">
        <v>12</v>
      </c>
      <c r="Q1171" t="s">
        <v>31</v>
      </c>
      <c r="R1171" t="s">
        <v>3841</v>
      </c>
      <c r="S1171" t="s">
        <v>1549</v>
      </c>
      <c r="T1171" t="s">
        <v>3820</v>
      </c>
      <c r="U1171" t="s">
        <v>1566</v>
      </c>
      <c r="V1171" t="s">
        <v>1741</v>
      </c>
      <c r="W1171" t="s">
        <v>1742</v>
      </c>
      <c r="X1171" t="s">
        <v>1739</v>
      </c>
    </row>
    <row r="1172" spans="1:24" x14ac:dyDescent="0.3">
      <c r="A1172" t="s">
        <v>2979</v>
      </c>
      <c r="B1172" s="2">
        <v>45900</v>
      </c>
      <c r="C1172" t="s">
        <v>1066</v>
      </c>
      <c r="D1172" t="s">
        <v>1555</v>
      </c>
      <c r="E1172" t="s">
        <v>1782</v>
      </c>
      <c r="F1172" s="4">
        <v>1</v>
      </c>
      <c r="G1172">
        <v>424.83</v>
      </c>
      <c r="H1172">
        <v>0.05</v>
      </c>
      <c r="I1172" t="s">
        <v>1812</v>
      </c>
      <c r="J1172">
        <v>403.58850000000001</v>
      </c>
      <c r="K1172" t="s">
        <v>1067</v>
      </c>
      <c r="L1172">
        <v>39</v>
      </c>
      <c r="M1172" t="s">
        <v>9</v>
      </c>
      <c r="N1172" t="s">
        <v>1068</v>
      </c>
      <c r="O1172" t="s">
        <v>284</v>
      </c>
      <c r="P1172" t="s">
        <v>12</v>
      </c>
      <c r="Q1172" t="s">
        <v>26</v>
      </c>
      <c r="R1172" t="s">
        <v>3832</v>
      </c>
      <c r="S1172" t="s">
        <v>1541</v>
      </c>
      <c r="T1172" t="s">
        <v>3833</v>
      </c>
      <c r="U1172" t="s">
        <v>1556</v>
      </c>
      <c r="V1172" t="s">
        <v>1741</v>
      </c>
      <c r="W1172" t="s">
        <v>1742</v>
      </c>
      <c r="X1172" t="s">
        <v>1739</v>
      </c>
    </row>
    <row r="1173" spans="1:24" x14ac:dyDescent="0.3">
      <c r="A1173" t="s">
        <v>2980</v>
      </c>
      <c r="B1173" s="2">
        <v>45308</v>
      </c>
      <c r="C1173" t="s">
        <v>199</v>
      </c>
      <c r="D1173" t="s">
        <v>1553</v>
      </c>
      <c r="E1173" t="s">
        <v>1749</v>
      </c>
      <c r="F1173" s="4">
        <v>1</v>
      </c>
      <c r="G1173">
        <v>499.46</v>
      </c>
      <c r="H1173">
        <v>0.1</v>
      </c>
      <c r="I1173" t="s">
        <v>1807</v>
      </c>
      <c r="J1173">
        <v>449.51400000000001</v>
      </c>
      <c r="K1173" t="s">
        <v>200</v>
      </c>
      <c r="L1173">
        <v>24</v>
      </c>
      <c r="M1173" t="s">
        <v>9</v>
      </c>
      <c r="N1173" t="s">
        <v>201</v>
      </c>
      <c r="O1173" t="s">
        <v>155</v>
      </c>
      <c r="P1173" t="s">
        <v>12</v>
      </c>
      <c r="Q1173" t="s">
        <v>13</v>
      </c>
      <c r="R1173" t="s">
        <v>3831</v>
      </c>
      <c r="S1173" t="s">
        <v>1546</v>
      </c>
      <c r="T1173" t="s">
        <v>3820</v>
      </c>
      <c r="U1173" t="s">
        <v>1554</v>
      </c>
      <c r="V1173" t="s">
        <v>1750</v>
      </c>
      <c r="W1173" t="s">
        <v>1742</v>
      </c>
      <c r="X1173" t="s">
        <v>1748</v>
      </c>
    </row>
    <row r="1174" spans="1:24" x14ac:dyDescent="0.3">
      <c r="A1174" t="s">
        <v>2981</v>
      </c>
      <c r="B1174" s="2">
        <v>45336</v>
      </c>
      <c r="C1174" t="s">
        <v>85</v>
      </c>
      <c r="D1174" t="s">
        <v>1729</v>
      </c>
      <c r="E1174" t="s">
        <v>1740</v>
      </c>
      <c r="F1174" s="4">
        <v>2</v>
      </c>
      <c r="G1174">
        <v>698.34</v>
      </c>
      <c r="H1174">
        <v>0.15</v>
      </c>
      <c r="I1174" t="s">
        <v>1809</v>
      </c>
      <c r="J1174">
        <v>1187.1780000000001</v>
      </c>
      <c r="K1174" t="s">
        <v>86</v>
      </c>
      <c r="L1174">
        <v>59</v>
      </c>
      <c r="M1174" t="s">
        <v>9</v>
      </c>
      <c r="N1174" t="s">
        <v>87</v>
      </c>
      <c r="O1174" t="s">
        <v>88</v>
      </c>
      <c r="P1174" t="s">
        <v>12</v>
      </c>
      <c r="Q1174" t="s">
        <v>19</v>
      </c>
      <c r="R1174" t="s">
        <v>3932</v>
      </c>
      <c r="S1174" t="s">
        <v>1527</v>
      </c>
      <c r="T1174" t="s">
        <v>3830</v>
      </c>
      <c r="U1174" t="s">
        <v>1730</v>
      </c>
      <c r="V1174" t="s">
        <v>1741</v>
      </c>
      <c r="W1174" t="s">
        <v>1742</v>
      </c>
      <c r="X1174" t="s">
        <v>1739</v>
      </c>
    </row>
    <row r="1175" spans="1:24" x14ac:dyDescent="0.3">
      <c r="A1175" t="s">
        <v>2982</v>
      </c>
      <c r="B1175" s="2">
        <v>45213</v>
      </c>
      <c r="C1175" t="s">
        <v>891</v>
      </c>
      <c r="D1175" t="s">
        <v>1643</v>
      </c>
      <c r="E1175" t="s">
        <v>1787</v>
      </c>
      <c r="F1175" s="4">
        <v>2</v>
      </c>
      <c r="G1175">
        <v>805.08</v>
      </c>
      <c r="H1175">
        <v>0.27</v>
      </c>
      <c r="I1175" t="s">
        <v>1809</v>
      </c>
      <c r="J1175">
        <v>1175.4168</v>
      </c>
      <c r="K1175" t="s">
        <v>892</v>
      </c>
      <c r="L1175">
        <v>54</v>
      </c>
      <c r="M1175" t="s">
        <v>9</v>
      </c>
      <c r="N1175" t="s">
        <v>893</v>
      </c>
      <c r="O1175" t="s">
        <v>838</v>
      </c>
      <c r="P1175" t="s">
        <v>12</v>
      </c>
      <c r="Q1175" t="s">
        <v>31</v>
      </c>
      <c r="R1175" t="s">
        <v>3888</v>
      </c>
      <c r="S1175" t="s">
        <v>1527</v>
      </c>
      <c r="T1175" t="s">
        <v>3836</v>
      </c>
      <c r="U1175" t="s">
        <v>1644</v>
      </c>
      <c r="V1175" t="s">
        <v>1741</v>
      </c>
      <c r="W1175" t="s">
        <v>1742</v>
      </c>
      <c r="X1175" t="s">
        <v>1739</v>
      </c>
    </row>
    <row r="1176" spans="1:24" x14ac:dyDescent="0.3">
      <c r="A1176" t="s">
        <v>2983</v>
      </c>
      <c r="B1176" s="2">
        <v>45742</v>
      </c>
      <c r="C1176" t="s">
        <v>1421</v>
      </c>
      <c r="D1176" t="s">
        <v>1683</v>
      </c>
      <c r="E1176" t="s">
        <v>1744</v>
      </c>
      <c r="F1176" s="4">
        <v>4</v>
      </c>
      <c r="G1176">
        <v>934.79</v>
      </c>
      <c r="H1176">
        <v>0.08</v>
      </c>
      <c r="I1176" t="s">
        <v>1809</v>
      </c>
      <c r="J1176">
        <v>3440.0272</v>
      </c>
      <c r="K1176" t="s">
        <v>1422</v>
      </c>
      <c r="L1176">
        <v>63</v>
      </c>
      <c r="M1176" t="s">
        <v>16</v>
      </c>
      <c r="N1176" t="s">
        <v>1423</v>
      </c>
      <c r="O1176" t="s">
        <v>198</v>
      </c>
      <c r="P1176" t="s">
        <v>12</v>
      </c>
      <c r="Q1176" t="s">
        <v>31</v>
      </c>
      <c r="R1176" t="s">
        <v>3909</v>
      </c>
      <c r="S1176" t="s">
        <v>1546</v>
      </c>
      <c r="T1176" t="s">
        <v>3811</v>
      </c>
      <c r="U1176" t="s">
        <v>1684</v>
      </c>
      <c r="V1176" t="s">
        <v>1745</v>
      </c>
      <c r="W1176" t="s">
        <v>1746</v>
      </c>
      <c r="X1176" t="s">
        <v>1748</v>
      </c>
    </row>
    <row r="1177" spans="1:24" x14ac:dyDescent="0.3">
      <c r="A1177" t="s">
        <v>2984</v>
      </c>
      <c r="B1177" s="2">
        <v>45932</v>
      </c>
      <c r="C1177" t="s">
        <v>85</v>
      </c>
      <c r="D1177" t="s">
        <v>1651</v>
      </c>
      <c r="E1177" t="s">
        <v>1740</v>
      </c>
      <c r="F1177" s="4">
        <v>2</v>
      </c>
      <c r="G1177">
        <v>424.54</v>
      </c>
      <c r="H1177">
        <v>0.24</v>
      </c>
      <c r="I1177" t="s">
        <v>1809</v>
      </c>
      <c r="J1177">
        <v>645.30080000000009</v>
      </c>
      <c r="K1177" t="s">
        <v>86</v>
      </c>
      <c r="L1177">
        <v>59</v>
      </c>
      <c r="M1177" t="s">
        <v>9</v>
      </c>
      <c r="N1177" t="s">
        <v>87</v>
      </c>
      <c r="O1177" t="s">
        <v>88</v>
      </c>
      <c r="P1177" t="s">
        <v>12</v>
      </c>
      <c r="Q1177" t="s">
        <v>19</v>
      </c>
      <c r="R1177" t="s">
        <v>3892</v>
      </c>
      <c r="S1177" t="s">
        <v>1541</v>
      </c>
      <c r="T1177" t="s">
        <v>3881</v>
      </c>
      <c r="U1177" t="s">
        <v>1652</v>
      </c>
      <c r="V1177" t="s">
        <v>1741</v>
      </c>
      <c r="W1177" t="s">
        <v>1742</v>
      </c>
      <c r="X1177" t="s">
        <v>1739</v>
      </c>
    </row>
    <row r="1178" spans="1:24" x14ac:dyDescent="0.3">
      <c r="A1178" t="s">
        <v>2985</v>
      </c>
      <c r="B1178" s="2">
        <v>45462</v>
      </c>
      <c r="C1178" t="s">
        <v>1018</v>
      </c>
      <c r="D1178" t="s">
        <v>1699</v>
      </c>
      <c r="E1178" t="s">
        <v>1790</v>
      </c>
      <c r="F1178" s="4">
        <v>1</v>
      </c>
      <c r="G1178">
        <v>235.44</v>
      </c>
      <c r="H1178">
        <v>0.19</v>
      </c>
      <c r="I1178" t="s">
        <v>1812</v>
      </c>
      <c r="J1178">
        <v>190.7064</v>
      </c>
      <c r="K1178" t="s">
        <v>1019</v>
      </c>
      <c r="L1178">
        <v>46</v>
      </c>
      <c r="M1178" t="s">
        <v>9</v>
      </c>
      <c r="N1178" t="s">
        <v>1020</v>
      </c>
      <c r="O1178" t="s">
        <v>58</v>
      </c>
      <c r="P1178" t="s">
        <v>12</v>
      </c>
      <c r="Q1178" t="s">
        <v>26</v>
      </c>
      <c r="R1178" t="s">
        <v>3917</v>
      </c>
      <c r="S1178" t="s">
        <v>1527</v>
      </c>
      <c r="T1178" t="s">
        <v>3901</v>
      </c>
      <c r="U1178" t="s">
        <v>1700</v>
      </c>
      <c r="V1178" t="s">
        <v>1741</v>
      </c>
      <c r="W1178" t="s">
        <v>1742</v>
      </c>
      <c r="X1178" t="s">
        <v>1739</v>
      </c>
    </row>
    <row r="1179" spans="1:24" x14ac:dyDescent="0.3">
      <c r="A1179" t="s">
        <v>2986</v>
      </c>
      <c r="B1179" s="2">
        <v>45568</v>
      </c>
      <c r="C1179" t="s">
        <v>856</v>
      </c>
      <c r="D1179" t="s">
        <v>1629</v>
      </c>
      <c r="E1179" t="s">
        <v>1780</v>
      </c>
      <c r="F1179" s="4">
        <v>2</v>
      </c>
      <c r="G1179">
        <v>620.71</v>
      </c>
      <c r="H1179">
        <v>0.27</v>
      </c>
      <c r="I1179" t="s">
        <v>1807</v>
      </c>
      <c r="J1179">
        <v>906.23660000000007</v>
      </c>
      <c r="K1179" t="s">
        <v>3942</v>
      </c>
      <c r="L1179">
        <v>48</v>
      </c>
      <c r="M1179" t="s">
        <v>16</v>
      </c>
      <c r="N1179" t="s">
        <v>857</v>
      </c>
      <c r="O1179" t="s">
        <v>70</v>
      </c>
      <c r="P1179" t="s">
        <v>12</v>
      </c>
      <c r="Q1179" t="s">
        <v>19</v>
      </c>
      <c r="R1179" t="s">
        <v>3880</v>
      </c>
      <c r="S1179" t="s">
        <v>1541</v>
      </c>
      <c r="T1179" t="s">
        <v>3881</v>
      </c>
      <c r="U1179" t="s">
        <v>1630</v>
      </c>
      <c r="V1179" t="s">
        <v>1741</v>
      </c>
      <c r="W1179" t="s">
        <v>1742</v>
      </c>
      <c r="X1179" t="s">
        <v>1739</v>
      </c>
    </row>
    <row r="1180" spans="1:24" x14ac:dyDescent="0.3">
      <c r="A1180" t="s">
        <v>2987</v>
      </c>
      <c r="B1180" s="2">
        <v>45397</v>
      </c>
      <c r="C1180" t="s">
        <v>397</v>
      </c>
      <c r="D1180" t="s">
        <v>1563</v>
      </c>
      <c r="E1180" t="s">
        <v>1775</v>
      </c>
      <c r="F1180" s="4">
        <v>2</v>
      </c>
      <c r="G1180">
        <v>851.77</v>
      </c>
      <c r="H1180">
        <v>0.13</v>
      </c>
      <c r="I1180" t="s">
        <v>1809</v>
      </c>
      <c r="J1180">
        <v>1482.0798</v>
      </c>
      <c r="K1180" t="s">
        <v>398</v>
      </c>
      <c r="L1180">
        <v>18</v>
      </c>
      <c r="M1180" t="s">
        <v>16</v>
      </c>
      <c r="N1180" t="s">
        <v>399</v>
      </c>
      <c r="O1180" t="s">
        <v>18</v>
      </c>
      <c r="P1180" t="s">
        <v>12</v>
      </c>
      <c r="Q1180" t="s">
        <v>19</v>
      </c>
      <c r="R1180" t="s">
        <v>3839</v>
      </c>
      <c r="S1180" t="s">
        <v>1541</v>
      </c>
      <c r="T1180" t="s">
        <v>3840</v>
      </c>
      <c r="U1180" t="s">
        <v>1564</v>
      </c>
      <c r="V1180" t="s">
        <v>1741</v>
      </c>
      <c r="W1180" t="s">
        <v>1742</v>
      </c>
      <c r="X1180" t="s">
        <v>1739</v>
      </c>
    </row>
    <row r="1181" spans="1:24" x14ac:dyDescent="0.3">
      <c r="A1181" t="s">
        <v>2988</v>
      </c>
      <c r="B1181" s="2">
        <v>45569</v>
      </c>
      <c r="C1181" t="s">
        <v>554</v>
      </c>
      <c r="D1181" t="s">
        <v>1621</v>
      </c>
      <c r="E1181" t="s">
        <v>1740</v>
      </c>
      <c r="F1181" s="4">
        <v>3</v>
      </c>
      <c r="G1181">
        <v>876.01</v>
      </c>
      <c r="H1181">
        <v>0.2</v>
      </c>
      <c r="I1181" t="s">
        <v>1807</v>
      </c>
      <c r="J1181">
        <v>2102.424</v>
      </c>
      <c r="K1181" t="s">
        <v>555</v>
      </c>
      <c r="L1181">
        <v>64</v>
      </c>
      <c r="M1181" t="s">
        <v>9</v>
      </c>
      <c r="N1181" t="s">
        <v>556</v>
      </c>
      <c r="O1181" t="s">
        <v>247</v>
      </c>
      <c r="P1181" t="s">
        <v>12</v>
      </c>
      <c r="Q1181" t="s">
        <v>19</v>
      </c>
      <c r="R1181" t="s">
        <v>3875</v>
      </c>
      <c r="S1181" t="s">
        <v>1549</v>
      </c>
      <c r="T1181" t="s">
        <v>3859</v>
      </c>
      <c r="U1181" t="s">
        <v>1622</v>
      </c>
      <c r="V1181" t="s">
        <v>1741</v>
      </c>
      <c r="W1181" t="s">
        <v>1742</v>
      </c>
      <c r="X1181" t="s">
        <v>1739</v>
      </c>
    </row>
    <row r="1182" spans="1:24" x14ac:dyDescent="0.3">
      <c r="A1182" t="s">
        <v>2989</v>
      </c>
      <c r="B1182" s="2">
        <v>45353</v>
      </c>
      <c r="C1182" t="s">
        <v>870</v>
      </c>
      <c r="D1182" t="s">
        <v>1585</v>
      </c>
      <c r="E1182" t="s">
        <v>1769</v>
      </c>
      <c r="F1182" s="4">
        <v>2</v>
      </c>
      <c r="G1182">
        <v>717.21</v>
      </c>
      <c r="H1182">
        <v>0.15</v>
      </c>
      <c r="I1182" t="s">
        <v>1812</v>
      </c>
      <c r="J1182">
        <v>1219.2570000000001</v>
      </c>
      <c r="K1182" t="s">
        <v>871</v>
      </c>
      <c r="L1182">
        <v>22</v>
      </c>
      <c r="M1182" t="s">
        <v>16</v>
      </c>
      <c r="N1182" t="s">
        <v>872</v>
      </c>
      <c r="O1182" t="s">
        <v>181</v>
      </c>
      <c r="P1182" t="s">
        <v>12</v>
      </c>
      <c r="Q1182" t="s">
        <v>13</v>
      </c>
      <c r="R1182" t="s">
        <v>3854</v>
      </c>
      <c r="S1182" t="s">
        <v>1527</v>
      </c>
      <c r="T1182" t="s">
        <v>3836</v>
      </c>
      <c r="U1182" t="s">
        <v>1586</v>
      </c>
      <c r="V1182" t="s">
        <v>1770</v>
      </c>
      <c r="W1182" t="s">
        <v>1746</v>
      </c>
      <c r="X1182" t="s">
        <v>1739</v>
      </c>
    </row>
    <row r="1183" spans="1:24" x14ac:dyDescent="0.3">
      <c r="A1183" t="s">
        <v>2990</v>
      </c>
      <c r="B1183" s="2">
        <v>45343</v>
      </c>
      <c r="C1183" t="s">
        <v>208</v>
      </c>
      <c r="D1183" t="s">
        <v>1613</v>
      </c>
      <c r="E1183" t="s">
        <v>1765</v>
      </c>
      <c r="F1183" s="4">
        <v>2</v>
      </c>
      <c r="G1183">
        <v>871.43</v>
      </c>
      <c r="H1183">
        <v>0.05</v>
      </c>
      <c r="I1183" t="s">
        <v>1807</v>
      </c>
      <c r="J1183">
        <v>1655.7170000000001</v>
      </c>
      <c r="K1183" t="s">
        <v>209</v>
      </c>
      <c r="L1183">
        <v>43</v>
      </c>
      <c r="M1183" t="s">
        <v>16</v>
      </c>
      <c r="N1183" t="s">
        <v>210</v>
      </c>
      <c r="O1183" t="s">
        <v>51</v>
      </c>
      <c r="P1183" t="s">
        <v>12</v>
      </c>
      <c r="Q1183" t="s">
        <v>13</v>
      </c>
      <c r="R1183" t="s">
        <v>3871</v>
      </c>
      <c r="S1183" t="s">
        <v>1549</v>
      </c>
      <c r="T1183" t="s">
        <v>3828</v>
      </c>
      <c r="U1183" t="s">
        <v>1614</v>
      </c>
      <c r="V1183" t="s">
        <v>1766</v>
      </c>
      <c r="W1183" t="s">
        <v>1767</v>
      </c>
      <c r="X1183" t="s">
        <v>1755</v>
      </c>
    </row>
    <row r="1184" spans="1:24" x14ac:dyDescent="0.3">
      <c r="A1184" t="s">
        <v>2991</v>
      </c>
      <c r="B1184" s="2">
        <v>45321</v>
      </c>
      <c r="C1184" t="s">
        <v>1384</v>
      </c>
      <c r="D1184" t="s">
        <v>1603</v>
      </c>
      <c r="E1184" t="s">
        <v>1762</v>
      </c>
      <c r="F1184" s="4">
        <v>1</v>
      </c>
      <c r="G1184">
        <v>514.65</v>
      </c>
      <c r="H1184">
        <v>0.18</v>
      </c>
      <c r="I1184" t="s">
        <v>1807</v>
      </c>
      <c r="J1184">
        <v>422.01299999999998</v>
      </c>
      <c r="K1184" t="s">
        <v>1385</v>
      </c>
      <c r="L1184">
        <v>60</v>
      </c>
      <c r="M1184" t="s">
        <v>9</v>
      </c>
      <c r="N1184" t="s">
        <v>1386</v>
      </c>
      <c r="O1184" t="s">
        <v>99</v>
      </c>
      <c r="P1184" t="s">
        <v>12</v>
      </c>
      <c r="Q1184" t="s">
        <v>19</v>
      </c>
      <c r="R1184" t="s">
        <v>3864</v>
      </c>
      <c r="S1184" t="s">
        <v>1530</v>
      </c>
      <c r="T1184" t="s">
        <v>3813</v>
      </c>
      <c r="U1184" t="s">
        <v>1604</v>
      </c>
      <c r="V1184" t="s">
        <v>1763</v>
      </c>
      <c r="W1184" t="s">
        <v>1746</v>
      </c>
      <c r="X1184" t="s">
        <v>1755</v>
      </c>
    </row>
    <row r="1185" spans="1:24" x14ac:dyDescent="0.3">
      <c r="A1185" t="s">
        <v>2992</v>
      </c>
      <c r="B1185" s="2">
        <v>45650</v>
      </c>
      <c r="C1185" t="s">
        <v>1401</v>
      </c>
      <c r="D1185" t="s">
        <v>1655</v>
      </c>
      <c r="E1185" t="s">
        <v>1787</v>
      </c>
      <c r="F1185" s="4">
        <v>3</v>
      </c>
      <c r="G1185">
        <v>198.76</v>
      </c>
      <c r="H1185">
        <v>0.28000000000000003</v>
      </c>
      <c r="I1185" t="s">
        <v>1812</v>
      </c>
      <c r="J1185">
        <v>429.32159999999999</v>
      </c>
      <c r="K1185" t="s">
        <v>673</v>
      </c>
      <c r="L1185">
        <v>35</v>
      </c>
      <c r="M1185" t="s">
        <v>9</v>
      </c>
      <c r="N1185" t="s">
        <v>1402</v>
      </c>
      <c r="O1185" t="s">
        <v>312</v>
      </c>
      <c r="P1185" t="s">
        <v>12</v>
      </c>
      <c r="Q1185" t="s">
        <v>13</v>
      </c>
      <c r="R1185" t="s">
        <v>3894</v>
      </c>
      <c r="S1185" t="s">
        <v>1546</v>
      </c>
      <c r="T1185" t="s">
        <v>3811</v>
      </c>
      <c r="U1185" t="s">
        <v>1656</v>
      </c>
      <c r="V1185" t="s">
        <v>1741</v>
      </c>
      <c r="W1185" t="s">
        <v>1742</v>
      </c>
      <c r="X1185" t="s">
        <v>1739</v>
      </c>
    </row>
    <row r="1186" spans="1:24" x14ac:dyDescent="0.3">
      <c r="A1186" t="s">
        <v>2993</v>
      </c>
      <c r="B1186" s="2">
        <v>45811</v>
      </c>
      <c r="C1186" t="s">
        <v>721</v>
      </c>
      <c r="D1186" t="s">
        <v>1657</v>
      </c>
      <c r="E1186" t="s">
        <v>1749</v>
      </c>
      <c r="F1186" s="4">
        <v>2</v>
      </c>
      <c r="G1186">
        <v>975.72</v>
      </c>
      <c r="H1186">
        <v>0.16</v>
      </c>
      <c r="I1186" t="s">
        <v>1812</v>
      </c>
      <c r="J1186">
        <v>1639.2095999999999</v>
      </c>
      <c r="K1186" t="s">
        <v>722</v>
      </c>
      <c r="L1186">
        <v>54</v>
      </c>
      <c r="M1186" t="s">
        <v>9</v>
      </c>
      <c r="N1186" t="s">
        <v>723</v>
      </c>
      <c r="O1186" t="s">
        <v>117</v>
      </c>
      <c r="P1186" t="s">
        <v>12</v>
      </c>
      <c r="Q1186" t="s">
        <v>19</v>
      </c>
      <c r="R1186" t="s">
        <v>3895</v>
      </c>
      <c r="S1186" t="s">
        <v>1541</v>
      </c>
      <c r="T1186" t="s">
        <v>3822</v>
      </c>
      <c r="U1186" t="s">
        <v>1658</v>
      </c>
      <c r="V1186" t="s">
        <v>1750</v>
      </c>
      <c r="W1186" t="s">
        <v>1742</v>
      </c>
      <c r="X1186" t="s">
        <v>1748</v>
      </c>
    </row>
    <row r="1187" spans="1:24" x14ac:dyDescent="0.3">
      <c r="A1187" t="s">
        <v>2994</v>
      </c>
      <c r="B1187" s="2">
        <v>45505</v>
      </c>
      <c r="C1187" t="s">
        <v>1290</v>
      </c>
      <c r="D1187" t="s">
        <v>1561</v>
      </c>
      <c r="E1187" t="s">
        <v>1740</v>
      </c>
      <c r="F1187" s="4">
        <v>1</v>
      </c>
      <c r="G1187">
        <v>86.03</v>
      </c>
      <c r="H1187">
        <v>0.01</v>
      </c>
      <c r="I1187" t="s">
        <v>1807</v>
      </c>
      <c r="J1187">
        <v>85.169700000000006</v>
      </c>
      <c r="K1187" t="s">
        <v>3949</v>
      </c>
      <c r="L1187">
        <v>45</v>
      </c>
      <c r="M1187" t="s">
        <v>16</v>
      </c>
      <c r="N1187" t="s">
        <v>1291</v>
      </c>
      <c r="O1187" t="s">
        <v>11</v>
      </c>
      <c r="P1187" t="s">
        <v>12</v>
      </c>
      <c r="Q1187" t="s">
        <v>26</v>
      </c>
      <c r="R1187" t="s">
        <v>3837</v>
      </c>
      <c r="S1187" t="s">
        <v>1546</v>
      </c>
      <c r="T1187" t="s">
        <v>3838</v>
      </c>
      <c r="U1187" t="s">
        <v>1562</v>
      </c>
      <c r="V1187" t="s">
        <v>1741</v>
      </c>
      <c r="W1187" t="s">
        <v>1742</v>
      </c>
      <c r="X1187" t="s">
        <v>1739</v>
      </c>
    </row>
    <row r="1188" spans="1:24" x14ac:dyDescent="0.3">
      <c r="A1188" t="s">
        <v>2995</v>
      </c>
      <c r="B1188" s="2">
        <v>45897</v>
      </c>
      <c r="C1188" t="s">
        <v>310</v>
      </c>
      <c r="D1188" t="s">
        <v>1639</v>
      </c>
      <c r="E1188" t="s">
        <v>1777</v>
      </c>
      <c r="F1188" s="4">
        <v>4</v>
      </c>
      <c r="G1188">
        <v>705.12</v>
      </c>
      <c r="H1188">
        <v>0.15</v>
      </c>
      <c r="I1188" t="s">
        <v>1809</v>
      </c>
      <c r="J1188">
        <v>2397.4079999999999</v>
      </c>
      <c r="K1188" t="s">
        <v>3939</v>
      </c>
      <c r="L1188">
        <v>58</v>
      </c>
      <c r="M1188" t="s">
        <v>9</v>
      </c>
      <c r="N1188" t="s">
        <v>311</v>
      </c>
      <c r="O1188" t="s">
        <v>312</v>
      </c>
      <c r="P1188" t="s">
        <v>12</v>
      </c>
      <c r="Q1188" t="s">
        <v>26</v>
      </c>
      <c r="R1188" t="s">
        <v>3886</v>
      </c>
      <c r="S1188" t="s">
        <v>1549</v>
      </c>
      <c r="T1188" t="s">
        <v>3820</v>
      </c>
      <c r="U1188" t="s">
        <v>1640</v>
      </c>
      <c r="V1188" t="s">
        <v>1741</v>
      </c>
      <c r="W1188" t="s">
        <v>1742</v>
      </c>
      <c r="X1188" t="s">
        <v>1739</v>
      </c>
    </row>
    <row r="1189" spans="1:24" x14ac:dyDescent="0.3">
      <c r="A1189" t="s">
        <v>2996</v>
      </c>
      <c r="B1189" s="2">
        <v>45602</v>
      </c>
      <c r="C1189" t="s">
        <v>1147</v>
      </c>
      <c r="D1189" t="s">
        <v>1567</v>
      </c>
      <c r="E1189" t="s">
        <v>1777</v>
      </c>
      <c r="F1189" s="4">
        <v>3</v>
      </c>
      <c r="G1189">
        <v>99.77</v>
      </c>
      <c r="H1189">
        <v>0.01</v>
      </c>
      <c r="I1189" t="s">
        <v>1809</v>
      </c>
      <c r="J1189">
        <v>296.31689999999998</v>
      </c>
      <c r="K1189" t="s">
        <v>1148</v>
      </c>
      <c r="L1189">
        <v>28</v>
      </c>
      <c r="M1189" t="s">
        <v>9</v>
      </c>
      <c r="N1189" t="s">
        <v>1149</v>
      </c>
      <c r="O1189" t="s">
        <v>47</v>
      </c>
      <c r="P1189" t="s">
        <v>12</v>
      </c>
      <c r="Q1189" t="s">
        <v>19</v>
      </c>
      <c r="R1189" t="s">
        <v>3842</v>
      </c>
      <c r="S1189" t="s">
        <v>1530</v>
      </c>
      <c r="T1189" t="s">
        <v>3818</v>
      </c>
      <c r="U1189" t="s">
        <v>1568</v>
      </c>
      <c r="V1189" t="s">
        <v>1741</v>
      </c>
      <c r="W1189" t="s">
        <v>1742</v>
      </c>
      <c r="X1189" t="s">
        <v>1739</v>
      </c>
    </row>
    <row r="1190" spans="1:24" x14ac:dyDescent="0.3">
      <c r="A1190" t="s">
        <v>2997</v>
      </c>
      <c r="B1190" s="2">
        <v>45530</v>
      </c>
      <c r="C1190" t="s">
        <v>675</v>
      </c>
      <c r="D1190" t="s">
        <v>1599</v>
      </c>
      <c r="E1190" t="s">
        <v>1769</v>
      </c>
      <c r="F1190" s="4">
        <v>2</v>
      </c>
      <c r="G1190">
        <v>166.26</v>
      </c>
      <c r="H1190">
        <v>0.14000000000000001</v>
      </c>
      <c r="I1190" t="s">
        <v>1809</v>
      </c>
      <c r="J1190">
        <v>285.96719999999999</v>
      </c>
      <c r="K1190" t="s">
        <v>676</v>
      </c>
      <c r="L1190">
        <v>48</v>
      </c>
      <c r="M1190" t="s">
        <v>9</v>
      </c>
      <c r="N1190" t="s">
        <v>677</v>
      </c>
      <c r="O1190" t="s">
        <v>429</v>
      </c>
      <c r="P1190" t="s">
        <v>12</v>
      </c>
      <c r="Q1190" t="s">
        <v>19</v>
      </c>
      <c r="R1190" t="s">
        <v>3862</v>
      </c>
      <c r="S1190" t="s">
        <v>1546</v>
      </c>
      <c r="T1190" t="s">
        <v>3811</v>
      </c>
      <c r="U1190" t="s">
        <v>1600</v>
      </c>
      <c r="V1190" t="s">
        <v>1770</v>
      </c>
      <c r="W1190" t="s">
        <v>1746</v>
      </c>
      <c r="X1190" t="s">
        <v>1739</v>
      </c>
    </row>
    <row r="1191" spans="1:24" x14ac:dyDescent="0.3">
      <c r="A1191" t="s">
        <v>2998</v>
      </c>
      <c r="B1191" s="2">
        <v>45729</v>
      </c>
      <c r="C1191" t="s">
        <v>1401</v>
      </c>
      <c r="D1191" t="s">
        <v>1583</v>
      </c>
      <c r="E1191" t="s">
        <v>1756</v>
      </c>
      <c r="F1191" s="4">
        <v>1</v>
      </c>
      <c r="G1191">
        <v>429.25</v>
      </c>
      <c r="H1191">
        <v>0.28999999999999998</v>
      </c>
      <c r="I1191" t="s">
        <v>1807</v>
      </c>
      <c r="J1191">
        <v>304.76749999999998</v>
      </c>
      <c r="K1191" t="s">
        <v>673</v>
      </c>
      <c r="L1191">
        <v>35</v>
      </c>
      <c r="M1191" t="s">
        <v>9</v>
      </c>
      <c r="N1191" t="s">
        <v>1402</v>
      </c>
      <c r="O1191" t="s">
        <v>312</v>
      </c>
      <c r="P1191" t="s">
        <v>12</v>
      </c>
      <c r="Q1191" t="s">
        <v>13</v>
      </c>
      <c r="R1191" t="s">
        <v>3853</v>
      </c>
      <c r="S1191" t="s">
        <v>1546</v>
      </c>
      <c r="T1191" t="s">
        <v>3826</v>
      </c>
      <c r="U1191" t="s">
        <v>1584</v>
      </c>
      <c r="V1191" t="s">
        <v>1757</v>
      </c>
      <c r="W1191" t="s">
        <v>1742</v>
      </c>
      <c r="X1191" t="s">
        <v>1748</v>
      </c>
    </row>
    <row r="1192" spans="1:24" x14ac:dyDescent="0.3">
      <c r="A1192" t="s">
        <v>2999</v>
      </c>
      <c r="B1192" s="2">
        <v>45468</v>
      </c>
      <c r="C1192" t="s">
        <v>1355</v>
      </c>
      <c r="D1192" t="s">
        <v>1526</v>
      </c>
      <c r="E1192" t="s">
        <v>1769</v>
      </c>
      <c r="F1192" s="4">
        <v>2</v>
      </c>
      <c r="G1192">
        <v>540.48</v>
      </c>
      <c r="H1192">
        <v>0.28999999999999998</v>
      </c>
      <c r="I1192" t="s">
        <v>1807</v>
      </c>
      <c r="J1192">
        <v>767.48159999999996</v>
      </c>
      <c r="K1192" t="s">
        <v>1356</v>
      </c>
      <c r="L1192">
        <v>19</v>
      </c>
      <c r="M1192" t="s">
        <v>9</v>
      </c>
      <c r="N1192" t="s">
        <v>1357</v>
      </c>
      <c r="O1192" t="s">
        <v>354</v>
      </c>
      <c r="P1192" t="s">
        <v>12</v>
      </c>
      <c r="Q1192" t="s">
        <v>31</v>
      </c>
      <c r="R1192" t="s">
        <v>3810</v>
      </c>
      <c r="S1192" t="s">
        <v>1546</v>
      </c>
      <c r="T1192" t="s">
        <v>3811</v>
      </c>
      <c r="U1192" t="s">
        <v>1528</v>
      </c>
      <c r="V1192" t="s">
        <v>1770</v>
      </c>
      <c r="W1192" t="s">
        <v>1746</v>
      </c>
      <c r="X1192" t="s">
        <v>1739</v>
      </c>
    </row>
    <row r="1193" spans="1:24" x14ac:dyDescent="0.3">
      <c r="A1193" t="s">
        <v>3000</v>
      </c>
      <c r="B1193" s="2">
        <v>45936</v>
      </c>
      <c r="C1193" t="s">
        <v>850</v>
      </c>
      <c r="D1193" t="s">
        <v>1649</v>
      </c>
      <c r="E1193" t="s">
        <v>1782</v>
      </c>
      <c r="F1193" s="4">
        <v>2</v>
      </c>
      <c r="G1193">
        <v>579.52</v>
      </c>
      <c r="H1193">
        <v>0.01</v>
      </c>
      <c r="I1193" t="s">
        <v>1809</v>
      </c>
      <c r="J1193">
        <v>1147.4495999999999</v>
      </c>
      <c r="K1193" t="s">
        <v>851</v>
      </c>
      <c r="L1193">
        <v>31</v>
      </c>
      <c r="M1193" t="s">
        <v>16</v>
      </c>
      <c r="N1193" t="s">
        <v>852</v>
      </c>
      <c r="O1193" t="s">
        <v>30</v>
      </c>
      <c r="P1193" t="s">
        <v>12</v>
      </c>
      <c r="Q1193" t="s">
        <v>31</v>
      </c>
      <c r="R1193" t="s">
        <v>3891</v>
      </c>
      <c r="S1193" t="s">
        <v>1541</v>
      </c>
      <c r="T1193" t="s">
        <v>3833</v>
      </c>
      <c r="U1193" t="s">
        <v>1650</v>
      </c>
      <c r="V1193" t="s">
        <v>1741</v>
      </c>
      <c r="W1193" t="s">
        <v>1742</v>
      </c>
      <c r="X1193" t="s">
        <v>1739</v>
      </c>
    </row>
    <row r="1194" spans="1:24" x14ac:dyDescent="0.3">
      <c r="A1194" t="s">
        <v>3001</v>
      </c>
      <c r="B1194" s="2">
        <v>45622</v>
      </c>
      <c r="C1194" t="s">
        <v>110</v>
      </c>
      <c r="D1194" t="s">
        <v>1669</v>
      </c>
      <c r="E1194" t="s">
        <v>1790</v>
      </c>
      <c r="F1194" s="4">
        <v>4</v>
      </c>
      <c r="G1194">
        <v>477.52</v>
      </c>
      <c r="H1194">
        <v>7.0000000000000007E-2</v>
      </c>
      <c r="I1194" t="s">
        <v>1809</v>
      </c>
      <c r="J1194">
        <v>1776.3743999999999</v>
      </c>
      <c r="K1194" t="s">
        <v>111</v>
      </c>
      <c r="L1194">
        <v>31</v>
      </c>
      <c r="M1194" t="s">
        <v>9</v>
      </c>
      <c r="N1194" t="s">
        <v>112</v>
      </c>
      <c r="O1194" t="s">
        <v>113</v>
      </c>
      <c r="P1194" t="s">
        <v>12</v>
      </c>
      <c r="Q1194" t="s">
        <v>13</v>
      </c>
      <c r="R1194" t="s">
        <v>3902</v>
      </c>
      <c r="S1194" t="s">
        <v>1530</v>
      </c>
      <c r="T1194" t="s">
        <v>3818</v>
      </c>
      <c r="U1194" t="s">
        <v>1670</v>
      </c>
      <c r="V1194" t="s">
        <v>1741</v>
      </c>
      <c r="W1194" t="s">
        <v>1742</v>
      </c>
      <c r="X1194" t="s">
        <v>1739</v>
      </c>
    </row>
    <row r="1195" spans="1:24" x14ac:dyDescent="0.3">
      <c r="A1195" t="s">
        <v>3002</v>
      </c>
      <c r="B1195" s="2">
        <v>45705</v>
      </c>
      <c r="C1195" t="s">
        <v>820</v>
      </c>
      <c r="D1195" t="s">
        <v>1713</v>
      </c>
      <c r="E1195" t="s">
        <v>1759</v>
      </c>
      <c r="F1195" s="4">
        <v>3</v>
      </c>
      <c r="G1195">
        <v>242.58</v>
      </c>
      <c r="H1195">
        <v>0.25</v>
      </c>
      <c r="I1195" t="s">
        <v>1807</v>
      </c>
      <c r="J1195">
        <v>545.80500000000006</v>
      </c>
      <c r="K1195" t="s">
        <v>821</v>
      </c>
      <c r="L1195">
        <v>63</v>
      </c>
      <c r="M1195" t="s">
        <v>16</v>
      </c>
      <c r="N1195" t="s">
        <v>822</v>
      </c>
      <c r="O1195" t="s">
        <v>96</v>
      </c>
      <c r="P1195" t="s">
        <v>12</v>
      </c>
      <c r="Q1195" t="s">
        <v>31</v>
      </c>
      <c r="R1195" t="s">
        <v>3924</v>
      </c>
      <c r="S1195" t="s">
        <v>1530</v>
      </c>
      <c r="T1195" t="s">
        <v>3866</v>
      </c>
      <c r="U1195" t="s">
        <v>1714</v>
      </c>
      <c r="V1195" t="s">
        <v>1760</v>
      </c>
      <c r="W1195" t="s">
        <v>1737</v>
      </c>
      <c r="X1195" t="s">
        <v>1755</v>
      </c>
    </row>
    <row r="1196" spans="1:24" x14ac:dyDescent="0.3">
      <c r="A1196" t="s">
        <v>3003</v>
      </c>
      <c r="B1196" s="2">
        <v>45250</v>
      </c>
      <c r="C1196" t="s">
        <v>1135</v>
      </c>
      <c r="D1196" t="s">
        <v>1583</v>
      </c>
      <c r="E1196" t="s">
        <v>1790</v>
      </c>
      <c r="F1196" s="4">
        <v>2</v>
      </c>
      <c r="G1196">
        <v>519.29999999999995</v>
      </c>
      <c r="H1196">
        <v>0.09</v>
      </c>
      <c r="I1196" t="s">
        <v>1809</v>
      </c>
      <c r="J1196">
        <v>945.12599999999998</v>
      </c>
      <c r="K1196" t="s">
        <v>1136</v>
      </c>
      <c r="L1196">
        <v>34</v>
      </c>
      <c r="M1196" t="s">
        <v>16</v>
      </c>
      <c r="N1196" t="s">
        <v>1137</v>
      </c>
      <c r="O1196" t="s">
        <v>25</v>
      </c>
      <c r="P1196" t="s">
        <v>12</v>
      </c>
      <c r="Q1196" t="s">
        <v>26</v>
      </c>
      <c r="R1196" t="s">
        <v>3853</v>
      </c>
      <c r="S1196" t="s">
        <v>1546</v>
      </c>
      <c r="T1196" t="s">
        <v>3826</v>
      </c>
      <c r="U1196" t="s">
        <v>1584</v>
      </c>
      <c r="V1196" t="s">
        <v>1741</v>
      </c>
      <c r="W1196" t="s">
        <v>1742</v>
      </c>
      <c r="X1196" t="s">
        <v>1739</v>
      </c>
    </row>
    <row r="1197" spans="1:24" x14ac:dyDescent="0.3">
      <c r="A1197" t="s">
        <v>3004</v>
      </c>
      <c r="B1197" s="2">
        <v>45684</v>
      </c>
      <c r="C1197" t="s">
        <v>1493</v>
      </c>
      <c r="D1197" t="s">
        <v>1719</v>
      </c>
      <c r="E1197" t="s">
        <v>1775</v>
      </c>
      <c r="F1197" s="4">
        <v>3</v>
      </c>
      <c r="G1197">
        <v>845.67</v>
      </c>
      <c r="H1197">
        <v>0.12</v>
      </c>
      <c r="I1197" t="s">
        <v>1812</v>
      </c>
      <c r="J1197">
        <v>2232.5688</v>
      </c>
      <c r="K1197" t="s">
        <v>1494</v>
      </c>
      <c r="L1197">
        <v>59</v>
      </c>
      <c r="M1197" t="s">
        <v>16</v>
      </c>
      <c r="N1197" t="s">
        <v>1495</v>
      </c>
      <c r="O1197" t="s">
        <v>39</v>
      </c>
      <c r="P1197" t="s">
        <v>12</v>
      </c>
      <c r="Q1197" t="s">
        <v>13</v>
      </c>
      <c r="R1197" t="s">
        <v>3927</v>
      </c>
      <c r="S1197" t="s">
        <v>1541</v>
      </c>
      <c r="T1197" t="s">
        <v>3822</v>
      </c>
      <c r="U1197" t="s">
        <v>1720</v>
      </c>
      <c r="V1197" t="s">
        <v>1741</v>
      </c>
      <c r="W1197" t="s">
        <v>1742</v>
      </c>
      <c r="X1197" t="s">
        <v>1739</v>
      </c>
    </row>
    <row r="1198" spans="1:24" x14ac:dyDescent="0.3">
      <c r="A1198" t="s">
        <v>3005</v>
      </c>
      <c r="B1198" s="2">
        <v>45395</v>
      </c>
      <c r="C1198" t="s">
        <v>953</v>
      </c>
      <c r="D1198" t="s">
        <v>1641</v>
      </c>
      <c r="E1198" t="s">
        <v>1787</v>
      </c>
      <c r="F1198" s="4">
        <v>4</v>
      </c>
      <c r="G1198">
        <v>750.26</v>
      </c>
      <c r="H1198">
        <v>0.01</v>
      </c>
      <c r="I1198" t="s">
        <v>1809</v>
      </c>
      <c r="J1198">
        <v>2971.0295999999998</v>
      </c>
      <c r="K1198" t="s">
        <v>954</v>
      </c>
      <c r="L1198">
        <v>44</v>
      </c>
      <c r="M1198" t="s">
        <v>9</v>
      </c>
      <c r="N1198" t="s">
        <v>955</v>
      </c>
      <c r="O1198" t="s">
        <v>74</v>
      </c>
      <c r="P1198" t="s">
        <v>12</v>
      </c>
      <c r="Q1198" t="s">
        <v>19</v>
      </c>
      <c r="R1198" t="s">
        <v>3887</v>
      </c>
      <c r="S1198" t="s">
        <v>1527</v>
      </c>
      <c r="T1198" t="s">
        <v>3836</v>
      </c>
      <c r="U1198" t="s">
        <v>1642</v>
      </c>
      <c r="V1198" t="s">
        <v>1741</v>
      </c>
      <c r="W1198" t="s">
        <v>1742</v>
      </c>
      <c r="X1198" t="s">
        <v>1739</v>
      </c>
    </row>
    <row r="1199" spans="1:24" x14ac:dyDescent="0.3">
      <c r="A1199" t="s">
        <v>3006</v>
      </c>
      <c r="B1199" s="2">
        <v>45382</v>
      </c>
      <c r="C1199" t="s">
        <v>1033</v>
      </c>
      <c r="D1199" t="s">
        <v>1715</v>
      </c>
      <c r="E1199" t="s">
        <v>1777</v>
      </c>
      <c r="F1199" s="4">
        <v>4</v>
      </c>
      <c r="G1199">
        <v>294.38</v>
      </c>
      <c r="H1199">
        <v>0.2</v>
      </c>
      <c r="I1199" t="s">
        <v>1807</v>
      </c>
      <c r="J1199">
        <v>942.01600000000008</v>
      </c>
      <c r="K1199" t="s">
        <v>1034</v>
      </c>
      <c r="L1199">
        <v>64</v>
      </c>
      <c r="M1199" t="s">
        <v>16</v>
      </c>
      <c r="N1199" t="s">
        <v>1035</v>
      </c>
      <c r="O1199" t="s">
        <v>99</v>
      </c>
      <c r="P1199" t="s">
        <v>12</v>
      </c>
      <c r="Q1199" t="s">
        <v>26</v>
      </c>
      <c r="R1199" t="s">
        <v>3925</v>
      </c>
      <c r="S1199" t="s">
        <v>1527</v>
      </c>
      <c r="T1199" t="s">
        <v>3838</v>
      </c>
      <c r="U1199" t="s">
        <v>1716</v>
      </c>
      <c r="V1199" t="s">
        <v>1741</v>
      </c>
      <c r="W1199" t="s">
        <v>1742</v>
      </c>
      <c r="X1199" t="s">
        <v>1739</v>
      </c>
    </row>
    <row r="1200" spans="1:24" x14ac:dyDescent="0.3">
      <c r="A1200" t="s">
        <v>3007</v>
      </c>
      <c r="B1200" s="2">
        <v>45919</v>
      </c>
      <c r="C1200" t="s">
        <v>342</v>
      </c>
      <c r="D1200" t="s">
        <v>1723</v>
      </c>
      <c r="E1200" t="s">
        <v>1744</v>
      </c>
      <c r="F1200" s="4">
        <v>3</v>
      </c>
      <c r="G1200">
        <v>583.52</v>
      </c>
      <c r="H1200">
        <v>7.0000000000000007E-2</v>
      </c>
      <c r="I1200" t="s">
        <v>1809</v>
      </c>
      <c r="J1200">
        <v>1628.0208</v>
      </c>
      <c r="K1200" t="s">
        <v>343</v>
      </c>
      <c r="L1200">
        <v>24</v>
      </c>
      <c r="M1200" t="s">
        <v>9</v>
      </c>
      <c r="N1200" t="s">
        <v>344</v>
      </c>
      <c r="O1200" t="s">
        <v>39</v>
      </c>
      <c r="P1200" t="s">
        <v>12</v>
      </c>
      <c r="Q1200" t="s">
        <v>31</v>
      </c>
      <c r="R1200" t="s">
        <v>3929</v>
      </c>
      <c r="S1200" t="s">
        <v>1530</v>
      </c>
      <c r="T1200" t="s">
        <v>3815</v>
      </c>
      <c r="U1200" t="s">
        <v>1724</v>
      </c>
      <c r="V1200" t="s">
        <v>1745</v>
      </c>
      <c r="W1200" t="s">
        <v>1746</v>
      </c>
      <c r="X1200" t="s">
        <v>1748</v>
      </c>
    </row>
    <row r="1201" spans="1:24" x14ac:dyDescent="0.3">
      <c r="A1201" t="s">
        <v>3008</v>
      </c>
      <c r="B1201" s="2">
        <v>45453</v>
      </c>
      <c r="C1201" t="s">
        <v>1433</v>
      </c>
      <c r="D1201" t="s">
        <v>1709</v>
      </c>
      <c r="E1201" t="s">
        <v>1787</v>
      </c>
      <c r="F1201" s="4">
        <v>2</v>
      </c>
      <c r="G1201">
        <v>635.22</v>
      </c>
      <c r="H1201">
        <v>0.3</v>
      </c>
      <c r="I1201" t="s">
        <v>1812</v>
      </c>
      <c r="J1201">
        <v>889.30799999999999</v>
      </c>
      <c r="K1201" t="s">
        <v>1434</v>
      </c>
      <c r="L1201">
        <v>42</v>
      </c>
      <c r="M1201" t="s">
        <v>9</v>
      </c>
      <c r="N1201" t="s">
        <v>1435</v>
      </c>
      <c r="O1201" t="s">
        <v>47</v>
      </c>
      <c r="P1201" t="s">
        <v>12</v>
      </c>
      <c r="Q1201" t="s">
        <v>13</v>
      </c>
      <c r="R1201" t="s">
        <v>3922</v>
      </c>
      <c r="S1201" t="s">
        <v>1541</v>
      </c>
      <c r="T1201" t="s">
        <v>3878</v>
      </c>
      <c r="U1201" t="s">
        <v>1710</v>
      </c>
      <c r="V1201" t="s">
        <v>1741</v>
      </c>
      <c r="W1201" t="s">
        <v>1742</v>
      </c>
      <c r="X1201" t="s">
        <v>1739</v>
      </c>
    </row>
    <row r="1202" spans="1:24" x14ac:dyDescent="0.3">
      <c r="A1202" t="s">
        <v>3009</v>
      </c>
      <c r="B1202" s="2">
        <v>45313</v>
      </c>
      <c r="C1202" t="s">
        <v>1312</v>
      </c>
      <c r="D1202" t="s">
        <v>1663</v>
      </c>
      <c r="E1202" t="s">
        <v>1744</v>
      </c>
      <c r="F1202" s="4">
        <v>1</v>
      </c>
      <c r="G1202">
        <v>743.55</v>
      </c>
      <c r="H1202">
        <v>0.11</v>
      </c>
      <c r="I1202" t="s">
        <v>1812</v>
      </c>
      <c r="J1202">
        <v>661.7595</v>
      </c>
      <c r="K1202" t="s">
        <v>1313</v>
      </c>
      <c r="L1202">
        <v>43</v>
      </c>
      <c r="M1202" t="s">
        <v>9</v>
      </c>
      <c r="N1202" t="s">
        <v>1314</v>
      </c>
      <c r="O1202" t="s">
        <v>323</v>
      </c>
      <c r="P1202" t="s">
        <v>12</v>
      </c>
      <c r="Q1202" t="s">
        <v>26</v>
      </c>
      <c r="R1202" t="s">
        <v>3898</v>
      </c>
      <c r="S1202" t="s">
        <v>1541</v>
      </c>
      <c r="T1202" t="s">
        <v>3833</v>
      </c>
      <c r="U1202" t="s">
        <v>1664</v>
      </c>
      <c r="V1202" t="s">
        <v>1745</v>
      </c>
      <c r="W1202" t="s">
        <v>1746</v>
      </c>
      <c r="X1202" t="s">
        <v>1748</v>
      </c>
    </row>
    <row r="1203" spans="1:24" x14ac:dyDescent="0.3">
      <c r="A1203" t="s">
        <v>3010</v>
      </c>
      <c r="B1203" s="2">
        <v>45377</v>
      </c>
      <c r="C1203" t="s">
        <v>355</v>
      </c>
      <c r="D1203" t="s">
        <v>1619</v>
      </c>
      <c r="E1203" t="s">
        <v>1749</v>
      </c>
      <c r="F1203" s="4">
        <v>4</v>
      </c>
      <c r="G1203">
        <v>530.45000000000005</v>
      </c>
      <c r="H1203">
        <v>0.13</v>
      </c>
      <c r="I1203" t="s">
        <v>1807</v>
      </c>
      <c r="J1203">
        <v>1845.9659999999999</v>
      </c>
      <c r="K1203" t="s">
        <v>356</v>
      </c>
      <c r="L1203">
        <v>34</v>
      </c>
      <c r="M1203" t="s">
        <v>16</v>
      </c>
      <c r="N1203" t="s">
        <v>357</v>
      </c>
      <c r="O1203" t="s">
        <v>117</v>
      </c>
      <c r="P1203" t="s">
        <v>12</v>
      </c>
      <c r="Q1203" t="s">
        <v>13</v>
      </c>
      <c r="R1203" t="s">
        <v>3874</v>
      </c>
      <c r="S1203" t="s">
        <v>1549</v>
      </c>
      <c r="T1203" t="s">
        <v>3828</v>
      </c>
      <c r="U1203" t="s">
        <v>1620</v>
      </c>
      <c r="V1203" t="s">
        <v>1750</v>
      </c>
      <c r="W1203" t="s">
        <v>1742</v>
      </c>
      <c r="X1203" t="s">
        <v>1748</v>
      </c>
    </row>
    <row r="1204" spans="1:24" x14ac:dyDescent="0.3">
      <c r="A1204" t="s">
        <v>3011</v>
      </c>
      <c r="B1204" s="2">
        <v>45371</v>
      </c>
      <c r="C1204" t="s">
        <v>835</v>
      </c>
      <c r="D1204" t="s">
        <v>1663</v>
      </c>
      <c r="E1204" t="s">
        <v>1769</v>
      </c>
      <c r="F1204" s="4">
        <v>2</v>
      </c>
      <c r="G1204">
        <v>972.4</v>
      </c>
      <c r="H1204">
        <v>0.06</v>
      </c>
      <c r="I1204" t="s">
        <v>1812</v>
      </c>
      <c r="J1204">
        <v>1828.1120000000001</v>
      </c>
      <c r="K1204" t="s">
        <v>836</v>
      </c>
      <c r="L1204">
        <v>38</v>
      </c>
      <c r="M1204" t="s">
        <v>9</v>
      </c>
      <c r="N1204" t="s">
        <v>837</v>
      </c>
      <c r="O1204" t="s">
        <v>838</v>
      </c>
      <c r="P1204" t="s">
        <v>12</v>
      </c>
      <c r="Q1204" t="s">
        <v>13</v>
      </c>
      <c r="R1204" t="s">
        <v>3898</v>
      </c>
      <c r="S1204" t="s">
        <v>1541</v>
      </c>
      <c r="T1204" t="s">
        <v>3833</v>
      </c>
      <c r="U1204" t="s">
        <v>1664</v>
      </c>
      <c r="V1204" t="s">
        <v>1770</v>
      </c>
      <c r="W1204" t="s">
        <v>1746</v>
      </c>
      <c r="X1204" t="s">
        <v>1739</v>
      </c>
    </row>
    <row r="1205" spans="1:24" x14ac:dyDescent="0.3">
      <c r="A1205" t="s">
        <v>3012</v>
      </c>
      <c r="B1205" s="2">
        <v>45797</v>
      </c>
      <c r="C1205" t="s">
        <v>1168</v>
      </c>
      <c r="D1205" t="s">
        <v>1561</v>
      </c>
      <c r="E1205" t="s">
        <v>1793</v>
      </c>
      <c r="F1205" s="4">
        <v>3</v>
      </c>
      <c r="G1205">
        <v>197.93</v>
      </c>
      <c r="H1205">
        <v>0</v>
      </c>
      <c r="I1205" t="s">
        <v>1812</v>
      </c>
      <c r="J1205">
        <v>593.79</v>
      </c>
      <c r="K1205" t="s">
        <v>1169</v>
      </c>
      <c r="L1205">
        <v>34</v>
      </c>
      <c r="M1205" t="s">
        <v>16</v>
      </c>
      <c r="N1205" t="s">
        <v>1170</v>
      </c>
      <c r="O1205" t="s">
        <v>92</v>
      </c>
      <c r="P1205" t="s">
        <v>12</v>
      </c>
      <c r="Q1205" t="s">
        <v>26</v>
      </c>
      <c r="R1205" t="s">
        <v>3837</v>
      </c>
      <c r="S1205" t="s">
        <v>1546</v>
      </c>
      <c r="T1205" t="s">
        <v>3838</v>
      </c>
      <c r="U1205" t="s">
        <v>1562</v>
      </c>
      <c r="V1205" t="s">
        <v>1741</v>
      </c>
      <c r="W1205" t="s">
        <v>1742</v>
      </c>
      <c r="X1205" t="s">
        <v>1739</v>
      </c>
    </row>
    <row r="1206" spans="1:24" x14ac:dyDescent="0.3">
      <c r="A1206" t="s">
        <v>3013</v>
      </c>
      <c r="B1206" s="2">
        <v>45575</v>
      </c>
      <c r="C1206" t="s">
        <v>1063</v>
      </c>
      <c r="D1206" t="s">
        <v>1705</v>
      </c>
      <c r="E1206" t="s">
        <v>1775</v>
      </c>
      <c r="F1206" s="4">
        <v>4</v>
      </c>
      <c r="G1206">
        <v>565.51</v>
      </c>
      <c r="H1206">
        <v>0.16</v>
      </c>
      <c r="I1206" t="s">
        <v>1809</v>
      </c>
      <c r="J1206">
        <v>1900.1135999999999</v>
      </c>
      <c r="K1206" t="s">
        <v>1064</v>
      </c>
      <c r="L1206">
        <v>38</v>
      </c>
      <c r="M1206" t="s">
        <v>9</v>
      </c>
      <c r="N1206" t="s">
        <v>1065</v>
      </c>
      <c r="O1206" t="s">
        <v>166</v>
      </c>
      <c r="P1206" t="s">
        <v>12</v>
      </c>
      <c r="Q1206" t="s">
        <v>26</v>
      </c>
      <c r="R1206" t="s">
        <v>3920</v>
      </c>
      <c r="S1206" t="s">
        <v>1527</v>
      </c>
      <c r="T1206" t="s">
        <v>3824</v>
      </c>
      <c r="U1206" t="s">
        <v>1706</v>
      </c>
      <c r="V1206" t="s">
        <v>1741</v>
      </c>
      <c r="W1206" t="s">
        <v>1742</v>
      </c>
      <c r="X1206" t="s">
        <v>1739</v>
      </c>
    </row>
    <row r="1207" spans="1:24" x14ac:dyDescent="0.3">
      <c r="A1207" t="s">
        <v>3014</v>
      </c>
      <c r="B1207" s="2">
        <v>45566</v>
      </c>
      <c r="C1207" t="s">
        <v>1232</v>
      </c>
      <c r="D1207" t="s">
        <v>1609</v>
      </c>
      <c r="E1207" t="s">
        <v>1752</v>
      </c>
      <c r="F1207" s="4">
        <v>4</v>
      </c>
      <c r="G1207">
        <v>983.38</v>
      </c>
      <c r="H1207">
        <v>0.25</v>
      </c>
      <c r="I1207" t="s">
        <v>1812</v>
      </c>
      <c r="J1207">
        <v>2950.14</v>
      </c>
      <c r="K1207" t="s">
        <v>1233</v>
      </c>
      <c r="L1207">
        <v>51</v>
      </c>
      <c r="M1207" t="s">
        <v>16</v>
      </c>
      <c r="N1207" t="s">
        <v>1234</v>
      </c>
      <c r="O1207" t="s">
        <v>96</v>
      </c>
      <c r="P1207" t="s">
        <v>12</v>
      </c>
      <c r="Q1207" t="s">
        <v>19</v>
      </c>
      <c r="R1207" t="s">
        <v>3868</v>
      </c>
      <c r="S1207" t="s">
        <v>1546</v>
      </c>
      <c r="T1207" t="s">
        <v>3869</v>
      </c>
      <c r="U1207" t="s">
        <v>1610</v>
      </c>
      <c r="V1207" t="s">
        <v>1753</v>
      </c>
      <c r="W1207" t="s">
        <v>1746</v>
      </c>
      <c r="X1207" t="s">
        <v>1755</v>
      </c>
    </row>
    <row r="1208" spans="1:24" x14ac:dyDescent="0.3">
      <c r="A1208" t="s">
        <v>3015</v>
      </c>
      <c r="B1208" s="2">
        <v>45252</v>
      </c>
      <c r="C1208" t="s">
        <v>746</v>
      </c>
      <c r="D1208" t="s">
        <v>1729</v>
      </c>
      <c r="E1208" t="s">
        <v>1769</v>
      </c>
      <c r="F1208" s="4">
        <v>1</v>
      </c>
      <c r="G1208">
        <v>955.06</v>
      </c>
      <c r="H1208">
        <v>0.14000000000000001</v>
      </c>
      <c r="I1208" t="s">
        <v>1807</v>
      </c>
      <c r="J1208">
        <v>821.35159999999996</v>
      </c>
      <c r="K1208" t="s">
        <v>747</v>
      </c>
      <c r="L1208">
        <v>28</v>
      </c>
      <c r="M1208" t="s">
        <v>16</v>
      </c>
      <c r="N1208" t="s">
        <v>748</v>
      </c>
      <c r="O1208" t="s">
        <v>62</v>
      </c>
      <c r="P1208" t="s">
        <v>12</v>
      </c>
      <c r="Q1208" t="s">
        <v>13</v>
      </c>
      <c r="R1208" t="s">
        <v>3932</v>
      </c>
      <c r="S1208" t="s">
        <v>1527</v>
      </c>
      <c r="T1208" t="s">
        <v>3830</v>
      </c>
      <c r="U1208" t="s">
        <v>1730</v>
      </c>
      <c r="V1208" t="s">
        <v>1770</v>
      </c>
      <c r="W1208" t="s">
        <v>1746</v>
      </c>
      <c r="X1208" t="s">
        <v>1739</v>
      </c>
    </row>
    <row r="1209" spans="1:24" x14ac:dyDescent="0.3">
      <c r="A1209" t="s">
        <v>3016</v>
      </c>
      <c r="B1209" s="2">
        <v>45693</v>
      </c>
      <c r="C1209" t="s">
        <v>1092</v>
      </c>
      <c r="D1209" t="s">
        <v>1649</v>
      </c>
      <c r="E1209" t="s">
        <v>1784</v>
      </c>
      <c r="F1209" s="4">
        <v>3</v>
      </c>
      <c r="G1209">
        <v>597.46</v>
      </c>
      <c r="H1209">
        <v>0.02</v>
      </c>
      <c r="I1209" t="s">
        <v>1809</v>
      </c>
      <c r="J1209">
        <v>1756.5324000000001</v>
      </c>
      <c r="K1209" t="s">
        <v>1093</v>
      </c>
      <c r="L1209">
        <v>56</v>
      </c>
      <c r="M1209" t="s">
        <v>16</v>
      </c>
      <c r="N1209" t="s">
        <v>1094</v>
      </c>
      <c r="O1209" t="s">
        <v>319</v>
      </c>
      <c r="P1209" t="s">
        <v>12</v>
      </c>
      <c r="Q1209" t="s">
        <v>31</v>
      </c>
      <c r="R1209" t="s">
        <v>3891</v>
      </c>
      <c r="S1209" t="s">
        <v>1541</v>
      </c>
      <c r="T1209" t="s">
        <v>3833</v>
      </c>
      <c r="U1209" t="s">
        <v>1650</v>
      </c>
      <c r="V1209" t="s">
        <v>1741</v>
      </c>
      <c r="W1209" t="s">
        <v>1742</v>
      </c>
      <c r="X1209" t="s">
        <v>1739</v>
      </c>
    </row>
    <row r="1210" spans="1:24" x14ac:dyDescent="0.3">
      <c r="A1210" t="s">
        <v>3017</v>
      </c>
      <c r="B1210" s="2">
        <v>45446</v>
      </c>
      <c r="C1210" t="s">
        <v>989</v>
      </c>
      <c r="D1210" t="s">
        <v>1545</v>
      </c>
      <c r="E1210" t="s">
        <v>1787</v>
      </c>
      <c r="F1210" s="4">
        <v>3</v>
      </c>
      <c r="G1210">
        <v>581.09</v>
      </c>
      <c r="H1210">
        <v>0.1</v>
      </c>
      <c r="I1210" t="s">
        <v>1812</v>
      </c>
      <c r="J1210">
        <v>1568.943</v>
      </c>
      <c r="K1210" t="s">
        <v>990</v>
      </c>
      <c r="L1210">
        <v>25</v>
      </c>
      <c r="M1210" t="s">
        <v>9</v>
      </c>
      <c r="N1210" t="s">
        <v>991</v>
      </c>
      <c r="O1210" t="s">
        <v>47</v>
      </c>
      <c r="P1210" t="s">
        <v>12</v>
      </c>
      <c r="Q1210" t="s">
        <v>13</v>
      </c>
      <c r="R1210" t="s">
        <v>3912</v>
      </c>
      <c r="S1210" t="s">
        <v>1527</v>
      </c>
      <c r="T1210" t="s">
        <v>3824</v>
      </c>
      <c r="U1210" t="s">
        <v>1690</v>
      </c>
      <c r="V1210" t="s">
        <v>1741</v>
      </c>
      <c r="W1210" t="s">
        <v>1742</v>
      </c>
      <c r="X1210" t="s">
        <v>1739</v>
      </c>
    </row>
    <row r="1211" spans="1:24" x14ac:dyDescent="0.3">
      <c r="A1211" t="s">
        <v>3018</v>
      </c>
      <c r="B1211" s="2">
        <v>45862</v>
      </c>
      <c r="C1211" t="s">
        <v>202</v>
      </c>
      <c r="D1211" t="s">
        <v>1591</v>
      </c>
      <c r="E1211" t="s">
        <v>1752</v>
      </c>
      <c r="F1211" s="4">
        <v>4</v>
      </c>
      <c r="G1211">
        <v>153.94999999999999</v>
      </c>
      <c r="H1211">
        <v>0.11</v>
      </c>
      <c r="I1211" t="s">
        <v>1809</v>
      </c>
      <c r="J1211">
        <v>548.06200000000001</v>
      </c>
      <c r="K1211" t="s">
        <v>203</v>
      </c>
      <c r="L1211">
        <v>56</v>
      </c>
      <c r="M1211" t="s">
        <v>16</v>
      </c>
      <c r="N1211" t="s">
        <v>204</v>
      </c>
      <c r="O1211" t="s">
        <v>96</v>
      </c>
      <c r="P1211" t="s">
        <v>12</v>
      </c>
      <c r="Q1211" t="s">
        <v>19</v>
      </c>
      <c r="R1211" t="s">
        <v>3857</v>
      </c>
      <c r="S1211" t="s">
        <v>1527</v>
      </c>
      <c r="T1211" t="s">
        <v>3830</v>
      </c>
      <c r="U1211" t="s">
        <v>1592</v>
      </c>
      <c r="V1211" t="s">
        <v>1753</v>
      </c>
      <c r="W1211" t="s">
        <v>1746</v>
      </c>
      <c r="X1211" t="s">
        <v>1755</v>
      </c>
    </row>
    <row r="1212" spans="1:24" x14ac:dyDescent="0.3">
      <c r="A1212" t="s">
        <v>3019</v>
      </c>
      <c r="B1212" s="2">
        <v>45530</v>
      </c>
      <c r="C1212" t="s">
        <v>292</v>
      </c>
      <c r="D1212" t="s">
        <v>1603</v>
      </c>
      <c r="E1212" t="s">
        <v>1765</v>
      </c>
      <c r="F1212" s="4">
        <v>4</v>
      </c>
      <c r="G1212">
        <v>271.04000000000002</v>
      </c>
      <c r="H1212">
        <v>0.12</v>
      </c>
      <c r="I1212" t="s">
        <v>1812</v>
      </c>
      <c r="J1212">
        <v>954.06080000000009</v>
      </c>
      <c r="K1212" t="s">
        <v>293</v>
      </c>
      <c r="L1212">
        <v>53</v>
      </c>
      <c r="M1212" t="s">
        <v>9</v>
      </c>
      <c r="N1212" t="s">
        <v>294</v>
      </c>
      <c r="O1212" t="s">
        <v>133</v>
      </c>
      <c r="P1212" t="s">
        <v>12</v>
      </c>
      <c r="Q1212" t="s">
        <v>19</v>
      </c>
      <c r="R1212" t="s">
        <v>3864</v>
      </c>
      <c r="S1212" t="s">
        <v>1530</v>
      </c>
      <c r="T1212" t="s">
        <v>3813</v>
      </c>
      <c r="U1212" t="s">
        <v>1604</v>
      </c>
      <c r="V1212" t="s">
        <v>1766</v>
      </c>
      <c r="W1212" t="s">
        <v>1767</v>
      </c>
      <c r="X1212" t="s">
        <v>1755</v>
      </c>
    </row>
    <row r="1213" spans="1:24" x14ac:dyDescent="0.3">
      <c r="A1213" t="s">
        <v>3020</v>
      </c>
      <c r="B1213" s="2">
        <v>45558</v>
      </c>
      <c r="C1213" t="s">
        <v>71</v>
      </c>
      <c r="D1213" t="s">
        <v>1601</v>
      </c>
      <c r="E1213" t="s">
        <v>1759</v>
      </c>
      <c r="F1213" s="4">
        <v>4</v>
      </c>
      <c r="G1213">
        <v>328.27</v>
      </c>
      <c r="H1213">
        <v>0.09</v>
      </c>
      <c r="I1213" t="s">
        <v>1809</v>
      </c>
      <c r="J1213">
        <v>1194.9028000000001</v>
      </c>
      <c r="K1213" t="s">
        <v>72</v>
      </c>
      <c r="L1213">
        <v>24</v>
      </c>
      <c r="M1213" t="s">
        <v>16</v>
      </c>
      <c r="N1213" t="s">
        <v>73</v>
      </c>
      <c r="O1213" t="s">
        <v>74</v>
      </c>
      <c r="P1213" t="s">
        <v>12</v>
      </c>
      <c r="Q1213" t="s">
        <v>19</v>
      </c>
      <c r="R1213" t="s">
        <v>3863</v>
      </c>
      <c r="S1213" t="s">
        <v>1527</v>
      </c>
      <c r="T1213" t="s">
        <v>3824</v>
      </c>
      <c r="U1213" t="s">
        <v>1602</v>
      </c>
      <c r="V1213" t="s">
        <v>1760</v>
      </c>
      <c r="W1213" t="s">
        <v>1737</v>
      </c>
      <c r="X1213" t="s">
        <v>1755</v>
      </c>
    </row>
    <row r="1214" spans="1:24" x14ac:dyDescent="0.3">
      <c r="A1214" t="s">
        <v>3021</v>
      </c>
      <c r="B1214" s="2">
        <v>45472</v>
      </c>
      <c r="C1214" t="s">
        <v>1501</v>
      </c>
      <c r="D1214" t="s">
        <v>1565</v>
      </c>
      <c r="E1214" t="s">
        <v>1782</v>
      </c>
      <c r="F1214" s="4">
        <v>4</v>
      </c>
      <c r="G1214">
        <v>884.71</v>
      </c>
      <c r="H1214">
        <v>0.09</v>
      </c>
      <c r="I1214" t="s">
        <v>1809</v>
      </c>
      <c r="J1214">
        <v>3220.3444</v>
      </c>
      <c r="K1214" t="s">
        <v>1502</v>
      </c>
      <c r="L1214">
        <v>23</v>
      </c>
      <c r="M1214" t="s">
        <v>16</v>
      </c>
      <c r="N1214" t="s">
        <v>1503</v>
      </c>
      <c r="O1214" t="s">
        <v>354</v>
      </c>
      <c r="P1214" t="s">
        <v>12</v>
      </c>
      <c r="Q1214" t="s">
        <v>13</v>
      </c>
      <c r="R1214" t="s">
        <v>3841</v>
      </c>
      <c r="S1214" t="s">
        <v>1549</v>
      </c>
      <c r="T1214" t="s">
        <v>3820</v>
      </c>
      <c r="U1214" t="s">
        <v>1566</v>
      </c>
      <c r="V1214" t="s">
        <v>1741</v>
      </c>
      <c r="W1214" t="s">
        <v>1742</v>
      </c>
      <c r="X1214" t="s">
        <v>1739</v>
      </c>
    </row>
    <row r="1215" spans="1:24" x14ac:dyDescent="0.3">
      <c r="A1215" t="s">
        <v>3022</v>
      </c>
      <c r="B1215" s="2">
        <v>45809</v>
      </c>
      <c r="C1215" t="s">
        <v>791</v>
      </c>
      <c r="D1215" t="s">
        <v>1675</v>
      </c>
      <c r="E1215" t="s">
        <v>1752</v>
      </c>
      <c r="F1215" s="4">
        <v>1</v>
      </c>
      <c r="G1215">
        <v>41.39</v>
      </c>
      <c r="H1215">
        <v>0.01</v>
      </c>
      <c r="I1215" t="s">
        <v>1807</v>
      </c>
      <c r="J1215">
        <v>40.976100000000002</v>
      </c>
      <c r="K1215" t="s">
        <v>792</v>
      </c>
      <c r="L1215">
        <v>48</v>
      </c>
      <c r="M1215" t="s">
        <v>9</v>
      </c>
      <c r="N1215" t="s">
        <v>793</v>
      </c>
      <c r="O1215" t="s">
        <v>58</v>
      </c>
      <c r="P1215" t="s">
        <v>12</v>
      </c>
      <c r="Q1215" t="s">
        <v>13</v>
      </c>
      <c r="R1215" t="s">
        <v>3905</v>
      </c>
      <c r="S1215" t="s">
        <v>1549</v>
      </c>
      <c r="T1215" t="s">
        <v>3828</v>
      </c>
      <c r="U1215" t="s">
        <v>1676</v>
      </c>
      <c r="V1215" t="s">
        <v>1753</v>
      </c>
      <c r="W1215" t="s">
        <v>1746</v>
      </c>
      <c r="X1215" t="s">
        <v>1755</v>
      </c>
    </row>
    <row r="1216" spans="1:24" x14ac:dyDescent="0.3">
      <c r="A1216" t="s">
        <v>3023</v>
      </c>
      <c r="B1216" s="2">
        <v>45783</v>
      </c>
      <c r="C1216" t="s">
        <v>545</v>
      </c>
      <c r="D1216" t="s">
        <v>1645</v>
      </c>
      <c r="E1216" t="s">
        <v>1769</v>
      </c>
      <c r="F1216" s="4">
        <v>4</v>
      </c>
      <c r="G1216">
        <v>64.06</v>
      </c>
      <c r="H1216">
        <v>0.26</v>
      </c>
      <c r="I1216" t="s">
        <v>1807</v>
      </c>
      <c r="J1216">
        <v>189.61760000000001</v>
      </c>
      <c r="K1216" t="s">
        <v>546</v>
      </c>
      <c r="L1216">
        <v>25</v>
      </c>
      <c r="M1216" t="s">
        <v>16</v>
      </c>
      <c r="N1216" t="s">
        <v>547</v>
      </c>
      <c r="O1216" t="s">
        <v>191</v>
      </c>
      <c r="P1216" t="s">
        <v>12</v>
      </c>
      <c r="Q1216" t="s">
        <v>19</v>
      </c>
      <c r="R1216" t="s">
        <v>3889</v>
      </c>
      <c r="S1216" t="s">
        <v>1549</v>
      </c>
      <c r="T1216" t="s">
        <v>3828</v>
      </c>
      <c r="U1216" t="s">
        <v>1646</v>
      </c>
      <c r="V1216" t="s">
        <v>1770</v>
      </c>
      <c r="W1216" t="s">
        <v>1746</v>
      </c>
      <c r="X1216" t="s">
        <v>1739</v>
      </c>
    </row>
    <row r="1217" spans="1:24" x14ac:dyDescent="0.3">
      <c r="A1217" t="s">
        <v>3024</v>
      </c>
      <c r="B1217" s="2">
        <v>45849</v>
      </c>
      <c r="C1217" t="s">
        <v>1075</v>
      </c>
      <c r="D1217" t="s">
        <v>1623</v>
      </c>
      <c r="E1217" t="s">
        <v>1769</v>
      </c>
      <c r="F1217" s="4">
        <v>2</v>
      </c>
      <c r="G1217">
        <v>152.25</v>
      </c>
      <c r="H1217">
        <v>0.13</v>
      </c>
      <c r="I1217" t="s">
        <v>1807</v>
      </c>
      <c r="J1217">
        <v>264.91500000000002</v>
      </c>
      <c r="K1217" t="s">
        <v>1076</v>
      </c>
      <c r="L1217">
        <v>39</v>
      </c>
      <c r="M1217" t="s">
        <v>16</v>
      </c>
      <c r="N1217" t="s">
        <v>1077</v>
      </c>
      <c r="O1217" t="s">
        <v>234</v>
      </c>
      <c r="P1217" t="s">
        <v>12</v>
      </c>
      <c r="Q1217" t="s">
        <v>19</v>
      </c>
      <c r="R1217" t="s">
        <v>3876</v>
      </c>
      <c r="S1217" t="s">
        <v>1530</v>
      </c>
      <c r="T1217" t="s">
        <v>3815</v>
      </c>
      <c r="U1217" t="s">
        <v>1624</v>
      </c>
      <c r="V1217" t="s">
        <v>1770</v>
      </c>
      <c r="W1217" t="s">
        <v>1746</v>
      </c>
      <c r="X1217" t="s">
        <v>1739</v>
      </c>
    </row>
    <row r="1218" spans="1:24" x14ac:dyDescent="0.3">
      <c r="A1218" t="s">
        <v>3025</v>
      </c>
      <c r="B1218" s="2">
        <v>45281</v>
      </c>
      <c r="C1218" t="s">
        <v>351</v>
      </c>
      <c r="D1218" t="s">
        <v>1557</v>
      </c>
      <c r="E1218" t="s">
        <v>1796</v>
      </c>
      <c r="F1218" s="4">
        <v>2</v>
      </c>
      <c r="G1218">
        <v>889.04</v>
      </c>
      <c r="H1218">
        <v>0.23</v>
      </c>
      <c r="I1218" t="s">
        <v>1807</v>
      </c>
      <c r="J1218">
        <v>1369.1215999999999</v>
      </c>
      <c r="K1218" t="s">
        <v>352</v>
      </c>
      <c r="L1218">
        <v>29</v>
      </c>
      <c r="M1218" t="s">
        <v>9</v>
      </c>
      <c r="N1218" t="s">
        <v>353</v>
      </c>
      <c r="O1218" t="s">
        <v>354</v>
      </c>
      <c r="P1218" t="s">
        <v>12</v>
      </c>
      <c r="Q1218" t="s">
        <v>19</v>
      </c>
      <c r="R1218" t="s">
        <v>3834</v>
      </c>
      <c r="S1218" t="s">
        <v>1546</v>
      </c>
      <c r="T1218" t="s">
        <v>3820</v>
      </c>
      <c r="U1218" t="s">
        <v>1558</v>
      </c>
      <c r="V1218" t="s">
        <v>1741</v>
      </c>
      <c r="W1218" t="s">
        <v>1742</v>
      </c>
      <c r="X1218" t="s">
        <v>1739</v>
      </c>
    </row>
    <row r="1219" spans="1:24" x14ac:dyDescent="0.3">
      <c r="A1219" t="s">
        <v>3026</v>
      </c>
      <c r="B1219" s="2">
        <v>45322</v>
      </c>
      <c r="C1219" t="s">
        <v>533</v>
      </c>
      <c r="D1219" t="s">
        <v>1605</v>
      </c>
      <c r="E1219" t="s">
        <v>1772</v>
      </c>
      <c r="F1219" s="4">
        <v>3</v>
      </c>
      <c r="G1219">
        <v>145.25</v>
      </c>
      <c r="H1219">
        <v>0.24</v>
      </c>
      <c r="I1219" t="s">
        <v>1809</v>
      </c>
      <c r="J1219">
        <v>331.17</v>
      </c>
      <c r="K1219" t="s">
        <v>534</v>
      </c>
      <c r="L1219">
        <v>37</v>
      </c>
      <c r="M1219" t="s">
        <v>9</v>
      </c>
      <c r="N1219" t="s">
        <v>535</v>
      </c>
      <c r="O1219" t="s">
        <v>133</v>
      </c>
      <c r="P1219" t="s">
        <v>12</v>
      </c>
      <c r="Q1219" t="s">
        <v>31</v>
      </c>
      <c r="R1219" t="s">
        <v>3865</v>
      </c>
      <c r="S1219" t="s">
        <v>1530</v>
      </c>
      <c r="T1219" t="s">
        <v>3866</v>
      </c>
      <c r="U1219" t="s">
        <v>1606</v>
      </c>
      <c r="V1219" t="s">
        <v>1741</v>
      </c>
      <c r="W1219" t="s">
        <v>1742</v>
      </c>
      <c r="X1219" t="s">
        <v>1739</v>
      </c>
    </row>
    <row r="1220" spans="1:24" x14ac:dyDescent="0.3">
      <c r="A1220" t="s">
        <v>3027</v>
      </c>
      <c r="B1220" s="2">
        <v>45560</v>
      </c>
      <c r="C1220" t="s">
        <v>208</v>
      </c>
      <c r="D1220" t="s">
        <v>1707</v>
      </c>
      <c r="E1220" t="s">
        <v>1744</v>
      </c>
      <c r="F1220" s="4">
        <v>2</v>
      </c>
      <c r="G1220">
        <v>898.45</v>
      </c>
      <c r="H1220">
        <v>0.28999999999999998</v>
      </c>
      <c r="I1220" t="s">
        <v>1812</v>
      </c>
      <c r="J1220">
        <v>1275.799</v>
      </c>
      <c r="K1220" t="s">
        <v>209</v>
      </c>
      <c r="L1220">
        <v>43</v>
      </c>
      <c r="M1220" t="s">
        <v>16</v>
      </c>
      <c r="N1220" t="s">
        <v>210</v>
      </c>
      <c r="O1220" t="s">
        <v>51</v>
      </c>
      <c r="P1220" t="s">
        <v>12</v>
      </c>
      <c r="Q1220" t="s">
        <v>13</v>
      </c>
      <c r="R1220" t="s">
        <v>3921</v>
      </c>
      <c r="S1220" t="s">
        <v>1549</v>
      </c>
      <c r="T1220" t="s">
        <v>3820</v>
      </c>
      <c r="U1220" t="s">
        <v>1708</v>
      </c>
      <c r="V1220" t="s">
        <v>1745</v>
      </c>
      <c r="W1220" t="s">
        <v>1746</v>
      </c>
      <c r="X1220" t="s">
        <v>1748</v>
      </c>
    </row>
    <row r="1221" spans="1:24" x14ac:dyDescent="0.3">
      <c r="A1221" t="s">
        <v>3028</v>
      </c>
      <c r="B1221" s="2">
        <v>45905</v>
      </c>
      <c r="C1221" t="s">
        <v>124</v>
      </c>
      <c r="D1221" t="s">
        <v>1601</v>
      </c>
      <c r="E1221" t="s">
        <v>1784</v>
      </c>
      <c r="F1221" s="4">
        <v>4</v>
      </c>
      <c r="G1221">
        <v>642.04999999999995</v>
      </c>
      <c r="H1221">
        <v>0.25</v>
      </c>
      <c r="I1221" t="s">
        <v>1807</v>
      </c>
      <c r="J1221">
        <v>1926.15</v>
      </c>
      <c r="K1221" t="s">
        <v>125</v>
      </c>
      <c r="L1221">
        <v>41</v>
      </c>
      <c r="M1221" t="s">
        <v>9</v>
      </c>
      <c r="N1221" t="s">
        <v>126</v>
      </c>
      <c r="O1221" t="s">
        <v>51</v>
      </c>
      <c r="P1221" t="s">
        <v>12</v>
      </c>
      <c r="Q1221" t="s">
        <v>26</v>
      </c>
      <c r="R1221" t="s">
        <v>3863</v>
      </c>
      <c r="S1221" t="s">
        <v>1527</v>
      </c>
      <c r="T1221" t="s">
        <v>3824</v>
      </c>
      <c r="U1221" t="s">
        <v>1602</v>
      </c>
      <c r="V1221" t="s">
        <v>1741</v>
      </c>
      <c r="W1221" t="s">
        <v>1742</v>
      </c>
      <c r="X1221" t="s">
        <v>1739</v>
      </c>
    </row>
    <row r="1222" spans="1:24" x14ac:dyDescent="0.3">
      <c r="A1222" t="s">
        <v>3029</v>
      </c>
      <c r="B1222" s="2">
        <v>45531</v>
      </c>
      <c r="C1222" t="s">
        <v>977</v>
      </c>
      <c r="D1222" t="s">
        <v>1699</v>
      </c>
      <c r="E1222" t="s">
        <v>1762</v>
      </c>
      <c r="F1222" s="4">
        <v>4</v>
      </c>
      <c r="G1222">
        <v>450.83</v>
      </c>
      <c r="H1222">
        <v>0.24</v>
      </c>
      <c r="I1222" t="s">
        <v>1807</v>
      </c>
      <c r="J1222">
        <v>1370.5232000000001</v>
      </c>
      <c r="K1222" t="s">
        <v>978</v>
      </c>
      <c r="L1222">
        <v>53</v>
      </c>
      <c r="M1222" t="s">
        <v>16</v>
      </c>
      <c r="N1222" t="s">
        <v>979</v>
      </c>
      <c r="O1222" t="s">
        <v>139</v>
      </c>
      <c r="P1222" t="s">
        <v>12</v>
      </c>
      <c r="Q1222" t="s">
        <v>19</v>
      </c>
      <c r="R1222" t="s">
        <v>3917</v>
      </c>
      <c r="S1222" t="s">
        <v>1527</v>
      </c>
      <c r="T1222" t="s">
        <v>3901</v>
      </c>
      <c r="U1222" t="s">
        <v>1700</v>
      </c>
      <c r="V1222" t="s">
        <v>1763</v>
      </c>
      <c r="W1222" t="s">
        <v>1746</v>
      </c>
      <c r="X1222" t="s">
        <v>1755</v>
      </c>
    </row>
    <row r="1223" spans="1:24" x14ac:dyDescent="0.3">
      <c r="A1223" t="s">
        <v>3030</v>
      </c>
      <c r="B1223" s="2">
        <v>45216</v>
      </c>
      <c r="C1223" t="s">
        <v>52</v>
      </c>
      <c r="D1223" t="s">
        <v>1635</v>
      </c>
      <c r="E1223" t="s">
        <v>1796</v>
      </c>
      <c r="F1223" s="4">
        <v>2</v>
      </c>
      <c r="G1223">
        <v>441.03</v>
      </c>
      <c r="H1223">
        <v>0.23</v>
      </c>
      <c r="I1223" t="s">
        <v>1812</v>
      </c>
      <c r="J1223">
        <v>679.18619999999999</v>
      </c>
      <c r="K1223" t="s">
        <v>53</v>
      </c>
      <c r="L1223">
        <v>28</v>
      </c>
      <c r="M1223" t="s">
        <v>16</v>
      </c>
      <c r="N1223" t="s">
        <v>54</v>
      </c>
      <c r="O1223" t="s">
        <v>51</v>
      </c>
      <c r="P1223" t="s">
        <v>12</v>
      </c>
      <c r="Q1223" t="s">
        <v>26</v>
      </c>
      <c r="R1223" t="s">
        <v>3884</v>
      </c>
      <c r="S1223" t="s">
        <v>1549</v>
      </c>
      <c r="T1223" t="s">
        <v>3859</v>
      </c>
      <c r="U1223" t="s">
        <v>1636</v>
      </c>
      <c r="V1223" t="s">
        <v>1741</v>
      </c>
      <c r="W1223" t="s">
        <v>1742</v>
      </c>
      <c r="X1223" t="s">
        <v>1739</v>
      </c>
    </row>
    <row r="1224" spans="1:24" x14ac:dyDescent="0.3">
      <c r="A1224" t="s">
        <v>3031</v>
      </c>
      <c r="B1224" s="2">
        <v>45384</v>
      </c>
      <c r="C1224" t="s">
        <v>295</v>
      </c>
      <c r="D1224" t="s">
        <v>1581</v>
      </c>
      <c r="E1224" t="s">
        <v>1744</v>
      </c>
      <c r="F1224" s="4">
        <v>3</v>
      </c>
      <c r="G1224">
        <v>377.69</v>
      </c>
      <c r="H1224">
        <v>7.0000000000000007E-2</v>
      </c>
      <c r="I1224" t="s">
        <v>1809</v>
      </c>
      <c r="J1224">
        <v>1053.7551000000001</v>
      </c>
      <c r="K1224" t="s">
        <v>296</v>
      </c>
      <c r="L1224">
        <v>48</v>
      </c>
      <c r="M1224" t="s">
        <v>16</v>
      </c>
      <c r="N1224" t="s">
        <v>297</v>
      </c>
      <c r="O1224" t="s">
        <v>247</v>
      </c>
      <c r="P1224" t="s">
        <v>12</v>
      </c>
      <c r="Q1224" t="s">
        <v>26</v>
      </c>
      <c r="R1224" t="s">
        <v>3852</v>
      </c>
      <c r="S1224" t="s">
        <v>1530</v>
      </c>
      <c r="T1224" t="s">
        <v>3820</v>
      </c>
      <c r="U1224" t="s">
        <v>1582</v>
      </c>
      <c r="V1224" t="s">
        <v>1745</v>
      </c>
      <c r="W1224" t="s">
        <v>1746</v>
      </c>
      <c r="X1224" t="s">
        <v>1748</v>
      </c>
    </row>
    <row r="1225" spans="1:24" x14ac:dyDescent="0.3">
      <c r="A1225" t="s">
        <v>3032</v>
      </c>
      <c r="B1225" s="2">
        <v>45416</v>
      </c>
      <c r="C1225" t="s">
        <v>530</v>
      </c>
      <c r="D1225" t="s">
        <v>1551</v>
      </c>
      <c r="E1225" t="s">
        <v>1762</v>
      </c>
      <c r="F1225" s="4">
        <v>1</v>
      </c>
      <c r="G1225">
        <v>457.33</v>
      </c>
      <c r="H1225">
        <v>0.27</v>
      </c>
      <c r="I1225" t="s">
        <v>1807</v>
      </c>
      <c r="J1225">
        <v>333.85090000000002</v>
      </c>
      <c r="K1225" t="s">
        <v>531</v>
      </c>
      <c r="L1225">
        <v>18</v>
      </c>
      <c r="M1225" t="s">
        <v>16</v>
      </c>
      <c r="N1225" t="s">
        <v>532</v>
      </c>
      <c r="O1225" t="s">
        <v>11</v>
      </c>
      <c r="P1225" t="s">
        <v>12</v>
      </c>
      <c r="Q1225" t="s">
        <v>19</v>
      </c>
      <c r="R1225" t="s">
        <v>3829</v>
      </c>
      <c r="S1225" t="s">
        <v>1527</v>
      </c>
      <c r="T1225" t="s">
        <v>3830</v>
      </c>
      <c r="U1225" t="s">
        <v>1552</v>
      </c>
      <c r="V1225" t="s">
        <v>1763</v>
      </c>
      <c r="W1225" t="s">
        <v>1746</v>
      </c>
      <c r="X1225" t="s">
        <v>1755</v>
      </c>
    </row>
    <row r="1226" spans="1:24" x14ac:dyDescent="0.3">
      <c r="A1226" t="s">
        <v>3033</v>
      </c>
      <c r="B1226" s="2">
        <v>45880</v>
      </c>
      <c r="C1226" t="s">
        <v>776</v>
      </c>
      <c r="D1226" t="s">
        <v>1683</v>
      </c>
      <c r="E1226" t="s">
        <v>1759</v>
      </c>
      <c r="F1226" s="4">
        <v>4</v>
      </c>
      <c r="G1226">
        <v>218.01</v>
      </c>
      <c r="H1226">
        <v>0.06</v>
      </c>
      <c r="I1226" t="s">
        <v>1807</v>
      </c>
      <c r="J1226">
        <v>819.71759999999995</v>
      </c>
      <c r="K1226" t="s">
        <v>777</v>
      </c>
      <c r="L1226">
        <v>57</v>
      </c>
      <c r="M1226" t="s">
        <v>16</v>
      </c>
      <c r="N1226" t="s">
        <v>778</v>
      </c>
      <c r="O1226" t="s">
        <v>117</v>
      </c>
      <c r="P1226" t="s">
        <v>12</v>
      </c>
      <c r="Q1226" t="s">
        <v>26</v>
      </c>
      <c r="R1226" t="s">
        <v>3909</v>
      </c>
      <c r="S1226" t="s">
        <v>1546</v>
      </c>
      <c r="T1226" t="s">
        <v>3811</v>
      </c>
      <c r="U1226" t="s">
        <v>1684</v>
      </c>
      <c r="V1226" t="s">
        <v>1760</v>
      </c>
      <c r="W1226" t="s">
        <v>1737</v>
      </c>
      <c r="X1226" t="s">
        <v>1755</v>
      </c>
    </row>
    <row r="1227" spans="1:24" x14ac:dyDescent="0.3">
      <c r="A1227" t="s">
        <v>3034</v>
      </c>
      <c r="B1227" s="2">
        <v>45933</v>
      </c>
      <c r="C1227" t="s">
        <v>702</v>
      </c>
      <c r="D1227" t="s">
        <v>1715</v>
      </c>
      <c r="E1227" t="s">
        <v>1793</v>
      </c>
      <c r="F1227" s="4">
        <v>2</v>
      </c>
      <c r="G1227">
        <v>682.7</v>
      </c>
      <c r="H1227">
        <v>0.13</v>
      </c>
      <c r="I1227" t="s">
        <v>1807</v>
      </c>
      <c r="J1227">
        <v>1187.8979999999999</v>
      </c>
      <c r="K1227" t="s">
        <v>703</v>
      </c>
      <c r="L1227">
        <v>47</v>
      </c>
      <c r="M1227" t="s">
        <v>16</v>
      </c>
      <c r="N1227" t="s">
        <v>704</v>
      </c>
      <c r="O1227" t="s">
        <v>30</v>
      </c>
      <c r="P1227" t="s">
        <v>12</v>
      </c>
      <c r="Q1227" t="s">
        <v>19</v>
      </c>
      <c r="R1227" t="s">
        <v>3925</v>
      </c>
      <c r="S1227" t="s">
        <v>1527</v>
      </c>
      <c r="T1227" t="s">
        <v>3838</v>
      </c>
      <c r="U1227" t="s">
        <v>1716</v>
      </c>
      <c r="V1227" t="s">
        <v>1741</v>
      </c>
      <c r="W1227" t="s">
        <v>1742</v>
      </c>
      <c r="X1227" t="s">
        <v>1739</v>
      </c>
    </row>
    <row r="1228" spans="1:24" x14ac:dyDescent="0.3">
      <c r="A1228" t="s">
        <v>3035</v>
      </c>
      <c r="B1228" s="2">
        <v>45345</v>
      </c>
      <c r="C1228" t="s">
        <v>1007</v>
      </c>
      <c r="D1228" t="s">
        <v>1569</v>
      </c>
      <c r="E1228" t="s">
        <v>1793</v>
      </c>
      <c r="F1228" s="4">
        <v>3</v>
      </c>
      <c r="G1228">
        <v>726.97</v>
      </c>
      <c r="H1228">
        <v>0.04</v>
      </c>
      <c r="I1228" t="s">
        <v>1809</v>
      </c>
      <c r="J1228">
        <v>2093.6736000000001</v>
      </c>
      <c r="K1228" t="s">
        <v>1008</v>
      </c>
      <c r="L1228">
        <v>58</v>
      </c>
      <c r="M1228" t="s">
        <v>9</v>
      </c>
      <c r="N1228" t="s">
        <v>1009</v>
      </c>
      <c r="O1228" t="s">
        <v>11</v>
      </c>
      <c r="P1228" t="s">
        <v>12</v>
      </c>
      <c r="Q1228" t="s">
        <v>19</v>
      </c>
      <c r="R1228" t="s">
        <v>3843</v>
      </c>
      <c r="S1228" t="s">
        <v>1549</v>
      </c>
      <c r="T1228" t="s">
        <v>3844</v>
      </c>
      <c r="U1228" t="s">
        <v>1570</v>
      </c>
      <c r="V1228" t="s">
        <v>1741</v>
      </c>
      <c r="W1228" t="s">
        <v>1742</v>
      </c>
      <c r="X1228" t="s">
        <v>1739</v>
      </c>
    </row>
    <row r="1229" spans="1:24" x14ac:dyDescent="0.3">
      <c r="A1229" t="s">
        <v>3036</v>
      </c>
      <c r="B1229" s="2">
        <v>45681</v>
      </c>
      <c r="C1229" t="s">
        <v>1255</v>
      </c>
      <c r="D1229" t="s">
        <v>1649</v>
      </c>
      <c r="E1229" t="s">
        <v>1769</v>
      </c>
      <c r="F1229" s="4">
        <v>2</v>
      </c>
      <c r="G1229">
        <v>107.97</v>
      </c>
      <c r="H1229">
        <v>0.06</v>
      </c>
      <c r="I1229" t="s">
        <v>1807</v>
      </c>
      <c r="J1229">
        <v>202.9836</v>
      </c>
      <c r="K1229" t="s">
        <v>1256</v>
      </c>
      <c r="L1229">
        <v>55</v>
      </c>
      <c r="M1229" t="s">
        <v>9</v>
      </c>
      <c r="N1229" t="s">
        <v>1257</v>
      </c>
      <c r="O1229" t="s">
        <v>88</v>
      </c>
      <c r="P1229" t="s">
        <v>12</v>
      </c>
      <c r="Q1229" t="s">
        <v>13</v>
      </c>
      <c r="R1229" t="s">
        <v>3891</v>
      </c>
      <c r="S1229" t="s">
        <v>1541</v>
      </c>
      <c r="T1229" t="s">
        <v>3833</v>
      </c>
      <c r="U1229" t="s">
        <v>1650</v>
      </c>
      <c r="V1229" t="s">
        <v>1770</v>
      </c>
      <c r="W1229" t="s">
        <v>1746</v>
      </c>
      <c r="X1229" t="s">
        <v>1739</v>
      </c>
    </row>
    <row r="1230" spans="1:24" x14ac:dyDescent="0.3">
      <c r="A1230" t="s">
        <v>3037</v>
      </c>
      <c r="B1230" s="2">
        <v>45785</v>
      </c>
      <c r="C1230" t="s">
        <v>40</v>
      </c>
      <c r="D1230" t="s">
        <v>1538</v>
      </c>
      <c r="E1230" t="s">
        <v>1782</v>
      </c>
      <c r="F1230" s="4">
        <v>1</v>
      </c>
      <c r="G1230">
        <v>38.880000000000003</v>
      </c>
      <c r="H1230">
        <v>0.16</v>
      </c>
      <c r="I1230" t="s">
        <v>1812</v>
      </c>
      <c r="J1230">
        <v>32.659199999999998</v>
      </c>
      <c r="K1230" t="s">
        <v>41</v>
      </c>
      <c r="L1230">
        <v>53</v>
      </c>
      <c r="M1230" t="s">
        <v>16</v>
      </c>
      <c r="N1230" t="s">
        <v>42</v>
      </c>
      <c r="O1230" t="s">
        <v>43</v>
      </c>
      <c r="P1230" t="s">
        <v>12</v>
      </c>
      <c r="Q1230" t="s">
        <v>26</v>
      </c>
      <c r="R1230" t="s">
        <v>3880</v>
      </c>
      <c r="S1230" t="s">
        <v>1541</v>
      </c>
      <c r="T1230" t="s">
        <v>3881</v>
      </c>
      <c r="U1230" t="s">
        <v>1630</v>
      </c>
      <c r="V1230" t="s">
        <v>1741</v>
      </c>
      <c r="W1230" t="s">
        <v>1742</v>
      </c>
      <c r="X1230" t="s">
        <v>1739</v>
      </c>
    </row>
    <row r="1231" spans="1:24" x14ac:dyDescent="0.3">
      <c r="A1231" t="s">
        <v>3038</v>
      </c>
      <c r="B1231" s="2">
        <v>45823</v>
      </c>
      <c r="C1231" t="s">
        <v>281</v>
      </c>
      <c r="D1231" t="s">
        <v>1563</v>
      </c>
      <c r="E1231" t="s">
        <v>1790</v>
      </c>
      <c r="F1231" s="4">
        <v>3</v>
      </c>
      <c r="G1231">
        <v>484.39</v>
      </c>
      <c r="H1231">
        <v>0.28999999999999998</v>
      </c>
      <c r="I1231" t="s">
        <v>1812</v>
      </c>
      <c r="J1231">
        <v>1031.7507000000001</v>
      </c>
      <c r="K1231" t="s">
        <v>282</v>
      </c>
      <c r="L1231">
        <v>22</v>
      </c>
      <c r="M1231" t="s">
        <v>16</v>
      </c>
      <c r="N1231" t="s">
        <v>283</v>
      </c>
      <c r="O1231" t="s">
        <v>284</v>
      </c>
      <c r="P1231" t="s">
        <v>12</v>
      </c>
      <c r="Q1231" t="s">
        <v>13</v>
      </c>
      <c r="R1231" t="s">
        <v>3839</v>
      </c>
      <c r="S1231" t="s">
        <v>1541</v>
      </c>
      <c r="T1231" t="s">
        <v>3840</v>
      </c>
      <c r="U1231" t="s">
        <v>1564</v>
      </c>
      <c r="V1231" t="s">
        <v>1741</v>
      </c>
      <c r="W1231" t="s">
        <v>1742</v>
      </c>
      <c r="X1231" t="s">
        <v>1739</v>
      </c>
    </row>
    <row r="1232" spans="1:24" x14ac:dyDescent="0.3">
      <c r="A1232" t="s">
        <v>3039</v>
      </c>
      <c r="B1232" s="2">
        <v>45572</v>
      </c>
      <c r="C1232" t="s">
        <v>82</v>
      </c>
      <c r="D1232" t="s">
        <v>1691</v>
      </c>
      <c r="E1232" t="s">
        <v>1784</v>
      </c>
      <c r="F1232" s="4">
        <v>2</v>
      </c>
      <c r="G1232">
        <v>949.3</v>
      </c>
      <c r="H1232">
        <v>0.08</v>
      </c>
      <c r="I1232" t="s">
        <v>1812</v>
      </c>
      <c r="J1232">
        <v>1746.712</v>
      </c>
      <c r="K1232" t="s">
        <v>83</v>
      </c>
      <c r="L1232">
        <v>46</v>
      </c>
      <c r="M1232" t="s">
        <v>16</v>
      </c>
      <c r="N1232" t="s">
        <v>84</v>
      </c>
      <c r="O1232" t="s">
        <v>62</v>
      </c>
      <c r="P1232" t="s">
        <v>12</v>
      </c>
      <c r="Q1232" t="s">
        <v>19</v>
      </c>
      <c r="R1232" t="s">
        <v>3913</v>
      </c>
      <c r="S1232" t="s">
        <v>1527</v>
      </c>
      <c r="T1232" t="s">
        <v>3830</v>
      </c>
      <c r="U1232" t="s">
        <v>1692</v>
      </c>
      <c r="V1232" t="s">
        <v>1741</v>
      </c>
      <c r="W1232" t="s">
        <v>1742</v>
      </c>
      <c r="X1232" t="s">
        <v>1739</v>
      </c>
    </row>
    <row r="1233" spans="1:24" x14ac:dyDescent="0.3">
      <c r="A1233" t="s">
        <v>3040</v>
      </c>
      <c r="B1233" s="2">
        <v>45259</v>
      </c>
      <c r="C1233" t="s">
        <v>1327</v>
      </c>
      <c r="D1233" t="s">
        <v>1673</v>
      </c>
      <c r="E1233" t="s">
        <v>1759</v>
      </c>
      <c r="F1233" s="4">
        <v>3</v>
      </c>
      <c r="G1233">
        <v>664.75</v>
      </c>
      <c r="H1233">
        <v>0.12</v>
      </c>
      <c r="I1233" t="s">
        <v>1807</v>
      </c>
      <c r="J1233">
        <v>1754.94</v>
      </c>
      <c r="K1233" t="s">
        <v>1328</v>
      </c>
      <c r="L1233">
        <v>48</v>
      </c>
      <c r="M1233" t="s">
        <v>16</v>
      </c>
      <c r="N1233" t="s">
        <v>1329</v>
      </c>
      <c r="O1233" t="s">
        <v>58</v>
      </c>
      <c r="P1233" t="s">
        <v>12</v>
      </c>
      <c r="Q1233" t="s">
        <v>31</v>
      </c>
      <c r="R1233" t="s">
        <v>3904</v>
      </c>
      <c r="S1233" t="s">
        <v>1541</v>
      </c>
      <c r="T1233" t="s">
        <v>3833</v>
      </c>
      <c r="U1233" t="s">
        <v>1674</v>
      </c>
      <c r="V1233" t="s">
        <v>1760</v>
      </c>
      <c r="W1233" t="s">
        <v>1737</v>
      </c>
      <c r="X1233" t="s">
        <v>1755</v>
      </c>
    </row>
    <row r="1234" spans="1:24" x14ac:dyDescent="0.3">
      <c r="A1234" t="s">
        <v>3041</v>
      </c>
      <c r="B1234" s="2">
        <v>45740</v>
      </c>
      <c r="C1234" t="s">
        <v>888</v>
      </c>
      <c r="D1234" t="s">
        <v>1671</v>
      </c>
      <c r="E1234" t="s">
        <v>1790</v>
      </c>
      <c r="F1234" s="4">
        <v>3</v>
      </c>
      <c r="G1234">
        <v>190.04</v>
      </c>
      <c r="H1234">
        <v>7.0000000000000007E-2</v>
      </c>
      <c r="I1234" t="s">
        <v>1809</v>
      </c>
      <c r="J1234">
        <v>530.21159999999998</v>
      </c>
      <c r="K1234" t="s">
        <v>889</v>
      </c>
      <c r="L1234">
        <v>54</v>
      </c>
      <c r="M1234" t="s">
        <v>16</v>
      </c>
      <c r="N1234" t="s">
        <v>890</v>
      </c>
      <c r="O1234" t="s">
        <v>88</v>
      </c>
      <c r="P1234" t="s">
        <v>12</v>
      </c>
      <c r="Q1234" t="s">
        <v>13</v>
      </c>
      <c r="R1234" t="s">
        <v>3903</v>
      </c>
      <c r="S1234" t="s">
        <v>1527</v>
      </c>
      <c r="T1234" t="s">
        <v>3847</v>
      </c>
      <c r="U1234" t="s">
        <v>1672</v>
      </c>
      <c r="V1234" t="s">
        <v>1741</v>
      </c>
      <c r="W1234" t="s">
        <v>1742</v>
      </c>
      <c r="X1234" t="s">
        <v>1739</v>
      </c>
    </row>
    <row r="1235" spans="1:24" x14ac:dyDescent="0.3">
      <c r="A1235" t="s">
        <v>3042</v>
      </c>
      <c r="B1235" s="2">
        <v>45869</v>
      </c>
      <c r="C1235" t="s">
        <v>873</v>
      </c>
      <c r="D1235" t="s">
        <v>1543</v>
      </c>
      <c r="E1235" t="s">
        <v>1784</v>
      </c>
      <c r="F1235" s="4">
        <v>3</v>
      </c>
      <c r="G1235">
        <v>754.02</v>
      </c>
      <c r="H1235">
        <v>0.1</v>
      </c>
      <c r="I1235" t="s">
        <v>1812</v>
      </c>
      <c r="J1235">
        <v>2035.854</v>
      </c>
      <c r="K1235" t="s">
        <v>874</v>
      </c>
      <c r="L1235">
        <v>42</v>
      </c>
      <c r="M1235" t="s">
        <v>16</v>
      </c>
      <c r="N1235" t="s">
        <v>875</v>
      </c>
      <c r="O1235" t="s">
        <v>271</v>
      </c>
      <c r="P1235" t="s">
        <v>12</v>
      </c>
      <c r="Q1235" t="s">
        <v>19</v>
      </c>
      <c r="R1235" t="s">
        <v>3902</v>
      </c>
      <c r="S1235" t="s">
        <v>1530</v>
      </c>
      <c r="T1235" t="s">
        <v>3818</v>
      </c>
      <c r="U1235" t="s">
        <v>1670</v>
      </c>
      <c r="V1235" t="s">
        <v>1741</v>
      </c>
      <c r="W1235" t="s">
        <v>1742</v>
      </c>
      <c r="X1235" t="s">
        <v>1739</v>
      </c>
    </row>
    <row r="1236" spans="1:24" x14ac:dyDescent="0.3">
      <c r="A1236" t="s">
        <v>3043</v>
      </c>
      <c r="B1236" s="2">
        <v>45526</v>
      </c>
      <c r="C1236" t="s">
        <v>1186</v>
      </c>
      <c r="D1236" t="s">
        <v>1599</v>
      </c>
      <c r="E1236" t="s">
        <v>1777</v>
      </c>
      <c r="F1236" s="4">
        <v>4</v>
      </c>
      <c r="G1236">
        <v>94.13</v>
      </c>
      <c r="H1236">
        <v>0.04</v>
      </c>
      <c r="I1236" t="s">
        <v>1812</v>
      </c>
      <c r="J1236">
        <v>361.45920000000001</v>
      </c>
      <c r="K1236" t="s">
        <v>1187</v>
      </c>
      <c r="L1236">
        <v>60</v>
      </c>
      <c r="M1236" t="s">
        <v>9</v>
      </c>
      <c r="N1236" t="s">
        <v>1188</v>
      </c>
      <c r="O1236" t="s">
        <v>264</v>
      </c>
      <c r="P1236" t="s">
        <v>12</v>
      </c>
      <c r="Q1236" t="s">
        <v>26</v>
      </c>
      <c r="R1236" t="s">
        <v>3862</v>
      </c>
      <c r="S1236" t="s">
        <v>1546</v>
      </c>
      <c r="T1236" t="s">
        <v>3811</v>
      </c>
      <c r="U1236" t="s">
        <v>1600</v>
      </c>
      <c r="V1236" t="s">
        <v>1741</v>
      </c>
      <c r="W1236" t="s">
        <v>1742</v>
      </c>
      <c r="X1236" t="s">
        <v>1739</v>
      </c>
    </row>
    <row r="1237" spans="1:24" x14ac:dyDescent="0.3">
      <c r="A1237" t="s">
        <v>3044</v>
      </c>
      <c r="B1237" s="2">
        <v>45489</v>
      </c>
      <c r="C1237" t="s">
        <v>1427</v>
      </c>
      <c r="D1237" t="s">
        <v>1529</v>
      </c>
      <c r="E1237" t="s">
        <v>1784</v>
      </c>
      <c r="F1237" s="4">
        <v>3</v>
      </c>
      <c r="G1237">
        <v>402.3</v>
      </c>
      <c r="H1237">
        <v>0.21</v>
      </c>
      <c r="I1237" t="s">
        <v>1809</v>
      </c>
      <c r="J1237">
        <v>953.45100000000014</v>
      </c>
      <c r="K1237" t="s">
        <v>1428</v>
      </c>
      <c r="L1237">
        <v>19</v>
      </c>
      <c r="M1237" t="s">
        <v>9</v>
      </c>
      <c r="N1237" t="s">
        <v>1429</v>
      </c>
      <c r="O1237" t="s">
        <v>170</v>
      </c>
      <c r="P1237" t="s">
        <v>12</v>
      </c>
      <c r="Q1237" t="s">
        <v>26</v>
      </c>
      <c r="R1237" t="s">
        <v>3812</v>
      </c>
      <c r="S1237" t="s">
        <v>1530</v>
      </c>
      <c r="T1237" t="s">
        <v>3813</v>
      </c>
      <c r="U1237" t="s">
        <v>1531</v>
      </c>
      <c r="V1237" t="s">
        <v>1741</v>
      </c>
      <c r="W1237" t="s">
        <v>1742</v>
      </c>
      <c r="X1237" t="s">
        <v>1739</v>
      </c>
    </row>
    <row r="1238" spans="1:24" x14ac:dyDescent="0.3">
      <c r="A1238" t="s">
        <v>3045</v>
      </c>
      <c r="B1238" s="2">
        <v>45908</v>
      </c>
      <c r="C1238" t="s">
        <v>761</v>
      </c>
      <c r="D1238" t="s">
        <v>1703</v>
      </c>
      <c r="E1238" t="s">
        <v>1762</v>
      </c>
      <c r="F1238" s="4">
        <v>1</v>
      </c>
      <c r="G1238">
        <v>729.05</v>
      </c>
      <c r="H1238">
        <v>0.06</v>
      </c>
      <c r="I1238" t="s">
        <v>1812</v>
      </c>
      <c r="J1238">
        <v>685.3069999999999</v>
      </c>
      <c r="K1238" t="s">
        <v>762</v>
      </c>
      <c r="L1238">
        <v>59</v>
      </c>
      <c r="M1238" t="s">
        <v>16</v>
      </c>
      <c r="N1238" t="s">
        <v>763</v>
      </c>
      <c r="O1238" t="s">
        <v>181</v>
      </c>
      <c r="P1238" t="s">
        <v>12</v>
      </c>
      <c r="Q1238" t="s">
        <v>19</v>
      </c>
      <c r="R1238" t="s">
        <v>3919</v>
      </c>
      <c r="S1238" t="s">
        <v>1527</v>
      </c>
      <c r="T1238" t="s">
        <v>3830</v>
      </c>
      <c r="U1238" t="s">
        <v>1704</v>
      </c>
      <c r="V1238" t="s">
        <v>1763</v>
      </c>
      <c r="W1238" t="s">
        <v>1746</v>
      </c>
      <c r="X1238" t="s">
        <v>1755</v>
      </c>
    </row>
    <row r="1239" spans="1:24" x14ac:dyDescent="0.3">
      <c r="A1239" t="s">
        <v>3046</v>
      </c>
      <c r="B1239" s="2">
        <v>45912</v>
      </c>
      <c r="C1239" t="s">
        <v>453</v>
      </c>
      <c r="D1239" t="s">
        <v>1711</v>
      </c>
      <c r="E1239" t="s">
        <v>1780</v>
      </c>
      <c r="F1239" s="4">
        <v>1</v>
      </c>
      <c r="G1239">
        <v>822.6</v>
      </c>
      <c r="H1239">
        <v>0.28999999999999998</v>
      </c>
      <c r="I1239" t="s">
        <v>1809</v>
      </c>
      <c r="J1239">
        <v>584.04599999999994</v>
      </c>
      <c r="K1239" t="s">
        <v>454</v>
      </c>
      <c r="L1239">
        <v>33</v>
      </c>
      <c r="M1239" t="s">
        <v>16</v>
      </c>
      <c r="N1239" t="s">
        <v>455</v>
      </c>
      <c r="O1239" t="s">
        <v>74</v>
      </c>
      <c r="P1239" t="s">
        <v>12</v>
      </c>
      <c r="Q1239" t="s">
        <v>13</v>
      </c>
      <c r="R1239" t="s">
        <v>3923</v>
      </c>
      <c r="S1239" t="s">
        <v>1546</v>
      </c>
      <c r="T1239" t="s">
        <v>3820</v>
      </c>
      <c r="U1239" t="s">
        <v>1712</v>
      </c>
      <c r="V1239" t="s">
        <v>1741</v>
      </c>
      <c r="W1239" t="s">
        <v>1742</v>
      </c>
      <c r="X1239" t="s">
        <v>1739</v>
      </c>
    </row>
    <row r="1240" spans="1:24" x14ac:dyDescent="0.3">
      <c r="A1240" t="s">
        <v>3047</v>
      </c>
      <c r="B1240" s="2">
        <v>45771</v>
      </c>
      <c r="C1240" t="s">
        <v>628</v>
      </c>
      <c r="D1240" t="s">
        <v>1697</v>
      </c>
      <c r="E1240" t="s">
        <v>1765</v>
      </c>
      <c r="F1240" s="4">
        <v>2</v>
      </c>
      <c r="G1240">
        <v>327.25</v>
      </c>
      <c r="H1240">
        <v>0.19</v>
      </c>
      <c r="I1240" t="s">
        <v>1809</v>
      </c>
      <c r="J1240">
        <v>530.14499999999998</v>
      </c>
      <c r="K1240" t="s">
        <v>629</v>
      </c>
      <c r="L1240">
        <v>46</v>
      </c>
      <c r="M1240" t="s">
        <v>9</v>
      </c>
      <c r="N1240" t="s">
        <v>630</v>
      </c>
      <c r="O1240" t="s">
        <v>81</v>
      </c>
      <c r="P1240" t="s">
        <v>12</v>
      </c>
      <c r="Q1240" t="s">
        <v>13</v>
      </c>
      <c r="R1240" t="s">
        <v>3916</v>
      </c>
      <c r="S1240" t="s">
        <v>1541</v>
      </c>
      <c r="T1240" t="s">
        <v>3822</v>
      </c>
      <c r="U1240" t="s">
        <v>1698</v>
      </c>
      <c r="V1240" t="s">
        <v>1766</v>
      </c>
      <c r="W1240" t="s">
        <v>1767</v>
      </c>
      <c r="X1240" t="s">
        <v>1755</v>
      </c>
    </row>
    <row r="1241" spans="1:24" x14ac:dyDescent="0.3">
      <c r="A1241" t="s">
        <v>3048</v>
      </c>
      <c r="B1241" s="2">
        <v>45619</v>
      </c>
      <c r="C1241" t="s">
        <v>301</v>
      </c>
      <c r="D1241" t="s">
        <v>1671</v>
      </c>
      <c r="E1241" t="s">
        <v>1769</v>
      </c>
      <c r="F1241" s="4">
        <v>4</v>
      </c>
      <c r="G1241">
        <v>930.38</v>
      </c>
      <c r="H1241">
        <v>0</v>
      </c>
      <c r="I1241" t="s">
        <v>1812</v>
      </c>
      <c r="J1241">
        <v>3721.52</v>
      </c>
      <c r="K1241" t="s">
        <v>302</v>
      </c>
      <c r="L1241">
        <v>36</v>
      </c>
      <c r="M1241" t="s">
        <v>9</v>
      </c>
      <c r="N1241" t="s">
        <v>303</v>
      </c>
      <c r="O1241" t="s">
        <v>251</v>
      </c>
      <c r="P1241" t="s">
        <v>12</v>
      </c>
      <c r="Q1241" t="s">
        <v>19</v>
      </c>
      <c r="R1241" t="s">
        <v>3903</v>
      </c>
      <c r="S1241" t="s">
        <v>1527</v>
      </c>
      <c r="T1241" t="s">
        <v>3847</v>
      </c>
      <c r="U1241" t="s">
        <v>1672</v>
      </c>
      <c r="V1241" t="s">
        <v>1770</v>
      </c>
      <c r="W1241" t="s">
        <v>1746</v>
      </c>
      <c r="X1241" t="s">
        <v>1739</v>
      </c>
    </row>
    <row r="1242" spans="1:24" x14ac:dyDescent="0.3">
      <c r="A1242" t="s">
        <v>3049</v>
      </c>
      <c r="B1242" s="2">
        <v>45394</v>
      </c>
      <c r="C1242" t="s">
        <v>482</v>
      </c>
      <c r="D1242" t="s">
        <v>1585</v>
      </c>
      <c r="E1242" t="s">
        <v>1756</v>
      </c>
      <c r="F1242" s="4">
        <v>2</v>
      </c>
      <c r="G1242">
        <v>437.84</v>
      </c>
      <c r="H1242">
        <v>0.24</v>
      </c>
      <c r="I1242" t="s">
        <v>1807</v>
      </c>
      <c r="J1242">
        <v>665.51679999999999</v>
      </c>
      <c r="K1242" t="s">
        <v>483</v>
      </c>
      <c r="L1242">
        <v>46</v>
      </c>
      <c r="M1242" t="s">
        <v>9</v>
      </c>
      <c r="N1242" t="s">
        <v>484</v>
      </c>
      <c r="O1242" t="s">
        <v>181</v>
      </c>
      <c r="P1242" t="s">
        <v>12</v>
      </c>
      <c r="Q1242" t="s">
        <v>26</v>
      </c>
      <c r="R1242" t="s">
        <v>3854</v>
      </c>
      <c r="S1242" t="s">
        <v>1527</v>
      </c>
      <c r="T1242" t="s">
        <v>3836</v>
      </c>
      <c r="U1242" t="s">
        <v>1586</v>
      </c>
      <c r="V1242" t="s">
        <v>1757</v>
      </c>
      <c r="W1242" t="s">
        <v>1742</v>
      </c>
      <c r="X1242" t="s">
        <v>1748</v>
      </c>
    </row>
    <row r="1243" spans="1:24" x14ac:dyDescent="0.3">
      <c r="A1243" t="s">
        <v>3050</v>
      </c>
      <c r="B1243" s="2">
        <v>45786</v>
      </c>
      <c r="C1243" t="s">
        <v>255</v>
      </c>
      <c r="D1243" t="s">
        <v>1563</v>
      </c>
      <c r="E1243" t="s">
        <v>1787</v>
      </c>
      <c r="F1243" s="4">
        <v>2</v>
      </c>
      <c r="G1243">
        <v>126.02</v>
      </c>
      <c r="H1243">
        <v>0.09</v>
      </c>
      <c r="I1243" t="s">
        <v>1812</v>
      </c>
      <c r="J1243">
        <v>229.35640000000001</v>
      </c>
      <c r="K1243" t="s">
        <v>256</v>
      </c>
      <c r="L1243">
        <v>61</v>
      </c>
      <c r="M1243" t="s">
        <v>16</v>
      </c>
      <c r="N1243" t="s">
        <v>257</v>
      </c>
      <c r="O1243" t="s">
        <v>230</v>
      </c>
      <c r="P1243" t="s">
        <v>12</v>
      </c>
      <c r="Q1243" t="s">
        <v>13</v>
      </c>
      <c r="R1243" t="s">
        <v>3839</v>
      </c>
      <c r="S1243" t="s">
        <v>1541</v>
      </c>
      <c r="T1243" t="s">
        <v>3840</v>
      </c>
      <c r="U1243" t="s">
        <v>1564</v>
      </c>
      <c r="V1243" t="s">
        <v>1741</v>
      </c>
      <c r="W1243" t="s">
        <v>1742</v>
      </c>
      <c r="X1243" t="s">
        <v>1739</v>
      </c>
    </row>
    <row r="1244" spans="1:24" x14ac:dyDescent="0.3">
      <c r="A1244" t="s">
        <v>3051</v>
      </c>
      <c r="B1244" s="2">
        <v>45692</v>
      </c>
      <c r="C1244" t="s">
        <v>1339</v>
      </c>
      <c r="D1244" t="s">
        <v>1697</v>
      </c>
      <c r="E1244" t="s">
        <v>1784</v>
      </c>
      <c r="F1244" s="4">
        <v>1</v>
      </c>
      <c r="G1244">
        <v>860.84</v>
      </c>
      <c r="H1244">
        <v>7.0000000000000007E-2</v>
      </c>
      <c r="I1244" t="s">
        <v>1809</v>
      </c>
      <c r="J1244">
        <v>800.58119999999997</v>
      </c>
      <c r="K1244" t="s">
        <v>1340</v>
      </c>
      <c r="L1244">
        <v>59</v>
      </c>
      <c r="M1244" t="s">
        <v>16</v>
      </c>
      <c r="N1244" t="s">
        <v>591</v>
      </c>
      <c r="O1244" t="s">
        <v>47</v>
      </c>
      <c r="P1244" t="s">
        <v>12</v>
      </c>
      <c r="Q1244" t="s">
        <v>19</v>
      </c>
      <c r="R1244" t="s">
        <v>3916</v>
      </c>
      <c r="S1244" t="s">
        <v>1541</v>
      </c>
      <c r="T1244" t="s">
        <v>3822</v>
      </c>
      <c r="U1244" t="s">
        <v>1698</v>
      </c>
      <c r="V1244" t="s">
        <v>1741</v>
      </c>
      <c r="W1244" t="s">
        <v>1742</v>
      </c>
      <c r="X1244" t="s">
        <v>1739</v>
      </c>
    </row>
    <row r="1245" spans="1:24" x14ac:dyDescent="0.3">
      <c r="A1245" t="s">
        <v>3052</v>
      </c>
      <c r="B1245" s="2">
        <v>45677</v>
      </c>
      <c r="C1245" t="s">
        <v>330</v>
      </c>
      <c r="D1245" t="s">
        <v>1627</v>
      </c>
      <c r="E1245" t="s">
        <v>1780</v>
      </c>
      <c r="F1245" s="4">
        <v>1</v>
      </c>
      <c r="G1245">
        <v>161.80000000000001</v>
      </c>
      <c r="H1245">
        <v>0.24</v>
      </c>
      <c r="I1245" t="s">
        <v>1809</v>
      </c>
      <c r="J1245">
        <v>122.968</v>
      </c>
      <c r="K1245" t="s">
        <v>331</v>
      </c>
      <c r="L1245">
        <v>43</v>
      </c>
      <c r="M1245" t="s">
        <v>16</v>
      </c>
      <c r="N1245" t="s">
        <v>332</v>
      </c>
      <c r="O1245" t="s">
        <v>312</v>
      </c>
      <c r="P1245" t="s">
        <v>12</v>
      </c>
      <c r="Q1245" t="s">
        <v>13</v>
      </c>
      <c r="R1245" t="s">
        <v>3879</v>
      </c>
      <c r="S1245" t="s">
        <v>1546</v>
      </c>
      <c r="T1245" t="s">
        <v>3820</v>
      </c>
      <c r="U1245" t="s">
        <v>1628</v>
      </c>
      <c r="V1245" t="s">
        <v>1741</v>
      </c>
      <c r="W1245" t="s">
        <v>1742</v>
      </c>
      <c r="X1245" t="s">
        <v>1739</v>
      </c>
    </row>
    <row r="1246" spans="1:24" x14ac:dyDescent="0.3">
      <c r="A1246" t="s">
        <v>3053</v>
      </c>
      <c r="B1246" s="2">
        <v>45669</v>
      </c>
      <c r="C1246" t="s">
        <v>1189</v>
      </c>
      <c r="D1246" t="s">
        <v>1607</v>
      </c>
      <c r="E1246" t="s">
        <v>1790</v>
      </c>
      <c r="F1246" s="4">
        <v>4</v>
      </c>
      <c r="G1246">
        <v>347.82</v>
      </c>
      <c r="H1246">
        <v>0.02</v>
      </c>
      <c r="I1246" t="s">
        <v>1812</v>
      </c>
      <c r="J1246">
        <v>1363.4544000000001</v>
      </c>
      <c r="K1246" t="s">
        <v>1190</v>
      </c>
      <c r="L1246">
        <v>18</v>
      </c>
      <c r="M1246" t="s">
        <v>16</v>
      </c>
      <c r="N1246" t="s">
        <v>1191</v>
      </c>
      <c r="O1246" t="s">
        <v>312</v>
      </c>
      <c r="P1246" t="s">
        <v>12</v>
      </c>
      <c r="Q1246" t="s">
        <v>13</v>
      </c>
      <c r="R1246" t="s">
        <v>3867</v>
      </c>
      <c r="S1246" t="s">
        <v>1549</v>
      </c>
      <c r="T1246" t="s">
        <v>3851</v>
      </c>
      <c r="U1246" t="s">
        <v>1608</v>
      </c>
      <c r="V1246" t="s">
        <v>1741</v>
      </c>
      <c r="W1246" t="s">
        <v>1742</v>
      </c>
      <c r="X1246" t="s">
        <v>1739</v>
      </c>
    </row>
    <row r="1247" spans="1:24" x14ac:dyDescent="0.3">
      <c r="A1247" t="s">
        <v>3054</v>
      </c>
      <c r="B1247" s="2">
        <v>45299</v>
      </c>
      <c r="C1247" t="s">
        <v>1384</v>
      </c>
      <c r="D1247" t="s">
        <v>1701</v>
      </c>
      <c r="E1247" t="s">
        <v>1787</v>
      </c>
      <c r="F1247" s="4">
        <v>3</v>
      </c>
      <c r="G1247">
        <v>416.44</v>
      </c>
      <c r="H1247">
        <v>0.27</v>
      </c>
      <c r="I1247" t="s">
        <v>1807</v>
      </c>
      <c r="J1247">
        <v>912.00359999999989</v>
      </c>
      <c r="K1247" t="s">
        <v>1385</v>
      </c>
      <c r="L1247">
        <v>60</v>
      </c>
      <c r="M1247" t="s">
        <v>9</v>
      </c>
      <c r="N1247" t="s">
        <v>1386</v>
      </c>
      <c r="O1247" t="s">
        <v>99</v>
      </c>
      <c r="P1247" t="s">
        <v>12</v>
      </c>
      <c r="Q1247" t="s">
        <v>19</v>
      </c>
      <c r="R1247" t="s">
        <v>3918</v>
      </c>
      <c r="S1247" t="s">
        <v>1530</v>
      </c>
      <c r="T1247" t="s">
        <v>3820</v>
      </c>
      <c r="U1247" t="s">
        <v>1702</v>
      </c>
      <c r="V1247" t="s">
        <v>1741</v>
      </c>
      <c r="W1247" t="s">
        <v>1742</v>
      </c>
      <c r="X1247" t="s">
        <v>1739</v>
      </c>
    </row>
    <row r="1248" spans="1:24" x14ac:dyDescent="0.3">
      <c r="A1248" t="s">
        <v>3055</v>
      </c>
      <c r="B1248" s="2">
        <v>45893</v>
      </c>
      <c r="C1248" t="s">
        <v>32</v>
      </c>
      <c r="D1248" t="s">
        <v>1655</v>
      </c>
      <c r="E1248" t="s">
        <v>1735</v>
      </c>
      <c r="F1248" s="4">
        <v>1</v>
      </c>
      <c r="G1248">
        <v>147.96</v>
      </c>
      <c r="H1248">
        <v>0.24</v>
      </c>
      <c r="I1248" t="s">
        <v>1812</v>
      </c>
      <c r="J1248">
        <v>112.4496</v>
      </c>
      <c r="K1248" t="s">
        <v>33</v>
      </c>
      <c r="L1248">
        <v>29</v>
      </c>
      <c r="M1248" t="s">
        <v>16</v>
      </c>
      <c r="N1248" t="s">
        <v>34</v>
      </c>
      <c r="O1248" t="s">
        <v>35</v>
      </c>
      <c r="P1248" t="s">
        <v>12</v>
      </c>
      <c r="Q1248" t="s">
        <v>26</v>
      </c>
      <c r="R1248" t="s">
        <v>3894</v>
      </c>
      <c r="S1248" t="s">
        <v>1546</v>
      </c>
      <c r="T1248" t="s">
        <v>3811</v>
      </c>
      <c r="U1248" t="s">
        <v>1656</v>
      </c>
      <c r="V1248" t="s">
        <v>1736</v>
      </c>
      <c r="W1248" t="s">
        <v>1737</v>
      </c>
      <c r="X1248" t="s">
        <v>1739</v>
      </c>
    </row>
    <row r="1249" spans="1:24" x14ac:dyDescent="0.3">
      <c r="A1249" t="s">
        <v>3056</v>
      </c>
      <c r="B1249" s="2">
        <v>45560</v>
      </c>
      <c r="C1249" t="s">
        <v>1361</v>
      </c>
      <c r="D1249" t="s">
        <v>1567</v>
      </c>
      <c r="E1249" t="s">
        <v>1765</v>
      </c>
      <c r="F1249" s="4">
        <v>3</v>
      </c>
      <c r="G1249">
        <v>550.26</v>
      </c>
      <c r="H1249">
        <v>0.22</v>
      </c>
      <c r="I1249" t="s">
        <v>1807</v>
      </c>
      <c r="J1249">
        <v>1287.6084000000001</v>
      </c>
      <c r="K1249" t="s">
        <v>1362</v>
      </c>
      <c r="L1249">
        <v>35</v>
      </c>
      <c r="M1249" t="s">
        <v>9</v>
      </c>
      <c r="N1249" t="s">
        <v>1363</v>
      </c>
      <c r="O1249" t="s">
        <v>284</v>
      </c>
      <c r="P1249" t="s">
        <v>12</v>
      </c>
      <c r="Q1249" t="s">
        <v>19</v>
      </c>
      <c r="R1249" t="s">
        <v>3842</v>
      </c>
      <c r="S1249" t="s">
        <v>1530</v>
      </c>
      <c r="T1249" t="s">
        <v>3818</v>
      </c>
      <c r="U1249" t="s">
        <v>1568</v>
      </c>
      <c r="V1249" t="s">
        <v>1766</v>
      </c>
      <c r="W1249" t="s">
        <v>1767</v>
      </c>
      <c r="X1249" t="s">
        <v>1755</v>
      </c>
    </row>
    <row r="1250" spans="1:24" x14ac:dyDescent="0.3">
      <c r="A1250" t="s">
        <v>3057</v>
      </c>
      <c r="B1250" s="2">
        <v>45267</v>
      </c>
      <c r="C1250" t="s">
        <v>1147</v>
      </c>
      <c r="D1250" t="s">
        <v>1725</v>
      </c>
      <c r="E1250" t="s">
        <v>1762</v>
      </c>
      <c r="F1250" s="4">
        <v>4</v>
      </c>
      <c r="G1250">
        <v>938.21</v>
      </c>
      <c r="H1250">
        <v>0.04</v>
      </c>
      <c r="I1250" t="s">
        <v>1809</v>
      </c>
      <c r="J1250">
        <v>3602.7264</v>
      </c>
      <c r="K1250" t="s">
        <v>1148</v>
      </c>
      <c r="L1250">
        <v>28</v>
      </c>
      <c r="M1250" t="s">
        <v>9</v>
      </c>
      <c r="N1250" t="s">
        <v>1149</v>
      </c>
      <c r="O1250" t="s">
        <v>47</v>
      </c>
      <c r="P1250" t="s">
        <v>12</v>
      </c>
      <c r="Q1250" t="s">
        <v>19</v>
      </c>
      <c r="R1250" t="s">
        <v>3930</v>
      </c>
      <c r="S1250" t="s">
        <v>1549</v>
      </c>
      <c r="T1250" t="s">
        <v>3859</v>
      </c>
      <c r="U1250" t="s">
        <v>1726</v>
      </c>
      <c r="V1250" t="s">
        <v>1763</v>
      </c>
      <c r="W1250" t="s">
        <v>1746</v>
      </c>
      <c r="X1250" t="s">
        <v>1755</v>
      </c>
    </row>
    <row r="1251" spans="1:24" x14ac:dyDescent="0.3">
      <c r="A1251" t="s">
        <v>3058</v>
      </c>
      <c r="B1251" s="2">
        <v>45467</v>
      </c>
      <c r="C1251" t="s">
        <v>453</v>
      </c>
      <c r="D1251" t="s">
        <v>1719</v>
      </c>
      <c r="E1251" t="s">
        <v>1787</v>
      </c>
      <c r="F1251" s="4">
        <v>3</v>
      </c>
      <c r="G1251">
        <v>517.98</v>
      </c>
      <c r="H1251">
        <v>0.01</v>
      </c>
      <c r="I1251" t="s">
        <v>1809</v>
      </c>
      <c r="J1251">
        <v>1538.4005999999999</v>
      </c>
      <c r="K1251" t="s">
        <v>454</v>
      </c>
      <c r="L1251">
        <v>33</v>
      </c>
      <c r="M1251" t="s">
        <v>16</v>
      </c>
      <c r="N1251" t="s">
        <v>455</v>
      </c>
      <c r="O1251" t="s">
        <v>74</v>
      </c>
      <c r="P1251" t="s">
        <v>12</v>
      </c>
      <c r="Q1251" t="s">
        <v>13</v>
      </c>
      <c r="R1251" t="s">
        <v>3927</v>
      </c>
      <c r="S1251" t="s">
        <v>1541</v>
      </c>
      <c r="T1251" t="s">
        <v>3822</v>
      </c>
      <c r="U1251" t="s">
        <v>1720</v>
      </c>
      <c r="V1251" t="s">
        <v>1741</v>
      </c>
      <c r="W1251" t="s">
        <v>1742</v>
      </c>
      <c r="X1251" t="s">
        <v>1739</v>
      </c>
    </row>
    <row r="1252" spans="1:24" x14ac:dyDescent="0.3">
      <c r="A1252" t="s">
        <v>3059</v>
      </c>
      <c r="B1252" s="2">
        <v>45847</v>
      </c>
      <c r="C1252" t="s">
        <v>143</v>
      </c>
      <c r="D1252" t="s">
        <v>1540</v>
      </c>
      <c r="E1252" t="s">
        <v>1765</v>
      </c>
      <c r="F1252" s="4">
        <v>1</v>
      </c>
      <c r="G1252">
        <v>98.27</v>
      </c>
      <c r="H1252">
        <v>0.16</v>
      </c>
      <c r="I1252" t="s">
        <v>1809</v>
      </c>
      <c r="J1252">
        <v>82.54679999999999</v>
      </c>
      <c r="K1252" t="s">
        <v>144</v>
      </c>
      <c r="L1252">
        <v>27</v>
      </c>
      <c r="M1252" t="s">
        <v>16</v>
      </c>
      <c r="N1252" t="s">
        <v>145</v>
      </c>
      <c r="O1252" t="s">
        <v>81</v>
      </c>
      <c r="P1252" t="s">
        <v>12</v>
      </c>
      <c r="Q1252" t="s">
        <v>13</v>
      </c>
      <c r="R1252" t="s">
        <v>3891</v>
      </c>
      <c r="S1252" t="s">
        <v>1541</v>
      </c>
      <c r="T1252" t="s">
        <v>3833</v>
      </c>
      <c r="U1252" t="s">
        <v>1650</v>
      </c>
      <c r="V1252" t="s">
        <v>1766</v>
      </c>
      <c r="W1252" t="s">
        <v>1767</v>
      </c>
      <c r="X1252" t="s">
        <v>1755</v>
      </c>
    </row>
    <row r="1253" spans="1:24" x14ac:dyDescent="0.3">
      <c r="A1253" t="s">
        <v>3060</v>
      </c>
      <c r="B1253" s="2">
        <v>45480</v>
      </c>
      <c r="C1253" t="s">
        <v>797</v>
      </c>
      <c r="D1253" t="s">
        <v>1627</v>
      </c>
      <c r="E1253" t="s">
        <v>1775</v>
      </c>
      <c r="F1253" s="4">
        <v>2</v>
      </c>
      <c r="G1253">
        <v>875.2</v>
      </c>
      <c r="H1253">
        <v>0.19</v>
      </c>
      <c r="I1253" t="s">
        <v>1807</v>
      </c>
      <c r="J1253">
        <v>1417.8240000000001</v>
      </c>
      <c r="K1253" t="s">
        <v>798</v>
      </c>
      <c r="L1253">
        <v>26</v>
      </c>
      <c r="M1253" t="s">
        <v>9</v>
      </c>
      <c r="N1253" t="s">
        <v>799</v>
      </c>
      <c r="O1253" t="s">
        <v>22</v>
      </c>
      <c r="P1253" t="s">
        <v>12</v>
      </c>
      <c r="Q1253" t="s">
        <v>31</v>
      </c>
      <c r="R1253" t="s">
        <v>3879</v>
      </c>
      <c r="S1253" t="s">
        <v>1546</v>
      </c>
      <c r="T1253" t="s">
        <v>3820</v>
      </c>
      <c r="U1253" t="s">
        <v>1628</v>
      </c>
      <c r="V1253" t="s">
        <v>1741</v>
      </c>
      <c r="W1253" t="s">
        <v>1742</v>
      </c>
      <c r="X1253" t="s">
        <v>1739</v>
      </c>
    </row>
    <row r="1254" spans="1:24" x14ac:dyDescent="0.3">
      <c r="A1254" t="s">
        <v>3061</v>
      </c>
      <c r="B1254" s="2">
        <v>45345</v>
      </c>
      <c r="C1254" t="s">
        <v>953</v>
      </c>
      <c r="D1254" t="s">
        <v>1703</v>
      </c>
      <c r="E1254" t="s">
        <v>1735</v>
      </c>
      <c r="F1254" s="4">
        <v>1</v>
      </c>
      <c r="G1254">
        <v>227.35</v>
      </c>
      <c r="H1254">
        <v>0.06</v>
      </c>
      <c r="I1254" t="s">
        <v>1812</v>
      </c>
      <c r="J1254">
        <v>213.709</v>
      </c>
      <c r="K1254" t="s">
        <v>954</v>
      </c>
      <c r="L1254">
        <v>44</v>
      </c>
      <c r="M1254" t="s">
        <v>9</v>
      </c>
      <c r="N1254" t="s">
        <v>955</v>
      </c>
      <c r="O1254" t="s">
        <v>74</v>
      </c>
      <c r="P1254" t="s">
        <v>12</v>
      </c>
      <c r="Q1254" t="s">
        <v>19</v>
      </c>
      <c r="R1254" t="s">
        <v>3919</v>
      </c>
      <c r="S1254" t="s">
        <v>1527</v>
      </c>
      <c r="T1254" t="s">
        <v>3830</v>
      </c>
      <c r="U1254" t="s">
        <v>1704</v>
      </c>
      <c r="V1254" t="s">
        <v>1736</v>
      </c>
      <c r="W1254" t="s">
        <v>1737</v>
      </c>
      <c r="X1254" t="s">
        <v>1739</v>
      </c>
    </row>
    <row r="1255" spans="1:24" x14ac:dyDescent="0.3">
      <c r="A1255" t="s">
        <v>3062</v>
      </c>
      <c r="B1255" s="2">
        <v>45235</v>
      </c>
      <c r="C1255" t="s">
        <v>678</v>
      </c>
      <c r="D1255" t="s">
        <v>1679</v>
      </c>
      <c r="E1255" t="s">
        <v>1740</v>
      </c>
      <c r="F1255" s="4">
        <v>1</v>
      </c>
      <c r="G1255">
        <v>842.46</v>
      </c>
      <c r="H1255">
        <v>0.05</v>
      </c>
      <c r="I1255" t="s">
        <v>1812</v>
      </c>
      <c r="J1255">
        <v>800.33699999999999</v>
      </c>
      <c r="K1255" t="s">
        <v>679</v>
      </c>
      <c r="L1255">
        <v>20</v>
      </c>
      <c r="M1255" t="s">
        <v>16</v>
      </c>
      <c r="N1255" t="s">
        <v>680</v>
      </c>
      <c r="O1255" t="s">
        <v>81</v>
      </c>
      <c r="P1255" t="s">
        <v>12</v>
      </c>
      <c r="Q1255" t="s">
        <v>31</v>
      </c>
      <c r="R1255" t="s">
        <v>3907</v>
      </c>
      <c r="S1255" t="s">
        <v>1546</v>
      </c>
      <c r="T1255" t="s">
        <v>3826</v>
      </c>
      <c r="U1255" t="s">
        <v>1680</v>
      </c>
      <c r="V1255" t="s">
        <v>1741</v>
      </c>
      <c r="W1255" t="s">
        <v>1742</v>
      </c>
      <c r="X1255" t="s">
        <v>1739</v>
      </c>
    </row>
    <row r="1256" spans="1:24" x14ac:dyDescent="0.3">
      <c r="A1256" t="s">
        <v>3063</v>
      </c>
      <c r="B1256" s="2">
        <v>45543</v>
      </c>
      <c r="C1256" t="s">
        <v>684</v>
      </c>
      <c r="D1256" t="s">
        <v>1603</v>
      </c>
      <c r="E1256" t="s">
        <v>1775</v>
      </c>
      <c r="F1256" s="4">
        <v>3</v>
      </c>
      <c r="G1256">
        <v>120.67</v>
      </c>
      <c r="H1256">
        <v>0.08</v>
      </c>
      <c r="I1256" t="s">
        <v>1812</v>
      </c>
      <c r="J1256">
        <v>333.04919999999998</v>
      </c>
      <c r="K1256" t="s">
        <v>685</v>
      </c>
      <c r="L1256">
        <v>42</v>
      </c>
      <c r="M1256" t="s">
        <v>16</v>
      </c>
      <c r="N1256" t="s">
        <v>686</v>
      </c>
      <c r="O1256" t="s">
        <v>74</v>
      </c>
      <c r="P1256" t="s">
        <v>12</v>
      </c>
      <c r="Q1256" t="s">
        <v>19</v>
      </c>
      <c r="R1256" t="s">
        <v>3864</v>
      </c>
      <c r="S1256" t="s">
        <v>1530</v>
      </c>
      <c r="T1256" t="s">
        <v>3813</v>
      </c>
      <c r="U1256" t="s">
        <v>1604</v>
      </c>
      <c r="V1256" t="s">
        <v>1741</v>
      </c>
      <c r="W1256" t="s">
        <v>1742</v>
      </c>
      <c r="X1256" t="s">
        <v>1739</v>
      </c>
    </row>
    <row r="1257" spans="1:24" x14ac:dyDescent="0.3">
      <c r="A1257" t="s">
        <v>3064</v>
      </c>
      <c r="B1257" s="2">
        <v>45402</v>
      </c>
      <c r="C1257" t="s">
        <v>1510</v>
      </c>
      <c r="D1257" t="s">
        <v>1571</v>
      </c>
      <c r="E1257" t="s">
        <v>1749</v>
      </c>
      <c r="F1257" s="4">
        <v>4</v>
      </c>
      <c r="G1257">
        <v>176.13</v>
      </c>
      <c r="H1257">
        <v>0.27</v>
      </c>
      <c r="I1257" t="s">
        <v>1809</v>
      </c>
      <c r="J1257">
        <v>514.29959999999994</v>
      </c>
      <c r="K1257" t="s">
        <v>1511</v>
      </c>
      <c r="L1257">
        <v>35</v>
      </c>
      <c r="M1257" t="s">
        <v>9</v>
      </c>
      <c r="N1257" t="s">
        <v>1512</v>
      </c>
      <c r="O1257" t="s">
        <v>58</v>
      </c>
      <c r="P1257" t="s">
        <v>12</v>
      </c>
      <c r="Q1257" t="s">
        <v>13</v>
      </c>
      <c r="R1257" t="s">
        <v>3845</v>
      </c>
      <c r="S1257" t="s">
        <v>1549</v>
      </c>
      <c r="T1257" t="s">
        <v>3820</v>
      </c>
      <c r="U1257" t="s">
        <v>1572</v>
      </c>
      <c r="V1257" t="s">
        <v>1750</v>
      </c>
      <c r="W1257" t="s">
        <v>1742</v>
      </c>
      <c r="X1257" t="s">
        <v>1748</v>
      </c>
    </row>
    <row r="1258" spans="1:24" x14ac:dyDescent="0.3">
      <c r="A1258" t="s">
        <v>3065</v>
      </c>
      <c r="B1258" s="2">
        <v>45671</v>
      </c>
      <c r="C1258" t="s">
        <v>1376</v>
      </c>
      <c r="D1258" t="s">
        <v>1657</v>
      </c>
      <c r="E1258" t="s">
        <v>1775</v>
      </c>
      <c r="F1258" s="4">
        <v>4</v>
      </c>
      <c r="G1258">
        <v>592.67999999999995</v>
      </c>
      <c r="H1258">
        <v>0.03</v>
      </c>
      <c r="I1258" t="s">
        <v>1807</v>
      </c>
      <c r="J1258">
        <v>2299.5983999999999</v>
      </c>
      <c r="K1258" t="s">
        <v>1377</v>
      </c>
      <c r="L1258">
        <v>46</v>
      </c>
      <c r="M1258" t="s">
        <v>9</v>
      </c>
      <c r="N1258" t="s">
        <v>1378</v>
      </c>
      <c r="O1258" t="s">
        <v>70</v>
      </c>
      <c r="P1258" t="s">
        <v>12</v>
      </c>
      <c r="Q1258" t="s">
        <v>26</v>
      </c>
      <c r="R1258" t="s">
        <v>3895</v>
      </c>
      <c r="S1258" t="s">
        <v>1541</v>
      </c>
      <c r="T1258" t="s">
        <v>3822</v>
      </c>
      <c r="U1258" t="s">
        <v>1658</v>
      </c>
      <c r="V1258" t="s">
        <v>1741</v>
      </c>
      <c r="W1258" t="s">
        <v>1742</v>
      </c>
      <c r="X1258" t="s">
        <v>1739</v>
      </c>
    </row>
    <row r="1259" spans="1:24" x14ac:dyDescent="0.3">
      <c r="A1259" t="s">
        <v>3066</v>
      </c>
      <c r="B1259" s="2">
        <v>45367</v>
      </c>
      <c r="C1259" t="s">
        <v>576</v>
      </c>
      <c r="D1259" t="s">
        <v>1671</v>
      </c>
      <c r="E1259" t="s">
        <v>1752</v>
      </c>
      <c r="F1259" s="4">
        <v>4</v>
      </c>
      <c r="G1259">
        <v>662.43</v>
      </c>
      <c r="H1259">
        <v>0.24</v>
      </c>
      <c r="I1259" t="s">
        <v>1809</v>
      </c>
      <c r="J1259">
        <v>2013.7872</v>
      </c>
      <c r="K1259" t="s">
        <v>577</v>
      </c>
      <c r="L1259">
        <v>55</v>
      </c>
      <c r="M1259" t="s">
        <v>9</v>
      </c>
      <c r="N1259" t="s">
        <v>578</v>
      </c>
      <c r="O1259" t="s">
        <v>170</v>
      </c>
      <c r="P1259" t="s">
        <v>12</v>
      </c>
      <c r="Q1259" t="s">
        <v>31</v>
      </c>
      <c r="R1259" t="s">
        <v>3903</v>
      </c>
      <c r="S1259" t="s">
        <v>1527</v>
      </c>
      <c r="T1259" t="s">
        <v>3847</v>
      </c>
      <c r="U1259" t="s">
        <v>1672</v>
      </c>
      <c r="V1259" t="s">
        <v>1753</v>
      </c>
      <c r="W1259" t="s">
        <v>1746</v>
      </c>
      <c r="X1259" t="s">
        <v>1755</v>
      </c>
    </row>
    <row r="1260" spans="1:24" x14ac:dyDescent="0.3">
      <c r="A1260" t="s">
        <v>3067</v>
      </c>
      <c r="B1260" s="2">
        <v>45488</v>
      </c>
      <c r="C1260" t="s">
        <v>436</v>
      </c>
      <c r="D1260" t="s">
        <v>1617</v>
      </c>
      <c r="E1260" t="s">
        <v>1765</v>
      </c>
      <c r="F1260" s="4">
        <v>3</v>
      </c>
      <c r="G1260">
        <v>518.35</v>
      </c>
      <c r="H1260">
        <v>0.21</v>
      </c>
      <c r="I1260" t="s">
        <v>1812</v>
      </c>
      <c r="J1260">
        <v>1228.4894999999999</v>
      </c>
      <c r="K1260" t="s">
        <v>437</v>
      </c>
      <c r="L1260">
        <v>43</v>
      </c>
      <c r="M1260" t="s">
        <v>16</v>
      </c>
      <c r="N1260" t="s">
        <v>438</v>
      </c>
      <c r="O1260" t="s">
        <v>288</v>
      </c>
      <c r="P1260" t="s">
        <v>12</v>
      </c>
      <c r="Q1260" t="s">
        <v>31</v>
      </c>
      <c r="R1260" t="s">
        <v>3873</v>
      </c>
      <c r="S1260" t="s">
        <v>1546</v>
      </c>
      <c r="T1260" t="s">
        <v>3811</v>
      </c>
      <c r="U1260" t="s">
        <v>1618</v>
      </c>
      <c r="V1260" t="s">
        <v>1766</v>
      </c>
      <c r="W1260" t="s">
        <v>1767</v>
      </c>
      <c r="X1260" t="s">
        <v>1755</v>
      </c>
    </row>
    <row r="1261" spans="1:24" x14ac:dyDescent="0.3">
      <c r="A1261" t="s">
        <v>3068</v>
      </c>
      <c r="B1261" s="2">
        <v>45509</v>
      </c>
      <c r="C1261" t="s">
        <v>968</v>
      </c>
      <c r="D1261" t="s">
        <v>1653</v>
      </c>
      <c r="E1261" t="s">
        <v>1756</v>
      </c>
      <c r="F1261" s="4">
        <v>1</v>
      </c>
      <c r="G1261">
        <v>85.58</v>
      </c>
      <c r="H1261">
        <v>0.1</v>
      </c>
      <c r="I1261" t="s">
        <v>1812</v>
      </c>
      <c r="J1261">
        <v>77.022000000000006</v>
      </c>
      <c r="K1261" t="s">
        <v>969</v>
      </c>
      <c r="L1261">
        <v>35</v>
      </c>
      <c r="M1261" t="s">
        <v>9</v>
      </c>
      <c r="N1261" t="s">
        <v>970</v>
      </c>
      <c r="O1261" t="s">
        <v>170</v>
      </c>
      <c r="P1261" t="s">
        <v>12</v>
      </c>
      <c r="Q1261" t="s">
        <v>31</v>
      </c>
      <c r="R1261" t="s">
        <v>3893</v>
      </c>
      <c r="S1261" t="s">
        <v>1549</v>
      </c>
      <c r="T1261" t="s">
        <v>3844</v>
      </c>
      <c r="U1261" t="s">
        <v>1654</v>
      </c>
      <c r="V1261" t="s">
        <v>1757</v>
      </c>
      <c r="W1261" t="s">
        <v>1742</v>
      </c>
      <c r="X1261" t="s">
        <v>1748</v>
      </c>
    </row>
    <row r="1262" spans="1:24" x14ac:dyDescent="0.3">
      <c r="A1262" t="s">
        <v>3069</v>
      </c>
      <c r="B1262" s="2">
        <v>45323</v>
      </c>
      <c r="C1262" t="s">
        <v>1123</v>
      </c>
      <c r="D1262" t="s">
        <v>1705</v>
      </c>
      <c r="E1262" t="s">
        <v>1740</v>
      </c>
      <c r="F1262" s="4">
        <v>4</v>
      </c>
      <c r="G1262">
        <v>800</v>
      </c>
      <c r="H1262">
        <v>0.2</v>
      </c>
      <c r="I1262" t="s">
        <v>1807</v>
      </c>
      <c r="J1262">
        <v>2560</v>
      </c>
      <c r="K1262" t="s">
        <v>1124</v>
      </c>
      <c r="L1262">
        <v>58</v>
      </c>
      <c r="M1262" t="s">
        <v>9</v>
      </c>
      <c r="N1262" t="s">
        <v>1125</v>
      </c>
      <c r="O1262" t="s">
        <v>25</v>
      </c>
      <c r="P1262" t="s">
        <v>12</v>
      </c>
      <c r="Q1262" t="s">
        <v>26</v>
      </c>
      <c r="R1262" t="s">
        <v>3920</v>
      </c>
      <c r="S1262" t="s">
        <v>1527</v>
      </c>
      <c r="T1262" t="s">
        <v>3824</v>
      </c>
      <c r="U1262" t="s">
        <v>1706</v>
      </c>
      <c r="V1262" t="s">
        <v>1741</v>
      </c>
      <c r="W1262" t="s">
        <v>1742</v>
      </c>
      <c r="X1262" t="s">
        <v>1739</v>
      </c>
    </row>
    <row r="1263" spans="1:24" x14ac:dyDescent="0.3">
      <c r="A1263" t="s">
        <v>3070</v>
      </c>
      <c r="B1263" s="2">
        <v>45889</v>
      </c>
      <c r="C1263" t="s">
        <v>515</v>
      </c>
      <c r="D1263" t="s">
        <v>1651</v>
      </c>
      <c r="E1263" t="s">
        <v>1772</v>
      </c>
      <c r="F1263" s="4">
        <v>3</v>
      </c>
      <c r="G1263">
        <v>118.25</v>
      </c>
      <c r="H1263">
        <v>0.26</v>
      </c>
      <c r="I1263" t="s">
        <v>1809</v>
      </c>
      <c r="J1263">
        <v>262.51499999999999</v>
      </c>
      <c r="K1263" t="s">
        <v>516</v>
      </c>
      <c r="L1263">
        <v>46</v>
      </c>
      <c r="M1263" t="s">
        <v>9</v>
      </c>
      <c r="N1263" t="s">
        <v>517</v>
      </c>
      <c r="O1263" t="s">
        <v>264</v>
      </c>
      <c r="P1263" t="s">
        <v>12</v>
      </c>
      <c r="Q1263" t="s">
        <v>13</v>
      </c>
      <c r="R1263" t="s">
        <v>3892</v>
      </c>
      <c r="S1263" t="s">
        <v>1541</v>
      </c>
      <c r="T1263" t="s">
        <v>3881</v>
      </c>
      <c r="U1263" t="s">
        <v>1652</v>
      </c>
      <c r="V1263" t="s">
        <v>1741</v>
      </c>
      <c r="W1263" t="s">
        <v>1742</v>
      </c>
      <c r="X1263" t="s">
        <v>1739</v>
      </c>
    </row>
    <row r="1264" spans="1:24" x14ac:dyDescent="0.3">
      <c r="A1264" t="s">
        <v>3071</v>
      </c>
      <c r="B1264" s="2">
        <v>45253</v>
      </c>
      <c r="C1264" t="s">
        <v>1292</v>
      </c>
      <c r="D1264" t="s">
        <v>1595</v>
      </c>
      <c r="E1264" t="s">
        <v>1784</v>
      </c>
      <c r="F1264" s="4">
        <v>1</v>
      </c>
      <c r="G1264">
        <v>223.25</v>
      </c>
      <c r="H1264">
        <v>0.28999999999999998</v>
      </c>
      <c r="I1264" t="s">
        <v>1807</v>
      </c>
      <c r="J1264">
        <v>158.50749999999999</v>
      </c>
      <c r="K1264" t="s">
        <v>1293</v>
      </c>
      <c r="L1264">
        <v>42</v>
      </c>
      <c r="M1264" t="s">
        <v>16</v>
      </c>
      <c r="N1264" t="s">
        <v>1294</v>
      </c>
      <c r="O1264" t="s">
        <v>74</v>
      </c>
      <c r="P1264" t="s">
        <v>12</v>
      </c>
      <c r="Q1264" t="s">
        <v>19</v>
      </c>
      <c r="R1264" t="s">
        <v>3860</v>
      </c>
      <c r="S1264" t="s">
        <v>1541</v>
      </c>
      <c r="T1264" t="s">
        <v>3822</v>
      </c>
      <c r="U1264" t="s">
        <v>1596</v>
      </c>
      <c r="V1264" t="s">
        <v>1741</v>
      </c>
      <c r="W1264" t="s">
        <v>1742</v>
      </c>
      <c r="X1264" t="s">
        <v>1739</v>
      </c>
    </row>
    <row r="1265" spans="1:24" x14ac:dyDescent="0.3">
      <c r="A1265" t="s">
        <v>3072</v>
      </c>
      <c r="B1265" s="2">
        <v>45530</v>
      </c>
      <c r="C1265" t="s">
        <v>1309</v>
      </c>
      <c r="D1265" t="s">
        <v>1595</v>
      </c>
      <c r="E1265" t="s">
        <v>1752</v>
      </c>
      <c r="F1265" s="4">
        <v>3</v>
      </c>
      <c r="G1265">
        <v>918.76</v>
      </c>
      <c r="H1265">
        <v>0.2</v>
      </c>
      <c r="I1265" t="s">
        <v>1809</v>
      </c>
      <c r="J1265">
        <v>2205.0239999999999</v>
      </c>
      <c r="K1265" t="s">
        <v>1310</v>
      </c>
      <c r="L1265">
        <v>27</v>
      </c>
      <c r="M1265" t="s">
        <v>16</v>
      </c>
      <c r="N1265" t="s">
        <v>1311</v>
      </c>
      <c r="O1265" t="s">
        <v>429</v>
      </c>
      <c r="P1265" t="s">
        <v>12</v>
      </c>
      <c r="Q1265" t="s">
        <v>13</v>
      </c>
      <c r="R1265" t="s">
        <v>3860</v>
      </c>
      <c r="S1265" t="s">
        <v>1541</v>
      </c>
      <c r="T1265" t="s">
        <v>3822</v>
      </c>
      <c r="U1265" t="s">
        <v>1596</v>
      </c>
      <c r="V1265" t="s">
        <v>1753</v>
      </c>
      <c r="W1265" t="s">
        <v>1746</v>
      </c>
      <c r="X1265" t="s">
        <v>1755</v>
      </c>
    </row>
    <row r="1266" spans="1:24" x14ac:dyDescent="0.3">
      <c r="A1266" t="s">
        <v>3073</v>
      </c>
      <c r="B1266" s="2">
        <v>45491</v>
      </c>
      <c r="C1266" t="s">
        <v>882</v>
      </c>
      <c r="D1266" t="s">
        <v>1699</v>
      </c>
      <c r="E1266" t="s">
        <v>1780</v>
      </c>
      <c r="F1266" s="4">
        <v>2</v>
      </c>
      <c r="G1266">
        <v>905.26</v>
      </c>
      <c r="H1266">
        <v>0.15</v>
      </c>
      <c r="I1266" t="s">
        <v>1812</v>
      </c>
      <c r="J1266">
        <v>1538.942</v>
      </c>
      <c r="K1266" t="s">
        <v>883</v>
      </c>
      <c r="L1266">
        <v>59</v>
      </c>
      <c r="M1266" t="s">
        <v>9</v>
      </c>
      <c r="N1266" t="s">
        <v>884</v>
      </c>
      <c r="O1266" t="s">
        <v>99</v>
      </c>
      <c r="P1266" t="s">
        <v>12</v>
      </c>
      <c r="Q1266" t="s">
        <v>26</v>
      </c>
      <c r="R1266" t="s">
        <v>3917</v>
      </c>
      <c r="S1266" t="s">
        <v>1527</v>
      </c>
      <c r="T1266" t="s">
        <v>3901</v>
      </c>
      <c r="U1266" t="s">
        <v>1700</v>
      </c>
      <c r="V1266" t="s">
        <v>1741</v>
      </c>
      <c r="W1266" t="s">
        <v>1742</v>
      </c>
      <c r="X1266" t="s">
        <v>1739</v>
      </c>
    </row>
    <row r="1267" spans="1:24" x14ac:dyDescent="0.3">
      <c r="A1267" t="s">
        <v>3074</v>
      </c>
      <c r="B1267" s="2">
        <v>45628</v>
      </c>
      <c r="C1267" t="s">
        <v>974</v>
      </c>
      <c r="D1267" t="s">
        <v>1563</v>
      </c>
      <c r="E1267" t="s">
        <v>1796</v>
      </c>
      <c r="F1267" s="4">
        <v>4</v>
      </c>
      <c r="G1267">
        <v>295.39999999999998</v>
      </c>
      <c r="H1267">
        <v>0.23</v>
      </c>
      <c r="I1267" t="s">
        <v>1809</v>
      </c>
      <c r="J1267">
        <v>909.83199999999999</v>
      </c>
      <c r="K1267" t="s">
        <v>975</v>
      </c>
      <c r="L1267">
        <v>62</v>
      </c>
      <c r="M1267" t="s">
        <v>9</v>
      </c>
      <c r="N1267" t="s">
        <v>976</v>
      </c>
      <c r="O1267" t="s">
        <v>92</v>
      </c>
      <c r="P1267" t="s">
        <v>12</v>
      </c>
      <c r="Q1267" t="s">
        <v>31</v>
      </c>
      <c r="R1267" t="s">
        <v>3839</v>
      </c>
      <c r="S1267" t="s">
        <v>1541</v>
      </c>
      <c r="T1267" t="s">
        <v>3840</v>
      </c>
      <c r="U1267" t="s">
        <v>1564</v>
      </c>
      <c r="V1267" t="s">
        <v>1741</v>
      </c>
      <c r="W1267" t="s">
        <v>1742</v>
      </c>
      <c r="X1267" t="s">
        <v>1739</v>
      </c>
    </row>
    <row r="1268" spans="1:24" x14ac:dyDescent="0.3">
      <c r="A1268" t="s">
        <v>3075</v>
      </c>
      <c r="B1268" s="2">
        <v>45861</v>
      </c>
      <c r="C1268" t="s">
        <v>310</v>
      </c>
      <c r="D1268" t="s">
        <v>1719</v>
      </c>
      <c r="E1268" t="s">
        <v>1756</v>
      </c>
      <c r="F1268" s="4">
        <v>1</v>
      </c>
      <c r="G1268">
        <v>252.18</v>
      </c>
      <c r="H1268">
        <v>0.23</v>
      </c>
      <c r="I1268" t="s">
        <v>1809</v>
      </c>
      <c r="J1268">
        <v>194.17859999999999</v>
      </c>
      <c r="K1268" t="s">
        <v>3939</v>
      </c>
      <c r="L1268">
        <v>58</v>
      </c>
      <c r="M1268" t="s">
        <v>9</v>
      </c>
      <c r="N1268" t="s">
        <v>311</v>
      </c>
      <c r="O1268" t="s">
        <v>312</v>
      </c>
      <c r="P1268" t="s">
        <v>12</v>
      </c>
      <c r="Q1268" t="s">
        <v>26</v>
      </c>
      <c r="R1268" t="s">
        <v>3927</v>
      </c>
      <c r="S1268" t="s">
        <v>1541</v>
      </c>
      <c r="T1268" t="s">
        <v>3822</v>
      </c>
      <c r="U1268" t="s">
        <v>1720</v>
      </c>
      <c r="V1268" t="s">
        <v>1757</v>
      </c>
      <c r="W1268" t="s">
        <v>1742</v>
      </c>
      <c r="X1268" t="s">
        <v>1748</v>
      </c>
    </row>
    <row r="1269" spans="1:24" x14ac:dyDescent="0.3">
      <c r="A1269" t="s">
        <v>3076</v>
      </c>
      <c r="B1269" s="2">
        <v>45878</v>
      </c>
      <c r="C1269" t="s">
        <v>506</v>
      </c>
      <c r="D1269" t="s">
        <v>1725</v>
      </c>
      <c r="E1269" t="s">
        <v>1777</v>
      </c>
      <c r="F1269" s="4">
        <v>4</v>
      </c>
      <c r="G1269">
        <v>792.1</v>
      </c>
      <c r="H1269">
        <v>0.19</v>
      </c>
      <c r="I1269" t="s">
        <v>1812</v>
      </c>
      <c r="J1269">
        <v>2566.404</v>
      </c>
      <c r="K1269" t="s">
        <v>507</v>
      </c>
      <c r="L1269">
        <v>31</v>
      </c>
      <c r="M1269" t="s">
        <v>9</v>
      </c>
      <c r="N1269" t="s">
        <v>508</v>
      </c>
      <c r="O1269" t="s">
        <v>113</v>
      </c>
      <c r="P1269" t="s">
        <v>12</v>
      </c>
      <c r="Q1269" t="s">
        <v>19</v>
      </c>
      <c r="R1269" t="s">
        <v>3930</v>
      </c>
      <c r="S1269" t="s">
        <v>1549</v>
      </c>
      <c r="T1269" t="s">
        <v>3859</v>
      </c>
      <c r="U1269" t="s">
        <v>1726</v>
      </c>
      <c r="V1269" t="s">
        <v>1741</v>
      </c>
      <c r="W1269" t="s">
        <v>1742</v>
      </c>
      <c r="X1269" t="s">
        <v>1739</v>
      </c>
    </row>
    <row r="1270" spans="1:24" x14ac:dyDescent="0.3">
      <c r="A1270" t="s">
        <v>3077</v>
      </c>
      <c r="B1270" s="2">
        <v>45426</v>
      </c>
      <c r="C1270" t="s">
        <v>275</v>
      </c>
      <c r="D1270" t="s">
        <v>1707</v>
      </c>
      <c r="E1270" t="s">
        <v>1782</v>
      </c>
      <c r="F1270" s="4">
        <v>1</v>
      </c>
      <c r="G1270">
        <v>883.36</v>
      </c>
      <c r="H1270">
        <v>0.11</v>
      </c>
      <c r="I1270" t="s">
        <v>1809</v>
      </c>
      <c r="J1270">
        <v>786.19040000000007</v>
      </c>
      <c r="K1270" t="s">
        <v>276</v>
      </c>
      <c r="L1270">
        <v>29</v>
      </c>
      <c r="M1270" t="s">
        <v>9</v>
      </c>
      <c r="N1270" t="s">
        <v>277</v>
      </c>
      <c r="O1270" t="s">
        <v>96</v>
      </c>
      <c r="P1270" t="s">
        <v>12</v>
      </c>
      <c r="Q1270" t="s">
        <v>13</v>
      </c>
      <c r="R1270" t="s">
        <v>3921</v>
      </c>
      <c r="S1270" t="s">
        <v>1549</v>
      </c>
      <c r="T1270" t="s">
        <v>3820</v>
      </c>
      <c r="U1270" t="s">
        <v>1708</v>
      </c>
      <c r="V1270" t="s">
        <v>1741</v>
      </c>
      <c r="W1270" t="s">
        <v>1742</v>
      </c>
      <c r="X1270" t="s">
        <v>1739</v>
      </c>
    </row>
    <row r="1271" spans="1:24" x14ac:dyDescent="0.3">
      <c r="A1271" t="s">
        <v>3078</v>
      </c>
      <c r="B1271" s="2">
        <v>45231</v>
      </c>
      <c r="C1271" t="s">
        <v>870</v>
      </c>
      <c r="D1271" t="s">
        <v>1669</v>
      </c>
      <c r="E1271" t="s">
        <v>1735</v>
      </c>
      <c r="F1271" s="4">
        <v>4</v>
      </c>
      <c r="G1271">
        <v>305.95</v>
      </c>
      <c r="H1271">
        <v>0.08</v>
      </c>
      <c r="I1271" t="s">
        <v>1809</v>
      </c>
      <c r="J1271">
        <v>1125.896</v>
      </c>
      <c r="K1271" t="s">
        <v>871</v>
      </c>
      <c r="L1271">
        <v>22</v>
      </c>
      <c r="M1271" t="s">
        <v>16</v>
      </c>
      <c r="N1271" t="s">
        <v>872</v>
      </c>
      <c r="O1271" t="s">
        <v>181</v>
      </c>
      <c r="P1271" t="s">
        <v>12</v>
      </c>
      <c r="Q1271" t="s">
        <v>13</v>
      </c>
      <c r="R1271" t="s">
        <v>3902</v>
      </c>
      <c r="S1271" t="s">
        <v>1530</v>
      </c>
      <c r="T1271" t="s">
        <v>3818</v>
      </c>
      <c r="U1271" t="s">
        <v>1670</v>
      </c>
      <c r="V1271" t="s">
        <v>1736</v>
      </c>
      <c r="W1271" t="s">
        <v>1737</v>
      </c>
      <c r="X1271" t="s">
        <v>1739</v>
      </c>
    </row>
    <row r="1272" spans="1:24" x14ac:dyDescent="0.3">
      <c r="A1272" t="s">
        <v>3079</v>
      </c>
      <c r="B1272" s="2">
        <v>45609</v>
      </c>
      <c r="C1272" t="s">
        <v>1235</v>
      </c>
      <c r="D1272" t="s">
        <v>1647</v>
      </c>
      <c r="E1272" t="s">
        <v>1762</v>
      </c>
      <c r="F1272" s="4">
        <v>3</v>
      </c>
      <c r="G1272">
        <v>742.45</v>
      </c>
      <c r="H1272">
        <v>0.23</v>
      </c>
      <c r="I1272" t="s">
        <v>1812</v>
      </c>
      <c r="J1272">
        <v>1715.0595000000001</v>
      </c>
      <c r="K1272" t="s">
        <v>1236</v>
      </c>
      <c r="L1272">
        <v>31</v>
      </c>
      <c r="M1272" t="s">
        <v>9</v>
      </c>
      <c r="N1272" t="s">
        <v>1237</v>
      </c>
      <c r="O1272" t="s">
        <v>181</v>
      </c>
      <c r="P1272" t="s">
        <v>12</v>
      </c>
      <c r="Q1272" t="s">
        <v>19</v>
      </c>
      <c r="R1272" t="s">
        <v>3890</v>
      </c>
      <c r="S1272" t="s">
        <v>1530</v>
      </c>
      <c r="T1272" t="s">
        <v>3820</v>
      </c>
      <c r="U1272" t="s">
        <v>1648</v>
      </c>
      <c r="V1272" t="s">
        <v>1763</v>
      </c>
      <c r="W1272" t="s">
        <v>1746</v>
      </c>
      <c r="X1272" t="s">
        <v>1755</v>
      </c>
    </row>
    <row r="1273" spans="1:24" x14ac:dyDescent="0.3">
      <c r="A1273" t="s">
        <v>3080</v>
      </c>
      <c r="B1273" s="2">
        <v>45392</v>
      </c>
      <c r="C1273" t="s">
        <v>1100</v>
      </c>
      <c r="D1273" t="s">
        <v>1581</v>
      </c>
      <c r="E1273" t="s">
        <v>1793</v>
      </c>
      <c r="F1273" s="4">
        <v>3</v>
      </c>
      <c r="G1273">
        <v>336.1</v>
      </c>
      <c r="H1273">
        <v>0.12</v>
      </c>
      <c r="I1273" t="s">
        <v>1812</v>
      </c>
      <c r="J1273">
        <v>887.30400000000009</v>
      </c>
      <c r="K1273" t="s">
        <v>1101</v>
      </c>
      <c r="L1273">
        <v>54</v>
      </c>
      <c r="M1273" t="s">
        <v>9</v>
      </c>
      <c r="N1273" t="s">
        <v>1102</v>
      </c>
      <c r="O1273" t="s">
        <v>74</v>
      </c>
      <c r="P1273" t="s">
        <v>12</v>
      </c>
      <c r="Q1273" t="s">
        <v>13</v>
      </c>
      <c r="R1273" t="s">
        <v>3852</v>
      </c>
      <c r="S1273" t="s">
        <v>1530</v>
      </c>
      <c r="T1273" t="s">
        <v>3820</v>
      </c>
      <c r="U1273" t="s">
        <v>1582</v>
      </c>
      <c r="V1273" t="s">
        <v>1741</v>
      </c>
      <c r="W1273" t="s">
        <v>1742</v>
      </c>
      <c r="X1273" t="s">
        <v>1739</v>
      </c>
    </row>
    <row r="1274" spans="1:24" x14ac:dyDescent="0.3">
      <c r="A1274" t="s">
        <v>3081</v>
      </c>
      <c r="B1274" s="2">
        <v>45876</v>
      </c>
      <c r="C1274" t="s">
        <v>1267</v>
      </c>
      <c r="D1274" t="s">
        <v>1589</v>
      </c>
      <c r="E1274" t="s">
        <v>1762</v>
      </c>
      <c r="F1274" s="4">
        <v>3</v>
      </c>
      <c r="G1274">
        <v>310.36</v>
      </c>
      <c r="H1274">
        <v>0.14000000000000001</v>
      </c>
      <c r="I1274" t="s">
        <v>1812</v>
      </c>
      <c r="J1274">
        <v>800.72879999999998</v>
      </c>
      <c r="K1274" t="s">
        <v>1268</v>
      </c>
      <c r="L1274">
        <v>59</v>
      </c>
      <c r="M1274" t="s">
        <v>16</v>
      </c>
      <c r="N1274" t="s">
        <v>201</v>
      </c>
      <c r="O1274" t="s">
        <v>155</v>
      </c>
      <c r="P1274" t="s">
        <v>12</v>
      </c>
      <c r="Q1274" t="s">
        <v>13</v>
      </c>
      <c r="R1274" t="s">
        <v>3856</v>
      </c>
      <c r="S1274" t="s">
        <v>1527</v>
      </c>
      <c r="T1274" t="s">
        <v>3836</v>
      </c>
      <c r="U1274" t="s">
        <v>1590</v>
      </c>
      <c r="V1274" t="s">
        <v>1763</v>
      </c>
      <c r="W1274" t="s">
        <v>1746</v>
      </c>
      <c r="X1274" t="s">
        <v>1755</v>
      </c>
    </row>
    <row r="1275" spans="1:24" x14ac:dyDescent="0.3">
      <c r="A1275" t="s">
        <v>3082</v>
      </c>
      <c r="B1275" s="2">
        <v>45772</v>
      </c>
      <c r="C1275" t="s">
        <v>879</v>
      </c>
      <c r="D1275" t="s">
        <v>1727</v>
      </c>
      <c r="E1275" t="s">
        <v>1765</v>
      </c>
      <c r="F1275" s="4">
        <v>3</v>
      </c>
      <c r="G1275">
        <v>992.81</v>
      </c>
      <c r="H1275">
        <v>0.04</v>
      </c>
      <c r="I1275" t="s">
        <v>1809</v>
      </c>
      <c r="J1275">
        <v>2859.2928000000002</v>
      </c>
      <c r="K1275" t="s">
        <v>880</v>
      </c>
      <c r="L1275">
        <v>48</v>
      </c>
      <c r="M1275" t="s">
        <v>9</v>
      </c>
      <c r="N1275" t="s">
        <v>881</v>
      </c>
      <c r="O1275" t="s">
        <v>25</v>
      </c>
      <c r="P1275" t="s">
        <v>12</v>
      </c>
      <c r="Q1275" t="s">
        <v>26</v>
      </c>
      <c r="R1275" t="s">
        <v>3931</v>
      </c>
      <c r="S1275" t="s">
        <v>1546</v>
      </c>
      <c r="T1275" t="s">
        <v>3826</v>
      </c>
      <c r="U1275" t="s">
        <v>1728</v>
      </c>
      <c r="V1275" t="s">
        <v>1766</v>
      </c>
      <c r="W1275" t="s">
        <v>1767</v>
      </c>
      <c r="X1275" t="s">
        <v>1755</v>
      </c>
    </row>
    <row r="1276" spans="1:24" x14ac:dyDescent="0.3">
      <c r="A1276" t="s">
        <v>3083</v>
      </c>
      <c r="B1276" s="2">
        <v>45217</v>
      </c>
      <c r="C1276" t="s">
        <v>642</v>
      </c>
      <c r="D1276" t="s">
        <v>1651</v>
      </c>
      <c r="E1276" t="s">
        <v>1775</v>
      </c>
      <c r="F1276" s="4">
        <v>3</v>
      </c>
      <c r="G1276">
        <v>257.11</v>
      </c>
      <c r="H1276">
        <v>0.26</v>
      </c>
      <c r="I1276" t="s">
        <v>1812</v>
      </c>
      <c r="J1276">
        <v>570.78420000000006</v>
      </c>
      <c r="K1276" t="s">
        <v>643</v>
      </c>
      <c r="L1276">
        <v>46</v>
      </c>
      <c r="M1276" t="s">
        <v>9</v>
      </c>
      <c r="N1276" t="s">
        <v>644</v>
      </c>
      <c r="O1276" t="s">
        <v>170</v>
      </c>
      <c r="P1276" t="s">
        <v>12</v>
      </c>
      <c r="Q1276" t="s">
        <v>26</v>
      </c>
      <c r="R1276" t="s">
        <v>3892</v>
      </c>
      <c r="S1276" t="s">
        <v>1541</v>
      </c>
      <c r="T1276" t="s">
        <v>3881</v>
      </c>
      <c r="U1276" t="s">
        <v>1652</v>
      </c>
      <c r="V1276" t="s">
        <v>1741</v>
      </c>
      <c r="W1276" t="s">
        <v>1742</v>
      </c>
      <c r="X1276" t="s">
        <v>1739</v>
      </c>
    </row>
    <row r="1277" spans="1:24" x14ac:dyDescent="0.3">
      <c r="A1277" t="s">
        <v>3084</v>
      </c>
      <c r="B1277" s="2">
        <v>45739</v>
      </c>
      <c r="C1277" t="s">
        <v>707</v>
      </c>
      <c r="D1277" t="s">
        <v>1721</v>
      </c>
      <c r="E1277" t="s">
        <v>1777</v>
      </c>
      <c r="F1277" s="4">
        <v>4</v>
      </c>
      <c r="G1277">
        <v>816.29</v>
      </c>
      <c r="H1277">
        <v>0.24</v>
      </c>
      <c r="I1277" t="s">
        <v>1809</v>
      </c>
      <c r="J1277">
        <v>2481.5216</v>
      </c>
      <c r="K1277" t="s">
        <v>708</v>
      </c>
      <c r="L1277">
        <v>38</v>
      </c>
      <c r="M1277" t="s">
        <v>9</v>
      </c>
      <c r="N1277" t="s">
        <v>3957</v>
      </c>
      <c r="O1277" t="s">
        <v>709</v>
      </c>
      <c r="P1277" t="s">
        <v>12</v>
      </c>
      <c r="Q1277" t="s">
        <v>26</v>
      </c>
      <c r="R1277" t="s">
        <v>3928</v>
      </c>
      <c r="S1277" t="s">
        <v>1549</v>
      </c>
      <c r="T1277" t="s">
        <v>3820</v>
      </c>
      <c r="U1277" t="s">
        <v>1722</v>
      </c>
      <c r="V1277" t="s">
        <v>1741</v>
      </c>
      <c r="W1277" t="s">
        <v>1742</v>
      </c>
      <c r="X1277" t="s">
        <v>1739</v>
      </c>
    </row>
    <row r="1278" spans="1:24" x14ac:dyDescent="0.3">
      <c r="A1278" t="s">
        <v>3085</v>
      </c>
      <c r="B1278" s="2">
        <v>45272</v>
      </c>
      <c r="C1278" t="s">
        <v>417</v>
      </c>
      <c r="D1278" t="s">
        <v>1651</v>
      </c>
      <c r="E1278" t="s">
        <v>1777</v>
      </c>
      <c r="F1278" s="4">
        <v>4</v>
      </c>
      <c r="G1278">
        <v>755.82</v>
      </c>
      <c r="H1278">
        <v>0.22</v>
      </c>
      <c r="I1278" t="s">
        <v>1812</v>
      </c>
      <c r="J1278">
        <v>2358.1583999999998</v>
      </c>
      <c r="K1278" t="s">
        <v>418</v>
      </c>
      <c r="L1278">
        <v>40</v>
      </c>
      <c r="M1278" t="s">
        <v>9</v>
      </c>
      <c r="N1278" t="s">
        <v>419</v>
      </c>
      <c r="O1278" t="s">
        <v>11</v>
      </c>
      <c r="P1278" t="s">
        <v>12</v>
      </c>
      <c r="Q1278" t="s">
        <v>19</v>
      </c>
      <c r="R1278" t="s">
        <v>3892</v>
      </c>
      <c r="S1278" t="s">
        <v>1541</v>
      </c>
      <c r="T1278" t="s">
        <v>3881</v>
      </c>
      <c r="U1278" t="s">
        <v>1652</v>
      </c>
      <c r="V1278" t="s">
        <v>1741</v>
      </c>
      <c r="W1278" t="s">
        <v>1742</v>
      </c>
      <c r="X1278" t="s">
        <v>1739</v>
      </c>
    </row>
    <row r="1279" spans="1:24" x14ac:dyDescent="0.3">
      <c r="A1279" t="s">
        <v>3086</v>
      </c>
      <c r="B1279" s="2">
        <v>45524</v>
      </c>
      <c r="C1279" t="s">
        <v>23</v>
      </c>
      <c r="D1279" t="s">
        <v>1526</v>
      </c>
      <c r="E1279" t="s">
        <v>1782</v>
      </c>
      <c r="F1279" s="4">
        <v>1</v>
      </c>
      <c r="G1279">
        <v>449.6</v>
      </c>
      <c r="H1279">
        <v>0.01</v>
      </c>
      <c r="I1279" t="s">
        <v>1809</v>
      </c>
      <c r="J1279">
        <v>445.10399999999998</v>
      </c>
      <c r="K1279" t="s">
        <v>3934</v>
      </c>
      <c r="L1279">
        <v>64</v>
      </c>
      <c r="M1279" t="s">
        <v>16</v>
      </c>
      <c r="N1279" t="s">
        <v>24</v>
      </c>
      <c r="O1279" t="s">
        <v>25</v>
      </c>
      <c r="P1279" t="s">
        <v>12</v>
      </c>
      <c r="Q1279" t="s">
        <v>26</v>
      </c>
      <c r="R1279" t="s">
        <v>3810</v>
      </c>
      <c r="S1279" t="s">
        <v>1546</v>
      </c>
      <c r="T1279" t="s">
        <v>3811</v>
      </c>
      <c r="U1279" t="s">
        <v>1528</v>
      </c>
      <c r="V1279" t="s">
        <v>1741</v>
      </c>
      <c r="W1279" t="s">
        <v>1742</v>
      </c>
      <c r="X1279" t="s">
        <v>1739</v>
      </c>
    </row>
    <row r="1280" spans="1:24" x14ac:dyDescent="0.3">
      <c r="A1280" t="s">
        <v>3087</v>
      </c>
      <c r="B1280" s="2">
        <v>45481</v>
      </c>
      <c r="C1280" t="s">
        <v>1089</v>
      </c>
      <c r="D1280" t="s">
        <v>1559</v>
      </c>
      <c r="E1280" t="s">
        <v>1735</v>
      </c>
      <c r="F1280" s="4">
        <v>2</v>
      </c>
      <c r="G1280">
        <v>779.29</v>
      </c>
      <c r="H1280">
        <v>0.12</v>
      </c>
      <c r="I1280" t="s">
        <v>1812</v>
      </c>
      <c r="J1280">
        <v>1371.5504000000001</v>
      </c>
      <c r="K1280" t="s">
        <v>1090</v>
      </c>
      <c r="L1280">
        <v>52</v>
      </c>
      <c r="M1280" t="s">
        <v>16</v>
      </c>
      <c r="N1280" t="s">
        <v>1091</v>
      </c>
      <c r="O1280" t="s">
        <v>70</v>
      </c>
      <c r="P1280" t="s">
        <v>12</v>
      </c>
      <c r="Q1280" t="s">
        <v>26</v>
      </c>
      <c r="R1280" t="s">
        <v>3835</v>
      </c>
      <c r="S1280" t="s">
        <v>1527</v>
      </c>
      <c r="T1280" t="s">
        <v>3836</v>
      </c>
      <c r="U1280" t="s">
        <v>1560</v>
      </c>
      <c r="V1280" t="s">
        <v>1736</v>
      </c>
      <c r="W1280" t="s">
        <v>1737</v>
      </c>
      <c r="X1280" t="s">
        <v>1739</v>
      </c>
    </row>
    <row r="1281" spans="1:24" x14ac:dyDescent="0.3">
      <c r="A1281" t="s">
        <v>3088</v>
      </c>
      <c r="B1281" s="2">
        <v>45267</v>
      </c>
      <c r="C1281" t="s">
        <v>1415</v>
      </c>
      <c r="D1281" t="s">
        <v>1685</v>
      </c>
      <c r="E1281" t="s">
        <v>1790</v>
      </c>
      <c r="F1281" s="4">
        <v>1</v>
      </c>
      <c r="G1281">
        <v>748.75</v>
      </c>
      <c r="H1281">
        <v>0.1</v>
      </c>
      <c r="I1281" t="s">
        <v>1812</v>
      </c>
      <c r="J1281">
        <v>673.875</v>
      </c>
      <c r="K1281" t="s">
        <v>1416</v>
      </c>
      <c r="L1281">
        <v>28</v>
      </c>
      <c r="M1281" t="s">
        <v>16</v>
      </c>
      <c r="N1281" t="s">
        <v>1417</v>
      </c>
      <c r="O1281" t="s">
        <v>74</v>
      </c>
      <c r="P1281" t="s">
        <v>12</v>
      </c>
      <c r="Q1281" t="s">
        <v>19</v>
      </c>
      <c r="R1281" t="s">
        <v>3910</v>
      </c>
      <c r="S1281" t="s">
        <v>1546</v>
      </c>
      <c r="T1281" t="s">
        <v>3838</v>
      </c>
      <c r="U1281" t="s">
        <v>1686</v>
      </c>
      <c r="V1281" t="s">
        <v>1741</v>
      </c>
      <c r="W1281" t="s">
        <v>1742</v>
      </c>
      <c r="X1281" t="s">
        <v>1739</v>
      </c>
    </row>
    <row r="1282" spans="1:24" x14ac:dyDescent="0.3">
      <c r="A1282" t="s">
        <v>3089</v>
      </c>
      <c r="B1282" s="2">
        <v>45328</v>
      </c>
      <c r="C1282" t="s">
        <v>592</v>
      </c>
      <c r="D1282" t="s">
        <v>1709</v>
      </c>
      <c r="E1282" t="s">
        <v>1735</v>
      </c>
      <c r="F1282" s="4">
        <v>2</v>
      </c>
      <c r="G1282">
        <v>121.67</v>
      </c>
      <c r="H1282">
        <v>0.08</v>
      </c>
      <c r="I1282" t="s">
        <v>1812</v>
      </c>
      <c r="J1282">
        <v>223.87280000000001</v>
      </c>
      <c r="K1282" t="s">
        <v>593</v>
      </c>
      <c r="L1282">
        <v>23</v>
      </c>
      <c r="M1282" t="s">
        <v>16</v>
      </c>
      <c r="N1282" t="s">
        <v>594</v>
      </c>
      <c r="O1282" t="s">
        <v>58</v>
      </c>
      <c r="P1282" t="s">
        <v>12</v>
      </c>
      <c r="Q1282" t="s">
        <v>26</v>
      </c>
      <c r="R1282" t="s">
        <v>3922</v>
      </c>
      <c r="S1282" t="s">
        <v>1541</v>
      </c>
      <c r="T1282" t="s">
        <v>3878</v>
      </c>
      <c r="U1282" t="s">
        <v>1710</v>
      </c>
      <c r="V1282" t="s">
        <v>1736</v>
      </c>
      <c r="W1282" t="s">
        <v>1737</v>
      </c>
      <c r="X1282" t="s">
        <v>1739</v>
      </c>
    </row>
    <row r="1283" spans="1:24" x14ac:dyDescent="0.3">
      <c r="A1283" t="s">
        <v>3090</v>
      </c>
      <c r="B1283" s="2">
        <v>45787</v>
      </c>
      <c r="C1283" t="s">
        <v>1496</v>
      </c>
      <c r="D1283" t="s">
        <v>1629</v>
      </c>
      <c r="E1283" t="s">
        <v>1784</v>
      </c>
      <c r="F1283" s="4">
        <v>3</v>
      </c>
      <c r="G1283">
        <v>225.14</v>
      </c>
      <c r="H1283">
        <v>0.15</v>
      </c>
      <c r="I1283" t="s">
        <v>1812</v>
      </c>
      <c r="J1283">
        <v>574.10699999999997</v>
      </c>
      <c r="K1283" t="s">
        <v>1497</v>
      </c>
      <c r="L1283">
        <v>28</v>
      </c>
      <c r="M1283" t="s">
        <v>9</v>
      </c>
      <c r="N1283" t="s">
        <v>1498</v>
      </c>
      <c r="O1283" t="s">
        <v>247</v>
      </c>
      <c r="P1283" t="s">
        <v>12</v>
      </c>
      <c r="Q1283" t="s">
        <v>19</v>
      </c>
      <c r="R1283" t="s">
        <v>3880</v>
      </c>
      <c r="S1283" t="s">
        <v>1541</v>
      </c>
      <c r="T1283" t="s">
        <v>3881</v>
      </c>
      <c r="U1283" t="s">
        <v>1630</v>
      </c>
      <c r="V1283" t="s">
        <v>1741</v>
      </c>
      <c r="W1283" t="s">
        <v>1742</v>
      </c>
      <c r="X1283" t="s">
        <v>1739</v>
      </c>
    </row>
    <row r="1284" spans="1:24" x14ac:dyDescent="0.3">
      <c r="A1284" t="s">
        <v>3091</v>
      </c>
      <c r="B1284" s="2">
        <v>45876</v>
      </c>
      <c r="C1284" t="s">
        <v>1001</v>
      </c>
      <c r="D1284" t="s">
        <v>1589</v>
      </c>
      <c r="E1284" t="s">
        <v>1796</v>
      </c>
      <c r="F1284" s="4">
        <v>1</v>
      </c>
      <c r="G1284">
        <v>654.17999999999995</v>
      </c>
      <c r="H1284">
        <v>0.19</v>
      </c>
      <c r="I1284" t="s">
        <v>1809</v>
      </c>
      <c r="J1284">
        <v>529.88580000000002</v>
      </c>
      <c r="K1284" t="s">
        <v>1002</v>
      </c>
      <c r="L1284">
        <v>54</v>
      </c>
      <c r="M1284" t="s">
        <v>9</v>
      </c>
      <c r="N1284" t="s">
        <v>1003</v>
      </c>
      <c r="O1284" t="s">
        <v>234</v>
      </c>
      <c r="P1284" t="s">
        <v>12</v>
      </c>
      <c r="Q1284" t="s">
        <v>26</v>
      </c>
      <c r="R1284" t="s">
        <v>3856</v>
      </c>
      <c r="S1284" t="s">
        <v>1527</v>
      </c>
      <c r="T1284" t="s">
        <v>3836</v>
      </c>
      <c r="U1284" t="s">
        <v>1590</v>
      </c>
      <c r="V1284" t="s">
        <v>1741</v>
      </c>
      <c r="W1284" t="s">
        <v>1742</v>
      </c>
      <c r="X1284" t="s">
        <v>1739</v>
      </c>
    </row>
    <row r="1285" spans="1:24" x14ac:dyDescent="0.3">
      <c r="A1285" t="s">
        <v>3092</v>
      </c>
      <c r="B1285" s="2">
        <v>45552</v>
      </c>
      <c r="C1285" t="s">
        <v>215</v>
      </c>
      <c r="D1285" t="s">
        <v>1673</v>
      </c>
      <c r="E1285" t="s">
        <v>1756</v>
      </c>
      <c r="F1285" s="4">
        <v>2</v>
      </c>
      <c r="G1285">
        <v>504.98</v>
      </c>
      <c r="H1285">
        <v>0.08</v>
      </c>
      <c r="I1285" t="s">
        <v>1812</v>
      </c>
      <c r="J1285">
        <v>929.16320000000007</v>
      </c>
      <c r="K1285" t="s">
        <v>216</v>
      </c>
      <c r="L1285">
        <v>53</v>
      </c>
      <c r="M1285" t="s">
        <v>9</v>
      </c>
      <c r="N1285" t="s">
        <v>217</v>
      </c>
      <c r="O1285" t="s">
        <v>139</v>
      </c>
      <c r="P1285" t="s">
        <v>12</v>
      </c>
      <c r="Q1285" t="s">
        <v>19</v>
      </c>
      <c r="R1285" t="s">
        <v>3904</v>
      </c>
      <c r="S1285" t="s">
        <v>1541</v>
      </c>
      <c r="T1285" t="s">
        <v>3833</v>
      </c>
      <c r="U1285" t="s">
        <v>1674</v>
      </c>
      <c r="V1285" t="s">
        <v>1757</v>
      </c>
      <c r="W1285" t="s">
        <v>1742</v>
      </c>
      <c r="X1285" t="s">
        <v>1748</v>
      </c>
    </row>
    <row r="1286" spans="1:24" x14ac:dyDescent="0.3">
      <c r="A1286" t="s">
        <v>3093</v>
      </c>
      <c r="B1286" s="2">
        <v>45823</v>
      </c>
      <c r="C1286" t="s">
        <v>1168</v>
      </c>
      <c r="D1286" t="s">
        <v>1639</v>
      </c>
      <c r="E1286" t="s">
        <v>1765</v>
      </c>
      <c r="F1286" s="4">
        <v>2</v>
      </c>
      <c r="G1286">
        <v>623.20000000000005</v>
      </c>
      <c r="H1286">
        <v>0.14000000000000001</v>
      </c>
      <c r="I1286" t="s">
        <v>1812</v>
      </c>
      <c r="J1286">
        <v>1071.904</v>
      </c>
      <c r="K1286" t="s">
        <v>1169</v>
      </c>
      <c r="L1286">
        <v>34</v>
      </c>
      <c r="M1286" t="s">
        <v>16</v>
      </c>
      <c r="N1286" t="s">
        <v>1170</v>
      </c>
      <c r="O1286" t="s">
        <v>92</v>
      </c>
      <c r="P1286" t="s">
        <v>12</v>
      </c>
      <c r="Q1286" t="s">
        <v>26</v>
      </c>
      <c r="R1286" t="s">
        <v>3886</v>
      </c>
      <c r="S1286" t="s">
        <v>1549</v>
      </c>
      <c r="T1286" t="s">
        <v>3820</v>
      </c>
      <c r="U1286" t="s">
        <v>1640</v>
      </c>
      <c r="V1286" t="s">
        <v>1766</v>
      </c>
      <c r="W1286" t="s">
        <v>1767</v>
      </c>
      <c r="X1286" t="s">
        <v>1755</v>
      </c>
    </row>
    <row r="1287" spans="1:24" x14ac:dyDescent="0.3">
      <c r="A1287" t="s">
        <v>3094</v>
      </c>
      <c r="B1287" s="2">
        <v>45622</v>
      </c>
      <c r="C1287" t="s">
        <v>1012</v>
      </c>
      <c r="D1287" t="s">
        <v>1538</v>
      </c>
      <c r="E1287" t="s">
        <v>1787</v>
      </c>
      <c r="F1287" s="4">
        <v>2</v>
      </c>
      <c r="G1287">
        <v>530.54</v>
      </c>
      <c r="H1287">
        <v>0.28000000000000003</v>
      </c>
      <c r="I1287" t="s">
        <v>1812</v>
      </c>
      <c r="J1287">
        <v>763.97759999999994</v>
      </c>
      <c r="K1287" t="s">
        <v>1013</v>
      </c>
      <c r="L1287">
        <v>58</v>
      </c>
      <c r="M1287" t="s">
        <v>16</v>
      </c>
      <c r="N1287" t="s">
        <v>1014</v>
      </c>
      <c r="O1287" t="s">
        <v>319</v>
      </c>
      <c r="P1287" t="s">
        <v>12</v>
      </c>
      <c r="Q1287" t="s">
        <v>26</v>
      </c>
      <c r="R1287" t="s">
        <v>3880</v>
      </c>
      <c r="S1287" t="s">
        <v>1541</v>
      </c>
      <c r="T1287" t="s">
        <v>3881</v>
      </c>
      <c r="U1287" t="s">
        <v>1630</v>
      </c>
      <c r="V1287" t="s">
        <v>1741</v>
      </c>
      <c r="W1287" t="s">
        <v>1742</v>
      </c>
      <c r="X1287" t="s">
        <v>1739</v>
      </c>
    </row>
    <row r="1288" spans="1:24" x14ac:dyDescent="0.3">
      <c r="A1288" t="s">
        <v>3095</v>
      </c>
      <c r="B1288" s="2">
        <v>45810</v>
      </c>
      <c r="C1288" t="s">
        <v>1129</v>
      </c>
      <c r="D1288" t="s">
        <v>1526</v>
      </c>
      <c r="E1288" t="s">
        <v>1787</v>
      </c>
      <c r="F1288" s="4">
        <v>3</v>
      </c>
      <c r="G1288">
        <v>279.45</v>
      </c>
      <c r="H1288">
        <v>0.15</v>
      </c>
      <c r="I1288" t="s">
        <v>1812</v>
      </c>
      <c r="J1288">
        <v>712.59749999999985</v>
      </c>
      <c r="K1288" t="s">
        <v>1130</v>
      </c>
      <c r="L1288">
        <v>40</v>
      </c>
      <c r="M1288" t="s">
        <v>16</v>
      </c>
      <c r="N1288" t="s">
        <v>1131</v>
      </c>
      <c r="O1288" t="s">
        <v>162</v>
      </c>
      <c r="P1288" t="s">
        <v>12</v>
      </c>
      <c r="Q1288" t="s">
        <v>19</v>
      </c>
      <c r="R1288" t="s">
        <v>3810</v>
      </c>
      <c r="S1288" t="s">
        <v>1546</v>
      </c>
      <c r="T1288" t="s">
        <v>3811</v>
      </c>
      <c r="U1288" t="s">
        <v>1528</v>
      </c>
      <c r="V1288" t="s">
        <v>1741</v>
      </c>
      <c r="W1288" t="s">
        <v>1742</v>
      </c>
      <c r="X1288" t="s">
        <v>1739</v>
      </c>
    </row>
    <row r="1289" spans="1:24" x14ac:dyDescent="0.3">
      <c r="A1289" t="s">
        <v>3096</v>
      </c>
      <c r="B1289" s="2">
        <v>45645</v>
      </c>
      <c r="C1289" t="s">
        <v>842</v>
      </c>
      <c r="D1289" t="s">
        <v>1555</v>
      </c>
      <c r="E1289" t="s">
        <v>1765</v>
      </c>
      <c r="F1289" s="4">
        <v>3</v>
      </c>
      <c r="G1289">
        <v>906.99</v>
      </c>
      <c r="H1289">
        <v>0.26</v>
      </c>
      <c r="I1289" t="s">
        <v>1812</v>
      </c>
      <c r="J1289">
        <v>2013.5178000000001</v>
      </c>
      <c r="K1289" t="s">
        <v>843</v>
      </c>
      <c r="L1289">
        <v>18</v>
      </c>
      <c r="M1289" t="s">
        <v>9</v>
      </c>
      <c r="N1289" t="s">
        <v>844</v>
      </c>
      <c r="O1289" t="s">
        <v>582</v>
      </c>
      <c r="P1289" t="s">
        <v>12</v>
      </c>
      <c r="Q1289" t="s">
        <v>26</v>
      </c>
      <c r="R1289" t="s">
        <v>3832</v>
      </c>
      <c r="S1289" t="s">
        <v>1541</v>
      </c>
      <c r="T1289" t="s">
        <v>3833</v>
      </c>
      <c r="U1289" t="s">
        <v>1556</v>
      </c>
      <c r="V1289" t="s">
        <v>1766</v>
      </c>
      <c r="W1289" t="s">
        <v>1767</v>
      </c>
      <c r="X1289" t="s">
        <v>1755</v>
      </c>
    </row>
    <row r="1290" spans="1:24" x14ac:dyDescent="0.3">
      <c r="A1290" t="s">
        <v>3097</v>
      </c>
      <c r="B1290" s="2">
        <v>45749</v>
      </c>
      <c r="C1290" t="s">
        <v>255</v>
      </c>
      <c r="D1290" t="s">
        <v>1691</v>
      </c>
      <c r="E1290" t="s">
        <v>1790</v>
      </c>
      <c r="F1290" s="4">
        <v>4</v>
      </c>
      <c r="G1290">
        <v>408.76</v>
      </c>
      <c r="H1290">
        <v>0.12</v>
      </c>
      <c r="I1290" t="s">
        <v>1812</v>
      </c>
      <c r="J1290">
        <v>1438.8352</v>
      </c>
      <c r="K1290" t="s">
        <v>256</v>
      </c>
      <c r="L1290">
        <v>61</v>
      </c>
      <c r="M1290" t="s">
        <v>16</v>
      </c>
      <c r="N1290" t="s">
        <v>257</v>
      </c>
      <c r="O1290" t="s">
        <v>230</v>
      </c>
      <c r="P1290" t="s">
        <v>12</v>
      </c>
      <c r="Q1290" t="s">
        <v>13</v>
      </c>
      <c r="R1290" t="s">
        <v>3913</v>
      </c>
      <c r="S1290" t="s">
        <v>1527</v>
      </c>
      <c r="T1290" t="s">
        <v>3830</v>
      </c>
      <c r="U1290" t="s">
        <v>1692</v>
      </c>
      <c r="V1290" t="s">
        <v>1741</v>
      </c>
      <c r="W1290" t="s">
        <v>1742</v>
      </c>
      <c r="X1290" t="s">
        <v>1739</v>
      </c>
    </row>
    <row r="1291" spans="1:24" x14ac:dyDescent="0.3">
      <c r="A1291" t="s">
        <v>3098</v>
      </c>
      <c r="B1291" s="2">
        <v>45537</v>
      </c>
      <c r="C1291" t="s">
        <v>579</v>
      </c>
      <c r="D1291" t="s">
        <v>1603</v>
      </c>
      <c r="E1291" t="s">
        <v>1769</v>
      </c>
      <c r="F1291" s="4">
        <v>2</v>
      </c>
      <c r="G1291">
        <v>117.34</v>
      </c>
      <c r="H1291">
        <v>0.09</v>
      </c>
      <c r="I1291" t="s">
        <v>1809</v>
      </c>
      <c r="J1291">
        <v>213.55879999999999</v>
      </c>
      <c r="K1291" t="s">
        <v>580</v>
      </c>
      <c r="L1291">
        <v>33</v>
      </c>
      <c r="M1291" t="s">
        <v>16</v>
      </c>
      <c r="N1291" t="s">
        <v>581</v>
      </c>
      <c r="O1291" t="s">
        <v>582</v>
      </c>
      <c r="P1291" t="s">
        <v>12</v>
      </c>
      <c r="Q1291" t="s">
        <v>19</v>
      </c>
      <c r="R1291" t="s">
        <v>3864</v>
      </c>
      <c r="S1291" t="s">
        <v>1530</v>
      </c>
      <c r="T1291" t="s">
        <v>3813</v>
      </c>
      <c r="U1291" t="s">
        <v>1604</v>
      </c>
      <c r="V1291" t="s">
        <v>1770</v>
      </c>
      <c r="W1291" t="s">
        <v>1746</v>
      </c>
      <c r="X1291" t="s">
        <v>1739</v>
      </c>
    </row>
    <row r="1292" spans="1:24" x14ac:dyDescent="0.3">
      <c r="A1292" t="s">
        <v>3099</v>
      </c>
      <c r="B1292" s="2">
        <v>45376</v>
      </c>
      <c r="C1292" t="s">
        <v>554</v>
      </c>
      <c r="D1292" t="s">
        <v>1713</v>
      </c>
      <c r="E1292" t="s">
        <v>1782</v>
      </c>
      <c r="F1292" s="4">
        <v>3</v>
      </c>
      <c r="G1292">
        <v>690.27</v>
      </c>
      <c r="H1292">
        <v>7.0000000000000007E-2</v>
      </c>
      <c r="I1292" t="s">
        <v>1809</v>
      </c>
      <c r="J1292">
        <v>1925.8533</v>
      </c>
      <c r="K1292" t="s">
        <v>555</v>
      </c>
      <c r="L1292">
        <v>64</v>
      </c>
      <c r="M1292" t="s">
        <v>9</v>
      </c>
      <c r="N1292" t="s">
        <v>556</v>
      </c>
      <c r="O1292" t="s">
        <v>247</v>
      </c>
      <c r="P1292" t="s">
        <v>12</v>
      </c>
      <c r="Q1292" t="s">
        <v>19</v>
      </c>
      <c r="R1292" t="s">
        <v>3924</v>
      </c>
      <c r="S1292" t="s">
        <v>1530</v>
      </c>
      <c r="T1292" t="s">
        <v>3866</v>
      </c>
      <c r="U1292" t="s">
        <v>1714</v>
      </c>
      <c r="V1292" t="s">
        <v>1741</v>
      </c>
      <c r="W1292" t="s">
        <v>1742</v>
      </c>
      <c r="X1292" t="s">
        <v>1739</v>
      </c>
    </row>
    <row r="1293" spans="1:24" x14ac:dyDescent="0.3">
      <c r="A1293" t="s">
        <v>3100</v>
      </c>
      <c r="B1293" s="2">
        <v>45709</v>
      </c>
      <c r="C1293" t="s">
        <v>376</v>
      </c>
      <c r="D1293" t="s">
        <v>1587</v>
      </c>
      <c r="E1293" t="s">
        <v>1790</v>
      </c>
      <c r="F1293" s="4">
        <v>4</v>
      </c>
      <c r="G1293">
        <v>377.18</v>
      </c>
      <c r="H1293">
        <v>0.24</v>
      </c>
      <c r="I1293" t="s">
        <v>1809</v>
      </c>
      <c r="J1293">
        <v>1146.6271999999999</v>
      </c>
      <c r="K1293" t="s">
        <v>377</v>
      </c>
      <c r="L1293">
        <v>27</v>
      </c>
      <c r="M1293" t="s">
        <v>9</v>
      </c>
      <c r="N1293" t="s">
        <v>378</v>
      </c>
      <c r="O1293" t="s">
        <v>47</v>
      </c>
      <c r="P1293" t="s">
        <v>12</v>
      </c>
      <c r="Q1293" t="s">
        <v>26</v>
      </c>
      <c r="R1293" t="s">
        <v>3855</v>
      </c>
      <c r="S1293" t="s">
        <v>1549</v>
      </c>
      <c r="T1293" t="s">
        <v>3820</v>
      </c>
      <c r="U1293" t="s">
        <v>1588</v>
      </c>
      <c r="V1293" t="s">
        <v>1741</v>
      </c>
      <c r="W1293" t="s">
        <v>1742</v>
      </c>
      <c r="X1293" t="s">
        <v>1739</v>
      </c>
    </row>
    <row r="1294" spans="1:24" x14ac:dyDescent="0.3">
      <c r="A1294" t="s">
        <v>3101</v>
      </c>
      <c r="B1294" s="2">
        <v>45446</v>
      </c>
      <c r="C1294" t="s">
        <v>388</v>
      </c>
      <c r="D1294" t="s">
        <v>1611</v>
      </c>
      <c r="E1294" t="s">
        <v>1735</v>
      </c>
      <c r="F1294" s="4">
        <v>1</v>
      </c>
      <c r="G1294">
        <v>70.52</v>
      </c>
      <c r="H1294">
        <v>0.08</v>
      </c>
      <c r="I1294" t="s">
        <v>1812</v>
      </c>
      <c r="J1294">
        <v>64.878399999999999</v>
      </c>
      <c r="K1294" t="s">
        <v>389</v>
      </c>
      <c r="L1294">
        <v>51</v>
      </c>
      <c r="M1294" t="s">
        <v>9</v>
      </c>
      <c r="N1294" t="s">
        <v>390</v>
      </c>
      <c r="O1294" t="s">
        <v>155</v>
      </c>
      <c r="P1294" t="s">
        <v>12</v>
      </c>
      <c r="Q1294" t="s">
        <v>31</v>
      </c>
      <c r="R1294" t="s">
        <v>3870</v>
      </c>
      <c r="S1294" t="s">
        <v>1546</v>
      </c>
      <c r="T1294" t="s">
        <v>3826</v>
      </c>
      <c r="U1294" t="s">
        <v>1612</v>
      </c>
      <c r="V1294" t="s">
        <v>1736</v>
      </c>
      <c r="W1294" t="s">
        <v>1737</v>
      </c>
      <c r="X1294" t="s">
        <v>1739</v>
      </c>
    </row>
    <row r="1295" spans="1:24" x14ac:dyDescent="0.3">
      <c r="A1295" t="s">
        <v>3102</v>
      </c>
      <c r="B1295" s="2">
        <v>45330</v>
      </c>
      <c r="C1295" t="s">
        <v>867</v>
      </c>
      <c r="D1295" t="s">
        <v>1607</v>
      </c>
      <c r="E1295" t="s">
        <v>1769</v>
      </c>
      <c r="F1295" s="4">
        <v>1</v>
      </c>
      <c r="G1295">
        <v>40.25</v>
      </c>
      <c r="H1295">
        <v>0.1</v>
      </c>
      <c r="I1295" t="s">
        <v>1809</v>
      </c>
      <c r="J1295">
        <v>36.225000000000001</v>
      </c>
      <c r="K1295" t="s">
        <v>868</v>
      </c>
      <c r="L1295">
        <v>38</v>
      </c>
      <c r="M1295" t="s">
        <v>9</v>
      </c>
      <c r="N1295" t="s">
        <v>869</v>
      </c>
      <c r="O1295" t="s">
        <v>582</v>
      </c>
      <c r="P1295" t="s">
        <v>12</v>
      </c>
      <c r="Q1295" t="s">
        <v>13</v>
      </c>
      <c r="R1295" t="s">
        <v>3867</v>
      </c>
      <c r="S1295" t="s">
        <v>1549</v>
      </c>
      <c r="T1295" t="s">
        <v>3851</v>
      </c>
      <c r="U1295" t="s">
        <v>1608</v>
      </c>
      <c r="V1295" t="s">
        <v>1770</v>
      </c>
      <c r="W1295" t="s">
        <v>1746</v>
      </c>
      <c r="X1295" t="s">
        <v>1739</v>
      </c>
    </row>
    <row r="1296" spans="1:24" x14ac:dyDescent="0.3">
      <c r="A1296" t="s">
        <v>3103</v>
      </c>
      <c r="B1296" s="2">
        <v>45388</v>
      </c>
      <c r="C1296" t="s">
        <v>740</v>
      </c>
      <c r="D1296" t="s">
        <v>1709</v>
      </c>
      <c r="E1296" t="s">
        <v>1775</v>
      </c>
      <c r="F1296" s="4">
        <v>3</v>
      </c>
      <c r="G1296">
        <v>539.44000000000005</v>
      </c>
      <c r="H1296">
        <v>0.05</v>
      </c>
      <c r="I1296" t="s">
        <v>1812</v>
      </c>
      <c r="J1296">
        <v>1537.404</v>
      </c>
      <c r="K1296" t="s">
        <v>741</v>
      </c>
      <c r="L1296">
        <v>59</v>
      </c>
      <c r="M1296" t="s">
        <v>9</v>
      </c>
      <c r="N1296" t="s">
        <v>742</v>
      </c>
      <c r="O1296" t="s">
        <v>88</v>
      </c>
      <c r="P1296" t="s">
        <v>12</v>
      </c>
      <c r="Q1296" t="s">
        <v>19</v>
      </c>
      <c r="R1296" t="s">
        <v>3922</v>
      </c>
      <c r="S1296" t="s">
        <v>1541</v>
      </c>
      <c r="T1296" t="s">
        <v>3878</v>
      </c>
      <c r="U1296" t="s">
        <v>1710</v>
      </c>
      <c r="V1296" t="s">
        <v>1741</v>
      </c>
      <c r="W1296" t="s">
        <v>1742</v>
      </c>
      <c r="X1296" t="s">
        <v>1739</v>
      </c>
    </row>
    <row r="1297" spans="1:24" x14ac:dyDescent="0.3">
      <c r="A1297" t="s">
        <v>3104</v>
      </c>
      <c r="B1297" s="2">
        <v>45313</v>
      </c>
      <c r="C1297" t="s">
        <v>785</v>
      </c>
      <c r="D1297" t="s">
        <v>1651</v>
      </c>
      <c r="E1297" t="s">
        <v>1752</v>
      </c>
      <c r="F1297" s="4">
        <v>3</v>
      </c>
      <c r="G1297">
        <v>543.49</v>
      </c>
      <c r="H1297">
        <v>0.05</v>
      </c>
      <c r="I1297" t="s">
        <v>1809</v>
      </c>
      <c r="J1297">
        <v>1548.9465</v>
      </c>
      <c r="K1297" t="s">
        <v>786</v>
      </c>
      <c r="L1297">
        <v>19</v>
      </c>
      <c r="M1297" t="s">
        <v>9</v>
      </c>
      <c r="N1297" t="s">
        <v>787</v>
      </c>
      <c r="O1297" t="s">
        <v>47</v>
      </c>
      <c r="P1297" t="s">
        <v>12</v>
      </c>
      <c r="Q1297" t="s">
        <v>19</v>
      </c>
      <c r="R1297" t="s">
        <v>3892</v>
      </c>
      <c r="S1297" t="s">
        <v>1541</v>
      </c>
      <c r="T1297" t="s">
        <v>3881</v>
      </c>
      <c r="U1297" t="s">
        <v>1652</v>
      </c>
      <c r="V1297" t="s">
        <v>1753</v>
      </c>
      <c r="W1297" t="s">
        <v>1746</v>
      </c>
      <c r="X1297" t="s">
        <v>1755</v>
      </c>
    </row>
    <row r="1298" spans="1:24" x14ac:dyDescent="0.3">
      <c r="A1298" t="s">
        <v>3105</v>
      </c>
      <c r="B1298" s="2">
        <v>45221</v>
      </c>
      <c r="C1298" t="s">
        <v>1010</v>
      </c>
      <c r="D1298" t="s">
        <v>1543</v>
      </c>
      <c r="E1298" t="s">
        <v>1759</v>
      </c>
      <c r="F1298" s="4">
        <v>4</v>
      </c>
      <c r="G1298">
        <v>547.21</v>
      </c>
      <c r="H1298">
        <v>0.1</v>
      </c>
      <c r="I1298" t="s">
        <v>1812</v>
      </c>
      <c r="J1298">
        <v>1969.9559999999999</v>
      </c>
      <c r="K1298" t="s">
        <v>3945</v>
      </c>
      <c r="L1298">
        <v>60</v>
      </c>
      <c r="M1298" t="s">
        <v>9</v>
      </c>
      <c r="N1298" t="s">
        <v>1011</v>
      </c>
      <c r="O1298" t="s">
        <v>96</v>
      </c>
      <c r="P1298" t="s">
        <v>12</v>
      </c>
      <c r="Q1298" t="s">
        <v>26</v>
      </c>
      <c r="R1298" t="s">
        <v>3902</v>
      </c>
      <c r="S1298" t="s">
        <v>1530</v>
      </c>
      <c r="T1298" t="s">
        <v>3818</v>
      </c>
      <c r="U1298" t="s">
        <v>1670</v>
      </c>
      <c r="V1298" t="s">
        <v>1760</v>
      </c>
      <c r="W1298" t="s">
        <v>1737</v>
      </c>
      <c r="X1298" t="s">
        <v>1755</v>
      </c>
    </row>
    <row r="1299" spans="1:24" x14ac:dyDescent="0.3">
      <c r="A1299" t="s">
        <v>3106</v>
      </c>
      <c r="B1299" s="2">
        <v>45619</v>
      </c>
      <c r="C1299" t="s">
        <v>767</v>
      </c>
      <c r="D1299" t="s">
        <v>1661</v>
      </c>
      <c r="E1299" t="s">
        <v>1740</v>
      </c>
      <c r="F1299" s="4">
        <v>2</v>
      </c>
      <c r="G1299">
        <v>892.46</v>
      </c>
      <c r="H1299">
        <v>7.0000000000000007E-2</v>
      </c>
      <c r="I1299" t="s">
        <v>1809</v>
      </c>
      <c r="J1299">
        <v>1659.9756</v>
      </c>
      <c r="K1299" t="s">
        <v>768</v>
      </c>
      <c r="L1299">
        <v>58</v>
      </c>
      <c r="M1299" t="s">
        <v>16</v>
      </c>
      <c r="N1299" t="s">
        <v>769</v>
      </c>
      <c r="O1299" t="s">
        <v>284</v>
      </c>
      <c r="P1299" t="s">
        <v>12</v>
      </c>
      <c r="Q1299" t="s">
        <v>19</v>
      </c>
      <c r="R1299" t="s">
        <v>3897</v>
      </c>
      <c r="S1299" t="s">
        <v>1549</v>
      </c>
      <c r="T1299" t="s">
        <v>3828</v>
      </c>
      <c r="U1299" t="s">
        <v>1662</v>
      </c>
      <c r="V1299" t="s">
        <v>1741</v>
      </c>
      <c r="W1299" t="s">
        <v>1742</v>
      </c>
      <c r="X1299" t="s">
        <v>1739</v>
      </c>
    </row>
    <row r="1300" spans="1:24" x14ac:dyDescent="0.3">
      <c r="A1300" t="s">
        <v>3107</v>
      </c>
      <c r="B1300" s="2">
        <v>45286</v>
      </c>
      <c r="C1300" t="s">
        <v>1195</v>
      </c>
      <c r="D1300" t="s">
        <v>1583</v>
      </c>
      <c r="E1300" t="s">
        <v>1765</v>
      </c>
      <c r="F1300" s="4">
        <v>2</v>
      </c>
      <c r="G1300">
        <v>853.41</v>
      </c>
      <c r="H1300">
        <v>0.25</v>
      </c>
      <c r="I1300" t="s">
        <v>1807</v>
      </c>
      <c r="J1300">
        <v>1280.115</v>
      </c>
      <c r="K1300" t="s">
        <v>1196</v>
      </c>
      <c r="L1300">
        <v>53</v>
      </c>
      <c r="M1300" t="s">
        <v>9</v>
      </c>
      <c r="N1300" t="s">
        <v>1197</v>
      </c>
      <c r="O1300" t="s">
        <v>88</v>
      </c>
      <c r="P1300" t="s">
        <v>12</v>
      </c>
      <c r="Q1300" t="s">
        <v>31</v>
      </c>
      <c r="R1300" t="s">
        <v>3853</v>
      </c>
      <c r="S1300" t="s">
        <v>1546</v>
      </c>
      <c r="T1300" t="s">
        <v>3826</v>
      </c>
      <c r="U1300" t="s">
        <v>1584</v>
      </c>
      <c r="V1300" t="s">
        <v>1766</v>
      </c>
      <c r="W1300" t="s">
        <v>1767</v>
      </c>
      <c r="X1300" t="s">
        <v>1755</v>
      </c>
    </row>
    <row r="1301" spans="1:24" x14ac:dyDescent="0.3">
      <c r="A1301" t="s">
        <v>3108</v>
      </c>
      <c r="B1301" s="2">
        <v>45451</v>
      </c>
      <c r="C1301" t="s">
        <v>382</v>
      </c>
      <c r="D1301" t="s">
        <v>1695</v>
      </c>
      <c r="E1301" t="s">
        <v>1762</v>
      </c>
      <c r="F1301" s="4">
        <v>1</v>
      </c>
      <c r="G1301">
        <v>162.13999999999999</v>
      </c>
      <c r="H1301">
        <v>7.0000000000000007E-2</v>
      </c>
      <c r="I1301" t="s">
        <v>1809</v>
      </c>
      <c r="J1301">
        <v>150.7902</v>
      </c>
      <c r="K1301" t="s">
        <v>383</v>
      </c>
      <c r="L1301">
        <v>18</v>
      </c>
      <c r="M1301" t="s">
        <v>16</v>
      </c>
      <c r="N1301" t="s">
        <v>384</v>
      </c>
      <c r="O1301" t="s">
        <v>139</v>
      </c>
      <c r="P1301" t="s">
        <v>12</v>
      </c>
      <c r="Q1301" t="s">
        <v>13</v>
      </c>
      <c r="R1301" t="s">
        <v>3915</v>
      </c>
      <c r="S1301" t="s">
        <v>1549</v>
      </c>
      <c r="T1301" t="s">
        <v>3828</v>
      </c>
      <c r="U1301" t="s">
        <v>1696</v>
      </c>
      <c r="V1301" t="s">
        <v>1763</v>
      </c>
      <c r="W1301" t="s">
        <v>1746</v>
      </c>
      <c r="X1301" t="s">
        <v>1755</v>
      </c>
    </row>
    <row r="1302" spans="1:24" x14ac:dyDescent="0.3">
      <c r="A1302" t="s">
        <v>3109</v>
      </c>
      <c r="B1302" s="2">
        <v>45478</v>
      </c>
      <c r="C1302" t="s">
        <v>491</v>
      </c>
      <c r="D1302" t="s">
        <v>1723</v>
      </c>
      <c r="E1302" t="s">
        <v>1787</v>
      </c>
      <c r="F1302" s="4">
        <v>1</v>
      </c>
      <c r="G1302">
        <v>893.14</v>
      </c>
      <c r="H1302">
        <v>0.09</v>
      </c>
      <c r="I1302" t="s">
        <v>1807</v>
      </c>
      <c r="J1302">
        <v>812.75739999999996</v>
      </c>
      <c r="K1302" t="s">
        <v>492</v>
      </c>
      <c r="L1302">
        <v>42</v>
      </c>
      <c r="M1302" t="s">
        <v>16</v>
      </c>
      <c r="N1302" t="s">
        <v>493</v>
      </c>
      <c r="O1302" t="s">
        <v>162</v>
      </c>
      <c r="P1302" t="s">
        <v>12</v>
      </c>
      <c r="Q1302" t="s">
        <v>19</v>
      </c>
      <c r="R1302" t="s">
        <v>3929</v>
      </c>
      <c r="S1302" t="s">
        <v>1530</v>
      </c>
      <c r="T1302" t="s">
        <v>3815</v>
      </c>
      <c r="U1302" t="s">
        <v>1724</v>
      </c>
      <c r="V1302" t="s">
        <v>1741</v>
      </c>
      <c r="W1302" t="s">
        <v>1742</v>
      </c>
      <c r="X1302" t="s">
        <v>1739</v>
      </c>
    </row>
    <row r="1303" spans="1:24" x14ac:dyDescent="0.3">
      <c r="A1303" t="s">
        <v>3110</v>
      </c>
      <c r="B1303" s="2">
        <v>45528</v>
      </c>
      <c r="C1303" t="s">
        <v>361</v>
      </c>
      <c r="D1303" t="s">
        <v>1599</v>
      </c>
      <c r="E1303" t="s">
        <v>1765</v>
      </c>
      <c r="F1303" s="4">
        <v>4</v>
      </c>
      <c r="G1303">
        <v>349.07</v>
      </c>
      <c r="H1303">
        <v>0.28000000000000003</v>
      </c>
      <c r="I1303" t="s">
        <v>1807</v>
      </c>
      <c r="J1303">
        <v>1005.3216</v>
      </c>
      <c r="K1303" t="s">
        <v>362</v>
      </c>
      <c r="L1303">
        <v>64</v>
      </c>
      <c r="M1303" t="s">
        <v>9</v>
      </c>
      <c r="N1303" t="s">
        <v>363</v>
      </c>
      <c r="O1303" t="s">
        <v>166</v>
      </c>
      <c r="P1303" t="s">
        <v>12</v>
      </c>
      <c r="Q1303" t="s">
        <v>26</v>
      </c>
      <c r="R1303" t="s">
        <v>3862</v>
      </c>
      <c r="S1303" t="s">
        <v>1546</v>
      </c>
      <c r="T1303" t="s">
        <v>3811</v>
      </c>
      <c r="U1303" t="s">
        <v>1600</v>
      </c>
      <c r="V1303" t="s">
        <v>1766</v>
      </c>
      <c r="W1303" t="s">
        <v>1767</v>
      </c>
      <c r="X1303" t="s">
        <v>1755</v>
      </c>
    </row>
    <row r="1304" spans="1:24" x14ac:dyDescent="0.3">
      <c r="A1304" t="s">
        <v>3111</v>
      </c>
      <c r="B1304" s="2">
        <v>45418</v>
      </c>
      <c r="C1304" t="s">
        <v>891</v>
      </c>
      <c r="D1304" t="s">
        <v>1693</v>
      </c>
      <c r="E1304" t="s">
        <v>1780</v>
      </c>
      <c r="F1304" s="4">
        <v>1</v>
      </c>
      <c r="G1304">
        <v>747.9</v>
      </c>
      <c r="H1304">
        <v>0.21</v>
      </c>
      <c r="I1304" t="s">
        <v>1812</v>
      </c>
      <c r="J1304">
        <v>590.84100000000001</v>
      </c>
      <c r="K1304" t="s">
        <v>892</v>
      </c>
      <c r="L1304">
        <v>54</v>
      </c>
      <c r="M1304" t="s">
        <v>9</v>
      </c>
      <c r="N1304" t="s">
        <v>893</v>
      </c>
      <c r="O1304" t="s">
        <v>838</v>
      </c>
      <c r="P1304" t="s">
        <v>12</v>
      </c>
      <c r="Q1304" t="s">
        <v>31</v>
      </c>
      <c r="R1304" t="s">
        <v>3914</v>
      </c>
      <c r="S1304" t="s">
        <v>1549</v>
      </c>
      <c r="T1304" t="s">
        <v>3844</v>
      </c>
      <c r="U1304" t="s">
        <v>1694</v>
      </c>
      <c r="V1304" t="s">
        <v>1741</v>
      </c>
      <c r="W1304" t="s">
        <v>1742</v>
      </c>
      <c r="X1304" t="s">
        <v>1739</v>
      </c>
    </row>
    <row r="1305" spans="1:24" x14ac:dyDescent="0.3">
      <c r="A1305" t="s">
        <v>3112</v>
      </c>
      <c r="B1305" s="2">
        <v>45478</v>
      </c>
      <c r="C1305" t="s">
        <v>127</v>
      </c>
      <c r="D1305" t="s">
        <v>1693</v>
      </c>
      <c r="E1305" t="s">
        <v>1759</v>
      </c>
      <c r="F1305" s="4">
        <v>3</v>
      </c>
      <c r="G1305">
        <v>438.92</v>
      </c>
      <c r="H1305">
        <v>0.21</v>
      </c>
      <c r="I1305" t="s">
        <v>1807</v>
      </c>
      <c r="J1305">
        <v>1040.2403999999999</v>
      </c>
      <c r="K1305" t="s">
        <v>128</v>
      </c>
      <c r="L1305">
        <v>48</v>
      </c>
      <c r="M1305" t="s">
        <v>16</v>
      </c>
      <c r="N1305" t="s">
        <v>129</v>
      </c>
      <c r="O1305" t="s">
        <v>35</v>
      </c>
      <c r="P1305" t="s">
        <v>12</v>
      </c>
      <c r="Q1305" t="s">
        <v>31</v>
      </c>
      <c r="R1305" t="s">
        <v>3914</v>
      </c>
      <c r="S1305" t="s">
        <v>1549</v>
      </c>
      <c r="T1305" t="s">
        <v>3844</v>
      </c>
      <c r="U1305" t="s">
        <v>1694</v>
      </c>
      <c r="V1305" t="s">
        <v>1760</v>
      </c>
      <c r="W1305" t="s">
        <v>1737</v>
      </c>
      <c r="X1305" t="s">
        <v>1755</v>
      </c>
    </row>
    <row r="1306" spans="1:24" x14ac:dyDescent="0.3">
      <c r="A1306" t="s">
        <v>3113</v>
      </c>
      <c r="B1306" s="2">
        <v>45232</v>
      </c>
      <c r="C1306" t="s">
        <v>420</v>
      </c>
      <c r="D1306" t="s">
        <v>1685</v>
      </c>
      <c r="E1306" t="s">
        <v>1752</v>
      </c>
      <c r="F1306" s="4">
        <v>4</v>
      </c>
      <c r="G1306">
        <v>665.38</v>
      </c>
      <c r="H1306">
        <v>0.18</v>
      </c>
      <c r="I1306" t="s">
        <v>1807</v>
      </c>
      <c r="J1306">
        <v>2182.4463999999998</v>
      </c>
      <c r="K1306" t="s">
        <v>421</v>
      </c>
      <c r="L1306">
        <v>26</v>
      </c>
      <c r="M1306" t="s">
        <v>9</v>
      </c>
      <c r="N1306" t="s">
        <v>422</v>
      </c>
      <c r="O1306" t="s">
        <v>264</v>
      </c>
      <c r="P1306" t="s">
        <v>12</v>
      </c>
      <c r="Q1306" t="s">
        <v>31</v>
      </c>
      <c r="R1306" t="s">
        <v>3910</v>
      </c>
      <c r="S1306" t="s">
        <v>1546</v>
      </c>
      <c r="T1306" t="s">
        <v>3838</v>
      </c>
      <c r="U1306" t="s">
        <v>1686</v>
      </c>
      <c r="V1306" t="s">
        <v>1753</v>
      </c>
      <c r="W1306" t="s">
        <v>1746</v>
      </c>
      <c r="X1306" t="s">
        <v>1755</v>
      </c>
    </row>
    <row r="1307" spans="1:24" x14ac:dyDescent="0.3">
      <c r="A1307" t="s">
        <v>3114</v>
      </c>
      <c r="B1307" s="2">
        <v>45616</v>
      </c>
      <c r="C1307" t="s">
        <v>23</v>
      </c>
      <c r="D1307" t="s">
        <v>1651</v>
      </c>
      <c r="E1307" t="s">
        <v>1793</v>
      </c>
      <c r="F1307" s="4">
        <v>1</v>
      </c>
      <c r="G1307">
        <v>146.49</v>
      </c>
      <c r="H1307">
        <v>0.28000000000000003</v>
      </c>
      <c r="I1307" t="s">
        <v>1807</v>
      </c>
      <c r="J1307">
        <v>105.47280000000001</v>
      </c>
      <c r="K1307" t="s">
        <v>3934</v>
      </c>
      <c r="L1307">
        <v>64</v>
      </c>
      <c r="M1307" t="s">
        <v>16</v>
      </c>
      <c r="N1307" t="s">
        <v>24</v>
      </c>
      <c r="O1307" t="s">
        <v>25</v>
      </c>
      <c r="P1307" t="s">
        <v>12</v>
      </c>
      <c r="Q1307" t="s">
        <v>26</v>
      </c>
      <c r="R1307" t="s">
        <v>3892</v>
      </c>
      <c r="S1307" t="s">
        <v>1541</v>
      </c>
      <c r="T1307" t="s">
        <v>3881</v>
      </c>
      <c r="U1307" t="s">
        <v>1652</v>
      </c>
      <c r="V1307" t="s">
        <v>1741</v>
      </c>
      <c r="W1307" t="s">
        <v>1742</v>
      </c>
      <c r="X1307" t="s">
        <v>1739</v>
      </c>
    </row>
    <row r="1308" spans="1:24" x14ac:dyDescent="0.3">
      <c r="A1308" t="s">
        <v>3115</v>
      </c>
      <c r="B1308" s="2">
        <v>45774</v>
      </c>
      <c r="C1308" t="s">
        <v>467</v>
      </c>
      <c r="D1308" t="s">
        <v>1607</v>
      </c>
      <c r="E1308" t="s">
        <v>1784</v>
      </c>
      <c r="F1308" s="4">
        <v>2</v>
      </c>
      <c r="G1308">
        <v>235.39</v>
      </c>
      <c r="H1308">
        <v>0.27</v>
      </c>
      <c r="I1308" t="s">
        <v>1812</v>
      </c>
      <c r="J1308">
        <v>343.6694</v>
      </c>
      <c r="K1308" t="s">
        <v>468</v>
      </c>
      <c r="L1308">
        <v>63</v>
      </c>
      <c r="M1308" t="s">
        <v>16</v>
      </c>
      <c r="N1308" t="s">
        <v>469</v>
      </c>
      <c r="O1308" t="s">
        <v>117</v>
      </c>
      <c r="P1308" t="s">
        <v>12</v>
      </c>
      <c r="Q1308" t="s">
        <v>26</v>
      </c>
      <c r="R1308" t="s">
        <v>3867</v>
      </c>
      <c r="S1308" t="s">
        <v>1549</v>
      </c>
      <c r="T1308" t="s">
        <v>3851</v>
      </c>
      <c r="U1308" t="s">
        <v>1608</v>
      </c>
      <c r="V1308" t="s">
        <v>1741</v>
      </c>
      <c r="W1308" t="s">
        <v>1742</v>
      </c>
      <c r="X1308" t="s">
        <v>1739</v>
      </c>
    </row>
    <row r="1309" spans="1:24" x14ac:dyDescent="0.3">
      <c r="A1309" t="s">
        <v>3116</v>
      </c>
      <c r="B1309" s="2">
        <v>45651</v>
      </c>
      <c r="C1309" t="s">
        <v>118</v>
      </c>
      <c r="D1309" t="s">
        <v>1653</v>
      </c>
      <c r="E1309" t="s">
        <v>1756</v>
      </c>
      <c r="F1309" s="4">
        <v>3</v>
      </c>
      <c r="G1309">
        <v>38.07</v>
      </c>
      <c r="H1309">
        <v>0.09</v>
      </c>
      <c r="I1309" t="s">
        <v>1809</v>
      </c>
      <c r="J1309">
        <v>103.9311</v>
      </c>
      <c r="K1309" t="s">
        <v>119</v>
      </c>
      <c r="L1309">
        <v>54</v>
      </c>
      <c r="M1309" t="s">
        <v>16</v>
      </c>
      <c r="N1309" t="s">
        <v>120</v>
      </c>
      <c r="O1309" t="s">
        <v>88</v>
      </c>
      <c r="P1309" t="s">
        <v>12</v>
      </c>
      <c r="Q1309" t="s">
        <v>19</v>
      </c>
      <c r="R1309" t="s">
        <v>3893</v>
      </c>
      <c r="S1309" t="s">
        <v>1549</v>
      </c>
      <c r="T1309" t="s">
        <v>3844</v>
      </c>
      <c r="U1309" t="s">
        <v>1654</v>
      </c>
      <c r="V1309" t="s">
        <v>1757</v>
      </c>
      <c r="W1309" t="s">
        <v>1742</v>
      </c>
      <c r="X1309" t="s">
        <v>1748</v>
      </c>
    </row>
    <row r="1310" spans="1:24" x14ac:dyDescent="0.3">
      <c r="A1310" t="s">
        <v>3117</v>
      </c>
      <c r="B1310" s="2">
        <v>45902</v>
      </c>
      <c r="C1310" t="s">
        <v>1240</v>
      </c>
      <c r="D1310" t="s">
        <v>1599</v>
      </c>
      <c r="E1310" t="s">
        <v>1752</v>
      </c>
      <c r="F1310" s="4">
        <v>2</v>
      </c>
      <c r="G1310">
        <v>511.7</v>
      </c>
      <c r="H1310">
        <v>0.12</v>
      </c>
      <c r="I1310" t="s">
        <v>1812</v>
      </c>
      <c r="J1310">
        <v>900.59199999999998</v>
      </c>
      <c r="K1310" t="s">
        <v>1241</v>
      </c>
      <c r="L1310">
        <v>22</v>
      </c>
      <c r="M1310" t="s">
        <v>16</v>
      </c>
      <c r="N1310" t="s">
        <v>1242</v>
      </c>
      <c r="O1310" t="s">
        <v>323</v>
      </c>
      <c r="P1310" t="s">
        <v>12</v>
      </c>
      <c r="Q1310" t="s">
        <v>26</v>
      </c>
      <c r="R1310" t="s">
        <v>3862</v>
      </c>
      <c r="S1310" t="s">
        <v>1546</v>
      </c>
      <c r="T1310" t="s">
        <v>3811</v>
      </c>
      <c r="U1310" t="s">
        <v>1600</v>
      </c>
      <c r="V1310" t="s">
        <v>1753</v>
      </c>
      <c r="W1310" t="s">
        <v>1746</v>
      </c>
      <c r="X1310" t="s">
        <v>1755</v>
      </c>
    </row>
    <row r="1311" spans="1:24" x14ac:dyDescent="0.3">
      <c r="A1311" t="s">
        <v>3118</v>
      </c>
      <c r="B1311" s="2">
        <v>45401</v>
      </c>
      <c r="C1311" t="s">
        <v>327</v>
      </c>
      <c r="D1311" t="s">
        <v>1681</v>
      </c>
      <c r="E1311" t="s">
        <v>1765</v>
      </c>
      <c r="F1311" s="4">
        <v>4</v>
      </c>
      <c r="G1311">
        <v>488.72</v>
      </c>
      <c r="H1311">
        <v>0.23</v>
      </c>
      <c r="I1311" t="s">
        <v>1809</v>
      </c>
      <c r="J1311">
        <v>1505.2575999999999</v>
      </c>
      <c r="K1311" t="s">
        <v>328</v>
      </c>
      <c r="L1311">
        <v>28</v>
      </c>
      <c r="M1311" t="s">
        <v>16</v>
      </c>
      <c r="N1311" t="s">
        <v>329</v>
      </c>
      <c r="O1311" t="s">
        <v>234</v>
      </c>
      <c r="P1311" t="s">
        <v>12</v>
      </c>
      <c r="Q1311" t="s">
        <v>19</v>
      </c>
      <c r="R1311" t="s">
        <v>3908</v>
      </c>
      <c r="S1311" t="s">
        <v>1530</v>
      </c>
      <c r="T1311" t="s">
        <v>3866</v>
      </c>
      <c r="U1311" t="s">
        <v>1682</v>
      </c>
      <c r="V1311" t="s">
        <v>1766</v>
      </c>
      <c r="W1311" t="s">
        <v>1767</v>
      </c>
      <c r="X1311" t="s">
        <v>1755</v>
      </c>
    </row>
    <row r="1312" spans="1:24" x14ac:dyDescent="0.3">
      <c r="A1312" t="s">
        <v>3119</v>
      </c>
      <c r="B1312" s="2">
        <v>45717</v>
      </c>
      <c r="C1312" t="s">
        <v>1207</v>
      </c>
      <c r="D1312" t="s">
        <v>1631</v>
      </c>
      <c r="E1312" t="s">
        <v>1777</v>
      </c>
      <c r="F1312" s="4">
        <v>2</v>
      </c>
      <c r="G1312">
        <v>520.45000000000005</v>
      </c>
      <c r="H1312">
        <v>0.11</v>
      </c>
      <c r="I1312" t="s">
        <v>1812</v>
      </c>
      <c r="J1312">
        <v>926.40100000000007</v>
      </c>
      <c r="K1312" t="s">
        <v>1208</v>
      </c>
      <c r="L1312">
        <v>46</v>
      </c>
      <c r="M1312" t="s">
        <v>9</v>
      </c>
      <c r="N1312" t="s">
        <v>1209</v>
      </c>
      <c r="O1312" t="s">
        <v>35</v>
      </c>
      <c r="P1312" t="s">
        <v>12</v>
      </c>
      <c r="Q1312" t="s">
        <v>26</v>
      </c>
      <c r="R1312" t="s">
        <v>3882</v>
      </c>
      <c r="S1312" t="s">
        <v>1549</v>
      </c>
      <c r="T1312" t="s">
        <v>3828</v>
      </c>
      <c r="U1312" t="s">
        <v>1632</v>
      </c>
      <c r="V1312" t="s">
        <v>1741</v>
      </c>
      <c r="W1312" t="s">
        <v>1742</v>
      </c>
      <c r="X1312" t="s">
        <v>1739</v>
      </c>
    </row>
    <row r="1313" spans="1:24" x14ac:dyDescent="0.3">
      <c r="A1313" t="s">
        <v>3120</v>
      </c>
      <c r="B1313" s="2">
        <v>45376</v>
      </c>
      <c r="C1313" t="s">
        <v>1324</v>
      </c>
      <c r="D1313" t="s">
        <v>1627</v>
      </c>
      <c r="E1313" t="s">
        <v>1756</v>
      </c>
      <c r="F1313" s="4">
        <v>1</v>
      </c>
      <c r="G1313">
        <v>340.9</v>
      </c>
      <c r="H1313">
        <v>0.28999999999999998</v>
      </c>
      <c r="I1313" t="s">
        <v>1807</v>
      </c>
      <c r="J1313">
        <v>242.03899999999999</v>
      </c>
      <c r="K1313" t="s">
        <v>1325</v>
      </c>
      <c r="L1313">
        <v>51</v>
      </c>
      <c r="M1313" t="s">
        <v>16</v>
      </c>
      <c r="N1313" t="s">
        <v>1326</v>
      </c>
      <c r="O1313" t="s">
        <v>88</v>
      </c>
      <c r="P1313" t="s">
        <v>12</v>
      </c>
      <c r="Q1313" t="s">
        <v>26</v>
      </c>
      <c r="R1313" t="s">
        <v>3879</v>
      </c>
      <c r="S1313" t="s">
        <v>1546</v>
      </c>
      <c r="T1313" t="s">
        <v>3820</v>
      </c>
      <c r="U1313" t="s">
        <v>1628</v>
      </c>
      <c r="V1313" t="s">
        <v>1757</v>
      </c>
      <c r="W1313" t="s">
        <v>1742</v>
      </c>
      <c r="X1313" t="s">
        <v>1748</v>
      </c>
    </row>
    <row r="1314" spans="1:24" x14ac:dyDescent="0.3">
      <c r="A1314" t="s">
        <v>3121</v>
      </c>
      <c r="B1314" s="2">
        <v>45576</v>
      </c>
      <c r="C1314" t="s">
        <v>1075</v>
      </c>
      <c r="D1314" t="s">
        <v>1593</v>
      </c>
      <c r="E1314" t="s">
        <v>1765</v>
      </c>
      <c r="F1314" s="4">
        <v>3</v>
      </c>
      <c r="G1314">
        <v>653.59</v>
      </c>
      <c r="H1314">
        <v>0.17</v>
      </c>
      <c r="I1314" t="s">
        <v>1812</v>
      </c>
      <c r="J1314">
        <v>1627.4391000000001</v>
      </c>
      <c r="K1314" t="s">
        <v>1076</v>
      </c>
      <c r="L1314">
        <v>39</v>
      </c>
      <c r="M1314" t="s">
        <v>16</v>
      </c>
      <c r="N1314" t="s">
        <v>1077</v>
      </c>
      <c r="O1314" t="s">
        <v>234</v>
      </c>
      <c r="P1314" t="s">
        <v>12</v>
      </c>
      <c r="Q1314" t="s">
        <v>19</v>
      </c>
      <c r="R1314" t="s">
        <v>3858</v>
      </c>
      <c r="S1314" t="s">
        <v>1549</v>
      </c>
      <c r="T1314" t="s">
        <v>3859</v>
      </c>
      <c r="U1314" t="s">
        <v>1594</v>
      </c>
      <c r="V1314" t="s">
        <v>1766</v>
      </c>
      <c r="W1314" t="s">
        <v>1767</v>
      </c>
      <c r="X1314" t="s">
        <v>1755</v>
      </c>
    </row>
    <row r="1315" spans="1:24" x14ac:dyDescent="0.3">
      <c r="A1315" t="s">
        <v>3122</v>
      </c>
      <c r="B1315" s="2">
        <v>45906</v>
      </c>
      <c r="C1315" t="s">
        <v>93</v>
      </c>
      <c r="D1315" t="s">
        <v>1583</v>
      </c>
      <c r="E1315" t="s">
        <v>1793</v>
      </c>
      <c r="F1315" s="4">
        <v>1</v>
      </c>
      <c r="G1315">
        <v>179.77</v>
      </c>
      <c r="H1315">
        <v>0.23</v>
      </c>
      <c r="I1315" t="s">
        <v>1812</v>
      </c>
      <c r="J1315">
        <v>138.4229</v>
      </c>
      <c r="K1315" t="s">
        <v>94</v>
      </c>
      <c r="L1315">
        <v>33</v>
      </c>
      <c r="M1315" t="s">
        <v>16</v>
      </c>
      <c r="N1315" t="s">
        <v>95</v>
      </c>
      <c r="O1315" t="s">
        <v>96</v>
      </c>
      <c r="P1315" t="s">
        <v>12</v>
      </c>
      <c r="Q1315" t="s">
        <v>13</v>
      </c>
      <c r="R1315" t="s">
        <v>3853</v>
      </c>
      <c r="S1315" t="s">
        <v>1546</v>
      </c>
      <c r="T1315" t="s">
        <v>3826</v>
      </c>
      <c r="U1315" t="s">
        <v>1584</v>
      </c>
      <c r="V1315" t="s">
        <v>1741</v>
      </c>
      <c r="W1315" t="s">
        <v>1742</v>
      </c>
      <c r="X1315" t="s">
        <v>1739</v>
      </c>
    </row>
    <row r="1316" spans="1:24" x14ac:dyDescent="0.3">
      <c r="A1316" t="s">
        <v>3123</v>
      </c>
      <c r="B1316" s="2">
        <v>45523</v>
      </c>
      <c r="C1316" t="s">
        <v>44</v>
      </c>
      <c r="D1316" t="s">
        <v>1526</v>
      </c>
      <c r="E1316" t="s">
        <v>1769</v>
      </c>
      <c r="F1316" s="4">
        <v>2</v>
      </c>
      <c r="G1316">
        <v>943.8</v>
      </c>
      <c r="H1316">
        <v>0.06</v>
      </c>
      <c r="I1316" t="s">
        <v>1807</v>
      </c>
      <c r="J1316">
        <v>1774.3440000000001</v>
      </c>
      <c r="K1316" t="s">
        <v>45</v>
      </c>
      <c r="L1316">
        <v>64</v>
      </c>
      <c r="M1316" t="s">
        <v>9</v>
      </c>
      <c r="N1316" t="s">
        <v>46</v>
      </c>
      <c r="O1316" t="s">
        <v>47</v>
      </c>
      <c r="P1316" t="s">
        <v>12</v>
      </c>
      <c r="Q1316" t="s">
        <v>13</v>
      </c>
      <c r="R1316" t="s">
        <v>3810</v>
      </c>
      <c r="S1316" t="s">
        <v>1546</v>
      </c>
      <c r="T1316" t="s">
        <v>3811</v>
      </c>
      <c r="U1316" t="s">
        <v>1528</v>
      </c>
      <c r="V1316" t="s">
        <v>1770</v>
      </c>
      <c r="W1316" t="s">
        <v>1746</v>
      </c>
      <c r="X1316" t="s">
        <v>1739</v>
      </c>
    </row>
    <row r="1317" spans="1:24" x14ac:dyDescent="0.3">
      <c r="A1317" t="s">
        <v>3124</v>
      </c>
      <c r="B1317" s="2">
        <v>45234</v>
      </c>
      <c r="C1317" t="s">
        <v>1258</v>
      </c>
      <c r="D1317" t="s">
        <v>1673</v>
      </c>
      <c r="E1317" t="s">
        <v>1784</v>
      </c>
      <c r="F1317" s="4">
        <v>2</v>
      </c>
      <c r="G1317">
        <v>985</v>
      </c>
      <c r="H1317">
        <v>0.25</v>
      </c>
      <c r="I1317" t="s">
        <v>1807</v>
      </c>
      <c r="J1317">
        <v>1477.5</v>
      </c>
      <c r="K1317" t="s">
        <v>1259</v>
      </c>
      <c r="L1317">
        <v>48</v>
      </c>
      <c r="M1317" t="s">
        <v>16</v>
      </c>
      <c r="N1317" t="s">
        <v>1260</v>
      </c>
      <c r="O1317" t="s">
        <v>838</v>
      </c>
      <c r="P1317" t="s">
        <v>12</v>
      </c>
      <c r="Q1317" t="s">
        <v>13</v>
      </c>
      <c r="R1317" t="s">
        <v>3904</v>
      </c>
      <c r="S1317" t="s">
        <v>1541</v>
      </c>
      <c r="T1317" t="s">
        <v>3833</v>
      </c>
      <c r="U1317" t="s">
        <v>1674</v>
      </c>
      <c r="V1317" t="s">
        <v>1741</v>
      </c>
      <c r="W1317" t="s">
        <v>1742</v>
      </c>
      <c r="X1317" t="s">
        <v>1739</v>
      </c>
    </row>
    <row r="1318" spans="1:24" x14ac:dyDescent="0.3">
      <c r="A1318" t="s">
        <v>3125</v>
      </c>
      <c r="B1318" s="2">
        <v>45405</v>
      </c>
      <c r="C1318" t="s">
        <v>1475</v>
      </c>
      <c r="D1318" t="s">
        <v>1707</v>
      </c>
      <c r="E1318" t="s">
        <v>1772</v>
      </c>
      <c r="F1318" s="4">
        <v>4</v>
      </c>
      <c r="G1318">
        <v>216.81</v>
      </c>
      <c r="H1318">
        <v>0.28999999999999998</v>
      </c>
      <c r="I1318" t="s">
        <v>1807</v>
      </c>
      <c r="J1318">
        <v>615.74040000000002</v>
      </c>
      <c r="K1318" t="s">
        <v>1476</v>
      </c>
      <c r="L1318">
        <v>22</v>
      </c>
      <c r="M1318" t="s">
        <v>16</v>
      </c>
      <c r="N1318" t="s">
        <v>1477</v>
      </c>
      <c r="O1318" t="s">
        <v>284</v>
      </c>
      <c r="P1318" t="s">
        <v>12</v>
      </c>
      <c r="Q1318" t="s">
        <v>26</v>
      </c>
      <c r="R1318" t="s">
        <v>3921</v>
      </c>
      <c r="S1318" t="s">
        <v>1549</v>
      </c>
      <c r="T1318" t="s">
        <v>3820</v>
      </c>
      <c r="U1318" t="s">
        <v>1708</v>
      </c>
      <c r="V1318" t="s">
        <v>1741</v>
      </c>
      <c r="W1318" t="s">
        <v>1742</v>
      </c>
      <c r="X1318" t="s">
        <v>1739</v>
      </c>
    </row>
    <row r="1319" spans="1:24" x14ac:dyDescent="0.3">
      <c r="A1319" t="s">
        <v>3126</v>
      </c>
      <c r="B1319" s="2">
        <v>45223</v>
      </c>
      <c r="C1319" t="s">
        <v>403</v>
      </c>
      <c r="D1319" t="s">
        <v>1659</v>
      </c>
      <c r="E1319" t="s">
        <v>1744</v>
      </c>
      <c r="F1319" s="4">
        <v>4</v>
      </c>
      <c r="G1319">
        <v>950.21</v>
      </c>
      <c r="H1319">
        <v>0.27</v>
      </c>
      <c r="I1319" t="s">
        <v>1812</v>
      </c>
      <c r="J1319">
        <v>2774.6131999999998</v>
      </c>
      <c r="K1319" t="s">
        <v>404</v>
      </c>
      <c r="L1319">
        <v>36</v>
      </c>
      <c r="M1319" t="s">
        <v>9</v>
      </c>
      <c r="N1319" t="s">
        <v>405</v>
      </c>
      <c r="O1319" t="s">
        <v>74</v>
      </c>
      <c r="P1319" t="s">
        <v>12</v>
      </c>
      <c r="Q1319" t="s">
        <v>19</v>
      </c>
      <c r="R1319" t="s">
        <v>3896</v>
      </c>
      <c r="S1319" t="s">
        <v>1541</v>
      </c>
      <c r="T1319" t="s">
        <v>3878</v>
      </c>
      <c r="U1319" t="s">
        <v>1660</v>
      </c>
      <c r="V1319" t="s">
        <v>1745</v>
      </c>
      <c r="W1319" t="s">
        <v>1746</v>
      </c>
      <c r="X1319" t="s">
        <v>1748</v>
      </c>
    </row>
    <row r="1320" spans="1:24" x14ac:dyDescent="0.3">
      <c r="A1320" t="s">
        <v>3127</v>
      </c>
      <c r="B1320" s="2">
        <v>45838</v>
      </c>
      <c r="C1320" t="s">
        <v>811</v>
      </c>
      <c r="D1320" t="s">
        <v>1627</v>
      </c>
      <c r="E1320" t="s">
        <v>1762</v>
      </c>
      <c r="F1320" s="4">
        <v>2</v>
      </c>
      <c r="G1320">
        <v>271.39999999999998</v>
      </c>
      <c r="H1320">
        <v>0.17</v>
      </c>
      <c r="I1320" t="s">
        <v>1809</v>
      </c>
      <c r="J1320">
        <v>450.52399999999989</v>
      </c>
      <c r="K1320" t="s">
        <v>812</v>
      </c>
      <c r="L1320">
        <v>42</v>
      </c>
      <c r="M1320" t="s">
        <v>9</v>
      </c>
      <c r="N1320" t="s">
        <v>813</v>
      </c>
      <c r="O1320" t="s">
        <v>288</v>
      </c>
      <c r="P1320" t="s">
        <v>12</v>
      </c>
      <c r="Q1320" t="s">
        <v>19</v>
      </c>
      <c r="R1320" t="s">
        <v>3879</v>
      </c>
      <c r="S1320" t="s">
        <v>1546</v>
      </c>
      <c r="T1320" t="s">
        <v>3820</v>
      </c>
      <c r="U1320" t="s">
        <v>1628</v>
      </c>
      <c r="V1320" t="s">
        <v>1763</v>
      </c>
      <c r="W1320" t="s">
        <v>1746</v>
      </c>
      <c r="X1320" t="s">
        <v>1755</v>
      </c>
    </row>
    <row r="1321" spans="1:24" x14ac:dyDescent="0.3">
      <c r="A1321" t="s">
        <v>3128</v>
      </c>
      <c r="B1321" s="2">
        <v>45883</v>
      </c>
      <c r="C1321" t="s">
        <v>554</v>
      </c>
      <c r="D1321" t="s">
        <v>1609</v>
      </c>
      <c r="E1321" t="s">
        <v>1765</v>
      </c>
      <c r="F1321" s="4">
        <v>4</v>
      </c>
      <c r="G1321">
        <v>708.19</v>
      </c>
      <c r="H1321">
        <v>0.1</v>
      </c>
      <c r="I1321" t="s">
        <v>1809</v>
      </c>
      <c r="J1321">
        <v>2549.4839999999999</v>
      </c>
      <c r="K1321" t="s">
        <v>555</v>
      </c>
      <c r="L1321">
        <v>64</v>
      </c>
      <c r="M1321" t="s">
        <v>9</v>
      </c>
      <c r="N1321" t="s">
        <v>556</v>
      </c>
      <c r="O1321" t="s">
        <v>247</v>
      </c>
      <c r="P1321" t="s">
        <v>12</v>
      </c>
      <c r="Q1321" t="s">
        <v>19</v>
      </c>
      <c r="R1321" t="s">
        <v>3868</v>
      </c>
      <c r="S1321" t="s">
        <v>1546</v>
      </c>
      <c r="T1321" t="s">
        <v>3869</v>
      </c>
      <c r="U1321" t="s">
        <v>1610</v>
      </c>
      <c r="V1321" t="s">
        <v>1766</v>
      </c>
      <c r="W1321" t="s">
        <v>1767</v>
      </c>
      <c r="X1321" t="s">
        <v>1755</v>
      </c>
    </row>
    <row r="1322" spans="1:24" x14ac:dyDescent="0.3">
      <c r="A1322" t="s">
        <v>3129</v>
      </c>
      <c r="B1322" s="2">
        <v>45788</v>
      </c>
      <c r="C1322" t="s">
        <v>1358</v>
      </c>
      <c r="D1322" t="s">
        <v>1639</v>
      </c>
      <c r="E1322" t="s">
        <v>1749</v>
      </c>
      <c r="F1322" s="4">
        <v>3</v>
      </c>
      <c r="G1322">
        <v>477.05</v>
      </c>
      <c r="H1322">
        <v>0.05</v>
      </c>
      <c r="I1322" t="s">
        <v>1809</v>
      </c>
      <c r="J1322">
        <v>1359.5925</v>
      </c>
      <c r="K1322" t="s">
        <v>1359</v>
      </c>
      <c r="L1322">
        <v>41</v>
      </c>
      <c r="M1322" t="s">
        <v>16</v>
      </c>
      <c r="N1322" t="s">
        <v>1360</v>
      </c>
      <c r="O1322" t="s">
        <v>838</v>
      </c>
      <c r="P1322" t="s">
        <v>12</v>
      </c>
      <c r="Q1322" t="s">
        <v>13</v>
      </c>
      <c r="R1322" t="s">
        <v>3886</v>
      </c>
      <c r="S1322" t="s">
        <v>1549</v>
      </c>
      <c r="T1322" t="s">
        <v>3820</v>
      </c>
      <c r="U1322" t="s">
        <v>1640</v>
      </c>
      <c r="V1322" t="s">
        <v>1750</v>
      </c>
      <c r="W1322" t="s">
        <v>1742</v>
      </c>
      <c r="X1322" t="s">
        <v>1748</v>
      </c>
    </row>
    <row r="1323" spans="1:24" x14ac:dyDescent="0.3">
      <c r="A1323" t="s">
        <v>3130</v>
      </c>
      <c r="B1323" s="2">
        <v>45383</v>
      </c>
      <c r="C1323" t="s">
        <v>959</v>
      </c>
      <c r="D1323" t="s">
        <v>1679</v>
      </c>
      <c r="E1323" t="s">
        <v>1769</v>
      </c>
      <c r="F1323" s="4">
        <v>3</v>
      </c>
      <c r="G1323">
        <v>627.29</v>
      </c>
      <c r="H1323">
        <v>0.27</v>
      </c>
      <c r="I1323" t="s">
        <v>1812</v>
      </c>
      <c r="J1323">
        <v>1373.7651000000001</v>
      </c>
      <c r="K1323" t="s">
        <v>960</v>
      </c>
      <c r="L1323">
        <v>60</v>
      </c>
      <c r="M1323" t="s">
        <v>16</v>
      </c>
      <c r="N1323" t="s">
        <v>961</v>
      </c>
      <c r="O1323" t="s">
        <v>22</v>
      </c>
      <c r="P1323" t="s">
        <v>12</v>
      </c>
      <c r="Q1323" t="s">
        <v>26</v>
      </c>
      <c r="R1323" t="s">
        <v>3907</v>
      </c>
      <c r="S1323" t="s">
        <v>1546</v>
      </c>
      <c r="T1323" t="s">
        <v>3826</v>
      </c>
      <c r="U1323" t="s">
        <v>1680</v>
      </c>
      <c r="V1323" t="s">
        <v>1770</v>
      </c>
      <c r="W1323" t="s">
        <v>1746</v>
      </c>
      <c r="X1323" t="s">
        <v>1739</v>
      </c>
    </row>
    <row r="1324" spans="1:24" x14ac:dyDescent="0.3">
      <c r="A1324" t="s">
        <v>3131</v>
      </c>
      <c r="B1324" s="2">
        <v>45335</v>
      </c>
      <c r="C1324" t="s">
        <v>951</v>
      </c>
      <c r="D1324" t="s">
        <v>1719</v>
      </c>
      <c r="E1324" t="s">
        <v>1775</v>
      </c>
      <c r="F1324" s="4">
        <v>3</v>
      </c>
      <c r="G1324">
        <v>206.84</v>
      </c>
      <c r="H1324">
        <v>0.19</v>
      </c>
      <c r="I1324" t="s">
        <v>1809</v>
      </c>
      <c r="J1324">
        <v>502.62119999999999</v>
      </c>
      <c r="K1324" t="s">
        <v>3944</v>
      </c>
      <c r="L1324">
        <v>64</v>
      </c>
      <c r="M1324" t="s">
        <v>9</v>
      </c>
      <c r="N1324" t="s">
        <v>952</v>
      </c>
      <c r="O1324" t="s">
        <v>62</v>
      </c>
      <c r="P1324" t="s">
        <v>12</v>
      </c>
      <c r="Q1324" t="s">
        <v>31</v>
      </c>
      <c r="R1324" t="s">
        <v>3927</v>
      </c>
      <c r="S1324" t="s">
        <v>1541</v>
      </c>
      <c r="T1324" t="s">
        <v>3822</v>
      </c>
      <c r="U1324" t="s">
        <v>1720</v>
      </c>
      <c r="V1324" t="s">
        <v>1741</v>
      </c>
      <c r="W1324" t="s">
        <v>1742</v>
      </c>
      <c r="X1324" t="s">
        <v>1739</v>
      </c>
    </row>
    <row r="1325" spans="1:24" x14ac:dyDescent="0.3">
      <c r="A1325" t="s">
        <v>3132</v>
      </c>
      <c r="B1325" s="2">
        <v>45304</v>
      </c>
      <c r="C1325" t="s">
        <v>797</v>
      </c>
      <c r="D1325" t="s">
        <v>1591</v>
      </c>
      <c r="E1325" t="s">
        <v>1740</v>
      </c>
      <c r="F1325" s="4">
        <v>4</v>
      </c>
      <c r="G1325">
        <v>629.04999999999995</v>
      </c>
      <c r="H1325">
        <v>0.26</v>
      </c>
      <c r="I1325" t="s">
        <v>1807</v>
      </c>
      <c r="J1325">
        <v>1861.9880000000001</v>
      </c>
      <c r="K1325" t="s">
        <v>798</v>
      </c>
      <c r="L1325">
        <v>26</v>
      </c>
      <c r="M1325" t="s">
        <v>9</v>
      </c>
      <c r="N1325" t="s">
        <v>799</v>
      </c>
      <c r="O1325" t="s">
        <v>22</v>
      </c>
      <c r="P1325" t="s">
        <v>12</v>
      </c>
      <c r="Q1325" t="s">
        <v>31</v>
      </c>
      <c r="R1325" t="s">
        <v>3857</v>
      </c>
      <c r="S1325" t="s">
        <v>1527</v>
      </c>
      <c r="T1325" t="s">
        <v>3830</v>
      </c>
      <c r="U1325" t="s">
        <v>1592</v>
      </c>
      <c r="V1325" t="s">
        <v>1741</v>
      </c>
      <c r="W1325" t="s">
        <v>1742</v>
      </c>
      <c r="X1325" t="s">
        <v>1739</v>
      </c>
    </row>
    <row r="1326" spans="1:24" x14ac:dyDescent="0.3">
      <c r="A1326" t="s">
        <v>3133</v>
      </c>
      <c r="B1326" s="2">
        <v>45543</v>
      </c>
      <c r="C1326" t="s">
        <v>1341</v>
      </c>
      <c r="D1326" t="s">
        <v>1679</v>
      </c>
      <c r="E1326" t="s">
        <v>1790</v>
      </c>
      <c r="F1326" s="4">
        <v>4</v>
      </c>
      <c r="G1326">
        <v>529.04</v>
      </c>
      <c r="H1326">
        <v>0.1</v>
      </c>
      <c r="I1326" t="s">
        <v>1809</v>
      </c>
      <c r="J1326">
        <v>1904.5440000000001</v>
      </c>
      <c r="K1326" t="s">
        <v>1342</v>
      </c>
      <c r="L1326">
        <v>53</v>
      </c>
      <c r="M1326" t="s">
        <v>9</v>
      </c>
      <c r="N1326" t="s">
        <v>1343</v>
      </c>
      <c r="O1326" t="s">
        <v>234</v>
      </c>
      <c r="P1326" t="s">
        <v>12</v>
      </c>
      <c r="Q1326" t="s">
        <v>19</v>
      </c>
      <c r="R1326" t="s">
        <v>3907</v>
      </c>
      <c r="S1326" t="s">
        <v>1546</v>
      </c>
      <c r="T1326" t="s">
        <v>3826</v>
      </c>
      <c r="U1326" t="s">
        <v>1680</v>
      </c>
      <c r="V1326" t="s">
        <v>1741</v>
      </c>
      <c r="W1326" t="s">
        <v>1742</v>
      </c>
      <c r="X1326" t="s">
        <v>1739</v>
      </c>
    </row>
    <row r="1327" spans="1:24" x14ac:dyDescent="0.3">
      <c r="A1327" t="s">
        <v>3134</v>
      </c>
      <c r="B1327" s="2">
        <v>45326</v>
      </c>
      <c r="C1327" t="s">
        <v>1083</v>
      </c>
      <c r="D1327" t="s">
        <v>1591</v>
      </c>
      <c r="E1327" t="s">
        <v>1790</v>
      </c>
      <c r="F1327" s="4">
        <v>1</v>
      </c>
      <c r="G1327">
        <v>350.67</v>
      </c>
      <c r="H1327">
        <v>0.22</v>
      </c>
      <c r="I1327" t="s">
        <v>1809</v>
      </c>
      <c r="J1327">
        <v>273.52260000000001</v>
      </c>
      <c r="K1327" t="s">
        <v>1084</v>
      </c>
      <c r="L1327">
        <v>26</v>
      </c>
      <c r="M1327" t="s">
        <v>9</v>
      </c>
      <c r="N1327" t="s">
        <v>1085</v>
      </c>
      <c r="O1327" t="s">
        <v>162</v>
      </c>
      <c r="P1327" t="s">
        <v>12</v>
      </c>
      <c r="Q1327" t="s">
        <v>26</v>
      </c>
      <c r="R1327" t="s">
        <v>3857</v>
      </c>
      <c r="S1327" t="s">
        <v>1527</v>
      </c>
      <c r="T1327" t="s">
        <v>3830</v>
      </c>
      <c r="U1327" t="s">
        <v>1592</v>
      </c>
      <c r="V1327" t="s">
        <v>1741</v>
      </c>
      <c r="W1327" t="s">
        <v>1742</v>
      </c>
      <c r="X1327" t="s">
        <v>1739</v>
      </c>
    </row>
    <row r="1328" spans="1:24" x14ac:dyDescent="0.3">
      <c r="A1328" t="s">
        <v>3135</v>
      </c>
      <c r="B1328" s="2">
        <v>45498</v>
      </c>
      <c r="C1328" t="s">
        <v>1147</v>
      </c>
      <c r="D1328" t="s">
        <v>1721</v>
      </c>
      <c r="E1328" t="s">
        <v>1740</v>
      </c>
      <c r="F1328" s="4">
        <v>1</v>
      </c>
      <c r="G1328">
        <v>128.93</v>
      </c>
      <c r="H1328">
        <v>0.26</v>
      </c>
      <c r="I1328" t="s">
        <v>1807</v>
      </c>
      <c r="J1328">
        <v>95.408200000000008</v>
      </c>
      <c r="K1328" t="s">
        <v>1148</v>
      </c>
      <c r="L1328">
        <v>28</v>
      </c>
      <c r="M1328" t="s">
        <v>9</v>
      </c>
      <c r="N1328" t="s">
        <v>1149</v>
      </c>
      <c r="O1328" t="s">
        <v>47</v>
      </c>
      <c r="P1328" t="s">
        <v>12</v>
      </c>
      <c r="Q1328" t="s">
        <v>19</v>
      </c>
      <c r="R1328" t="s">
        <v>3928</v>
      </c>
      <c r="S1328" t="s">
        <v>1549</v>
      </c>
      <c r="T1328" t="s">
        <v>3820</v>
      </c>
      <c r="U1328" t="s">
        <v>1722</v>
      </c>
      <c r="V1328" t="s">
        <v>1741</v>
      </c>
      <c r="W1328" t="s">
        <v>1742</v>
      </c>
      <c r="X1328" t="s">
        <v>1739</v>
      </c>
    </row>
    <row r="1329" spans="1:24" x14ac:dyDescent="0.3">
      <c r="A1329" t="s">
        <v>3136</v>
      </c>
      <c r="B1329" s="2">
        <v>45544</v>
      </c>
      <c r="C1329" t="s">
        <v>485</v>
      </c>
      <c r="D1329" t="s">
        <v>1703</v>
      </c>
      <c r="E1329" t="s">
        <v>1784</v>
      </c>
      <c r="F1329" s="4">
        <v>2</v>
      </c>
      <c r="G1329">
        <v>384.92</v>
      </c>
      <c r="H1329">
        <v>0.09</v>
      </c>
      <c r="I1329" t="s">
        <v>1807</v>
      </c>
      <c r="J1329">
        <v>700.5544000000001</v>
      </c>
      <c r="K1329" t="s">
        <v>486</v>
      </c>
      <c r="L1329">
        <v>32</v>
      </c>
      <c r="M1329" t="s">
        <v>16</v>
      </c>
      <c r="N1329" t="s">
        <v>487</v>
      </c>
      <c r="O1329" t="s">
        <v>251</v>
      </c>
      <c r="P1329" t="s">
        <v>12</v>
      </c>
      <c r="Q1329" t="s">
        <v>19</v>
      </c>
      <c r="R1329" t="s">
        <v>3919</v>
      </c>
      <c r="S1329" t="s">
        <v>1527</v>
      </c>
      <c r="T1329" t="s">
        <v>3830</v>
      </c>
      <c r="U1329" t="s">
        <v>1704</v>
      </c>
      <c r="V1329" t="s">
        <v>1741</v>
      </c>
      <c r="W1329" t="s">
        <v>1742</v>
      </c>
      <c r="X1329" t="s">
        <v>1739</v>
      </c>
    </row>
    <row r="1330" spans="1:24" x14ac:dyDescent="0.3">
      <c r="A1330" t="s">
        <v>3137</v>
      </c>
      <c r="B1330" s="2">
        <v>45268</v>
      </c>
      <c r="C1330" t="s">
        <v>1039</v>
      </c>
      <c r="D1330" t="s">
        <v>1538</v>
      </c>
      <c r="E1330" t="s">
        <v>1765</v>
      </c>
      <c r="F1330" s="4">
        <v>3</v>
      </c>
      <c r="G1330">
        <v>120.77</v>
      </c>
      <c r="H1330">
        <v>0.28999999999999998</v>
      </c>
      <c r="I1330" t="s">
        <v>1809</v>
      </c>
      <c r="J1330">
        <v>257.24009999999998</v>
      </c>
      <c r="K1330" t="s">
        <v>1040</v>
      </c>
      <c r="L1330">
        <v>37</v>
      </c>
      <c r="M1330" t="s">
        <v>9</v>
      </c>
      <c r="N1330" t="s">
        <v>1041</v>
      </c>
      <c r="O1330" t="s">
        <v>166</v>
      </c>
      <c r="P1330" t="s">
        <v>12</v>
      </c>
      <c r="Q1330" t="s">
        <v>31</v>
      </c>
      <c r="R1330" t="s">
        <v>3880</v>
      </c>
      <c r="S1330" t="s">
        <v>1541</v>
      </c>
      <c r="T1330" t="s">
        <v>3881</v>
      </c>
      <c r="U1330" t="s">
        <v>1630</v>
      </c>
      <c r="V1330" t="s">
        <v>1766</v>
      </c>
      <c r="W1330" t="s">
        <v>1767</v>
      </c>
      <c r="X1330" t="s">
        <v>1755</v>
      </c>
    </row>
    <row r="1331" spans="1:24" x14ac:dyDescent="0.3">
      <c r="A1331" t="s">
        <v>3138</v>
      </c>
      <c r="B1331" s="2">
        <v>45824</v>
      </c>
      <c r="C1331" t="s">
        <v>713</v>
      </c>
      <c r="D1331" t="s">
        <v>1683</v>
      </c>
      <c r="E1331" t="s">
        <v>1790</v>
      </c>
      <c r="F1331" s="4">
        <v>4</v>
      </c>
      <c r="G1331">
        <v>661.39</v>
      </c>
      <c r="H1331">
        <v>7.0000000000000007E-2</v>
      </c>
      <c r="I1331" t="s">
        <v>1807</v>
      </c>
      <c r="J1331">
        <v>2460.3708000000001</v>
      </c>
      <c r="K1331" t="s">
        <v>714</v>
      </c>
      <c r="L1331">
        <v>50</v>
      </c>
      <c r="M1331" t="s">
        <v>9</v>
      </c>
      <c r="N1331" t="s">
        <v>715</v>
      </c>
      <c r="O1331" t="s">
        <v>230</v>
      </c>
      <c r="P1331" t="s">
        <v>12</v>
      </c>
      <c r="Q1331" t="s">
        <v>19</v>
      </c>
      <c r="R1331" t="s">
        <v>3909</v>
      </c>
      <c r="S1331" t="s">
        <v>1546</v>
      </c>
      <c r="T1331" t="s">
        <v>3811</v>
      </c>
      <c r="U1331" t="s">
        <v>1684</v>
      </c>
      <c r="V1331" t="s">
        <v>1741</v>
      </c>
      <c r="W1331" t="s">
        <v>1742</v>
      </c>
      <c r="X1331" t="s">
        <v>1739</v>
      </c>
    </row>
    <row r="1332" spans="1:24" x14ac:dyDescent="0.3">
      <c r="A1332" t="s">
        <v>3139</v>
      </c>
      <c r="B1332" s="2">
        <v>45261</v>
      </c>
      <c r="C1332" t="s">
        <v>1373</v>
      </c>
      <c r="D1332" t="s">
        <v>1655</v>
      </c>
      <c r="E1332" t="s">
        <v>1744</v>
      </c>
      <c r="F1332" s="4">
        <v>1</v>
      </c>
      <c r="G1332">
        <v>195.24</v>
      </c>
      <c r="H1332">
        <v>0.27</v>
      </c>
      <c r="I1332" t="s">
        <v>1809</v>
      </c>
      <c r="J1332">
        <v>142.52520000000001</v>
      </c>
      <c r="K1332" t="s">
        <v>1374</v>
      </c>
      <c r="L1332">
        <v>59</v>
      </c>
      <c r="M1332" t="s">
        <v>9</v>
      </c>
      <c r="N1332" t="s">
        <v>1375</v>
      </c>
      <c r="O1332" t="s">
        <v>25</v>
      </c>
      <c r="P1332" t="s">
        <v>12</v>
      </c>
      <c r="Q1332" t="s">
        <v>26</v>
      </c>
      <c r="R1332" t="s">
        <v>3894</v>
      </c>
      <c r="S1332" t="s">
        <v>1546</v>
      </c>
      <c r="T1332" t="s">
        <v>3811</v>
      </c>
      <c r="U1332" t="s">
        <v>1656</v>
      </c>
      <c r="V1332" t="s">
        <v>1745</v>
      </c>
      <c r="W1332" t="s">
        <v>1746</v>
      </c>
      <c r="X1332" t="s">
        <v>1748</v>
      </c>
    </row>
    <row r="1333" spans="1:24" x14ac:dyDescent="0.3">
      <c r="A1333" t="s">
        <v>3140</v>
      </c>
      <c r="B1333" s="2">
        <v>45233</v>
      </c>
      <c r="C1333" t="s">
        <v>27</v>
      </c>
      <c r="D1333" t="s">
        <v>1715</v>
      </c>
      <c r="E1333" t="s">
        <v>1793</v>
      </c>
      <c r="F1333" s="4">
        <v>2</v>
      </c>
      <c r="G1333">
        <v>177.4</v>
      </c>
      <c r="H1333">
        <v>0.19</v>
      </c>
      <c r="I1333" t="s">
        <v>1809</v>
      </c>
      <c r="J1333">
        <v>287.38799999999998</v>
      </c>
      <c r="K1333" t="s">
        <v>28</v>
      </c>
      <c r="L1333">
        <v>24</v>
      </c>
      <c r="M1333" t="s">
        <v>9</v>
      </c>
      <c r="N1333" t="s">
        <v>29</v>
      </c>
      <c r="O1333" t="s">
        <v>30</v>
      </c>
      <c r="P1333" t="s">
        <v>12</v>
      </c>
      <c r="Q1333" t="s">
        <v>31</v>
      </c>
      <c r="R1333" t="s">
        <v>3925</v>
      </c>
      <c r="S1333" t="s">
        <v>1527</v>
      </c>
      <c r="T1333" t="s">
        <v>3838</v>
      </c>
      <c r="U1333" t="s">
        <v>1716</v>
      </c>
      <c r="V1333" t="s">
        <v>1741</v>
      </c>
      <c r="W1333" t="s">
        <v>1742</v>
      </c>
      <c r="X1333" t="s">
        <v>1739</v>
      </c>
    </row>
    <row r="1334" spans="1:24" x14ac:dyDescent="0.3">
      <c r="A1334" t="s">
        <v>3141</v>
      </c>
      <c r="B1334" s="2">
        <v>45673</v>
      </c>
      <c r="C1334" t="s">
        <v>211</v>
      </c>
      <c r="D1334" t="s">
        <v>1727</v>
      </c>
      <c r="E1334" t="s">
        <v>1775</v>
      </c>
      <c r="F1334" s="4">
        <v>4</v>
      </c>
      <c r="G1334">
        <v>862.67</v>
      </c>
      <c r="H1334">
        <v>0.2</v>
      </c>
      <c r="I1334" t="s">
        <v>1809</v>
      </c>
      <c r="J1334">
        <v>2760.5439999999999</v>
      </c>
      <c r="K1334" t="s">
        <v>212</v>
      </c>
      <c r="L1334">
        <v>51</v>
      </c>
      <c r="M1334" t="s">
        <v>9</v>
      </c>
      <c r="N1334" t="s">
        <v>213</v>
      </c>
      <c r="O1334" t="s">
        <v>214</v>
      </c>
      <c r="P1334" t="s">
        <v>12</v>
      </c>
      <c r="Q1334" t="s">
        <v>19</v>
      </c>
      <c r="R1334" t="s">
        <v>3931</v>
      </c>
      <c r="S1334" t="s">
        <v>1546</v>
      </c>
      <c r="T1334" t="s">
        <v>3826</v>
      </c>
      <c r="U1334" t="s">
        <v>1728</v>
      </c>
      <c r="V1334" t="s">
        <v>1741</v>
      </c>
      <c r="W1334" t="s">
        <v>1742</v>
      </c>
      <c r="X1334" t="s">
        <v>1739</v>
      </c>
    </row>
    <row r="1335" spans="1:24" x14ac:dyDescent="0.3">
      <c r="A1335" t="s">
        <v>3142</v>
      </c>
      <c r="B1335" s="2">
        <v>45565</v>
      </c>
      <c r="C1335" t="s">
        <v>1358</v>
      </c>
      <c r="D1335" t="s">
        <v>1565</v>
      </c>
      <c r="E1335" t="s">
        <v>1759</v>
      </c>
      <c r="F1335" s="4">
        <v>1</v>
      </c>
      <c r="G1335">
        <v>55.04</v>
      </c>
      <c r="H1335">
        <v>0.01</v>
      </c>
      <c r="I1335" t="s">
        <v>1812</v>
      </c>
      <c r="J1335">
        <v>54.489600000000003</v>
      </c>
      <c r="K1335" t="s">
        <v>1359</v>
      </c>
      <c r="L1335">
        <v>41</v>
      </c>
      <c r="M1335" t="s">
        <v>16</v>
      </c>
      <c r="N1335" t="s">
        <v>1360</v>
      </c>
      <c r="O1335" t="s">
        <v>838</v>
      </c>
      <c r="P1335" t="s">
        <v>12</v>
      </c>
      <c r="Q1335" t="s">
        <v>13</v>
      </c>
      <c r="R1335" t="s">
        <v>3841</v>
      </c>
      <c r="S1335" t="s">
        <v>1549</v>
      </c>
      <c r="T1335" t="s">
        <v>3820</v>
      </c>
      <c r="U1335" t="s">
        <v>1566</v>
      </c>
      <c r="V1335" t="s">
        <v>1760</v>
      </c>
      <c r="W1335" t="s">
        <v>1737</v>
      </c>
      <c r="X1335" t="s">
        <v>1755</v>
      </c>
    </row>
    <row r="1336" spans="1:24" x14ac:dyDescent="0.3">
      <c r="A1336" t="s">
        <v>3143</v>
      </c>
      <c r="B1336" s="2">
        <v>45646</v>
      </c>
      <c r="C1336" t="s">
        <v>185</v>
      </c>
      <c r="D1336" t="s">
        <v>1621</v>
      </c>
      <c r="E1336" t="s">
        <v>1735</v>
      </c>
      <c r="F1336" s="4">
        <v>2</v>
      </c>
      <c r="G1336">
        <v>905.47</v>
      </c>
      <c r="H1336">
        <v>0.2</v>
      </c>
      <c r="I1336" t="s">
        <v>1812</v>
      </c>
      <c r="J1336">
        <v>1448.752</v>
      </c>
      <c r="K1336" t="s">
        <v>186</v>
      </c>
      <c r="L1336">
        <v>61</v>
      </c>
      <c r="M1336" t="s">
        <v>16</v>
      </c>
      <c r="N1336" t="s">
        <v>187</v>
      </c>
      <c r="O1336" t="s">
        <v>25</v>
      </c>
      <c r="P1336" t="s">
        <v>12</v>
      </c>
      <c r="Q1336" t="s">
        <v>13</v>
      </c>
      <c r="R1336" t="s">
        <v>3875</v>
      </c>
      <c r="S1336" t="s">
        <v>1549</v>
      </c>
      <c r="T1336" t="s">
        <v>3859</v>
      </c>
      <c r="U1336" t="s">
        <v>1622</v>
      </c>
      <c r="V1336" t="s">
        <v>1736</v>
      </c>
      <c r="W1336" t="s">
        <v>1737</v>
      </c>
      <c r="X1336" t="s">
        <v>1739</v>
      </c>
    </row>
    <row r="1337" spans="1:24" x14ac:dyDescent="0.3">
      <c r="A1337" t="s">
        <v>3144</v>
      </c>
      <c r="B1337" s="2">
        <v>45539</v>
      </c>
      <c r="C1337" t="s">
        <v>1406</v>
      </c>
      <c r="D1337" t="s">
        <v>1657</v>
      </c>
      <c r="E1337" t="s">
        <v>1780</v>
      </c>
      <c r="F1337" s="4">
        <v>3</v>
      </c>
      <c r="G1337">
        <v>217.13</v>
      </c>
      <c r="H1337">
        <v>0.28000000000000003</v>
      </c>
      <c r="I1337" t="s">
        <v>1807</v>
      </c>
      <c r="J1337">
        <v>469.00080000000003</v>
      </c>
      <c r="K1337" t="s">
        <v>1407</v>
      </c>
      <c r="L1337">
        <v>34</v>
      </c>
      <c r="M1337" t="s">
        <v>16</v>
      </c>
      <c r="N1337" t="s">
        <v>1408</v>
      </c>
      <c r="O1337" t="s">
        <v>62</v>
      </c>
      <c r="P1337" t="s">
        <v>12</v>
      </c>
      <c r="Q1337" t="s">
        <v>31</v>
      </c>
      <c r="R1337" t="s">
        <v>3895</v>
      </c>
      <c r="S1337" t="s">
        <v>1541</v>
      </c>
      <c r="T1337" t="s">
        <v>3822</v>
      </c>
      <c r="U1337" t="s">
        <v>1658</v>
      </c>
      <c r="V1337" t="s">
        <v>1741</v>
      </c>
      <c r="W1337" t="s">
        <v>1742</v>
      </c>
      <c r="X1337" t="s">
        <v>1739</v>
      </c>
    </row>
    <row r="1338" spans="1:24" x14ac:dyDescent="0.3">
      <c r="A1338" t="s">
        <v>3145</v>
      </c>
      <c r="B1338" s="2">
        <v>45936</v>
      </c>
      <c r="C1338" t="s">
        <v>1201</v>
      </c>
      <c r="D1338" t="s">
        <v>1681</v>
      </c>
      <c r="E1338" t="s">
        <v>1735</v>
      </c>
      <c r="F1338" s="4">
        <v>3</v>
      </c>
      <c r="G1338">
        <v>580.45000000000005</v>
      </c>
      <c r="H1338">
        <v>0</v>
      </c>
      <c r="I1338" t="s">
        <v>1809</v>
      </c>
      <c r="J1338">
        <v>1741.35</v>
      </c>
      <c r="K1338" t="s">
        <v>1202</v>
      </c>
      <c r="L1338">
        <v>56</v>
      </c>
      <c r="M1338" t="s">
        <v>9</v>
      </c>
      <c r="N1338" t="s">
        <v>1203</v>
      </c>
      <c r="O1338" t="s">
        <v>70</v>
      </c>
      <c r="P1338" t="s">
        <v>12</v>
      </c>
      <c r="Q1338" t="s">
        <v>19</v>
      </c>
      <c r="R1338" t="s">
        <v>3908</v>
      </c>
      <c r="S1338" t="s">
        <v>1530</v>
      </c>
      <c r="T1338" t="s">
        <v>3866</v>
      </c>
      <c r="U1338" t="s">
        <v>1682</v>
      </c>
      <c r="V1338" t="s">
        <v>1736</v>
      </c>
      <c r="W1338" t="s">
        <v>1737</v>
      </c>
      <c r="X1338" t="s">
        <v>1739</v>
      </c>
    </row>
    <row r="1339" spans="1:24" x14ac:dyDescent="0.3">
      <c r="A1339" t="s">
        <v>3146</v>
      </c>
      <c r="B1339" s="2">
        <v>45854</v>
      </c>
      <c r="C1339" t="s">
        <v>361</v>
      </c>
      <c r="D1339" t="s">
        <v>1536</v>
      </c>
      <c r="E1339" t="s">
        <v>1790</v>
      </c>
      <c r="F1339" s="4">
        <v>2</v>
      </c>
      <c r="G1339">
        <v>892.88</v>
      </c>
      <c r="H1339">
        <v>0.17</v>
      </c>
      <c r="I1339" t="s">
        <v>1809</v>
      </c>
      <c r="J1339">
        <v>1482.1808000000001</v>
      </c>
      <c r="K1339" t="s">
        <v>362</v>
      </c>
      <c r="L1339">
        <v>64</v>
      </c>
      <c r="M1339" t="s">
        <v>9</v>
      </c>
      <c r="N1339" t="s">
        <v>363</v>
      </c>
      <c r="O1339" t="s">
        <v>166</v>
      </c>
      <c r="P1339" t="s">
        <v>12</v>
      </c>
      <c r="Q1339" t="s">
        <v>26</v>
      </c>
      <c r="R1339" t="s">
        <v>3868</v>
      </c>
      <c r="S1339" t="s">
        <v>1546</v>
      </c>
      <c r="T1339" t="s">
        <v>3869</v>
      </c>
      <c r="U1339" t="s">
        <v>1610</v>
      </c>
      <c r="V1339" t="s">
        <v>1741</v>
      </c>
      <c r="W1339" t="s">
        <v>1742</v>
      </c>
      <c r="X1339" t="s">
        <v>1739</v>
      </c>
    </row>
    <row r="1340" spans="1:24" x14ac:dyDescent="0.3">
      <c r="A1340" t="s">
        <v>3147</v>
      </c>
      <c r="B1340" s="2">
        <v>45936</v>
      </c>
      <c r="C1340" t="s">
        <v>324</v>
      </c>
      <c r="D1340" t="s">
        <v>1611</v>
      </c>
      <c r="E1340" t="s">
        <v>1793</v>
      </c>
      <c r="F1340" s="4">
        <v>2</v>
      </c>
      <c r="G1340">
        <v>356.28</v>
      </c>
      <c r="H1340">
        <v>0.11</v>
      </c>
      <c r="I1340" t="s">
        <v>1812</v>
      </c>
      <c r="J1340">
        <v>634.17840000000001</v>
      </c>
      <c r="K1340" t="s">
        <v>325</v>
      </c>
      <c r="L1340">
        <v>44</v>
      </c>
      <c r="M1340" t="s">
        <v>16</v>
      </c>
      <c r="N1340" t="s">
        <v>326</v>
      </c>
      <c r="O1340" t="s">
        <v>133</v>
      </c>
      <c r="P1340" t="s">
        <v>12</v>
      </c>
      <c r="Q1340" t="s">
        <v>31</v>
      </c>
      <c r="R1340" t="s">
        <v>3870</v>
      </c>
      <c r="S1340" t="s">
        <v>1546</v>
      </c>
      <c r="T1340" t="s">
        <v>3826</v>
      </c>
      <c r="U1340" t="s">
        <v>1612</v>
      </c>
      <c r="V1340" t="s">
        <v>1741</v>
      </c>
      <c r="W1340" t="s">
        <v>1742</v>
      </c>
      <c r="X1340" t="s">
        <v>1739</v>
      </c>
    </row>
    <row r="1341" spans="1:24" x14ac:dyDescent="0.3">
      <c r="A1341" t="s">
        <v>3148</v>
      </c>
      <c r="B1341" s="2">
        <v>45921</v>
      </c>
      <c r="C1341" t="s">
        <v>1186</v>
      </c>
      <c r="D1341" t="s">
        <v>1691</v>
      </c>
      <c r="E1341" t="s">
        <v>1744</v>
      </c>
      <c r="F1341" s="4">
        <v>4</v>
      </c>
      <c r="G1341">
        <v>806.99</v>
      </c>
      <c r="H1341">
        <v>0.06</v>
      </c>
      <c r="I1341" t="s">
        <v>1807</v>
      </c>
      <c r="J1341">
        <v>3034.2824000000001</v>
      </c>
      <c r="K1341" t="s">
        <v>1187</v>
      </c>
      <c r="L1341">
        <v>60</v>
      </c>
      <c r="M1341" t="s">
        <v>9</v>
      </c>
      <c r="N1341" t="s">
        <v>1188</v>
      </c>
      <c r="O1341" t="s">
        <v>264</v>
      </c>
      <c r="P1341" t="s">
        <v>12</v>
      </c>
      <c r="Q1341" t="s">
        <v>26</v>
      </c>
      <c r="R1341" t="s">
        <v>3913</v>
      </c>
      <c r="S1341" t="s">
        <v>1527</v>
      </c>
      <c r="T1341" t="s">
        <v>3830</v>
      </c>
      <c r="U1341" t="s">
        <v>1692</v>
      </c>
      <c r="V1341" t="s">
        <v>1745</v>
      </c>
      <c r="W1341" t="s">
        <v>1746</v>
      </c>
      <c r="X1341" t="s">
        <v>1748</v>
      </c>
    </row>
    <row r="1342" spans="1:24" x14ac:dyDescent="0.3">
      <c r="A1342" t="s">
        <v>3149</v>
      </c>
      <c r="B1342" s="2">
        <v>45855</v>
      </c>
      <c r="C1342" t="s">
        <v>1344</v>
      </c>
      <c r="D1342" t="s">
        <v>1571</v>
      </c>
      <c r="E1342" t="s">
        <v>1740</v>
      </c>
      <c r="F1342" s="4">
        <v>3</v>
      </c>
      <c r="G1342">
        <v>684.22</v>
      </c>
      <c r="H1342">
        <v>0.09</v>
      </c>
      <c r="I1342" t="s">
        <v>1807</v>
      </c>
      <c r="J1342">
        <v>1867.9205999999999</v>
      </c>
      <c r="K1342" t="s">
        <v>1345</v>
      </c>
      <c r="L1342">
        <v>60</v>
      </c>
      <c r="M1342" t="s">
        <v>9</v>
      </c>
      <c r="N1342" t="s">
        <v>922</v>
      </c>
      <c r="O1342" t="s">
        <v>155</v>
      </c>
      <c r="P1342" t="s">
        <v>12</v>
      </c>
      <c r="Q1342" t="s">
        <v>31</v>
      </c>
      <c r="R1342" t="s">
        <v>3845</v>
      </c>
      <c r="S1342" t="s">
        <v>1549</v>
      </c>
      <c r="T1342" t="s">
        <v>3820</v>
      </c>
      <c r="U1342" t="s">
        <v>1572</v>
      </c>
      <c r="V1342" t="s">
        <v>1741</v>
      </c>
      <c r="W1342" t="s">
        <v>1742</v>
      </c>
      <c r="X1342" t="s">
        <v>1739</v>
      </c>
    </row>
    <row r="1343" spans="1:24" x14ac:dyDescent="0.3">
      <c r="A1343" t="s">
        <v>3150</v>
      </c>
      <c r="B1343" s="2">
        <v>45837</v>
      </c>
      <c r="C1343" t="s">
        <v>1355</v>
      </c>
      <c r="D1343" t="s">
        <v>1717</v>
      </c>
      <c r="E1343" t="s">
        <v>1762</v>
      </c>
      <c r="F1343" s="4">
        <v>4</v>
      </c>
      <c r="G1343">
        <v>763.34</v>
      </c>
      <c r="H1343">
        <v>7.0000000000000007E-2</v>
      </c>
      <c r="I1343" t="s">
        <v>1809</v>
      </c>
      <c r="J1343">
        <v>2839.6248000000001</v>
      </c>
      <c r="K1343" t="s">
        <v>1356</v>
      </c>
      <c r="L1343">
        <v>19</v>
      </c>
      <c r="M1343" t="s">
        <v>9</v>
      </c>
      <c r="N1343" t="s">
        <v>1357</v>
      </c>
      <c r="O1343" t="s">
        <v>354</v>
      </c>
      <c r="P1343" t="s">
        <v>12</v>
      </c>
      <c r="Q1343" t="s">
        <v>31</v>
      </c>
      <c r="R1343" t="s">
        <v>3926</v>
      </c>
      <c r="S1343" t="s">
        <v>1546</v>
      </c>
      <c r="T1343" t="s">
        <v>3811</v>
      </c>
      <c r="U1343" t="s">
        <v>1718</v>
      </c>
      <c r="V1343" t="s">
        <v>1763</v>
      </c>
      <c r="W1343" t="s">
        <v>1746</v>
      </c>
      <c r="X1343" t="s">
        <v>1755</v>
      </c>
    </row>
    <row r="1344" spans="1:24" x14ac:dyDescent="0.3">
      <c r="A1344" t="s">
        <v>3151</v>
      </c>
      <c r="B1344" s="2">
        <v>45738</v>
      </c>
      <c r="C1344" t="s">
        <v>1118</v>
      </c>
      <c r="D1344" t="s">
        <v>1631</v>
      </c>
      <c r="E1344" t="s">
        <v>1749</v>
      </c>
      <c r="F1344" s="4">
        <v>3</v>
      </c>
      <c r="G1344">
        <v>721.94</v>
      </c>
      <c r="H1344">
        <v>0.26</v>
      </c>
      <c r="I1344" t="s">
        <v>1807</v>
      </c>
      <c r="J1344">
        <v>1602.7067999999999</v>
      </c>
      <c r="K1344" t="s">
        <v>1119</v>
      </c>
      <c r="L1344">
        <v>60</v>
      </c>
      <c r="M1344" t="s">
        <v>9</v>
      </c>
      <c r="N1344" t="s">
        <v>1120</v>
      </c>
      <c r="O1344" t="s">
        <v>251</v>
      </c>
      <c r="P1344" t="s">
        <v>12</v>
      </c>
      <c r="Q1344" t="s">
        <v>19</v>
      </c>
      <c r="R1344" t="s">
        <v>3882</v>
      </c>
      <c r="S1344" t="s">
        <v>1549</v>
      </c>
      <c r="T1344" t="s">
        <v>3828</v>
      </c>
      <c r="U1344" t="s">
        <v>1632</v>
      </c>
      <c r="V1344" t="s">
        <v>1750</v>
      </c>
      <c r="W1344" t="s">
        <v>1742</v>
      </c>
      <c r="X1344" t="s">
        <v>1748</v>
      </c>
    </row>
    <row r="1345" spans="1:24" x14ac:dyDescent="0.3">
      <c r="A1345" t="s">
        <v>3152</v>
      </c>
      <c r="B1345" s="2">
        <v>45323</v>
      </c>
      <c r="C1345" t="s">
        <v>1249</v>
      </c>
      <c r="D1345" t="s">
        <v>1725</v>
      </c>
      <c r="E1345" t="s">
        <v>1740</v>
      </c>
      <c r="F1345" s="4">
        <v>3</v>
      </c>
      <c r="G1345">
        <v>760.38</v>
      </c>
      <c r="H1345">
        <v>0</v>
      </c>
      <c r="I1345" t="s">
        <v>1812</v>
      </c>
      <c r="J1345">
        <v>2281.14</v>
      </c>
      <c r="K1345" t="s">
        <v>1250</v>
      </c>
      <c r="L1345">
        <v>33</v>
      </c>
      <c r="M1345" t="s">
        <v>9</v>
      </c>
      <c r="N1345" t="s">
        <v>1251</v>
      </c>
      <c r="O1345" t="s">
        <v>319</v>
      </c>
      <c r="P1345" t="s">
        <v>12</v>
      </c>
      <c r="Q1345" t="s">
        <v>13</v>
      </c>
      <c r="R1345" t="s">
        <v>3930</v>
      </c>
      <c r="S1345" t="s">
        <v>1549</v>
      </c>
      <c r="T1345" t="s">
        <v>3859</v>
      </c>
      <c r="U1345" t="s">
        <v>1726</v>
      </c>
      <c r="V1345" t="s">
        <v>1741</v>
      </c>
      <c r="W1345" t="s">
        <v>1742</v>
      </c>
      <c r="X1345" t="s">
        <v>1739</v>
      </c>
    </row>
    <row r="1346" spans="1:24" x14ac:dyDescent="0.3">
      <c r="A1346" t="s">
        <v>3153</v>
      </c>
      <c r="B1346" s="2">
        <v>45362</v>
      </c>
      <c r="C1346" t="s">
        <v>933</v>
      </c>
      <c r="D1346" t="s">
        <v>1725</v>
      </c>
      <c r="E1346" t="s">
        <v>1759</v>
      </c>
      <c r="F1346" s="4">
        <v>3</v>
      </c>
      <c r="G1346">
        <v>612.53</v>
      </c>
      <c r="H1346">
        <v>0.21</v>
      </c>
      <c r="I1346" t="s">
        <v>1812</v>
      </c>
      <c r="J1346">
        <v>1451.6960999999999</v>
      </c>
      <c r="K1346" t="s">
        <v>934</v>
      </c>
      <c r="L1346">
        <v>48</v>
      </c>
      <c r="M1346" t="s">
        <v>16</v>
      </c>
      <c r="N1346" t="s">
        <v>935</v>
      </c>
      <c r="O1346" t="s">
        <v>429</v>
      </c>
      <c r="P1346" t="s">
        <v>12</v>
      </c>
      <c r="Q1346" t="s">
        <v>19</v>
      </c>
      <c r="R1346" t="s">
        <v>3930</v>
      </c>
      <c r="S1346" t="s">
        <v>1549</v>
      </c>
      <c r="T1346" t="s">
        <v>3859</v>
      </c>
      <c r="U1346" t="s">
        <v>1726</v>
      </c>
      <c r="V1346" t="s">
        <v>1760</v>
      </c>
      <c r="W1346" t="s">
        <v>1737</v>
      </c>
      <c r="X1346" t="s">
        <v>1755</v>
      </c>
    </row>
    <row r="1347" spans="1:24" x14ac:dyDescent="0.3">
      <c r="A1347" t="s">
        <v>3154</v>
      </c>
      <c r="B1347" s="2">
        <v>45544</v>
      </c>
      <c r="C1347" t="s">
        <v>159</v>
      </c>
      <c r="D1347" t="s">
        <v>1657</v>
      </c>
      <c r="E1347" t="s">
        <v>1787</v>
      </c>
      <c r="F1347" s="4">
        <v>3</v>
      </c>
      <c r="G1347">
        <v>841.37</v>
      </c>
      <c r="H1347">
        <v>0.28999999999999998</v>
      </c>
      <c r="I1347" t="s">
        <v>1809</v>
      </c>
      <c r="J1347">
        <v>1792.1180999999999</v>
      </c>
      <c r="K1347" t="s">
        <v>160</v>
      </c>
      <c r="L1347">
        <v>19</v>
      </c>
      <c r="M1347" t="s">
        <v>9</v>
      </c>
      <c r="N1347" t="s">
        <v>161</v>
      </c>
      <c r="O1347" t="s">
        <v>162</v>
      </c>
      <c r="P1347" t="s">
        <v>12</v>
      </c>
      <c r="Q1347" t="s">
        <v>19</v>
      </c>
      <c r="R1347" t="s">
        <v>3895</v>
      </c>
      <c r="S1347" t="s">
        <v>1541</v>
      </c>
      <c r="T1347" t="s">
        <v>3822</v>
      </c>
      <c r="U1347" t="s">
        <v>1658</v>
      </c>
      <c r="V1347" t="s">
        <v>1741</v>
      </c>
      <c r="W1347" t="s">
        <v>1742</v>
      </c>
      <c r="X1347" t="s">
        <v>1739</v>
      </c>
    </row>
    <row r="1348" spans="1:24" x14ac:dyDescent="0.3">
      <c r="A1348" t="s">
        <v>3155</v>
      </c>
      <c r="B1348" s="2">
        <v>45249</v>
      </c>
      <c r="C1348" t="s">
        <v>826</v>
      </c>
      <c r="D1348" t="s">
        <v>1627</v>
      </c>
      <c r="E1348" t="s">
        <v>1769</v>
      </c>
      <c r="F1348" s="4">
        <v>2</v>
      </c>
      <c r="G1348">
        <v>636.51</v>
      </c>
      <c r="H1348">
        <v>0.25</v>
      </c>
      <c r="I1348" t="s">
        <v>1807</v>
      </c>
      <c r="J1348">
        <v>954.76499999999999</v>
      </c>
      <c r="K1348" t="s">
        <v>827</v>
      </c>
      <c r="L1348">
        <v>60</v>
      </c>
      <c r="M1348" t="s">
        <v>16</v>
      </c>
      <c r="N1348" t="s">
        <v>828</v>
      </c>
      <c r="O1348" t="s">
        <v>35</v>
      </c>
      <c r="P1348" t="s">
        <v>12</v>
      </c>
      <c r="Q1348" t="s">
        <v>31</v>
      </c>
      <c r="R1348" t="s">
        <v>3879</v>
      </c>
      <c r="S1348" t="s">
        <v>1546</v>
      </c>
      <c r="T1348" t="s">
        <v>3820</v>
      </c>
      <c r="U1348" t="s">
        <v>1628</v>
      </c>
      <c r="V1348" t="s">
        <v>1770</v>
      </c>
      <c r="W1348" t="s">
        <v>1746</v>
      </c>
      <c r="X1348" t="s">
        <v>1739</v>
      </c>
    </row>
    <row r="1349" spans="1:24" x14ac:dyDescent="0.3">
      <c r="A1349" t="s">
        <v>3156</v>
      </c>
      <c r="B1349" s="2">
        <v>45659</v>
      </c>
      <c r="C1349" t="s">
        <v>324</v>
      </c>
      <c r="D1349" t="s">
        <v>1621</v>
      </c>
      <c r="E1349" t="s">
        <v>1765</v>
      </c>
      <c r="F1349" s="4">
        <v>2</v>
      </c>
      <c r="G1349">
        <v>732.37</v>
      </c>
      <c r="H1349">
        <v>0.22</v>
      </c>
      <c r="I1349" t="s">
        <v>1812</v>
      </c>
      <c r="J1349">
        <v>1142.4972</v>
      </c>
      <c r="K1349" t="s">
        <v>325</v>
      </c>
      <c r="L1349">
        <v>44</v>
      </c>
      <c r="M1349" t="s">
        <v>16</v>
      </c>
      <c r="N1349" t="s">
        <v>326</v>
      </c>
      <c r="O1349" t="s">
        <v>133</v>
      </c>
      <c r="P1349" t="s">
        <v>12</v>
      </c>
      <c r="Q1349" t="s">
        <v>31</v>
      </c>
      <c r="R1349" t="s">
        <v>3875</v>
      </c>
      <c r="S1349" t="s">
        <v>1549</v>
      </c>
      <c r="T1349" t="s">
        <v>3859</v>
      </c>
      <c r="U1349" t="s">
        <v>1622</v>
      </c>
      <c r="V1349" t="s">
        <v>1766</v>
      </c>
      <c r="W1349" t="s">
        <v>1767</v>
      </c>
      <c r="X1349" t="s">
        <v>1755</v>
      </c>
    </row>
    <row r="1350" spans="1:24" x14ac:dyDescent="0.3">
      <c r="A1350" t="s">
        <v>3157</v>
      </c>
      <c r="B1350" s="2">
        <v>45927</v>
      </c>
      <c r="C1350" t="s">
        <v>542</v>
      </c>
      <c r="D1350" t="s">
        <v>1639</v>
      </c>
      <c r="E1350" t="s">
        <v>1787</v>
      </c>
      <c r="F1350" s="4">
        <v>3</v>
      </c>
      <c r="G1350">
        <v>183.44</v>
      </c>
      <c r="H1350">
        <v>0.28000000000000003</v>
      </c>
      <c r="I1350" t="s">
        <v>1812</v>
      </c>
      <c r="J1350">
        <v>396.23039999999992</v>
      </c>
      <c r="K1350" t="s">
        <v>543</v>
      </c>
      <c r="L1350">
        <v>47</v>
      </c>
      <c r="M1350" t="s">
        <v>16</v>
      </c>
      <c r="N1350" t="s">
        <v>544</v>
      </c>
      <c r="O1350" t="s">
        <v>81</v>
      </c>
      <c r="P1350" t="s">
        <v>12</v>
      </c>
      <c r="Q1350" t="s">
        <v>31</v>
      </c>
      <c r="R1350" t="s">
        <v>3886</v>
      </c>
      <c r="S1350" t="s">
        <v>1549</v>
      </c>
      <c r="T1350" t="s">
        <v>3820</v>
      </c>
      <c r="U1350" t="s">
        <v>1640</v>
      </c>
      <c r="V1350" t="s">
        <v>1741</v>
      </c>
      <c r="W1350" t="s">
        <v>1742</v>
      </c>
      <c r="X1350" t="s">
        <v>1739</v>
      </c>
    </row>
    <row r="1351" spans="1:24" x14ac:dyDescent="0.3">
      <c r="A1351" t="s">
        <v>3158</v>
      </c>
      <c r="B1351" s="2">
        <v>45373</v>
      </c>
      <c r="C1351" t="s">
        <v>238</v>
      </c>
      <c r="D1351" t="s">
        <v>1553</v>
      </c>
      <c r="E1351" t="s">
        <v>1780</v>
      </c>
      <c r="F1351" s="4">
        <v>4</v>
      </c>
      <c r="G1351">
        <v>898.58</v>
      </c>
      <c r="H1351">
        <v>0.16</v>
      </c>
      <c r="I1351" t="s">
        <v>1809</v>
      </c>
      <c r="J1351">
        <v>3019.2287999999999</v>
      </c>
      <c r="K1351" t="s">
        <v>239</v>
      </c>
      <c r="L1351">
        <v>27</v>
      </c>
      <c r="M1351" t="s">
        <v>16</v>
      </c>
      <c r="N1351" t="s">
        <v>240</v>
      </c>
      <c r="O1351" t="s">
        <v>181</v>
      </c>
      <c r="P1351" t="s">
        <v>12</v>
      </c>
      <c r="Q1351" t="s">
        <v>31</v>
      </c>
      <c r="R1351" t="s">
        <v>3831</v>
      </c>
      <c r="S1351" t="s">
        <v>1546</v>
      </c>
      <c r="T1351" t="s">
        <v>3820</v>
      </c>
      <c r="U1351" t="s">
        <v>1554</v>
      </c>
      <c r="V1351" t="s">
        <v>1741</v>
      </c>
      <c r="W1351" t="s">
        <v>1742</v>
      </c>
      <c r="X1351" t="s">
        <v>1739</v>
      </c>
    </row>
    <row r="1352" spans="1:24" x14ac:dyDescent="0.3">
      <c r="A1352" t="s">
        <v>3159</v>
      </c>
      <c r="B1352" s="2">
        <v>45529</v>
      </c>
      <c r="C1352" t="s">
        <v>1204</v>
      </c>
      <c r="D1352" t="s">
        <v>1577</v>
      </c>
      <c r="E1352" t="s">
        <v>1744</v>
      </c>
      <c r="F1352" s="4">
        <v>3</v>
      </c>
      <c r="G1352">
        <v>152.41</v>
      </c>
      <c r="H1352">
        <v>0.25</v>
      </c>
      <c r="I1352" t="s">
        <v>1807</v>
      </c>
      <c r="J1352">
        <v>342.92250000000001</v>
      </c>
      <c r="K1352" t="s">
        <v>1205</v>
      </c>
      <c r="L1352">
        <v>40</v>
      </c>
      <c r="M1352" t="s">
        <v>16</v>
      </c>
      <c r="N1352" t="s">
        <v>1206</v>
      </c>
      <c r="O1352" t="s">
        <v>288</v>
      </c>
      <c r="P1352" t="s">
        <v>12</v>
      </c>
      <c r="Q1352" t="s">
        <v>31</v>
      </c>
      <c r="R1352" t="s">
        <v>3849</v>
      </c>
      <c r="S1352" t="s">
        <v>1530</v>
      </c>
      <c r="T1352" t="s">
        <v>3813</v>
      </c>
      <c r="U1352" t="s">
        <v>1578</v>
      </c>
      <c r="V1352" t="s">
        <v>1745</v>
      </c>
      <c r="W1352" t="s">
        <v>1746</v>
      </c>
      <c r="X1352" t="s">
        <v>1748</v>
      </c>
    </row>
    <row r="1353" spans="1:24" x14ac:dyDescent="0.3">
      <c r="A1353" t="s">
        <v>3160</v>
      </c>
      <c r="B1353" s="2">
        <v>45872</v>
      </c>
      <c r="C1353" t="s">
        <v>716</v>
      </c>
      <c r="D1353" t="s">
        <v>1715</v>
      </c>
      <c r="E1353" t="s">
        <v>1782</v>
      </c>
      <c r="F1353" s="4">
        <v>3</v>
      </c>
      <c r="G1353">
        <v>972.58</v>
      </c>
      <c r="H1353">
        <v>0.28000000000000003</v>
      </c>
      <c r="I1353" t="s">
        <v>1812</v>
      </c>
      <c r="J1353">
        <v>2100.7728000000002</v>
      </c>
      <c r="K1353" t="s">
        <v>717</v>
      </c>
      <c r="L1353">
        <v>29</v>
      </c>
      <c r="M1353" t="s">
        <v>9</v>
      </c>
      <c r="N1353" t="s">
        <v>3958</v>
      </c>
      <c r="O1353" t="s">
        <v>264</v>
      </c>
      <c r="P1353" t="s">
        <v>12</v>
      </c>
      <c r="Q1353" t="s">
        <v>19</v>
      </c>
      <c r="R1353" t="s">
        <v>3925</v>
      </c>
      <c r="S1353" t="s">
        <v>1527</v>
      </c>
      <c r="T1353" t="s">
        <v>3838</v>
      </c>
      <c r="U1353" t="s">
        <v>1716</v>
      </c>
      <c r="V1353" t="s">
        <v>1741</v>
      </c>
      <c r="W1353" t="s">
        <v>1742</v>
      </c>
      <c r="X1353" t="s">
        <v>1739</v>
      </c>
    </row>
    <row r="1354" spans="1:24" x14ac:dyDescent="0.3">
      <c r="A1354" t="s">
        <v>3161</v>
      </c>
      <c r="B1354" s="2">
        <v>45267</v>
      </c>
      <c r="C1354" t="s">
        <v>1421</v>
      </c>
      <c r="D1354" t="s">
        <v>1669</v>
      </c>
      <c r="E1354" t="s">
        <v>1775</v>
      </c>
      <c r="F1354" s="4">
        <v>4</v>
      </c>
      <c r="G1354">
        <v>136.4</v>
      </c>
      <c r="H1354">
        <v>0.04</v>
      </c>
      <c r="I1354" t="s">
        <v>1812</v>
      </c>
      <c r="J1354">
        <v>523.77599999999995</v>
      </c>
      <c r="K1354" t="s">
        <v>1422</v>
      </c>
      <c r="L1354">
        <v>63</v>
      </c>
      <c r="M1354" t="s">
        <v>16</v>
      </c>
      <c r="N1354" t="s">
        <v>1423</v>
      </c>
      <c r="O1354" t="s">
        <v>198</v>
      </c>
      <c r="P1354" t="s">
        <v>12</v>
      </c>
      <c r="Q1354" t="s">
        <v>31</v>
      </c>
      <c r="R1354" t="s">
        <v>3902</v>
      </c>
      <c r="S1354" t="s">
        <v>1530</v>
      </c>
      <c r="T1354" t="s">
        <v>3818</v>
      </c>
      <c r="U1354" t="s">
        <v>1670</v>
      </c>
      <c r="V1354" t="s">
        <v>1741</v>
      </c>
      <c r="W1354" t="s">
        <v>1742</v>
      </c>
      <c r="X1354" t="s">
        <v>1739</v>
      </c>
    </row>
    <row r="1355" spans="1:24" x14ac:dyDescent="0.3">
      <c r="A1355" t="s">
        <v>3162</v>
      </c>
      <c r="B1355" s="2">
        <v>45894</v>
      </c>
      <c r="C1355" t="s">
        <v>1232</v>
      </c>
      <c r="D1355" t="s">
        <v>1719</v>
      </c>
      <c r="E1355" t="s">
        <v>1784</v>
      </c>
      <c r="F1355" s="4">
        <v>1</v>
      </c>
      <c r="G1355">
        <v>509.63</v>
      </c>
      <c r="H1355">
        <v>0.27</v>
      </c>
      <c r="I1355" t="s">
        <v>1812</v>
      </c>
      <c r="J1355">
        <v>372.0299</v>
      </c>
      <c r="K1355" t="s">
        <v>1233</v>
      </c>
      <c r="L1355">
        <v>51</v>
      </c>
      <c r="M1355" t="s">
        <v>16</v>
      </c>
      <c r="N1355" t="s">
        <v>1234</v>
      </c>
      <c r="O1355" t="s">
        <v>96</v>
      </c>
      <c r="P1355" t="s">
        <v>12</v>
      </c>
      <c r="Q1355" t="s">
        <v>19</v>
      </c>
      <c r="R1355" t="s">
        <v>3927</v>
      </c>
      <c r="S1355" t="s">
        <v>1541</v>
      </c>
      <c r="T1355" t="s">
        <v>3822</v>
      </c>
      <c r="U1355" t="s">
        <v>1720</v>
      </c>
      <c r="V1355" t="s">
        <v>1741</v>
      </c>
      <c r="W1355" t="s">
        <v>1742</v>
      </c>
      <c r="X1355" t="s">
        <v>1739</v>
      </c>
    </row>
    <row r="1356" spans="1:24" x14ac:dyDescent="0.3">
      <c r="A1356" t="s">
        <v>3163</v>
      </c>
      <c r="B1356" s="2">
        <v>45331</v>
      </c>
      <c r="C1356" t="s">
        <v>23</v>
      </c>
      <c r="D1356" t="s">
        <v>1725</v>
      </c>
      <c r="E1356" t="s">
        <v>1749</v>
      </c>
      <c r="F1356" s="4">
        <v>4</v>
      </c>
      <c r="G1356">
        <v>360.28</v>
      </c>
      <c r="H1356">
        <v>0.09</v>
      </c>
      <c r="I1356" t="s">
        <v>1812</v>
      </c>
      <c r="J1356">
        <v>1311.4192</v>
      </c>
      <c r="K1356" t="s">
        <v>3934</v>
      </c>
      <c r="L1356">
        <v>64</v>
      </c>
      <c r="M1356" t="s">
        <v>16</v>
      </c>
      <c r="N1356" t="s">
        <v>24</v>
      </c>
      <c r="O1356" t="s">
        <v>25</v>
      </c>
      <c r="P1356" t="s">
        <v>12</v>
      </c>
      <c r="Q1356" t="s">
        <v>26</v>
      </c>
      <c r="R1356" t="s">
        <v>3930</v>
      </c>
      <c r="S1356" t="s">
        <v>1549</v>
      </c>
      <c r="T1356" t="s">
        <v>3859</v>
      </c>
      <c r="U1356" t="s">
        <v>1726</v>
      </c>
      <c r="V1356" t="s">
        <v>1750</v>
      </c>
      <c r="W1356" t="s">
        <v>1742</v>
      </c>
      <c r="X1356" t="s">
        <v>1748</v>
      </c>
    </row>
    <row r="1357" spans="1:24" x14ac:dyDescent="0.3">
      <c r="A1357" t="s">
        <v>3164</v>
      </c>
      <c r="B1357" s="2">
        <v>45910</v>
      </c>
      <c r="C1357" t="s">
        <v>289</v>
      </c>
      <c r="D1357" t="s">
        <v>1709</v>
      </c>
      <c r="E1357" t="s">
        <v>1784</v>
      </c>
      <c r="F1357" s="4">
        <v>3</v>
      </c>
      <c r="G1357">
        <v>882.05</v>
      </c>
      <c r="H1357">
        <v>0.06</v>
      </c>
      <c r="I1357" t="s">
        <v>1809</v>
      </c>
      <c r="J1357">
        <v>2487.3809999999989</v>
      </c>
      <c r="K1357" t="s">
        <v>290</v>
      </c>
      <c r="L1357">
        <v>34</v>
      </c>
      <c r="M1357" t="s">
        <v>16</v>
      </c>
      <c r="N1357" t="s">
        <v>291</v>
      </c>
      <c r="O1357" t="s">
        <v>230</v>
      </c>
      <c r="P1357" t="s">
        <v>12</v>
      </c>
      <c r="Q1357" t="s">
        <v>26</v>
      </c>
      <c r="R1357" t="s">
        <v>3922</v>
      </c>
      <c r="S1357" t="s">
        <v>1541</v>
      </c>
      <c r="T1357" t="s">
        <v>3878</v>
      </c>
      <c r="U1357" t="s">
        <v>1710</v>
      </c>
      <c r="V1357" t="s">
        <v>1741</v>
      </c>
      <c r="W1357" t="s">
        <v>1742</v>
      </c>
      <c r="X1357" t="s">
        <v>1739</v>
      </c>
    </row>
    <row r="1358" spans="1:24" x14ac:dyDescent="0.3">
      <c r="A1358" t="s">
        <v>3165</v>
      </c>
      <c r="B1358" s="2">
        <v>45564</v>
      </c>
      <c r="C1358" t="s">
        <v>634</v>
      </c>
      <c r="D1358" t="s">
        <v>1689</v>
      </c>
      <c r="E1358" t="s">
        <v>1765</v>
      </c>
      <c r="F1358" s="4">
        <v>3</v>
      </c>
      <c r="G1358">
        <v>141.54</v>
      </c>
      <c r="H1358">
        <v>0.12</v>
      </c>
      <c r="I1358" t="s">
        <v>1809</v>
      </c>
      <c r="J1358">
        <v>373.66559999999998</v>
      </c>
      <c r="K1358" t="s">
        <v>635</v>
      </c>
      <c r="L1358">
        <v>18</v>
      </c>
      <c r="M1358" t="s">
        <v>16</v>
      </c>
      <c r="N1358" t="s">
        <v>636</v>
      </c>
      <c r="O1358" t="s">
        <v>133</v>
      </c>
      <c r="P1358" t="s">
        <v>12</v>
      </c>
      <c r="Q1358" t="s">
        <v>31</v>
      </c>
      <c r="R1358" t="s">
        <v>3912</v>
      </c>
      <c r="S1358" t="s">
        <v>1527</v>
      </c>
      <c r="T1358" t="s">
        <v>3824</v>
      </c>
      <c r="U1358" t="s">
        <v>1690</v>
      </c>
      <c r="V1358" t="s">
        <v>1766</v>
      </c>
      <c r="W1358" t="s">
        <v>1767</v>
      </c>
      <c r="X1358" t="s">
        <v>1755</v>
      </c>
    </row>
    <row r="1359" spans="1:24" x14ac:dyDescent="0.3">
      <c r="A1359" t="s">
        <v>3166</v>
      </c>
      <c r="B1359" s="2">
        <v>45461</v>
      </c>
      <c r="C1359" t="s">
        <v>167</v>
      </c>
      <c r="D1359" t="s">
        <v>1561</v>
      </c>
      <c r="E1359" t="s">
        <v>1752</v>
      </c>
      <c r="F1359" s="4">
        <v>3</v>
      </c>
      <c r="G1359">
        <v>83.5</v>
      </c>
      <c r="H1359">
        <v>0.23</v>
      </c>
      <c r="I1359" t="s">
        <v>1812</v>
      </c>
      <c r="J1359">
        <v>192.88499999999999</v>
      </c>
      <c r="K1359" t="s">
        <v>168</v>
      </c>
      <c r="L1359">
        <v>34</v>
      </c>
      <c r="M1359" t="s">
        <v>9</v>
      </c>
      <c r="N1359" t="s">
        <v>169</v>
      </c>
      <c r="O1359" t="s">
        <v>170</v>
      </c>
      <c r="P1359" t="s">
        <v>12</v>
      </c>
      <c r="Q1359" t="s">
        <v>13</v>
      </c>
      <c r="R1359" t="s">
        <v>3837</v>
      </c>
      <c r="S1359" t="s">
        <v>1546</v>
      </c>
      <c r="T1359" t="s">
        <v>3838</v>
      </c>
      <c r="U1359" t="s">
        <v>1562</v>
      </c>
      <c r="V1359" t="s">
        <v>1753</v>
      </c>
      <c r="W1359" t="s">
        <v>1746</v>
      </c>
      <c r="X1359" t="s">
        <v>1755</v>
      </c>
    </row>
    <row r="1360" spans="1:24" x14ac:dyDescent="0.3">
      <c r="A1360" t="s">
        <v>3167</v>
      </c>
      <c r="B1360" s="2">
        <v>45258</v>
      </c>
      <c r="C1360" t="s">
        <v>420</v>
      </c>
      <c r="D1360" t="s">
        <v>1559</v>
      </c>
      <c r="E1360" t="s">
        <v>1759</v>
      </c>
      <c r="F1360" s="4">
        <v>2</v>
      </c>
      <c r="G1360">
        <v>629.73</v>
      </c>
      <c r="H1360">
        <v>7.0000000000000007E-2</v>
      </c>
      <c r="I1360" t="s">
        <v>1809</v>
      </c>
      <c r="J1360">
        <v>1171.2978000000001</v>
      </c>
      <c r="K1360" t="s">
        <v>421</v>
      </c>
      <c r="L1360">
        <v>26</v>
      </c>
      <c r="M1360" t="s">
        <v>9</v>
      </c>
      <c r="N1360" t="s">
        <v>422</v>
      </c>
      <c r="O1360" t="s">
        <v>264</v>
      </c>
      <c r="P1360" t="s">
        <v>12</v>
      </c>
      <c r="Q1360" t="s">
        <v>31</v>
      </c>
      <c r="R1360" t="s">
        <v>3835</v>
      </c>
      <c r="S1360" t="s">
        <v>1527</v>
      </c>
      <c r="T1360" t="s">
        <v>3836</v>
      </c>
      <c r="U1360" t="s">
        <v>1560</v>
      </c>
      <c r="V1360" t="s">
        <v>1760</v>
      </c>
      <c r="W1360" t="s">
        <v>1737</v>
      </c>
      <c r="X1360" t="s">
        <v>1755</v>
      </c>
    </row>
    <row r="1361" spans="1:24" x14ac:dyDescent="0.3">
      <c r="A1361" t="s">
        <v>3168</v>
      </c>
      <c r="B1361" s="2">
        <v>45228</v>
      </c>
      <c r="C1361" t="s">
        <v>59</v>
      </c>
      <c r="D1361" t="s">
        <v>1597</v>
      </c>
      <c r="E1361" t="s">
        <v>1759</v>
      </c>
      <c r="F1361" s="4">
        <v>2</v>
      </c>
      <c r="G1361">
        <v>159.93</v>
      </c>
      <c r="H1361">
        <v>0.2</v>
      </c>
      <c r="I1361" t="s">
        <v>1812</v>
      </c>
      <c r="J1361">
        <v>255.88800000000001</v>
      </c>
      <c r="K1361" t="s">
        <v>60</v>
      </c>
      <c r="L1361">
        <v>32</v>
      </c>
      <c r="M1361" t="s">
        <v>16</v>
      </c>
      <c r="N1361" t="s">
        <v>61</v>
      </c>
      <c r="O1361" t="s">
        <v>62</v>
      </c>
      <c r="P1361" t="s">
        <v>12</v>
      </c>
      <c r="Q1361" t="s">
        <v>19</v>
      </c>
      <c r="R1361" t="s">
        <v>3861</v>
      </c>
      <c r="S1361" t="s">
        <v>1527</v>
      </c>
      <c r="T1361" t="s">
        <v>3836</v>
      </c>
      <c r="U1361" t="s">
        <v>1598</v>
      </c>
      <c r="V1361" t="s">
        <v>1760</v>
      </c>
      <c r="W1361" t="s">
        <v>1737</v>
      </c>
      <c r="X1361" t="s">
        <v>1755</v>
      </c>
    </row>
    <row r="1362" spans="1:24" x14ac:dyDescent="0.3">
      <c r="A1362" t="s">
        <v>3169</v>
      </c>
      <c r="B1362" s="2">
        <v>45858</v>
      </c>
      <c r="C1362" t="s">
        <v>59</v>
      </c>
      <c r="D1362" t="s">
        <v>1621</v>
      </c>
      <c r="E1362" t="s">
        <v>1793</v>
      </c>
      <c r="F1362" s="4">
        <v>1</v>
      </c>
      <c r="G1362">
        <v>459.89</v>
      </c>
      <c r="H1362">
        <v>0.18</v>
      </c>
      <c r="I1362" t="s">
        <v>1812</v>
      </c>
      <c r="J1362">
        <v>377.10980000000001</v>
      </c>
      <c r="K1362" t="s">
        <v>60</v>
      </c>
      <c r="L1362">
        <v>32</v>
      </c>
      <c r="M1362" t="s">
        <v>16</v>
      </c>
      <c r="N1362" t="s">
        <v>61</v>
      </c>
      <c r="O1362" t="s">
        <v>62</v>
      </c>
      <c r="P1362" t="s">
        <v>12</v>
      </c>
      <c r="Q1362" t="s">
        <v>19</v>
      </c>
      <c r="R1362" t="s">
        <v>3875</v>
      </c>
      <c r="S1362" t="s">
        <v>1549</v>
      </c>
      <c r="T1362" t="s">
        <v>3859</v>
      </c>
      <c r="U1362" t="s">
        <v>1622</v>
      </c>
      <c r="V1362" t="s">
        <v>1741</v>
      </c>
      <c r="W1362" t="s">
        <v>1742</v>
      </c>
      <c r="X1362" t="s">
        <v>1739</v>
      </c>
    </row>
    <row r="1363" spans="1:24" x14ac:dyDescent="0.3">
      <c r="A1363" t="s">
        <v>3170</v>
      </c>
      <c r="B1363" s="2">
        <v>45532</v>
      </c>
      <c r="C1363" t="s">
        <v>613</v>
      </c>
      <c r="D1363" t="s">
        <v>1597</v>
      </c>
      <c r="E1363" t="s">
        <v>1796</v>
      </c>
      <c r="F1363" s="4">
        <v>4</v>
      </c>
      <c r="G1363">
        <v>885.57</v>
      </c>
      <c r="H1363">
        <v>0.27</v>
      </c>
      <c r="I1363" t="s">
        <v>1807</v>
      </c>
      <c r="J1363">
        <v>2585.8643999999999</v>
      </c>
      <c r="K1363" t="s">
        <v>614</v>
      </c>
      <c r="L1363">
        <v>29</v>
      </c>
      <c r="M1363" t="s">
        <v>9</v>
      </c>
      <c r="N1363" t="s">
        <v>615</v>
      </c>
      <c r="O1363" t="s">
        <v>230</v>
      </c>
      <c r="P1363" t="s">
        <v>12</v>
      </c>
      <c r="Q1363" t="s">
        <v>31</v>
      </c>
      <c r="R1363" t="s">
        <v>3861</v>
      </c>
      <c r="S1363" t="s">
        <v>1527</v>
      </c>
      <c r="T1363" t="s">
        <v>3836</v>
      </c>
      <c r="U1363" t="s">
        <v>1598</v>
      </c>
      <c r="V1363" t="s">
        <v>1741</v>
      </c>
      <c r="W1363" t="s">
        <v>1742</v>
      </c>
      <c r="X1363" t="s">
        <v>1739</v>
      </c>
    </row>
    <row r="1364" spans="1:24" x14ac:dyDescent="0.3">
      <c r="A1364" t="s">
        <v>3171</v>
      </c>
      <c r="B1364" s="2">
        <v>45454</v>
      </c>
      <c r="C1364" t="s">
        <v>1238</v>
      </c>
      <c r="D1364" t="s">
        <v>1639</v>
      </c>
      <c r="E1364" t="s">
        <v>1784</v>
      </c>
      <c r="F1364" s="4">
        <v>3</v>
      </c>
      <c r="G1364">
        <v>789.05</v>
      </c>
      <c r="H1364">
        <v>0</v>
      </c>
      <c r="I1364" t="s">
        <v>1809</v>
      </c>
      <c r="J1364">
        <v>2367.15</v>
      </c>
      <c r="K1364" t="s">
        <v>1239</v>
      </c>
      <c r="L1364">
        <v>34</v>
      </c>
      <c r="M1364" t="s">
        <v>9</v>
      </c>
      <c r="N1364" t="s">
        <v>80</v>
      </c>
      <c r="O1364" t="s">
        <v>309</v>
      </c>
      <c r="P1364" t="s">
        <v>12</v>
      </c>
      <c r="Q1364" t="s">
        <v>26</v>
      </c>
      <c r="R1364" t="s">
        <v>3886</v>
      </c>
      <c r="S1364" t="s">
        <v>1549</v>
      </c>
      <c r="T1364" t="s">
        <v>3820</v>
      </c>
      <c r="U1364" t="s">
        <v>1640</v>
      </c>
      <c r="V1364" t="s">
        <v>1741</v>
      </c>
      <c r="W1364" t="s">
        <v>1742</v>
      </c>
      <c r="X1364" t="s">
        <v>1739</v>
      </c>
    </row>
    <row r="1365" spans="1:24" x14ac:dyDescent="0.3">
      <c r="A1365" t="s">
        <v>3172</v>
      </c>
      <c r="B1365" s="2">
        <v>45244</v>
      </c>
      <c r="C1365" t="s">
        <v>512</v>
      </c>
      <c r="D1365" t="s">
        <v>1663</v>
      </c>
      <c r="E1365" t="s">
        <v>1735</v>
      </c>
      <c r="F1365" s="4">
        <v>1</v>
      </c>
      <c r="G1365">
        <v>570.52</v>
      </c>
      <c r="H1365">
        <v>0</v>
      </c>
      <c r="I1365" t="s">
        <v>1809</v>
      </c>
      <c r="J1365">
        <v>570.52</v>
      </c>
      <c r="K1365" t="s">
        <v>513</v>
      </c>
      <c r="L1365">
        <v>60</v>
      </c>
      <c r="M1365" t="s">
        <v>16</v>
      </c>
      <c r="N1365" t="s">
        <v>514</v>
      </c>
      <c r="O1365" t="s">
        <v>170</v>
      </c>
      <c r="P1365" t="s">
        <v>12</v>
      </c>
      <c r="Q1365" t="s">
        <v>13</v>
      </c>
      <c r="R1365" t="s">
        <v>3898</v>
      </c>
      <c r="S1365" t="s">
        <v>1541</v>
      </c>
      <c r="T1365" t="s">
        <v>3833</v>
      </c>
      <c r="U1365" t="s">
        <v>1664</v>
      </c>
      <c r="V1365" t="s">
        <v>1736</v>
      </c>
      <c r="W1365" t="s">
        <v>1737</v>
      </c>
      <c r="X1365" t="s">
        <v>1739</v>
      </c>
    </row>
    <row r="1366" spans="1:24" x14ac:dyDescent="0.3">
      <c r="A1366" t="s">
        <v>3173</v>
      </c>
      <c r="B1366" s="2">
        <v>45322</v>
      </c>
      <c r="C1366" t="s">
        <v>586</v>
      </c>
      <c r="D1366" t="s">
        <v>1585</v>
      </c>
      <c r="E1366" t="s">
        <v>1787</v>
      </c>
      <c r="F1366" s="4">
        <v>4</v>
      </c>
      <c r="G1366">
        <v>310.79000000000002</v>
      </c>
      <c r="H1366">
        <v>0.22</v>
      </c>
      <c r="I1366" t="s">
        <v>1812</v>
      </c>
      <c r="J1366">
        <v>969.66480000000013</v>
      </c>
      <c r="K1366" t="s">
        <v>587</v>
      </c>
      <c r="L1366">
        <v>38</v>
      </c>
      <c r="M1366" t="s">
        <v>9</v>
      </c>
      <c r="N1366" t="s">
        <v>588</v>
      </c>
      <c r="O1366" t="s">
        <v>117</v>
      </c>
      <c r="P1366" t="s">
        <v>12</v>
      </c>
      <c r="Q1366" t="s">
        <v>31</v>
      </c>
      <c r="R1366" t="s">
        <v>3854</v>
      </c>
      <c r="S1366" t="s">
        <v>1527</v>
      </c>
      <c r="T1366" t="s">
        <v>3836</v>
      </c>
      <c r="U1366" t="s">
        <v>1586</v>
      </c>
      <c r="V1366" t="s">
        <v>1741</v>
      </c>
      <c r="W1366" t="s">
        <v>1742</v>
      </c>
      <c r="X1366" t="s">
        <v>1739</v>
      </c>
    </row>
    <row r="1367" spans="1:24" x14ac:dyDescent="0.3">
      <c r="A1367" t="s">
        <v>3174</v>
      </c>
      <c r="B1367" s="2">
        <v>45757</v>
      </c>
      <c r="C1367" t="s">
        <v>211</v>
      </c>
      <c r="D1367" t="s">
        <v>1667</v>
      </c>
      <c r="E1367" t="s">
        <v>1790</v>
      </c>
      <c r="F1367" s="4">
        <v>4</v>
      </c>
      <c r="G1367">
        <v>255.67</v>
      </c>
      <c r="H1367">
        <v>0.17</v>
      </c>
      <c r="I1367" t="s">
        <v>1807</v>
      </c>
      <c r="J1367">
        <v>848.82439999999997</v>
      </c>
      <c r="K1367" t="s">
        <v>212</v>
      </c>
      <c r="L1367">
        <v>51</v>
      </c>
      <c r="M1367" t="s">
        <v>9</v>
      </c>
      <c r="N1367" t="s">
        <v>213</v>
      </c>
      <c r="O1367" t="s">
        <v>214</v>
      </c>
      <c r="P1367" t="s">
        <v>12</v>
      </c>
      <c r="Q1367" t="s">
        <v>19</v>
      </c>
      <c r="R1367" t="s">
        <v>3900</v>
      </c>
      <c r="S1367" t="s">
        <v>1527</v>
      </c>
      <c r="T1367" t="s">
        <v>3901</v>
      </c>
      <c r="U1367" t="s">
        <v>1668</v>
      </c>
      <c r="V1367" t="s">
        <v>1741</v>
      </c>
      <c r="W1367" t="s">
        <v>1742</v>
      </c>
      <c r="X1367" t="s">
        <v>1739</v>
      </c>
    </row>
    <row r="1368" spans="1:24" x14ac:dyDescent="0.3">
      <c r="A1368" t="s">
        <v>3175</v>
      </c>
      <c r="B1368" s="2">
        <v>45397</v>
      </c>
      <c r="C1368" t="s">
        <v>439</v>
      </c>
      <c r="D1368" t="s">
        <v>1585</v>
      </c>
      <c r="E1368" t="s">
        <v>1787</v>
      </c>
      <c r="F1368" s="4">
        <v>2</v>
      </c>
      <c r="G1368">
        <v>270.66000000000003</v>
      </c>
      <c r="H1368">
        <v>0.1</v>
      </c>
      <c r="I1368" t="s">
        <v>1812</v>
      </c>
      <c r="J1368">
        <v>487.18799999999999</v>
      </c>
      <c r="K1368" t="s">
        <v>440</v>
      </c>
      <c r="L1368">
        <v>29</v>
      </c>
      <c r="M1368" t="s">
        <v>9</v>
      </c>
      <c r="N1368" t="s">
        <v>441</v>
      </c>
      <c r="O1368" t="s">
        <v>39</v>
      </c>
      <c r="P1368" t="s">
        <v>12</v>
      </c>
      <c r="Q1368" t="s">
        <v>31</v>
      </c>
      <c r="R1368" t="s">
        <v>3854</v>
      </c>
      <c r="S1368" t="s">
        <v>1527</v>
      </c>
      <c r="T1368" t="s">
        <v>3836</v>
      </c>
      <c r="U1368" t="s">
        <v>1586</v>
      </c>
      <c r="V1368" t="s">
        <v>1741</v>
      </c>
      <c r="W1368" t="s">
        <v>1742</v>
      </c>
      <c r="X1368" t="s">
        <v>1739</v>
      </c>
    </row>
    <row r="1369" spans="1:24" x14ac:dyDescent="0.3">
      <c r="A1369" t="s">
        <v>3176</v>
      </c>
      <c r="B1369" s="2">
        <v>45914</v>
      </c>
      <c r="C1369" t="s">
        <v>936</v>
      </c>
      <c r="D1369" t="s">
        <v>1577</v>
      </c>
      <c r="E1369" t="s">
        <v>1790</v>
      </c>
      <c r="F1369" s="4">
        <v>3</v>
      </c>
      <c r="G1369">
        <v>373.35</v>
      </c>
      <c r="H1369">
        <v>0.2</v>
      </c>
      <c r="I1369" t="s">
        <v>1812</v>
      </c>
      <c r="J1369">
        <v>896.04000000000019</v>
      </c>
      <c r="K1369" t="s">
        <v>937</v>
      </c>
      <c r="L1369">
        <v>29</v>
      </c>
      <c r="M1369" t="s">
        <v>9</v>
      </c>
      <c r="N1369" t="s">
        <v>938</v>
      </c>
      <c r="O1369" t="s">
        <v>323</v>
      </c>
      <c r="P1369" t="s">
        <v>12</v>
      </c>
      <c r="Q1369" t="s">
        <v>19</v>
      </c>
      <c r="R1369" t="s">
        <v>3849</v>
      </c>
      <c r="S1369" t="s">
        <v>1530</v>
      </c>
      <c r="T1369" t="s">
        <v>3813</v>
      </c>
      <c r="U1369" t="s">
        <v>1578</v>
      </c>
      <c r="V1369" t="s">
        <v>1741</v>
      </c>
      <c r="W1369" t="s">
        <v>1742</v>
      </c>
      <c r="X1369" t="s">
        <v>1739</v>
      </c>
    </row>
    <row r="1370" spans="1:24" x14ac:dyDescent="0.3">
      <c r="A1370" t="s">
        <v>3177</v>
      </c>
      <c r="B1370" s="2">
        <v>45432</v>
      </c>
      <c r="C1370" t="s">
        <v>143</v>
      </c>
      <c r="D1370" t="s">
        <v>1649</v>
      </c>
      <c r="E1370" t="s">
        <v>1775</v>
      </c>
      <c r="F1370" s="4">
        <v>2</v>
      </c>
      <c r="G1370">
        <v>23.58</v>
      </c>
      <c r="H1370">
        <v>0.02</v>
      </c>
      <c r="I1370" t="s">
        <v>1809</v>
      </c>
      <c r="J1370">
        <v>46.216799999999999</v>
      </c>
      <c r="K1370" t="s">
        <v>144</v>
      </c>
      <c r="L1370">
        <v>27</v>
      </c>
      <c r="M1370" t="s">
        <v>16</v>
      </c>
      <c r="N1370" t="s">
        <v>145</v>
      </c>
      <c r="O1370" t="s">
        <v>81</v>
      </c>
      <c r="P1370" t="s">
        <v>12</v>
      </c>
      <c r="Q1370" t="s">
        <v>13</v>
      </c>
      <c r="R1370" t="s">
        <v>3891</v>
      </c>
      <c r="S1370" t="s">
        <v>1541</v>
      </c>
      <c r="T1370" t="s">
        <v>3833</v>
      </c>
      <c r="U1370" t="s">
        <v>1650</v>
      </c>
      <c r="V1370" t="s">
        <v>1741</v>
      </c>
      <c r="W1370" t="s">
        <v>1742</v>
      </c>
      <c r="X1370" t="s">
        <v>1739</v>
      </c>
    </row>
    <row r="1371" spans="1:24" x14ac:dyDescent="0.3">
      <c r="A1371" t="s">
        <v>3178</v>
      </c>
      <c r="B1371" s="2">
        <v>45798</v>
      </c>
      <c r="C1371" t="s">
        <v>32</v>
      </c>
      <c r="D1371" t="s">
        <v>1601</v>
      </c>
      <c r="E1371" t="s">
        <v>1762</v>
      </c>
      <c r="F1371" s="4">
        <v>4</v>
      </c>
      <c r="G1371">
        <v>185.67</v>
      </c>
      <c r="H1371">
        <v>0.21</v>
      </c>
      <c r="I1371" t="s">
        <v>1809</v>
      </c>
      <c r="J1371">
        <v>586.71719999999993</v>
      </c>
      <c r="K1371" t="s">
        <v>33</v>
      </c>
      <c r="L1371">
        <v>29</v>
      </c>
      <c r="M1371" t="s">
        <v>16</v>
      </c>
      <c r="N1371" t="s">
        <v>34</v>
      </c>
      <c r="O1371" t="s">
        <v>35</v>
      </c>
      <c r="P1371" t="s">
        <v>12</v>
      </c>
      <c r="Q1371" t="s">
        <v>26</v>
      </c>
      <c r="R1371" t="s">
        <v>3863</v>
      </c>
      <c r="S1371" t="s">
        <v>1527</v>
      </c>
      <c r="T1371" t="s">
        <v>3824</v>
      </c>
      <c r="U1371" t="s">
        <v>1602</v>
      </c>
      <c r="V1371" t="s">
        <v>1763</v>
      </c>
      <c r="W1371" t="s">
        <v>1746</v>
      </c>
      <c r="X1371" t="s">
        <v>1755</v>
      </c>
    </row>
    <row r="1372" spans="1:24" x14ac:dyDescent="0.3">
      <c r="A1372" t="s">
        <v>3179</v>
      </c>
      <c r="B1372" s="2">
        <v>45396</v>
      </c>
      <c r="C1372" t="s">
        <v>412</v>
      </c>
      <c r="D1372" t="s">
        <v>1567</v>
      </c>
      <c r="E1372" t="s">
        <v>1780</v>
      </c>
      <c r="F1372" s="4">
        <v>3</v>
      </c>
      <c r="G1372">
        <v>928.74</v>
      </c>
      <c r="H1372">
        <v>0.27</v>
      </c>
      <c r="I1372" t="s">
        <v>1809</v>
      </c>
      <c r="J1372">
        <v>2033.9405999999999</v>
      </c>
      <c r="K1372" t="s">
        <v>413</v>
      </c>
      <c r="L1372">
        <v>62</v>
      </c>
      <c r="M1372" t="s">
        <v>9</v>
      </c>
      <c r="N1372" t="s">
        <v>3955</v>
      </c>
      <c r="O1372" t="s">
        <v>51</v>
      </c>
      <c r="P1372" t="s">
        <v>12</v>
      </c>
      <c r="Q1372" t="s">
        <v>19</v>
      </c>
      <c r="R1372" t="s">
        <v>3842</v>
      </c>
      <c r="S1372" t="s">
        <v>1530</v>
      </c>
      <c r="T1372" t="s">
        <v>3818</v>
      </c>
      <c r="U1372" t="s">
        <v>1568</v>
      </c>
      <c r="V1372" t="s">
        <v>1741</v>
      </c>
      <c r="W1372" t="s">
        <v>1742</v>
      </c>
      <c r="X1372" t="s">
        <v>1739</v>
      </c>
    </row>
    <row r="1373" spans="1:24" x14ac:dyDescent="0.3">
      <c r="A1373" t="s">
        <v>3180</v>
      </c>
      <c r="B1373" s="2">
        <v>45235</v>
      </c>
      <c r="C1373" t="s">
        <v>121</v>
      </c>
      <c r="D1373" t="s">
        <v>1699</v>
      </c>
      <c r="E1373" t="s">
        <v>1756</v>
      </c>
      <c r="F1373" s="4">
        <v>3</v>
      </c>
      <c r="G1373">
        <v>923.38</v>
      </c>
      <c r="H1373">
        <v>7.0000000000000007E-2</v>
      </c>
      <c r="I1373" t="s">
        <v>1812</v>
      </c>
      <c r="J1373">
        <v>2576.2302</v>
      </c>
      <c r="K1373" t="s">
        <v>122</v>
      </c>
      <c r="L1373">
        <v>64</v>
      </c>
      <c r="M1373" t="s">
        <v>16</v>
      </c>
      <c r="N1373" t="s">
        <v>123</v>
      </c>
      <c r="O1373" t="s">
        <v>30</v>
      </c>
      <c r="P1373" t="s">
        <v>12</v>
      </c>
      <c r="Q1373" t="s">
        <v>31</v>
      </c>
      <c r="R1373" t="s">
        <v>3917</v>
      </c>
      <c r="S1373" t="s">
        <v>1527</v>
      </c>
      <c r="T1373" t="s">
        <v>3901</v>
      </c>
      <c r="U1373" t="s">
        <v>1700</v>
      </c>
      <c r="V1373" t="s">
        <v>1757</v>
      </c>
      <c r="W1373" t="s">
        <v>1742</v>
      </c>
      <c r="X1373" t="s">
        <v>1748</v>
      </c>
    </row>
    <row r="1374" spans="1:24" x14ac:dyDescent="0.3">
      <c r="A1374" t="s">
        <v>3181</v>
      </c>
      <c r="B1374" s="2">
        <v>45499</v>
      </c>
      <c r="C1374" t="s">
        <v>1409</v>
      </c>
      <c r="D1374" t="s">
        <v>1536</v>
      </c>
      <c r="E1374" t="s">
        <v>1769</v>
      </c>
      <c r="F1374" s="4">
        <v>2</v>
      </c>
      <c r="G1374">
        <v>409.26</v>
      </c>
      <c r="H1374">
        <v>0.1</v>
      </c>
      <c r="I1374" t="s">
        <v>1809</v>
      </c>
      <c r="J1374">
        <v>736.66800000000001</v>
      </c>
      <c r="K1374" t="s">
        <v>1410</v>
      </c>
      <c r="L1374">
        <v>36</v>
      </c>
      <c r="M1374" t="s">
        <v>16</v>
      </c>
      <c r="N1374" t="s">
        <v>1411</v>
      </c>
      <c r="O1374" t="s">
        <v>43</v>
      </c>
      <c r="P1374" t="s">
        <v>12</v>
      </c>
      <c r="Q1374" t="s">
        <v>31</v>
      </c>
      <c r="R1374" t="s">
        <v>3868</v>
      </c>
      <c r="S1374" t="s">
        <v>1546</v>
      </c>
      <c r="T1374" t="s">
        <v>3869</v>
      </c>
      <c r="U1374" t="s">
        <v>1610</v>
      </c>
      <c r="V1374" t="s">
        <v>1770</v>
      </c>
      <c r="W1374" t="s">
        <v>1746</v>
      </c>
      <c r="X1374" t="s">
        <v>1739</v>
      </c>
    </row>
    <row r="1375" spans="1:24" x14ac:dyDescent="0.3">
      <c r="A1375" t="s">
        <v>3182</v>
      </c>
      <c r="B1375" s="2">
        <v>45272</v>
      </c>
      <c r="C1375" t="s">
        <v>805</v>
      </c>
      <c r="D1375" t="s">
        <v>1577</v>
      </c>
      <c r="E1375" t="s">
        <v>1762</v>
      </c>
      <c r="F1375" s="4">
        <v>2</v>
      </c>
      <c r="G1375">
        <v>608.46</v>
      </c>
      <c r="H1375">
        <v>0.16</v>
      </c>
      <c r="I1375" t="s">
        <v>1807</v>
      </c>
      <c r="J1375">
        <v>1022.2128</v>
      </c>
      <c r="K1375" t="s">
        <v>806</v>
      </c>
      <c r="L1375">
        <v>21</v>
      </c>
      <c r="M1375" t="s">
        <v>9</v>
      </c>
      <c r="N1375" t="s">
        <v>807</v>
      </c>
      <c r="O1375" t="s">
        <v>162</v>
      </c>
      <c r="P1375" t="s">
        <v>12</v>
      </c>
      <c r="Q1375" t="s">
        <v>31</v>
      </c>
      <c r="R1375" t="s">
        <v>3849</v>
      </c>
      <c r="S1375" t="s">
        <v>1530</v>
      </c>
      <c r="T1375" t="s">
        <v>3813</v>
      </c>
      <c r="U1375" t="s">
        <v>1578</v>
      </c>
      <c r="V1375" t="s">
        <v>1763</v>
      </c>
      <c r="W1375" t="s">
        <v>1746</v>
      </c>
      <c r="X1375" t="s">
        <v>1755</v>
      </c>
    </row>
    <row r="1376" spans="1:24" x14ac:dyDescent="0.3">
      <c r="A1376" t="s">
        <v>3183</v>
      </c>
      <c r="B1376" s="2">
        <v>45785</v>
      </c>
      <c r="C1376" t="s">
        <v>684</v>
      </c>
      <c r="D1376" t="s">
        <v>1615</v>
      </c>
      <c r="E1376" t="s">
        <v>1796</v>
      </c>
      <c r="F1376" s="4">
        <v>4</v>
      </c>
      <c r="G1376">
        <v>150.47999999999999</v>
      </c>
      <c r="H1376">
        <v>0.09</v>
      </c>
      <c r="I1376" t="s">
        <v>1807</v>
      </c>
      <c r="J1376">
        <v>547.74720000000002</v>
      </c>
      <c r="K1376" t="s">
        <v>685</v>
      </c>
      <c r="L1376">
        <v>42</v>
      </c>
      <c r="M1376" t="s">
        <v>16</v>
      </c>
      <c r="N1376" t="s">
        <v>686</v>
      </c>
      <c r="O1376" t="s">
        <v>74</v>
      </c>
      <c r="P1376" t="s">
        <v>12</v>
      </c>
      <c r="Q1376" t="s">
        <v>19</v>
      </c>
      <c r="R1376" t="s">
        <v>3872</v>
      </c>
      <c r="S1376" t="s">
        <v>1546</v>
      </c>
      <c r="T1376" t="s">
        <v>3820</v>
      </c>
      <c r="U1376" t="s">
        <v>1616</v>
      </c>
      <c r="V1376" t="s">
        <v>1741</v>
      </c>
      <c r="W1376" t="s">
        <v>1742</v>
      </c>
      <c r="X1376" t="s">
        <v>1739</v>
      </c>
    </row>
    <row r="1377" spans="1:24" x14ac:dyDescent="0.3">
      <c r="A1377" t="s">
        <v>3184</v>
      </c>
      <c r="B1377" s="2">
        <v>45534</v>
      </c>
      <c r="C1377" t="s">
        <v>779</v>
      </c>
      <c r="D1377" t="s">
        <v>1667</v>
      </c>
      <c r="E1377" t="s">
        <v>1782</v>
      </c>
      <c r="F1377" s="4">
        <v>4</v>
      </c>
      <c r="G1377">
        <v>207.41</v>
      </c>
      <c r="H1377">
        <v>0.02</v>
      </c>
      <c r="I1377" t="s">
        <v>1807</v>
      </c>
      <c r="J1377">
        <v>813.04719999999998</v>
      </c>
      <c r="K1377" t="s">
        <v>780</v>
      </c>
      <c r="L1377">
        <v>58</v>
      </c>
      <c r="M1377" t="s">
        <v>9</v>
      </c>
      <c r="N1377" t="s">
        <v>781</v>
      </c>
      <c r="O1377" t="s">
        <v>155</v>
      </c>
      <c r="P1377" t="s">
        <v>12</v>
      </c>
      <c r="Q1377" t="s">
        <v>19</v>
      </c>
      <c r="R1377" t="s">
        <v>3900</v>
      </c>
      <c r="S1377" t="s">
        <v>1527</v>
      </c>
      <c r="T1377" t="s">
        <v>3901</v>
      </c>
      <c r="U1377" t="s">
        <v>1668</v>
      </c>
      <c r="V1377" t="s">
        <v>1741</v>
      </c>
      <c r="W1377" t="s">
        <v>1742</v>
      </c>
      <c r="X1377" t="s">
        <v>1739</v>
      </c>
    </row>
    <row r="1378" spans="1:24" x14ac:dyDescent="0.3">
      <c r="A1378" t="s">
        <v>3185</v>
      </c>
      <c r="B1378" s="2">
        <v>45803</v>
      </c>
      <c r="C1378" t="s">
        <v>565</v>
      </c>
      <c r="D1378" t="s">
        <v>1553</v>
      </c>
      <c r="E1378" t="s">
        <v>1759</v>
      </c>
      <c r="F1378" s="4">
        <v>1</v>
      </c>
      <c r="G1378">
        <v>56.59</v>
      </c>
      <c r="H1378">
        <v>0.15</v>
      </c>
      <c r="I1378" t="s">
        <v>1809</v>
      </c>
      <c r="J1378">
        <v>48.101500000000001</v>
      </c>
      <c r="K1378" t="s">
        <v>566</v>
      </c>
      <c r="L1378">
        <v>41</v>
      </c>
      <c r="M1378" t="s">
        <v>16</v>
      </c>
      <c r="N1378" t="s">
        <v>567</v>
      </c>
      <c r="O1378" t="s">
        <v>43</v>
      </c>
      <c r="P1378" t="s">
        <v>12</v>
      </c>
      <c r="Q1378" t="s">
        <v>26</v>
      </c>
      <c r="R1378" t="s">
        <v>3831</v>
      </c>
      <c r="S1378" t="s">
        <v>1546</v>
      </c>
      <c r="T1378" t="s">
        <v>3820</v>
      </c>
      <c r="U1378" t="s">
        <v>1554</v>
      </c>
      <c r="V1378" t="s">
        <v>1760</v>
      </c>
      <c r="W1378" t="s">
        <v>1737</v>
      </c>
      <c r="X1378" t="s">
        <v>1755</v>
      </c>
    </row>
    <row r="1379" spans="1:24" x14ac:dyDescent="0.3">
      <c r="A1379" t="s">
        <v>3186</v>
      </c>
      <c r="B1379" s="2">
        <v>45667</v>
      </c>
      <c r="C1379" t="s">
        <v>1246</v>
      </c>
      <c r="D1379" t="s">
        <v>1609</v>
      </c>
      <c r="E1379" t="s">
        <v>1752</v>
      </c>
      <c r="F1379" s="4">
        <v>4</v>
      </c>
      <c r="G1379">
        <v>995.4</v>
      </c>
      <c r="H1379">
        <v>0.27</v>
      </c>
      <c r="I1379" t="s">
        <v>1807</v>
      </c>
      <c r="J1379">
        <v>2906.5680000000002</v>
      </c>
      <c r="K1379" t="s">
        <v>1247</v>
      </c>
      <c r="L1379">
        <v>23</v>
      </c>
      <c r="M1379" t="s">
        <v>16</v>
      </c>
      <c r="N1379" t="s">
        <v>1248</v>
      </c>
      <c r="O1379" t="s">
        <v>323</v>
      </c>
      <c r="P1379" t="s">
        <v>12</v>
      </c>
      <c r="Q1379" t="s">
        <v>13</v>
      </c>
      <c r="R1379" t="s">
        <v>3868</v>
      </c>
      <c r="S1379" t="s">
        <v>1546</v>
      </c>
      <c r="T1379" t="s">
        <v>3869</v>
      </c>
      <c r="U1379" t="s">
        <v>1610</v>
      </c>
      <c r="V1379" t="s">
        <v>1753</v>
      </c>
      <c r="W1379" t="s">
        <v>1746</v>
      </c>
      <c r="X1379" t="s">
        <v>1755</v>
      </c>
    </row>
    <row r="1380" spans="1:24" x14ac:dyDescent="0.3">
      <c r="A1380" t="s">
        <v>3187</v>
      </c>
      <c r="B1380" s="2">
        <v>45656</v>
      </c>
      <c r="C1380" t="s">
        <v>235</v>
      </c>
      <c r="D1380" t="s">
        <v>1625</v>
      </c>
      <c r="E1380" t="s">
        <v>1777</v>
      </c>
      <c r="F1380" s="4">
        <v>2</v>
      </c>
      <c r="G1380">
        <v>591.33000000000004</v>
      </c>
      <c r="H1380">
        <v>0.24</v>
      </c>
      <c r="I1380" t="s">
        <v>1807</v>
      </c>
      <c r="J1380">
        <v>898.8216000000001</v>
      </c>
      <c r="K1380" t="s">
        <v>236</v>
      </c>
      <c r="L1380">
        <v>21</v>
      </c>
      <c r="M1380" t="s">
        <v>16</v>
      </c>
      <c r="N1380" t="s">
        <v>237</v>
      </c>
      <c r="O1380" t="s">
        <v>133</v>
      </c>
      <c r="P1380" t="s">
        <v>12</v>
      </c>
      <c r="Q1380" t="s">
        <v>13</v>
      </c>
      <c r="R1380" t="s">
        <v>3877</v>
      </c>
      <c r="S1380" t="s">
        <v>1541</v>
      </c>
      <c r="T1380" t="s">
        <v>3878</v>
      </c>
      <c r="U1380" t="s">
        <v>1626</v>
      </c>
      <c r="V1380" t="s">
        <v>1741</v>
      </c>
      <c r="W1380" t="s">
        <v>1742</v>
      </c>
      <c r="X1380" t="s">
        <v>1739</v>
      </c>
    </row>
    <row r="1381" spans="1:24" x14ac:dyDescent="0.3">
      <c r="A1381" t="s">
        <v>3188</v>
      </c>
      <c r="B1381" s="2">
        <v>45869</v>
      </c>
      <c r="C1381" t="s">
        <v>1168</v>
      </c>
      <c r="D1381" t="s">
        <v>1627</v>
      </c>
      <c r="E1381" t="s">
        <v>1790</v>
      </c>
      <c r="F1381" s="4">
        <v>2</v>
      </c>
      <c r="G1381">
        <v>204.89</v>
      </c>
      <c r="H1381">
        <v>0.24</v>
      </c>
      <c r="I1381" t="s">
        <v>1807</v>
      </c>
      <c r="J1381">
        <v>311.43279999999999</v>
      </c>
      <c r="K1381" t="s">
        <v>1169</v>
      </c>
      <c r="L1381">
        <v>34</v>
      </c>
      <c r="M1381" t="s">
        <v>16</v>
      </c>
      <c r="N1381" t="s">
        <v>1170</v>
      </c>
      <c r="O1381" t="s">
        <v>92</v>
      </c>
      <c r="P1381" t="s">
        <v>12</v>
      </c>
      <c r="Q1381" t="s">
        <v>26</v>
      </c>
      <c r="R1381" t="s">
        <v>3879</v>
      </c>
      <c r="S1381" t="s">
        <v>1546</v>
      </c>
      <c r="T1381" t="s">
        <v>3820</v>
      </c>
      <c r="U1381" t="s">
        <v>1628</v>
      </c>
      <c r="V1381" t="s">
        <v>1741</v>
      </c>
      <c r="W1381" t="s">
        <v>1742</v>
      </c>
      <c r="X1381" t="s">
        <v>1739</v>
      </c>
    </row>
    <row r="1382" spans="1:24" x14ac:dyDescent="0.3">
      <c r="A1382" t="s">
        <v>3189</v>
      </c>
      <c r="B1382" s="2">
        <v>45549</v>
      </c>
      <c r="C1382" t="s">
        <v>320</v>
      </c>
      <c r="D1382" t="s">
        <v>1661</v>
      </c>
      <c r="E1382" t="s">
        <v>1782</v>
      </c>
      <c r="F1382" s="4">
        <v>2</v>
      </c>
      <c r="G1382">
        <v>546.41</v>
      </c>
      <c r="H1382">
        <v>0.08</v>
      </c>
      <c r="I1382" t="s">
        <v>1812</v>
      </c>
      <c r="J1382">
        <v>1005.3944</v>
      </c>
      <c r="K1382" t="s">
        <v>321</v>
      </c>
      <c r="L1382">
        <v>29</v>
      </c>
      <c r="M1382" t="s">
        <v>16</v>
      </c>
      <c r="N1382" t="s">
        <v>322</v>
      </c>
      <c r="O1382" t="s">
        <v>323</v>
      </c>
      <c r="P1382" t="s">
        <v>12</v>
      </c>
      <c r="Q1382" t="s">
        <v>19</v>
      </c>
      <c r="R1382" t="s">
        <v>3897</v>
      </c>
      <c r="S1382" t="s">
        <v>1549</v>
      </c>
      <c r="T1382" t="s">
        <v>3828</v>
      </c>
      <c r="U1382" t="s">
        <v>1662</v>
      </c>
      <c r="V1382" t="s">
        <v>1741</v>
      </c>
      <c r="W1382" t="s">
        <v>1742</v>
      </c>
      <c r="X1382" t="s">
        <v>1739</v>
      </c>
    </row>
    <row r="1383" spans="1:24" x14ac:dyDescent="0.3">
      <c r="A1383" t="s">
        <v>3190</v>
      </c>
      <c r="B1383" s="2">
        <v>45409</v>
      </c>
      <c r="C1383" t="s">
        <v>208</v>
      </c>
      <c r="D1383" t="s">
        <v>1567</v>
      </c>
      <c r="E1383" t="s">
        <v>1777</v>
      </c>
      <c r="F1383" s="4">
        <v>4</v>
      </c>
      <c r="G1383">
        <v>455.49</v>
      </c>
      <c r="H1383">
        <v>0.17</v>
      </c>
      <c r="I1383" t="s">
        <v>1807</v>
      </c>
      <c r="J1383">
        <v>1512.2267999999999</v>
      </c>
      <c r="K1383" t="s">
        <v>209</v>
      </c>
      <c r="L1383">
        <v>43</v>
      </c>
      <c r="M1383" t="s">
        <v>16</v>
      </c>
      <c r="N1383" t="s">
        <v>210</v>
      </c>
      <c r="O1383" t="s">
        <v>51</v>
      </c>
      <c r="P1383" t="s">
        <v>12</v>
      </c>
      <c r="Q1383" t="s">
        <v>13</v>
      </c>
      <c r="R1383" t="s">
        <v>3842</v>
      </c>
      <c r="S1383" t="s">
        <v>1530</v>
      </c>
      <c r="T1383" t="s">
        <v>3818</v>
      </c>
      <c r="U1383" t="s">
        <v>1568</v>
      </c>
      <c r="V1383" t="s">
        <v>1741</v>
      </c>
      <c r="W1383" t="s">
        <v>1742</v>
      </c>
      <c r="X1383" t="s">
        <v>1739</v>
      </c>
    </row>
    <row r="1384" spans="1:24" x14ac:dyDescent="0.3">
      <c r="A1384" t="s">
        <v>3191</v>
      </c>
      <c r="B1384" s="2">
        <v>45374</v>
      </c>
      <c r="C1384" t="s">
        <v>1295</v>
      </c>
      <c r="D1384" t="s">
        <v>1551</v>
      </c>
      <c r="E1384" t="s">
        <v>1787</v>
      </c>
      <c r="F1384" s="4">
        <v>2</v>
      </c>
      <c r="G1384">
        <v>700.27</v>
      </c>
      <c r="H1384">
        <v>0.16</v>
      </c>
      <c r="I1384" t="s">
        <v>1807</v>
      </c>
      <c r="J1384">
        <v>1176.4536000000001</v>
      </c>
      <c r="K1384" t="s">
        <v>3950</v>
      </c>
      <c r="L1384">
        <v>35</v>
      </c>
      <c r="M1384" t="s">
        <v>9</v>
      </c>
      <c r="N1384" t="s">
        <v>1296</v>
      </c>
      <c r="O1384" t="s">
        <v>62</v>
      </c>
      <c r="P1384" t="s">
        <v>12</v>
      </c>
      <c r="Q1384" t="s">
        <v>19</v>
      </c>
      <c r="R1384" t="s">
        <v>3829</v>
      </c>
      <c r="S1384" t="s">
        <v>1527</v>
      </c>
      <c r="T1384" t="s">
        <v>3830</v>
      </c>
      <c r="U1384" t="s">
        <v>1552</v>
      </c>
      <c r="V1384" t="s">
        <v>1741</v>
      </c>
      <c r="W1384" t="s">
        <v>1742</v>
      </c>
      <c r="X1384" t="s">
        <v>1739</v>
      </c>
    </row>
    <row r="1385" spans="1:24" x14ac:dyDescent="0.3">
      <c r="A1385" t="s">
        <v>3192</v>
      </c>
      <c r="B1385" s="2">
        <v>45282</v>
      </c>
      <c r="C1385" t="s">
        <v>1072</v>
      </c>
      <c r="D1385" t="s">
        <v>1695</v>
      </c>
      <c r="E1385" t="s">
        <v>1790</v>
      </c>
      <c r="F1385" s="4">
        <v>2</v>
      </c>
      <c r="G1385">
        <v>160.21</v>
      </c>
      <c r="H1385">
        <v>0.09</v>
      </c>
      <c r="I1385" t="s">
        <v>1807</v>
      </c>
      <c r="J1385">
        <v>291.5822</v>
      </c>
      <c r="K1385" t="s">
        <v>1073</v>
      </c>
      <c r="L1385">
        <v>58</v>
      </c>
      <c r="M1385" t="s">
        <v>16</v>
      </c>
      <c r="N1385" t="s">
        <v>1074</v>
      </c>
      <c r="O1385" t="s">
        <v>96</v>
      </c>
      <c r="P1385" t="s">
        <v>12</v>
      </c>
      <c r="Q1385" t="s">
        <v>26</v>
      </c>
      <c r="R1385" t="s">
        <v>3915</v>
      </c>
      <c r="S1385" t="s">
        <v>1549</v>
      </c>
      <c r="T1385" t="s">
        <v>3828</v>
      </c>
      <c r="U1385" t="s">
        <v>1696</v>
      </c>
      <c r="V1385" t="s">
        <v>1741</v>
      </c>
      <c r="W1385" t="s">
        <v>1742</v>
      </c>
      <c r="X1385" t="s">
        <v>1739</v>
      </c>
    </row>
    <row r="1386" spans="1:24" x14ac:dyDescent="0.3">
      <c r="A1386" t="s">
        <v>3193</v>
      </c>
      <c r="B1386" s="2">
        <v>45742</v>
      </c>
      <c r="C1386" t="s">
        <v>127</v>
      </c>
      <c r="D1386" t="s">
        <v>1625</v>
      </c>
      <c r="E1386" t="s">
        <v>1775</v>
      </c>
      <c r="F1386" s="4">
        <v>1</v>
      </c>
      <c r="G1386">
        <v>713.63</v>
      </c>
      <c r="H1386">
        <v>0.28000000000000003</v>
      </c>
      <c r="I1386" t="s">
        <v>1812</v>
      </c>
      <c r="J1386">
        <v>513.81359999999995</v>
      </c>
      <c r="K1386" t="s">
        <v>128</v>
      </c>
      <c r="L1386">
        <v>48</v>
      </c>
      <c r="M1386" t="s">
        <v>16</v>
      </c>
      <c r="N1386" t="s">
        <v>129</v>
      </c>
      <c r="O1386" t="s">
        <v>35</v>
      </c>
      <c r="P1386" t="s">
        <v>12</v>
      </c>
      <c r="Q1386" t="s">
        <v>31</v>
      </c>
      <c r="R1386" t="s">
        <v>3877</v>
      </c>
      <c r="S1386" t="s">
        <v>1541</v>
      </c>
      <c r="T1386" t="s">
        <v>3878</v>
      </c>
      <c r="U1386" t="s">
        <v>1626</v>
      </c>
      <c r="V1386" t="s">
        <v>1741</v>
      </c>
      <c r="W1386" t="s">
        <v>1742</v>
      </c>
      <c r="X1386" t="s">
        <v>1739</v>
      </c>
    </row>
    <row r="1387" spans="1:24" x14ac:dyDescent="0.3">
      <c r="A1387" t="s">
        <v>3194</v>
      </c>
      <c r="B1387" s="2">
        <v>45447</v>
      </c>
      <c r="C1387" t="s">
        <v>726</v>
      </c>
      <c r="D1387" t="s">
        <v>1717</v>
      </c>
      <c r="E1387" t="s">
        <v>1762</v>
      </c>
      <c r="F1387" s="4">
        <v>2</v>
      </c>
      <c r="G1387">
        <v>224.69</v>
      </c>
      <c r="H1387">
        <v>0.2</v>
      </c>
      <c r="I1387" t="s">
        <v>1812</v>
      </c>
      <c r="J1387">
        <v>359.50400000000002</v>
      </c>
      <c r="K1387" t="s">
        <v>727</v>
      </c>
      <c r="L1387">
        <v>52</v>
      </c>
      <c r="M1387" t="s">
        <v>16</v>
      </c>
      <c r="N1387" t="s">
        <v>728</v>
      </c>
      <c r="O1387" t="s">
        <v>62</v>
      </c>
      <c r="P1387" t="s">
        <v>12</v>
      </c>
      <c r="Q1387" t="s">
        <v>13</v>
      </c>
      <c r="R1387" t="s">
        <v>3926</v>
      </c>
      <c r="S1387" t="s">
        <v>1546</v>
      </c>
      <c r="T1387" t="s">
        <v>3811</v>
      </c>
      <c r="U1387" t="s">
        <v>1718</v>
      </c>
      <c r="V1387" t="s">
        <v>1763</v>
      </c>
      <c r="W1387" t="s">
        <v>1746</v>
      </c>
      <c r="X1387" t="s">
        <v>1755</v>
      </c>
    </row>
    <row r="1388" spans="1:24" x14ac:dyDescent="0.3">
      <c r="A1388" t="s">
        <v>3195</v>
      </c>
      <c r="B1388" s="2">
        <v>45733</v>
      </c>
      <c r="C1388" t="s">
        <v>1384</v>
      </c>
      <c r="D1388" t="s">
        <v>1571</v>
      </c>
      <c r="E1388" t="s">
        <v>1782</v>
      </c>
      <c r="F1388" s="4">
        <v>2</v>
      </c>
      <c r="G1388">
        <v>740.57</v>
      </c>
      <c r="H1388">
        <v>0.06</v>
      </c>
      <c r="I1388" t="s">
        <v>1807</v>
      </c>
      <c r="J1388">
        <v>1392.2716</v>
      </c>
      <c r="K1388" t="s">
        <v>1385</v>
      </c>
      <c r="L1388">
        <v>60</v>
      </c>
      <c r="M1388" t="s">
        <v>9</v>
      </c>
      <c r="N1388" t="s">
        <v>1386</v>
      </c>
      <c r="O1388" t="s">
        <v>99</v>
      </c>
      <c r="P1388" t="s">
        <v>12</v>
      </c>
      <c r="Q1388" t="s">
        <v>19</v>
      </c>
      <c r="R1388" t="s">
        <v>3845</v>
      </c>
      <c r="S1388" t="s">
        <v>1549</v>
      </c>
      <c r="T1388" t="s">
        <v>3820</v>
      </c>
      <c r="U1388" t="s">
        <v>1572</v>
      </c>
      <c r="V1388" t="s">
        <v>1741</v>
      </c>
      <c r="W1388" t="s">
        <v>1742</v>
      </c>
      <c r="X1388" t="s">
        <v>1739</v>
      </c>
    </row>
    <row r="1389" spans="1:24" x14ac:dyDescent="0.3">
      <c r="A1389" t="s">
        <v>3196</v>
      </c>
      <c r="B1389" s="2">
        <v>45373</v>
      </c>
      <c r="C1389" t="s">
        <v>476</v>
      </c>
      <c r="D1389" t="s">
        <v>1553</v>
      </c>
      <c r="E1389" t="s">
        <v>1749</v>
      </c>
      <c r="F1389" s="4">
        <v>3</v>
      </c>
      <c r="G1389">
        <v>250.14</v>
      </c>
      <c r="H1389">
        <v>0.23</v>
      </c>
      <c r="I1389" t="s">
        <v>1809</v>
      </c>
      <c r="J1389">
        <v>577.82339999999999</v>
      </c>
      <c r="K1389" t="s">
        <v>477</v>
      </c>
      <c r="L1389">
        <v>46</v>
      </c>
      <c r="M1389" t="s">
        <v>9</v>
      </c>
      <c r="N1389" t="s">
        <v>478</v>
      </c>
      <c r="O1389" t="s">
        <v>66</v>
      </c>
      <c r="P1389" t="s">
        <v>12</v>
      </c>
      <c r="Q1389" t="s">
        <v>26</v>
      </c>
      <c r="R1389" t="s">
        <v>3831</v>
      </c>
      <c r="S1389" t="s">
        <v>1546</v>
      </c>
      <c r="T1389" t="s">
        <v>3820</v>
      </c>
      <c r="U1389" t="s">
        <v>1554</v>
      </c>
      <c r="V1389" t="s">
        <v>1750</v>
      </c>
      <c r="W1389" t="s">
        <v>1742</v>
      </c>
      <c r="X1389" t="s">
        <v>1748</v>
      </c>
    </row>
    <row r="1390" spans="1:24" x14ac:dyDescent="0.3">
      <c r="A1390" t="s">
        <v>3197</v>
      </c>
      <c r="B1390" s="2">
        <v>45655</v>
      </c>
      <c r="C1390" t="s">
        <v>89</v>
      </c>
      <c r="D1390" t="s">
        <v>1727</v>
      </c>
      <c r="E1390" t="s">
        <v>1796</v>
      </c>
      <c r="F1390" s="4">
        <v>3</v>
      </c>
      <c r="G1390">
        <v>34.97</v>
      </c>
      <c r="H1390">
        <v>0.01</v>
      </c>
      <c r="I1390" t="s">
        <v>1807</v>
      </c>
      <c r="J1390">
        <v>103.8609</v>
      </c>
      <c r="K1390" t="s">
        <v>90</v>
      </c>
      <c r="L1390">
        <v>36</v>
      </c>
      <c r="M1390" t="s">
        <v>16</v>
      </c>
      <c r="N1390" t="s">
        <v>91</v>
      </c>
      <c r="O1390" t="s">
        <v>92</v>
      </c>
      <c r="P1390" t="s">
        <v>12</v>
      </c>
      <c r="Q1390" t="s">
        <v>31</v>
      </c>
      <c r="R1390" t="s">
        <v>3931</v>
      </c>
      <c r="S1390" t="s">
        <v>1546</v>
      </c>
      <c r="T1390" t="s">
        <v>3826</v>
      </c>
      <c r="U1390" t="s">
        <v>1728</v>
      </c>
      <c r="V1390" t="s">
        <v>1741</v>
      </c>
      <c r="W1390" t="s">
        <v>1742</v>
      </c>
      <c r="X1390" t="s">
        <v>1739</v>
      </c>
    </row>
    <row r="1391" spans="1:24" x14ac:dyDescent="0.3">
      <c r="A1391" t="s">
        <v>3198</v>
      </c>
      <c r="B1391" s="2">
        <v>45868</v>
      </c>
      <c r="C1391" t="s">
        <v>951</v>
      </c>
      <c r="D1391" t="s">
        <v>1615</v>
      </c>
      <c r="E1391" t="s">
        <v>1787</v>
      </c>
      <c r="F1391" s="4">
        <v>1</v>
      </c>
      <c r="G1391">
        <v>653.91</v>
      </c>
      <c r="H1391">
        <v>0.3</v>
      </c>
      <c r="I1391" t="s">
        <v>1809</v>
      </c>
      <c r="J1391">
        <v>457.73700000000002</v>
      </c>
      <c r="K1391" t="s">
        <v>3944</v>
      </c>
      <c r="L1391">
        <v>64</v>
      </c>
      <c r="M1391" t="s">
        <v>9</v>
      </c>
      <c r="N1391" t="s">
        <v>952</v>
      </c>
      <c r="O1391" t="s">
        <v>62</v>
      </c>
      <c r="P1391" t="s">
        <v>12</v>
      </c>
      <c r="Q1391" t="s">
        <v>31</v>
      </c>
      <c r="R1391" t="s">
        <v>3872</v>
      </c>
      <c r="S1391" t="s">
        <v>1546</v>
      </c>
      <c r="T1391" t="s">
        <v>3820</v>
      </c>
      <c r="U1391" t="s">
        <v>1616</v>
      </c>
      <c r="V1391" t="s">
        <v>1741</v>
      </c>
      <c r="W1391" t="s">
        <v>1742</v>
      </c>
      <c r="X1391" t="s">
        <v>1739</v>
      </c>
    </row>
    <row r="1392" spans="1:24" x14ac:dyDescent="0.3">
      <c r="A1392" t="s">
        <v>3199</v>
      </c>
      <c r="B1392" s="2">
        <v>45338</v>
      </c>
      <c r="C1392" t="s">
        <v>1123</v>
      </c>
      <c r="D1392" t="s">
        <v>1663</v>
      </c>
      <c r="E1392" t="s">
        <v>1749</v>
      </c>
      <c r="F1392" s="4">
        <v>1</v>
      </c>
      <c r="G1392">
        <v>997.87</v>
      </c>
      <c r="H1392">
        <v>0.24</v>
      </c>
      <c r="I1392" t="s">
        <v>1807</v>
      </c>
      <c r="J1392">
        <v>758.38120000000004</v>
      </c>
      <c r="K1392" t="s">
        <v>1124</v>
      </c>
      <c r="L1392">
        <v>58</v>
      </c>
      <c r="M1392" t="s">
        <v>9</v>
      </c>
      <c r="N1392" t="s">
        <v>1125</v>
      </c>
      <c r="O1392" t="s">
        <v>25</v>
      </c>
      <c r="P1392" t="s">
        <v>12</v>
      </c>
      <c r="Q1392" t="s">
        <v>26</v>
      </c>
      <c r="R1392" t="s">
        <v>3898</v>
      </c>
      <c r="S1392" t="s">
        <v>1541</v>
      </c>
      <c r="T1392" t="s">
        <v>3833</v>
      </c>
      <c r="U1392" t="s">
        <v>1664</v>
      </c>
      <c r="V1392" t="s">
        <v>1750</v>
      </c>
      <c r="W1392" t="s">
        <v>1742</v>
      </c>
      <c r="X1392" t="s">
        <v>1748</v>
      </c>
    </row>
    <row r="1393" spans="1:24" x14ac:dyDescent="0.3">
      <c r="A1393" t="s">
        <v>3200</v>
      </c>
      <c r="B1393" s="2">
        <v>45349</v>
      </c>
      <c r="C1393" t="s">
        <v>672</v>
      </c>
      <c r="D1393" t="s">
        <v>1709</v>
      </c>
      <c r="E1393" t="s">
        <v>1782</v>
      </c>
      <c r="F1393" s="4">
        <v>1</v>
      </c>
      <c r="G1393">
        <v>174.27</v>
      </c>
      <c r="H1393">
        <v>0.27</v>
      </c>
      <c r="I1393" t="s">
        <v>1812</v>
      </c>
      <c r="J1393">
        <v>127.2171</v>
      </c>
      <c r="K1393" t="s">
        <v>673</v>
      </c>
      <c r="L1393">
        <v>50</v>
      </c>
      <c r="M1393" t="s">
        <v>16</v>
      </c>
      <c r="N1393" t="s">
        <v>674</v>
      </c>
      <c r="O1393" t="s">
        <v>323</v>
      </c>
      <c r="P1393" t="s">
        <v>12</v>
      </c>
      <c r="Q1393" t="s">
        <v>19</v>
      </c>
      <c r="R1393" t="s">
        <v>3922</v>
      </c>
      <c r="S1393" t="s">
        <v>1541</v>
      </c>
      <c r="T1393" t="s">
        <v>3878</v>
      </c>
      <c r="U1393" t="s">
        <v>1710</v>
      </c>
      <c r="V1393" t="s">
        <v>1741</v>
      </c>
      <c r="W1393" t="s">
        <v>1742</v>
      </c>
      <c r="X1393" t="s">
        <v>1739</v>
      </c>
    </row>
    <row r="1394" spans="1:24" x14ac:dyDescent="0.3">
      <c r="A1394" t="s">
        <v>3201</v>
      </c>
      <c r="B1394" s="2">
        <v>45368</v>
      </c>
      <c r="C1394" t="s">
        <v>397</v>
      </c>
      <c r="D1394" t="s">
        <v>1629</v>
      </c>
      <c r="E1394" t="s">
        <v>1762</v>
      </c>
      <c r="F1394" s="4">
        <v>3</v>
      </c>
      <c r="G1394">
        <v>847.44</v>
      </c>
      <c r="H1394">
        <v>0.17</v>
      </c>
      <c r="I1394" t="s">
        <v>1807</v>
      </c>
      <c r="J1394">
        <v>2110.1255999999998</v>
      </c>
      <c r="K1394" t="s">
        <v>398</v>
      </c>
      <c r="L1394">
        <v>18</v>
      </c>
      <c r="M1394" t="s">
        <v>16</v>
      </c>
      <c r="N1394" t="s">
        <v>399</v>
      </c>
      <c r="O1394" t="s">
        <v>18</v>
      </c>
      <c r="P1394" t="s">
        <v>12</v>
      </c>
      <c r="Q1394" t="s">
        <v>19</v>
      </c>
      <c r="R1394" t="s">
        <v>3880</v>
      </c>
      <c r="S1394" t="s">
        <v>1541</v>
      </c>
      <c r="T1394" t="s">
        <v>3881</v>
      </c>
      <c r="U1394" t="s">
        <v>1630</v>
      </c>
      <c r="V1394" t="s">
        <v>1763</v>
      </c>
      <c r="W1394" t="s">
        <v>1746</v>
      </c>
      <c r="X1394" t="s">
        <v>1755</v>
      </c>
    </row>
    <row r="1395" spans="1:24" x14ac:dyDescent="0.3">
      <c r="A1395" t="s">
        <v>3202</v>
      </c>
      <c r="B1395" s="2">
        <v>45243</v>
      </c>
      <c r="C1395" t="s">
        <v>1312</v>
      </c>
      <c r="D1395" t="s">
        <v>1532</v>
      </c>
      <c r="E1395" t="s">
        <v>1744</v>
      </c>
      <c r="F1395" s="4">
        <v>1</v>
      </c>
      <c r="G1395">
        <v>493.45</v>
      </c>
      <c r="H1395">
        <v>0.09</v>
      </c>
      <c r="I1395" t="s">
        <v>1807</v>
      </c>
      <c r="J1395">
        <v>449.03949999999998</v>
      </c>
      <c r="K1395" t="s">
        <v>1313</v>
      </c>
      <c r="L1395">
        <v>43</v>
      </c>
      <c r="M1395" t="s">
        <v>9</v>
      </c>
      <c r="N1395" t="s">
        <v>1314</v>
      </c>
      <c r="O1395" t="s">
        <v>323</v>
      </c>
      <c r="P1395" t="s">
        <v>12</v>
      </c>
      <c r="Q1395" t="s">
        <v>26</v>
      </c>
      <c r="R1395" t="s">
        <v>3843</v>
      </c>
      <c r="S1395" t="s">
        <v>1549</v>
      </c>
      <c r="T1395" t="s">
        <v>3844</v>
      </c>
      <c r="U1395" t="s">
        <v>1570</v>
      </c>
      <c r="V1395" t="s">
        <v>1745</v>
      </c>
      <c r="W1395" t="s">
        <v>1746</v>
      </c>
      <c r="X1395" t="s">
        <v>1748</v>
      </c>
    </row>
    <row r="1396" spans="1:24" x14ac:dyDescent="0.3">
      <c r="A1396" t="s">
        <v>3203</v>
      </c>
      <c r="B1396" s="2">
        <v>45577</v>
      </c>
      <c r="C1396" t="s">
        <v>740</v>
      </c>
      <c r="D1396" t="s">
        <v>1655</v>
      </c>
      <c r="E1396" t="s">
        <v>1744</v>
      </c>
      <c r="F1396" s="4">
        <v>4</v>
      </c>
      <c r="G1396">
        <v>111.66</v>
      </c>
      <c r="H1396">
        <v>0.14000000000000001</v>
      </c>
      <c r="I1396" t="s">
        <v>1807</v>
      </c>
      <c r="J1396">
        <v>384.11040000000003</v>
      </c>
      <c r="K1396" t="s">
        <v>741</v>
      </c>
      <c r="L1396">
        <v>59</v>
      </c>
      <c r="M1396" t="s">
        <v>9</v>
      </c>
      <c r="N1396" t="s">
        <v>742</v>
      </c>
      <c r="O1396" t="s">
        <v>88</v>
      </c>
      <c r="P1396" t="s">
        <v>12</v>
      </c>
      <c r="Q1396" t="s">
        <v>19</v>
      </c>
      <c r="R1396" t="s">
        <v>3894</v>
      </c>
      <c r="S1396" t="s">
        <v>1546</v>
      </c>
      <c r="T1396" t="s">
        <v>3811</v>
      </c>
      <c r="U1396" t="s">
        <v>1656</v>
      </c>
      <c r="V1396" t="s">
        <v>1745</v>
      </c>
      <c r="W1396" t="s">
        <v>1746</v>
      </c>
      <c r="X1396" t="s">
        <v>1748</v>
      </c>
    </row>
    <row r="1397" spans="1:24" x14ac:dyDescent="0.3">
      <c r="A1397" t="s">
        <v>3204</v>
      </c>
      <c r="B1397" s="2">
        <v>45343</v>
      </c>
      <c r="C1397" t="s">
        <v>876</v>
      </c>
      <c r="D1397" t="s">
        <v>1711</v>
      </c>
      <c r="E1397" t="s">
        <v>1775</v>
      </c>
      <c r="F1397" s="4">
        <v>1</v>
      </c>
      <c r="G1397">
        <v>413.65</v>
      </c>
      <c r="H1397">
        <v>0.1</v>
      </c>
      <c r="I1397" t="s">
        <v>1812</v>
      </c>
      <c r="J1397">
        <v>372.28500000000003</v>
      </c>
      <c r="K1397" t="s">
        <v>877</v>
      </c>
      <c r="L1397">
        <v>21</v>
      </c>
      <c r="M1397" t="s">
        <v>16</v>
      </c>
      <c r="N1397" t="s">
        <v>878</v>
      </c>
      <c r="O1397" t="s">
        <v>214</v>
      </c>
      <c r="P1397" t="s">
        <v>12</v>
      </c>
      <c r="Q1397" t="s">
        <v>19</v>
      </c>
      <c r="R1397" t="s">
        <v>3923</v>
      </c>
      <c r="S1397" t="s">
        <v>1546</v>
      </c>
      <c r="T1397" t="s">
        <v>3820</v>
      </c>
      <c r="U1397" t="s">
        <v>1712</v>
      </c>
      <c r="V1397" t="s">
        <v>1741</v>
      </c>
      <c r="W1397" t="s">
        <v>1742</v>
      </c>
      <c r="X1397" t="s">
        <v>1739</v>
      </c>
    </row>
    <row r="1398" spans="1:24" x14ac:dyDescent="0.3">
      <c r="A1398" t="s">
        <v>3205</v>
      </c>
      <c r="B1398" s="2">
        <v>45744</v>
      </c>
      <c r="C1398" t="s">
        <v>1448</v>
      </c>
      <c r="D1398" t="s">
        <v>1709</v>
      </c>
      <c r="E1398" t="s">
        <v>1769</v>
      </c>
      <c r="F1398" s="4">
        <v>1</v>
      </c>
      <c r="G1398">
        <v>317.14999999999998</v>
      </c>
      <c r="H1398">
        <v>0.24</v>
      </c>
      <c r="I1398" t="s">
        <v>1812</v>
      </c>
      <c r="J1398">
        <v>241.03399999999999</v>
      </c>
      <c r="K1398" t="s">
        <v>1449</v>
      </c>
      <c r="L1398">
        <v>33</v>
      </c>
      <c r="M1398" t="s">
        <v>16</v>
      </c>
      <c r="N1398" t="s">
        <v>390</v>
      </c>
      <c r="O1398" t="s">
        <v>170</v>
      </c>
      <c r="P1398" t="s">
        <v>12</v>
      </c>
      <c r="Q1398" t="s">
        <v>19</v>
      </c>
      <c r="R1398" t="s">
        <v>3922</v>
      </c>
      <c r="S1398" t="s">
        <v>1541</v>
      </c>
      <c r="T1398" t="s">
        <v>3878</v>
      </c>
      <c r="U1398" t="s">
        <v>1710</v>
      </c>
      <c r="V1398" t="s">
        <v>1770</v>
      </c>
      <c r="W1398" t="s">
        <v>1746</v>
      </c>
      <c r="X1398" t="s">
        <v>1739</v>
      </c>
    </row>
    <row r="1399" spans="1:24" x14ac:dyDescent="0.3">
      <c r="A1399" t="s">
        <v>3206</v>
      </c>
      <c r="B1399" s="2">
        <v>45873</v>
      </c>
      <c r="C1399" t="s">
        <v>1112</v>
      </c>
      <c r="D1399" t="s">
        <v>1707</v>
      </c>
      <c r="E1399" t="s">
        <v>1740</v>
      </c>
      <c r="F1399" s="4">
        <v>3</v>
      </c>
      <c r="G1399">
        <v>642.94000000000005</v>
      </c>
      <c r="H1399">
        <v>0.05</v>
      </c>
      <c r="I1399" t="s">
        <v>1812</v>
      </c>
      <c r="J1399">
        <v>1832.3789999999999</v>
      </c>
      <c r="K1399" t="s">
        <v>1113</v>
      </c>
      <c r="L1399">
        <v>34</v>
      </c>
      <c r="M1399" t="s">
        <v>9</v>
      </c>
      <c r="N1399" t="s">
        <v>1114</v>
      </c>
      <c r="O1399" t="s">
        <v>62</v>
      </c>
      <c r="P1399" t="s">
        <v>12</v>
      </c>
      <c r="Q1399" t="s">
        <v>31</v>
      </c>
      <c r="R1399" t="s">
        <v>3921</v>
      </c>
      <c r="S1399" t="s">
        <v>1549</v>
      </c>
      <c r="T1399" t="s">
        <v>3820</v>
      </c>
      <c r="U1399" t="s">
        <v>1708</v>
      </c>
      <c r="V1399" t="s">
        <v>1741</v>
      </c>
      <c r="W1399" t="s">
        <v>1742</v>
      </c>
      <c r="X1399" t="s">
        <v>1739</v>
      </c>
    </row>
    <row r="1400" spans="1:24" x14ac:dyDescent="0.3">
      <c r="A1400" t="s">
        <v>3207</v>
      </c>
      <c r="B1400" s="2">
        <v>45601</v>
      </c>
      <c r="C1400" t="s">
        <v>450</v>
      </c>
      <c r="D1400" t="s">
        <v>1645</v>
      </c>
      <c r="E1400" t="s">
        <v>1772</v>
      </c>
      <c r="F1400" s="4">
        <v>4</v>
      </c>
      <c r="G1400">
        <v>559.59</v>
      </c>
      <c r="H1400">
        <v>0.19</v>
      </c>
      <c r="I1400" t="s">
        <v>1812</v>
      </c>
      <c r="J1400">
        <v>1813.0716</v>
      </c>
      <c r="K1400" t="s">
        <v>451</v>
      </c>
      <c r="L1400">
        <v>54</v>
      </c>
      <c r="M1400" t="s">
        <v>9</v>
      </c>
      <c r="N1400" t="s">
        <v>452</v>
      </c>
      <c r="O1400" t="s">
        <v>247</v>
      </c>
      <c r="P1400" t="s">
        <v>12</v>
      </c>
      <c r="Q1400" t="s">
        <v>26</v>
      </c>
      <c r="R1400" t="s">
        <v>3889</v>
      </c>
      <c r="S1400" t="s">
        <v>1549</v>
      </c>
      <c r="T1400" t="s">
        <v>3828</v>
      </c>
      <c r="U1400" t="s">
        <v>1646</v>
      </c>
      <c r="V1400" t="s">
        <v>1741</v>
      </c>
      <c r="W1400" t="s">
        <v>1742</v>
      </c>
      <c r="X1400" t="s">
        <v>1739</v>
      </c>
    </row>
    <row r="1401" spans="1:24" x14ac:dyDescent="0.3">
      <c r="A1401" t="s">
        <v>3208</v>
      </c>
      <c r="B1401" s="2">
        <v>45458</v>
      </c>
      <c r="C1401" t="s">
        <v>394</v>
      </c>
      <c r="D1401" t="s">
        <v>1589</v>
      </c>
      <c r="E1401" t="s">
        <v>1793</v>
      </c>
      <c r="F1401" s="4">
        <v>1</v>
      </c>
      <c r="G1401">
        <v>758.54</v>
      </c>
      <c r="H1401">
        <v>0.28999999999999998</v>
      </c>
      <c r="I1401" t="s">
        <v>1809</v>
      </c>
      <c r="J1401">
        <v>538.5634</v>
      </c>
      <c r="K1401" t="s">
        <v>395</v>
      </c>
      <c r="L1401">
        <v>53</v>
      </c>
      <c r="M1401" t="s">
        <v>16</v>
      </c>
      <c r="N1401" t="s">
        <v>396</v>
      </c>
      <c r="O1401" t="s">
        <v>181</v>
      </c>
      <c r="P1401" t="s">
        <v>12</v>
      </c>
      <c r="Q1401" t="s">
        <v>26</v>
      </c>
      <c r="R1401" t="s">
        <v>3856</v>
      </c>
      <c r="S1401" t="s">
        <v>1527</v>
      </c>
      <c r="T1401" t="s">
        <v>3836</v>
      </c>
      <c r="U1401" t="s">
        <v>1590</v>
      </c>
      <c r="V1401" t="s">
        <v>1741</v>
      </c>
      <c r="W1401" t="s">
        <v>1742</v>
      </c>
      <c r="X1401" t="s">
        <v>1739</v>
      </c>
    </row>
    <row r="1402" spans="1:24" x14ac:dyDescent="0.3">
      <c r="A1402" t="s">
        <v>3209</v>
      </c>
      <c r="B1402" s="2">
        <v>45649</v>
      </c>
      <c r="C1402" t="s">
        <v>1409</v>
      </c>
      <c r="D1402" t="s">
        <v>1691</v>
      </c>
      <c r="E1402" t="s">
        <v>1784</v>
      </c>
      <c r="F1402" s="4">
        <v>4</v>
      </c>
      <c r="G1402">
        <v>643.96</v>
      </c>
      <c r="H1402">
        <v>0.16</v>
      </c>
      <c r="I1402" t="s">
        <v>1809</v>
      </c>
      <c r="J1402">
        <v>2163.7055999999998</v>
      </c>
      <c r="K1402" t="s">
        <v>1410</v>
      </c>
      <c r="L1402">
        <v>36</v>
      </c>
      <c r="M1402" t="s">
        <v>16</v>
      </c>
      <c r="N1402" t="s">
        <v>1411</v>
      </c>
      <c r="O1402" t="s">
        <v>43</v>
      </c>
      <c r="P1402" t="s">
        <v>12</v>
      </c>
      <c r="Q1402" t="s">
        <v>31</v>
      </c>
      <c r="R1402" t="s">
        <v>3913</v>
      </c>
      <c r="S1402" t="s">
        <v>1527</v>
      </c>
      <c r="T1402" t="s">
        <v>3830</v>
      </c>
      <c r="U1402" t="s">
        <v>1692</v>
      </c>
      <c r="V1402" t="s">
        <v>1741</v>
      </c>
      <c r="W1402" t="s">
        <v>1742</v>
      </c>
      <c r="X1402" t="s">
        <v>1739</v>
      </c>
    </row>
    <row r="1403" spans="1:24" x14ac:dyDescent="0.3">
      <c r="A1403" t="s">
        <v>3210</v>
      </c>
      <c r="B1403" s="2">
        <v>45653</v>
      </c>
      <c r="C1403" t="s">
        <v>773</v>
      </c>
      <c r="D1403" t="s">
        <v>1579</v>
      </c>
      <c r="E1403" t="s">
        <v>1769</v>
      </c>
      <c r="F1403" s="4">
        <v>1</v>
      </c>
      <c r="G1403">
        <v>882.73</v>
      </c>
      <c r="H1403">
        <v>0.1</v>
      </c>
      <c r="I1403" t="s">
        <v>1807</v>
      </c>
      <c r="J1403">
        <v>794.45699999999999</v>
      </c>
      <c r="K1403" t="s">
        <v>774</v>
      </c>
      <c r="L1403">
        <v>19</v>
      </c>
      <c r="M1403" t="s">
        <v>9</v>
      </c>
      <c r="N1403" t="s">
        <v>775</v>
      </c>
      <c r="O1403" t="s">
        <v>354</v>
      </c>
      <c r="P1403" t="s">
        <v>12</v>
      </c>
      <c r="Q1403" t="s">
        <v>13</v>
      </c>
      <c r="R1403" t="s">
        <v>3850</v>
      </c>
      <c r="S1403" t="s">
        <v>1549</v>
      </c>
      <c r="T1403" t="s">
        <v>3851</v>
      </c>
      <c r="U1403" t="s">
        <v>1580</v>
      </c>
      <c r="V1403" t="s">
        <v>1770</v>
      </c>
      <c r="W1403" t="s">
        <v>1746</v>
      </c>
      <c r="X1403" t="s">
        <v>1739</v>
      </c>
    </row>
    <row r="1404" spans="1:24" x14ac:dyDescent="0.3">
      <c r="A1404" t="s">
        <v>3211</v>
      </c>
      <c r="B1404" s="2">
        <v>45378</v>
      </c>
      <c r="C1404" t="s">
        <v>1012</v>
      </c>
      <c r="D1404" t="s">
        <v>1713</v>
      </c>
      <c r="E1404" t="s">
        <v>1796</v>
      </c>
      <c r="F1404" s="4">
        <v>2</v>
      </c>
      <c r="G1404">
        <v>600.03</v>
      </c>
      <c r="H1404">
        <v>0.26</v>
      </c>
      <c r="I1404" t="s">
        <v>1809</v>
      </c>
      <c r="J1404">
        <v>888.0444</v>
      </c>
      <c r="K1404" t="s">
        <v>1013</v>
      </c>
      <c r="L1404">
        <v>58</v>
      </c>
      <c r="M1404" t="s">
        <v>16</v>
      </c>
      <c r="N1404" t="s">
        <v>1014</v>
      </c>
      <c r="O1404" t="s">
        <v>319</v>
      </c>
      <c r="P1404" t="s">
        <v>12</v>
      </c>
      <c r="Q1404" t="s">
        <v>26</v>
      </c>
      <c r="R1404" t="s">
        <v>3924</v>
      </c>
      <c r="S1404" t="s">
        <v>1530</v>
      </c>
      <c r="T1404" t="s">
        <v>3866</v>
      </c>
      <c r="U1404" t="s">
        <v>1714</v>
      </c>
      <c r="V1404" t="s">
        <v>1741</v>
      </c>
      <c r="W1404" t="s">
        <v>1742</v>
      </c>
      <c r="X1404" t="s">
        <v>1739</v>
      </c>
    </row>
    <row r="1405" spans="1:24" x14ac:dyDescent="0.3">
      <c r="A1405" t="s">
        <v>3212</v>
      </c>
      <c r="B1405" s="2">
        <v>45638</v>
      </c>
      <c r="C1405" t="s">
        <v>521</v>
      </c>
      <c r="D1405" t="s">
        <v>1639</v>
      </c>
      <c r="E1405" t="s">
        <v>1756</v>
      </c>
      <c r="F1405" s="4">
        <v>2</v>
      </c>
      <c r="G1405">
        <v>628.83000000000004</v>
      </c>
      <c r="H1405">
        <v>7.0000000000000007E-2</v>
      </c>
      <c r="I1405" t="s">
        <v>1809</v>
      </c>
      <c r="J1405">
        <v>1169.6238000000001</v>
      </c>
      <c r="K1405" t="s">
        <v>522</v>
      </c>
      <c r="L1405">
        <v>43</v>
      </c>
      <c r="M1405" t="s">
        <v>9</v>
      </c>
      <c r="N1405" t="s">
        <v>523</v>
      </c>
      <c r="O1405" t="s">
        <v>18</v>
      </c>
      <c r="P1405" t="s">
        <v>12</v>
      </c>
      <c r="Q1405" t="s">
        <v>19</v>
      </c>
      <c r="R1405" t="s">
        <v>3886</v>
      </c>
      <c r="S1405" t="s">
        <v>1549</v>
      </c>
      <c r="T1405" t="s">
        <v>3820</v>
      </c>
      <c r="U1405" t="s">
        <v>1640</v>
      </c>
      <c r="V1405" t="s">
        <v>1757</v>
      </c>
      <c r="W1405" t="s">
        <v>1742</v>
      </c>
      <c r="X1405" t="s">
        <v>1748</v>
      </c>
    </row>
    <row r="1406" spans="1:24" x14ac:dyDescent="0.3">
      <c r="A1406" t="s">
        <v>3213</v>
      </c>
      <c r="B1406" s="2">
        <v>45277</v>
      </c>
      <c r="C1406" t="s">
        <v>573</v>
      </c>
      <c r="D1406" t="s">
        <v>1693</v>
      </c>
      <c r="E1406" t="s">
        <v>1769</v>
      </c>
      <c r="F1406" s="4">
        <v>3</v>
      </c>
      <c r="G1406">
        <v>113.87</v>
      </c>
      <c r="H1406">
        <v>0.21</v>
      </c>
      <c r="I1406" t="s">
        <v>1812</v>
      </c>
      <c r="J1406">
        <v>269.87189999999998</v>
      </c>
      <c r="K1406" t="s">
        <v>574</v>
      </c>
      <c r="L1406">
        <v>48</v>
      </c>
      <c r="M1406" t="s">
        <v>9</v>
      </c>
      <c r="N1406" t="s">
        <v>575</v>
      </c>
      <c r="O1406" t="s">
        <v>99</v>
      </c>
      <c r="P1406" t="s">
        <v>12</v>
      </c>
      <c r="Q1406" t="s">
        <v>19</v>
      </c>
      <c r="R1406" t="s">
        <v>3914</v>
      </c>
      <c r="S1406" t="s">
        <v>1549</v>
      </c>
      <c r="T1406" t="s">
        <v>3844</v>
      </c>
      <c r="U1406" t="s">
        <v>1694</v>
      </c>
      <c r="V1406" t="s">
        <v>1770</v>
      </c>
      <c r="W1406" t="s">
        <v>1746</v>
      </c>
      <c r="X1406" t="s">
        <v>1739</v>
      </c>
    </row>
    <row r="1407" spans="1:24" x14ac:dyDescent="0.3">
      <c r="A1407" t="s">
        <v>3214</v>
      </c>
      <c r="B1407" s="2">
        <v>45351</v>
      </c>
      <c r="C1407" t="s">
        <v>1284</v>
      </c>
      <c r="D1407" t="s">
        <v>1675</v>
      </c>
      <c r="E1407" t="s">
        <v>1762</v>
      </c>
      <c r="F1407" s="4">
        <v>4</v>
      </c>
      <c r="G1407">
        <v>282.07</v>
      </c>
      <c r="H1407">
        <v>0.18</v>
      </c>
      <c r="I1407" t="s">
        <v>1809</v>
      </c>
      <c r="J1407">
        <v>925.18960000000004</v>
      </c>
      <c r="K1407" t="s">
        <v>1285</v>
      </c>
      <c r="L1407">
        <v>33</v>
      </c>
      <c r="M1407" t="s">
        <v>9</v>
      </c>
      <c r="N1407" t="s">
        <v>1286</v>
      </c>
      <c r="O1407" t="s">
        <v>47</v>
      </c>
      <c r="P1407" t="s">
        <v>12</v>
      </c>
      <c r="Q1407" t="s">
        <v>31</v>
      </c>
      <c r="R1407" t="s">
        <v>3905</v>
      </c>
      <c r="S1407" t="s">
        <v>1549</v>
      </c>
      <c r="T1407" t="s">
        <v>3828</v>
      </c>
      <c r="U1407" t="s">
        <v>1676</v>
      </c>
      <c r="V1407" t="s">
        <v>1763</v>
      </c>
      <c r="W1407" t="s">
        <v>1746</v>
      </c>
      <c r="X1407" t="s">
        <v>1755</v>
      </c>
    </row>
    <row r="1408" spans="1:24" x14ac:dyDescent="0.3">
      <c r="A1408" t="s">
        <v>3215</v>
      </c>
      <c r="B1408" s="2">
        <v>45290</v>
      </c>
      <c r="C1408" t="s">
        <v>518</v>
      </c>
      <c r="D1408" t="s">
        <v>1639</v>
      </c>
      <c r="E1408" t="s">
        <v>1759</v>
      </c>
      <c r="F1408" s="4">
        <v>3</v>
      </c>
      <c r="G1408">
        <v>676.77</v>
      </c>
      <c r="H1408">
        <v>0.17</v>
      </c>
      <c r="I1408" t="s">
        <v>1809</v>
      </c>
      <c r="J1408">
        <v>1685.1573000000001</v>
      </c>
      <c r="K1408" t="s">
        <v>519</v>
      </c>
      <c r="L1408">
        <v>59</v>
      </c>
      <c r="M1408" t="s">
        <v>9</v>
      </c>
      <c r="N1408" t="s">
        <v>520</v>
      </c>
      <c r="O1408" t="s">
        <v>18</v>
      </c>
      <c r="P1408" t="s">
        <v>12</v>
      </c>
      <c r="Q1408" t="s">
        <v>26</v>
      </c>
      <c r="R1408" t="s">
        <v>3886</v>
      </c>
      <c r="S1408" t="s">
        <v>1549</v>
      </c>
      <c r="T1408" t="s">
        <v>3820</v>
      </c>
      <c r="U1408" t="s">
        <v>1640</v>
      </c>
      <c r="V1408" t="s">
        <v>1760</v>
      </c>
      <c r="W1408" t="s">
        <v>1737</v>
      </c>
      <c r="X1408" t="s">
        <v>1755</v>
      </c>
    </row>
    <row r="1409" spans="1:24" x14ac:dyDescent="0.3">
      <c r="A1409" t="s">
        <v>3216</v>
      </c>
      <c r="B1409" s="2">
        <v>45638</v>
      </c>
      <c r="C1409" t="s">
        <v>707</v>
      </c>
      <c r="D1409" t="s">
        <v>1543</v>
      </c>
      <c r="E1409" t="s">
        <v>1787</v>
      </c>
      <c r="F1409" s="4">
        <v>2</v>
      </c>
      <c r="G1409">
        <v>362.7</v>
      </c>
      <c r="H1409">
        <v>0.09</v>
      </c>
      <c r="I1409" t="s">
        <v>1807</v>
      </c>
      <c r="J1409">
        <v>660.11400000000003</v>
      </c>
      <c r="K1409" t="s">
        <v>708</v>
      </c>
      <c r="L1409">
        <v>38</v>
      </c>
      <c r="M1409" t="s">
        <v>9</v>
      </c>
      <c r="N1409" t="s">
        <v>3957</v>
      </c>
      <c r="O1409" t="s">
        <v>709</v>
      </c>
      <c r="P1409" t="s">
        <v>12</v>
      </c>
      <c r="Q1409" t="s">
        <v>26</v>
      </c>
      <c r="R1409" t="s">
        <v>3902</v>
      </c>
      <c r="S1409" t="s">
        <v>1530</v>
      </c>
      <c r="T1409" t="s">
        <v>3818</v>
      </c>
      <c r="U1409" t="s">
        <v>1670</v>
      </c>
      <c r="V1409" t="s">
        <v>1741</v>
      </c>
      <c r="W1409" t="s">
        <v>1742</v>
      </c>
      <c r="X1409" t="s">
        <v>1739</v>
      </c>
    </row>
    <row r="1410" spans="1:24" x14ac:dyDescent="0.3">
      <c r="A1410" t="s">
        <v>3217</v>
      </c>
      <c r="B1410" s="2">
        <v>45679</v>
      </c>
      <c r="C1410" t="s">
        <v>456</v>
      </c>
      <c r="D1410" t="s">
        <v>1557</v>
      </c>
      <c r="E1410" t="s">
        <v>1744</v>
      </c>
      <c r="F1410" s="4">
        <v>1</v>
      </c>
      <c r="G1410">
        <v>908.5</v>
      </c>
      <c r="H1410">
        <v>0.2</v>
      </c>
      <c r="I1410" t="s">
        <v>1812</v>
      </c>
      <c r="J1410">
        <v>726.80000000000007</v>
      </c>
      <c r="K1410" t="s">
        <v>457</v>
      </c>
      <c r="L1410">
        <v>29</v>
      </c>
      <c r="M1410" t="s">
        <v>9</v>
      </c>
      <c r="N1410" t="s">
        <v>458</v>
      </c>
      <c r="O1410" t="s">
        <v>155</v>
      </c>
      <c r="P1410" t="s">
        <v>12</v>
      </c>
      <c r="Q1410" t="s">
        <v>19</v>
      </c>
      <c r="R1410" t="s">
        <v>3834</v>
      </c>
      <c r="S1410" t="s">
        <v>1546</v>
      </c>
      <c r="T1410" t="s">
        <v>3820</v>
      </c>
      <c r="U1410" t="s">
        <v>1558</v>
      </c>
      <c r="V1410" t="s">
        <v>1745</v>
      </c>
      <c r="W1410" t="s">
        <v>1746</v>
      </c>
      <c r="X1410" t="s">
        <v>1748</v>
      </c>
    </row>
    <row r="1411" spans="1:24" x14ac:dyDescent="0.3">
      <c r="A1411" t="s">
        <v>3218</v>
      </c>
      <c r="B1411" s="2">
        <v>45296</v>
      </c>
      <c r="C1411" t="s">
        <v>244</v>
      </c>
      <c r="D1411" t="s">
        <v>1581</v>
      </c>
      <c r="E1411" t="s">
        <v>1784</v>
      </c>
      <c r="F1411" s="4">
        <v>2</v>
      </c>
      <c r="G1411">
        <v>795.37</v>
      </c>
      <c r="H1411">
        <v>0.2</v>
      </c>
      <c r="I1411" t="s">
        <v>1812</v>
      </c>
      <c r="J1411">
        <v>1272.5920000000001</v>
      </c>
      <c r="K1411" t="s">
        <v>245</v>
      </c>
      <c r="L1411">
        <v>24</v>
      </c>
      <c r="M1411" t="s">
        <v>16</v>
      </c>
      <c r="N1411" t="s">
        <v>246</v>
      </c>
      <c r="O1411" t="s">
        <v>247</v>
      </c>
      <c r="P1411" t="s">
        <v>12</v>
      </c>
      <c r="Q1411" t="s">
        <v>31</v>
      </c>
      <c r="R1411" t="s">
        <v>3852</v>
      </c>
      <c r="S1411" t="s">
        <v>1530</v>
      </c>
      <c r="T1411" t="s">
        <v>3820</v>
      </c>
      <c r="U1411" t="s">
        <v>1582</v>
      </c>
      <c r="V1411" t="s">
        <v>1741</v>
      </c>
      <c r="W1411" t="s">
        <v>1742</v>
      </c>
      <c r="X1411" t="s">
        <v>1739</v>
      </c>
    </row>
    <row r="1412" spans="1:24" x14ac:dyDescent="0.3">
      <c r="A1412" t="s">
        <v>3219</v>
      </c>
      <c r="B1412" s="2">
        <v>45760</v>
      </c>
      <c r="C1412" t="s">
        <v>482</v>
      </c>
      <c r="D1412" t="s">
        <v>1601</v>
      </c>
      <c r="E1412" t="s">
        <v>1752</v>
      </c>
      <c r="F1412" s="4">
        <v>2</v>
      </c>
      <c r="G1412">
        <v>326.85000000000002</v>
      </c>
      <c r="H1412">
        <v>0.17</v>
      </c>
      <c r="I1412" t="s">
        <v>1812</v>
      </c>
      <c r="J1412">
        <v>542.57100000000003</v>
      </c>
      <c r="K1412" t="s">
        <v>483</v>
      </c>
      <c r="L1412">
        <v>46</v>
      </c>
      <c r="M1412" t="s">
        <v>9</v>
      </c>
      <c r="N1412" t="s">
        <v>484</v>
      </c>
      <c r="O1412" t="s">
        <v>181</v>
      </c>
      <c r="P1412" t="s">
        <v>12</v>
      </c>
      <c r="Q1412" t="s">
        <v>26</v>
      </c>
      <c r="R1412" t="s">
        <v>3863</v>
      </c>
      <c r="S1412" t="s">
        <v>1527</v>
      </c>
      <c r="T1412" t="s">
        <v>3824</v>
      </c>
      <c r="U1412" t="s">
        <v>1602</v>
      </c>
      <c r="V1412" t="s">
        <v>1753</v>
      </c>
      <c r="W1412" t="s">
        <v>1746</v>
      </c>
      <c r="X1412" t="s">
        <v>1755</v>
      </c>
    </row>
    <row r="1413" spans="1:24" x14ac:dyDescent="0.3">
      <c r="A1413" t="s">
        <v>3220</v>
      </c>
      <c r="B1413" s="2">
        <v>45603</v>
      </c>
      <c r="C1413" t="s">
        <v>1086</v>
      </c>
      <c r="D1413" t="s">
        <v>1643</v>
      </c>
      <c r="E1413" t="s">
        <v>1782</v>
      </c>
      <c r="F1413" s="4">
        <v>3</v>
      </c>
      <c r="G1413">
        <v>169.43</v>
      </c>
      <c r="H1413">
        <v>0.19</v>
      </c>
      <c r="I1413" t="s">
        <v>1807</v>
      </c>
      <c r="J1413">
        <v>411.71490000000011</v>
      </c>
      <c r="K1413" t="s">
        <v>1087</v>
      </c>
      <c r="L1413">
        <v>25</v>
      </c>
      <c r="M1413" t="s">
        <v>16</v>
      </c>
      <c r="N1413" t="s">
        <v>1088</v>
      </c>
      <c r="O1413" t="s">
        <v>264</v>
      </c>
      <c r="P1413" t="s">
        <v>12</v>
      </c>
      <c r="Q1413" t="s">
        <v>31</v>
      </c>
      <c r="R1413" t="s">
        <v>3888</v>
      </c>
      <c r="S1413" t="s">
        <v>1527</v>
      </c>
      <c r="T1413" t="s">
        <v>3836</v>
      </c>
      <c r="U1413" t="s">
        <v>1644</v>
      </c>
      <c r="V1413" t="s">
        <v>1741</v>
      </c>
      <c r="W1413" t="s">
        <v>1742</v>
      </c>
      <c r="X1413" t="s">
        <v>1739</v>
      </c>
    </row>
    <row r="1414" spans="1:24" x14ac:dyDescent="0.3">
      <c r="A1414" t="s">
        <v>3221</v>
      </c>
      <c r="B1414" s="2">
        <v>45413</v>
      </c>
      <c r="C1414" t="s">
        <v>539</v>
      </c>
      <c r="D1414" t="s">
        <v>1697</v>
      </c>
      <c r="E1414" t="s">
        <v>1759</v>
      </c>
      <c r="F1414" s="4">
        <v>1</v>
      </c>
      <c r="G1414">
        <v>254.47</v>
      </c>
      <c r="H1414">
        <v>0.1</v>
      </c>
      <c r="I1414" t="s">
        <v>1807</v>
      </c>
      <c r="J1414">
        <v>229.023</v>
      </c>
      <c r="K1414" t="s">
        <v>540</v>
      </c>
      <c r="L1414">
        <v>39</v>
      </c>
      <c r="M1414" t="s">
        <v>16</v>
      </c>
      <c r="N1414" t="s">
        <v>541</v>
      </c>
      <c r="O1414" t="s">
        <v>191</v>
      </c>
      <c r="P1414" t="s">
        <v>12</v>
      </c>
      <c r="Q1414" t="s">
        <v>26</v>
      </c>
      <c r="R1414" t="s">
        <v>3916</v>
      </c>
      <c r="S1414" t="s">
        <v>1541</v>
      </c>
      <c r="T1414" t="s">
        <v>3822</v>
      </c>
      <c r="U1414" t="s">
        <v>1698</v>
      </c>
      <c r="V1414" t="s">
        <v>1760</v>
      </c>
      <c r="W1414" t="s">
        <v>1737</v>
      </c>
      <c r="X1414" t="s">
        <v>1755</v>
      </c>
    </row>
    <row r="1415" spans="1:24" x14ac:dyDescent="0.3">
      <c r="A1415" t="s">
        <v>3222</v>
      </c>
      <c r="B1415" s="2">
        <v>45506</v>
      </c>
      <c r="C1415" t="s">
        <v>1284</v>
      </c>
      <c r="D1415" t="s">
        <v>1581</v>
      </c>
      <c r="E1415" t="s">
        <v>1787</v>
      </c>
      <c r="F1415" s="4">
        <v>4</v>
      </c>
      <c r="G1415">
        <v>627.73</v>
      </c>
      <c r="H1415">
        <v>0.11</v>
      </c>
      <c r="I1415" t="s">
        <v>1812</v>
      </c>
      <c r="J1415">
        <v>2234.7188000000001</v>
      </c>
      <c r="K1415" t="s">
        <v>1285</v>
      </c>
      <c r="L1415">
        <v>33</v>
      </c>
      <c r="M1415" t="s">
        <v>9</v>
      </c>
      <c r="N1415" t="s">
        <v>1286</v>
      </c>
      <c r="O1415" t="s">
        <v>47</v>
      </c>
      <c r="P1415" t="s">
        <v>12</v>
      </c>
      <c r="Q1415" t="s">
        <v>31</v>
      </c>
      <c r="R1415" t="s">
        <v>3852</v>
      </c>
      <c r="S1415" t="s">
        <v>1530</v>
      </c>
      <c r="T1415" t="s">
        <v>3820</v>
      </c>
      <c r="U1415" t="s">
        <v>1582</v>
      </c>
      <c r="V1415" t="s">
        <v>1741</v>
      </c>
      <c r="W1415" t="s">
        <v>1742</v>
      </c>
      <c r="X1415" t="s">
        <v>1739</v>
      </c>
    </row>
    <row r="1416" spans="1:24" x14ac:dyDescent="0.3">
      <c r="A1416" t="s">
        <v>3223</v>
      </c>
      <c r="B1416" s="2">
        <v>45394</v>
      </c>
      <c r="C1416" t="s">
        <v>1147</v>
      </c>
      <c r="D1416" t="s">
        <v>1593</v>
      </c>
      <c r="E1416" t="s">
        <v>1796</v>
      </c>
      <c r="F1416" s="4">
        <v>4</v>
      </c>
      <c r="G1416">
        <v>327.25</v>
      </c>
      <c r="H1416">
        <v>0.13</v>
      </c>
      <c r="I1416" t="s">
        <v>1812</v>
      </c>
      <c r="J1416">
        <v>1138.83</v>
      </c>
      <c r="K1416" t="s">
        <v>1148</v>
      </c>
      <c r="L1416">
        <v>28</v>
      </c>
      <c r="M1416" t="s">
        <v>9</v>
      </c>
      <c r="N1416" t="s">
        <v>1149</v>
      </c>
      <c r="O1416" t="s">
        <v>47</v>
      </c>
      <c r="P1416" t="s">
        <v>12</v>
      </c>
      <c r="Q1416" t="s">
        <v>19</v>
      </c>
      <c r="R1416" t="s">
        <v>3858</v>
      </c>
      <c r="S1416" t="s">
        <v>1549</v>
      </c>
      <c r="T1416" t="s">
        <v>3859</v>
      </c>
      <c r="U1416" t="s">
        <v>1594</v>
      </c>
      <c r="V1416" t="s">
        <v>1741</v>
      </c>
      <c r="W1416" t="s">
        <v>1742</v>
      </c>
      <c r="X1416" t="s">
        <v>1739</v>
      </c>
    </row>
    <row r="1417" spans="1:24" x14ac:dyDescent="0.3">
      <c r="A1417" t="s">
        <v>3224</v>
      </c>
      <c r="B1417" s="2">
        <v>45755</v>
      </c>
      <c r="C1417" t="s">
        <v>485</v>
      </c>
      <c r="D1417" t="s">
        <v>1649</v>
      </c>
      <c r="E1417" t="s">
        <v>1775</v>
      </c>
      <c r="F1417" s="4">
        <v>4</v>
      </c>
      <c r="G1417">
        <v>511.43</v>
      </c>
      <c r="H1417">
        <v>0.18</v>
      </c>
      <c r="I1417" t="s">
        <v>1812</v>
      </c>
      <c r="J1417">
        <v>1677.4903999999999</v>
      </c>
      <c r="K1417" t="s">
        <v>486</v>
      </c>
      <c r="L1417">
        <v>32</v>
      </c>
      <c r="M1417" t="s">
        <v>16</v>
      </c>
      <c r="N1417" t="s">
        <v>487</v>
      </c>
      <c r="O1417" t="s">
        <v>251</v>
      </c>
      <c r="P1417" t="s">
        <v>12</v>
      </c>
      <c r="Q1417" t="s">
        <v>19</v>
      </c>
      <c r="R1417" t="s">
        <v>3891</v>
      </c>
      <c r="S1417" t="s">
        <v>1541</v>
      </c>
      <c r="T1417" t="s">
        <v>3833</v>
      </c>
      <c r="U1417" t="s">
        <v>1650</v>
      </c>
      <c r="V1417" t="s">
        <v>1741</v>
      </c>
      <c r="W1417" t="s">
        <v>1742</v>
      </c>
      <c r="X1417" t="s">
        <v>1739</v>
      </c>
    </row>
    <row r="1418" spans="1:24" x14ac:dyDescent="0.3">
      <c r="A1418" t="s">
        <v>3225</v>
      </c>
      <c r="B1418" s="2">
        <v>45473</v>
      </c>
      <c r="C1418" t="s">
        <v>545</v>
      </c>
      <c r="D1418" t="s">
        <v>1657</v>
      </c>
      <c r="E1418" t="s">
        <v>1790</v>
      </c>
      <c r="F1418" s="4">
        <v>4</v>
      </c>
      <c r="G1418">
        <v>194.67</v>
      </c>
      <c r="H1418">
        <v>0.23</v>
      </c>
      <c r="I1418" t="s">
        <v>1809</v>
      </c>
      <c r="J1418">
        <v>599.58359999999993</v>
      </c>
      <c r="K1418" t="s">
        <v>546</v>
      </c>
      <c r="L1418">
        <v>25</v>
      </c>
      <c r="M1418" t="s">
        <v>16</v>
      </c>
      <c r="N1418" t="s">
        <v>547</v>
      </c>
      <c r="O1418" t="s">
        <v>191</v>
      </c>
      <c r="P1418" t="s">
        <v>12</v>
      </c>
      <c r="Q1418" t="s">
        <v>19</v>
      </c>
      <c r="R1418" t="s">
        <v>3895</v>
      </c>
      <c r="S1418" t="s">
        <v>1541</v>
      </c>
      <c r="T1418" t="s">
        <v>3822</v>
      </c>
      <c r="U1418" t="s">
        <v>1658</v>
      </c>
      <c r="V1418" t="s">
        <v>1741</v>
      </c>
      <c r="W1418" t="s">
        <v>1742</v>
      </c>
      <c r="X1418" t="s">
        <v>1739</v>
      </c>
    </row>
    <row r="1419" spans="1:24" x14ac:dyDescent="0.3">
      <c r="A1419" t="s">
        <v>3226</v>
      </c>
      <c r="B1419" s="2">
        <v>45304</v>
      </c>
      <c r="C1419" t="s">
        <v>218</v>
      </c>
      <c r="D1419" t="s">
        <v>1577</v>
      </c>
      <c r="E1419" t="s">
        <v>1740</v>
      </c>
      <c r="F1419" s="4">
        <v>2</v>
      </c>
      <c r="G1419">
        <v>54.51</v>
      </c>
      <c r="H1419">
        <v>7.0000000000000007E-2</v>
      </c>
      <c r="I1419" t="s">
        <v>1807</v>
      </c>
      <c r="J1419">
        <v>101.3886</v>
      </c>
      <c r="K1419" t="s">
        <v>219</v>
      </c>
      <c r="L1419">
        <v>22</v>
      </c>
      <c r="M1419" t="s">
        <v>16</v>
      </c>
      <c r="N1419" t="s">
        <v>220</v>
      </c>
      <c r="O1419" t="s">
        <v>66</v>
      </c>
      <c r="P1419" t="s">
        <v>12</v>
      </c>
      <c r="Q1419" t="s">
        <v>19</v>
      </c>
      <c r="R1419" t="s">
        <v>3849</v>
      </c>
      <c r="S1419" t="s">
        <v>1530</v>
      </c>
      <c r="T1419" t="s">
        <v>3813</v>
      </c>
      <c r="U1419" t="s">
        <v>1578</v>
      </c>
      <c r="V1419" t="s">
        <v>1741</v>
      </c>
      <c r="W1419" t="s">
        <v>1742</v>
      </c>
      <c r="X1419" t="s">
        <v>1739</v>
      </c>
    </row>
    <row r="1420" spans="1:24" x14ac:dyDescent="0.3">
      <c r="A1420" t="s">
        <v>3227</v>
      </c>
      <c r="B1420" s="2">
        <v>45557</v>
      </c>
      <c r="C1420" t="s">
        <v>275</v>
      </c>
      <c r="D1420" t="s">
        <v>1655</v>
      </c>
      <c r="E1420" t="s">
        <v>1775</v>
      </c>
      <c r="F1420" s="4">
        <v>4</v>
      </c>
      <c r="G1420">
        <v>964</v>
      </c>
      <c r="H1420">
        <v>0.14000000000000001</v>
      </c>
      <c r="I1420" t="s">
        <v>1809</v>
      </c>
      <c r="J1420">
        <v>3316.16</v>
      </c>
      <c r="K1420" t="s">
        <v>276</v>
      </c>
      <c r="L1420">
        <v>29</v>
      </c>
      <c r="M1420" t="s">
        <v>9</v>
      </c>
      <c r="N1420" t="s">
        <v>277</v>
      </c>
      <c r="O1420" t="s">
        <v>96</v>
      </c>
      <c r="P1420" t="s">
        <v>12</v>
      </c>
      <c r="Q1420" t="s">
        <v>13</v>
      </c>
      <c r="R1420" t="s">
        <v>3894</v>
      </c>
      <c r="S1420" t="s">
        <v>1546</v>
      </c>
      <c r="T1420" t="s">
        <v>3811</v>
      </c>
      <c r="U1420" t="s">
        <v>1656</v>
      </c>
      <c r="V1420" t="s">
        <v>1741</v>
      </c>
      <c r="W1420" t="s">
        <v>1742</v>
      </c>
      <c r="X1420" t="s">
        <v>1739</v>
      </c>
    </row>
    <row r="1421" spans="1:24" x14ac:dyDescent="0.3">
      <c r="A1421" t="s">
        <v>3228</v>
      </c>
      <c r="B1421" s="2">
        <v>45527</v>
      </c>
      <c r="C1421" t="s">
        <v>156</v>
      </c>
      <c r="D1421" t="s">
        <v>1709</v>
      </c>
      <c r="E1421" t="s">
        <v>1752</v>
      </c>
      <c r="F1421" s="4">
        <v>1</v>
      </c>
      <c r="G1421">
        <v>170.12</v>
      </c>
      <c r="H1421">
        <v>0.26</v>
      </c>
      <c r="I1421" t="s">
        <v>1809</v>
      </c>
      <c r="J1421">
        <v>125.8888</v>
      </c>
      <c r="K1421" t="s">
        <v>157</v>
      </c>
      <c r="L1421">
        <v>21</v>
      </c>
      <c r="M1421" t="s">
        <v>9</v>
      </c>
      <c r="N1421" t="s">
        <v>158</v>
      </c>
      <c r="O1421" t="s">
        <v>62</v>
      </c>
      <c r="P1421" t="s">
        <v>12</v>
      </c>
      <c r="Q1421" t="s">
        <v>13</v>
      </c>
      <c r="R1421" t="s">
        <v>3922</v>
      </c>
      <c r="S1421" t="s">
        <v>1541</v>
      </c>
      <c r="T1421" t="s">
        <v>3878</v>
      </c>
      <c r="U1421" t="s">
        <v>1710</v>
      </c>
      <c r="V1421" t="s">
        <v>1753</v>
      </c>
      <c r="W1421" t="s">
        <v>1746</v>
      </c>
      <c r="X1421" t="s">
        <v>1755</v>
      </c>
    </row>
    <row r="1422" spans="1:24" x14ac:dyDescent="0.3">
      <c r="A1422" t="s">
        <v>3229</v>
      </c>
      <c r="B1422" s="2">
        <v>45875</v>
      </c>
      <c r="C1422" t="s">
        <v>506</v>
      </c>
      <c r="D1422" t="s">
        <v>1637</v>
      </c>
      <c r="E1422" t="s">
        <v>1796</v>
      </c>
      <c r="F1422" s="4">
        <v>2</v>
      </c>
      <c r="G1422">
        <v>664.5</v>
      </c>
      <c r="H1422">
        <v>0.23</v>
      </c>
      <c r="I1422" t="s">
        <v>1807</v>
      </c>
      <c r="J1422">
        <v>1023.33</v>
      </c>
      <c r="K1422" t="s">
        <v>507</v>
      </c>
      <c r="L1422">
        <v>31</v>
      </c>
      <c r="M1422" t="s">
        <v>9</v>
      </c>
      <c r="N1422" t="s">
        <v>508</v>
      </c>
      <c r="O1422" t="s">
        <v>113</v>
      </c>
      <c r="P1422" t="s">
        <v>12</v>
      </c>
      <c r="Q1422" t="s">
        <v>19</v>
      </c>
      <c r="R1422" t="s">
        <v>3885</v>
      </c>
      <c r="S1422" t="s">
        <v>1530</v>
      </c>
      <c r="T1422" t="s">
        <v>3818</v>
      </c>
      <c r="U1422" t="s">
        <v>1638</v>
      </c>
      <c r="V1422" t="s">
        <v>1741</v>
      </c>
      <c r="W1422" t="s">
        <v>1742</v>
      </c>
      <c r="X1422" t="s">
        <v>1739</v>
      </c>
    </row>
    <row r="1423" spans="1:24" x14ac:dyDescent="0.3">
      <c r="A1423" t="s">
        <v>3230</v>
      </c>
      <c r="B1423" s="2">
        <v>45936</v>
      </c>
      <c r="C1423" t="s">
        <v>1147</v>
      </c>
      <c r="D1423" t="s">
        <v>1621</v>
      </c>
      <c r="E1423" t="s">
        <v>1772</v>
      </c>
      <c r="F1423" s="4">
        <v>4</v>
      </c>
      <c r="G1423">
        <v>557.51</v>
      </c>
      <c r="H1423">
        <v>0.11</v>
      </c>
      <c r="I1423" t="s">
        <v>1807</v>
      </c>
      <c r="J1423">
        <v>1984.7356</v>
      </c>
      <c r="K1423" t="s">
        <v>1148</v>
      </c>
      <c r="L1423">
        <v>28</v>
      </c>
      <c r="M1423" t="s">
        <v>9</v>
      </c>
      <c r="N1423" t="s">
        <v>1149</v>
      </c>
      <c r="O1423" t="s">
        <v>47</v>
      </c>
      <c r="P1423" t="s">
        <v>12</v>
      </c>
      <c r="Q1423" t="s">
        <v>19</v>
      </c>
      <c r="R1423" t="s">
        <v>3875</v>
      </c>
      <c r="S1423" t="s">
        <v>1549</v>
      </c>
      <c r="T1423" t="s">
        <v>3859</v>
      </c>
      <c r="U1423" t="s">
        <v>1622</v>
      </c>
      <c r="V1423" t="s">
        <v>1741</v>
      </c>
      <c r="W1423" t="s">
        <v>1742</v>
      </c>
      <c r="X1423" t="s">
        <v>1739</v>
      </c>
    </row>
    <row r="1424" spans="1:24" x14ac:dyDescent="0.3">
      <c r="A1424" t="s">
        <v>3231</v>
      </c>
      <c r="B1424" s="2">
        <v>45807</v>
      </c>
      <c r="C1424" t="s">
        <v>1225</v>
      </c>
      <c r="D1424" t="s">
        <v>1711</v>
      </c>
      <c r="E1424" t="s">
        <v>1740</v>
      </c>
      <c r="F1424" s="4">
        <v>2</v>
      </c>
      <c r="G1424">
        <v>410</v>
      </c>
      <c r="H1424">
        <v>0.13</v>
      </c>
      <c r="I1424" t="s">
        <v>1812</v>
      </c>
      <c r="J1424">
        <v>713.4</v>
      </c>
      <c r="K1424" t="s">
        <v>3948</v>
      </c>
      <c r="L1424">
        <v>54</v>
      </c>
      <c r="M1424" t="s">
        <v>9</v>
      </c>
      <c r="N1424" t="s">
        <v>123</v>
      </c>
      <c r="O1424" t="s">
        <v>62</v>
      </c>
      <c r="P1424" t="s">
        <v>12</v>
      </c>
      <c r="Q1424" t="s">
        <v>19</v>
      </c>
      <c r="R1424" t="s">
        <v>3923</v>
      </c>
      <c r="S1424" t="s">
        <v>1546</v>
      </c>
      <c r="T1424" t="s">
        <v>3820</v>
      </c>
      <c r="U1424" t="s">
        <v>1712</v>
      </c>
      <c r="V1424" t="s">
        <v>1741</v>
      </c>
      <c r="W1424" t="s">
        <v>1742</v>
      </c>
      <c r="X1424" t="s">
        <v>1739</v>
      </c>
    </row>
    <row r="1425" spans="1:24" x14ac:dyDescent="0.3">
      <c r="A1425" t="s">
        <v>3232</v>
      </c>
      <c r="B1425" s="2">
        <v>45473</v>
      </c>
      <c r="C1425" t="s">
        <v>956</v>
      </c>
      <c r="D1425" t="s">
        <v>1697</v>
      </c>
      <c r="E1425" t="s">
        <v>1756</v>
      </c>
      <c r="F1425" s="4">
        <v>2</v>
      </c>
      <c r="G1425">
        <v>879.93</v>
      </c>
      <c r="H1425">
        <v>0.28999999999999998</v>
      </c>
      <c r="I1425" t="s">
        <v>1812</v>
      </c>
      <c r="J1425">
        <v>1249.5006000000001</v>
      </c>
      <c r="K1425" t="s">
        <v>957</v>
      </c>
      <c r="L1425">
        <v>56</v>
      </c>
      <c r="M1425" t="s">
        <v>16</v>
      </c>
      <c r="N1425" t="s">
        <v>958</v>
      </c>
      <c r="O1425" t="s">
        <v>234</v>
      </c>
      <c r="P1425" t="s">
        <v>12</v>
      </c>
      <c r="Q1425" t="s">
        <v>19</v>
      </c>
      <c r="R1425" t="s">
        <v>3916</v>
      </c>
      <c r="S1425" t="s">
        <v>1541</v>
      </c>
      <c r="T1425" t="s">
        <v>3822</v>
      </c>
      <c r="U1425" t="s">
        <v>1698</v>
      </c>
      <c r="V1425" t="s">
        <v>1757</v>
      </c>
      <c r="W1425" t="s">
        <v>1742</v>
      </c>
      <c r="X1425" t="s">
        <v>1748</v>
      </c>
    </row>
    <row r="1426" spans="1:24" x14ac:dyDescent="0.3">
      <c r="A1426" t="s">
        <v>3233</v>
      </c>
      <c r="B1426" s="2">
        <v>45664</v>
      </c>
      <c r="C1426" t="s">
        <v>40</v>
      </c>
      <c r="D1426" t="s">
        <v>1557</v>
      </c>
      <c r="E1426" t="s">
        <v>1793</v>
      </c>
      <c r="F1426" s="4">
        <v>1</v>
      </c>
      <c r="G1426">
        <v>350.58</v>
      </c>
      <c r="H1426">
        <v>0.03</v>
      </c>
      <c r="I1426" t="s">
        <v>1812</v>
      </c>
      <c r="J1426">
        <v>340.06259999999997</v>
      </c>
      <c r="K1426" t="s">
        <v>41</v>
      </c>
      <c r="L1426">
        <v>53</v>
      </c>
      <c r="M1426" t="s">
        <v>16</v>
      </c>
      <c r="N1426" t="s">
        <v>42</v>
      </c>
      <c r="O1426" t="s">
        <v>43</v>
      </c>
      <c r="P1426" t="s">
        <v>12</v>
      </c>
      <c r="Q1426" t="s">
        <v>26</v>
      </c>
      <c r="R1426" t="s">
        <v>3834</v>
      </c>
      <c r="S1426" t="s">
        <v>1546</v>
      </c>
      <c r="T1426" t="s">
        <v>3820</v>
      </c>
      <c r="U1426" t="s">
        <v>1558</v>
      </c>
      <c r="V1426" t="s">
        <v>1741</v>
      </c>
      <c r="W1426" t="s">
        <v>1742</v>
      </c>
      <c r="X1426" t="s">
        <v>1739</v>
      </c>
    </row>
    <row r="1427" spans="1:24" x14ac:dyDescent="0.3">
      <c r="A1427" t="s">
        <v>3234</v>
      </c>
      <c r="B1427" s="2">
        <v>45633</v>
      </c>
      <c r="C1427" t="s">
        <v>1086</v>
      </c>
      <c r="D1427" t="s">
        <v>1647</v>
      </c>
      <c r="E1427" t="s">
        <v>1749</v>
      </c>
      <c r="F1427" s="4">
        <v>4</v>
      </c>
      <c r="G1427">
        <v>348.58</v>
      </c>
      <c r="H1427">
        <v>0.16</v>
      </c>
      <c r="I1427" t="s">
        <v>1807</v>
      </c>
      <c r="J1427">
        <v>1171.2288000000001</v>
      </c>
      <c r="K1427" t="s">
        <v>1087</v>
      </c>
      <c r="L1427">
        <v>25</v>
      </c>
      <c r="M1427" t="s">
        <v>16</v>
      </c>
      <c r="N1427" t="s">
        <v>1088</v>
      </c>
      <c r="O1427" t="s">
        <v>264</v>
      </c>
      <c r="P1427" t="s">
        <v>12</v>
      </c>
      <c r="Q1427" t="s">
        <v>31</v>
      </c>
      <c r="R1427" t="s">
        <v>3890</v>
      </c>
      <c r="S1427" t="s">
        <v>1530</v>
      </c>
      <c r="T1427" t="s">
        <v>3820</v>
      </c>
      <c r="U1427" t="s">
        <v>1648</v>
      </c>
      <c r="V1427" t="s">
        <v>1750</v>
      </c>
      <c r="W1427" t="s">
        <v>1742</v>
      </c>
      <c r="X1427" t="s">
        <v>1748</v>
      </c>
    </row>
    <row r="1428" spans="1:24" x14ac:dyDescent="0.3">
      <c r="A1428" t="s">
        <v>3235</v>
      </c>
      <c r="B1428" s="2">
        <v>45548</v>
      </c>
      <c r="C1428" t="s">
        <v>1401</v>
      </c>
      <c r="D1428" t="s">
        <v>1581</v>
      </c>
      <c r="E1428" t="s">
        <v>1749</v>
      </c>
      <c r="F1428" s="4">
        <v>3</v>
      </c>
      <c r="G1428">
        <v>247.66</v>
      </c>
      <c r="H1428">
        <v>0.02</v>
      </c>
      <c r="I1428" t="s">
        <v>1812</v>
      </c>
      <c r="J1428">
        <v>728.12040000000002</v>
      </c>
      <c r="K1428" t="s">
        <v>673</v>
      </c>
      <c r="L1428">
        <v>35</v>
      </c>
      <c r="M1428" t="s">
        <v>9</v>
      </c>
      <c r="N1428" t="s">
        <v>1402</v>
      </c>
      <c r="O1428" t="s">
        <v>312</v>
      </c>
      <c r="P1428" t="s">
        <v>12</v>
      </c>
      <c r="Q1428" t="s">
        <v>13</v>
      </c>
      <c r="R1428" t="s">
        <v>3852</v>
      </c>
      <c r="S1428" t="s">
        <v>1530</v>
      </c>
      <c r="T1428" t="s">
        <v>3820</v>
      </c>
      <c r="U1428" t="s">
        <v>1582</v>
      </c>
      <c r="V1428" t="s">
        <v>1750</v>
      </c>
      <c r="W1428" t="s">
        <v>1742</v>
      </c>
      <c r="X1428" t="s">
        <v>1748</v>
      </c>
    </row>
    <row r="1429" spans="1:24" x14ac:dyDescent="0.3">
      <c r="A1429" t="s">
        <v>3236</v>
      </c>
      <c r="B1429" s="2">
        <v>45244</v>
      </c>
      <c r="C1429" t="s">
        <v>1198</v>
      </c>
      <c r="D1429" t="s">
        <v>1609</v>
      </c>
      <c r="E1429" t="s">
        <v>1784</v>
      </c>
      <c r="F1429" s="4">
        <v>3</v>
      </c>
      <c r="G1429">
        <v>836.27</v>
      </c>
      <c r="H1429">
        <v>0.16</v>
      </c>
      <c r="I1429" t="s">
        <v>1807</v>
      </c>
      <c r="J1429">
        <v>2107.4004</v>
      </c>
      <c r="K1429" t="s">
        <v>1199</v>
      </c>
      <c r="L1429">
        <v>50</v>
      </c>
      <c r="M1429" t="s">
        <v>9</v>
      </c>
      <c r="N1429" t="s">
        <v>1200</v>
      </c>
      <c r="O1429" t="s">
        <v>113</v>
      </c>
      <c r="P1429" t="s">
        <v>12</v>
      </c>
      <c r="Q1429" t="s">
        <v>19</v>
      </c>
      <c r="R1429" t="s">
        <v>3868</v>
      </c>
      <c r="S1429" t="s">
        <v>1546</v>
      </c>
      <c r="T1429" t="s">
        <v>3869</v>
      </c>
      <c r="U1429" t="s">
        <v>1610</v>
      </c>
      <c r="V1429" t="s">
        <v>1741</v>
      </c>
      <c r="W1429" t="s">
        <v>1742</v>
      </c>
      <c r="X1429" t="s">
        <v>1739</v>
      </c>
    </row>
    <row r="1430" spans="1:24" x14ac:dyDescent="0.3">
      <c r="A1430" t="s">
        <v>3237</v>
      </c>
      <c r="B1430" s="2">
        <v>45753</v>
      </c>
      <c r="C1430" t="s">
        <v>634</v>
      </c>
      <c r="D1430" t="s">
        <v>1559</v>
      </c>
      <c r="E1430" t="s">
        <v>1772</v>
      </c>
      <c r="F1430" s="4">
        <v>3</v>
      </c>
      <c r="G1430">
        <v>696.74</v>
      </c>
      <c r="H1430">
        <v>0.13</v>
      </c>
      <c r="I1430" t="s">
        <v>1812</v>
      </c>
      <c r="J1430">
        <v>1818.4914000000001</v>
      </c>
      <c r="K1430" t="s">
        <v>635</v>
      </c>
      <c r="L1430">
        <v>18</v>
      </c>
      <c r="M1430" t="s">
        <v>16</v>
      </c>
      <c r="N1430" t="s">
        <v>636</v>
      </c>
      <c r="O1430" t="s">
        <v>133</v>
      </c>
      <c r="P1430" t="s">
        <v>12</v>
      </c>
      <c r="Q1430" t="s">
        <v>31</v>
      </c>
      <c r="R1430" t="s">
        <v>3835</v>
      </c>
      <c r="S1430" t="s">
        <v>1527</v>
      </c>
      <c r="T1430" t="s">
        <v>3836</v>
      </c>
      <c r="U1430" t="s">
        <v>1560</v>
      </c>
      <c r="V1430" t="s">
        <v>1741</v>
      </c>
      <c r="W1430" t="s">
        <v>1742</v>
      </c>
      <c r="X1430" t="s">
        <v>1739</v>
      </c>
    </row>
    <row r="1431" spans="1:24" x14ac:dyDescent="0.3">
      <c r="A1431" t="s">
        <v>3238</v>
      </c>
      <c r="B1431" s="2">
        <v>45804</v>
      </c>
      <c r="C1431" t="s">
        <v>779</v>
      </c>
      <c r="D1431" t="s">
        <v>1719</v>
      </c>
      <c r="E1431" t="s">
        <v>1780</v>
      </c>
      <c r="F1431" s="4">
        <v>2</v>
      </c>
      <c r="G1431">
        <v>822.59</v>
      </c>
      <c r="H1431">
        <v>0.22</v>
      </c>
      <c r="I1431" t="s">
        <v>1809</v>
      </c>
      <c r="J1431">
        <v>1283.2403999999999</v>
      </c>
      <c r="K1431" t="s">
        <v>780</v>
      </c>
      <c r="L1431">
        <v>58</v>
      </c>
      <c r="M1431" t="s">
        <v>9</v>
      </c>
      <c r="N1431" t="s">
        <v>781</v>
      </c>
      <c r="O1431" t="s">
        <v>155</v>
      </c>
      <c r="P1431" t="s">
        <v>12</v>
      </c>
      <c r="Q1431" t="s">
        <v>19</v>
      </c>
      <c r="R1431" t="s">
        <v>3927</v>
      </c>
      <c r="S1431" t="s">
        <v>1541</v>
      </c>
      <c r="T1431" t="s">
        <v>3822</v>
      </c>
      <c r="U1431" t="s">
        <v>1720</v>
      </c>
      <c r="V1431" t="s">
        <v>1741</v>
      </c>
      <c r="W1431" t="s">
        <v>1742</v>
      </c>
      <c r="X1431" t="s">
        <v>1739</v>
      </c>
    </row>
    <row r="1432" spans="1:24" x14ac:dyDescent="0.3">
      <c r="A1432" t="s">
        <v>3239</v>
      </c>
      <c r="B1432" s="2">
        <v>45263</v>
      </c>
      <c r="C1432" t="s">
        <v>713</v>
      </c>
      <c r="D1432" t="s">
        <v>1689</v>
      </c>
      <c r="E1432" t="s">
        <v>1744</v>
      </c>
      <c r="F1432" s="4">
        <v>1</v>
      </c>
      <c r="G1432">
        <v>462.23</v>
      </c>
      <c r="H1432">
        <v>0.3</v>
      </c>
      <c r="I1432" t="s">
        <v>1809</v>
      </c>
      <c r="J1432">
        <v>323.56099999999998</v>
      </c>
      <c r="K1432" t="s">
        <v>714</v>
      </c>
      <c r="L1432">
        <v>50</v>
      </c>
      <c r="M1432" t="s">
        <v>9</v>
      </c>
      <c r="N1432" t="s">
        <v>715</v>
      </c>
      <c r="O1432" t="s">
        <v>230</v>
      </c>
      <c r="P1432" t="s">
        <v>12</v>
      </c>
      <c r="Q1432" t="s">
        <v>19</v>
      </c>
      <c r="R1432" t="s">
        <v>3912</v>
      </c>
      <c r="S1432" t="s">
        <v>1527</v>
      </c>
      <c r="T1432" t="s">
        <v>3824</v>
      </c>
      <c r="U1432" t="s">
        <v>1690</v>
      </c>
      <c r="V1432" t="s">
        <v>1745</v>
      </c>
      <c r="W1432" t="s">
        <v>1746</v>
      </c>
      <c r="X1432" t="s">
        <v>1748</v>
      </c>
    </row>
    <row r="1433" spans="1:24" x14ac:dyDescent="0.3">
      <c r="A1433" t="s">
        <v>3240</v>
      </c>
      <c r="B1433" s="2">
        <v>45906</v>
      </c>
      <c r="C1433" t="s">
        <v>1367</v>
      </c>
      <c r="D1433" t="s">
        <v>1615</v>
      </c>
      <c r="E1433" t="s">
        <v>1790</v>
      </c>
      <c r="F1433" s="4">
        <v>1</v>
      </c>
      <c r="G1433">
        <v>361.09</v>
      </c>
      <c r="H1433">
        <v>0.06</v>
      </c>
      <c r="I1433" t="s">
        <v>1809</v>
      </c>
      <c r="J1433">
        <v>339.42459999999988</v>
      </c>
      <c r="K1433" t="s">
        <v>1368</v>
      </c>
      <c r="L1433">
        <v>64</v>
      </c>
      <c r="M1433" t="s">
        <v>16</v>
      </c>
      <c r="N1433" t="s">
        <v>1369</v>
      </c>
      <c r="O1433" t="s">
        <v>11</v>
      </c>
      <c r="P1433" t="s">
        <v>12</v>
      </c>
      <c r="Q1433" t="s">
        <v>13</v>
      </c>
      <c r="R1433" t="s">
        <v>3872</v>
      </c>
      <c r="S1433" t="s">
        <v>1546</v>
      </c>
      <c r="T1433" t="s">
        <v>3820</v>
      </c>
      <c r="U1433" t="s">
        <v>1616</v>
      </c>
      <c r="V1433" t="s">
        <v>1741</v>
      </c>
      <c r="W1433" t="s">
        <v>1742</v>
      </c>
      <c r="X1433" t="s">
        <v>1739</v>
      </c>
    </row>
    <row r="1434" spans="1:24" x14ac:dyDescent="0.3">
      <c r="A1434" t="s">
        <v>3241</v>
      </c>
      <c r="B1434" s="2">
        <v>45243</v>
      </c>
      <c r="C1434" t="s">
        <v>1183</v>
      </c>
      <c r="D1434" t="s">
        <v>1677</v>
      </c>
      <c r="E1434" t="s">
        <v>1796</v>
      </c>
      <c r="F1434" s="4">
        <v>3</v>
      </c>
      <c r="G1434">
        <v>59.37</v>
      </c>
      <c r="H1434">
        <v>0.03</v>
      </c>
      <c r="I1434" t="s">
        <v>1809</v>
      </c>
      <c r="J1434">
        <v>172.76669999999999</v>
      </c>
      <c r="K1434" t="s">
        <v>1184</v>
      </c>
      <c r="L1434">
        <v>52</v>
      </c>
      <c r="M1434" t="s">
        <v>16</v>
      </c>
      <c r="N1434" t="s">
        <v>1185</v>
      </c>
      <c r="O1434" t="s">
        <v>312</v>
      </c>
      <c r="P1434" t="s">
        <v>12</v>
      </c>
      <c r="Q1434" t="s">
        <v>31</v>
      </c>
      <c r="R1434" t="s">
        <v>3906</v>
      </c>
      <c r="S1434" t="s">
        <v>1549</v>
      </c>
      <c r="T1434" t="s">
        <v>3859</v>
      </c>
      <c r="U1434" t="s">
        <v>1678</v>
      </c>
      <c r="V1434" t="s">
        <v>1741</v>
      </c>
      <c r="W1434" t="s">
        <v>1742</v>
      </c>
      <c r="X1434" t="s">
        <v>1739</v>
      </c>
    </row>
    <row r="1435" spans="1:24" x14ac:dyDescent="0.3">
      <c r="A1435" t="s">
        <v>3242</v>
      </c>
      <c r="B1435" s="2">
        <v>45686</v>
      </c>
      <c r="C1435" t="s">
        <v>143</v>
      </c>
      <c r="D1435" t="s">
        <v>1611</v>
      </c>
      <c r="E1435" t="s">
        <v>1740</v>
      </c>
      <c r="F1435" s="4">
        <v>3</v>
      </c>
      <c r="G1435">
        <v>765.21</v>
      </c>
      <c r="H1435">
        <v>0.14000000000000001</v>
      </c>
      <c r="I1435" t="s">
        <v>1812</v>
      </c>
      <c r="J1435">
        <v>1974.2418</v>
      </c>
      <c r="K1435" t="s">
        <v>144</v>
      </c>
      <c r="L1435">
        <v>27</v>
      </c>
      <c r="M1435" t="s">
        <v>16</v>
      </c>
      <c r="N1435" t="s">
        <v>145</v>
      </c>
      <c r="O1435" t="s">
        <v>81</v>
      </c>
      <c r="P1435" t="s">
        <v>12</v>
      </c>
      <c r="Q1435" t="s">
        <v>13</v>
      </c>
      <c r="R1435" t="s">
        <v>3870</v>
      </c>
      <c r="S1435" t="s">
        <v>1546</v>
      </c>
      <c r="T1435" t="s">
        <v>3826</v>
      </c>
      <c r="U1435" t="s">
        <v>1612</v>
      </c>
      <c r="V1435" t="s">
        <v>1741</v>
      </c>
      <c r="W1435" t="s">
        <v>1742</v>
      </c>
      <c r="X1435" t="s">
        <v>1739</v>
      </c>
    </row>
    <row r="1436" spans="1:24" x14ac:dyDescent="0.3">
      <c r="A1436" t="s">
        <v>3243</v>
      </c>
      <c r="B1436" s="2">
        <v>45472</v>
      </c>
      <c r="C1436" t="s">
        <v>773</v>
      </c>
      <c r="D1436" t="s">
        <v>1595</v>
      </c>
      <c r="E1436" t="s">
        <v>1777</v>
      </c>
      <c r="F1436" s="4">
        <v>4</v>
      </c>
      <c r="G1436">
        <v>303.56</v>
      </c>
      <c r="H1436">
        <v>0.2</v>
      </c>
      <c r="I1436" t="s">
        <v>1812</v>
      </c>
      <c r="J1436">
        <v>971.39200000000005</v>
      </c>
      <c r="K1436" t="s">
        <v>774</v>
      </c>
      <c r="L1436">
        <v>19</v>
      </c>
      <c r="M1436" t="s">
        <v>9</v>
      </c>
      <c r="N1436" t="s">
        <v>775</v>
      </c>
      <c r="O1436" t="s">
        <v>354</v>
      </c>
      <c r="P1436" t="s">
        <v>12</v>
      </c>
      <c r="Q1436" t="s">
        <v>13</v>
      </c>
      <c r="R1436" t="s">
        <v>3860</v>
      </c>
      <c r="S1436" t="s">
        <v>1541</v>
      </c>
      <c r="T1436" t="s">
        <v>3822</v>
      </c>
      <c r="U1436" t="s">
        <v>1596</v>
      </c>
      <c r="V1436" t="s">
        <v>1741</v>
      </c>
      <c r="W1436" t="s">
        <v>1742</v>
      </c>
      <c r="X1436" t="s">
        <v>1739</v>
      </c>
    </row>
    <row r="1437" spans="1:24" x14ac:dyDescent="0.3">
      <c r="A1437" t="s">
        <v>3244</v>
      </c>
      <c r="B1437" s="2">
        <v>45779</v>
      </c>
      <c r="C1437" t="s">
        <v>1355</v>
      </c>
      <c r="D1437" t="s">
        <v>1585</v>
      </c>
      <c r="E1437" t="s">
        <v>1735</v>
      </c>
      <c r="F1437" s="4">
        <v>1</v>
      </c>
      <c r="G1437">
        <v>640.92999999999995</v>
      </c>
      <c r="H1437">
        <v>0.19</v>
      </c>
      <c r="I1437" t="s">
        <v>1809</v>
      </c>
      <c r="J1437">
        <v>519.15329999999994</v>
      </c>
      <c r="K1437" t="s">
        <v>1356</v>
      </c>
      <c r="L1437">
        <v>19</v>
      </c>
      <c r="M1437" t="s">
        <v>9</v>
      </c>
      <c r="N1437" t="s">
        <v>1357</v>
      </c>
      <c r="O1437" t="s">
        <v>354</v>
      </c>
      <c r="P1437" t="s">
        <v>12</v>
      </c>
      <c r="Q1437" t="s">
        <v>31</v>
      </c>
      <c r="R1437" t="s">
        <v>3854</v>
      </c>
      <c r="S1437" t="s">
        <v>1527</v>
      </c>
      <c r="T1437" t="s">
        <v>3836</v>
      </c>
      <c r="U1437" t="s">
        <v>1586</v>
      </c>
      <c r="V1437" t="s">
        <v>1736</v>
      </c>
      <c r="W1437" t="s">
        <v>1737</v>
      </c>
      <c r="X1437" t="s">
        <v>1739</v>
      </c>
    </row>
    <row r="1438" spans="1:24" x14ac:dyDescent="0.3">
      <c r="A1438" t="s">
        <v>3245</v>
      </c>
      <c r="B1438" s="2">
        <v>45830</v>
      </c>
      <c r="C1438" t="s">
        <v>570</v>
      </c>
      <c r="D1438" t="s">
        <v>1703</v>
      </c>
      <c r="E1438" t="s">
        <v>1772</v>
      </c>
      <c r="F1438" s="4">
        <v>2</v>
      </c>
      <c r="G1438">
        <v>611.25</v>
      </c>
      <c r="H1438">
        <v>0.22</v>
      </c>
      <c r="I1438" t="s">
        <v>1807</v>
      </c>
      <c r="J1438">
        <v>953.55000000000007</v>
      </c>
      <c r="K1438" t="s">
        <v>571</v>
      </c>
      <c r="L1438">
        <v>56</v>
      </c>
      <c r="M1438" t="s">
        <v>9</v>
      </c>
      <c r="N1438" t="s">
        <v>572</v>
      </c>
      <c r="O1438" t="s">
        <v>170</v>
      </c>
      <c r="P1438" t="s">
        <v>12</v>
      </c>
      <c r="Q1438" t="s">
        <v>13</v>
      </c>
      <c r="R1438" t="s">
        <v>3919</v>
      </c>
      <c r="S1438" t="s">
        <v>1527</v>
      </c>
      <c r="T1438" t="s">
        <v>3830</v>
      </c>
      <c r="U1438" t="s">
        <v>1704</v>
      </c>
      <c r="V1438" t="s">
        <v>1741</v>
      </c>
      <c r="W1438" t="s">
        <v>1742</v>
      </c>
      <c r="X1438" t="s">
        <v>1739</v>
      </c>
    </row>
    <row r="1439" spans="1:24" x14ac:dyDescent="0.3">
      <c r="A1439" t="s">
        <v>3246</v>
      </c>
      <c r="B1439" s="2">
        <v>45756</v>
      </c>
      <c r="C1439" t="s">
        <v>1406</v>
      </c>
      <c r="D1439" t="s">
        <v>1663</v>
      </c>
      <c r="E1439" t="s">
        <v>1740</v>
      </c>
      <c r="F1439" s="4">
        <v>1</v>
      </c>
      <c r="G1439">
        <v>209.93</v>
      </c>
      <c r="H1439">
        <v>0.21</v>
      </c>
      <c r="I1439" t="s">
        <v>1807</v>
      </c>
      <c r="J1439">
        <v>165.84469999999999</v>
      </c>
      <c r="K1439" t="s">
        <v>1407</v>
      </c>
      <c r="L1439">
        <v>34</v>
      </c>
      <c r="M1439" t="s">
        <v>16</v>
      </c>
      <c r="N1439" t="s">
        <v>1408</v>
      </c>
      <c r="O1439" t="s">
        <v>62</v>
      </c>
      <c r="P1439" t="s">
        <v>12</v>
      </c>
      <c r="Q1439" t="s">
        <v>31</v>
      </c>
      <c r="R1439" t="s">
        <v>3898</v>
      </c>
      <c r="S1439" t="s">
        <v>1541</v>
      </c>
      <c r="T1439" t="s">
        <v>3833</v>
      </c>
      <c r="U1439" t="s">
        <v>1664</v>
      </c>
      <c r="V1439" t="s">
        <v>1741</v>
      </c>
      <c r="W1439" t="s">
        <v>1742</v>
      </c>
      <c r="X1439" t="s">
        <v>1739</v>
      </c>
    </row>
    <row r="1440" spans="1:24" x14ac:dyDescent="0.3">
      <c r="A1440" t="s">
        <v>3247</v>
      </c>
      <c r="B1440" s="2">
        <v>45847</v>
      </c>
      <c r="C1440" t="s">
        <v>382</v>
      </c>
      <c r="D1440" t="s">
        <v>1729</v>
      </c>
      <c r="E1440" t="s">
        <v>1772</v>
      </c>
      <c r="F1440" s="4">
        <v>3</v>
      </c>
      <c r="G1440">
        <v>130.38999999999999</v>
      </c>
      <c r="H1440">
        <v>0.24</v>
      </c>
      <c r="I1440" t="s">
        <v>1809</v>
      </c>
      <c r="J1440">
        <v>297.28919999999999</v>
      </c>
      <c r="K1440" t="s">
        <v>383</v>
      </c>
      <c r="L1440">
        <v>18</v>
      </c>
      <c r="M1440" t="s">
        <v>16</v>
      </c>
      <c r="N1440" t="s">
        <v>384</v>
      </c>
      <c r="O1440" t="s">
        <v>139</v>
      </c>
      <c r="P1440" t="s">
        <v>12</v>
      </c>
      <c r="Q1440" t="s">
        <v>13</v>
      </c>
      <c r="R1440" t="s">
        <v>3932</v>
      </c>
      <c r="S1440" t="s">
        <v>1527</v>
      </c>
      <c r="T1440" t="s">
        <v>3830</v>
      </c>
      <c r="U1440" t="s">
        <v>1730</v>
      </c>
      <c r="V1440" t="s">
        <v>1741</v>
      </c>
      <c r="W1440" t="s">
        <v>1742</v>
      </c>
      <c r="X1440" t="s">
        <v>1739</v>
      </c>
    </row>
    <row r="1441" spans="1:24" x14ac:dyDescent="0.3">
      <c r="A1441" t="s">
        <v>3248</v>
      </c>
      <c r="B1441" s="2">
        <v>45322</v>
      </c>
      <c r="C1441" t="s">
        <v>914</v>
      </c>
      <c r="D1441" t="s">
        <v>1717</v>
      </c>
      <c r="E1441" t="s">
        <v>1762</v>
      </c>
      <c r="F1441" s="4">
        <v>2</v>
      </c>
      <c r="G1441">
        <v>846.18</v>
      </c>
      <c r="H1441">
        <v>0.1</v>
      </c>
      <c r="I1441" t="s">
        <v>1812</v>
      </c>
      <c r="J1441">
        <v>1523.124</v>
      </c>
      <c r="K1441" t="s">
        <v>915</v>
      </c>
      <c r="L1441">
        <v>30</v>
      </c>
      <c r="M1441" t="s">
        <v>9</v>
      </c>
      <c r="N1441" t="s">
        <v>916</v>
      </c>
      <c r="O1441" t="s">
        <v>113</v>
      </c>
      <c r="P1441" t="s">
        <v>12</v>
      </c>
      <c r="Q1441" t="s">
        <v>26</v>
      </c>
      <c r="R1441" t="s">
        <v>3926</v>
      </c>
      <c r="S1441" t="s">
        <v>1546</v>
      </c>
      <c r="T1441" t="s">
        <v>3811</v>
      </c>
      <c r="U1441" t="s">
        <v>1718</v>
      </c>
      <c r="V1441" t="s">
        <v>1763</v>
      </c>
      <c r="W1441" t="s">
        <v>1746</v>
      </c>
      <c r="X1441" t="s">
        <v>1755</v>
      </c>
    </row>
    <row r="1442" spans="1:24" x14ac:dyDescent="0.3">
      <c r="A1442" t="s">
        <v>3249</v>
      </c>
      <c r="B1442" s="2">
        <v>45829</v>
      </c>
      <c r="C1442" t="s">
        <v>1097</v>
      </c>
      <c r="D1442" t="s">
        <v>1671</v>
      </c>
      <c r="E1442" t="s">
        <v>1782</v>
      </c>
      <c r="F1442" s="4">
        <v>2</v>
      </c>
      <c r="G1442">
        <v>424.53</v>
      </c>
      <c r="H1442">
        <v>0.14000000000000001</v>
      </c>
      <c r="I1442" t="s">
        <v>1812</v>
      </c>
      <c r="J1442">
        <v>730.19159999999999</v>
      </c>
      <c r="K1442" t="s">
        <v>1098</v>
      </c>
      <c r="L1442">
        <v>20</v>
      </c>
      <c r="M1442" t="s">
        <v>9</v>
      </c>
      <c r="N1442" t="s">
        <v>1099</v>
      </c>
      <c r="O1442" t="s">
        <v>166</v>
      </c>
      <c r="P1442" t="s">
        <v>12</v>
      </c>
      <c r="Q1442" t="s">
        <v>31</v>
      </c>
      <c r="R1442" t="s">
        <v>3903</v>
      </c>
      <c r="S1442" t="s">
        <v>1527</v>
      </c>
      <c r="T1442" t="s">
        <v>3847</v>
      </c>
      <c r="U1442" t="s">
        <v>1672</v>
      </c>
      <c r="V1442" t="s">
        <v>1741</v>
      </c>
      <c r="W1442" t="s">
        <v>1742</v>
      </c>
      <c r="X1442" t="s">
        <v>1739</v>
      </c>
    </row>
    <row r="1443" spans="1:24" x14ac:dyDescent="0.3">
      <c r="A1443" t="s">
        <v>3250</v>
      </c>
      <c r="B1443" s="2">
        <v>45539</v>
      </c>
      <c r="C1443" t="s">
        <v>817</v>
      </c>
      <c r="D1443" t="s">
        <v>1707</v>
      </c>
      <c r="E1443" t="s">
        <v>1782</v>
      </c>
      <c r="F1443" s="4">
        <v>4</v>
      </c>
      <c r="G1443">
        <v>450.42</v>
      </c>
      <c r="H1443">
        <v>0.08</v>
      </c>
      <c r="I1443" t="s">
        <v>1812</v>
      </c>
      <c r="J1443">
        <v>1657.5455999999999</v>
      </c>
      <c r="K1443" t="s">
        <v>818</v>
      </c>
      <c r="L1443">
        <v>32</v>
      </c>
      <c r="M1443" t="s">
        <v>16</v>
      </c>
      <c r="N1443" t="s">
        <v>819</v>
      </c>
      <c r="O1443" t="s">
        <v>354</v>
      </c>
      <c r="P1443" t="s">
        <v>12</v>
      </c>
      <c r="Q1443" t="s">
        <v>19</v>
      </c>
      <c r="R1443" t="s">
        <v>3921</v>
      </c>
      <c r="S1443" t="s">
        <v>1549</v>
      </c>
      <c r="T1443" t="s">
        <v>3820</v>
      </c>
      <c r="U1443" t="s">
        <v>1708</v>
      </c>
      <c r="V1443" t="s">
        <v>1741</v>
      </c>
      <c r="W1443" t="s">
        <v>1742</v>
      </c>
      <c r="X1443" t="s">
        <v>1739</v>
      </c>
    </row>
    <row r="1444" spans="1:24" x14ac:dyDescent="0.3">
      <c r="A1444" t="s">
        <v>3251</v>
      </c>
      <c r="B1444" s="2">
        <v>45893</v>
      </c>
      <c r="C1444" t="s">
        <v>518</v>
      </c>
      <c r="D1444" t="s">
        <v>1583</v>
      </c>
      <c r="E1444" t="s">
        <v>1769</v>
      </c>
      <c r="F1444" s="4">
        <v>4</v>
      </c>
      <c r="G1444">
        <v>896.91</v>
      </c>
      <c r="H1444">
        <v>0.1</v>
      </c>
      <c r="I1444" t="s">
        <v>1807</v>
      </c>
      <c r="J1444">
        <v>3228.8760000000002</v>
      </c>
      <c r="K1444" t="s">
        <v>519</v>
      </c>
      <c r="L1444">
        <v>59</v>
      </c>
      <c r="M1444" t="s">
        <v>9</v>
      </c>
      <c r="N1444" t="s">
        <v>520</v>
      </c>
      <c r="O1444" t="s">
        <v>18</v>
      </c>
      <c r="P1444" t="s">
        <v>12</v>
      </c>
      <c r="Q1444" t="s">
        <v>26</v>
      </c>
      <c r="R1444" t="s">
        <v>3853</v>
      </c>
      <c r="S1444" t="s">
        <v>1546</v>
      </c>
      <c r="T1444" t="s">
        <v>3826</v>
      </c>
      <c r="U1444" t="s">
        <v>1584</v>
      </c>
      <c r="V1444" t="s">
        <v>1770</v>
      </c>
      <c r="W1444" t="s">
        <v>1746</v>
      </c>
      <c r="X1444" t="s">
        <v>1739</v>
      </c>
    </row>
    <row r="1445" spans="1:24" x14ac:dyDescent="0.3">
      <c r="A1445" t="s">
        <v>3252</v>
      </c>
      <c r="B1445" s="2">
        <v>45814</v>
      </c>
      <c r="C1445" t="s">
        <v>1475</v>
      </c>
      <c r="D1445" t="s">
        <v>1725</v>
      </c>
      <c r="E1445" t="s">
        <v>1772</v>
      </c>
      <c r="F1445" s="4">
        <v>3</v>
      </c>
      <c r="G1445">
        <v>679.38</v>
      </c>
      <c r="H1445">
        <v>0.3</v>
      </c>
      <c r="I1445" t="s">
        <v>1812</v>
      </c>
      <c r="J1445">
        <v>1426.6980000000001</v>
      </c>
      <c r="K1445" t="s">
        <v>1476</v>
      </c>
      <c r="L1445">
        <v>22</v>
      </c>
      <c r="M1445" t="s">
        <v>16</v>
      </c>
      <c r="N1445" t="s">
        <v>1477</v>
      </c>
      <c r="O1445" t="s">
        <v>284</v>
      </c>
      <c r="P1445" t="s">
        <v>12</v>
      </c>
      <c r="Q1445" t="s">
        <v>26</v>
      </c>
      <c r="R1445" t="s">
        <v>3930</v>
      </c>
      <c r="S1445" t="s">
        <v>1549</v>
      </c>
      <c r="T1445" t="s">
        <v>3859</v>
      </c>
      <c r="U1445" t="s">
        <v>1726</v>
      </c>
      <c r="V1445" t="s">
        <v>1741</v>
      </c>
      <c r="W1445" t="s">
        <v>1742</v>
      </c>
      <c r="X1445" t="s">
        <v>1739</v>
      </c>
    </row>
    <row r="1446" spans="1:24" x14ac:dyDescent="0.3">
      <c r="A1446" t="s">
        <v>3253</v>
      </c>
      <c r="B1446" s="2">
        <v>45571</v>
      </c>
      <c r="C1446" t="s">
        <v>75</v>
      </c>
      <c r="D1446" t="s">
        <v>1691</v>
      </c>
      <c r="E1446" t="s">
        <v>1787</v>
      </c>
      <c r="F1446" s="4">
        <v>3</v>
      </c>
      <c r="G1446">
        <v>483.63</v>
      </c>
      <c r="H1446">
        <v>0</v>
      </c>
      <c r="I1446" t="s">
        <v>1807</v>
      </c>
      <c r="J1446">
        <v>1450.89</v>
      </c>
      <c r="K1446" t="s">
        <v>76</v>
      </c>
      <c r="L1446">
        <v>60</v>
      </c>
      <c r="M1446" t="s">
        <v>16</v>
      </c>
      <c r="N1446" t="s">
        <v>77</v>
      </c>
      <c r="O1446" t="s">
        <v>51</v>
      </c>
      <c r="P1446" t="s">
        <v>12</v>
      </c>
      <c r="Q1446" t="s">
        <v>26</v>
      </c>
      <c r="R1446" t="s">
        <v>3913</v>
      </c>
      <c r="S1446" t="s">
        <v>1527</v>
      </c>
      <c r="T1446" t="s">
        <v>3830</v>
      </c>
      <c r="U1446" t="s">
        <v>1692</v>
      </c>
      <c r="V1446" t="s">
        <v>1741</v>
      </c>
      <c r="W1446" t="s">
        <v>1742</v>
      </c>
      <c r="X1446" t="s">
        <v>1739</v>
      </c>
    </row>
    <row r="1447" spans="1:24" x14ac:dyDescent="0.3">
      <c r="A1447" t="s">
        <v>3254</v>
      </c>
      <c r="B1447" s="2">
        <v>45542</v>
      </c>
      <c r="C1447" t="s">
        <v>124</v>
      </c>
      <c r="D1447" t="s">
        <v>1609</v>
      </c>
      <c r="E1447" t="s">
        <v>1735</v>
      </c>
      <c r="F1447" s="4">
        <v>3</v>
      </c>
      <c r="G1447">
        <v>158.27000000000001</v>
      </c>
      <c r="H1447">
        <v>0.24</v>
      </c>
      <c r="I1447" t="s">
        <v>1812</v>
      </c>
      <c r="J1447">
        <v>360.85559999999998</v>
      </c>
      <c r="K1447" t="s">
        <v>125</v>
      </c>
      <c r="L1447">
        <v>41</v>
      </c>
      <c r="M1447" t="s">
        <v>9</v>
      </c>
      <c r="N1447" t="s">
        <v>126</v>
      </c>
      <c r="O1447" t="s">
        <v>51</v>
      </c>
      <c r="P1447" t="s">
        <v>12</v>
      </c>
      <c r="Q1447" t="s">
        <v>26</v>
      </c>
      <c r="R1447" t="s">
        <v>3868</v>
      </c>
      <c r="S1447" t="s">
        <v>1546</v>
      </c>
      <c r="T1447" t="s">
        <v>3869</v>
      </c>
      <c r="U1447" t="s">
        <v>1610</v>
      </c>
      <c r="V1447" t="s">
        <v>1736</v>
      </c>
      <c r="W1447" t="s">
        <v>1737</v>
      </c>
      <c r="X1447" t="s">
        <v>1739</v>
      </c>
    </row>
    <row r="1448" spans="1:24" x14ac:dyDescent="0.3">
      <c r="A1448" t="s">
        <v>3255</v>
      </c>
      <c r="B1448" s="2">
        <v>45758</v>
      </c>
      <c r="C1448" t="s">
        <v>397</v>
      </c>
      <c r="D1448" t="s">
        <v>1532</v>
      </c>
      <c r="E1448" t="s">
        <v>1784</v>
      </c>
      <c r="F1448" s="4">
        <v>4</v>
      </c>
      <c r="G1448">
        <v>601.5</v>
      </c>
      <c r="H1448">
        <v>0.18</v>
      </c>
      <c r="I1448" t="s">
        <v>1807</v>
      </c>
      <c r="J1448">
        <v>1972.92</v>
      </c>
      <c r="K1448" t="s">
        <v>398</v>
      </c>
      <c r="L1448">
        <v>18</v>
      </c>
      <c r="M1448" t="s">
        <v>16</v>
      </c>
      <c r="N1448" t="s">
        <v>399</v>
      </c>
      <c r="O1448" t="s">
        <v>18</v>
      </c>
      <c r="P1448" t="s">
        <v>12</v>
      </c>
      <c r="Q1448" t="s">
        <v>19</v>
      </c>
      <c r="R1448" t="s">
        <v>3843</v>
      </c>
      <c r="S1448" t="s">
        <v>1549</v>
      </c>
      <c r="T1448" t="s">
        <v>3844</v>
      </c>
      <c r="U1448" t="s">
        <v>1570</v>
      </c>
      <c r="V1448" t="s">
        <v>1741</v>
      </c>
      <c r="W1448" t="s">
        <v>1742</v>
      </c>
      <c r="X1448" t="s">
        <v>1739</v>
      </c>
    </row>
    <row r="1449" spans="1:24" x14ac:dyDescent="0.3">
      <c r="A1449" t="s">
        <v>3256</v>
      </c>
      <c r="B1449" s="2">
        <v>45709</v>
      </c>
      <c r="C1449" t="s">
        <v>252</v>
      </c>
      <c r="D1449" t="s">
        <v>1593</v>
      </c>
      <c r="E1449" t="s">
        <v>1793</v>
      </c>
      <c r="F1449" s="4">
        <v>2</v>
      </c>
      <c r="G1449">
        <v>46.39</v>
      </c>
      <c r="H1449">
        <v>7.0000000000000007E-2</v>
      </c>
      <c r="I1449" t="s">
        <v>1807</v>
      </c>
      <c r="J1449">
        <v>86.285399999999996</v>
      </c>
      <c r="K1449" t="s">
        <v>253</v>
      </c>
      <c r="L1449">
        <v>29</v>
      </c>
      <c r="M1449" t="s">
        <v>16</v>
      </c>
      <c r="N1449" t="s">
        <v>254</v>
      </c>
      <c r="O1449" t="s">
        <v>88</v>
      </c>
      <c r="P1449" t="s">
        <v>12</v>
      </c>
      <c r="Q1449" t="s">
        <v>19</v>
      </c>
      <c r="R1449" t="s">
        <v>3858</v>
      </c>
      <c r="S1449" t="s">
        <v>1549</v>
      </c>
      <c r="T1449" t="s">
        <v>3859</v>
      </c>
      <c r="U1449" t="s">
        <v>1594</v>
      </c>
      <c r="V1449" t="s">
        <v>1741</v>
      </c>
      <c r="W1449" t="s">
        <v>1742</v>
      </c>
      <c r="X1449" t="s">
        <v>1739</v>
      </c>
    </row>
    <row r="1450" spans="1:24" x14ac:dyDescent="0.3">
      <c r="A1450" t="s">
        <v>3257</v>
      </c>
      <c r="B1450" s="2">
        <v>45587</v>
      </c>
      <c r="C1450" t="s">
        <v>409</v>
      </c>
      <c r="D1450" t="s">
        <v>1695</v>
      </c>
      <c r="E1450" t="s">
        <v>1765</v>
      </c>
      <c r="F1450" s="4">
        <v>4</v>
      </c>
      <c r="G1450">
        <v>892.28</v>
      </c>
      <c r="H1450">
        <v>0.23</v>
      </c>
      <c r="I1450" t="s">
        <v>1807</v>
      </c>
      <c r="J1450">
        <v>2748.2224000000001</v>
      </c>
      <c r="K1450" t="s">
        <v>410</v>
      </c>
      <c r="L1450">
        <v>44</v>
      </c>
      <c r="M1450" t="s">
        <v>16</v>
      </c>
      <c r="N1450" t="s">
        <v>411</v>
      </c>
      <c r="O1450" t="s">
        <v>234</v>
      </c>
      <c r="P1450" t="s">
        <v>12</v>
      </c>
      <c r="Q1450" t="s">
        <v>26</v>
      </c>
      <c r="R1450" t="s">
        <v>3915</v>
      </c>
      <c r="S1450" t="s">
        <v>1549</v>
      </c>
      <c r="T1450" t="s">
        <v>3828</v>
      </c>
      <c r="U1450" t="s">
        <v>1696</v>
      </c>
      <c r="V1450" t="s">
        <v>1766</v>
      </c>
      <c r="W1450" t="s">
        <v>1767</v>
      </c>
      <c r="X1450" t="s">
        <v>1755</v>
      </c>
    </row>
    <row r="1451" spans="1:24" x14ac:dyDescent="0.3">
      <c r="A1451" t="s">
        <v>3258</v>
      </c>
      <c r="B1451" s="2">
        <v>45494</v>
      </c>
      <c r="C1451" t="s">
        <v>710</v>
      </c>
      <c r="D1451" t="s">
        <v>1551</v>
      </c>
      <c r="E1451" t="s">
        <v>1762</v>
      </c>
      <c r="F1451" s="4">
        <v>2</v>
      </c>
      <c r="G1451">
        <v>164.23</v>
      </c>
      <c r="H1451">
        <v>0.17</v>
      </c>
      <c r="I1451" t="s">
        <v>1807</v>
      </c>
      <c r="J1451">
        <v>272.62180000000001</v>
      </c>
      <c r="K1451" t="s">
        <v>711</v>
      </c>
      <c r="L1451">
        <v>35</v>
      </c>
      <c r="M1451" t="s">
        <v>9</v>
      </c>
      <c r="N1451" t="s">
        <v>712</v>
      </c>
      <c r="O1451" t="s">
        <v>81</v>
      </c>
      <c r="P1451" t="s">
        <v>12</v>
      </c>
      <c r="Q1451" t="s">
        <v>19</v>
      </c>
      <c r="R1451" t="s">
        <v>3829</v>
      </c>
      <c r="S1451" t="s">
        <v>1527</v>
      </c>
      <c r="T1451" t="s">
        <v>3830</v>
      </c>
      <c r="U1451" t="s">
        <v>1552</v>
      </c>
      <c r="V1451" t="s">
        <v>1763</v>
      </c>
      <c r="W1451" t="s">
        <v>1746</v>
      </c>
      <c r="X1451" t="s">
        <v>1755</v>
      </c>
    </row>
    <row r="1452" spans="1:24" x14ac:dyDescent="0.3">
      <c r="A1452" t="s">
        <v>3259</v>
      </c>
      <c r="B1452" s="2">
        <v>45305</v>
      </c>
      <c r="C1452" t="s">
        <v>1381</v>
      </c>
      <c r="D1452" t="s">
        <v>1548</v>
      </c>
      <c r="E1452" t="s">
        <v>1762</v>
      </c>
      <c r="F1452" s="4">
        <v>1</v>
      </c>
      <c r="G1452">
        <v>484.23</v>
      </c>
      <c r="H1452">
        <v>0.12</v>
      </c>
      <c r="I1452" t="s">
        <v>1812</v>
      </c>
      <c r="J1452">
        <v>426.12240000000003</v>
      </c>
      <c r="K1452" t="s">
        <v>1382</v>
      </c>
      <c r="L1452">
        <v>62</v>
      </c>
      <c r="M1452" t="s">
        <v>16</v>
      </c>
      <c r="N1452" t="s">
        <v>1383</v>
      </c>
      <c r="O1452" t="s">
        <v>309</v>
      </c>
      <c r="P1452" t="s">
        <v>12</v>
      </c>
      <c r="Q1452" t="s">
        <v>26</v>
      </c>
      <c r="R1452" t="s">
        <v>3922</v>
      </c>
      <c r="S1452" t="s">
        <v>1541</v>
      </c>
      <c r="T1452" t="s">
        <v>3878</v>
      </c>
      <c r="U1452" t="s">
        <v>1710</v>
      </c>
      <c r="V1452" t="s">
        <v>1763</v>
      </c>
      <c r="W1452" t="s">
        <v>1746</v>
      </c>
      <c r="X1452" t="s">
        <v>1755</v>
      </c>
    </row>
    <row r="1453" spans="1:24" x14ac:dyDescent="0.3">
      <c r="A1453" t="s">
        <v>3260</v>
      </c>
      <c r="B1453" s="2">
        <v>45383</v>
      </c>
      <c r="C1453" t="s">
        <v>32</v>
      </c>
      <c r="D1453" t="s">
        <v>1601</v>
      </c>
      <c r="E1453" t="s">
        <v>1793</v>
      </c>
      <c r="F1453" s="4">
        <v>3</v>
      </c>
      <c r="G1453">
        <v>341.51</v>
      </c>
      <c r="H1453">
        <v>0.22</v>
      </c>
      <c r="I1453" t="s">
        <v>1812</v>
      </c>
      <c r="J1453">
        <v>799.13340000000005</v>
      </c>
      <c r="K1453" t="s">
        <v>33</v>
      </c>
      <c r="L1453">
        <v>29</v>
      </c>
      <c r="M1453" t="s">
        <v>16</v>
      </c>
      <c r="N1453" t="s">
        <v>34</v>
      </c>
      <c r="O1453" t="s">
        <v>35</v>
      </c>
      <c r="P1453" t="s">
        <v>12</v>
      </c>
      <c r="Q1453" t="s">
        <v>26</v>
      </c>
      <c r="R1453" t="s">
        <v>3863</v>
      </c>
      <c r="S1453" t="s">
        <v>1527</v>
      </c>
      <c r="T1453" t="s">
        <v>3824</v>
      </c>
      <c r="U1453" t="s">
        <v>1602</v>
      </c>
      <c r="V1453" t="s">
        <v>1741</v>
      </c>
      <c r="W1453" t="s">
        <v>1742</v>
      </c>
      <c r="X1453" t="s">
        <v>1739</v>
      </c>
    </row>
    <row r="1454" spans="1:24" x14ac:dyDescent="0.3">
      <c r="A1454" t="s">
        <v>3261</v>
      </c>
      <c r="B1454" s="2">
        <v>45788</v>
      </c>
      <c r="C1454" t="s">
        <v>379</v>
      </c>
      <c r="D1454" t="s">
        <v>1727</v>
      </c>
      <c r="E1454" t="s">
        <v>1780</v>
      </c>
      <c r="F1454" s="4">
        <v>3</v>
      </c>
      <c r="G1454">
        <v>758.87</v>
      </c>
      <c r="H1454">
        <v>0.11</v>
      </c>
      <c r="I1454" t="s">
        <v>1809</v>
      </c>
      <c r="J1454">
        <v>2026.1829</v>
      </c>
      <c r="K1454" t="s">
        <v>380</v>
      </c>
      <c r="L1454">
        <v>40</v>
      </c>
      <c r="M1454" t="s">
        <v>16</v>
      </c>
      <c r="N1454" t="s">
        <v>381</v>
      </c>
      <c r="O1454" t="s">
        <v>43</v>
      </c>
      <c r="P1454" t="s">
        <v>12</v>
      </c>
      <c r="Q1454" t="s">
        <v>31</v>
      </c>
      <c r="R1454" t="s">
        <v>3931</v>
      </c>
      <c r="S1454" t="s">
        <v>1546</v>
      </c>
      <c r="T1454" t="s">
        <v>3826</v>
      </c>
      <c r="U1454" t="s">
        <v>1728</v>
      </c>
      <c r="V1454" t="s">
        <v>1741</v>
      </c>
      <c r="W1454" t="s">
        <v>1742</v>
      </c>
      <c r="X1454" t="s">
        <v>1739</v>
      </c>
    </row>
    <row r="1455" spans="1:24" x14ac:dyDescent="0.3">
      <c r="A1455" t="s">
        <v>3262</v>
      </c>
      <c r="B1455" s="2">
        <v>45855</v>
      </c>
      <c r="C1455" t="s">
        <v>1433</v>
      </c>
      <c r="D1455" t="s">
        <v>1643</v>
      </c>
      <c r="E1455" t="s">
        <v>1777</v>
      </c>
      <c r="F1455" s="4">
        <v>3</v>
      </c>
      <c r="G1455">
        <v>560.52</v>
      </c>
      <c r="H1455">
        <v>0.17</v>
      </c>
      <c r="I1455" t="s">
        <v>1807</v>
      </c>
      <c r="J1455">
        <v>1395.6948</v>
      </c>
      <c r="K1455" t="s">
        <v>1434</v>
      </c>
      <c r="L1455">
        <v>42</v>
      </c>
      <c r="M1455" t="s">
        <v>9</v>
      </c>
      <c r="N1455" t="s">
        <v>1435</v>
      </c>
      <c r="O1455" t="s">
        <v>47</v>
      </c>
      <c r="P1455" t="s">
        <v>12</v>
      </c>
      <c r="Q1455" t="s">
        <v>13</v>
      </c>
      <c r="R1455" t="s">
        <v>3888</v>
      </c>
      <c r="S1455" t="s">
        <v>1527</v>
      </c>
      <c r="T1455" t="s">
        <v>3836</v>
      </c>
      <c r="U1455" t="s">
        <v>1644</v>
      </c>
      <c r="V1455" t="s">
        <v>1741</v>
      </c>
      <c r="W1455" t="s">
        <v>1742</v>
      </c>
      <c r="X1455" t="s">
        <v>1739</v>
      </c>
    </row>
    <row r="1456" spans="1:24" x14ac:dyDescent="0.3">
      <c r="A1456" t="s">
        <v>3263</v>
      </c>
      <c r="B1456" s="2">
        <v>45533</v>
      </c>
      <c r="C1456" t="s">
        <v>1089</v>
      </c>
      <c r="D1456" t="s">
        <v>1723</v>
      </c>
      <c r="E1456" t="s">
        <v>1790</v>
      </c>
      <c r="F1456" s="4">
        <v>2</v>
      </c>
      <c r="G1456">
        <v>977.18</v>
      </c>
      <c r="H1456">
        <v>0.19</v>
      </c>
      <c r="I1456" t="s">
        <v>1807</v>
      </c>
      <c r="J1456">
        <v>1583.0316</v>
      </c>
      <c r="K1456" t="s">
        <v>1090</v>
      </c>
      <c r="L1456">
        <v>52</v>
      </c>
      <c r="M1456" t="s">
        <v>16</v>
      </c>
      <c r="N1456" t="s">
        <v>1091</v>
      </c>
      <c r="O1456" t="s">
        <v>70</v>
      </c>
      <c r="P1456" t="s">
        <v>12</v>
      </c>
      <c r="Q1456" t="s">
        <v>26</v>
      </c>
      <c r="R1456" t="s">
        <v>3929</v>
      </c>
      <c r="S1456" t="s">
        <v>1530</v>
      </c>
      <c r="T1456" t="s">
        <v>3815</v>
      </c>
      <c r="U1456" t="s">
        <v>1724</v>
      </c>
      <c r="V1456" t="s">
        <v>1741</v>
      </c>
      <c r="W1456" t="s">
        <v>1742</v>
      </c>
      <c r="X1456" t="s">
        <v>1739</v>
      </c>
    </row>
    <row r="1457" spans="1:24" x14ac:dyDescent="0.3">
      <c r="A1457" t="s">
        <v>3264</v>
      </c>
      <c r="B1457" s="2">
        <v>45763</v>
      </c>
      <c r="C1457" t="s">
        <v>752</v>
      </c>
      <c r="D1457" t="s">
        <v>1563</v>
      </c>
      <c r="E1457" t="s">
        <v>1782</v>
      </c>
      <c r="F1457" s="4">
        <v>4</v>
      </c>
      <c r="G1457">
        <v>761.35</v>
      </c>
      <c r="H1457">
        <v>0.08</v>
      </c>
      <c r="I1457" t="s">
        <v>1807</v>
      </c>
      <c r="J1457">
        <v>2801.768</v>
      </c>
      <c r="K1457" t="s">
        <v>753</v>
      </c>
      <c r="L1457">
        <v>41</v>
      </c>
      <c r="M1457" t="s">
        <v>16</v>
      </c>
      <c r="N1457" t="s">
        <v>754</v>
      </c>
      <c r="O1457" t="s">
        <v>284</v>
      </c>
      <c r="P1457" t="s">
        <v>12</v>
      </c>
      <c r="Q1457" t="s">
        <v>26</v>
      </c>
      <c r="R1457" t="s">
        <v>3839</v>
      </c>
      <c r="S1457" t="s">
        <v>1541</v>
      </c>
      <c r="T1457" t="s">
        <v>3840</v>
      </c>
      <c r="U1457" t="s">
        <v>1564</v>
      </c>
      <c r="V1457" t="s">
        <v>1741</v>
      </c>
      <c r="W1457" t="s">
        <v>1742</v>
      </c>
      <c r="X1457" t="s">
        <v>1739</v>
      </c>
    </row>
    <row r="1458" spans="1:24" x14ac:dyDescent="0.3">
      <c r="A1458" t="s">
        <v>3265</v>
      </c>
      <c r="B1458" s="2">
        <v>45900</v>
      </c>
      <c r="C1458" t="s">
        <v>586</v>
      </c>
      <c r="D1458" t="s">
        <v>1665</v>
      </c>
      <c r="E1458" t="s">
        <v>1793</v>
      </c>
      <c r="F1458" s="4">
        <v>2</v>
      </c>
      <c r="G1458">
        <v>947.56</v>
      </c>
      <c r="H1458">
        <v>0.02</v>
      </c>
      <c r="I1458" t="s">
        <v>1812</v>
      </c>
      <c r="J1458">
        <v>1857.2175999999999</v>
      </c>
      <c r="K1458" t="s">
        <v>587</v>
      </c>
      <c r="L1458">
        <v>38</v>
      </c>
      <c r="M1458" t="s">
        <v>9</v>
      </c>
      <c r="N1458" t="s">
        <v>588</v>
      </c>
      <c r="O1458" t="s">
        <v>117</v>
      </c>
      <c r="P1458" t="s">
        <v>12</v>
      </c>
      <c r="Q1458" t="s">
        <v>31</v>
      </c>
      <c r="R1458" t="s">
        <v>3899</v>
      </c>
      <c r="S1458" t="s">
        <v>1546</v>
      </c>
      <c r="T1458" t="s">
        <v>3820</v>
      </c>
      <c r="U1458" t="s">
        <v>1666</v>
      </c>
      <c r="V1458" t="s">
        <v>1741</v>
      </c>
      <c r="W1458" t="s">
        <v>1742</v>
      </c>
      <c r="X1458" t="s">
        <v>1739</v>
      </c>
    </row>
    <row r="1459" spans="1:24" x14ac:dyDescent="0.3">
      <c r="A1459" t="s">
        <v>3266</v>
      </c>
      <c r="B1459" s="2">
        <v>45943</v>
      </c>
      <c r="C1459" t="s">
        <v>758</v>
      </c>
      <c r="D1459" t="s">
        <v>1617</v>
      </c>
      <c r="E1459" t="s">
        <v>1793</v>
      </c>
      <c r="F1459" s="4">
        <v>4</v>
      </c>
      <c r="G1459">
        <v>975.47</v>
      </c>
      <c r="H1459">
        <v>0.04</v>
      </c>
      <c r="I1459" t="s">
        <v>1807</v>
      </c>
      <c r="J1459">
        <v>3745.8047999999999</v>
      </c>
      <c r="K1459" t="s">
        <v>759</v>
      </c>
      <c r="L1459">
        <v>58</v>
      </c>
      <c r="M1459" t="s">
        <v>16</v>
      </c>
      <c r="N1459" t="s">
        <v>760</v>
      </c>
      <c r="O1459" t="s">
        <v>43</v>
      </c>
      <c r="P1459" t="s">
        <v>12</v>
      </c>
      <c r="Q1459" t="s">
        <v>19</v>
      </c>
      <c r="R1459" t="s">
        <v>3873</v>
      </c>
      <c r="S1459" t="s">
        <v>1546</v>
      </c>
      <c r="T1459" t="s">
        <v>3811</v>
      </c>
      <c r="U1459" t="s">
        <v>1618</v>
      </c>
      <c r="V1459" t="s">
        <v>1741</v>
      </c>
      <c r="W1459" t="s">
        <v>1742</v>
      </c>
      <c r="X1459" t="s">
        <v>1739</v>
      </c>
    </row>
    <row r="1460" spans="1:24" x14ac:dyDescent="0.3">
      <c r="A1460" t="s">
        <v>3267</v>
      </c>
      <c r="B1460" s="2">
        <v>45448</v>
      </c>
      <c r="C1460" t="s">
        <v>1453</v>
      </c>
      <c r="D1460" t="s">
        <v>1557</v>
      </c>
      <c r="E1460" t="s">
        <v>1769</v>
      </c>
      <c r="F1460" s="4">
        <v>3</v>
      </c>
      <c r="G1460">
        <v>769.06</v>
      </c>
      <c r="H1460">
        <v>0.23</v>
      </c>
      <c r="I1460" t="s">
        <v>1812</v>
      </c>
      <c r="J1460">
        <v>1776.5286000000001</v>
      </c>
      <c r="K1460" t="s">
        <v>1454</v>
      </c>
      <c r="L1460">
        <v>59</v>
      </c>
      <c r="M1460" t="s">
        <v>9</v>
      </c>
      <c r="N1460" t="s">
        <v>1455</v>
      </c>
      <c r="O1460" t="s">
        <v>62</v>
      </c>
      <c r="P1460" t="s">
        <v>12</v>
      </c>
      <c r="Q1460" t="s">
        <v>19</v>
      </c>
      <c r="R1460" t="s">
        <v>3834</v>
      </c>
      <c r="S1460" t="s">
        <v>1546</v>
      </c>
      <c r="T1460" t="s">
        <v>3820</v>
      </c>
      <c r="U1460" t="s">
        <v>1558</v>
      </c>
      <c r="V1460" t="s">
        <v>1770</v>
      </c>
      <c r="W1460" t="s">
        <v>1746</v>
      </c>
      <c r="X1460" t="s">
        <v>1739</v>
      </c>
    </row>
    <row r="1461" spans="1:24" x14ac:dyDescent="0.3">
      <c r="A1461" t="s">
        <v>3268</v>
      </c>
      <c r="B1461" s="2">
        <v>45929</v>
      </c>
      <c r="C1461" t="s">
        <v>1478</v>
      </c>
      <c r="D1461" t="s">
        <v>1609</v>
      </c>
      <c r="E1461" t="s">
        <v>1744</v>
      </c>
      <c r="F1461" s="4">
        <v>3</v>
      </c>
      <c r="G1461">
        <v>824.75</v>
      </c>
      <c r="H1461">
        <v>0.23</v>
      </c>
      <c r="I1461" t="s">
        <v>1807</v>
      </c>
      <c r="J1461">
        <v>1905.1724999999999</v>
      </c>
      <c r="K1461" t="s">
        <v>1479</v>
      </c>
      <c r="L1461">
        <v>36</v>
      </c>
      <c r="M1461" t="s">
        <v>16</v>
      </c>
      <c r="N1461" t="s">
        <v>1480</v>
      </c>
      <c r="O1461" t="s">
        <v>170</v>
      </c>
      <c r="P1461" t="s">
        <v>12</v>
      </c>
      <c r="Q1461" t="s">
        <v>26</v>
      </c>
      <c r="R1461" t="s">
        <v>3868</v>
      </c>
      <c r="S1461" t="s">
        <v>1546</v>
      </c>
      <c r="T1461" t="s">
        <v>3869</v>
      </c>
      <c r="U1461" t="s">
        <v>1610</v>
      </c>
      <c r="V1461" t="s">
        <v>1745</v>
      </c>
      <c r="W1461" t="s">
        <v>1746</v>
      </c>
      <c r="X1461" t="s">
        <v>1748</v>
      </c>
    </row>
    <row r="1462" spans="1:24" x14ac:dyDescent="0.3">
      <c r="A1462" t="s">
        <v>3269</v>
      </c>
      <c r="B1462" s="2">
        <v>45478</v>
      </c>
      <c r="C1462" t="s">
        <v>1235</v>
      </c>
      <c r="D1462" t="s">
        <v>1667</v>
      </c>
      <c r="E1462" t="s">
        <v>1752</v>
      </c>
      <c r="F1462" s="4">
        <v>2</v>
      </c>
      <c r="G1462">
        <v>821.35</v>
      </c>
      <c r="H1462">
        <v>0.11</v>
      </c>
      <c r="I1462" t="s">
        <v>1809</v>
      </c>
      <c r="J1462">
        <v>1462.0029999999999</v>
      </c>
      <c r="K1462" t="s">
        <v>1236</v>
      </c>
      <c r="L1462">
        <v>31</v>
      </c>
      <c r="M1462" t="s">
        <v>9</v>
      </c>
      <c r="N1462" t="s">
        <v>1237</v>
      </c>
      <c r="O1462" t="s">
        <v>181</v>
      </c>
      <c r="P1462" t="s">
        <v>12</v>
      </c>
      <c r="Q1462" t="s">
        <v>19</v>
      </c>
      <c r="R1462" t="s">
        <v>3900</v>
      </c>
      <c r="S1462" t="s">
        <v>1527</v>
      </c>
      <c r="T1462" t="s">
        <v>3901</v>
      </c>
      <c r="U1462" t="s">
        <v>1668</v>
      </c>
      <c r="V1462" t="s">
        <v>1753</v>
      </c>
      <c r="W1462" t="s">
        <v>1746</v>
      </c>
      <c r="X1462" t="s">
        <v>1755</v>
      </c>
    </row>
    <row r="1463" spans="1:24" x14ac:dyDescent="0.3">
      <c r="A1463" t="s">
        <v>3270</v>
      </c>
      <c r="B1463" s="2">
        <v>45723</v>
      </c>
      <c r="C1463" t="s">
        <v>1246</v>
      </c>
      <c r="D1463" t="s">
        <v>1557</v>
      </c>
      <c r="E1463" t="s">
        <v>1772</v>
      </c>
      <c r="F1463" s="4">
        <v>1</v>
      </c>
      <c r="G1463">
        <v>120.57</v>
      </c>
      <c r="H1463">
        <v>0.06</v>
      </c>
      <c r="I1463" t="s">
        <v>1809</v>
      </c>
      <c r="J1463">
        <v>113.33580000000001</v>
      </c>
      <c r="K1463" t="s">
        <v>1247</v>
      </c>
      <c r="L1463">
        <v>23</v>
      </c>
      <c r="M1463" t="s">
        <v>16</v>
      </c>
      <c r="N1463" t="s">
        <v>1248</v>
      </c>
      <c r="O1463" t="s">
        <v>323</v>
      </c>
      <c r="P1463" t="s">
        <v>12</v>
      </c>
      <c r="Q1463" t="s">
        <v>13</v>
      </c>
      <c r="R1463" t="s">
        <v>3834</v>
      </c>
      <c r="S1463" t="s">
        <v>1546</v>
      </c>
      <c r="T1463" t="s">
        <v>3820</v>
      </c>
      <c r="U1463" t="s">
        <v>1558</v>
      </c>
      <c r="V1463" t="s">
        <v>1741</v>
      </c>
      <c r="W1463" t="s">
        <v>1742</v>
      </c>
      <c r="X1463" t="s">
        <v>1739</v>
      </c>
    </row>
    <row r="1464" spans="1:24" x14ac:dyDescent="0.3">
      <c r="A1464" t="s">
        <v>3271</v>
      </c>
      <c r="B1464" s="2">
        <v>45240</v>
      </c>
      <c r="C1464" t="s">
        <v>1042</v>
      </c>
      <c r="D1464" t="s">
        <v>1709</v>
      </c>
      <c r="E1464" t="s">
        <v>1740</v>
      </c>
      <c r="F1464" s="4">
        <v>1</v>
      </c>
      <c r="G1464">
        <v>122.27</v>
      </c>
      <c r="H1464">
        <v>0.26</v>
      </c>
      <c r="I1464" t="s">
        <v>1809</v>
      </c>
      <c r="J1464">
        <v>90.479799999999997</v>
      </c>
      <c r="K1464" t="s">
        <v>1043</v>
      </c>
      <c r="L1464">
        <v>58</v>
      </c>
      <c r="M1464" t="s">
        <v>16</v>
      </c>
      <c r="N1464" t="s">
        <v>1044</v>
      </c>
      <c r="O1464" t="s">
        <v>11</v>
      </c>
      <c r="P1464" t="s">
        <v>12</v>
      </c>
      <c r="Q1464" t="s">
        <v>19</v>
      </c>
      <c r="R1464" t="s">
        <v>3922</v>
      </c>
      <c r="S1464" t="s">
        <v>1541</v>
      </c>
      <c r="T1464" t="s">
        <v>3878</v>
      </c>
      <c r="U1464" t="s">
        <v>1710</v>
      </c>
      <c r="V1464" t="s">
        <v>1741</v>
      </c>
      <c r="W1464" t="s">
        <v>1742</v>
      </c>
      <c r="X1464" t="s">
        <v>1739</v>
      </c>
    </row>
    <row r="1465" spans="1:24" x14ac:dyDescent="0.3">
      <c r="A1465" t="s">
        <v>3272</v>
      </c>
      <c r="B1465" s="2">
        <v>45890</v>
      </c>
      <c r="C1465" t="s">
        <v>560</v>
      </c>
      <c r="D1465" t="s">
        <v>1583</v>
      </c>
      <c r="E1465" t="s">
        <v>1744</v>
      </c>
      <c r="F1465" s="4">
        <v>2</v>
      </c>
      <c r="G1465">
        <v>182.89</v>
      </c>
      <c r="H1465">
        <v>0.11</v>
      </c>
      <c r="I1465" t="s">
        <v>1807</v>
      </c>
      <c r="J1465">
        <v>325.54419999999999</v>
      </c>
      <c r="K1465" t="s">
        <v>3940</v>
      </c>
      <c r="L1465">
        <v>44</v>
      </c>
      <c r="M1465" t="s">
        <v>16</v>
      </c>
      <c r="N1465" t="s">
        <v>561</v>
      </c>
      <c r="O1465" t="s">
        <v>113</v>
      </c>
      <c r="P1465" t="s">
        <v>12</v>
      </c>
      <c r="Q1465" t="s">
        <v>13</v>
      </c>
      <c r="R1465" t="s">
        <v>3853</v>
      </c>
      <c r="S1465" t="s">
        <v>1546</v>
      </c>
      <c r="T1465" t="s">
        <v>3826</v>
      </c>
      <c r="U1465" t="s">
        <v>1584</v>
      </c>
      <c r="V1465" t="s">
        <v>1745</v>
      </c>
      <c r="W1465" t="s">
        <v>1746</v>
      </c>
      <c r="X1465" t="s">
        <v>1748</v>
      </c>
    </row>
    <row r="1466" spans="1:24" x14ac:dyDescent="0.3">
      <c r="A1466" t="s">
        <v>3273</v>
      </c>
      <c r="B1466" s="2">
        <v>45796</v>
      </c>
      <c r="C1466" t="s">
        <v>1147</v>
      </c>
      <c r="D1466" t="s">
        <v>1623</v>
      </c>
      <c r="E1466" t="s">
        <v>1752</v>
      </c>
      <c r="F1466" s="4">
        <v>1</v>
      </c>
      <c r="G1466">
        <v>695.26</v>
      </c>
      <c r="H1466">
        <v>0.23</v>
      </c>
      <c r="I1466" t="s">
        <v>1809</v>
      </c>
      <c r="J1466">
        <v>535.35019999999997</v>
      </c>
      <c r="K1466" t="s">
        <v>1148</v>
      </c>
      <c r="L1466">
        <v>28</v>
      </c>
      <c r="M1466" t="s">
        <v>9</v>
      </c>
      <c r="N1466" t="s">
        <v>1149</v>
      </c>
      <c r="O1466" t="s">
        <v>47</v>
      </c>
      <c r="P1466" t="s">
        <v>12</v>
      </c>
      <c r="Q1466" t="s">
        <v>19</v>
      </c>
      <c r="R1466" t="s">
        <v>3876</v>
      </c>
      <c r="S1466" t="s">
        <v>1530</v>
      </c>
      <c r="T1466" t="s">
        <v>3815</v>
      </c>
      <c r="U1466" t="s">
        <v>1624</v>
      </c>
      <c r="V1466" t="s">
        <v>1753</v>
      </c>
      <c r="W1466" t="s">
        <v>1746</v>
      </c>
      <c r="X1466" t="s">
        <v>1755</v>
      </c>
    </row>
    <row r="1467" spans="1:24" x14ac:dyDescent="0.3">
      <c r="A1467" t="s">
        <v>3274</v>
      </c>
      <c r="B1467" s="2">
        <v>45895</v>
      </c>
      <c r="C1467" t="s">
        <v>114</v>
      </c>
      <c r="D1467" t="s">
        <v>1589</v>
      </c>
      <c r="E1467" t="s">
        <v>1759</v>
      </c>
      <c r="F1467" s="4">
        <v>2</v>
      </c>
      <c r="G1467">
        <v>408.8</v>
      </c>
      <c r="H1467">
        <v>0.17</v>
      </c>
      <c r="I1467" t="s">
        <v>1812</v>
      </c>
      <c r="J1467">
        <v>678.60799999999995</v>
      </c>
      <c r="K1467" t="s">
        <v>115</v>
      </c>
      <c r="L1467">
        <v>27</v>
      </c>
      <c r="M1467" t="s">
        <v>16</v>
      </c>
      <c r="N1467" t="s">
        <v>116</v>
      </c>
      <c r="O1467" t="s">
        <v>117</v>
      </c>
      <c r="P1467" t="s">
        <v>12</v>
      </c>
      <c r="Q1467" t="s">
        <v>19</v>
      </c>
      <c r="R1467" t="s">
        <v>3856</v>
      </c>
      <c r="S1467" t="s">
        <v>1527</v>
      </c>
      <c r="T1467" t="s">
        <v>3836</v>
      </c>
      <c r="U1467" t="s">
        <v>1590</v>
      </c>
      <c r="V1467" t="s">
        <v>1760</v>
      </c>
      <c r="W1467" t="s">
        <v>1737</v>
      </c>
      <c r="X1467" t="s">
        <v>1755</v>
      </c>
    </row>
    <row r="1468" spans="1:24" x14ac:dyDescent="0.3">
      <c r="A1468" t="s">
        <v>3275</v>
      </c>
      <c r="B1468" s="2">
        <v>45676</v>
      </c>
      <c r="C1468" t="s">
        <v>724</v>
      </c>
      <c r="D1468" t="s">
        <v>1629</v>
      </c>
      <c r="E1468" t="s">
        <v>1765</v>
      </c>
      <c r="F1468" s="4">
        <v>3</v>
      </c>
      <c r="G1468">
        <v>512.15</v>
      </c>
      <c r="H1468">
        <v>0.12</v>
      </c>
      <c r="I1468" t="s">
        <v>1807</v>
      </c>
      <c r="J1468">
        <v>1352.076</v>
      </c>
      <c r="K1468" t="s">
        <v>725</v>
      </c>
      <c r="L1468">
        <v>63</v>
      </c>
      <c r="M1468" t="s">
        <v>16</v>
      </c>
      <c r="N1468" t="s">
        <v>213</v>
      </c>
      <c r="O1468" t="s">
        <v>162</v>
      </c>
      <c r="P1468" t="s">
        <v>12</v>
      </c>
      <c r="Q1468" t="s">
        <v>13</v>
      </c>
      <c r="R1468" t="s">
        <v>3880</v>
      </c>
      <c r="S1468" t="s">
        <v>1541</v>
      </c>
      <c r="T1468" t="s">
        <v>3881</v>
      </c>
      <c r="U1468" t="s">
        <v>1630</v>
      </c>
      <c r="V1468" t="s">
        <v>1766</v>
      </c>
      <c r="W1468" t="s">
        <v>1767</v>
      </c>
      <c r="X1468" t="s">
        <v>1755</v>
      </c>
    </row>
    <row r="1469" spans="1:24" x14ac:dyDescent="0.3">
      <c r="A1469" t="s">
        <v>3276</v>
      </c>
      <c r="B1469" s="2">
        <v>45568</v>
      </c>
      <c r="C1469" t="s">
        <v>1258</v>
      </c>
      <c r="D1469" t="s">
        <v>1548</v>
      </c>
      <c r="E1469" t="s">
        <v>1765</v>
      </c>
      <c r="F1469" s="4">
        <v>3</v>
      </c>
      <c r="G1469">
        <v>136.4</v>
      </c>
      <c r="H1469">
        <v>0.15</v>
      </c>
      <c r="I1469" t="s">
        <v>1809</v>
      </c>
      <c r="J1469">
        <v>347.82000000000011</v>
      </c>
      <c r="K1469" t="s">
        <v>1259</v>
      </c>
      <c r="L1469">
        <v>48</v>
      </c>
      <c r="M1469" t="s">
        <v>16</v>
      </c>
      <c r="N1469" t="s">
        <v>1260</v>
      </c>
      <c r="O1469" t="s">
        <v>838</v>
      </c>
      <c r="P1469" t="s">
        <v>12</v>
      </c>
      <c r="Q1469" t="s">
        <v>13</v>
      </c>
      <c r="R1469" t="s">
        <v>3922</v>
      </c>
      <c r="S1469" t="s">
        <v>1541</v>
      </c>
      <c r="T1469" t="s">
        <v>3878</v>
      </c>
      <c r="U1469" t="s">
        <v>1710</v>
      </c>
      <c r="V1469" t="s">
        <v>1766</v>
      </c>
      <c r="W1469" t="s">
        <v>1767</v>
      </c>
      <c r="X1469" t="s">
        <v>1755</v>
      </c>
    </row>
    <row r="1470" spans="1:24" x14ac:dyDescent="0.3">
      <c r="A1470" t="s">
        <v>3277</v>
      </c>
      <c r="B1470" s="2">
        <v>45272</v>
      </c>
      <c r="C1470" t="s">
        <v>573</v>
      </c>
      <c r="D1470" t="s">
        <v>1540</v>
      </c>
      <c r="E1470" t="s">
        <v>1749</v>
      </c>
      <c r="F1470" s="4">
        <v>2</v>
      </c>
      <c r="G1470">
        <v>42.51</v>
      </c>
      <c r="H1470">
        <v>0.04</v>
      </c>
      <c r="I1470" t="s">
        <v>1812</v>
      </c>
      <c r="J1470">
        <v>81.619199999999992</v>
      </c>
      <c r="K1470" t="s">
        <v>574</v>
      </c>
      <c r="L1470">
        <v>48</v>
      </c>
      <c r="M1470" t="s">
        <v>9</v>
      </c>
      <c r="N1470" t="s">
        <v>575</v>
      </c>
      <c r="O1470" t="s">
        <v>99</v>
      </c>
      <c r="P1470" t="s">
        <v>12</v>
      </c>
      <c r="Q1470" t="s">
        <v>19</v>
      </c>
      <c r="R1470" t="s">
        <v>3891</v>
      </c>
      <c r="S1470" t="s">
        <v>1541</v>
      </c>
      <c r="T1470" t="s">
        <v>3833</v>
      </c>
      <c r="U1470" t="s">
        <v>1650</v>
      </c>
      <c r="V1470" t="s">
        <v>1750</v>
      </c>
      <c r="W1470" t="s">
        <v>1742</v>
      </c>
      <c r="X1470" t="s">
        <v>1748</v>
      </c>
    </row>
    <row r="1471" spans="1:24" x14ac:dyDescent="0.3">
      <c r="A1471" t="s">
        <v>3278</v>
      </c>
      <c r="B1471" s="2">
        <v>45718</v>
      </c>
      <c r="C1471" t="s">
        <v>1112</v>
      </c>
      <c r="D1471" t="s">
        <v>1681</v>
      </c>
      <c r="E1471" t="s">
        <v>1762</v>
      </c>
      <c r="F1471" s="4">
        <v>3</v>
      </c>
      <c r="G1471">
        <v>582.1</v>
      </c>
      <c r="H1471">
        <v>0.12</v>
      </c>
      <c r="I1471" t="s">
        <v>1809</v>
      </c>
      <c r="J1471">
        <v>1536.7439999999999</v>
      </c>
      <c r="K1471" t="s">
        <v>1113</v>
      </c>
      <c r="L1471">
        <v>34</v>
      </c>
      <c r="M1471" t="s">
        <v>9</v>
      </c>
      <c r="N1471" t="s">
        <v>1114</v>
      </c>
      <c r="O1471" t="s">
        <v>62</v>
      </c>
      <c r="P1471" t="s">
        <v>12</v>
      </c>
      <c r="Q1471" t="s">
        <v>31</v>
      </c>
      <c r="R1471" t="s">
        <v>3908</v>
      </c>
      <c r="S1471" t="s">
        <v>1530</v>
      </c>
      <c r="T1471" t="s">
        <v>3866</v>
      </c>
      <c r="U1471" t="s">
        <v>1682</v>
      </c>
      <c r="V1471" t="s">
        <v>1763</v>
      </c>
      <c r="W1471" t="s">
        <v>1746</v>
      </c>
      <c r="X1471" t="s">
        <v>1755</v>
      </c>
    </row>
    <row r="1472" spans="1:24" x14ac:dyDescent="0.3">
      <c r="A1472" t="s">
        <v>3279</v>
      </c>
      <c r="B1472" s="2">
        <v>45356</v>
      </c>
      <c r="C1472" t="s">
        <v>705</v>
      </c>
      <c r="D1472" t="s">
        <v>1695</v>
      </c>
      <c r="E1472" t="s">
        <v>1790</v>
      </c>
      <c r="F1472" s="4">
        <v>4</v>
      </c>
      <c r="G1472">
        <v>461.52</v>
      </c>
      <c r="H1472">
        <v>0</v>
      </c>
      <c r="I1472" t="s">
        <v>1812</v>
      </c>
      <c r="J1472">
        <v>1846.08</v>
      </c>
      <c r="K1472" t="s">
        <v>706</v>
      </c>
      <c r="L1472">
        <v>50</v>
      </c>
      <c r="M1472" t="s">
        <v>16</v>
      </c>
      <c r="N1472" t="s">
        <v>3809</v>
      </c>
      <c r="O1472" t="s">
        <v>88</v>
      </c>
      <c r="P1472" t="s">
        <v>12</v>
      </c>
      <c r="Q1472" t="s">
        <v>13</v>
      </c>
      <c r="R1472" t="s">
        <v>3915</v>
      </c>
      <c r="S1472" t="s">
        <v>1549</v>
      </c>
      <c r="T1472" t="s">
        <v>3828</v>
      </c>
      <c r="U1472" t="s">
        <v>1696</v>
      </c>
      <c r="V1472" t="s">
        <v>1741</v>
      </c>
      <c r="W1472" t="s">
        <v>1742</v>
      </c>
      <c r="X1472" t="s">
        <v>1739</v>
      </c>
    </row>
    <row r="1473" spans="1:24" x14ac:dyDescent="0.3">
      <c r="A1473" t="s">
        <v>3280</v>
      </c>
      <c r="B1473" s="2">
        <v>45552</v>
      </c>
      <c r="C1473" t="s">
        <v>1507</v>
      </c>
      <c r="D1473" t="s">
        <v>1563</v>
      </c>
      <c r="E1473" t="s">
        <v>1775</v>
      </c>
      <c r="F1473" s="4">
        <v>1</v>
      </c>
      <c r="G1473">
        <v>558.41999999999996</v>
      </c>
      <c r="H1473">
        <v>0.03</v>
      </c>
      <c r="I1473" t="s">
        <v>1807</v>
      </c>
      <c r="J1473">
        <v>541.66739999999993</v>
      </c>
      <c r="K1473" t="s">
        <v>1508</v>
      </c>
      <c r="L1473">
        <v>47</v>
      </c>
      <c r="M1473" t="s">
        <v>16</v>
      </c>
      <c r="N1473" t="s">
        <v>1509</v>
      </c>
      <c r="O1473" t="s">
        <v>25</v>
      </c>
      <c r="P1473" t="s">
        <v>12</v>
      </c>
      <c r="Q1473" t="s">
        <v>26</v>
      </c>
      <c r="R1473" t="s">
        <v>3839</v>
      </c>
      <c r="S1473" t="s">
        <v>1541</v>
      </c>
      <c r="T1473" t="s">
        <v>3840</v>
      </c>
      <c r="U1473" t="s">
        <v>1564</v>
      </c>
      <c r="V1473" t="s">
        <v>1741</v>
      </c>
      <c r="W1473" t="s">
        <v>1742</v>
      </c>
      <c r="X1473" t="s">
        <v>1739</v>
      </c>
    </row>
    <row r="1474" spans="1:24" x14ac:dyDescent="0.3">
      <c r="A1474" t="s">
        <v>3281</v>
      </c>
      <c r="B1474" s="2">
        <v>45288</v>
      </c>
      <c r="C1474" t="s">
        <v>832</v>
      </c>
      <c r="D1474" t="s">
        <v>1555</v>
      </c>
      <c r="E1474" t="s">
        <v>1793</v>
      </c>
      <c r="F1474" s="4">
        <v>4</v>
      </c>
      <c r="G1474">
        <v>700.98</v>
      </c>
      <c r="H1474">
        <v>0.12</v>
      </c>
      <c r="I1474" t="s">
        <v>1809</v>
      </c>
      <c r="J1474">
        <v>2467.4495999999999</v>
      </c>
      <c r="K1474" t="s">
        <v>833</v>
      </c>
      <c r="L1474">
        <v>25</v>
      </c>
      <c r="M1474" t="s">
        <v>9</v>
      </c>
      <c r="N1474" t="s">
        <v>834</v>
      </c>
      <c r="O1474" t="s">
        <v>323</v>
      </c>
      <c r="P1474" t="s">
        <v>12</v>
      </c>
      <c r="Q1474" t="s">
        <v>26</v>
      </c>
      <c r="R1474" t="s">
        <v>3832</v>
      </c>
      <c r="S1474" t="s">
        <v>1541</v>
      </c>
      <c r="T1474" t="s">
        <v>3833</v>
      </c>
      <c r="U1474" t="s">
        <v>1556</v>
      </c>
      <c r="V1474" t="s">
        <v>1741</v>
      </c>
      <c r="W1474" t="s">
        <v>1742</v>
      </c>
      <c r="X1474" t="s">
        <v>1739</v>
      </c>
    </row>
    <row r="1475" spans="1:24" x14ac:dyDescent="0.3">
      <c r="A1475" t="s">
        <v>3282</v>
      </c>
      <c r="B1475" s="2">
        <v>45605</v>
      </c>
      <c r="C1475" t="s">
        <v>1246</v>
      </c>
      <c r="D1475" t="s">
        <v>1701</v>
      </c>
      <c r="E1475" t="s">
        <v>1793</v>
      </c>
      <c r="F1475" s="4">
        <v>2</v>
      </c>
      <c r="G1475">
        <v>227.97</v>
      </c>
      <c r="H1475">
        <v>0.08</v>
      </c>
      <c r="I1475" t="s">
        <v>1812</v>
      </c>
      <c r="J1475">
        <v>419.46480000000003</v>
      </c>
      <c r="K1475" t="s">
        <v>1247</v>
      </c>
      <c r="L1475">
        <v>23</v>
      </c>
      <c r="M1475" t="s">
        <v>16</v>
      </c>
      <c r="N1475" t="s">
        <v>1248</v>
      </c>
      <c r="O1475" t="s">
        <v>323</v>
      </c>
      <c r="P1475" t="s">
        <v>12</v>
      </c>
      <c r="Q1475" t="s">
        <v>13</v>
      </c>
      <c r="R1475" t="s">
        <v>3918</v>
      </c>
      <c r="S1475" t="s">
        <v>1530</v>
      </c>
      <c r="T1475" t="s">
        <v>3820</v>
      </c>
      <c r="U1475" t="s">
        <v>1702</v>
      </c>
      <c r="V1475" t="s">
        <v>1741</v>
      </c>
      <c r="W1475" t="s">
        <v>1742</v>
      </c>
      <c r="X1475" t="s">
        <v>1739</v>
      </c>
    </row>
    <row r="1476" spans="1:24" x14ac:dyDescent="0.3">
      <c r="A1476" t="s">
        <v>3283</v>
      </c>
      <c r="B1476" s="2">
        <v>45516</v>
      </c>
      <c r="C1476" t="s">
        <v>1445</v>
      </c>
      <c r="D1476" t="s">
        <v>1609</v>
      </c>
      <c r="E1476" t="s">
        <v>1775</v>
      </c>
      <c r="F1476" s="4">
        <v>4</v>
      </c>
      <c r="G1476">
        <v>278.70999999999998</v>
      </c>
      <c r="H1476">
        <v>0.2</v>
      </c>
      <c r="I1476" t="s">
        <v>1809</v>
      </c>
      <c r="J1476">
        <v>891.87199999999996</v>
      </c>
      <c r="K1476" t="s">
        <v>1446</v>
      </c>
      <c r="L1476">
        <v>18</v>
      </c>
      <c r="M1476" t="s">
        <v>16</v>
      </c>
      <c r="N1476" t="s">
        <v>1447</v>
      </c>
      <c r="O1476" t="s">
        <v>39</v>
      </c>
      <c r="P1476" t="s">
        <v>12</v>
      </c>
      <c r="Q1476" t="s">
        <v>19</v>
      </c>
      <c r="R1476" t="s">
        <v>3868</v>
      </c>
      <c r="S1476" t="s">
        <v>1546</v>
      </c>
      <c r="T1476" t="s">
        <v>3869</v>
      </c>
      <c r="U1476" t="s">
        <v>1610</v>
      </c>
      <c r="V1476" t="s">
        <v>1741</v>
      </c>
      <c r="W1476" t="s">
        <v>1742</v>
      </c>
      <c r="X1476" t="s">
        <v>1739</v>
      </c>
    </row>
    <row r="1477" spans="1:24" x14ac:dyDescent="0.3">
      <c r="A1477" t="s">
        <v>3284</v>
      </c>
      <c r="B1477" s="2">
        <v>45379</v>
      </c>
      <c r="C1477" t="s">
        <v>820</v>
      </c>
      <c r="D1477" t="s">
        <v>1729</v>
      </c>
      <c r="E1477" t="s">
        <v>1765</v>
      </c>
      <c r="F1477" s="4">
        <v>2</v>
      </c>
      <c r="G1477">
        <v>916.12</v>
      </c>
      <c r="H1477">
        <v>0.05</v>
      </c>
      <c r="I1477" t="s">
        <v>1809</v>
      </c>
      <c r="J1477">
        <v>1740.6279999999999</v>
      </c>
      <c r="K1477" t="s">
        <v>821</v>
      </c>
      <c r="L1477">
        <v>63</v>
      </c>
      <c r="M1477" t="s">
        <v>16</v>
      </c>
      <c r="N1477" t="s">
        <v>822</v>
      </c>
      <c r="O1477" t="s">
        <v>96</v>
      </c>
      <c r="P1477" t="s">
        <v>12</v>
      </c>
      <c r="Q1477" t="s">
        <v>31</v>
      </c>
      <c r="R1477" t="s">
        <v>3932</v>
      </c>
      <c r="S1477" t="s">
        <v>1527</v>
      </c>
      <c r="T1477" t="s">
        <v>3830</v>
      </c>
      <c r="U1477" t="s">
        <v>1730</v>
      </c>
      <c r="V1477" t="s">
        <v>1766</v>
      </c>
      <c r="W1477" t="s">
        <v>1767</v>
      </c>
      <c r="X1477" t="s">
        <v>1755</v>
      </c>
    </row>
    <row r="1478" spans="1:24" x14ac:dyDescent="0.3">
      <c r="A1478" t="s">
        <v>3285</v>
      </c>
      <c r="B1478" s="2">
        <v>45567</v>
      </c>
      <c r="C1478" t="s">
        <v>450</v>
      </c>
      <c r="D1478" t="s">
        <v>1551</v>
      </c>
      <c r="E1478" t="s">
        <v>1777</v>
      </c>
      <c r="F1478" s="4">
        <v>4</v>
      </c>
      <c r="G1478">
        <v>228.98</v>
      </c>
      <c r="H1478">
        <v>0.22</v>
      </c>
      <c r="I1478" t="s">
        <v>1809</v>
      </c>
      <c r="J1478">
        <v>714.41759999999999</v>
      </c>
      <c r="K1478" t="s">
        <v>451</v>
      </c>
      <c r="L1478">
        <v>54</v>
      </c>
      <c r="M1478" t="s">
        <v>9</v>
      </c>
      <c r="N1478" t="s">
        <v>452</v>
      </c>
      <c r="O1478" t="s">
        <v>247</v>
      </c>
      <c r="P1478" t="s">
        <v>12</v>
      </c>
      <c r="Q1478" t="s">
        <v>26</v>
      </c>
      <c r="R1478" t="s">
        <v>3829</v>
      </c>
      <c r="S1478" t="s">
        <v>1527</v>
      </c>
      <c r="T1478" t="s">
        <v>3830</v>
      </c>
      <c r="U1478" t="s">
        <v>1552</v>
      </c>
      <c r="V1478" t="s">
        <v>1741</v>
      </c>
      <c r="W1478" t="s">
        <v>1742</v>
      </c>
      <c r="X1478" t="s">
        <v>1739</v>
      </c>
    </row>
    <row r="1479" spans="1:24" x14ac:dyDescent="0.3">
      <c r="A1479" t="s">
        <v>3286</v>
      </c>
      <c r="B1479" s="2">
        <v>45510</v>
      </c>
      <c r="C1479" t="s">
        <v>746</v>
      </c>
      <c r="D1479" t="s">
        <v>1709</v>
      </c>
      <c r="E1479" t="s">
        <v>1784</v>
      </c>
      <c r="F1479" s="4">
        <v>4</v>
      </c>
      <c r="G1479">
        <v>904.82</v>
      </c>
      <c r="H1479">
        <v>0.09</v>
      </c>
      <c r="I1479" t="s">
        <v>1809</v>
      </c>
      <c r="J1479">
        <v>3293.5448000000001</v>
      </c>
      <c r="K1479" t="s">
        <v>747</v>
      </c>
      <c r="L1479">
        <v>28</v>
      </c>
      <c r="M1479" t="s">
        <v>16</v>
      </c>
      <c r="N1479" t="s">
        <v>748</v>
      </c>
      <c r="O1479" t="s">
        <v>62</v>
      </c>
      <c r="P1479" t="s">
        <v>12</v>
      </c>
      <c r="Q1479" t="s">
        <v>13</v>
      </c>
      <c r="R1479" t="s">
        <v>3922</v>
      </c>
      <c r="S1479" t="s">
        <v>1541</v>
      </c>
      <c r="T1479" t="s">
        <v>3878</v>
      </c>
      <c r="U1479" t="s">
        <v>1710</v>
      </c>
      <c r="V1479" t="s">
        <v>1741</v>
      </c>
      <c r="W1479" t="s">
        <v>1742</v>
      </c>
      <c r="X1479" t="s">
        <v>1739</v>
      </c>
    </row>
    <row r="1480" spans="1:24" x14ac:dyDescent="0.3">
      <c r="A1480" t="s">
        <v>3287</v>
      </c>
      <c r="B1480" s="2">
        <v>45806</v>
      </c>
      <c r="C1480" t="s">
        <v>292</v>
      </c>
      <c r="D1480" t="s">
        <v>1577</v>
      </c>
      <c r="E1480" t="s">
        <v>1775</v>
      </c>
      <c r="F1480" s="4">
        <v>1</v>
      </c>
      <c r="G1480">
        <v>588.61</v>
      </c>
      <c r="H1480">
        <v>0.1</v>
      </c>
      <c r="I1480" t="s">
        <v>1809</v>
      </c>
      <c r="J1480">
        <v>529.74900000000002</v>
      </c>
      <c r="K1480" t="s">
        <v>293</v>
      </c>
      <c r="L1480">
        <v>53</v>
      </c>
      <c r="M1480" t="s">
        <v>9</v>
      </c>
      <c r="N1480" t="s">
        <v>294</v>
      </c>
      <c r="O1480" t="s">
        <v>133</v>
      </c>
      <c r="P1480" t="s">
        <v>12</v>
      </c>
      <c r="Q1480" t="s">
        <v>19</v>
      </c>
      <c r="R1480" t="s">
        <v>3849</v>
      </c>
      <c r="S1480" t="s">
        <v>1530</v>
      </c>
      <c r="T1480" t="s">
        <v>3813</v>
      </c>
      <c r="U1480" t="s">
        <v>1578</v>
      </c>
      <c r="V1480" t="s">
        <v>1741</v>
      </c>
      <c r="W1480" t="s">
        <v>1742</v>
      </c>
      <c r="X1480" t="s">
        <v>1739</v>
      </c>
    </row>
    <row r="1481" spans="1:24" x14ac:dyDescent="0.3">
      <c r="A1481" t="s">
        <v>3288</v>
      </c>
      <c r="B1481" s="2">
        <v>45240</v>
      </c>
      <c r="C1481" t="s">
        <v>391</v>
      </c>
      <c r="D1481" t="s">
        <v>1597</v>
      </c>
      <c r="E1481" t="s">
        <v>1749</v>
      </c>
      <c r="F1481" s="4">
        <v>4</v>
      </c>
      <c r="G1481">
        <v>695.97</v>
      </c>
      <c r="H1481">
        <v>0.02</v>
      </c>
      <c r="I1481" t="s">
        <v>1807</v>
      </c>
      <c r="J1481">
        <v>2728.2024000000001</v>
      </c>
      <c r="K1481" t="s">
        <v>392</v>
      </c>
      <c r="L1481">
        <v>30</v>
      </c>
      <c r="M1481" t="s">
        <v>9</v>
      </c>
      <c r="N1481" t="s">
        <v>393</v>
      </c>
      <c r="O1481" t="s">
        <v>230</v>
      </c>
      <c r="P1481" t="s">
        <v>12</v>
      </c>
      <c r="Q1481" t="s">
        <v>13</v>
      </c>
      <c r="R1481" t="s">
        <v>3861</v>
      </c>
      <c r="S1481" t="s">
        <v>1527</v>
      </c>
      <c r="T1481" t="s">
        <v>3836</v>
      </c>
      <c r="U1481" t="s">
        <v>1598</v>
      </c>
      <c r="V1481" t="s">
        <v>1750</v>
      </c>
      <c r="W1481" t="s">
        <v>1742</v>
      </c>
      <c r="X1481" t="s">
        <v>1748</v>
      </c>
    </row>
    <row r="1482" spans="1:24" x14ac:dyDescent="0.3">
      <c r="A1482" t="s">
        <v>3289</v>
      </c>
      <c r="B1482" s="2">
        <v>45309</v>
      </c>
      <c r="C1482" t="s">
        <v>942</v>
      </c>
      <c r="D1482" t="s">
        <v>1725</v>
      </c>
      <c r="E1482" t="s">
        <v>1775</v>
      </c>
      <c r="F1482" s="4">
        <v>2</v>
      </c>
      <c r="G1482">
        <v>181.42</v>
      </c>
      <c r="H1482">
        <v>0.08</v>
      </c>
      <c r="I1482" t="s">
        <v>1809</v>
      </c>
      <c r="J1482">
        <v>333.81279999999998</v>
      </c>
      <c r="K1482" t="s">
        <v>943</v>
      </c>
      <c r="L1482">
        <v>36</v>
      </c>
      <c r="M1482" t="s">
        <v>9</v>
      </c>
      <c r="N1482" t="s">
        <v>944</v>
      </c>
      <c r="O1482" t="s">
        <v>284</v>
      </c>
      <c r="P1482" t="s">
        <v>12</v>
      </c>
      <c r="Q1482" t="s">
        <v>13</v>
      </c>
      <c r="R1482" t="s">
        <v>3930</v>
      </c>
      <c r="S1482" t="s">
        <v>1549</v>
      </c>
      <c r="T1482" t="s">
        <v>3859</v>
      </c>
      <c r="U1482" t="s">
        <v>1726</v>
      </c>
      <c r="V1482" t="s">
        <v>1741</v>
      </c>
      <c r="W1482" t="s">
        <v>1742</v>
      </c>
      <c r="X1482" t="s">
        <v>1739</v>
      </c>
    </row>
    <row r="1483" spans="1:24" x14ac:dyDescent="0.3">
      <c r="A1483" t="s">
        <v>3290</v>
      </c>
      <c r="B1483" s="2">
        <v>45375</v>
      </c>
      <c r="C1483" t="s">
        <v>100</v>
      </c>
      <c r="D1483" t="s">
        <v>1725</v>
      </c>
      <c r="E1483" t="s">
        <v>1780</v>
      </c>
      <c r="F1483" s="4">
        <v>1</v>
      </c>
      <c r="G1483">
        <v>439.55</v>
      </c>
      <c r="H1483">
        <v>0.28999999999999998</v>
      </c>
      <c r="I1483" t="s">
        <v>1812</v>
      </c>
      <c r="J1483">
        <v>312.08049999999997</v>
      </c>
      <c r="K1483" t="s">
        <v>101</v>
      </c>
      <c r="L1483">
        <v>40</v>
      </c>
      <c r="M1483" t="s">
        <v>9</v>
      </c>
      <c r="N1483" t="s">
        <v>102</v>
      </c>
      <c r="O1483" t="s">
        <v>35</v>
      </c>
      <c r="P1483" t="s">
        <v>12</v>
      </c>
      <c r="Q1483" t="s">
        <v>31</v>
      </c>
      <c r="R1483" t="s">
        <v>3930</v>
      </c>
      <c r="S1483" t="s">
        <v>1549</v>
      </c>
      <c r="T1483" t="s">
        <v>3859</v>
      </c>
      <c r="U1483" t="s">
        <v>1726</v>
      </c>
      <c r="V1483" t="s">
        <v>1741</v>
      </c>
      <c r="W1483" t="s">
        <v>1742</v>
      </c>
      <c r="X1483" t="s">
        <v>1739</v>
      </c>
    </row>
    <row r="1484" spans="1:24" x14ac:dyDescent="0.3">
      <c r="A1484" t="s">
        <v>3291</v>
      </c>
      <c r="B1484" s="2">
        <v>45733</v>
      </c>
      <c r="C1484" t="s">
        <v>394</v>
      </c>
      <c r="D1484" t="s">
        <v>1641</v>
      </c>
      <c r="E1484" t="s">
        <v>1793</v>
      </c>
      <c r="F1484" s="4">
        <v>3</v>
      </c>
      <c r="G1484">
        <v>471.27</v>
      </c>
      <c r="H1484">
        <v>0.27</v>
      </c>
      <c r="I1484" t="s">
        <v>1812</v>
      </c>
      <c r="J1484">
        <v>1032.0813000000001</v>
      </c>
      <c r="K1484" t="s">
        <v>395</v>
      </c>
      <c r="L1484">
        <v>53</v>
      </c>
      <c r="M1484" t="s">
        <v>16</v>
      </c>
      <c r="N1484" t="s">
        <v>396</v>
      </c>
      <c r="O1484" t="s">
        <v>181</v>
      </c>
      <c r="P1484" t="s">
        <v>12</v>
      </c>
      <c r="Q1484" t="s">
        <v>26</v>
      </c>
      <c r="R1484" t="s">
        <v>3887</v>
      </c>
      <c r="S1484" t="s">
        <v>1527</v>
      </c>
      <c r="T1484" t="s">
        <v>3836</v>
      </c>
      <c r="U1484" t="s">
        <v>1642</v>
      </c>
      <c r="V1484" t="s">
        <v>1741</v>
      </c>
      <c r="W1484" t="s">
        <v>1742</v>
      </c>
      <c r="X1484" t="s">
        <v>1739</v>
      </c>
    </row>
    <row r="1485" spans="1:24" x14ac:dyDescent="0.3">
      <c r="A1485" t="s">
        <v>3292</v>
      </c>
      <c r="B1485" s="2">
        <v>45435</v>
      </c>
      <c r="C1485" t="s">
        <v>171</v>
      </c>
      <c r="D1485" t="s">
        <v>1649</v>
      </c>
      <c r="E1485" t="s">
        <v>1777</v>
      </c>
      <c r="F1485" s="4">
        <v>1</v>
      </c>
      <c r="G1485">
        <v>758.89</v>
      </c>
      <c r="H1485">
        <v>0.1</v>
      </c>
      <c r="I1485" t="s">
        <v>1807</v>
      </c>
      <c r="J1485">
        <v>683.00099999999998</v>
      </c>
      <c r="K1485" t="s">
        <v>172</v>
      </c>
      <c r="L1485">
        <v>54</v>
      </c>
      <c r="M1485" t="s">
        <v>9</v>
      </c>
      <c r="N1485" t="s">
        <v>173</v>
      </c>
      <c r="O1485" t="s">
        <v>99</v>
      </c>
      <c r="P1485" t="s">
        <v>12</v>
      </c>
      <c r="Q1485" t="s">
        <v>26</v>
      </c>
      <c r="R1485" t="s">
        <v>3891</v>
      </c>
      <c r="S1485" t="s">
        <v>1541</v>
      </c>
      <c r="T1485" t="s">
        <v>3833</v>
      </c>
      <c r="U1485" t="s">
        <v>1650</v>
      </c>
      <c r="V1485" t="s">
        <v>1741</v>
      </c>
      <c r="W1485" t="s">
        <v>1742</v>
      </c>
      <c r="X1485" t="s">
        <v>1739</v>
      </c>
    </row>
    <row r="1486" spans="1:24" x14ac:dyDescent="0.3">
      <c r="A1486" t="s">
        <v>3293</v>
      </c>
      <c r="B1486" s="2">
        <v>45864</v>
      </c>
      <c r="C1486" t="s">
        <v>1475</v>
      </c>
      <c r="D1486" t="s">
        <v>1721</v>
      </c>
      <c r="E1486" t="s">
        <v>1784</v>
      </c>
      <c r="F1486" s="4">
        <v>4</v>
      </c>
      <c r="G1486">
        <v>918.1</v>
      </c>
      <c r="H1486">
        <v>0.19</v>
      </c>
      <c r="I1486" t="s">
        <v>1812</v>
      </c>
      <c r="J1486">
        <v>2974.6439999999998</v>
      </c>
      <c r="K1486" t="s">
        <v>1476</v>
      </c>
      <c r="L1486">
        <v>22</v>
      </c>
      <c r="M1486" t="s">
        <v>16</v>
      </c>
      <c r="N1486" t="s">
        <v>1477</v>
      </c>
      <c r="O1486" t="s">
        <v>284</v>
      </c>
      <c r="P1486" t="s">
        <v>12</v>
      </c>
      <c r="Q1486" t="s">
        <v>26</v>
      </c>
      <c r="R1486" t="s">
        <v>3928</v>
      </c>
      <c r="S1486" t="s">
        <v>1549</v>
      </c>
      <c r="T1486" t="s">
        <v>3820</v>
      </c>
      <c r="U1486" t="s">
        <v>1722</v>
      </c>
      <c r="V1486" t="s">
        <v>1741</v>
      </c>
      <c r="W1486" t="s">
        <v>1742</v>
      </c>
      <c r="X1486" t="s">
        <v>1739</v>
      </c>
    </row>
    <row r="1487" spans="1:24" x14ac:dyDescent="0.3">
      <c r="A1487" t="s">
        <v>3294</v>
      </c>
      <c r="B1487" s="2">
        <v>45569</v>
      </c>
      <c r="C1487" t="s">
        <v>820</v>
      </c>
      <c r="D1487" t="s">
        <v>1719</v>
      </c>
      <c r="E1487" t="s">
        <v>1775</v>
      </c>
      <c r="F1487" s="4">
        <v>1</v>
      </c>
      <c r="G1487">
        <v>861.5</v>
      </c>
      <c r="H1487">
        <v>0.05</v>
      </c>
      <c r="I1487" t="s">
        <v>1812</v>
      </c>
      <c r="J1487">
        <v>818.42499999999995</v>
      </c>
      <c r="K1487" t="s">
        <v>821</v>
      </c>
      <c r="L1487">
        <v>63</v>
      </c>
      <c r="M1487" t="s">
        <v>16</v>
      </c>
      <c r="N1487" t="s">
        <v>822</v>
      </c>
      <c r="O1487" t="s">
        <v>96</v>
      </c>
      <c r="P1487" t="s">
        <v>12</v>
      </c>
      <c r="Q1487" t="s">
        <v>31</v>
      </c>
      <c r="R1487" t="s">
        <v>3927</v>
      </c>
      <c r="S1487" t="s">
        <v>1541</v>
      </c>
      <c r="T1487" t="s">
        <v>3822</v>
      </c>
      <c r="U1487" t="s">
        <v>1720</v>
      </c>
      <c r="V1487" t="s">
        <v>1741</v>
      </c>
      <c r="W1487" t="s">
        <v>1742</v>
      </c>
      <c r="X1487" t="s">
        <v>1739</v>
      </c>
    </row>
    <row r="1488" spans="1:24" x14ac:dyDescent="0.3">
      <c r="A1488" t="s">
        <v>3295</v>
      </c>
      <c r="B1488" s="2">
        <v>45664</v>
      </c>
      <c r="C1488" t="s">
        <v>1409</v>
      </c>
      <c r="D1488" t="s">
        <v>1575</v>
      </c>
      <c r="E1488" t="s">
        <v>1782</v>
      </c>
      <c r="F1488" s="4">
        <v>1</v>
      </c>
      <c r="G1488">
        <v>588.29999999999995</v>
      </c>
      <c r="H1488">
        <v>0.26</v>
      </c>
      <c r="I1488" t="s">
        <v>1812</v>
      </c>
      <c r="J1488">
        <v>435.34199999999998</v>
      </c>
      <c r="K1488" t="s">
        <v>1410</v>
      </c>
      <c r="L1488">
        <v>36</v>
      </c>
      <c r="M1488" t="s">
        <v>16</v>
      </c>
      <c r="N1488" t="s">
        <v>1411</v>
      </c>
      <c r="O1488" t="s">
        <v>43</v>
      </c>
      <c r="P1488" t="s">
        <v>12</v>
      </c>
      <c r="Q1488" t="s">
        <v>31</v>
      </c>
      <c r="R1488" t="s">
        <v>3848</v>
      </c>
      <c r="S1488" t="s">
        <v>1549</v>
      </c>
      <c r="T1488" t="s">
        <v>3844</v>
      </c>
      <c r="U1488" t="s">
        <v>1576</v>
      </c>
      <c r="V1488" t="s">
        <v>1741</v>
      </c>
      <c r="W1488" t="s">
        <v>1742</v>
      </c>
      <c r="X1488" t="s">
        <v>1739</v>
      </c>
    </row>
    <row r="1489" spans="1:24" x14ac:dyDescent="0.3">
      <c r="A1489" t="s">
        <v>3296</v>
      </c>
      <c r="B1489" s="2">
        <v>45645</v>
      </c>
      <c r="C1489" t="s">
        <v>1409</v>
      </c>
      <c r="D1489" t="s">
        <v>1641</v>
      </c>
      <c r="E1489" t="s">
        <v>1762</v>
      </c>
      <c r="F1489" s="4">
        <v>1</v>
      </c>
      <c r="G1489">
        <v>917.26</v>
      </c>
      <c r="H1489">
        <v>0.05</v>
      </c>
      <c r="I1489" t="s">
        <v>1809</v>
      </c>
      <c r="J1489">
        <v>871.39699999999993</v>
      </c>
      <c r="K1489" t="s">
        <v>1410</v>
      </c>
      <c r="L1489">
        <v>36</v>
      </c>
      <c r="M1489" t="s">
        <v>16</v>
      </c>
      <c r="N1489" t="s">
        <v>1411</v>
      </c>
      <c r="O1489" t="s">
        <v>43</v>
      </c>
      <c r="P1489" t="s">
        <v>12</v>
      </c>
      <c r="Q1489" t="s">
        <v>31</v>
      </c>
      <c r="R1489" t="s">
        <v>3887</v>
      </c>
      <c r="S1489" t="s">
        <v>1527</v>
      </c>
      <c r="T1489" t="s">
        <v>3836</v>
      </c>
      <c r="U1489" t="s">
        <v>1642</v>
      </c>
      <c r="V1489" t="s">
        <v>1763</v>
      </c>
      <c r="W1489" t="s">
        <v>1746</v>
      </c>
      <c r="X1489" t="s">
        <v>1755</v>
      </c>
    </row>
    <row r="1490" spans="1:24" x14ac:dyDescent="0.3">
      <c r="A1490" t="s">
        <v>3297</v>
      </c>
      <c r="B1490" s="2">
        <v>45449</v>
      </c>
      <c r="C1490" t="s">
        <v>743</v>
      </c>
      <c r="D1490" t="s">
        <v>1540</v>
      </c>
      <c r="E1490" t="s">
        <v>1793</v>
      </c>
      <c r="F1490" s="4">
        <v>4</v>
      </c>
      <c r="G1490">
        <v>96.78</v>
      </c>
      <c r="H1490">
        <v>0.11</v>
      </c>
      <c r="I1490" t="s">
        <v>1809</v>
      </c>
      <c r="J1490">
        <v>344.53680000000003</v>
      </c>
      <c r="K1490" t="s">
        <v>744</v>
      </c>
      <c r="L1490">
        <v>43</v>
      </c>
      <c r="M1490" t="s">
        <v>16</v>
      </c>
      <c r="N1490" t="s">
        <v>745</v>
      </c>
      <c r="O1490" t="s">
        <v>43</v>
      </c>
      <c r="P1490" t="s">
        <v>12</v>
      </c>
      <c r="Q1490" t="s">
        <v>31</v>
      </c>
      <c r="R1490" t="s">
        <v>3891</v>
      </c>
      <c r="S1490" t="s">
        <v>1541</v>
      </c>
      <c r="T1490" t="s">
        <v>3833</v>
      </c>
      <c r="U1490" t="s">
        <v>1650</v>
      </c>
      <c r="V1490" t="s">
        <v>1741</v>
      </c>
      <c r="W1490" t="s">
        <v>1742</v>
      </c>
      <c r="X1490" t="s">
        <v>1739</v>
      </c>
    </row>
    <row r="1491" spans="1:24" x14ac:dyDescent="0.3">
      <c r="A1491" t="s">
        <v>3298</v>
      </c>
      <c r="B1491" s="2">
        <v>45629</v>
      </c>
      <c r="C1491" t="s">
        <v>1456</v>
      </c>
      <c r="D1491" t="s">
        <v>1587</v>
      </c>
      <c r="E1491" t="s">
        <v>1752</v>
      </c>
      <c r="F1491" s="4">
        <v>3</v>
      </c>
      <c r="G1491">
        <v>199.41</v>
      </c>
      <c r="H1491">
        <v>0.16</v>
      </c>
      <c r="I1491" t="s">
        <v>1812</v>
      </c>
      <c r="J1491">
        <v>502.51319999999998</v>
      </c>
      <c r="K1491" t="s">
        <v>3951</v>
      </c>
      <c r="L1491">
        <v>40</v>
      </c>
      <c r="M1491" t="s">
        <v>9</v>
      </c>
      <c r="N1491" t="s">
        <v>1457</v>
      </c>
      <c r="O1491" t="s">
        <v>39</v>
      </c>
      <c r="P1491" t="s">
        <v>12</v>
      </c>
      <c r="Q1491" t="s">
        <v>13</v>
      </c>
      <c r="R1491" t="s">
        <v>3855</v>
      </c>
      <c r="S1491" t="s">
        <v>1549</v>
      </c>
      <c r="T1491" t="s">
        <v>3820</v>
      </c>
      <c r="U1491" t="s">
        <v>1588</v>
      </c>
      <c r="V1491" t="s">
        <v>1753</v>
      </c>
      <c r="W1491" t="s">
        <v>1746</v>
      </c>
      <c r="X1491" t="s">
        <v>1755</v>
      </c>
    </row>
    <row r="1492" spans="1:24" x14ac:dyDescent="0.3">
      <c r="A1492" t="s">
        <v>3299</v>
      </c>
      <c r="B1492" s="2">
        <v>45739</v>
      </c>
      <c r="C1492" t="s">
        <v>85</v>
      </c>
      <c r="D1492" t="s">
        <v>1639</v>
      </c>
      <c r="E1492" t="s">
        <v>1769</v>
      </c>
      <c r="F1492" s="4">
        <v>1</v>
      </c>
      <c r="G1492">
        <v>687.91</v>
      </c>
      <c r="H1492">
        <v>0.25</v>
      </c>
      <c r="I1492" t="s">
        <v>1807</v>
      </c>
      <c r="J1492">
        <v>515.9325</v>
      </c>
      <c r="K1492" t="s">
        <v>86</v>
      </c>
      <c r="L1492">
        <v>59</v>
      </c>
      <c r="M1492" t="s">
        <v>9</v>
      </c>
      <c r="N1492" t="s">
        <v>87</v>
      </c>
      <c r="O1492" t="s">
        <v>88</v>
      </c>
      <c r="P1492" t="s">
        <v>12</v>
      </c>
      <c r="Q1492" t="s">
        <v>19</v>
      </c>
      <c r="R1492" t="s">
        <v>3886</v>
      </c>
      <c r="S1492" t="s">
        <v>1549</v>
      </c>
      <c r="T1492" t="s">
        <v>3820</v>
      </c>
      <c r="U1492" t="s">
        <v>1640</v>
      </c>
      <c r="V1492" t="s">
        <v>1770</v>
      </c>
      <c r="W1492" t="s">
        <v>1746</v>
      </c>
      <c r="X1492" t="s">
        <v>1739</v>
      </c>
    </row>
    <row r="1493" spans="1:24" x14ac:dyDescent="0.3">
      <c r="A1493" t="s">
        <v>3300</v>
      </c>
      <c r="B1493" s="2">
        <v>45849</v>
      </c>
      <c r="C1493" t="s">
        <v>152</v>
      </c>
      <c r="D1493" t="s">
        <v>1673</v>
      </c>
      <c r="E1493" t="s">
        <v>1744</v>
      </c>
      <c r="F1493" s="4">
        <v>3</v>
      </c>
      <c r="G1493">
        <v>769.62</v>
      </c>
      <c r="H1493">
        <v>0.09</v>
      </c>
      <c r="I1493" t="s">
        <v>1809</v>
      </c>
      <c r="J1493">
        <v>2101.0626000000002</v>
      </c>
      <c r="K1493" t="s">
        <v>153</v>
      </c>
      <c r="L1493">
        <v>50</v>
      </c>
      <c r="M1493" t="s">
        <v>9</v>
      </c>
      <c r="N1493" t="s">
        <v>154</v>
      </c>
      <c r="O1493" t="s">
        <v>155</v>
      </c>
      <c r="P1493" t="s">
        <v>12</v>
      </c>
      <c r="Q1493" t="s">
        <v>13</v>
      </c>
      <c r="R1493" t="s">
        <v>3904</v>
      </c>
      <c r="S1493" t="s">
        <v>1541</v>
      </c>
      <c r="T1493" t="s">
        <v>3833</v>
      </c>
      <c r="U1493" t="s">
        <v>1674</v>
      </c>
      <c r="V1493" t="s">
        <v>1745</v>
      </c>
      <c r="W1493" t="s">
        <v>1746</v>
      </c>
      <c r="X1493" t="s">
        <v>1748</v>
      </c>
    </row>
    <row r="1494" spans="1:24" x14ac:dyDescent="0.3">
      <c r="A1494" t="s">
        <v>3301</v>
      </c>
      <c r="B1494" s="2">
        <v>45230</v>
      </c>
      <c r="C1494" t="s">
        <v>707</v>
      </c>
      <c r="D1494" t="s">
        <v>1536</v>
      </c>
      <c r="E1494" t="s">
        <v>1749</v>
      </c>
      <c r="F1494" s="4">
        <v>1</v>
      </c>
      <c r="G1494">
        <v>492.05</v>
      </c>
      <c r="H1494">
        <v>0.27</v>
      </c>
      <c r="I1494" t="s">
        <v>1807</v>
      </c>
      <c r="J1494">
        <v>359.19650000000001</v>
      </c>
      <c r="K1494" t="s">
        <v>708</v>
      </c>
      <c r="L1494">
        <v>38</v>
      </c>
      <c r="M1494" t="s">
        <v>9</v>
      </c>
      <c r="N1494" t="s">
        <v>3957</v>
      </c>
      <c r="O1494" t="s">
        <v>709</v>
      </c>
      <c r="P1494" t="s">
        <v>12</v>
      </c>
      <c r="Q1494" t="s">
        <v>26</v>
      </c>
      <c r="R1494" t="s">
        <v>3868</v>
      </c>
      <c r="S1494" t="s">
        <v>1546</v>
      </c>
      <c r="T1494" t="s">
        <v>3869</v>
      </c>
      <c r="U1494" t="s">
        <v>1610</v>
      </c>
      <c r="V1494" t="s">
        <v>1750</v>
      </c>
      <c r="W1494" t="s">
        <v>1742</v>
      </c>
      <c r="X1494" t="s">
        <v>1748</v>
      </c>
    </row>
    <row r="1495" spans="1:24" x14ac:dyDescent="0.3">
      <c r="A1495" t="s">
        <v>3302</v>
      </c>
      <c r="B1495" s="2">
        <v>45292</v>
      </c>
      <c r="C1495" t="s">
        <v>364</v>
      </c>
      <c r="D1495" t="s">
        <v>1565</v>
      </c>
      <c r="E1495" t="s">
        <v>1777</v>
      </c>
      <c r="F1495" s="4">
        <v>2</v>
      </c>
      <c r="G1495">
        <v>428.55</v>
      </c>
      <c r="H1495">
        <v>0</v>
      </c>
      <c r="I1495" t="s">
        <v>1809</v>
      </c>
      <c r="J1495">
        <v>857.1</v>
      </c>
      <c r="K1495" t="s">
        <v>365</v>
      </c>
      <c r="L1495">
        <v>50</v>
      </c>
      <c r="M1495" t="s">
        <v>16</v>
      </c>
      <c r="N1495" t="s">
        <v>366</v>
      </c>
      <c r="O1495" t="s">
        <v>81</v>
      </c>
      <c r="P1495" t="s">
        <v>12</v>
      </c>
      <c r="Q1495" t="s">
        <v>31</v>
      </c>
      <c r="R1495" t="s">
        <v>3841</v>
      </c>
      <c r="S1495" t="s">
        <v>1549</v>
      </c>
      <c r="T1495" t="s">
        <v>3820</v>
      </c>
      <c r="U1495" t="s">
        <v>1566</v>
      </c>
      <c r="V1495" t="s">
        <v>1741</v>
      </c>
      <c r="W1495" t="s">
        <v>1742</v>
      </c>
      <c r="X1495" t="s">
        <v>1739</v>
      </c>
    </row>
    <row r="1496" spans="1:24" x14ac:dyDescent="0.3">
      <c r="A1496" t="s">
        <v>3303</v>
      </c>
      <c r="B1496" s="2">
        <v>45251</v>
      </c>
      <c r="C1496" t="s">
        <v>731</v>
      </c>
      <c r="D1496" t="s">
        <v>1551</v>
      </c>
      <c r="E1496" t="s">
        <v>1784</v>
      </c>
      <c r="F1496" s="4">
        <v>4</v>
      </c>
      <c r="G1496">
        <v>316.18</v>
      </c>
      <c r="H1496">
        <v>0.12</v>
      </c>
      <c r="I1496" t="s">
        <v>1807</v>
      </c>
      <c r="J1496">
        <v>1112.9536000000001</v>
      </c>
      <c r="K1496" t="s">
        <v>732</v>
      </c>
      <c r="L1496">
        <v>29</v>
      </c>
      <c r="M1496" t="s">
        <v>9</v>
      </c>
      <c r="N1496" t="s">
        <v>733</v>
      </c>
      <c r="O1496" t="s">
        <v>139</v>
      </c>
      <c r="P1496" t="s">
        <v>12</v>
      </c>
      <c r="Q1496" t="s">
        <v>26</v>
      </c>
      <c r="R1496" t="s">
        <v>3829</v>
      </c>
      <c r="S1496" t="s">
        <v>1527</v>
      </c>
      <c r="T1496" t="s">
        <v>3830</v>
      </c>
      <c r="U1496" t="s">
        <v>1552</v>
      </c>
      <c r="V1496" t="s">
        <v>1741</v>
      </c>
      <c r="W1496" t="s">
        <v>1742</v>
      </c>
      <c r="X1496" t="s">
        <v>1739</v>
      </c>
    </row>
    <row r="1497" spans="1:24" x14ac:dyDescent="0.3">
      <c r="A1497" t="s">
        <v>3304</v>
      </c>
      <c r="B1497" s="2">
        <v>45555</v>
      </c>
      <c r="C1497" t="s">
        <v>40</v>
      </c>
      <c r="D1497" t="s">
        <v>1557</v>
      </c>
      <c r="E1497" t="s">
        <v>1749</v>
      </c>
      <c r="F1497" s="4">
        <v>3</v>
      </c>
      <c r="G1497">
        <v>162.16999999999999</v>
      </c>
      <c r="H1497">
        <v>0.15</v>
      </c>
      <c r="I1497" t="s">
        <v>1809</v>
      </c>
      <c r="J1497">
        <v>413.5335</v>
      </c>
      <c r="K1497" t="s">
        <v>41</v>
      </c>
      <c r="L1497">
        <v>53</v>
      </c>
      <c r="M1497" t="s">
        <v>16</v>
      </c>
      <c r="N1497" t="s">
        <v>42</v>
      </c>
      <c r="O1497" t="s">
        <v>43</v>
      </c>
      <c r="P1497" t="s">
        <v>12</v>
      </c>
      <c r="Q1497" t="s">
        <v>26</v>
      </c>
      <c r="R1497" t="s">
        <v>3834</v>
      </c>
      <c r="S1497" t="s">
        <v>1546</v>
      </c>
      <c r="T1497" t="s">
        <v>3820</v>
      </c>
      <c r="U1497" t="s">
        <v>1558</v>
      </c>
      <c r="V1497" t="s">
        <v>1750</v>
      </c>
      <c r="W1497" t="s">
        <v>1742</v>
      </c>
      <c r="X1497" t="s">
        <v>1748</v>
      </c>
    </row>
    <row r="1498" spans="1:24" x14ac:dyDescent="0.3">
      <c r="A1498" t="s">
        <v>3305</v>
      </c>
      <c r="B1498" s="2">
        <v>45385</v>
      </c>
      <c r="C1498" t="s">
        <v>1030</v>
      </c>
      <c r="D1498" t="s">
        <v>1536</v>
      </c>
      <c r="E1498" t="s">
        <v>1749</v>
      </c>
      <c r="F1498" s="4">
        <v>3</v>
      </c>
      <c r="G1498">
        <v>698.14</v>
      </c>
      <c r="H1498">
        <v>0.04</v>
      </c>
      <c r="I1498" t="s">
        <v>1809</v>
      </c>
      <c r="J1498">
        <v>2010.6432</v>
      </c>
      <c r="K1498" t="s">
        <v>1031</v>
      </c>
      <c r="L1498">
        <v>34</v>
      </c>
      <c r="M1498" t="s">
        <v>16</v>
      </c>
      <c r="N1498" t="s">
        <v>1032</v>
      </c>
      <c r="O1498" t="s">
        <v>66</v>
      </c>
      <c r="P1498" t="s">
        <v>12</v>
      </c>
      <c r="Q1498" t="s">
        <v>26</v>
      </c>
      <c r="R1498" t="s">
        <v>3868</v>
      </c>
      <c r="S1498" t="s">
        <v>1546</v>
      </c>
      <c r="T1498" t="s">
        <v>3869</v>
      </c>
      <c r="U1498" t="s">
        <v>1610</v>
      </c>
      <c r="V1498" t="s">
        <v>1750</v>
      </c>
      <c r="W1498" t="s">
        <v>1742</v>
      </c>
      <c r="X1498" t="s">
        <v>1748</v>
      </c>
    </row>
    <row r="1499" spans="1:24" x14ac:dyDescent="0.3">
      <c r="A1499" t="s">
        <v>3306</v>
      </c>
      <c r="B1499" s="2">
        <v>45787</v>
      </c>
      <c r="C1499" t="s">
        <v>968</v>
      </c>
      <c r="D1499" t="s">
        <v>1679</v>
      </c>
      <c r="E1499" t="s">
        <v>1793</v>
      </c>
      <c r="F1499" s="4">
        <v>1</v>
      </c>
      <c r="G1499">
        <v>478.08</v>
      </c>
      <c r="H1499">
        <v>7.0000000000000007E-2</v>
      </c>
      <c r="I1499" t="s">
        <v>1812</v>
      </c>
      <c r="J1499">
        <v>444.61439999999988</v>
      </c>
      <c r="K1499" t="s">
        <v>969</v>
      </c>
      <c r="L1499">
        <v>35</v>
      </c>
      <c r="M1499" t="s">
        <v>9</v>
      </c>
      <c r="N1499" t="s">
        <v>970</v>
      </c>
      <c r="O1499" t="s">
        <v>170</v>
      </c>
      <c r="P1499" t="s">
        <v>12</v>
      </c>
      <c r="Q1499" t="s">
        <v>31</v>
      </c>
      <c r="R1499" t="s">
        <v>3907</v>
      </c>
      <c r="S1499" t="s">
        <v>1546</v>
      </c>
      <c r="T1499" t="s">
        <v>3826</v>
      </c>
      <c r="U1499" t="s">
        <v>1680</v>
      </c>
      <c r="V1499" t="s">
        <v>1741</v>
      </c>
      <c r="W1499" t="s">
        <v>1742</v>
      </c>
      <c r="X1499" t="s">
        <v>1739</v>
      </c>
    </row>
    <row r="1500" spans="1:24" x14ac:dyDescent="0.3">
      <c r="A1500" t="s">
        <v>3307</v>
      </c>
      <c r="B1500" s="2">
        <v>45822</v>
      </c>
      <c r="C1500" t="s">
        <v>672</v>
      </c>
      <c r="D1500" t="s">
        <v>1649</v>
      </c>
      <c r="E1500" t="s">
        <v>1762</v>
      </c>
      <c r="F1500" s="4">
        <v>2</v>
      </c>
      <c r="G1500">
        <v>958.64</v>
      </c>
      <c r="H1500">
        <v>0.2</v>
      </c>
      <c r="I1500" t="s">
        <v>1809</v>
      </c>
      <c r="J1500">
        <v>1533.8240000000001</v>
      </c>
      <c r="K1500" t="s">
        <v>673</v>
      </c>
      <c r="L1500">
        <v>50</v>
      </c>
      <c r="M1500" t="s">
        <v>16</v>
      </c>
      <c r="N1500" t="s">
        <v>674</v>
      </c>
      <c r="O1500" t="s">
        <v>323</v>
      </c>
      <c r="P1500" t="s">
        <v>12</v>
      </c>
      <c r="Q1500" t="s">
        <v>19</v>
      </c>
      <c r="R1500" t="s">
        <v>3891</v>
      </c>
      <c r="S1500" t="s">
        <v>1541</v>
      </c>
      <c r="T1500" t="s">
        <v>3833</v>
      </c>
      <c r="U1500" t="s">
        <v>1650</v>
      </c>
      <c r="V1500" t="s">
        <v>1763</v>
      </c>
      <c r="W1500" t="s">
        <v>1746</v>
      </c>
      <c r="X1500" t="s">
        <v>1755</v>
      </c>
    </row>
    <row r="1501" spans="1:24" x14ac:dyDescent="0.3">
      <c r="A1501" t="s">
        <v>3308</v>
      </c>
      <c r="B1501" s="2">
        <v>45590</v>
      </c>
      <c r="C1501" t="s">
        <v>1415</v>
      </c>
      <c r="D1501" t="s">
        <v>1613</v>
      </c>
      <c r="E1501" t="s">
        <v>1777</v>
      </c>
      <c r="F1501" s="4">
        <v>2</v>
      </c>
      <c r="G1501">
        <v>581.19000000000005</v>
      </c>
      <c r="H1501">
        <v>7.0000000000000007E-2</v>
      </c>
      <c r="I1501" t="s">
        <v>1812</v>
      </c>
      <c r="J1501">
        <v>1081.0134</v>
      </c>
      <c r="K1501" t="s">
        <v>1416</v>
      </c>
      <c r="L1501">
        <v>28</v>
      </c>
      <c r="M1501" t="s">
        <v>16</v>
      </c>
      <c r="N1501" t="s">
        <v>1417</v>
      </c>
      <c r="O1501" t="s">
        <v>74</v>
      </c>
      <c r="P1501" t="s">
        <v>12</v>
      </c>
      <c r="Q1501" t="s">
        <v>19</v>
      </c>
      <c r="R1501" t="s">
        <v>3871</v>
      </c>
      <c r="S1501" t="s">
        <v>1549</v>
      </c>
      <c r="T1501" t="s">
        <v>3828</v>
      </c>
      <c r="U1501" t="s">
        <v>1614</v>
      </c>
      <c r="V1501" t="s">
        <v>1741</v>
      </c>
      <c r="W1501" t="s">
        <v>1742</v>
      </c>
      <c r="X1501" t="s">
        <v>1739</v>
      </c>
    </row>
    <row r="1502" spans="1:24" x14ac:dyDescent="0.3">
      <c r="A1502" t="s">
        <v>3309</v>
      </c>
      <c r="B1502" s="2">
        <v>45618</v>
      </c>
      <c r="C1502" t="s">
        <v>388</v>
      </c>
      <c r="D1502" t="s">
        <v>1729</v>
      </c>
      <c r="E1502" t="s">
        <v>1775</v>
      </c>
      <c r="F1502" s="4">
        <v>1</v>
      </c>
      <c r="G1502">
        <v>736.54</v>
      </c>
      <c r="H1502">
        <v>0.16</v>
      </c>
      <c r="I1502" t="s">
        <v>1809</v>
      </c>
      <c r="J1502">
        <v>618.69359999999995</v>
      </c>
      <c r="K1502" t="s">
        <v>389</v>
      </c>
      <c r="L1502">
        <v>51</v>
      </c>
      <c r="M1502" t="s">
        <v>9</v>
      </c>
      <c r="N1502" t="s">
        <v>390</v>
      </c>
      <c r="O1502" t="s">
        <v>155</v>
      </c>
      <c r="P1502" t="s">
        <v>12</v>
      </c>
      <c r="Q1502" t="s">
        <v>31</v>
      </c>
      <c r="R1502" t="s">
        <v>3932</v>
      </c>
      <c r="S1502" t="s">
        <v>1527</v>
      </c>
      <c r="T1502" t="s">
        <v>3830</v>
      </c>
      <c r="U1502" t="s">
        <v>1730</v>
      </c>
      <c r="V1502" t="s">
        <v>1741</v>
      </c>
      <c r="W1502" t="s">
        <v>1742</v>
      </c>
      <c r="X1502" t="s">
        <v>1739</v>
      </c>
    </row>
    <row r="1503" spans="1:24" x14ac:dyDescent="0.3">
      <c r="A1503" t="s">
        <v>3310</v>
      </c>
      <c r="B1503" s="2">
        <v>45586</v>
      </c>
      <c r="C1503" t="s">
        <v>1235</v>
      </c>
      <c r="D1503" t="s">
        <v>1661</v>
      </c>
      <c r="E1503" t="s">
        <v>1784</v>
      </c>
      <c r="F1503" s="4">
        <v>1</v>
      </c>
      <c r="G1503">
        <v>524</v>
      </c>
      <c r="H1503">
        <v>0.28000000000000003</v>
      </c>
      <c r="I1503" t="s">
        <v>1807</v>
      </c>
      <c r="J1503">
        <v>377.28</v>
      </c>
      <c r="K1503" t="s">
        <v>1236</v>
      </c>
      <c r="L1503">
        <v>31</v>
      </c>
      <c r="M1503" t="s">
        <v>9</v>
      </c>
      <c r="N1503" t="s">
        <v>1237</v>
      </c>
      <c r="O1503" t="s">
        <v>181</v>
      </c>
      <c r="P1503" t="s">
        <v>12</v>
      </c>
      <c r="Q1503" t="s">
        <v>19</v>
      </c>
      <c r="R1503" t="s">
        <v>3897</v>
      </c>
      <c r="S1503" t="s">
        <v>1549</v>
      </c>
      <c r="T1503" t="s">
        <v>3828</v>
      </c>
      <c r="U1503" t="s">
        <v>1662</v>
      </c>
      <c r="V1503" t="s">
        <v>1741</v>
      </c>
      <c r="W1503" t="s">
        <v>1742</v>
      </c>
      <c r="X1503" t="s">
        <v>1739</v>
      </c>
    </row>
    <row r="1504" spans="1:24" x14ac:dyDescent="0.3">
      <c r="A1504" t="s">
        <v>3311</v>
      </c>
      <c r="B1504" s="2">
        <v>45548</v>
      </c>
      <c r="C1504" t="s">
        <v>176</v>
      </c>
      <c r="D1504" t="s">
        <v>1587</v>
      </c>
      <c r="E1504" t="s">
        <v>1749</v>
      </c>
      <c r="F1504" s="4">
        <v>4</v>
      </c>
      <c r="G1504">
        <v>566.09</v>
      </c>
      <c r="H1504">
        <v>0.28000000000000003</v>
      </c>
      <c r="I1504" t="s">
        <v>1812</v>
      </c>
      <c r="J1504">
        <v>1630.3391999999999</v>
      </c>
      <c r="K1504" t="s">
        <v>3937</v>
      </c>
      <c r="L1504">
        <v>54</v>
      </c>
      <c r="M1504" t="s">
        <v>16</v>
      </c>
      <c r="N1504" t="s">
        <v>177</v>
      </c>
      <c r="O1504" t="s">
        <v>25</v>
      </c>
      <c r="P1504" t="s">
        <v>12</v>
      </c>
      <c r="Q1504" t="s">
        <v>19</v>
      </c>
      <c r="R1504" t="s">
        <v>3855</v>
      </c>
      <c r="S1504" t="s">
        <v>1549</v>
      </c>
      <c r="T1504" t="s">
        <v>3820</v>
      </c>
      <c r="U1504" t="s">
        <v>1588</v>
      </c>
      <c r="V1504" t="s">
        <v>1750</v>
      </c>
      <c r="W1504" t="s">
        <v>1742</v>
      </c>
      <c r="X1504" t="s">
        <v>1748</v>
      </c>
    </row>
    <row r="1505" spans="1:24" x14ac:dyDescent="0.3">
      <c r="A1505" t="s">
        <v>3312</v>
      </c>
      <c r="B1505" s="2">
        <v>45772</v>
      </c>
      <c r="C1505" t="s">
        <v>820</v>
      </c>
      <c r="D1505" t="s">
        <v>1573</v>
      </c>
      <c r="E1505" t="s">
        <v>1772</v>
      </c>
      <c r="F1505" s="4">
        <v>1</v>
      </c>
      <c r="G1505">
        <v>251.99</v>
      </c>
      <c r="H1505">
        <v>0.09</v>
      </c>
      <c r="I1505" t="s">
        <v>1807</v>
      </c>
      <c r="J1505">
        <v>229.3109</v>
      </c>
      <c r="K1505" t="s">
        <v>821</v>
      </c>
      <c r="L1505">
        <v>63</v>
      </c>
      <c r="M1505" t="s">
        <v>16</v>
      </c>
      <c r="N1505" t="s">
        <v>822</v>
      </c>
      <c r="O1505" t="s">
        <v>96</v>
      </c>
      <c r="P1505" t="s">
        <v>12</v>
      </c>
      <c r="Q1505" t="s">
        <v>31</v>
      </c>
      <c r="R1505" t="s">
        <v>3846</v>
      </c>
      <c r="S1505" t="s">
        <v>1527</v>
      </c>
      <c r="T1505" t="s">
        <v>3847</v>
      </c>
      <c r="U1505" t="s">
        <v>1574</v>
      </c>
      <c r="V1505" t="s">
        <v>1741</v>
      </c>
      <c r="W1505" t="s">
        <v>1742</v>
      </c>
      <c r="X1505" t="s">
        <v>1739</v>
      </c>
    </row>
    <row r="1506" spans="1:24" x14ac:dyDescent="0.3">
      <c r="A1506" t="s">
        <v>3313</v>
      </c>
      <c r="B1506" s="2">
        <v>45361</v>
      </c>
      <c r="C1506" t="s">
        <v>710</v>
      </c>
      <c r="D1506" t="s">
        <v>1565</v>
      </c>
      <c r="E1506" t="s">
        <v>1796</v>
      </c>
      <c r="F1506" s="4">
        <v>1</v>
      </c>
      <c r="G1506">
        <v>259.2</v>
      </c>
      <c r="H1506">
        <v>0.27</v>
      </c>
      <c r="I1506" t="s">
        <v>1812</v>
      </c>
      <c r="J1506">
        <v>189.21600000000001</v>
      </c>
      <c r="K1506" t="s">
        <v>711</v>
      </c>
      <c r="L1506">
        <v>35</v>
      </c>
      <c r="M1506" t="s">
        <v>9</v>
      </c>
      <c r="N1506" t="s">
        <v>712</v>
      </c>
      <c r="O1506" t="s">
        <v>81</v>
      </c>
      <c r="P1506" t="s">
        <v>12</v>
      </c>
      <c r="Q1506" t="s">
        <v>19</v>
      </c>
      <c r="R1506" t="s">
        <v>3841</v>
      </c>
      <c r="S1506" t="s">
        <v>1549</v>
      </c>
      <c r="T1506" t="s">
        <v>3820</v>
      </c>
      <c r="U1506" t="s">
        <v>1566</v>
      </c>
      <c r="V1506" t="s">
        <v>1741</v>
      </c>
      <c r="W1506" t="s">
        <v>1742</v>
      </c>
      <c r="X1506" t="s">
        <v>1739</v>
      </c>
    </row>
    <row r="1507" spans="1:24" x14ac:dyDescent="0.3">
      <c r="A1507" t="s">
        <v>3314</v>
      </c>
      <c r="B1507" s="2">
        <v>45235</v>
      </c>
      <c r="C1507" t="s">
        <v>1364</v>
      </c>
      <c r="D1507" t="s">
        <v>1649</v>
      </c>
      <c r="E1507" t="s">
        <v>1784</v>
      </c>
      <c r="F1507" s="4">
        <v>1</v>
      </c>
      <c r="G1507">
        <v>935.66</v>
      </c>
      <c r="H1507">
        <v>0.26</v>
      </c>
      <c r="I1507" t="s">
        <v>1809</v>
      </c>
      <c r="J1507">
        <v>692.38839999999993</v>
      </c>
      <c r="K1507" t="s">
        <v>1365</v>
      </c>
      <c r="L1507">
        <v>45</v>
      </c>
      <c r="M1507" t="s">
        <v>9</v>
      </c>
      <c r="N1507" t="s">
        <v>1366</v>
      </c>
      <c r="O1507" t="s">
        <v>96</v>
      </c>
      <c r="P1507" t="s">
        <v>12</v>
      </c>
      <c r="Q1507" t="s">
        <v>31</v>
      </c>
      <c r="R1507" t="s">
        <v>3891</v>
      </c>
      <c r="S1507" t="s">
        <v>1541</v>
      </c>
      <c r="T1507" t="s">
        <v>3833</v>
      </c>
      <c r="U1507" t="s">
        <v>1650</v>
      </c>
      <c r="V1507" t="s">
        <v>1741</v>
      </c>
      <c r="W1507" t="s">
        <v>1742</v>
      </c>
      <c r="X1507" t="s">
        <v>1739</v>
      </c>
    </row>
    <row r="1508" spans="1:24" x14ac:dyDescent="0.3">
      <c r="A1508" t="s">
        <v>3315</v>
      </c>
      <c r="B1508" s="2">
        <v>45864</v>
      </c>
      <c r="C1508" t="s">
        <v>1430</v>
      </c>
      <c r="D1508" t="s">
        <v>1601</v>
      </c>
      <c r="E1508" t="s">
        <v>1765</v>
      </c>
      <c r="F1508" s="4">
        <v>4</v>
      </c>
      <c r="G1508">
        <v>480.75</v>
      </c>
      <c r="H1508">
        <v>0.02</v>
      </c>
      <c r="I1508" t="s">
        <v>1807</v>
      </c>
      <c r="J1508">
        <v>1884.54</v>
      </c>
      <c r="K1508" t="s">
        <v>1431</v>
      </c>
      <c r="L1508">
        <v>21</v>
      </c>
      <c r="M1508" t="s">
        <v>16</v>
      </c>
      <c r="N1508" t="s">
        <v>1432</v>
      </c>
      <c r="O1508" t="s">
        <v>117</v>
      </c>
      <c r="P1508" t="s">
        <v>12</v>
      </c>
      <c r="Q1508" t="s">
        <v>13</v>
      </c>
      <c r="R1508" t="s">
        <v>3863</v>
      </c>
      <c r="S1508" t="s">
        <v>1527</v>
      </c>
      <c r="T1508" t="s">
        <v>3824</v>
      </c>
      <c r="U1508" t="s">
        <v>1602</v>
      </c>
      <c r="V1508" t="s">
        <v>1766</v>
      </c>
      <c r="W1508" t="s">
        <v>1767</v>
      </c>
      <c r="X1508" t="s">
        <v>1755</v>
      </c>
    </row>
    <row r="1509" spans="1:24" x14ac:dyDescent="0.3">
      <c r="A1509" t="s">
        <v>3316</v>
      </c>
      <c r="B1509" s="2">
        <v>45681</v>
      </c>
      <c r="C1509" t="s">
        <v>1141</v>
      </c>
      <c r="D1509" t="s">
        <v>1693</v>
      </c>
      <c r="E1509" t="s">
        <v>1784</v>
      </c>
      <c r="F1509" s="4">
        <v>2</v>
      </c>
      <c r="G1509">
        <v>457.83</v>
      </c>
      <c r="H1509">
        <v>0.01</v>
      </c>
      <c r="I1509" t="s">
        <v>1812</v>
      </c>
      <c r="J1509">
        <v>906.50339999999994</v>
      </c>
      <c r="K1509" t="s">
        <v>1142</v>
      </c>
      <c r="L1509">
        <v>45</v>
      </c>
      <c r="M1509" t="s">
        <v>9</v>
      </c>
      <c r="N1509" t="s">
        <v>1143</v>
      </c>
      <c r="O1509" t="s">
        <v>170</v>
      </c>
      <c r="P1509" t="s">
        <v>12</v>
      </c>
      <c r="Q1509" t="s">
        <v>19</v>
      </c>
      <c r="R1509" t="s">
        <v>3914</v>
      </c>
      <c r="S1509" t="s">
        <v>1549</v>
      </c>
      <c r="T1509" t="s">
        <v>3844</v>
      </c>
      <c r="U1509" t="s">
        <v>1694</v>
      </c>
      <c r="V1509" t="s">
        <v>1741</v>
      </c>
      <c r="W1509" t="s">
        <v>1742</v>
      </c>
      <c r="X1509" t="s">
        <v>1739</v>
      </c>
    </row>
    <row r="1510" spans="1:24" x14ac:dyDescent="0.3">
      <c r="A1510" t="s">
        <v>3317</v>
      </c>
      <c r="B1510" s="2">
        <v>45905</v>
      </c>
      <c r="C1510" t="s">
        <v>542</v>
      </c>
      <c r="D1510" t="s">
        <v>1627</v>
      </c>
      <c r="E1510" t="s">
        <v>1782</v>
      </c>
      <c r="F1510" s="4">
        <v>1</v>
      </c>
      <c r="G1510">
        <v>994.63</v>
      </c>
      <c r="H1510">
        <v>0.28000000000000003</v>
      </c>
      <c r="I1510" t="s">
        <v>1807</v>
      </c>
      <c r="J1510">
        <v>716.1336</v>
      </c>
      <c r="K1510" t="s">
        <v>543</v>
      </c>
      <c r="L1510">
        <v>47</v>
      </c>
      <c r="M1510" t="s">
        <v>16</v>
      </c>
      <c r="N1510" t="s">
        <v>544</v>
      </c>
      <c r="O1510" t="s">
        <v>81</v>
      </c>
      <c r="P1510" t="s">
        <v>12</v>
      </c>
      <c r="Q1510" t="s">
        <v>31</v>
      </c>
      <c r="R1510" t="s">
        <v>3879</v>
      </c>
      <c r="S1510" t="s">
        <v>1546</v>
      </c>
      <c r="T1510" t="s">
        <v>3820</v>
      </c>
      <c r="U1510" t="s">
        <v>1628</v>
      </c>
      <c r="V1510" t="s">
        <v>1741</v>
      </c>
      <c r="W1510" t="s">
        <v>1742</v>
      </c>
      <c r="X1510" t="s">
        <v>1739</v>
      </c>
    </row>
    <row r="1511" spans="1:24" x14ac:dyDescent="0.3">
      <c r="A1511" t="s">
        <v>3318</v>
      </c>
      <c r="B1511" s="2">
        <v>45765</v>
      </c>
      <c r="C1511" t="s">
        <v>779</v>
      </c>
      <c r="D1511" t="s">
        <v>1711</v>
      </c>
      <c r="E1511" t="s">
        <v>1735</v>
      </c>
      <c r="F1511" s="4">
        <v>3</v>
      </c>
      <c r="G1511">
        <v>65.569999999999993</v>
      </c>
      <c r="H1511">
        <v>0.3</v>
      </c>
      <c r="I1511" t="s">
        <v>1812</v>
      </c>
      <c r="J1511">
        <v>137.697</v>
      </c>
      <c r="K1511" t="s">
        <v>780</v>
      </c>
      <c r="L1511">
        <v>58</v>
      </c>
      <c r="M1511" t="s">
        <v>9</v>
      </c>
      <c r="N1511" t="s">
        <v>781</v>
      </c>
      <c r="O1511" t="s">
        <v>155</v>
      </c>
      <c r="P1511" t="s">
        <v>12</v>
      </c>
      <c r="Q1511" t="s">
        <v>19</v>
      </c>
      <c r="R1511" t="s">
        <v>3923</v>
      </c>
      <c r="S1511" t="s">
        <v>1546</v>
      </c>
      <c r="T1511" t="s">
        <v>3820</v>
      </c>
      <c r="U1511" t="s">
        <v>1712</v>
      </c>
      <c r="V1511" t="s">
        <v>1736</v>
      </c>
      <c r="W1511" t="s">
        <v>1737</v>
      </c>
      <c r="X1511" t="s">
        <v>1739</v>
      </c>
    </row>
    <row r="1512" spans="1:24" x14ac:dyDescent="0.3">
      <c r="A1512" t="s">
        <v>3319</v>
      </c>
      <c r="B1512" s="2">
        <v>45821</v>
      </c>
      <c r="C1512" t="s">
        <v>530</v>
      </c>
      <c r="D1512" t="s">
        <v>1647</v>
      </c>
      <c r="E1512" t="s">
        <v>1790</v>
      </c>
      <c r="F1512" s="4">
        <v>3</v>
      </c>
      <c r="G1512">
        <v>622.98</v>
      </c>
      <c r="H1512">
        <v>0.28000000000000003</v>
      </c>
      <c r="I1512" t="s">
        <v>1809</v>
      </c>
      <c r="J1512">
        <v>1345.6368</v>
      </c>
      <c r="K1512" t="s">
        <v>531</v>
      </c>
      <c r="L1512">
        <v>18</v>
      </c>
      <c r="M1512" t="s">
        <v>16</v>
      </c>
      <c r="N1512" t="s">
        <v>532</v>
      </c>
      <c r="O1512" t="s">
        <v>11</v>
      </c>
      <c r="P1512" t="s">
        <v>12</v>
      </c>
      <c r="Q1512" t="s">
        <v>19</v>
      </c>
      <c r="R1512" t="s">
        <v>3890</v>
      </c>
      <c r="S1512" t="s">
        <v>1530</v>
      </c>
      <c r="T1512" t="s">
        <v>3820</v>
      </c>
      <c r="U1512" t="s">
        <v>1648</v>
      </c>
      <c r="V1512" t="s">
        <v>1741</v>
      </c>
      <c r="W1512" t="s">
        <v>1742</v>
      </c>
      <c r="X1512" t="s">
        <v>1739</v>
      </c>
    </row>
    <row r="1513" spans="1:24" x14ac:dyDescent="0.3">
      <c r="A1513" t="s">
        <v>3320</v>
      </c>
      <c r="B1513" s="2">
        <v>45691</v>
      </c>
      <c r="C1513" t="s">
        <v>794</v>
      </c>
      <c r="D1513" t="s">
        <v>1641</v>
      </c>
      <c r="E1513" t="s">
        <v>1780</v>
      </c>
      <c r="F1513" s="4">
        <v>1</v>
      </c>
      <c r="G1513">
        <v>170.68</v>
      </c>
      <c r="H1513">
        <v>0.13</v>
      </c>
      <c r="I1513" t="s">
        <v>1809</v>
      </c>
      <c r="J1513">
        <v>148.49160000000001</v>
      </c>
      <c r="K1513" t="s">
        <v>795</v>
      </c>
      <c r="L1513">
        <v>64</v>
      </c>
      <c r="M1513" t="s">
        <v>9</v>
      </c>
      <c r="N1513" t="s">
        <v>796</v>
      </c>
      <c r="O1513" t="s">
        <v>92</v>
      </c>
      <c r="P1513" t="s">
        <v>12</v>
      </c>
      <c r="Q1513" t="s">
        <v>19</v>
      </c>
      <c r="R1513" t="s">
        <v>3887</v>
      </c>
      <c r="S1513" t="s">
        <v>1527</v>
      </c>
      <c r="T1513" t="s">
        <v>3836</v>
      </c>
      <c r="U1513" t="s">
        <v>1642</v>
      </c>
      <c r="V1513" t="s">
        <v>1741</v>
      </c>
      <c r="W1513" t="s">
        <v>1742</v>
      </c>
      <c r="X1513" t="s">
        <v>1739</v>
      </c>
    </row>
    <row r="1514" spans="1:24" x14ac:dyDescent="0.3">
      <c r="A1514" t="s">
        <v>3321</v>
      </c>
      <c r="B1514" s="2">
        <v>45860</v>
      </c>
      <c r="C1514" t="s">
        <v>339</v>
      </c>
      <c r="D1514" t="s">
        <v>1543</v>
      </c>
      <c r="E1514" t="s">
        <v>1765</v>
      </c>
      <c r="F1514" s="4">
        <v>4</v>
      </c>
      <c r="G1514">
        <v>797.83</v>
      </c>
      <c r="H1514">
        <v>0.08</v>
      </c>
      <c r="I1514" t="s">
        <v>1807</v>
      </c>
      <c r="J1514">
        <v>2936.0144</v>
      </c>
      <c r="K1514" t="s">
        <v>340</v>
      </c>
      <c r="L1514">
        <v>36</v>
      </c>
      <c r="M1514" t="s">
        <v>9</v>
      </c>
      <c r="N1514" t="s">
        <v>341</v>
      </c>
      <c r="O1514" t="s">
        <v>323</v>
      </c>
      <c r="P1514" t="s">
        <v>12</v>
      </c>
      <c r="Q1514" t="s">
        <v>19</v>
      </c>
      <c r="R1514" t="s">
        <v>3902</v>
      </c>
      <c r="S1514" t="s">
        <v>1530</v>
      </c>
      <c r="T1514" t="s">
        <v>3818</v>
      </c>
      <c r="U1514" t="s">
        <v>1670</v>
      </c>
      <c r="V1514" t="s">
        <v>1766</v>
      </c>
      <c r="W1514" t="s">
        <v>1767</v>
      </c>
      <c r="X1514" t="s">
        <v>1755</v>
      </c>
    </row>
    <row r="1515" spans="1:24" x14ac:dyDescent="0.3">
      <c r="A1515" t="s">
        <v>3322</v>
      </c>
      <c r="B1515" s="2">
        <v>45922</v>
      </c>
      <c r="C1515" t="s">
        <v>345</v>
      </c>
      <c r="D1515" t="s">
        <v>1532</v>
      </c>
      <c r="E1515" t="s">
        <v>1787</v>
      </c>
      <c r="F1515" s="4">
        <v>1</v>
      </c>
      <c r="G1515">
        <v>372.75</v>
      </c>
      <c r="H1515">
        <v>0.12</v>
      </c>
      <c r="I1515" t="s">
        <v>1807</v>
      </c>
      <c r="J1515">
        <v>328.02</v>
      </c>
      <c r="K1515" t="s">
        <v>346</v>
      </c>
      <c r="L1515">
        <v>35</v>
      </c>
      <c r="M1515" t="s">
        <v>9</v>
      </c>
      <c r="N1515" t="s">
        <v>347</v>
      </c>
      <c r="O1515" t="s">
        <v>162</v>
      </c>
      <c r="P1515" t="s">
        <v>12</v>
      </c>
      <c r="Q1515" t="s">
        <v>13</v>
      </c>
      <c r="R1515" t="s">
        <v>3843</v>
      </c>
      <c r="S1515" t="s">
        <v>1549</v>
      </c>
      <c r="T1515" t="s">
        <v>3844</v>
      </c>
      <c r="U1515" t="s">
        <v>1570</v>
      </c>
      <c r="V1515" t="s">
        <v>1741</v>
      </c>
      <c r="W1515" t="s">
        <v>1742</v>
      </c>
      <c r="X1515" t="s">
        <v>1739</v>
      </c>
    </row>
    <row r="1516" spans="1:24" x14ac:dyDescent="0.3">
      <c r="A1516" t="s">
        <v>3323</v>
      </c>
      <c r="B1516" s="2">
        <v>45477</v>
      </c>
      <c r="C1516" t="s">
        <v>1222</v>
      </c>
      <c r="D1516" t="s">
        <v>1653</v>
      </c>
      <c r="E1516" t="s">
        <v>1752</v>
      </c>
      <c r="F1516" s="4">
        <v>1</v>
      </c>
      <c r="G1516">
        <v>994.18</v>
      </c>
      <c r="H1516">
        <v>0.05</v>
      </c>
      <c r="I1516" t="s">
        <v>1809</v>
      </c>
      <c r="J1516">
        <v>944.47099999999989</v>
      </c>
      <c r="K1516" t="s">
        <v>1223</v>
      </c>
      <c r="L1516">
        <v>62</v>
      </c>
      <c r="M1516" t="s">
        <v>16</v>
      </c>
      <c r="N1516" t="s">
        <v>1224</v>
      </c>
      <c r="O1516" t="s">
        <v>58</v>
      </c>
      <c r="P1516" t="s">
        <v>12</v>
      </c>
      <c r="Q1516" t="s">
        <v>31</v>
      </c>
      <c r="R1516" t="s">
        <v>3893</v>
      </c>
      <c r="S1516" t="s">
        <v>1549</v>
      </c>
      <c r="T1516" t="s">
        <v>3844</v>
      </c>
      <c r="U1516" t="s">
        <v>1654</v>
      </c>
      <c r="V1516" t="s">
        <v>1753</v>
      </c>
      <c r="W1516" t="s">
        <v>1746</v>
      </c>
      <c r="X1516" t="s">
        <v>1755</v>
      </c>
    </row>
    <row r="1517" spans="1:24" x14ac:dyDescent="0.3">
      <c r="A1517" t="s">
        <v>3324</v>
      </c>
      <c r="B1517" s="2">
        <v>45504</v>
      </c>
      <c r="C1517" t="s">
        <v>1295</v>
      </c>
      <c r="D1517" t="s">
        <v>1571</v>
      </c>
      <c r="E1517" t="s">
        <v>1780</v>
      </c>
      <c r="F1517" s="4">
        <v>1</v>
      </c>
      <c r="G1517">
        <v>136.12</v>
      </c>
      <c r="H1517">
        <v>7.0000000000000007E-2</v>
      </c>
      <c r="I1517" t="s">
        <v>1807</v>
      </c>
      <c r="J1517">
        <v>126.5916</v>
      </c>
      <c r="K1517" t="s">
        <v>3950</v>
      </c>
      <c r="L1517">
        <v>35</v>
      </c>
      <c r="M1517" t="s">
        <v>9</v>
      </c>
      <c r="N1517" t="s">
        <v>1296</v>
      </c>
      <c r="O1517" t="s">
        <v>62</v>
      </c>
      <c r="P1517" t="s">
        <v>12</v>
      </c>
      <c r="Q1517" t="s">
        <v>19</v>
      </c>
      <c r="R1517" t="s">
        <v>3845</v>
      </c>
      <c r="S1517" t="s">
        <v>1549</v>
      </c>
      <c r="T1517" t="s">
        <v>3820</v>
      </c>
      <c r="U1517" t="s">
        <v>1572</v>
      </c>
      <c r="V1517" t="s">
        <v>1741</v>
      </c>
      <c r="W1517" t="s">
        <v>1742</v>
      </c>
      <c r="X1517" t="s">
        <v>1739</v>
      </c>
    </row>
    <row r="1518" spans="1:24" x14ac:dyDescent="0.3">
      <c r="A1518" t="s">
        <v>3325</v>
      </c>
      <c r="B1518" s="2">
        <v>45862</v>
      </c>
      <c r="C1518" t="s">
        <v>124</v>
      </c>
      <c r="D1518" t="s">
        <v>1635</v>
      </c>
      <c r="E1518" t="s">
        <v>1793</v>
      </c>
      <c r="F1518" s="4">
        <v>3</v>
      </c>
      <c r="G1518">
        <v>634.45000000000005</v>
      </c>
      <c r="H1518">
        <v>0.17</v>
      </c>
      <c r="I1518" t="s">
        <v>1809</v>
      </c>
      <c r="J1518">
        <v>1579.7805000000001</v>
      </c>
      <c r="K1518" t="s">
        <v>125</v>
      </c>
      <c r="L1518">
        <v>41</v>
      </c>
      <c r="M1518" t="s">
        <v>9</v>
      </c>
      <c r="N1518" t="s">
        <v>126</v>
      </c>
      <c r="O1518" t="s">
        <v>51</v>
      </c>
      <c r="P1518" t="s">
        <v>12</v>
      </c>
      <c r="Q1518" t="s">
        <v>26</v>
      </c>
      <c r="R1518" t="s">
        <v>3884</v>
      </c>
      <c r="S1518" t="s">
        <v>1549</v>
      </c>
      <c r="T1518" t="s">
        <v>3859</v>
      </c>
      <c r="U1518" t="s">
        <v>1636</v>
      </c>
      <c r="V1518" t="s">
        <v>1741</v>
      </c>
      <c r="W1518" t="s">
        <v>1742</v>
      </c>
      <c r="X1518" t="s">
        <v>1739</v>
      </c>
    </row>
    <row r="1519" spans="1:24" x14ac:dyDescent="0.3">
      <c r="A1519" t="s">
        <v>3326</v>
      </c>
      <c r="B1519" s="2">
        <v>45579</v>
      </c>
      <c r="C1519" t="s">
        <v>1024</v>
      </c>
      <c r="D1519" t="s">
        <v>1659</v>
      </c>
      <c r="E1519" t="s">
        <v>1735</v>
      </c>
      <c r="F1519" s="4">
        <v>4</v>
      </c>
      <c r="G1519">
        <v>179.62</v>
      </c>
      <c r="H1519">
        <v>0.05</v>
      </c>
      <c r="I1519" t="s">
        <v>1807</v>
      </c>
      <c r="J1519">
        <v>682.55600000000004</v>
      </c>
      <c r="K1519" t="s">
        <v>1025</v>
      </c>
      <c r="L1519">
        <v>54</v>
      </c>
      <c r="M1519" t="s">
        <v>9</v>
      </c>
      <c r="N1519" t="s">
        <v>1026</v>
      </c>
      <c r="O1519" t="s">
        <v>198</v>
      </c>
      <c r="P1519" t="s">
        <v>12</v>
      </c>
      <c r="Q1519" t="s">
        <v>26</v>
      </c>
      <c r="R1519" t="s">
        <v>3896</v>
      </c>
      <c r="S1519" t="s">
        <v>1541</v>
      </c>
      <c r="T1519" t="s">
        <v>3878</v>
      </c>
      <c r="U1519" t="s">
        <v>1660</v>
      </c>
      <c r="V1519" t="s">
        <v>1736</v>
      </c>
      <c r="W1519" t="s">
        <v>1737</v>
      </c>
      <c r="X1519" t="s">
        <v>1739</v>
      </c>
    </row>
    <row r="1520" spans="1:24" x14ac:dyDescent="0.3">
      <c r="A1520" t="s">
        <v>3327</v>
      </c>
      <c r="B1520" s="2">
        <v>45658</v>
      </c>
      <c r="C1520" t="s">
        <v>923</v>
      </c>
      <c r="D1520" t="s">
        <v>1571</v>
      </c>
      <c r="E1520" t="s">
        <v>1793</v>
      </c>
      <c r="F1520" s="4">
        <v>4</v>
      </c>
      <c r="G1520">
        <v>558.83000000000004</v>
      </c>
      <c r="H1520">
        <v>0.16</v>
      </c>
      <c r="I1520" t="s">
        <v>1809</v>
      </c>
      <c r="J1520">
        <v>1877.6687999999999</v>
      </c>
      <c r="K1520" t="s">
        <v>924</v>
      </c>
      <c r="L1520">
        <v>19</v>
      </c>
      <c r="M1520" t="s">
        <v>16</v>
      </c>
      <c r="N1520" t="s">
        <v>567</v>
      </c>
      <c r="O1520" t="s">
        <v>66</v>
      </c>
      <c r="P1520" t="s">
        <v>12</v>
      </c>
      <c r="Q1520" t="s">
        <v>19</v>
      </c>
      <c r="R1520" t="s">
        <v>3845</v>
      </c>
      <c r="S1520" t="s">
        <v>1549</v>
      </c>
      <c r="T1520" t="s">
        <v>3820</v>
      </c>
      <c r="U1520" t="s">
        <v>1572</v>
      </c>
      <c r="V1520" t="s">
        <v>1741</v>
      </c>
      <c r="W1520" t="s">
        <v>1742</v>
      </c>
      <c r="X1520" t="s">
        <v>1739</v>
      </c>
    </row>
    <row r="1521" spans="1:24" x14ac:dyDescent="0.3">
      <c r="A1521" t="s">
        <v>3328</v>
      </c>
      <c r="B1521" s="2">
        <v>45664</v>
      </c>
      <c r="C1521" t="s">
        <v>562</v>
      </c>
      <c r="D1521" t="s">
        <v>1719</v>
      </c>
      <c r="E1521" t="s">
        <v>1759</v>
      </c>
      <c r="F1521" s="4">
        <v>2</v>
      </c>
      <c r="G1521">
        <v>859.74</v>
      </c>
      <c r="H1521">
        <v>0.25</v>
      </c>
      <c r="I1521" t="s">
        <v>1812</v>
      </c>
      <c r="J1521">
        <v>1289.6099999999999</v>
      </c>
      <c r="K1521" t="s">
        <v>563</v>
      </c>
      <c r="L1521">
        <v>41</v>
      </c>
      <c r="M1521" t="s">
        <v>16</v>
      </c>
      <c r="N1521" t="s">
        <v>564</v>
      </c>
      <c r="O1521" t="s">
        <v>251</v>
      </c>
      <c r="P1521" t="s">
        <v>12</v>
      </c>
      <c r="Q1521" t="s">
        <v>19</v>
      </c>
      <c r="R1521" t="s">
        <v>3927</v>
      </c>
      <c r="S1521" t="s">
        <v>1541</v>
      </c>
      <c r="T1521" t="s">
        <v>3822</v>
      </c>
      <c r="U1521" t="s">
        <v>1720</v>
      </c>
      <c r="V1521" t="s">
        <v>1760</v>
      </c>
      <c r="W1521" t="s">
        <v>1737</v>
      </c>
      <c r="X1521" t="s">
        <v>1755</v>
      </c>
    </row>
    <row r="1522" spans="1:24" x14ac:dyDescent="0.3">
      <c r="A1522" t="s">
        <v>3329</v>
      </c>
      <c r="B1522" s="2">
        <v>45936</v>
      </c>
      <c r="C1522" t="s">
        <v>370</v>
      </c>
      <c r="D1522" t="s">
        <v>1661</v>
      </c>
      <c r="E1522" t="s">
        <v>1787</v>
      </c>
      <c r="F1522" s="4">
        <v>3</v>
      </c>
      <c r="G1522">
        <v>578.47</v>
      </c>
      <c r="H1522">
        <v>0.06</v>
      </c>
      <c r="I1522" t="s">
        <v>1812</v>
      </c>
      <c r="J1522">
        <v>1631.2854</v>
      </c>
      <c r="K1522" t="s">
        <v>371</v>
      </c>
      <c r="L1522">
        <v>62</v>
      </c>
      <c r="M1522" t="s">
        <v>16</v>
      </c>
      <c r="N1522" t="s">
        <v>372</v>
      </c>
      <c r="O1522" t="s">
        <v>214</v>
      </c>
      <c r="P1522" t="s">
        <v>12</v>
      </c>
      <c r="Q1522" t="s">
        <v>26</v>
      </c>
      <c r="R1522" t="s">
        <v>3897</v>
      </c>
      <c r="S1522" t="s">
        <v>1549</v>
      </c>
      <c r="T1522" t="s">
        <v>3828</v>
      </c>
      <c r="U1522" t="s">
        <v>1662</v>
      </c>
      <c r="V1522" t="s">
        <v>1741</v>
      </c>
      <c r="W1522" t="s">
        <v>1742</v>
      </c>
      <c r="X1522" t="s">
        <v>1739</v>
      </c>
    </row>
    <row r="1523" spans="1:24" x14ac:dyDescent="0.3">
      <c r="A1523" t="s">
        <v>3330</v>
      </c>
      <c r="B1523" s="2">
        <v>45344</v>
      </c>
      <c r="C1523" t="s">
        <v>205</v>
      </c>
      <c r="D1523" t="s">
        <v>1573</v>
      </c>
      <c r="E1523" t="s">
        <v>1777</v>
      </c>
      <c r="F1523" s="4">
        <v>1</v>
      </c>
      <c r="G1523">
        <v>440.48</v>
      </c>
      <c r="H1523">
        <v>0.11</v>
      </c>
      <c r="I1523" t="s">
        <v>1812</v>
      </c>
      <c r="J1523">
        <v>392.02720000000011</v>
      </c>
      <c r="K1523" t="s">
        <v>206</v>
      </c>
      <c r="L1523">
        <v>49</v>
      </c>
      <c r="M1523" t="s">
        <v>16</v>
      </c>
      <c r="N1523" t="s">
        <v>207</v>
      </c>
      <c r="O1523" t="s">
        <v>198</v>
      </c>
      <c r="P1523" t="s">
        <v>12</v>
      </c>
      <c r="Q1523" t="s">
        <v>26</v>
      </c>
      <c r="R1523" t="s">
        <v>3846</v>
      </c>
      <c r="S1523" t="s">
        <v>1527</v>
      </c>
      <c r="T1523" t="s">
        <v>3847</v>
      </c>
      <c r="U1523" t="s">
        <v>1574</v>
      </c>
      <c r="V1523" t="s">
        <v>1741</v>
      </c>
      <c r="W1523" t="s">
        <v>1742</v>
      </c>
      <c r="X1523" t="s">
        <v>1739</v>
      </c>
    </row>
    <row r="1524" spans="1:24" x14ac:dyDescent="0.3">
      <c r="A1524" t="s">
        <v>3331</v>
      </c>
      <c r="B1524" s="2">
        <v>45329</v>
      </c>
      <c r="C1524" t="s">
        <v>75</v>
      </c>
      <c r="D1524" t="s">
        <v>1563</v>
      </c>
      <c r="E1524" t="s">
        <v>1796</v>
      </c>
      <c r="F1524" s="4">
        <v>2</v>
      </c>
      <c r="G1524">
        <v>303.67</v>
      </c>
      <c r="H1524">
        <v>0.05</v>
      </c>
      <c r="I1524" t="s">
        <v>1809</v>
      </c>
      <c r="J1524">
        <v>576.97299999999996</v>
      </c>
      <c r="K1524" t="s">
        <v>76</v>
      </c>
      <c r="L1524">
        <v>60</v>
      </c>
      <c r="M1524" t="s">
        <v>16</v>
      </c>
      <c r="N1524" t="s">
        <v>77</v>
      </c>
      <c r="O1524" t="s">
        <v>51</v>
      </c>
      <c r="P1524" t="s">
        <v>12</v>
      </c>
      <c r="Q1524" t="s">
        <v>26</v>
      </c>
      <c r="R1524" t="s">
        <v>3839</v>
      </c>
      <c r="S1524" t="s">
        <v>1541</v>
      </c>
      <c r="T1524" t="s">
        <v>3840</v>
      </c>
      <c r="U1524" t="s">
        <v>1564</v>
      </c>
      <c r="V1524" t="s">
        <v>1741</v>
      </c>
      <c r="W1524" t="s">
        <v>1742</v>
      </c>
      <c r="X1524" t="s">
        <v>1739</v>
      </c>
    </row>
    <row r="1525" spans="1:24" x14ac:dyDescent="0.3">
      <c r="A1525" t="s">
        <v>3332</v>
      </c>
      <c r="B1525" s="2">
        <v>45895</v>
      </c>
      <c r="C1525" t="s">
        <v>1045</v>
      </c>
      <c r="D1525" t="s">
        <v>1679</v>
      </c>
      <c r="E1525" t="s">
        <v>1782</v>
      </c>
      <c r="F1525" s="4">
        <v>2</v>
      </c>
      <c r="G1525">
        <v>611.21</v>
      </c>
      <c r="H1525">
        <v>0.22</v>
      </c>
      <c r="I1525" t="s">
        <v>1812</v>
      </c>
      <c r="J1525">
        <v>953.48760000000004</v>
      </c>
      <c r="K1525" t="s">
        <v>1046</v>
      </c>
      <c r="L1525">
        <v>40</v>
      </c>
      <c r="M1525" t="s">
        <v>16</v>
      </c>
      <c r="N1525" t="s">
        <v>1047</v>
      </c>
      <c r="O1525" t="s">
        <v>35</v>
      </c>
      <c r="P1525" t="s">
        <v>12</v>
      </c>
      <c r="Q1525" t="s">
        <v>31</v>
      </c>
      <c r="R1525" t="s">
        <v>3907</v>
      </c>
      <c r="S1525" t="s">
        <v>1546</v>
      </c>
      <c r="T1525" t="s">
        <v>3826</v>
      </c>
      <c r="U1525" t="s">
        <v>1680</v>
      </c>
      <c r="V1525" t="s">
        <v>1741</v>
      </c>
      <c r="W1525" t="s">
        <v>1742</v>
      </c>
      <c r="X1525" t="s">
        <v>1739</v>
      </c>
    </row>
    <row r="1526" spans="1:24" x14ac:dyDescent="0.3">
      <c r="A1526" t="s">
        <v>3333</v>
      </c>
      <c r="B1526" s="2">
        <v>45239</v>
      </c>
      <c r="C1526" t="s">
        <v>654</v>
      </c>
      <c r="D1526" t="s">
        <v>1609</v>
      </c>
      <c r="E1526" t="s">
        <v>1784</v>
      </c>
      <c r="F1526" s="4">
        <v>2</v>
      </c>
      <c r="G1526">
        <v>768.08</v>
      </c>
      <c r="H1526">
        <v>0.26</v>
      </c>
      <c r="I1526" t="s">
        <v>1809</v>
      </c>
      <c r="J1526">
        <v>1136.7583999999999</v>
      </c>
      <c r="K1526" t="s">
        <v>655</v>
      </c>
      <c r="L1526">
        <v>47</v>
      </c>
      <c r="M1526" t="s">
        <v>9</v>
      </c>
      <c r="N1526" t="s">
        <v>656</v>
      </c>
      <c r="O1526" t="s">
        <v>62</v>
      </c>
      <c r="P1526" t="s">
        <v>12</v>
      </c>
      <c r="Q1526" t="s">
        <v>19</v>
      </c>
      <c r="R1526" t="s">
        <v>3868</v>
      </c>
      <c r="S1526" t="s">
        <v>1546</v>
      </c>
      <c r="T1526" t="s">
        <v>3869</v>
      </c>
      <c r="U1526" t="s">
        <v>1610</v>
      </c>
      <c r="V1526" t="s">
        <v>1741</v>
      </c>
      <c r="W1526" t="s">
        <v>1742</v>
      </c>
      <c r="X1526" t="s">
        <v>1739</v>
      </c>
    </row>
    <row r="1527" spans="1:24" x14ac:dyDescent="0.3">
      <c r="A1527" t="s">
        <v>3334</v>
      </c>
      <c r="B1527" s="2">
        <v>45296</v>
      </c>
      <c r="C1527" t="s">
        <v>928</v>
      </c>
      <c r="D1527" t="s">
        <v>1577</v>
      </c>
      <c r="E1527" t="s">
        <v>1793</v>
      </c>
      <c r="F1527" s="4">
        <v>1</v>
      </c>
      <c r="G1527">
        <v>616.82000000000005</v>
      </c>
      <c r="H1527">
        <v>0.24</v>
      </c>
      <c r="I1527" t="s">
        <v>1807</v>
      </c>
      <c r="J1527">
        <v>468.78320000000002</v>
      </c>
      <c r="K1527" t="s">
        <v>929</v>
      </c>
      <c r="L1527">
        <v>47</v>
      </c>
      <c r="M1527" t="s">
        <v>16</v>
      </c>
      <c r="N1527" t="s">
        <v>294</v>
      </c>
      <c r="O1527" t="s">
        <v>43</v>
      </c>
      <c r="P1527" t="s">
        <v>12</v>
      </c>
      <c r="Q1527" t="s">
        <v>26</v>
      </c>
      <c r="R1527" t="s">
        <v>3849</v>
      </c>
      <c r="S1527" t="s">
        <v>1530</v>
      </c>
      <c r="T1527" t="s">
        <v>3813</v>
      </c>
      <c r="U1527" t="s">
        <v>1578</v>
      </c>
      <c r="V1527" t="s">
        <v>1741</v>
      </c>
      <c r="W1527" t="s">
        <v>1742</v>
      </c>
      <c r="X1527" t="s">
        <v>1739</v>
      </c>
    </row>
    <row r="1528" spans="1:24" x14ac:dyDescent="0.3">
      <c r="A1528" t="s">
        <v>3335</v>
      </c>
      <c r="B1528" s="2">
        <v>45672</v>
      </c>
      <c r="C1528" t="s">
        <v>598</v>
      </c>
      <c r="D1528" t="s">
        <v>1611</v>
      </c>
      <c r="E1528" t="s">
        <v>1793</v>
      </c>
      <c r="F1528" s="4">
        <v>1</v>
      </c>
      <c r="G1528">
        <v>470.34</v>
      </c>
      <c r="H1528">
        <v>0.18</v>
      </c>
      <c r="I1528" t="s">
        <v>1812</v>
      </c>
      <c r="J1528">
        <v>385.67880000000002</v>
      </c>
      <c r="K1528" t="s">
        <v>599</v>
      </c>
      <c r="L1528">
        <v>46</v>
      </c>
      <c r="M1528" t="s">
        <v>16</v>
      </c>
      <c r="N1528" t="s">
        <v>600</v>
      </c>
      <c r="O1528" t="s">
        <v>58</v>
      </c>
      <c r="P1528" t="s">
        <v>12</v>
      </c>
      <c r="Q1528" t="s">
        <v>19</v>
      </c>
      <c r="R1528" t="s">
        <v>3870</v>
      </c>
      <c r="S1528" t="s">
        <v>1546</v>
      </c>
      <c r="T1528" t="s">
        <v>3826</v>
      </c>
      <c r="U1528" t="s">
        <v>1612</v>
      </c>
      <c r="V1528" t="s">
        <v>1741</v>
      </c>
      <c r="W1528" t="s">
        <v>1742</v>
      </c>
      <c r="X1528" t="s">
        <v>1739</v>
      </c>
    </row>
    <row r="1529" spans="1:24" x14ac:dyDescent="0.3">
      <c r="A1529" t="s">
        <v>3336</v>
      </c>
      <c r="B1529" s="2">
        <v>45499</v>
      </c>
      <c r="C1529" t="s">
        <v>705</v>
      </c>
      <c r="D1529" t="s">
        <v>1637</v>
      </c>
      <c r="E1529" t="s">
        <v>1765</v>
      </c>
      <c r="F1529" s="4">
        <v>2</v>
      </c>
      <c r="G1529">
        <v>616.36</v>
      </c>
      <c r="H1529">
        <v>0.12</v>
      </c>
      <c r="I1529" t="s">
        <v>1809</v>
      </c>
      <c r="J1529">
        <v>1084.7936</v>
      </c>
      <c r="K1529" t="s">
        <v>706</v>
      </c>
      <c r="L1529">
        <v>50</v>
      </c>
      <c r="M1529" t="s">
        <v>16</v>
      </c>
      <c r="N1529" t="s">
        <v>3809</v>
      </c>
      <c r="O1529" t="s">
        <v>88</v>
      </c>
      <c r="P1529" t="s">
        <v>12</v>
      </c>
      <c r="Q1529" t="s">
        <v>13</v>
      </c>
      <c r="R1529" t="s">
        <v>3885</v>
      </c>
      <c r="S1529" t="s">
        <v>1530</v>
      </c>
      <c r="T1529" t="s">
        <v>3818</v>
      </c>
      <c r="U1529" t="s">
        <v>1638</v>
      </c>
      <c r="V1529" t="s">
        <v>1766</v>
      </c>
      <c r="W1529" t="s">
        <v>1767</v>
      </c>
      <c r="X1529" t="s">
        <v>1755</v>
      </c>
    </row>
    <row r="1530" spans="1:24" x14ac:dyDescent="0.3">
      <c r="A1530" t="s">
        <v>3337</v>
      </c>
      <c r="B1530" s="2">
        <v>45434</v>
      </c>
      <c r="C1530" t="s">
        <v>295</v>
      </c>
      <c r="D1530" t="s">
        <v>1534</v>
      </c>
      <c r="E1530" t="s">
        <v>1769</v>
      </c>
      <c r="F1530" s="4">
        <v>3</v>
      </c>
      <c r="G1530">
        <v>657.24</v>
      </c>
      <c r="H1530">
        <v>0.18</v>
      </c>
      <c r="I1530" t="s">
        <v>1809</v>
      </c>
      <c r="J1530">
        <v>1616.8104000000001</v>
      </c>
      <c r="K1530" t="s">
        <v>296</v>
      </c>
      <c r="L1530">
        <v>48</v>
      </c>
      <c r="M1530" t="s">
        <v>16</v>
      </c>
      <c r="N1530" t="s">
        <v>297</v>
      </c>
      <c r="O1530" t="s">
        <v>247</v>
      </c>
      <c r="P1530" t="s">
        <v>12</v>
      </c>
      <c r="Q1530" t="s">
        <v>26</v>
      </c>
      <c r="R1530" t="s">
        <v>3856</v>
      </c>
      <c r="S1530" t="s">
        <v>1527</v>
      </c>
      <c r="T1530" t="s">
        <v>3836</v>
      </c>
      <c r="U1530" t="s">
        <v>1590</v>
      </c>
      <c r="V1530" t="s">
        <v>1770</v>
      </c>
      <c r="W1530" t="s">
        <v>1746</v>
      </c>
      <c r="X1530" t="s">
        <v>1739</v>
      </c>
    </row>
    <row r="1531" spans="1:24" x14ac:dyDescent="0.3">
      <c r="A1531" t="s">
        <v>3338</v>
      </c>
      <c r="B1531" s="2">
        <v>45893</v>
      </c>
      <c r="C1531" t="s">
        <v>136</v>
      </c>
      <c r="D1531" t="s">
        <v>1613</v>
      </c>
      <c r="E1531" t="s">
        <v>1796</v>
      </c>
      <c r="F1531" s="4">
        <v>2</v>
      </c>
      <c r="G1531">
        <v>392.45</v>
      </c>
      <c r="H1531">
        <v>0.04</v>
      </c>
      <c r="I1531" t="s">
        <v>1809</v>
      </c>
      <c r="J1531">
        <v>753.50399999999991</v>
      </c>
      <c r="K1531" t="s">
        <v>137</v>
      </c>
      <c r="L1531">
        <v>52</v>
      </c>
      <c r="M1531" t="s">
        <v>9</v>
      </c>
      <c r="N1531" t="s">
        <v>138</v>
      </c>
      <c r="O1531" t="s">
        <v>139</v>
      </c>
      <c r="P1531" t="s">
        <v>12</v>
      </c>
      <c r="Q1531" t="s">
        <v>19</v>
      </c>
      <c r="R1531" t="s">
        <v>3871</v>
      </c>
      <c r="S1531" t="s">
        <v>1549</v>
      </c>
      <c r="T1531" t="s">
        <v>3828</v>
      </c>
      <c r="U1531" t="s">
        <v>1614</v>
      </c>
      <c r="V1531" t="s">
        <v>1741</v>
      </c>
      <c r="W1531" t="s">
        <v>1742</v>
      </c>
      <c r="X1531" t="s">
        <v>1739</v>
      </c>
    </row>
    <row r="1532" spans="1:24" x14ac:dyDescent="0.3">
      <c r="A1532" t="s">
        <v>3339</v>
      </c>
      <c r="B1532" s="2">
        <v>45346</v>
      </c>
      <c r="C1532" t="s">
        <v>779</v>
      </c>
      <c r="D1532" t="s">
        <v>1611</v>
      </c>
      <c r="E1532" t="s">
        <v>1782</v>
      </c>
      <c r="F1532" s="4">
        <v>3</v>
      </c>
      <c r="G1532">
        <v>62.03</v>
      </c>
      <c r="H1532">
        <v>0.01</v>
      </c>
      <c r="I1532" t="s">
        <v>1812</v>
      </c>
      <c r="J1532">
        <v>184.22909999999999</v>
      </c>
      <c r="K1532" t="s">
        <v>780</v>
      </c>
      <c r="L1532">
        <v>58</v>
      </c>
      <c r="M1532" t="s">
        <v>9</v>
      </c>
      <c r="N1532" t="s">
        <v>781</v>
      </c>
      <c r="O1532" t="s">
        <v>155</v>
      </c>
      <c r="P1532" t="s">
        <v>12</v>
      </c>
      <c r="Q1532" t="s">
        <v>19</v>
      </c>
      <c r="R1532" t="s">
        <v>3870</v>
      </c>
      <c r="S1532" t="s">
        <v>1546</v>
      </c>
      <c r="T1532" t="s">
        <v>3826</v>
      </c>
      <c r="U1532" t="s">
        <v>1612</v>
      </c>
      <c r="V1532" t="s">
        <v>1741</v>
      </c>
      <c r="W1532" t="s">
        <v>1742</v>
      </c>
      <c r="X1532" t="s">
        <v>1739</v>
      </c>
    </row>
    <row r="1533" spans="1:24" x14ac:dyDescent="0.3">
      <c r="A1533" t="s">
        <v>3340</v>
      </c>
      <c r="B1533" s="2">
        <v>45613</v>
      </c>
      <c r="C1533" t="s">
        <v>327</v>
      </c>
      <c r="D1533" t="s">
        <v>1723</v>
      </c>
      <c r="E1533" t="s">
        <v>1749</v>
      </c>
      <c r="F1533" s="4">
        <v>4</v>
      </c>
      <c r="G1533">
        <v>933.73</v>
      </c>
      <c r="H1533">
        <v>0.25</v>
      </c>
      <c r="I1533" t="s">
        <v>1809</v>
      </c>
      <c r="J1533">
        <v>2801.19</v>
      </c>
      <c r="K1533" t="s">
        <v>328</v>
      </c>
      <c r="L1533">
        <v>28</v>
      </c>
      <c r="M1533" t="s">
        <v>16</v>
      </c>
      <c r="N1533" t="s">
        <v>329</v>
      </c>
      <c r="O1533" t="s">
        <v>234</v>
      </c>
      <c r="P1533" t="s">
        <v>12</v>
      </c>
      <c r="Q1533" t="s">
        <v>19</v>
      </c>
      <c r="R1533" t="s">
        <v>3929</v>
      </c>
      <c r="S1533" t="s">
        <v>1530</v>
      </c>
      <c r="T1533" t="s">
        <v>3815</v>
      </c>
      <c r="U1533" t="s">
        <v>1724</v>
      </c>
      <c r="V1533" t="s">
        <v>1750</v>
      </c>
      <c r="W1533" t="s">
        <v>1742</v>
      </c>
      <c r="X1533" t="s">
        <v>1748</v>
      </c>
    </row>
    <row r="1534" spans="1:24" x14ac:dyDescent="0.3">
      <c r="A1534" t="s">
        <v>3341</v>
      </c>
      <c r="B1534" s="2">
        <v>45928</v>
      </c>
      <c r="C1534" t="s">
        <v>515</v>
      </c>
      <c r="D1534" t="s">
        <v>1701</v>
      </c>
      <c r="E1534" t="s">
        <v>1787</v>
      </c>
      <c r="F1534" s="4">
        <v>3</v>
      </c>
      <c r="G1534">
        <v>615.30999999999995</v>
      </c>
      <c r="H1534">
        <v>0.14000000000000001</v>
      </c>
      <c r="I1534" t="s">
        <v>1809</v>
      </c>
      <c r="J1534">
        <v>1587.4998000000001</v>
      </c>
      <c r="K1534" t="s">
        <v>516</v>
      </c>
      <c r="L1534">
        <v>46</v>
      </c>
      <c r="M1534" t="s">
        <v>9</v>
      </c>
      <c r="N1534" t="s">
        <v>517</v>
      </c>
      <c r="O1534" t="s">
        <v>264</v>
      </c>
      <c r="P1534" t="s">
        <v>12</v>
      </c>
      <c r="Q1534" t="s">
        <v>13</v>
      </c>
      <c r="R1534" t="s">
        <v>3918</v>
      </c>
      <c r="S1534" t="s">
        <v>1530</v>
      </c>
      <c r="T1534" t="s">
        <v>3820</v>
      </c>
      <c r="U1534" t="s">
        <v>1702</v>
      </c>
      <c r="V1534" t="s">
        <v>1741</v>
      </c>
      <c r="W1534" t="s">
        <v>1742</v>
      </c>
      <c r="X1534" t="s">
        <v>1739</v>
      </c>
    </row>
    <row r="1535" spans="1:24" x14ac:dyDescent="0.3">
      <c r="A1535" t="s">
        <v>3342</v>
      </c>
      <c r="B1535" s="2">
        <v>45619</v>
      </c>
      <c r="C1535" t="s">
        <v>1153</v>
      </c>
      <c r="D1535" t="s">
        <v>1649</v>
      </c>
      <c r="E1535" t="s">
        <v>1793</v>
      </c>
      <c r="F1535" s="4">
        <v>4</v>
      </c>
      <c r="G1535">
        <v>790.38</v>
      </c>
      <c r="H1535">
        <v>0.22</v>
      </c>
      <c r="I1535" t="s">
        <v>1812</v>
      </c>
      <c r="J1535">
        <v>2465.9856</v>
      </c>
      <c r="K1535" t="s">
        <v>1154</v>
      </c>
      <c r="L1535">
        <v>60</v>
      </c>
      <c r="M1535" t="s">
        <v>9</v>
      </c>
      <c r="N1535" t="s">
        <v>1155</v>
      </c>
      <c r="O1535" t="s">
        <v>429</v>
      </c>
      <c r="P1535" t="s">
        <v>12</v>
      </c>
      <c r="Q1535" t="s">
        <v>13</v>
      </c>
      <c r="R1535" t="s">
        <v>3891</v>
      </c>
      <c r="S1535" t="s">
        <v>1541</v>
      </c>
      <c r="T1535" t="s">
        <v>3833</v>
      </c>
      <c r="U1535" t="s">
        <v>1650</v>
      </c>
      <c r="V1535" t="s">
        <v>1741</v>
      </c>
      <c r="W1535" t="s">
        <v>1742</v>
      </c>
      <c r="X1535" t="s">
        <v>1739</v>
      </c>
    </row>
    <row r="1536" spans="1:24" x14ac:dyDescent="0.3">
      <c r="A1536" t="s">
        <v>3343</v>
      </c>
      <c r="B1536" s="2">
        <v>45533</v>
      </c>
      <c r="C1536" t="s">
        <v>850</v>
      </c>
      <c r="D1536" t="s">
        <v>1649</v>
      </c>
      <c r="E1536" t="s">
        <v>1790</v>
      </c>
      <c r="F1536" s="4">
        <v>2</v>
      </c>
      <c r="G1536">
        <v>102.85</v>
      </c>
      <c r="H1536">
        <v>0.08</v>
      </c>
      <c r="I1536" t="s">
        <v>1809</v>
      </c>
      <c r="J1536">
        <v>189.244</v>
      </c>
      <c r="K1536" t="s">
        <v>851</v>
      </c>
      <c r="L1536">
        <v>31</v>
      </c>
      <c r="M1536" t="s">
        <v>16</v>
      </c>
      <c r="N1536" t="s">
        <v>852</v>
      </c>
      <c r="O1536" t="s">
        <v>30</v>
      </c>
      <c r="P1536" t="s">
        <v>12</v>
      </c>
      <c r="Q1536" t="s">
        <v>31</v>
      </c>
      <c r="R1536" t="s">
        <v>3891</v>
      </c>
      <c r="S1536" t="s">
        <v>1541</v>
      </c>
      <c r="T1536" t="s">
        <v>3833</v>
      </c>
      <c r="U1536" t="s">
        <v>1650</v>
      </c>
      <c r="V1536" t="s">
        <v>1741</v>
      </c>
      <c r="W1536" t="s">
        <v>1742</v>
      </c>
      <c r="X1536" t="s">
        <v>1739</v>
      </c>
    </row>
    <row r="1537" spans="1:24" x14ac:dyDescent="0.3">
      <c r="A1537" t="s">
        <v>3344</v>
      </c>
      <c r="B1537" s="2">
        <v>45781</v>
      </c>
      <c r="C1537" t="s">
        <v>152</v>
      </c>
      <c r="D1537" t="s">
        <v>1553</v>
      </c>
      <c r="E1537" t="s">
        <v>1787</v>
      </c>
      <c r="F1537" s="4">
        <v>3</v>
      </c>
      <c r="G1537">
        <v>866.78</v>
      </c>
      <c r="H1537">
        <v>0.27</v>
      </c>
      <c r="I1537" t="s">
        <v>1809</v>
      </c>
      <c r="J1537">
        <v>1898.2482</v>
      </c>
      <c r="K1537" t="s">
        <v>153</v>
      </c>
      <c r="L1537">
        <v>50</v>
      </c>
      <c r="M1537" t="s">
        <v>9</v>
      </c>
      <c r="N1537" t="s">
        <v>154</v>
      </c>
      <c r="O1537" t="s">
        <v>155</v>
      </c>
      <c r="P1537" t="s">
        <v>12</v>
      </c>
      <c r="Q1537" t="s">
        <v>13</v>
      </c>
      <c r="R1537" t="s">
        <v>3831</v>
      </c>
      <c r="S1537" t="s">
        <v>1546</v>
      </c>
      <c r="T1537" t="s">
        <v>3820</v>
      </c>
      <c r="U1537" t="s">
        <v>1554</v>
      </c>
      <c r="V1537" t="s">
        <v>1741</v>
      </c>
      <c r="W1537" t="s">
        <v>1742</v>
      </c>
      <c r="X1537" t="s">
        <v>1739</v>
      </c>
    </row>
    <row r="1538" spans="1:24" x14ac:dyDescent="0.3">
      <c r="A1538" t="s">
        <v>3345</v>
      </c>
      <c r="B1538" s="2">
        <v>45378</v>
      </c>
      <c r="C1538" t="s">
        <v>672</v>
      </c>
      <c r="D1538" t="s">
        <v>1687</v>
      </c>
      <c r="E1538" t="s">
        <v>1787</v>
      </c>
      <c r="F1538" s="4">
        <v>3</v>
      </c>
      <c r="G1538">
        <v>392.84</v>
      </c>
      <c r="H1538">
        <v>0.27</v>
      </c>
      <c r="I1538" t="s">
        <v>1809</v>
      </c>
      <c r="J1538">
        <v>860.31959999999992</v>
      </c>
      <c r="K1538" t="s">
        <v>673</v>
      </c>
      <c r="L1538">
        <v>50</v>
      </c>
      <c r="M1538" t="s">
        <v>16</v>
      </c>
      <c r="N1538" t="s">
        <v>674</v>
      </c>
      <c r="O1538" t="s">
        <v>323</v>
      </c>
      <c r="P1538" t="s">
        <v>12</v>
      </c>
      <c r="Q1538" t="s">
        <v>19</v>
      </c>
      <c r="R1538" t="s">
        <v>3911</v>
      </c>
      <c r="S1538" t="s">
        <v>1527</v>
      </c>
      <c r="T1538" t="s">
        <v>3836</v>
      </c>
      <c r="U1538" t="s">
        <v>1688</v>
      </c>
      <c r="V1538" t="s">
        <v>1741</v>
      </c>
      <c r="W1538" t="s">
        <v>1742</v>
      </c>
      <c r="X1538" t="s">
        <v>1739</v>
      </c>
    </row>
    <row r="1539" spans="1:24" x14ac:dyDescent="0.3">
      <c r="A1539" t="s">
        <v>3346</v>
      </c>
      <c r="B1539" s="2">
        <v>45688</v>
      </c>
      <c r="C1539" t="s">
        <v>1007</v>
      </c>
      <c r="D1539" t="s">
        <v>1548</v>
      </c>
      <c r="E1539" t="s">
        <v>1756</v>
      </c>
      <c r="F1539" s="4">
        <v>2</v>
      </c>
      <c r="G1539">
        <v>753.1</v>
      </c>
      <c r="H1539">
        <v>0.19</v>
      </c>
      <c r="I1539" t="s">
        <v>1809</v>
      </c>
      <c r="J1539">
        <v>1220.0219999999999</v>
      </c>
      <c r="K1539" t="s">
        <v>1008</v>
      </c>
      <c r="L1539">
        <v>58</v>
      </c>
      <c r="M1539" t="s">
        <v>9</v>
      </c>
      <c r="N1539" t="s">
        <v>1009</v>
      </c>
      <c r="O1539" t="s">
        <v>11</v>
      </c>
      <c r="P1539" t="s">
        <v>12</v>
      </c>
      <c r="Q1539" t="s">
        <v>19</v>
      </c>
      <c r="R1539" t="s">
        <v>3922</v>
      </c>
      <c r="S1539" t="s">
        <v>1541</v>
      </c>
      <c r="T1539" t="s">
        <v>3878</v>
      </c>
      <c r="U1539" t="s">
        <v>1710</v>
      </c>
      <c r="V1539" t="s">
        <v>1757</v>
      </c>
      <c r="W1539" t="s">
        <v>1742</v>
      </c>
      <c r="X1539" t="s">
        <v>1748</v>
      </c>
    </row>
    <row r="1540" spans="1:24" x14ac:dyDescent="0.3">
      <c r="A1540" t="s">
        <v>3347</v>
      </c>
      <c r="B1540" s="2">
        <v>45927</v>
      </c>
      <c r="C1540" t="s">
        <v>40</v>
      </c>
      <c r="D1540" t="s">
        <v>1639</v>
      </c>
      <c r="E1540" t="s">
        <v>1790</v>
      </c>
      <c r="F1540" s="4">
        <v>2</v>
      </c>
      <c r="G1540">
        <v>700.91</v>
      </c>
      <c r="H1540">
        <v>0.1</v>
      </c>
      <c r="I1540" t="s">
        <v>1809</v>
      </c>
      <c r="J1540">
        <v>1261.6379999999999</v>
      </c>
      <c r="K1540" t="s">
        <v>41</v>
      </c>
      <c r="L1540">
        <v>53</v>
      </c>
      <c r="M1540" t="s">
        <v>16</v>
      </c>
      <c r="N1540" t="s">
        <v>42</v>
      </c>
      <c r="O1540" t="s">
        <v>43</v>
      </c>
      <c r="P1540" t="s">
        <v>12</v>
      </c>
      <c r="Q1540" t="s">
        <v>26</v>
      </c>
      <c r="R1540" t="s">
        <v>3886</v>
      </c>
      <c r="S1540" t="s">
        <v>1549</v>
      </c>
      <c r="T1540" t="s">
        <v>3820</v>
      </c>
      <c r="U1540" t="s">
        <v>1640</v>
      </c>
      <c r="V1540" t="s">
        <v>1741</v>
      </c>
      <c r="W1540" t="s">
        <v>1742</v>
      </c>
      <c r="X1540" t="s">
        <v>1739</v>
      </c>
    </row>
    <row r="1541" spans="1:24" x14ac:dyDescent="0.3">
      <c r="A1541" t="s">
        <v>3348</v>
      </c>
      <c r="B1541" s="2">
        <v>45775</v>
      </c>
      <c r="C1541" t="s">
        <v>261</v>
      </c>
      <c r="D1541" t="s">
        <v>1561</v>
      </c>
      <c r="E1541" t="s">
        <v>1777</v>
      </c>
      <c r="F1541" s="4">
        <v>4</v>
      </c>
      <c r="G1541">
        <v>935.98</v>
      </c>
      <c r="H1541">
        <v>0.11</v>
      </c>
      <c r="I1541" t="s">
        <v>1809</v>
      </c>
      <c r="J1541">
        <v>3332.0888</v>
      </c>
      <c r="K1541" t="s">
        <v>262</v>
      </c>
      <c r="L1541">
        <v>56</v>
      </c>
      <c r="M1541" t="s">
        <v>16</v>
      </c>
      <c r="N1541" t="s">
        <v>263</v>
      </c>
      <c r="O1541" t="s">
        <v>264</v>
      </c>
      <c r="P1541" t="s">
        <v>12</v>
      </c>
      <c r="Q1541" t="s">
        <v>13</v>
      </c>
      <c r="R1541" t="s">
        <v>3837</v>
      </c>
      <c r="S1541" t="s">
        <v>1546</v>
      </c>
      <c r="T1541" t="s">
        <v>3838</v>
      </c>
      <c r="U1541" t="s">
        <v>1562</v>
      </c>
      <c r="V1541" t="s">
        <v>1741</v>
      </c>
      <c r="W1541" t="s">
        <v>1742</v>
      </c>
      <c r="X1541" t="s">
        <v>1739</v>
      </c>
    </row>
    <row r="1542" spans="1:24" x14ac:dyDescent="0.3">
      <c r="A1542" t="s">
        <v>3349</v>
      </c>
      <c r="B1542" s="2">
        <v>45849</v>
      </c>
      <c r="C1542" t="s">
        <v>1475</v>
      </c>
      <c r="D1542" t="s">
        <v>1683</v>
      </c>
      <c r="E1542" t="s">
        <v>1787</v>
      </c>
      <c r="F1542" s="4">
        <v>1</v>
      </c>
      <c r="G1542">
        <v>539.9</v>
      </c>
      <c r="H1542">
        <v>7.0000000000000007E-2</v>
      </c>
      <c r="I1542" t="s">
        <v>1807</v>
      </c>
      <c r="J1542">
        <v>502.10700000000003</v>
      </c>
      <c r="K1542" t="s">
        <v>1476</v>
      </c>
      <c r="L1542">
        <v>22</v>
      </c>
      <c r="M1542" t="s">
        <v>16</v>
      </c>
      <c r="N1542" t="s">
        <v>1477</v>
      </c>
      <c r="O1542" t="s">
        <v>284</v>
      </c>
      <c r="P1542" t="s">
        <v>12</v>
      </c>
      <c r="Q1542" t="s">
        <v>26</v>
      </c>
      <c r="R1542" t="s">
        <v>3909</v>
      </c>
      <c r="S1542" t="s">
        <v>1546</v>
      </c>
      <c r="T1542" t="s">
        <v>3811</v>
      </c>
      <c r="U1542" t="s">
        <v>1684</v>
      </c>
      <c r="V1542" t="s">
        <v>1741</v>
      </c>
      <c r="W1542" t="s">
        <v>1742</v>
      </c>
      <c r="X1542" t="s">
        <v>1739</v>
      </c>
    </row>
    <row r="1543" spans="1:24" x14ac:dyDescent="0.3">
      <c r="A1543" t="s">
        <v>3350</v>
      </c>
      <c r="B1543" s="2">
        <v>45573</v>
      </c>
      <c r="C1543" t="s">
        <v>562</v>
      </c>
      <c r="D1543" t="s">
        <v>1611</v>
      </c>
      <c r="E1543" t="s">
        <v>1759</v>
      </c>
      <c r="F1543" s="4">
        <v>1</v>
      </c>
      <c r="G1543">
        <v>312.81</v>
      </c>
      <c r="H1543">
        <v>0.14000000000000001</v>
      </c>
      <c r="I1543" t="s">
        <v>1809</v>
      </c>
      <c r="J1543">
        <v>269.01659999999998</v>
      </c>
      <c r="K1543" t="s">
        <v>563</v>
      </c>
      <c r="L1543">
        <v>41</v>
      </c>
      <c r="M1543" t="s">
        <v>16</v>
      </c>
      <c r="N1543" t="s">
        <v>564</v>
      </c>
      <c r="O1543" t="s">
        <v>251</v>
      </c>
      <c r="P1543" t="s">
        <v>12</v>
      </c>
      <c r="Q1543" t="s">
        <v>19</v>
      </c>
      <c r="R1543" t="s">
        <v>3870</v>
      </c>
      <c r="S1543" t="s">
        <v>1546</v>
      </c>
      <c r="T1543" t="s">
        <v>3826</v>
      </c>
      <c r="U1543" t="s">
        <v>1612</v>
      </c>
      <c r="V1543" t="s">
        <v>1760</v>
      </c>
      <c r="W1543" t="s">
        <v>1737</v>
      </c>
      <c r="X1543" t="s">
        <v>1755</v>
      </c>
    </row>
    <row r="1544" spans="1:24" x14ac:dyDescent="0.3">
      <c r="A1544" t="s">
        <v>3351</v>
      </c>
      <c r="B1544" s="2">
        <v>45356</v>
      </c>
      <c r="C1544" t="s">
        <v>791</v>
      </c>
      <c r="D1544" t="s">
        <v>1627</v>
      </c>
      <c r="E1544" t="s">
        <v>1762</v>
      </c>
      <c r="F1544" s="4">
        <v>3</v>
      </c>
      <c r="G1544">
        <v>855.96</v>
      </c>
      <c r="H1544">
        <v>0.28999999999999998</v>
      </c>
      <c r="I1544" t="s">
        <v>1812</v>
      </c>
      <c r="J1544">
        <v>1823.1948</v>
      </c>
      <c r="K1544" t="s">
        <v>792</v>
      </c>
      <c r="L1544">
        <v>48</v>
      </c>
      <c r="M1544" t="s">
        <v>9</v>
      </c>
      <c r="N1544" t="s">
        <v>793</v>
      </c>
      <c r="O1544" t="s">
        <v>58</v>
      </c>
      <c r="P1544" t="s">
        <v>12</v>
      </c>
      <c r="Q1544" t="s">
        <v>13</v>
      </c>
      <c r="R1544" t="s">
        <v>3879</v>
      </c>
      <c r="S1544" t="s">
        <v>1546</v>
      </c>
      <c r="T1544" t="s">
        <v>3820</v>
      </c>
      <c r="U1544" t="s">
        <v>1628</v>
      </c>
      <c r="V1544" t="s">
        <v>1763</v>
      </c>
      <c r="W1544" t="s">
        <v>1746</v>
      </c>
      <c r="X1544" t="s">
        <v>1755</v>
      </c>
    </row>
    <row r="1545" spans="1:24" x14ac:dyDescent="0.3">
      <c r="A1545" t="s">
        <v>3352</v>
      </c>
      <c r="B1545" s="2">
        <v>45326</v>
      </c>
      <c r="C1545" t="s">
        <v>1100</v>
      </c>
      <c r="D1545" t="s">
        <v>1529</v>
      </c>
      <c r="E1545" t="s">
        <v>1775</v>
      </c>
      <c r="F1545" s="4">
        <v>3</v>
      </c>
      <c r="G1545">
        <v>305</v>
      </c>
      <c r="H1545">
        <v>0.01</v>
      </c>
      <c r="I1545" t="s">
        <v>1812</v>
      </c>
      <c r="J1545">
        <v>905.85</v>
      </c>
      <c r="K1545" t="s">
        <v>1101</v>
      </c>
      <c r="L1545">
        <v>54</v>
      </c>
      <c r="M1545" t="s">
        <v>9</v>
      </c>
      <c r="N1545" t="s">
        <v>1102</v>
      </c>
      <c r="O1545" t="s">
        <v>74</v>
      </c>
      <c r="P1545" t="s">
        <v>12</v>
      </c>
      <c r="Q1545" t="s">
        <v>13</v>
      </c>
      <c r="R1545" t="s">
        <v>3812</v>
      </c>
      <c r="S1545" t="s">
        <v>1530</v>
      </c>
      <c r="T1545" t="s">
        <v>3813</v>
      </c>
      <c r="U1545" t="s">
        <v>1531</v>
      </c>
      <c r="V1545" t="s">
        <v>1741</v>
      </c>
      <c r="W1545" t="s">
        <v>1742</v>
      </c>
      <c r="X1545" t="s">
        <v>1739</v>
      </c>
    </row>
    <row r="1546" spans="1:24" x14ac:dyDescent="0.3">
      <c r="A1546" t="s">
        <v>3353</v>
      </c>
      <c r="B1546" s="2">
        <v>45361</v>
      </c>
      <c r="C1546" t="s">
        <v>1427</v>
      </c>
      <c r="D1546" t="s">
        <v>1729</v>
      </c>
      <c r="E1546" t="s">
        <v>1777</v>
      </c>
      <c r="F1546" s="4">
        <v>3</v>
      </c>
      <c r="G1546">
        <v>831.15</v>
      </c>
      <c r="H1546">
        <v>0.19</v>
      </c>
      <c r="I1546" t="s">
        <v>1807</v>
      </c>
      <c r="J1546">
        <v>2019.6945000000001</v>
      </c>
      <c r="K1546" t="s">
        <v>1428</v>
      </c>
      <c r="L1546">
        <v>19</v>
      </c>
      <c r="M1546" t="s">
        <v>9</v>
      </c>
      <c r="N1546" t="s">
        <v>1429</v>
      </c>
      <c r="O1546" t="s">
        <v>170</v>
      </c>
      <c r="P1546" t="s">
        <v>12</v>
      </c>
      <c r="Q1546" t="s">
        <v>26</v>
      </c>
      <c r="R1546" t="s">
        <v>3932</v>
      </c>
      <c r="S1546" t="s">
        <v>1527</v>
      </c>
      <c r="T1546" t="s">
        <v>3830</v>
      </c>
      <c r="U1546" t="s">
        <v>1730</v>
      </c>
      <c r="V1546" t="s">
        <v>1741</v>
      </c>
      <c r="W1546" t="s">
        <v>1742</v>
      </c>
      <c r="X1546" t="s">
        <v>1739</v>
      </c>
    </row>
    <row r="1547" spans="1:24" x14ac:dyDescent="0.3">
      <c r="A1547" t="s">
        <v>3354</v>
      </c>
      <c r="B1547" s="2">
        <v>45926</v>
      </c>
      <c r="C1547" t="s">
        <v>669</v>
      </c>
      <c r="D1547" t="s">
        <v>1723</v>
      </c>
      <c r="E1547" t="s">
        <v>1749</v>
      </c>
      <c r="F1547" s="4">
        <v>2</v>
      </c>
      <c r="G1547">
        <v>644.97</v>
      </c>
      <c r="H1547">
        <v>0.24</v>
      </c>
      <c r="I1547" t="s">
        <v>1812</v>
      </c>
      <c r="J1547">
        <v>980.35440000000006</v>
      </c>
      <c r="K1547" t="s">
        <v>670</v>
      </c>
      <c r="L1547">
        <v>54</v>
      </c>
      <c r="M1547" t="s">
        <v>9</v>
      </c>
      <c r="N1547" t="s">
        <v>671</v>
      </c>
      <c r="O1547" t="s">
        <v>88</v>
      </c>
      <c r="P1547" t="s">
        <v>12</v>
      </c>
      <c r="Q1547" t="s">
        <v>26</v>
      </c>
      <c r="R1547" t="s">
        <v>3929</v>
      </c>
      <c r="S1547" t="s">
        <v>1530</v>
      </c>
      <c r="T1547" t="s">
        <v>3815</v>
      </c>
      <c r="U1547" t="s">
        <v>1724</v>
      </c>
      <c r="V1547" t="s">
        <v>1750</v>
      </c>
      <c r="W1547" t="s">
        <v>1742</v>
      </c>
      <c r="X1547" t="s">
        <v>1748</v>
      </c>
    </row>
    <row r="1548" spans="1:24" x14ac:dyDescent="0.3">
      <c r="A1548" t="s">
        <v>3355</v>
      </c>
      <c r="B1548" s="2">
        <v>45839</v>
      </c>
      <c r="C1548" t="s">
        <v>336</v>
      </c>
      <c r="D1548" t="s">
        <v>1707</v>
      </c>
      <c r="E1548" t="s">
        <v>1740</v>
      </c>
      <c r="F1548" s="4">
        <v>1</v>
      </c>
      <c r="G1548">
        <v>149.56</v>
      </c>
      <c r="H1548">
        <v>0.09</v>
      </c>
      <c r="I1548" t="s">
        <v>1807</v>
      </c>
      <c r="J1548">
        <v>136.09960000000001</v>
      </c>
      <c r="K1548" t="s">
        <v>337</v>
      </c>
      <c r="L1548">
        <v>30</v>
      </c>
      <c r="M1548" t="s">
        <v>16</v>
      </c>
      <c r="N1548" t="s">
        <v>338</v>
      </c>
      <c r="O1548" t="s">
        <v>58</v>
      </c>
      <c r="P1548" t="s">
        <v>12</v>
      </c>
      <c r="Q1548" t="s">
        <v>19</v>
      </c>
      <c r="R1548" t="s">
        <v>3921</v>
      </c>
      <c r="S1548" t="s">
        <v>1549</v>
      </c>
      <c r="T1548" t="s">
        <v>3820</v>
      </c>
      <c r="U1548" t="s">
        <v>1708</v>
      </c>
      <c r="V1548" t="s">
        <v>1741</v>
      </c>
      <c r="W1548" t="s">
        <v>1742</v>
      </c>
      <c r="X1548" t="s">
        <v>1739</v>
      </c>
    </row>
    <row r="1549" spans="1:24" x14ac:dyDescent="0.3">
      <c r="A1549" t="s">
        <v>3356</v>
      </c>
      <c r="B1549" s="2">
        <v>45434</v>
      </c>
      <c r="C1549" t="s">
        <v>699</v>
      </c>
      <c r="D1549" t="s">
        <v>1617</v>
      </c>
      <c r="E1549" t="s">
        <v>1796</v>
      </c>
      <c r="F1549" s="4">
        <v>1</v>
      </c>
      <c r="G1549">
        <v>661.77</v>
      </c>
      <c r="H1549">
        <v>0.03</v>
      </c>
      <c r="I1549" t="s">
        <v>1809</v>
      </c>
      <c r="J1549">
        <v>641.91689999999994</v>
      </c>
      <c r="K1549" t="s">
        <v>700</v>
      </c>
      <c r="L1549">
        <v>46</v>
      </c>
      <c r="M1549" t="s">
        <v>9</v>
      </c>
      <c r="N1549" t="s">
        <v>701</v>
      </c>
      <c r="O1549" t="s">
        <v>113</v>
      </c>
      <c r="P1549" t="s">
        <v>12</v>
      </c>
      <c r="Q1549" t="s">
        <v>31</v>
      </c>
      <c r="R1549" t="s">
        <v>3873</v>
      </c>
      <c r="S1549" t="s">
        <v>1546</v>
      </c>
      <c r="T1549" t="s">
        <v>3811</v>
      </c>
      <c r="U1549" t="s">
        <v>1618</v>
      </c>
      <c r="V1549" t="s">
        <v>1741</v>
      </c>
      <c r="W1549" t="s">
        <v>1742</v>
      </c>
      <c r="X1549" t="s">
        <v>1739</v>
      </c>
    </row>
    <row r="1550" spans="1:24" x14ac:dyDescent="0.3">
      <c r="A1550" t="s">
        <v>3357</v>
      </c>
      <c r="B1550" s="2">
        <v>45819</v>
      </c>
      <c r="C1550" t="s">
        <v>376</v>
      </c>
      <c r="D1550" t="s">
        <v>1719</v>
      </c>
      <c r="E1550" t="s">
        <v>1762</v>
      </c>
      <c r="F1550" s="4">
        <v>3</v>
      </c>
      <c r="G1550">
        <v>99.67</v>
      </c>
      <c r="H1550">
        <v>0.17</v>
      </c>
      <c r="I1550" t="s">
        <v>1807</v>
      </c>
      <c r="J1550">
        <v>248.17830000000001</v>
      </c>
      <c r="K1550" t="s">
        <v>377</v>
      </c>
      <c r="L1550">
        <v>27</v>
      </c>
      <c r="M1550" t="s">
        <v>9</v>
      </c>
      <c r="N1550" t="s">
        <v>378</v>
      </c>
      <c r="O1550" t="s">
        <v>47</v>
      </c>
      <c r="P1550" t="s">
        <v>12</v>
      </c>
      <c r="Q1550" t="s">
        <v>26</v>
      </c>
      <c r="R1550" t="s">
        <v>3927</v>
      </c>
      <c r="S1550" t="s">
        <v>1541</v>
      </c>
      <c r="T1550" t="s">
        <v>3822</v>
      </c>
      <c r="U1550" t="s">
        <v>1720</v>
      </c>
      <c r="V1550" t="s">
        <v>1763</v>
      </c>
      <c r="W1550" t="s">
        <v>1746</v>
      </c>
      <c r="X1550" t="s">
        <v>1755</v>
      </c>
    </row>
    <row r="1551" spans="1:24" x14ac:dyDescent="0.3">
      <c r="A1551" t="s">
        <v>3358</v>
      </c>
      <c r="B1551" s="2">
        <v>45553</v>
      </c>
      <c r="C1551" t="s">
        <v>710</v>
      </c>
      <c r="D1551" t="s">
        <v>1655</v>
      </c>
      <c r="E1551" t="s">
        <v>1740</v>
      </c>
      <c r="F1551" s="4">
        <v>3</v>
      </c>
      <c r="G1551">
        <v>103.66</v>
      </c>
      <c r="H1551">
        <v>0.26</v>
      </c>
      <c r="I1551" t="s">
        <v>1812</v>
      </c>
      <c r="J1551">
        <v>230.12520000000001</v>
      </c>
      <c r="K1551" t="s">
        <v>711</v>
      </c>
      <c r="L1551">
        <v>35</v>
      </c>
      <c r="M1551" t="s">
        <v>9</v>
      </c>
      <c r="N1551" t="s">
        <v>712</v>
      </c>
      <c r="O1551" t="s">
        <v>81</v>
      </c>
      <c r="P1551" t="s">
        <v>12</v>
      </c>
      <c r="Q1551" t="s">
        <v>19</v>
      </c>
      <c r="R1551" t="s">
        <v>3894</v>
      </c>
      <c r="S1551" t="s">
        <v>1546</v>
      </c>
      <c r="T1551" t="s">
        <v>3811</v>
      </c>
      <c r="U1551" t="s">
        <v>1656</v>
      </c>
      <c r="V1551" t="s">
        <v>1741</v>
      </c>
      <c r="W1551" t="s">
        <v>1742</v>
      </c>
      <c r="X1551" t="s">
        <v>1739</v>
      </c>
    </row>
    <row r="1552" spans="1:24" x14ac:dyDescent="0.3">
      <c r="A1552" t="s">
        <v>3359</v>
      </c>
      <c r="B1552" s="2">
        <v>45258</v>
      </c>
      <c r="C1552" t="s">
        <v>1336</v>
      </c>
      <c r="D1552" t="s">
        <v>1611</v>
      </c>
      <c r="E1552" t="s">
        <v>1744</v>
      </c>
      <c r="F1552" s="4">
        <v>4</v>
      </c>
      <c r="G1552">
        <v>54.4</v>
      </c>
      <c r="H1552">
        <v>0.22</v>
      </c>
      <c r="I1552" t="s">
        <v>1807</v>
      </c>
      <c r="J1552">
        <v>169.72800000000001</v>
      </c>
      <c r="K1552" t="s">
        <v>1337</v>
      </c>
      <c r="L1552">
        <v>47</v>
      </c>
      <c r="M1552" t="s">
        <v>16</v>
      </c>
      <c r="N1552" t="s">
        <v>1338</v>
      </c>
      <c r="O1552" t="s">
        <v>39</v>
      </c>
      <c r="P1552" t="s">
        <v>12</v>
      </c>
      <c r="Q1552" t="s">
        <v>13</v>
      </c>
      <c r="R1552" t="s">
        <v>3870</v>
      </c>
      <c r="S1552" t="s">
        <v>1546</v>
      </c>
      <c r="T1552" t="s">
        <v>3826</v>
      </c>
      <c r="U1552" t="s">
        <v>1612</v>
      </c>
      <c r="V1552" t="s">
        <v>1745</v>
      </c>
      <c r="W1552" t="s">
        <v>1746</v>
      </c>
      <c r="X1552" t="s">
        <v>1748</v>
      </c>
    </row>
    <row r="1553" spans="1:24" x14ac:dyDescent="0.3">
      <c r="A1553" t="s">
        <v>3360</v>
      </c>
      <c r="B1553" s="2">
        <v>45435</v>
      </c>
      <c r="C1553" t="s">
        <v>1490</v>
      </c>
      <c r="D1553" t="s">
        <v>1699</v>
      </c>
      <c r="E1553" t="s">
        <v>1782</v>
      </c>
      <c r="F1553" s="4">
        <v>1</v>
      </c>
      <c r="G1553">
        <v>46.66</v>
      </c>
      <c r="H1553">
        <v>0.2</v>
      </c>
      <c r="I1553" t="s">
        <v>1807</v>
      </c>
      <c r="J1553">
        <v>37.328000000000003</v>
      </c>
      <c r="K1553" t="s">
        <v>1491</v>
      </c>
      <c r="L1553">
        <v>52</v>
      </c>
      <c r="M1553" t="s">
        <v>16</v>
      </c>
      <c r="N1553" t="s">
        <v>1492</v>
      </c>
      <c r="O1553" t="s">
        <v>139</v>
      </c>
      <c r="P1553" t="s">
        <v>12</v>
      </c>
      <c r="Q1553" t="s">
        <v>19</v>
      </c>
      <c r="R1553" t="s">
        <v>3917</v>
      </c>
      <c r="S1553" t="s">
        <v>1527</v>
      </c>
      <c r="T1553" t="s">
        <v>3901</v>
      </c>
      <c r="U1553" t="s">
        <v>1700</v>
      </c>
      <c r="V1553" t="s">
        <v>1741</v>
      </c>
      <c r="W1553" t="s">
        <v>1742</v>
      </c>
      <c r="X1553" t="s">
        <v>1739</v>
      </c>
    </row>
    <row r="1554" spans="1:24" x14ac:dyDescent="0.3">
      <c r="A1554" t="s">
        <v>3361</v>
      </c>
      <c r="B1554" s="2">
        <v>45447</v>
      </c>
      <c r="C1554" t="s">
        <v>40</v>
      </c>
      <c r="D1554" t="s">
        <v>1677</v>
      </c>
      <c r="E1554" t="s">
        <v>1775</v>
      </c>
      <c r="F1554" s="4">
        <v>4</v>
      </c>
      <c r="G1554">
        <v>871.2</v>
      </c>
      <c r="H1554">
        <v>0.28999999999999998</v>
      </c>
      <c r="I1554" t="s">
        <v>1807</v>
      </c>
      <c r="J1554">
        <v>2474.2080000000001</v>
      </c>
      <c r="K1554" t="s">
        <v>41</v>
      </c>
      <c r="L1554">
        <v>53</v>
      </c>
      <c r="M1554" t="s">
        <v>16</v>
      </c>
      <c r="N1554" t="s">
        <v>42</v>
      </c>
      <c r="O1554" t="s">
        <v>43</v>
      </c>
      <c r="P1554" t="s">
        <v>12</v>
      </c>
      <c r="Q1554" t="s">
        <v>26</v>
      </c>
      <c r="R1554" t="s">
        <v>3906</v>
      </c>
      <c r="S1554" t="s">
        <v>1549</v>
      </c>
      <c r="T1554" t="s">
        <v>3859</v>
      </c>
      <c r="U1554" t="s">
        <v>1678</v>
      </c>
      <c r="V1554" t="s">
        <v>1741</v>
      </c>
      <c r="W1554" t="s">
        <v>1742</v>
      </c>
      <c r="X1554" t="s">
        <v>1739</v>
      </c>
    </row>
    <row r="1555" spans="1:24" x14ac:dyDescent="0.3">
      <c r="A1555" t="s">
        <v>3362</v>
      </c>
      <c r="B1555" s="2">
        <v>45724</v>
      </c>
      <c r="C1555" t="s">
        <v>1171</v>
      </c>
      <c r="D1555" t="s">
        <v>1567</v>
      </c>
      <c r="E1555" t="s">
        <v>1782</v>
      </c>
      <c r="F1555" s="4">
        <v>4</v>
      </c>
      <c r="G1555">
        <v>317.11</v>
      </c>
      <c r="H1555">
        <v>0.16</v>
      </c>
      <c r="I1555" t="s">
        <v>1809</v>
      </c>
      <c r="J1555">
        <v>1065.4896000000001</v>
      </c>
      <c r="K1555" t="s">
        <v>1172</v>
      </c>
      <c r="L1555">
        <v>23</v>
      </c>
      <c r="M1555" t="s">
        <v>9</v>
      </c>
      <c r="N1555" t="s">
        <v>1173</v>
      </c>
      <c r="O1555" t="s">
        <v>264</v>
      </c>
      <c r="P1555" t="s">
        <v>12</v>
      </c>
      <c r="Q1555" t="s">
        <v>13</v>
      </c>
      <c r="R1555" t="s">
        <v>3842</v>
      </c>
      <c r="S1555" t="s">
        <v>1530</v>
      </c>
      <c r="T1555" t="s">
        <v>3818</v>
      </c>
      <c r="U1555" t="s">
        <v>1568</v>
      </c>
      <c r="V1555" t="s">
        <v>1741</v>
      </c>
      <c r="W1555" t="s">
        <v>1742</v>
      </c>
      <c r="X1555" t="s">
        <v>1739</v>
      </c>
    </row>
    <row r="1556" spans="1:24" x14ac:dyDescent="0.3">
      <c r="A1556" t="s">
        <v>3363</v>
      </c>
      <c r="B1556" s="2">
        <v>45338</v>
      </c>
      <c r="C1556" t="s">
        <v>817</v>
      </c>
      <c r="D1556" t="s">
        <v>1581</v>
      </c>
      <c r="E1556" t="s">
        <v>1780</v>
      </c>
      <c r="F1556" s="4">
        <v>2</v>
      </c>
      <c r="G1556">
        <v>388.34</v>
      </c>
      <c r="H1556">
        <v>0.09</v>
      </c>
      <c r="I1556" t="s">
        <v>1809</v>
      </c>
      <c r="J1556">
        <v>706.77879999999993</v>
      </c>
      <c r="K1556" t="s">
        <v>818</v>
      </c>
      <c r="L1556">
        <v>32</v>
      </c>
      <c r="M1556" t="s">
        <v>16</v>
      </c>
      <c r="N1556" t="s">
        <v>819</v>
      </c>
      <c r="O1556" t="s">
        <v>354</v>
      </c>
      <c r="P1556" t="s">
        <v>12</v>
      </c>
      <c r="Q1556" t="s">
        <v>19</v>
      </c>
      <c r="R1556" t="s">
        <v>3852</v>
      </c>
      <c r="S1556" t="s">
        <v>1530</v>
      </c>
      <c r="T1556" t="s">
        <v>3820</v>
      </c>
      <c r="U1556" t="s">
        <v>1582</v>
      </c>
      <c r="V1556" t="s">
        <v>1741</v>
      </c>
      <c r="W1556" t="s">
        <v>1742</v>
      </c>
      <c r="X1556" t="s">
        <v>1739</v>
      </c>
    </row>
    <row r="1557" spans="1:24" x14ac:dyDescent="0.3">
      <c r="A1557" t="s">
        <v>3364</v>
      </c>
      <c r="B1557" s="2">
        <v>45252</v>
      </c>
      <c r="C1557" t="s">
        <v>995</v>
      </c>
      <c r="D1557" t="s">
        <v>1591</v>
      </c>
      <c r="E1557" t="s">
        <v>1759</v>
      </c>
      <c r="F1557" s="4">
        <v>4</v>
      </c>
      <c r="G1557">
        <v>998.2</v>
      </c>
      <c r="H1557">
        <v>0.15</v>
      </c>
      <c r="I1557" t="s">
        <v>1807</v>
      </c>
      <c r="J1557">
        <v>3393.88</v>
      </c>
      <c r="K1557" t="s">
        <v>996</v>
      </c>
      <c r="L1557">
        <v>34</v>
      </c>
      <c r="M1557" t="s">
        <v>16</v>
      </c>
      <c r="N1557" t="s">
        <v>997</v>
      </c>
      <c r="O1557" t="s">
        <v>309</v>
      </c>
      <c r="P1557" t="s">
        <v>12</v>
      </c>
      <c r="Q1557" t="s">
        <v>19</v>
      </c>
      <c r="R1557" t="s">
        <v>3857</v>
      </c>
      <c r="S1557" t="s">
        <v>1527</v>
      </c>
      <c r="T1557" t="s">
        <v>3830</v>
      </c>
      <c r="U1557" t="s">
        <v>1592</v>
      </c>
      <c r="V1557" t="s">
        <v>1760</v>
      </c>
      <c r="W1557" t="s">
        <v>1737</v>
      </c>
      <c r="X1557" t="s">
        <v>1755</v>
      </c>
    </row>
    <row r="1558" spans="1:24" x14ac:dyDescent="0.3">
      <c r="A1558" t="s">
        <v>3365</v>
      </c>
      <c r="B1558" s="2">
        <v>45606</v>
      </c>
      <c r="C1558" t="s">
        <v>1499</v>
      </c>
      <c r="D1558" t="s">
        <v>1603</v>
      </c>
      <c r="E1558" t="s">
        <v>1735</v>
      </c>
      <c r="F1558" s="4">
        <v>1</v>
      </c>
      <c r="G1558">
        <v>887.38</v>
      </c>
      <c r="H1558">
        <v>0.01</v>
      </c>
      <c r="I1558" t="s">
        <v>1812</v>
      </c>
      <c r="J1558">
        <v>878.50620000000004</v>
      </c>
      <c r="K1558" t="s">
        <v>1500</v>
      </c>
      <c r="L1558">
        <v>21</v>
      </c>
      <c r="M1558" t="s">
        <v>9</v>
      </c>
      <c r="N1558" t="s">
        <v>84</v>
      </c>
      <c r="O1558" t="s">
        <v>22</v>
      </c>
      <c r="P1558" t="s">
        <v>12</v>
      </c>
      <c r="Q1558" t="s">
        <v>31</v>
      </c>
      <c r="R1558" t="s">
        <v>3864</v>
      </c>
      <c r="S1558" t="s">
        <v>1530</v>
      </c>
      <c r="T1558" t="s">
        <v>3813</v>
      </c>
      <c r="U1558" t="s">
        <v>1604</v>
      </c>
      <c r="V1558" t="s">
        <v>1736</v>
      </c>
      <c r="W1558" t="s">
        <v>1737</v>
      </c>
      <c r="X1558" t="s">
        <v>1739</v>
      </c>
    </row>
    <row r="1559" spans="1:24" x14ac:dyDescent="0.3">
      <c r="A1559" t="s">
        <v>3366</v>
      </c>
      <c r="B1559" s="2">
        <v>45524</v>
      </c>
      <c r="C1559" t="s">
        <v>974</v>
      </c>
      <c r="D1559" t="s">
        <v>1605</v>
      </c>
      <c r="E1559" t="s">
        <v>1777</v>
      </c>
      <c r="F1559" s="4">
        <v>4</v>
      </c>
      <c r="G1559">
        <v>332.97</v>
      </c>
      <c r="H1559">
        <v>0.28000000000000003</v>
      </c>
      <c r="I1559" t="s">
        <v>1807</v>
      </c>
      <c r="J1559">
        <v>958.95360000000005</v>
      </c>
      <c r="K1559" t="s">
        <v>975</v>
      </c>
      <c r="L1559">
        <v>62</v>
      </c>
      <c r="M1559" t="s">
        <v>9</v>
      </c>
      <c r="N1559" t="s">
        <v>976</v>
      </c>
      <c r="O1559" t="s">
        <v>92</v>
      </c>
      <c r="P1559" t="s">
        <v>12</v>
      </c>
      <c r="Q1559" t="s">
        <v>31</v>
      </c>
      <c r="R1559" t="s">
        <v>3865</v>
      </c>
      <c r="S1559" t="s">
        <v>1530</v>
      </c>
      <c r="T1559" t="s">
        <v>3866</v>
      </c>
      <c r="U1559" t="s">
        <v>1606</v>
      </c>
      <c r="V1559" t="s">
        <v>1741</v>
      </c>
      <c r="W1559" t="s">
        <v>1742</v>
      </c>
      <c r="X1559" t="s">
        <v>1739</v>
      </c>
    </row>
    <row r="1560" spans="1:24" x14ac:dyDescent="0.3">
      <c r="A1560" t="s">
        <v>3367</v>
      </c>
      <c r="B1560" s="2">
        <v>45934</v>
      </c>
      <c r="C1560" t="s">
        <v>93</v>
      </c>
      <c r="D1560" t="s">
        <v>1623</v>
      </c>
      <c r="E1560" t="s">
        <v>1735</v>
      </c>
      <c r="F1560" s="4">
        <v>2</v>
      </c>
      <c r="G1560">
        <v>157.91</v>
      </c>
      <c r="H1560">
        <v>0.09</v>
      </c>
      <c r="I1560" t="s">
        <v>1812</v>
      </c>
      <c r="J1560">
        <v>287.39620000000002</v>
      </c>
      <c r="K1560" t="s">
        <v>94</v>
      </c>
      <c r="L1560">
        <v>33</v>
      </c>
      <c r="M1560" t="s">
        <v>16</v>
      </c>
      <c r="N1560" t="s">
        <v>95</v>
      </c>
      <c r="O1560" t="s">
        <v>96</v>
      </c>
      <c r="P1560" t="s">
        <v>12</v>
      </c>
      <c r="Q1560" t="s">
        <v>13</v>
      </c>
      <c r="R1560" t="s">
        <v>3876</v>
      </c>
      <c r="S1560" t="s">
        <v>1530</v>
      </c>
      <c r="T1560" t="s">
        <v>3815</v>
      </c>
      <c r="U1560" t="s">
        <v>1624</v>
      </c>
      <c r="V1560" t="s">
        <v>1736</v>
      </c>
      <c r="W1560" t="s">
        <v>1737</v>
      </c>
      <c r="X1560" t="s">
        <v>1739</v>
      </c>
    </row>
    <row r="1561" spans="1:24" x14ac:dyDescent="0.3">
      <c r="A1561" t="s">
        <v>3368</v>
      </c>
      <c r="B1561" s="2">
        <v>45539</v>
      </c>
      <c r="C1561" t="s">
        <v>1103</v>
      </c>
      <c r="D1561" t="s">
        <v>1555</v>
      </c>
      <c r="E1561" t="s">
        <v>1793</v>
      </c>
      <c r="F1561" s="4">
        <v>1</v>
      </c>
      <c r="G1561">
        <v>548.15</v>
      </c>
      <c r="H1561">
        <v>0.11</v>
      </c>
      <c r="I1561" t="s">
        <v>1807</v>
      </c>
      <c r="J1561">
        <v>487.8535</v>
      </c>
      <c r="K1561" t="s">
        <v>1104</v>
      </c>
      <c r="L1561">
        <v>41</v>
      </c>
      <c r="M1561" t="s">
        <v>9</v>
      </c>
      <c r="N1561" t="s">
        <v>1105</v>
      </c>
      <c r="O1561" t="s">
        <v>284</v>
      </c>
      <c r="P1561" t="s">
        <v>12</v>
      </c>
      <c r="Q1561" t="s">
        <v>26</v>
      </c>
      <c r="R1561" t="s">
        <v>3832</v>
      </c>
      <c r="S1561" t="s">
        <v>1541</v>
      </c>
      <c r="T1561" t="s">
        <v>3833</v>
      </c>
      <c r="U1561" t="s">
        <v>1556</v>
      </c>
      <c r="V1561" t="s">
        <v>1741</v>
      </c>
      <c r="W1561" t="s">
        <v>1742</v>
      </c>
      <c r="X1561" t="s">
        <v>1739</v>
      </c>
    </row>
    <row r="1562" spans="1:24" x14ac:dyDescent="0.3">
      <c r="A1562" t="s">
        <v>3369</v>
      </c>
      <c r="B1562" s="2">
        <v>45555</v>
      </c>
      <c r="C1562" t="s">
        <v>675</v>
      </c>
      <c r="D1562" t="s">
        <v>1627</v>
      </c>
      <c r="E1562" t="s">
        <v>1784</v>
      </c>
      <c r="F1562" s="4">
        <v>1</v>
      </c>
      <c r="G1562">
        <v>135.13</v>
      </c>
      <c r="H1562">
        <v>0.04</v>
      </c>
      <c r="I1562" t="s">
        <v>1807</v>
      </c>
      <c r="J1562">
        <v>129.72479999999999</v>
      </c>
      <c r="K1562" t="s">
        <v>676</v>
      </c>
      <c r="L1562">
        <v>48</v>
      </c>
      <c r="M1562" t="s">
        <v>9</v>
      </c>
      <c r="N1562" t="s">
        <v>677</v>
      </c>
      <c r="O1562" t="s">
        <v>429</v>
      </c>
      <c r="P1562" t="s">
        <v>12</v>
      </c>
      <c r="Q1562" t="s">
        <v>19</v>
      </c>
      <c r="R1562" t="s">
        <v>3879</v>
      </c>
      <c r="S1562" t="s">
        <v>1546</v>
      </c>
      <c r="T1562" t="s">
        <v>3820</v>
      </c>
      <c r="U1562" t="s">
        <v>1628</v>
      </c>
      <c r="V1562" t="s">
        <v>1741</v>
      </c>
      <c r="W1562" t="s">
        <v>1742</v>
      </c>
      <c r="X1562" t="s">
        <v>1739</v>
      </c>
    </row>
    <row r="1563" spans="1:24" x14ac:dyDescent="0.3">
      <c r="A1563" t="s">
        <v>3370</v>
      </c>
      <c r="B1563" s="2">
        <v>45281</v>
      </c>
      <c r="C1563" t="s">
        <v>705</v>
      </c>
      <c r="D1563" t="s">
        <v>1643</v>
      </c>
      <c r="E1563" t="s">
        <v>1749</v>
      </c>
      <c r="F1563" s="4">
        <v>3</v>
      </c>
      <c r="G1563">
        <v>579.26</v>
      </c>
      <c r="H1563">
        <v>0.19</v>
      </c>
      <c r="I1563" t="s">
        <v>1807</v>
      </c>
      <c r="J1563">
        <v>1407.6017999999999</v>
      </c>
      <c r="K1563" t="s">
        <v>706</v>
      </c>
      <c r="L1563">
        <v>50</v>
      </c>
      <c r="M1563" t="s">
        <v>16</v>
      </c>
      <c r="N1563" t="s">
        <v>3809</v>
      </c>
      <c r="O1563" t="s">
        <v>88</v>
      </c>
      <c r="P1563" t="s">
        <v>12</v>
      </c>
      <c r="Q1563" t="s">
        <v>13</v>
      </c>
      <c r="R1563" t="s">
        <v>3888</v>
      </c>
      <c r="S1563" t="s">
        <v>1527</v>
      </c>
      <c r="T1563" t="s">
        <v>3836</v>
      </c>
      <c r="U1563" t="s">
        <v>1644</v>
      </c>
      <c r="V1563" t="s">
        <v>1750</v>
      </c>
      <c r="W1563" t="s">
        <v>1742</v>
      </c>
      <c r="X1563" t="s">
        <v>1748</v>
      </c>
    </row>
    <row r="1564" spans="1:24" x14ac:dyDescent="0.3">
      <c r="A1564" t="s">
        <v>3371</v>
      </c>
      <c r="B1564" s="2">
        <v>45582</v>
      </c>
      <c r="C1564" t="s">
        <v>1201</v>
      </c>
      <c r="D1564" t="s">
        <v>1565</v>
      </c>
      <c r="E1564" t="s">
        <v>1735</v>
      </c>
      <c r="F1564" s="4">
        <v>1</v>
      </c>
      <c r="G1564">
        <v>465.63</v>
      </c>
      <c r="H1564">
        <v>0.25</v>
      </c>
      <c r="I1564" t="s">
        <v>1807</v>
      </c>
      <c r="J1564">
        <v>349.22250000000003</v>
      </c>
      <c r="K1564" t="s">
        <v>1202</v>
      </c>
      <c r="L1564">
        <v>56</v>
      </c>
      <c r="M1564" t="s">
        <v>9</v>
      </c>
      <c r="N1564" t="s">
        <v>1203</v>
      </c>
      <c r="O1564" t="s">
        <v>70</v>
      </c>
      <c r="P1564" t="s">
        <v>12</v>
      </c>
      <c r="Q1564" t="s">
        <v>19</v>
      </c>
      <c r="R1564" t="s">
        <v>3841</v>
      </c>
      <c r="S1564" t="s">
        <v>1549</v>
      </c>
      <c r="T1564" t="s">
        <v>3820</v>
      </c>
      <c r="U1564" t="s">
        <v>1566</v>
      </c>
      <c r="V1564" t="s">
        <v>1736</v>
      </c>
      <c r="W1564" t="s">
        <v>1737</v>
      </c>
      <c r="X1564" t="s">
        <v>1739</v>
      </c>
    </row>
    <row r="1565" spans="1:24" x14ac:dyDescent="0.3">
      <c r="A1565" t="s">
        <v>3372</v>
      </c>
      <c r="B1565" s="2">
        <v>45372</v>
      </c>
      <c r="C1565" t="s">
        <v>178</v>
      </c>
      <c r="D1565" t="s">
        <v>1683</v>
      </c>
      <c r="E1565" t="s">
        <v>1787</v>
      </c>
      <c r="F1565" s="4">
        <v>2</v>
      </c>
      <c r="G1565">
        <v>675.61</v>
      </c>
      <c r="H1565">
        <v>0.08</v>
      </c>
      <c r="I1565" t="s">
        <v>1812</v>
      </c>
      <c r="J1565">
        <v>1243.1224</v>
      </c>
      <c r="K1565" t="s">
        <v>179</v>
      </c>
      <c r="L1565">
        <v>54</v>
      </c>
      <c r="M1565" t="s">
        <v>9</v>
      </c>
      <c r="N1565" t="s">
        <v>180</v>
      </c>
      <c r="O1565" t="s">
        <v>181</v>
      </c>
      <c r="P1565" t="s">
        <v>12</v>
      </c>
      <c r="Q1565" t="s">
        <v>31</v>
      </c>
      <c r="R1565" t="s">
        <v>3909</v>
      </c>
      <c r="S1565" t="s">
        <v>1546</v>
      </c>
      <c r="T1565" t="s">
        <v>3811</v>
      </c>
      <c r="U1565" t="s">
        <v>1684</v>
      </c>
      <c r="V1565" t="s">
        <v>1741</v>
      </c>
      <c r="W1565" t="s">
        <v>1742</v>
      </c>
      <c r="X1565" t="s">
        <v>1739</v>
      </c>
    </row>
    <row r="1566" spans="1:24" x14ac:dyDescent="0.3">
      <c r="A1566" t="s">
        <v>3373</v>
      </c>
      <c r="B1566" s="2">
        <v>45458</v>
      </c>
      <c r="C1566" t="s">
        <v>1278</v>
      </c>
      <c r="D1566" t="s">
        <v>1597</v>
      </c>
      <c r="E1566" t="s">
        <v>1759</v>
      </c>
      <c r="F1566" s="4">
        <v>1</v>
      </c>
      <c r="G1566">
        <v>718.99</v>
      </c>
      <c r="H1566">
        <v>0.08</v>
      </c>
      <c r="I1566" t="s">
        <v>1809</v>
      </c>
      <c r="J1566">
        <v>661.47080000000005</v>
      </c>
      <c r="K1566" t="s">
        <v>1279</v>
      </c>
      <c r="L1566">
        <v>64</v>
      </c>
      <c r="M1566" t="s">
        <v>16</v>
      </c>
      <c r="N1566" t="s">
        <v>1280</v>
      </c>
      <c r="O1566" t="s">
        <v>319</v>
      </c>
      <c r="P1566" t="s">
        <v>12</v>
      </c>
      <c r="Q1566" t="s">
        <v>19</v>
      </c>
      <c r="R1566" t="s">
        <v>3861</v>
      </c>
      <c r="S1566" t="s">
        <v>1527</v>
      </c>
      <c r="T1566" t="s">
        <v>3836</v>
      </c>
      <c r="U1566" t="s">
        <v>1598</v>
      </c>
      <c r="V1566" t="s">
        <v>1760</v>
      </c>
      <c r="W1566" t="s">
        <v>1737</v>
      </c>
      <c r="X1566" t="s">
        <v>1755</v>
      </c>
    </row>
    <row r="1567" spans="1:24" x14ac:dyDescent="0.3">
      <c r="A1567" t="s">
        <v>3374</v>
      </c>
      <c r="B1567" s="2">
        <v>45943</v>
      </c>
      <c r="C1567" t="s">
        <v>1162</v>
      </c>
      <c r="D1567" t="s">
        <v>1559</v>
      </c>
      <c r="E1567" t="s">
        <v>1772</v>
      </c>
      <c r="F1567" s="4">
        <v>2</v>
      </c>
      <c r="G1567">
        <v>675.65</v>
      </c>
      <c r="H1567">
        <v>0.2</v>
      </c>
      <c r="I1567" t="s">
        <v>1812</v>
      </c>
      <c r="J1567">
        <v>1081.04</v>
      </c>
      <c r="K1567" t="s">
        <v>1163</v>
      </c>
      <c r="L1567">
        <v>39</v>
      </c>
      <c r="M1567" t="s">
        <v>16</v>
      </c>
      <c r="N1567" t="s">
        <v>1164</v>
      </c>
      <c r="O1567" t="s">
        <v>166</v>
      </c>
      <c r="P1567" t="s">
        <v>12</v>
      </c>
      <c r="Q1567" t="s">
        <v>26</v>
      </c>
      <c r="R1567" t="s">
        <v>3835</v>
      </c>
      <c r="S1567" t="s">
        <v>1527</v>
      </c>
      <c r="T1567" t="s">
        <v>3836</v>
      </c>
      <c r="U1567" t="s">
        <v>1560</v>
      </c>
      <c r="V1567" t="s">
        <v>1741</v>
      </c>
      <c r="W1567" t="s">
        <v>1742</v>
      </c>
      <c r="X1567" t="s">
        <v>1739</v>
      </c>
    </row>
    <row r="1568" spans="1:24" x14ac:dyDescent="0.3">
      <c r="A1568" t="s">
        <v>3375</v>
      </c>
      <c r="B1568" s="2">
        <v>45374</v>
      </c>
      <c r="C1568" t="s">
        <v>1045</v>
      </c>
      <c r="D1568" t="s">
        <v>1721</v>
      </c>
      <c r="E1568" t="s">
        <v>1784</v>
      </c>
      <c r="F1568" s="4">
        <v>4</v>
      </c>
      <c r="G1568">
        <v>284.24</v>
      </c>
      <c r="H1568">
        <v>0.1</v>
      </c>
      <c r="I1568" t="s">
        <v>1807</v>
      </c>
      <c r="J1568">
        <v>1023.264</v>
      </c>
      <c r="K1568" t="s">
        <v>1046</v>
      </c>
      <c r="L1568">
        <v>40</v>
      </c>
      <c r="M1568" t="s">
        <v>16</v>
      </c>
      <c r="N1568" t="s">
        <v>1047</v>
      </c>
      <c r="O1568" t="s">
        <v>35</v>
      </c>
      <c r="P1568" t="s">
        <v>12</v>
      </c>
      <c r="Q1568" t="s">
        <v>31</v>
      </c>
      <c r="R1568" t="s">
        <v>3928</v>
      </c>
      <c r="S1568" t="s">
        <v>1549</v>
      </c>
      <c r="T1568" t="s">
        <v>3820</v>
      </c>
      <c r="U1568" t="s">
        <v>1722</v>
      </c>
      <c r="V1568" t="s">
        <v>1741</v>
      </c>
      <c r="W1568" t="s">
        <v>1742</v>
      </c>
      <c r="X1568" t="s">
        <v>1739</v>
      </c>
    </row>
    <row r="1569" spans="1:24" x14ac:dyDescent="0.3">
      <c r="A1569" t="s">
        <v>3376</v>
      </c>
      <c r="B1569" s="2">
        <v>45374</v>
      </c>
      <c r="C1569" t="s">
        <v>687</v>
      </c>
      <c r="D1569" t="s">
        <v>1529</v>
      </c>
      <c r="E1569" t="s">
        <v>1749</v>
      </c>
      <c r="F1569" s="4">
        <v>1</v>
      </c>
      <c r="G1569">
        <v>94.26</v>
      </c>
      <c r="H1569">
        <v>0.18</v>
      </c>
      <c r="I1569" t="s">
        <v>1809</v>
      </c>
      <c r="J1569">
        <v>77.293200000000013</v>
      </c>
      <c r="K1569" t="s">
        <v>688</v>
      </c>
      <c r="L1569">
        <v>61</v>
      </c>
      <c r="M1569" t="s">
        <v>9</v>
      </c>
      <c r="N1569" t="s">
        <v>689</v>
      </c>
      <c r="O1569" t="s">
        <v>18</v>
      </c>
      <c r="P1569" t="s">
        <v>12</v>
      </c>
      <c r="Q1569" t="s">
        <v>19</v>
      </c>
      <c r="R1569" t="s">
        <v>3812</v>
      </c>
      <c r="S1569" t="s">
        <v>1530</v>
      </c>
      <c r="T1569" t="s">
        <v>3813</v>
      </c>
      <c r="U1569" t="s">
        <v>1531</v>
      </c>
      <c r="V1569" t="s">
        <v>1750</v>
      </c>
      <c r="W1569" t="s">
        <v>1742</v>
      </c>
      <c r="X1569" t="s">
        <v>1748</v>
      </c>
    </row>
    <row r="1570" spans="1:24" x14ac:dyDescent="0.3">
      <c r="A1570" t="s">
        <v>3377</v>
      </c>
      <c r="B1570" s="2">
        <v>45789</v>
      </c>
      <c r="C1570" t="s">
        <v>1278</v>
      </c>
      <c r="D1570" t="s">
        <v>1540</v>
      </c>
      <c r="E1570" t="s">
        <v>1772</v>
      </c>
      <c r="F1570" s="4">
        <v>4</v>
      </c>
      <c r="G1570">
        <v>458.58</v>
      </c>
      <c r="H1570">
        <v>0.28999999999999998</v>
      </c>
      <c r="I1570" t="s">
        <v>1812</v>
      </c>
      <c r="J1570">
        <v>1302.3671999999999</v>
      </c>
      <c r="K1570" t="s">
        <v>1279</v>
      </c>
      <c r="L1570">
        <v>64</v>
      </c>
      <c r="M1570" t="s">
        <v>16</v>
      </c>
      <c r="N1570" t="s">
        <v>1280</v>
      </c>
      <c r="O1570" t="s">
        <v>319</v>
      </c>
      <c r="P1570" t="s">
        <v>12</v>
      </c>
      <c r="Q1570" t="s">
        <v>19</v>
      </c>
      <c r="R1570" t="s">
        <v>3891</v>
      </c>
      <c r="S1570" t="s">
        <v>1541</v>
      </c>
      <c r="T1570" t="s">
        <v>3833</v>
      </c>
      <c r="U1570" t="s">
        <v>1650</v>
      </c>
      <c r="V1570" t="s">
        <v>1741</v>
      </c>
      <c r="W1570" t="s">
        <v>1742</v>
      </c>
      <c r="X1570" t="s">
        <v>1739</v>
      </c>
    </row>
    <row r="1571" spans="1:24" x14ac:dyDescent="0.3">
      <c r="A1571" t="s">
        <v>3378</v>
      </c>
      <c r="B1571" s="2">
        <v>45452</v>
      </c>
      <c r="C1571" t="s">
        <v>391</v>
      </c>
      <c r="D1571" t="s">
        <v>1661</v>
      </c>
      <c r="E1571" t="s">
        <v>1772</v>
      </c>
      <c r="F1571" s="4">
        <v>4</v>
      </c>
      <c r="G1571">
        <v>704.49</v>
      </c>
      <c r="H1571">
        <v>0.05</v>
      </c>
      <c r="I1571" t="s">
        <v>1812</v>
      </c>
      <c r="J1571">
        <v>2677.0619999999999</v>
      </c>
      <c r="K1571" t="s">
        <v>392</v>
      </c>
      <c r="L1571">
        <v>30</v>
      </c>
      <c r="M1571" t="s">
        <v>9</v>
      </c>
      <c r="N1571" t="s">
        <v>393</v>
      </c>
      <c r="O1571" t="s">
        <v>230</v>
      </c>
      <c r="P1571" t="s">
        <v>12</v>
      </c>
      <c r="Q1571" t="s">
        <v>13</v>
      </c>
      <c r="R1571" t="s">
        <v>3897</v>
      </c>
      <c r="S1571" t="s">
        <v>1549</v>
      </c>
      <c r="T1571" t="s">
        <v>3828</v>
      </c>
      <c r="U1571" t="s">
        <v>1662</v>
      </c>
      <c r="V1571" t="s">
        <v>1741</v>
      </c>
      <c r="W1571" t="s">
        <v>1742</v>
      </c>
      <c r="X1571" t="s">
        <v>1739</v>
      </c>
    </row>
    <row r="1572" spans="1:24" x14ac:dyDescent="0.3">
      <c r="A1572" t="s">
        <v>3379</v>
      </c>
      <c r="B1572" s="2">
        <v>45284</v>
      </c>
      <c r="C1572" t="s">
        <v>130</v>
      </c>
      <c r="D1572" t="s">
        <v>1585</v>
      </c>
      <c r="E1572" t="s">
        <v>1796</v>
      </c>
      <c r="F1572" s="4">
        <v>4</v>
      </c>
      <c r="G1572">
        <v>822.32</v>
      </c>
      <c r="H1572">
        <v>0.26</v>
      </c>
      <c r="I1572" t="s">
        <v>1809</v>
      </c>
      <c r="J1572">
        <v>2434.0672</v>
      </c>
      <c r="K1572" t="s">
        <v>131</v>
      </c>
      <c r="L1572">
        <v>25</v>
      </c>
      <c r="M1572" t="s">
        <v>9</v>
      </c>
      <c r="N1572" t="s">
        <v>132</v>
      </c>
      <c r="O1572" t="s">
        <v>133</v>
      </c>
      <c r="P1572" t="s">
        <v>12</v>
      </c>
      <c r="Q1572" t="s">
        <v>13</v>
      </c>
      <c r="R1572" t="s">
        <v>3854</v>
      </c>
      <c r="S1572" t="s">
        <v>1527</v>
      </c>
      <c r="T1572" t="s">
        <v>3836</v>
      </c>
      <c r="U1572" t="s">
        <v>1586</v>
      </c>
      <c r="V1572" t="s">
        <v>1741</v>
      </c>
      <c r="W1572" t="s">
        <v>1742</v>
      </c>
      <c r="X1572" t="s">
        <v>1739</v>
      </c>
    </row>
    <row r="1573" spans="1:24" x14ac:dyDescent="0.3">
      <c r="A1573" t="s">
        <v>3380</v>
      </c>
      <c r="B1573" s="2">
        <v>45325</v>
      </c>
      <c r="C1573" t="s">
        <v>779</v>
      </c>
      <c r="D1573" t="s">
        <v>1534</v>
      </c>
      <c r="E1573" t="s">
        <v>1780</v>
      </c>
      <c r="F1573" s="4">
        <v>4</v>
      </c>
      <c r="G1573">
        <v>785.41</v>
      </c>
      <c r="H1573">
        <v>0.13</v>
      </c>
      <c r="I1573" t="s">
        <v>1812</v>
      </c>
      <c r="J1573">
        <v>2733.2267999999999</v>
      </c>
      <c r="K1573" t="s">
        <v>780</v>
      </c>
      <c r="L1573">
        <v>58</v>
      </c>
      <c r="M1573" t="s">
        <v>9</v>
      </c>
      <c r="N1573" t="s">
        <v>781</v>
      </c>
      <c r="O1573" t="s">
        <v>155</v>
      </c>
      <c r="P1573" t="s">
        <v>12</v>
      </c>
      <c r="Q1573" t="s">
        <v>19</v>
      </c>
      <c r="R1573" t="s">
        <v>3856</v>
      </c>
      <c r="S1573" t="s">
        <v>1527</v>
      </c>
      <c r="T1573" t="s">
        <v>3836</v>
      </c>
      <c r="U1573" t="s">
        <v>1590</v>
      </c>
      <c r="V1573" t="s">
        <v>1741</v>
      </c>
      <c r="W1573" t="s">
        <v>1742</v>
      </c>
      <c r="X1573" t="s">
        <v>1739</v>
      </c>
    </row>
    <row r="1574" spans="1:24" x14ac:dyDescent="0.3">
      <c r="A1574" t="s">
        <v>3381</v>
      </c>
      <c r="B1574" s="2">
        <v>45465</v>
      </c>
      <c r="C1574" t="s">
        <v>127</v>
      </c>
      <c r="D1574" t="s">
        <v>1609</v>
      </c>
      <c r="E1574" t="s">
        <v>1782</v>
      </c>
      <c r="F1574" s="4">
        <v>1</v>
      </c>
      <c r="G1574">
        <v>405.8</v>
      </c>
      <c r="H1574">
        <v>0.11</v>
      </c>
      <c r="I1574" t="s">
        <v>1809</v>
      </c>
      <c r="J1574">
        <v>361.16199999999998</v>
      </c>
      <c r="K1574" t="s">
        <v>128</v>
      </c>
      <c r="L1574">
        <v>48</v>
      </c>
      <c r="M1574" t="s">
        <v>16</v>
      </c>
      <c r="N1574" t="s">
        <v>129</v>
      </c>
      <c r="O1574" t="s">
        <v>35</v>
      </c>
      <c r="P1574" t="s">
        <v>12</v>
      </c>
      <c r="Q1574" t="s">
        <v>31</v>
      </c>
      <c r="R1574" t="s">
        <v>3868</v>
      </c>
      <c r="S1574" t="s">
        <v>1546</v>
      </c>
      <c r="T1574" t="s">
        <v>3869</v>
      </c>
      <c r="U1574" t="s">
        <v>1610</v>
      </c>
      <c r="V1574" t="s">
        <v>1741</v>
      </c>
      <c r="W1574" t="s">
        <v>1742</v>
      </c>
      <c r="X1574" t="s">
        <v>1739</v>
      </c>
    </row>
    <row r="1575" spans="1:24" x14ac:dyDescent="0.3">
      <c r="A1575" t="s">
        <v>3382</v>
      </c>
      <c r="B1575" s="2">
        <v>45612</v>
      </c>
      <c r="C1575" t="s">
        <v>1327</v>
      </c>
      <c r="D1575" t="s">
        <v>1713</v>
      </c>
      <c r="E1575" t="s">
        <v>1769</v>
      </c>
      <c r="F1575" s="4">
        <v>2</v>
      </c>
      <c r="G1575">
        <v>976.83</v>
      </c>
      <c r="H1575">
        <v>0.1</v>
      </c>
      <c r="I1575" t="s">
        <v>1809</v>
      </c>
      <c r="J1575">
        <v>1758.2940000000001</v>
      </c>
      <c r="K1575" t="s">
        <v>1328</v>
      </c>
      <c r="L1575">
        <v>48</v>
      </c>
      <c r="M1575" t="s">
        <v>16</v>
      </c>
      <c r="N1575" t="s">
        <v>1329</v>
      </c>
      <c r="O1575" t="s">
        <v>58</v>
      </c>
      <c r="P1575" t="s">
        <v>12</v>
      </c>
      <c r="Q1575" t="s">
        <v>31</v>
      </c>
      <c r="R1575" t="s">
        <v>3924</v>
      </c>
      <c r="S1575" t="s">
        <v>1530</v>
      </c>
      <c r="T1575" t="s">
        <v>3866</v>
      </c>
      <c r="U1575" t="s">
        <v>1714</v>
      </c>
      <c r="V1575" t="s">
        <v>1770</v>
      </c>
      <c r="W1575" t="s">
        <v>1746</v>
      </c>
      <c r="X1575" t="s">
        <v>1739</v>
      </c>
    </row>
    <row r="1576" spans="1:24" x14ac:dyDescent="0.3">
      <c r="A1576" t="s">
        <v>3383</v>
      </c>
      <c r="B1576" s="2">
        <v>45472</v>
      </c>
      <c r="C1576" t="s">
        <v>861</v>
      </c>
      <c r="D1576" t="s">
        <v>1659</v>
      </c>
      <c r="E1576" t="s">
        <v>1744</v>
      </c>
      <c r="F1576" s="4">
        <v>1</v>
      </c>
      <c r="G1576">
        <v>644.15</v>
      </c>
      <c r="H1576">
        <v>0.06</v>
      </c>
      <c r="I1576" t="s">
        <v>1807</v>
      </c>
      <c r="J1576">
        <v>605.50099999999998</v>
      </c>
      <c r="K1576" t="s">
        <v>862</v>
      </c>
      <c r="L1576">
        <v>38</v>
      </c>
      <c r="M1576" t="s">
        <v>9</v>
      </c>
      <c r="N1576" t="s">
        <v>863</v>
      </c>
      <c r="O1576" t="s">
        <v>309</v>
      </c>
      <c r="P1576" t="s">
        <v>12</v>
      </c>
      <c r="Q1576" t="s">
        <v>26</v>
      </c>
      <c r="R1576" t="s">
        <v>3896</v>
      </c>
      <c r="S1576" t="s">
        <v>1541</v>
      </c>
      <c r="T1576" t="s">
        <v>3878</v>
      </c>
      <c r="U1576" t="s">
        <v>1660</v>
      </c>
      <c r="V1576" t="s">
        <v>1745</v>
      </c>
      <c r="W1576" t="s">
        <v>1746</v>
      </c>
      <c r="X1576" t="s">
        <v>1748</v>
      </c>
    </row>
    <row r="1577" spans="1:24" x14ac:dyDescent="0.3">
      <c r="A1577" t="s">
        <v>3384</v>
      </c>
      <c r="B1577" s="2">
        <v>45897</v>
      </c>
      <c r="C1577" t="s">
        <v>1048</v>
      </c>
      <c r="D1577" t="s">
        <v>1665</v>
      </c>
      <c r="E1577" t="s">
        <v>1780</v>
      </c>
      <c r="F1577" s="4">
        <v>1</v>
      </c>
      <c r="G1577">
        <v>470.55</v>
      </c>
      <c r="H1577">
        <v>0.23</v>
      </c>
      <c r="I1577" t="s">
        <v>1809</v>
      </c>
      <c r="J1577">
        <v>362.32350000000002</v>
      </c>
      <c r="K1577" t="s">
        <v>1049</v>
      </c>
      <c r="L1577">
        <v>46</v>
      </c>
      <c r="M1577" t="s">
        <v>16</v>
      </c>
      <c r="N1577" t="s">
        <v>1050</v>
      </c>
      <c r="O1577" t="s">
        <v>11</v>
      </c>
      <c r="P1577" t="s">
        <v>12</v>
      </c>
      <c r="Q1577" t="s">
        <v>26</v>
      </c>
      <c r="R1577" t="s">
        <v>3899</v>
      </c>
      <c r="S1577" t="s">
        <v>1546</v>
      </c>
      <c r="T1577" t="s">
        <v>3820</v>
      </c>
      <c r="U1577" t="s">
        <v>1666</v>
      </c>
      <c r="V1577" t="s">
        <v>1741</v>
      </c>
      <c r="W1577" t="s">
        <v>1742</v>
      </c>
      <c r="X1577" t="s">
        <v>1739</v>
      </c>
    </row>
    <row r="1578" spans="1:24" x14ac:dyDescent="0.3">
      <c r="A1578" t="s">
        <v>3385</v>
      </c>
      <c r="B1578" s="2">
        <v>45241</v>
      </c>
      <c r="C1578" t="s">
        <v>1456</v>
      </c>
      <c r="D1578" t="s">
        <v>1543</v>
      </c>
      <c r="E1578" t="s">
        <v>1759</v>
      </c>
      <c r="F1578" s="4">
        <v>3</v>
      </c>
      <c r="G1578">
        <v>598.82000000000005</v>
      </c>
      <c r="H1578">
        <v>0.19</v>
      </c>
      <c r="I1578" t="s">
        <v>1812</v>
      </c>
      <c r="J1578">
        <v>1455.1325999999999</v>
      </c>
      <c r="K1578" t="s">
        <v>3951</v>
      </c>
      <c r="L1578">
        <v>40</v>
      </c>
      <c r="M1578" t="s">
        <v>9</v>
      </c>
      <c r="N1578" t="s">
        <v>1457</v>
      </c>
      <c r="O1578" t="s">
        <v>39</v>
      </c>
      <c r="P1578" t="s">
        <v>12</v>
      </c>
      <c r="Q1578" t="s">
        <v>13</v>
      </c>
      <c r="R1578" t="s">
        <v>3902</v>
      </c>
      <c r="S1578" t="s">
        <v>1530</v>
      </c>
      <c r="T1578" t="s">
        <v>3818</v>
      </c>
      <c r="U1578" t="s">
        <v>1670</v>
      </c>
      <c r="V1578" t="s">
        <v>1760</v>
      </c>
      <c r="W1578" t="s">
        <v>1737</v>
      </c>
      <c r="X1578" t="s">
        <v>1755</v>
      </c>
    </row>
    <row r="1579" spans="1:24" x14ac:dyDescent="0.3">
      <c r="A1579" t="s">
        <v>3386</v>
      </c>
      <c r="B1579" s="2">
        <v>45851</v>
      </c>
      <c r="C1579" t="s">
        <v>355</v>
      </c>
      <c r="D1579" t="s">
        <v>1571</v>
      </c>
      <c r="E1579" t="s">
        <v>1777</v>
      </c>
      <c r="F1579" s="4">
        <v>4</v>
      </c>
      <c r="G1579">
        <v>659.17</v>
      </c>
      <c r="H1579">
        <v>0.12</v>
      </c>
      <c r="I1579" t="s">
        <v>1807</v>
      </c>
      <c r="J1579">
        <v>2320.2784000000001</v>
      </c>
      <c r="K1579" t="s">
        <v>356</v>
      </c>
      <c r="L1579">
        <v>34</v>
      </c>
      <c r="M1579" t="s">
        <v>16</v>
      </c>
      <c r="N1579" t="s">
        <v>357</v>
      </c>
      <c r="O1579" t="s">
        <v>117</v>
      </c>
      <c r="P1579" t="s">
        <v>12</v>
      </c>
      <c r="Q1579" t="s">
        <v>13</v>
      </c>
      <c r="R1579" t="s">
        <v>3845</v>
      </c>
      <c r="S1579" t="s">
        <v>1549</v>
      </c>
      <c r="T1579" t="s">
        <v>3820</v>
      </c>
      <c r="U1579" t="s">
        <v>1572</v>
      </c>
      <c r="V1579" t="s">
        <v>1741</v>
      </c>
      <c r="W1579" t="s">
        <v>1742</v>
      </c>
      <c r="X1579" t="s">
        <v>1739</v>
      </c>
    </row>
    <row r="1580" spans="1:24" x14ac:dyDescent="0.3">
      <c r="A1580" t="s">
        <v>3387</v>
      </c>
      <c r="B1580" s="2">
        <v>45572</v>
      </c>
      <c r="C1580" t="s">
        <v>364</v>
      </c>
      <c r="D1580" t="s">
        <v>1623</v>
      </c>
      <c r="E1580" t="s">
        <v>1740</v>
      </c>
      <c r="F1580" s="4">
        <v>2</v>
      </c>
      <c r="G1580">
        <v>216.02</v>
      </c>
      <c r="H1580">
        <v>0.25</v>
      </c>
      <c r="I1580" t="s">
        <v>1807</v>
      </c>
      <c r="J1580">
        <v>324.02999999999997</v>
      </c>
      <c r="K1580" t="s">
        <v>365</v>
      </c>
      <c r="L1580">
        <v>50</v>
      </c>
      <c r="M1580" t="s">
        <v>16</v>
      </c>
      <c r="N1580" t="s">
        <v>366</v>
      </c>
      <c r="O1580" t="s">
        <v>81</v>
      </c>
      <c r="P1580" t="s">
        <v>12</v>
      </c>
      <c r="Q1580" t="s">
        <v>31</v>
      </c>
      <c r="R1580" t="s">
        <v>3876</v>
      </c>
      <c r="S1580" t="s">
        <v>1530</v>
      </c>
      <c r="T1580" t="s">
        <v>3815</v>
      </c>
      <c r="U1580" t="s">
        <v>1624</v>
      </c>
      <c r="V1580" t="s">
        <v>1741</v>
      </c>
      <c r="W1580" t="s">
        <v>1742</v>
      </c>
      <c r="X1580" t="s">
        <v>1739</v>
      </c>
    </row>
    <row r="1581" spans="1:24" x14ac:dyDescent="0.3">
      <c r="A1581" t="s">
        <v>3388</v>
      </c>
      <c r="B1581" s="2">
        <v>45774</v>
      </c>
      <c r="C1581" t="s">
        <v>124</v>
      </c>
      <c r="D1581" t="s">
        <v>1593</v>
      </c>
      <c r="E1581" t="s">
        <v>1772</v>
      </c>
      <c r="F1581" s="4">
        <v>2</v>
      </c>
      <c r="G1581">
        <v>613.47</v>
      </c>
      <c r="H1581">
        <v>0.02</v>
      </c>
      <c r="I1581" t="s">
        <v>1809</v>
      </c>
      <c r="J1581">
        <v>1202.4012</v>
      </c>
      <c r="K1581" t="s">
        <v>125</v>
      </c>
      <c r="L1581">
        <v>41</v>
      </c>
      <c r="M1581" t="s">
        <v>9</v>
      </c>
      <c r="N1581" t="s">
        <v>126</v>
      </c>
      <c r="O1581" t="s">
        <v>51</v>
      </c>
      <c r="P1581" t="s">
        <v>12</v>
      </c>
      <c r="Q1581" t="s">
        <v>26</v>
      </c>
      <c r="R1581" t="s">
        <v>3858</v>
      </c>
      <c r="S1581" t="s">
        <v>1549</v>
      </c>
      <c r="T1581" t="s">
        <v>3859</v>
      </c>
      <c r="U1581" t="s">
        <v>1594</v>
      </c>
      <c r="V1581" t="s">
        <v>1741</v>
      </c>
      <c r="W1581" t="s">
        <v>1742</v>
      </c>
      <c r="X1581" t="s">
        <v>1739</v>
      </c>
    </row>
    <row r="1582" spans="1:24" x14ac:dyDescent="0.3">
      <c r="A1582" t="s">
        <v>3389</v>
      </c>
      <c r="B1582" s="2">
        <v>45921</v>
      </c>
      <c r="C1582" t="s">
        <v>345</v>
      </c>
      <c r="D1582" t="s">
        <v>1647</v>
      </c>
      <c r="E1582" t="s">
        <v>1777</v>
      </c>
      <c r="F1582" s="4">
        <v>2</v>
      </c>
      <c r="G1582">
        <v>485.17</v>
      </c>
      <c r="H1582">
        <v>0.11</v>
      </c>
      <c r="I1582" t="s">
        <v>1809</v>
      </c>
      <c r="J1582">
        <v>863.60260000000005</v>
      </c>
      <c r="K1582" t="s">
        <v>346</v>
      </c>
      <c r="L1582">
        <v>35</v>
      </c>
      <c r="M1582" t="s">
        <v>9</v>
      </c>
      <c r="N1582" t="s">
        <v>347</v>
      </c>
      <c r="O1582" t="s">
        <v>162</v>
      </c>
      <c r="P1582" t="s">
        <v>12</v>
      </c>
      <c r="Q1582" t="s">
        <v>13</v>
      </c>
      <c r="R1582" t="s">
        <v>3890</v>
      </c>
      <c r="S1582" t="s">
        <v>1530</v>
      </c>
      <c r="T1582" t="s">
        <v>3820</v>
      </c>
      <c r="U1582" t="s">
        <v>1648</v>
      </c>
      <c r="V1582" t="s">
        <v>1741</v>
      </c>
      <c r="W1582" t="s">
        <v>1742</v>
      </c>
      <c r="X1582" t="s">
        <v>1739</v>
      </c>
    </row>
    <row r="1583" spans="1:24" x14ac:dyDescent="0.3">
      <c r="A1583" t="s">
        <v>3390</v>
      </c>
      <c r="B1583" s="2">
        <v>45268</v>
      </c>
      <c r="C1583" t="s">
        <v>959</v>
      </c>
      <c r="D1583" t="s">
        <v>1623</v>
      </c>
      <c r="E1583" t="s">
        <v>1772</v>
      </c>
      <c r="F1583" s="4">
        <v>1</v>
      </c>
      <c r="G1583">
        <v>209.7</v>
      </c>
      <c r="H1583">
        <v>0.2</v>
      </c>
      <c r="I1583" t="s">
        <v>1809</v>
      </c>
      <c r="J1583">
        <v>167.76</v>
      </c>
      <c r="K1583" t="s">
        <v>960</v>
      </c>
      <c r="L1583">
        <v>60</v>
      </c>
      <c r="M1583" t="s">
        <v>16</v>
      </c>
      <c r="N1583" t="s">
        <v>961</v>
      </c>
      <c r="O1583" t="s">
        <v>22</v>
      </c>
      <c r="P1583" t="s">
        <v>12</v>
      </c>
      <c r="Q1583" t="s">
        <v>26</v>
      </c>
      <c r="R1583" t="s">
        <v>3876</v>
      </c>
      <c r="S1583" t="s">
        <v>1530</v>
      </c>
      <c r="T1583" t="s">
        <v>3815</v>
      </c>
      <c r="U1583" t="s">
        <v>1624</v>
      </c>
      <c r="V1583" t="s">
        <v>1741</v>
      </c>
      <c r="W1583" t="s">
        <v>1742</v>
      </c>
      <c r="X1583" t="s">
        <v>1739</v>
      </c>
    </row>
    <row r="1584" spans="1:24" x14ac:dyDescent="0.3">
      <c r="A1584" t="s">
        <v>3391</v>
      </c>
      <c r="B1584" s="2">
        <v>45402</v>
      </c>
      <c r="C1584" t="s">
        <v>1015</v>
      </c>
      <c r="D1584" t="s">
        <v>1715</v>
      </c>
      <c r="E1584" t="s">
        <v>1735</v>
      </c>
      <c r="F1584" s="4">
        <v>1</v>
      </c>
      <c r="G1584">
        <v>681.47</v>
      </c>
      <c r="H1584">
        <v>0.15</v>
      </c>
      <c r="I1584" t="s">
        <v>1807</v>
      </c>
      <c r="J1584">
        <v>579.24950000000001</v>
      </c>
      <c r="K1584" t="s">
        <v>1016</v>
      </c>
      <c r="L1584">
        <v>62</v>
      </c>
      <c r="M1584" t="s">
        <v>16</v>
      </c>
      <c r="N1584" t="s">
        <v>1017</v>
      </c>
      <c r="O1584" t="s">
        <v>214</v>
      </c>
      <c r="P1584" t="s">
        <v>12</v>
      </c>
      <c r="Q1584" t="s">
        <v>13</v>
      </c>
      <c r="R1584" t="s">
        <v>3925</v>
      </c>
      <c r="S1584" t="s">
        <v>1527</v>
      </c>
      <c r="T1584" t="s">
        <v>3838</v>
      </c>
      <c r="U1584" t="s">
        <v>1716</v>
      </c>
      <c r="V1584" t="s">
        <v>1736</v>
      </c>
      <c r="W1584" t="s">
        <v>1737</v>
      </c>
      <c r="X1584" t="s">
        <v>1739</v>
      </c>
    </row>
    <row r="1585" spans="1:24" x14ac:dyDescent="0.3">
      <c r="A1585" t="s">
        <v>3392</v>
      </c>
      <c r="B1585" s="2">
        <v>45667</v>
      </c>
      <c r="C1585" t="s">
        <v>1346</v>
      </c>
      <c r="D1585" t="s">
        <v>1683</v>
      </c>
      <c r="E1585" t="s">
        <v>1790</v>
      </c>
      <c r="F1585" s="4">
        <v>2</v>
      </c>
      <c r="G1585">
        <v>877.21</v>
      </c>
      <c r="H1585">
        <v>0.1</v>
      </c>
      <c r="I1585" t="s">
        <v>1807</v>
      </c>
      <c r="J1585">
        <v>1578.9780000000001</v>
      </c>
      <c r="K1585" t="s">
        <v>1347</v>
      </c>
      <c r="L1585">
        <v>31</v>
      </c>
      <c r="M1585" t="s">
        <v>9</v>
      </c>
      <c r="N1585" t="s">
        <v>1348</v>
      </c>
      <c r="O1585" t="s">
        <v>18</v>
      </c>
      <c r="P1585" t="s">
        <v>12</v>
      </c>
      <c r="Q1585" t="s">
        <v>31</v>
      </c>
      <c r="R1585" t="s">
        <v>3909</v>
      </c>
      <c r="S1585" t="s">
        <v>1546</v>
      </c>
      <c r="T1585" t="s">
        <v>3811</v>
      </c>
      <c r="U1585" t="s">
        <v>1684</v>
      </c>
      <c r="V1585" t="s">
        <v>1741</v>
      </c>
      <c r="W1585" t="s">
        <v>1742</v>
      </c>
      <c r="X1585" t="s">
        <v>1739</v>
      </c>
    </row>
    <row r="1586" spans="1:24" x14ac:dyDescent="0.3">
      <c r="A1586" t="s">
        <v>3393</v>
      </c>
      <c r="B1586" s="2">
        <v>45902</v>
      </c>
      <c r="C1586" t="s">
        <v>992</v>
      </c>
      <c r="D1586" t="s">
        <v>1687</v>
      </c>
      <c r="E1586" t="s">
        <v>1756</v>
      </c>
      <c r="F1586" s="4">
        <v>2</v>
      </c>
      <c r="G1586">
        <v>479.77</v>
      </c>
      <c r="H1586">
        <v>0.21</v>
      </c>
      <c r="I1586" t="s">
        <v>1809</v>
      </c>
      <c r="J1586">
        <v>758.03660000000002</v>
      </c>
      <c r="K1586" t="s">
        <v>993</v>
      </c>
      <c r="L1586">
        <v>54</v>
      </c>
      <c r="M1586" t="s">
        <v>9</v>
      </c>
      <c r="N1586" t="s">
        <v>994</v>
      </c>
      <c r="O1586" t="s">
        <v>62</v>
      </c>
      <c r="P1586" t="s">
        <v>12</v>
      </c>
      <c r="Q1586" t="s">
        <v>19</v>
      </c>
      <c r="R1586" t="s">
        <v>3911</v>
      </c>
      <c r="S1586" t="s">
        <v>1527</v>
      </c>
      <c r="T1586" t="s">
        <v>3836</v>
      </c>
      <c r="U1586" t="s">
        <v>1688</v>
      </c>
      <c r="V1586" t="s">
        <v>1757</v>
      </c>
      <c r="W1586" t="s">
        <v>1742</v>
      </c>
      <c r="X1586" t="s">
        <v>1748</v>
      </c>
    </row>
    <row r="1587" spans="1:24" x14ac:dyDescent="0.3">
      <c r="A1587" t="s">
        <v>3394</v>
      </c>
      <c r="B1587" s="2">
        <v>45589</v>
      </c>
      <c r="C1587" t="s">
        <v>1004</v>
      </c>
      <c r="D1587" t="s">
        <v>1697</v>
      </c>
      <c r="E1587" t="s">
        <v>1784</v>
      </c>
      <c r="F1587" s="4">
        <v>1</v>
      </c>
      <c r="G1587">
        <v>140.72</v>
      </c>
      <c r="H1587">
        <v>0</v>
      </c>
      <c r="I1587" t="s">
        <v>1812</v>
      </c>
      <c r="J1587">
        <v>140.72</v>
      </c>
      <c r="K1587" t="s">
        <v>1005</v>
      </c>
      <c r="L1587">
        <v>64</v>
      </c>
      <c r="M1587" t="s">
        <v>16</v>
      </c>
      <c r="N1587" t="s">
        <v>1006</v>
      </c>
      <c r="O1587" t="s">
        <v>838</v>
      </c>
      <c r="P1587" t="s">
        <v>12</v>
      </c>
      <c r="Q1587" t="s">
        <v>26</v>
      </c>
      <c r="R1587" t="s">
        <v>3916</v>
      </c>
      <c r="S1587" t="s">
        <v>1541</v>
      </c>
      <c r="T1587" t="s">
        <v>3822</v>
      </c>
      <c r="U1587" t="s">
        <v>1698</v>
      </c>
      <c r="V1587" t="s">
        <v>1741</v>
      </c>
      <c r="W1587" t="s">
        <v>1742</v>
      </c>
      <c r="X1587" t="s">
        <v>1739</v>
      </c>
    </row>
    <row r="1588" spans="1:24" x14ac:dyDescent="0.3">
      <c r="A1588" t="s">
        <v>3395</v>
      </c>
      <c r="B1588" s="2">
        <v>45668</v>
      </c>
      <c r="C1588" t="s">
        <v>114</v>
      </c>
      <c r="D1588" t="s">
        <v>1569</v>
      </c>
      <c r="E1588" t="s">
        <v>1759</v>
      </c>
      <c r="F1588" s="4">
        <v>2</v>
      </c>
      <c r="G1588">
        <v>764.25</v>
      </c>
      <c r="H1588">
        <v>0.23</v>
      </c>
      <c r="I1588" t="s">
        <v>1809</v>
      </c>
      <c r="J1588">
        <v>1176.9449999999999</v>
      </c>
      <c r="K1588" t="s">
        <v>115</v>
      </c>
      <c r="L1588">
        <v>27</v>
      </c>
      <c r="M1588" t="s">
        <v>16</v>
      </c>
      <c r="N1588" t="s">
        <v>116</v>
      </c>
      <c r="O1588" t="s">
        <v>117</v>
      </c>
      <c r="P1588" t="s">
        <v>12</v>
      </c>
      <c r="Q1588" t="s">
        <v>19</v>
      </c>
      <c r="R1588" t="s">
        <v>3843</v>
      </c>
      <c r="S1588" t="s">
        <v>1549</v>
      </c>
      <c r="T1588" t="s">
        <v>3844</v>
      </c>
      <c r="U1588" t="s">
        <v>1570</v>
      </c>
      <c r="V1588" t="s">
        <v>1760</v>
      </c>
      <c r="W1588" t="s">
        <v>1737</v>
      </c>
      <c r="X1588" t="s">
        <v>1755</v>
      </c>
    </row>
    <row r="1589" spans="1:24" x14ac:dyDescent="0.3">
      <c r="A1589" t="s">
        <v>3396</v>
      </c>
      <c r="B1589" s="2">
        <v>45300</v>
      </c>
      <c r="C1589" t="s">
        <v>713</v>
      </c>
      <c r="D1589" t="s">
        <v>1697</v>
      </c>
      <c r="E1589" t="s">
        <v>1756</v>
      </c>
      <c r="F1589" s="4">
        <v>3</v>
      </c>
      <c r="G1589">
        <v>107.8</v>
      </c>
      <c r="H1589">
        <v>0.28999999999999998</v>
      </c>
      <c r="I1589" t="s">
        <v>1809</v>
      </c>
      <c r="J1589">
        <v>229.614</v>
      </c>
      <c r="K1589" t="s">
        <v>714</v>
      </c>
      <c r="L1589">
        <v>50</v>
      </c>
      <c r="M1589" t="s">
        <v>9</v>
      </c>
      <c r="N1589" t="s">
        <v>715</v>
      </c>
      <c r="O1589" t="s">
        <v>230</v>
      </c>
      <c r="P1589" t="s">
        <v>12</v>
      </c>
      <c r="Q1589" t="s">
        <v>19</v>
      </c>
      <c r="R1589" t="s">
        <v>3916</v>
      </c>
      <c r="S1589" t="s">
        <v>1541</v>
      </c>
      <c r="T1589" t="s">
        <v>3822</v>
      </c>
      <c r="U1589" t="s">
        <v>1698</v>
      </c>
      <c r="V1589" t="s">
        <v>1757</v>
      </c>
      <c r="W1589" t="s">
        <v>1742</v>
      </c>
      <c r="X1589" t="s">
        <v>1748</v>
      </c>
    </row>
    <row r="1590" spans="1:24" x14ac:dyDescent="0.3">
      <c r="A1590" t="s">
        <v>3397</v>
      </c>
      <c r="B1590" s="2">
        <v>45757</v>
      </c>
      <c r="C1590" t="s">
        <v>491</v>
      </c>
      <c r="D1590" t="s">
        <v>1575</v>
      </c>
      <c r="E1590" t="s">
        <v>1765</v>
      </c>
      <c r="F1590" s="4">
        <v>4</v>
      </c>
      <c r="G1590">
        <v>565.37</v>
      </c>
      <c r="H1590">
        <v>7.0000000000000007E-2</v>
      </c>
      <c r="I1590" t="s">
        <v>1809</v>
      </c>
      <c r="J1590">
        <v>2103.1763999999998</v>
      </c>
      <c r="K1590" t="s">
        <v>492</v>
      </c>
      <c r="L1590">
        <v>42</v>
      </c>
      <c r="M1590" t="s">
        <v>16</v>
      </c>
      <c r="N1590" t="s">
        <v>493</v>
      </c>
      <c r="O1590" t="s">
        <v>162</v>
      </c>
      <c r="P1590" t="s">
        <v>12</v>
      </c>
      <c r="Q1590" t="s">
        <v>19</v>
      </c>
      <c r="R1590" t="s">
        <v>3848</v>
      </c>
      <c r="S1590" t="s">
        <v>1549</v>
      </c>
      <c r="T1590" t="s">
        <v>3844</v>
      </c>
      <c r="U1590" t="s">
        <v>1576</v>
      </c>
      <c r="V1590" t="s">
        <v>1766</v>
      </c>
      <c r="W1590" t="s">
        <v>1767</v>
      </c>
      <c r="X1590" t="s">
        <v>1755</v>
      </c>
    </row>
    <row r="1591" spans="1:24" x14ac:dyDescent="0.3">
      <c r="A1591" t="s">
        <v>3398</v>
      </c>
      <c r="B1591" s="2">
        <v>45235</v>
      </c>
      <c r="C1591" t="s">
        <v>136</v>
      </c>
      <c r="D1591" t="s">
        <v>1603</v>
      </c>
      <c r="E1591" t="s">
        <v>1752</v>
      </c>
      <c r="F1591" s="4">
        <v>3</v>
      </c>
      <c r="G1591">
        <v>811.45</v>
      </c>
      <c r="H1591">
        <v>0.26</v>
      </c>
      <c r="I1591" t="s">
        <v>1807</v>
      </c>
      <c r="J1591">
        <v>1801.4190000000001</v>
      </c>
      <c r="K1591" t="s">
        <v>137</v>
      </c>
      <c r="L1591">
        <v>52</v>
      </c>
      <c r="M1591" t="s">
        <v>9</v>
      </c>
      <c r="N1591" t="s">
        <v>138</v>
      </c>
      <c r="O1591" t="s">
        <v>139</v>
      </c>
      <c r="P1591" t="s">
        <v>12</v>
      </c>
      <c r="Q1591" t="s">
        <v>19</v>
      </c>
      <c r="R1591" t="s">
        <v>3864</v>
      </c>
      <c r="S1591" t="s">
        <v>1530</v>
      </c>
      <c r="T1591" t="s">
        <v>3813</v>
      </c>
      <c r="U1591" t="s">
        <v>1604</v>
      </c>
      <c r="V1591" t="s">
        <v>1753</v>
      </c>
      <c r="W1591" t="s">
        <v>1746</v>
      </c>
      <c r="X1591" t="s">
        <v>1755</v>
      </c>
    </row>
    <row r="1592" spans="1:24" x14ac:dyDescent="0.3">
      <c r="A1592" t="s">
        <v>3399</v>
      </c>
      <c r="B1592" s="2">
        <v>45749</v>
      </c>
      <c r="C1592" t="s">
        <v>1261</v>
      </c>
      <c r="D1592" t="s">
        <v>1597</v>
      </c>
      <c r="E1592" t="s">
        <v>1796</v>
      </c>
      <c r="F1592" s="4">
        <v>4</v>
      </c>
      <c r="G1592">
        <v>62.25</v>
      </c>
      <c r="H1592">
        <v>0.11</v>
      </c>
      <c r="I1592" t="s">
        <v>1809</v>
      </c>
      <c r="J1592">
        <v>221.61</v>
      </c>
      <c r="K1592" t="s">
        <v>1262</v>
      </c>
      <c r="L1592">
        <v>63</v>
      </c>
      <c r="M1592" t="s">
        <v>9</v>
      </c>
      <c r="N1592" t="s">
        <v>1263</v>
      </c>
      <c r="O1592" t="s">
        <v>88</v>
      </c>
      <c r="P1592" t="s">
        <v>12</v>
      </c>
      <c r="Q1592" t="s">
        <v>26</v>
      </c>
      <c r="R1592" t="s">
        <v>3861</v>
      </c>
      <c r="S1592" t="s">
        <v>1527</v>
      </c>
      <c r="T1592" t="s">
        <v>3836</v>
      </c>
      <c r="U1592" t="s">
        <v>1598</v>
      </c>
      <c r="V1592" t="s">
        <v>1741</v>
      </c>
      <c r="W1592" t="s">
        <v>1742</v>
      </c>
      <c r="X1592" t="s">
        <v>1739</v>
      </c>
    </row>
    <row r="1593" spans="1:24" x14ac:dyDescent="0.3">
      <c r="A1593" t="s">
        <v>3400</v>
      </c>
      <c r="B1593" s="2">
        <v>45807</v>
      </c>
      <c r="C1593" t="s">
        <v>107</v>
      </c>
      <c r="D1593" t="s">
        <v>1721</v>
      </c>
      <c r="E1593" t="s">
        <v>1772</v>
      </c>
      <c r="F1593" s="4">
        <v>1</v>
      </c>
      <c r="G1593">
        <v>749.78</v>
      </c>
      <c r="H1593">
        <v>0.03</v>
      </c>
      <c r="I1593" t="s">
        <v>1807</v>
      </c>
      <c r="J1593">
        <v>727.28659999999991</v>
      </c>
      <c r="K1593" t="s">
        <v>108</v>
      </c>
      <c r="L1593">
        <v>18</v>
      </c>
      <c r="M1593" t="s">
        <v>16</v>
      </c>
      <c r="N1593" t="s">
        <v>109</v>
      </c>
      <c r="O1593" t="s">
        <v>30</v>
      </c>
      <c r="P1593" t="s">
        <v>12</v>
      </c>
      <c r="Q1593" t="s">
        <v>26</v>
      </c>
      <c r="R1593" t="s">
        <v>3928</v>
      </c>
      <c r="S1593" t="s">
        <v>1549</v>
      </c>
      <c r="T1593" t="s">
        <v>3820</v>
      </c>
      <c r="U1593" t="s">
        <v>1722</v>
      </c>
      <c r="V1593" t="s">
        <v>1741</v>
      </c>
      <c r="W1593" t="s">
        <v>1742</v>
      </c>
      <c r="X1593" t="s">
        <v>1739</v>
      </c>
    </row>
    <row r="1594" spans="1:24" x14ac:dyDescent="0.3">
      <c r="A1594" t="s">
        <v>3401</v>
      </c>
      <c r="B1594" s="2">
        <v>45496</v>
      </c>
      <c r="C1594" t="s">
        <v>1086</v>
      </c>
      <c r="D1594" t="s">
        <v>1649</v>
      </c>
      <c r="E1594" t="s">
        <v>1756</v>
      </c>
      <c r="F1594" s="4">
        <v>3</v>
      </c>
      <c r="G1594">
        <v>630.28</v>
      </c>
      <c r="H1594">
        <v>7.0000000000000007E-2</v>
      </c>
      <c r="I1594" t="s">
        <v>1812</v>
      </c>
      <c r="J1594">
        <v>1758.4811999999999</v>
      </c>
      <c r="K1594" t="s">
        <v>1087</v>
      </c>
      <c r="L1594">
        <v>25</v>
      </c>
      <c r="M1594" t="s">
        <v>16</v>
      </c>
      <c r="N1594" t="s">
        <v>1088</v>
      </c>
      <c r="O1594" t="s">
        <v>264</v>
      </c>
      <c r="P1594" t="s">
        <v>12</v>
      </c>
      <c r="Q1594" t="s">
        <v>31</v>
      </c>
      <c r="R1594" t="s">
        <v>3891</v>
      </c>
      <c r="S1594" t="s">
        <v>1541</v>
      </c>
      <c r="T1594" t="s">
        <v>3833</v>
      </c>
      <c r="U1594" t="s">
        <v>1650</v>
      </c>
      <c r="V1594" t="s">
        <v>1757</v>
      </c>
      <c r="W1594" t="s">
        <v>1742</v>
      </c>
      <c r="X1594" t="s">
        <v>1748</v>
      </c>
    </row>
    <row r="1595" spans="1:24" x14ac:dyDescent="0.3">
      <c r="A1595" t="s">
        <v>3402</v>
      </c>
      <c r="B1595" s="2">
        <v>45355</v>
      </c>
      <c r="C1595" t="s">
        <v>479</v>
      </c>
      <c r="D1595" t="s">
        <v>1591</v>
      </c>
      <c r="E1595" t="s">
        <v>1787</v>
      </c>
      <c r="F1595" s="4">
        <v>1</v>
      </c>
      <c r="G1595">
        <v>101.84</v>
      </c>
      <c r="H1595">
        <v>0.17</v>
      </c>
      <c r="I1595" t="s">
        <v>1807</v>
      </c>
      <c r="J1595">
        <v>84.527199999999993</v>
      </c>
      <c r="K1595" t="s">
        <v>480</v>
      </c>
      <c r="L1595">
        <v>62</v>
      </c>
      <c r="M1595" t="s">
        <v>16</v>
      </c>
      <c r="N1595" t="s">
        <v>481</v>
      </c>
      <c r="O1595" t="s">
        <v>22</v>
      </c>
      <c r="P1595" t="s">
        <v>12</v>
      </c>
      <c r="Q1595" t="s">
        <v>26</v>
      </c>
      <c r="R1595" t="s">
        <v>3857</v>
      </c>
      <c r="S1595" t="s">
        <v>1527</v>
      </c>
      <c r="T1595" t="s">
        <v>3830</v>
      </c>
      <c r="U1595" t="s">
        <v>1592</v>
      </c>
      <c r="V1595" t="s">
        <v>1741</v>
      </c>
      <c r="W1595" t="s">
        <v>1742</v>
      </c>
      <c r="X1595" t="s">
        <v>1739</v>
      </c>
    </row>
    <row r="1596" spans="1:24" x14ac:dyDescent="0.3">
      <c r="A1596" t="s">
        <v>3403</v>
      </c>
      <c r="B1596" s="2">
        <v>45256</v>
      </c>
      <c r="C1596" t="s">
        <v>205</v>
      </c>
      <c r="D1596" t="s">
        <v>1579</v>
      </c>
      <c r="E1596" t="s">
        <v>1793</v>
      </c>
      <c r="F1596" s="4">
        <v>4</v>
      </c>
      <c r="G1596">
        <v>641.45000000000005</v>
      </c>
      <c r="H1596">
        <v>0.16</v>
      </c>
      <c r="I1596" t="s">
        <v>1812</v>
      </c>
      <c r="J1596">
        <v>2155.2719999999999</v>
      </c>
      <c r="K1596" t="s">
        <v>206</v>
      </c>
      <c r="L1596">
        <v>49</v>
      </c>
      <c r="M1596" t="s">
        <v>16</v>
      </c>
      <c r="N1596" t="s">
        <v>207</v>
      </c>
      <c r="O1596" t="s">
        <v>198</v>
      </c>
      <c r="P1596" t="s">
        <v>12</v>
      </c>
      <c r="Q1596" t="s">
        <v>26</v>
      </c>
      <c r="R1596" t="s">
        <v>3850</v>
      </c>
      <c r="S1596" t="s">
        <v>1549</v>
      </c>
      <c r="T1596" t="s">
        <v>3851</v>
      </c>
      <c r="U1596" t="s">
        <v>1580</v>
      </c>
      <c r="V1596" t="s">
        <v>1741</v>
      </c>
      <c r="W1596" t="s">
        <v>1742</v>
      </c>
      <c r="X1596" t="s">
        <v>1739</v>
      </c>
    </row>
    <row r="1597" spans="1:24" x14ac:dyDescent="0.3">
      <c r="A1597" t="s">
        <v>3404</v>
      </c>
      <c r="B1597" s="2">
        <v>45849</v>
      </c>
      <c r="C1597" t="s">
        <v>1436</v>
      </c>
      <c r="D1597" t="s">
        <v>1617</v>
      </c>
      <c r="E1597" t="s">
        <v>1740</v>
      </c>
      <c r="F1597" s="4">
        <v>1</v>
      </c>
      <c r="G1597">
        <v>135.87</v>
      </c>
      <c r="H1597">
        <v>0.23</v>
      </c>
      <c r="I1597" t="s">
        <v>1809</v>
      </c>
      <c r="J1597">
        <v>104.6199</v>
      </c>
      <c r="K1597" t="s">
        <v>1437</v>
      </c>
      <c r="L1597">
        <v>42</v>
      </c>
      <c r="M1597" t="s">
        <v>9</v>
      </c>
      <c r="N1597" t="s">
        <v>1438</v>
      </c>
      <c r="O1597" t="s">
        <v>66</v>
      </c>
      <c r="P1597" t="s">
        <v>12</v>
      </c>
      <c r="Q1597" t="s">
        <v>19</v>
      </c>
      <c r="R1597" t="s">
        <v>3873</v>
      </c>
      <c r="S1597" t="s">
        <v>1546</v>
      </c>
      <c r="T1597" t="s">
        <v>3811</v>
      </c>
      <c r="U1597" t="s">
        <v>1618</v>
      </c>
      <c r="V1597" t="s">
        <v>1741</v>
      </c>
      <c r="W1597" t="s">
        <v>1742</v>
      </c>
      <c r="X1597" t="s">
        <v>1739</v>
      </c>
    </row>
    <row r="1598" spans="1:24" x14ac:dyDescent="0.3">
      <c r="A1598" t="s">
        <v>3405</v>
      </c>
      <c r="B1598" s="2">
        <v>45344</v>
      </c>
      <c r="C1598" t="s">
        <v>336</v>
      </c>
      <c r="D1598" t="s">
        <v>1573</v>
      </c>
      <c r="E1598" t="s">
        <v>1759</v>
      </c>
      <c r="F1598" s="4">
        <v>1</v>
      </c>
      <c r="G1598">
        <v>388.35</v>
      </c>
      <c r="H1598">
        <v>0.01</v>
      </c>
      <c r="I1598" t="s">
        <v>1809</v>
      </c>
      <c r="J1598">
        <v>384.4665</v>
      </c>
      <c r="K1598" t="s">
        <v>337</v>
      </c>
      <c r="L1598">
        <v>30</v>
      </c>
      <c r="M1598" t="s">
        <v>16</v>
      </c>
      <c r="N1598" t="s">
        <v>338</v>
      </c>
      <c r="O1598" t="s">
        <v>58</v>
      </c>
      <c r="P1598" t="s">
        <v>12</v>
      </c>
      <c r="Q1598" t="s">
        <v>19</v>
      </c>
      <c r="R1598" t="s">
        <v>3846</v>
      </c>
      <c r="S1598" t="s">
        <v>1527</v>
      </c>
      <c r="T1598" t="s">
        <v>3847</v>
      </c>
      <c r="U1598" t="s">
        <v>1574</v>
      </c>
      <c r="V1598" t="s">
        <v>1760</v>
      </c>
      <c r="W1598" t="s">
        <v>1737</v>
      </c>
      <c r="X1598" t="s">
        <v>1755</v>
      </c>
    </row>
    <row r="1599" spans="1:24" x14ac:dyDescent="0.3">
      <c r="A1599" t="s">
        <v>3406</v>
      </c>
      <c r="B1599" s="2">
        <v>45367</v>
      </c>
      <c r="C1599" t="s">
        <v>1478</v>
      </c>
      <c r="D1599" t="s">
        <v>1607</v>
      </c>
      <c r="E1599" t="s">
        <v>1769</v>
      </c>
      <c r="F1599" s="4">
        <v>2</v>
      </c>
      <c r="G1599">
        <v>999.08</v>
      </c>
      <c r="H1599">
        <v>0.3</v>
      </c>
      <c r="I1599" t="s">
        <v>1809</v>
      </c>
      <c r="J1599">
        <v>1398.712</v>
      </c>
      <c r="K1599" t="s">
        <v>1479</v>
      </c>
      <c r="L1599">
        <v>36</v>
      </c>
      <c r="M1599" t="s">
        <v>16</v>
      </c>
      <c r="N1599" t="s">
        <v>1480</v>
      </c>
      <c r="O1599" t="s">
        <v>170</v>
      </c>
      <c r="P1599" t="s">
        <v>12</v>
      </c>
      <c r="Q1599" t="s">
        <v>26</v>
      </c>
      <c r="R1599" t="s">
        <v>3867</v>
      </c>
      <c r="S1599" t="s">
        <v>1549</v>
      </c>
      <c r="T1599" t="s">
        <v>3851</v>
      </c>
      <c r="U1599" t="s">
        <v>1608</v>
      </c>
      <c r="V1599" t="s">
        <v>1770</v>
      </c>
      <c r="W1599" t="s">
        <v>1746</v>
      </c>
      <c r="X1599" t="s">
        <v>1739</v>
      </c>
    </row>
    <row r="1600" spans="1:24" x14ac:dyDescent="0.3">
      <c r="A1600" t="s">
        <v>3407</v>
      </c>
      <c r="B1600" s="2">
        <v>45887</v>
      </c>
      <c r="C1600" t="s">
        <v>560</v>
      </c>
      <c r="D1600" t="s">
        <v>1607</v>
      </c>
      <c r="E1600" t="s">
        <v>1790</v>
      </c>
      <c r="F1600" s="4">
        <v>3</v>
      </c>
      <c r="G1600">
        <v>453.19</v>
      </c>
      <c r="H1600">
        <v>0.08</v>
      </c>
      <c r="I1600" t="s">
        <v>1812</v>
      </c>
      <c r="J1600">
        <v>1250.8044</v>
      </c>
      <c r="K1600" t="s">
        <v>3940</v>
      </c>
      <c r="L1600">
        <v>44</v>
      </c>
      <c r="M1600" t="s">
        <v>16</v>
      </c>
      <c r="N1600" t="s">
        <v>561</v>
      </c>
      <c r="O1600" t="s">
        <v>113</v>
      </c>
      <c r="P1600" t="s">
        <v>12</v>
      </c>
      <c r="Q1600" t="s">
        <v>13</v>
      </c>
      <c r="R1600" t="s">
        <v>3867</v>
      </c>
      <c r="S1600" t="s">
        <v>1549</v>
      </c>
      <c r="T1600" t="s">
        <v>3851</v>
      </c>
      <c r="U1600" t="s">
        <v>1608</v>
      </c>
      <c r="V1600" t="s">
        <v>1741</v>
      </c>
      <c r="W1600" t="s">
        <v>1742</v>
      </c>
      <c r="X1600" t="s">
        <v>1739</v>
      </c>
    </row>
    <row r="1601" spans="1:24" x14ac:dyDescent="0.3">
      <c r="A1601" t="s">
        <v>3408</v>
      </c>
      <c r="B1601" s="2">
        <v>45567</v>
      </c>
      <c r="C1601" t="s">
        <v>749</v>
      </c>
      <c r="D1601" t="s">
        <v>1691</v>
      </c>
      <c r="E1601" t="s">
        <v>1772</v>
      </c>
      <c r="F1601" s="4">
        <v>2</v>
      </c>
      <c r="G1601">
        <v>61.31</v>
      </c>
      <c r="H1601">
        <v>0.15</v>
      </c>
      <c r="I1601" t="s">
        <v>1812</v>
      </c>
      <c r="J1601">
        <v>104.227</v>
      </c>
      <c r="K1601" t="s">
        <v>750</v>
      </c>
      <c r="L1601">
        <v>42</v>
      </c>
      <c r="M1601" t="s">
        <v>16</v>
      </c>
      <c r="N1601" t="s">
        <v>751</v>
      </c>
      <c r="O1601" t="s">
        <v>92</v>
      </c>
      <c r="P1601" t="s">
        <v>12</v>
      </c>
      <c r="Q1601" t="s">
        <v>26</v>
      </c>
      <c r="R1601" t="s">
        <v>3913</v>
      </c>
      <c r="S1601" t="s">
        <v>1527</v>
      </c>
      <c r="T1601" t="s">
        <v>3830</v>
      </c>
      <c r="U1601" t="s">
        <v>1692</v>
      </c>
      <c r="V1601" t="s">
        <v>1741</v>
      </c>
      <c r="W1601" t="s">
        <v>1742</v>
      </c>
      <c r="X1601" t="s">
        <v>1739</v>
      </c>
    </row>
    <row r="1602" spans="1:24" x14ac:dyDescent="0.3">
      <c r="A1602" t="s">
        <v>3409</v>
      </c>
      <c r="B1602" s="2">
        <v>45223</v>
      </c>
      <c r="C1602" t="s">
        <v>1063</v>
      </c>
      <c r="D1602" t="s">
        <v>1693</v>
      </c>
      <c r="E1602" t="s">
        <v>1772</v>
      </c>
      <c r="F1602" s="4">
        <v>2</v>
      </c>
      <c r="G1602">
        <v>870.13</v>
      </c>
      <c r="H1602">
        <v>0.23</v>
      </c>
      <c r="I1602" t="s">
        <v>1807</v>
      </c>
      <c r="J1602">
        <v>1340.0001999999999</v>
      </c>
      <c r="K1602" t="s">
        <v>1064</v>
      </c>
      <c r="L1602">
        <v>38</v>
      </c>
      <c r="M1602" t="s">
        <v>9</v>
      </c>
      <c r="N1602" t="s">
        <v>1065</v>
      </c>
      <c r="O1602" t="s">
        <v>166</v>
      </c>
      <c r="P1602" t="s">
        <v>12</v>
      </c>
      <c r="Q1602" t="s">
        <v>26</v>
      </c>
      <c r="R1602" t="s">
        <v>3914</v>
      </c>
      <c r="S1602" t="s">
        <v>1549</v>
      </c>
      <c r="T1602" t="s">
        <v>3844</v>
      </c>
      <c r="U1602" t="s">
        <v>1694</v>
      </c>
      <c r="V1602" t="s">
        <v>1741</v>
      </c>
      <c r="W1602" t="s">
        <v>1742</v>
      </c>
      <c r="X1602" t="s">
        <v>1739</v>
      </c>
    </row>
    <row r="1603" spans="1:24" x14ac:dyDescent="0.3">
      <c r="A1603" t="s">
        <v>3410</v>
      </c>
      <c r="B1603" s="2">
        <v>45664</v>
      </c>
      <c r="C1603" t="s">
        <v>244</v>
      </c>
      <c r="D1603" t="s">
        <v>1561</v>
      </c>
      <c r="E1603" t="s">
        <v>1796</v>
      </c>
      <c r="F1603" s="4">
        <v>1</v>
      </c>
      <c r="G1603">
        <v>336.51</v>
      </c>
      <c r="H1603">
        <v>0.11</v>
      </c>
      <c r="I1603" t="s">
        <v>1809</v>
      </c>
      <c r="J1603">
        <v>299.4939</v>
      </c>
      <c r="K1603" t="s">
        <v>245</v>
      </c>
      <c r="L1603">
        <v>24</v>
      </c>
      <c r="M1603" t="s">
        <v>16</v>
      </c>
      <c r="N1603" t="s">
        <v>246</v>
      </c>
      <c r="O1603" t="s">
        <v>247</v>
      </c>
      <c r="P1603" t="s">
        <v>12</v>
      </c>
      <c r="Q1603" t="s">
        <v>31</v>
      </c>
      <c r="R1603" t="s">
        <v>3837</v>
      </c>
      <c r="S1603" t="s">
        <v>1546</v>
      </c>
      <c r="T1603" t="s">
        <v>3838</v>
      </c>
      <c r="U1603" t="s">
        <v>1562</v>
      </c>
      <c r="V1603" t="s">
        <v>1741</v>
      </c>
      <c r="W1603" t="s">
        <v>1742</v>
      </c>
      <c r="X1603" t="s">
        <v>1739</v>
      </c>
    </row>
    <row r="1604" spans="1:24" x14ac:dyDescent="0.3">
      <c r="A1604" t="s">
        <v>3411</v>
      </c>
      <c r="B1604" s="2">
        <v>45313</v>
      </c>
      <c r="C1604" t="s">
        <v>592</v>
      </c>
      <c r="D1604" t="s">
        <v>1665</v>
      </c>
      <c r="E1604" t="s">
        <v>1735</v>
      </c>
      <c r="F1604" s="4">
        <v>1</v>
      </c>
      <c r="G1604">
        <v>305.70999999999998</v>
      </c>
      <c r="H1604">
        <v>0.26</v>
      </c>
      <c r="I1604" t="s">
        <v>1812</v>
      </c>
      <c r="J1604">
        <v>226.22540000000001</v>
      </c>
      <c r="K1604" t="s">
        <v>593</v>
      </c>
      <c r="L1604">
        <v>23</v>
      </c>
      <c r="M1604" t="s">
        <v>16</v>
      </c>
      <c r="N1604" t="s">
        <v>594</v>
      </c>
      <c r="O1604" t="s">
        <v>58</v>
      </c>
      <c r="P1604" t="s">
        <v>12</v>
      </c>
      <c r="Q1604" t="s">
        <v>26</v>
      </c>
      <c r="R1604" t="s">
        <v>3899</v>
      </c>
      <c r="S1604" t="s">
        <v>1546</v>
      </c>
      <c r="T1604" t="s">
        <v>3820</v>
      </c>
      <c r="U1604" t="s">
        <v>1666</v>
      </c>
      <c r="V1604" t="s">
        <v>1736</v>
      </c>
      <c r="W1604" t="s">
        <v>1737</v>
      </c>
      <c r="X1604" t="s">
        <v>1739</v>
      </c>
    </row>
    <row r="1605" spans="1:24" x14ac:dyDescent="0.3">
      <c r="A1605" t="s">
        <v>3412</v>
      </c>
      <c r="B1605" s="2">
        <v>45224</v>
      </c>
      <c r="C1605" t="s">
        <v>414</v>
      </c>
      <c r="D1605" t="s">
        <v>1551</v>
      </c>
      <c r="E1605" t="s">
        <v>1793</v>
      </c>
      <c r="F1605" s="4">
        <v>2</v>
      </c>
      <c r="G1605">
        <v>635.39</v>
      </c>
      <c r="H1605">
        <v>0.28999999999999998</v>
      </c>
      <c r="I1605" t="s">
        <v>1812</v>
      </c>
      <c r="J1605">
        <v>902.25379999999996</v>
      </c>
      <c r="K1605" t="s">
        <v>415</v>
      </c>
      <c r="L1605">
        <v>50</v>
      </c>
      <c r="M1605" t="s">
        <v>9</v>
      </c>
      <c r="N1605" t="s">
        <v>416</v>
      </c>
      <c r="O1605" t="s">
        <v>99</v>
      </c>
      <c r="P1605" t="s">
        <v>12</v>
      </c>
      <c r="Q1605" t="s">
        <v>19</v>
      </c>
      <c r="R1605" t="s">
        <v>3829</v>
      </c>
      <c r="S1605" t="s">
        <v>1527</v>
      </c>
      <c r="T1605" t="s">
        <v>3830</v>
      </c>
      <c r="U1605" t="s">
        <v>1552</v>
      </c>
      <c r="V1605" t="s">
        <v>1741</v>
      </c>
      <c r="W1605" t="s">
        <v>1742</v>
      </c>
      <c r="X1605" t="s">
        <v>1739</v>
      </c>
    </row>
    <row r="1606" spans="1:24" x14ac:dyDescent="0.3">
      <c r="A1606" t="s">
        <v>3413</v>
      </c>
      <c r="B1606" s="2">
        <v>45491</v>
      </c>
      <c r="C1606" t="s">
        <v>400</v>
      </c>
      <c r="D1606" t="s">
        <v>1715</v>
      </c>
      <c r="E1606" t="s">
        <v>1796</v>
      </c>
      <c r="F1606" s="4">
        <v>2</v>
      </c>
      <c r="G1606">
        <v>253.87</v>
      </c>
      <c r="H1606">
        <v>0.23</v>
      </c>
      <c r="I1606" t="s">
        <v>1812</v>
      </c>
      <c r="J1606">
        <v>390.95979999999997</v>
      </c>
      <c r="K1606" t="s">
        <v>401</v>
      </c>
      <c r="L1606">
        <v>21</v>
      </c>
      <c r="M1606" t="s">
        <v>16</v>
      </c>
      <c r="N1606" t="s">
        <v>402</v>
      </c>
      <c r="O1606" t="s">
        <v>214</v>
      </c>
      <c r="P1606" t="s">
        <v>12</v>
      </c>
      <c r="Q1606" t="s">
        <v>19</v>
      </c>
      <c r="R1606" t="s">
        <v>3925</v>
      </c>
      <c r="S1606" t="s">
        <v>1527</v>
      </c>
      <c r="T1606" t="s">
        <v>3838</v>
      </c>
      <c r="U1606" t="s">
        <v>1716</v>
      </c>
      <c r="V1606" t="s">
        <v>1741</v>
      </c>
      <c r="W1606" t="s">
        <v>1742</v>
      </c>
      <c r="X1606" t="s">
        <v>1739</v>
      </c>
    </row>
    <row r="1607" spans="1:24" x14ac:dyDescent="0.3">
      <c r="A1607" t="s">
        <v>3414</v>
      </c>
      <c r="B1607" s="2">
        <v>45472</v>
      </c>
      <c r="C1607" t="s">
        <v>1472</v>
      </c>
      <c r="D1607" t="s">
        <v>1683</v>
      </c>
      <c r="E1607" t="s">
        <v>1790</v>
      </c>
      <c r="F1607" s="4">
        <v>3</v>
      </c>
      <c r="G1607">
        <v>915.81</v>
      </c>
      <c r="H1607">
        <v>0.17</v>
      </c>
      <c r="I1607" t="s">
        <v>1812</v>
      </c>
      <c r="J1607">
        <v>2280.3669</v>
      </c>
      <c r="K1607" t="s">
        <v>1473</v>
      </c>
      <c r="L1607">
        <v>46</v>
      </c>
      <c r="M1607" t="s">
        <v>16</v>
      </c>
      <c r="N1607" t="s">
        <v>1474</v>
      </c>
      <c r="O1607" t="s">
        <v>709</v>
      </c>
      <c r="P1607" t="s">
        <v>12</v>
      </c>
      <c r="Q1607" t="s">
        <v>26</v>
      </c>
      <c r="R1607" t="s">
        <v>3909</v>
      </c>
      <c r="S1607" t="s">
        <v>1546</v>
      </c>
      <c r="T1607" t="s">
        <v>3811</v>
      </c>
      <c r="U1607" t="s">
        <v>1684</v>
      </c>
      <c r="V1607" t="s">
        <v>1741</v>
      </c>
      <c r="W1607" t="s">
        <v>1742</v>
      </c>
      <c r="X1607" t="s">
        <v>1739</v>
      </c>
    </row>
    <row r="1608" spans="1:24" x14ac:dyDescent="0.3">
      <c r="A1608" t="s">
        <v>3415</v>
      </c>
      <c r="B1608" s="2">
        <v>45795</v>
      </c>
      <c r="C1608" t="s">
        <v>675</v>
      </c>
      <c r="D1608" t="s">
        <v>1615</v>
      </c>
      <c r="E1608" t="s">
        <v>1765</v>
      </c>
      <c r="F1608" s="4">
        <v>3</v>
      </c>
      <c r="G1608">
        <v>779.5</v>
      </c>
      <c r="H1608">
        <v>0.02</v>
      </c>
      <c r="I1608" t="s">
        <v>1807</v>
      </c>
      <c r="J1608">
        <v>2291.73</v>
      </c>
      <c r="K1608" t="s">
        <v>676</v>
      </c>
      <c r="L1608">
        <v>48</v>
      </c>
      <c r="M1608" t="s">
        <v>9</v>
      </c>
      <c r="N1608" t="s">
        <v>677</v>
      </c>
      <c r="O1608" t="s">
        <v>429</v>
      </c>
      <c r="P1608" t="s">
        <v>12</v>
      </c>
      <c r="Q1608" t="s">
        <v>19</v>
      </c>
      <c r="R1608" t="s">
        <v>3872</v>
      </c>
      <c r="S1608" t="s">
        <v>1546</v>
      </c>
      <c r="T1608" t="s">
        <v>3820</v>
      </c>
      <c r="U1608" t="s">
        <v>1616</v>
      </c>
      <c r="V1608" t="s">
        <v>1766</v>
      </c>
      <c r="W1608" t="s">
        <v>1767</v>
      </c>
      <c r="X1608" t="s">
        <v>1755</v>
      </c>
    </row>
    <row r="1609" spans="1:24" x14ac:dyDescent="0.3">
      <c r="A1609" t="s">
        <v>3416</v>
      </c>
      <c r="B1609" s="2">
        <v>45470</v>
      </c>
      <c r="C1609" t="s">
        <v>1430</v>
      </c>
      <c r="D1609" t="s">
        <v>1653</v>
      </c>
      <c r="E1609" t="s">
        <v>1787</v>
      </c>
      <c r="F1609" s="4">
        <v>2</v>
      </c>
      <c r="G1609">
        <v>780.57</v>
      </c>
      <c r="H1609">
        <v>0.26</v>
      </c>
      <c r="I1609" t="s">
        <v>1807</v>
      </c>
      <c r="J1609">
        <v>1155.2436</v>
      </c>
      <c r="K1609" t="s">
        <v>1431</v>
      </c>
      <c r="L1609">
        <v>21</v>
      </c>
      <c r="M1609" t="s">
        <v>16</v>
      </c>
      <c r="N1609" t="s">
        <v>1432</v>
      </c>
      <c r="O1609" t="s">
        <v>117</v>
      </c>
      <c r="P1609" t="s">
        <v>12</v>
      </c>
      <c r="Q1609" t="s">
        <v>13</v>
      </c>
      <c r="R1609" t="s">
        <v>3893</v>
      </c>
      <c r="S1609" t="s">
        <v>1549</v>
      </c>
      <c r="T1609" t="s">
        <v>3844</v>
      </c>
      <c r="U1609" t="s">
        <v>1654</v>
      </c>
      <c r="V1609" t="s">
        <v>1741</v>
      </c>
      <c r="W1609" t="s">
        <v>1742</v>
      </c>
      <c r="X1609" t="s">
        <v>1739</v>
      </c>
    </row>
    <row r="1610" spans="1:24" x14ac:dyDescent="0.3">
      <c r="A1610" t="s">
        <v>3417</v>
      </c>
      <c r="B1610" s="2">
        <v>45390</v>
      </c>
      <c r="C1610" t="s">
        <v>1183</v>
      </c>
      <c r="D1610" t="s">
        <v>1721</v>
      </c>
      <c r="E1610" t="s">
        <v>1796</v>
      </c>
      <c r="F1610" s="4">
        <v>1</v>
      </c>
      <c r="G1610">
        <v>511.35</v>
      </c>
      <c r="H1610">
        <v>0</v>
      </c>
      <c r="I1610" t="s">
        <v>1807</v>
      </c>
      <c r="J1610">
        <v>511.35</v>
      </c>
      <c r="K1610" t="s">
        <v>1184</v>
      </c>
      <c r="L1610">
        <v>52</v>
      </c>
      <c r="M1610" t="s">
        <v>16</v>
      </c>
      <c r="N1610" t="s">
        <v>1185</v>
      </c>
      <c r="O1610" t="s">
        <v>312</v>
      </c>
      <c r="P1610" t="s">
        <v>12</v>
      </c>
      <c r="Q1610" t="s">
        <v>31</v>
      </c>
      <c r="R1610" t="s">
        <v>3928</v>
      </c>
      <c r="S1610" t="s">
        <v>1549</v>
      </c>
      <c r="T1610" t="s">
        <v>3820</v>
      </c>
      <c r="U1610" t="s">
        <v>1722</v>
      </c>
      <c r="V1610" t="s">
        <v>1741</v>
      </c>
      <c r="W1610" t="s">
        <v>1742</v>
      </c>
      <c r="X1610" t="s">
        <v>1739</v>
      </c>
    </row>
    <row r="1611" spans="1:24" x14ac:dyDescent="0.3">
      <c r="A1611" t="s">
        <v>3418</v>
      </c>
      <c r="B1611" s="2">
        <v>45803</v>
      </c>
      <c r="C1611" t="s">
        <v>75</v>
      </c>
      <c r="D1611" t="s">
        <v>1725</v>
      </c>
      <c r="E1611" t="s">
        <v>1749</v>
      </c>
      <c r="F1611" s="4">
        <v>4</v>
      </c>
      <c r="G1611">
        <v>44.07</v>
      </c>
      <c r="H1611">
        <v>0.28999999999999998</v>
      </c>
      <c r="I1611" t="s">
        <v>1812</v>
      </c>
      <c r="J1611">
        <v>125.1588</v>
      </c>
      <c r="K1611" t="s">
        <v>76</v>
      </c>
      <c r="L1611">
        <v>60</v>
      </c>
      <c r="M1611" t="s">
        <v>16</v>
      </c>
      <c r="N1611" t="s">
        <v>77</v>
      </c>
      <c r="O1611" t="s">
        <v>51</v>
      </c>
      <c r="P1611" t="s">
        <v>12</v>
      </c>
      <c r="Q1611" t="s">
        <v>26</v>
      </c>
      <c r="R1611" t="s">
        <v>3930</v>
      </c>
      <c r="S1611" t="s">
        <v>1549</v>
      </c>
      <c r="T1611" t="s">
        <v>3859</v>
      </c>
      <c r="U1611" t="s">
        <v>1726</v>
      </c>
      <c r="V1611" t="s">
        <v>1750</v>
      </c>
      <c r="W1611" t="s">
        <v>1742</v>
      </c>
      <c r="X1611" t="s">
        <v>1748</v>
      </c>
    </row>
    <row r="1612" spans="1:24" x14ac:dyDescent="0.3">
      <c r="A1612" t="s">
        <v>3419</v>
      </c>
      <c r="B1612" s="2">
        <v>45320</v>
      </c>
      <c r="C1612" t="s">
        <v>640</v>
      </c>
      <c r="D1612" t="s">
        <v>1669</v>
      </c>
      <c r="E1612" t="s">
        <v>1775</v>
      </c>
      <c r="F1612" s="4">
        <v>2</v>
      </c>
      <c r="G1612">
        <v>895.92</v>
      </c>
      <c r="H1612">
        <v>0.15</v>
      </c>
      <c r="I1612" t="s">
        <v>1807</v>
      </c>
      <c r="J1612">
        <v>1523.0640000000001</v>
      </c>
      <c r="K1612" t="s">
        <v>641</v>
      </c>
      <c r="L1612">
        <v>54</v>
      </c>
      <c r="M1612" t="s">
        <v>9</v>
      </c>
      <c r="N1612" t="s">
        <v>204</v>
      </c>
      <c r="O1612" t="s">
        <v>198</v>
      </c>
      <c r="P1612" t="s">
        <v>12</v>
      </c>
      <c r="Q1612" t="s">
        <v>19</v>
      </c>
      <c r="R1612" t="s">
        <v>3902</v>
      </c>
      <c r="S1612" t="s">
        <v>1530</v>
      </c>
      <c r="T1612" t="s">
        <v>3818</v>
      </c>
      <c r="U1612" t="s">
        <v>1670</v>
      </c>
      <c r="V1612" t="s">
        <v>1741</v>
      </c>
      <c r="W1612" t="s">
        <v>1742</v>
      </c>
      <c r="X1612" t="s">
        <v>1739</v>
      </c>
    </row>
    <row r="1613" spans="1:24" x14ac:dyDescent="0.3">
      <c r="A1613" t="s">
        <v>3420</v>
      </c>
      <c r="B1613" s="2">
        <v>45619</v>
      </c>
      <c r="C1613" t="s">
        <v>953</v>
      </c>
      <c r="D1613" t="s">
        <v>1637</v>
      </c>
      <c r="E1613" t="s">
        <v>1744</v>
      </c>
      <c r="F1613" s="4">
        <v>4</v>
      </c>
      <c r="G1613">
        <v>456.32</v>
      </c>
      <c r="H1613">
        <v>0.22</v>
      </c>
      <c r="I1613" t="s">
        <v>1812</v>
      </c>
      <c r="J1613">
        <v>1423.7184</v>
      </c>
      <c r="K1613" t="s">
        <v>954</v>
      </c>
      <c r="L1613">
        <v>44</v>
      </c>
      <c r="M1613" t="s">
        <v>9</v>
      </c>
      <c r="N1613" t="s">
        <v>955</v>
      </c>
      <c r="O1613" t="s">
        <v>74</v>
      </c>
      <c r="P1613" t="s">
        <v>12</v>
      </c>
      <c r="Q1613" t="s">
        <v>19</v>
      </c>
      <c r="R1613" t="s">
        <v>3885</v>
      </c>
      <c r="S1613" t="s">
        <v>1530</v>
      </c>
      <c r="T1613" t="s">
        <v>3818</v>
      </c>
      <c r="U1613" t="s">
        <v>1638</v>
      </c>
      <c r="V1613" t="s">
        <v>1745</v>
      </c>
      <c r="W1613" t="s">
        <v>1746</v>
      </c>
      <c r="X1613" t="s">
        <v>1748</v>
      </c>
    </row>
    <row r="1614" spans="1:24" x14ac:dyDescent="0.3">
      <c r="A1614" t="s">
        <v>3421</v>
      </c>
      <c r="B1614" s="2">
        <v>45777</v>
      </c>
      <c r="C1614" t="s">
        <v>1290</v>
      </c>
      <c r="D1614" t="s">
        <v>1599</v>
      </c>
      <c r="E1614" t="s">
        <v>1735</v>
      </c>
      <c r="F1614" s="4">
        <v>1</v>
      </c>
      <c r="G1614">
        <v>905.5</v>
      </c>
      <c r="H1614">
        <v>0.28999999999999998</v>
      </c>
      <c r="I1614" t="s">
        <v>1812</v>
      </c>
      <c r="J1614">
        <v>642.90499999999997</v>
      </c>
      <c r="K1614" t="s">
        <v>3949</v>
      </c>
      <c r="L1614">
        <v>45</v>
      </c>
      <c r="M1614" t="s">
        <v>16</v>
      </c>
      <c r="N1614" t="s">
        <v>1291</v>
      </c>
      <c r="O1614" t="s">
        <v>11</v>
      </c>
      <c r="P1614" t="s">
        <v>12</v>
      </c>
      <c r="Q1614" t="s">
        <v>26</v>
      </c>
      <c r="R1614" t="s">
        <v>3862</v>
      </c>
      <c r="S1614" t="s">
        <v>1546</v>
      </c>
      <c r="T1614" t="s">
        <v>3811</v>
      </c>
      <c r="U1614" t="s">
        <v>1600</v>
      </c>
      <c r="V1614" t="s">
        <v>1736</v>
      </c>
      <c r="W1614" t="s">
        <v>1737</v>
      </c>
      <c r="X1614" t="s">
        <v>1739</v>
      </c>
    </row>
    <row r="1615" spans="1:24" x14ac:dyDescent="0.3">
      <c r="A1615" t="s">
        <v>3422</v>
      </c>
      <c r="B1615" s="2">
        <v>45523</v>
      </c>
      <c r="C1615" t="s">
        <v>660</v>
      </c>
      <c r="D1615" t="s">
        <v>1563</v>
      </c>
      <c r="E1615" t="s">
        <v>1780</v>
      </c>
      <c r="F1615" s="4">
        <v>3</v>
      </c>
      <c r="G1615">
        <v>63.19</v>
      </c>
      <c r="H1615">
        <v>0.08</v>
      </c>
      <c r="I1615" t="s">
        <v>1807</v>
      </c>
      <c r="J1615">
        <v>174.40440000000001</v>
      </c>
      <c r="K1615" t="s">
        <v>661</v>
      </c>
      <c r="L1615">
        <v>44</v>
      </c>
      <c r="M1615" t="s">
        <v>16</v>
      </c>
      <c r="N1615" t="s">
        <v>662</v>
      </c>
      <c r="O1615" t="s">
        <v>284</v>
      </c>
      <c r="P1615" t="s">
        <v>12</v>
      </c>
      <c r="Q1615" t="s">
        <v>19</v>
      </c>
      <c r="R1615" t="s">
        <v>3839</v>
      </c>
      <c r="S1615" t="s">
        <v>1541</v>
      </c>
      <c r="T1615" t="s">
        <v>3840</v>
      </c>
      <c r="U1615" t="s">
        <v>1564</v>
      </c>
      <c r="V1615" t="s">
        <v>1741</v>
      </c>
      <c r="W1615" t="s">
        <v>1742</v>
      </c>
      <c r="X1615" t="s">
        <v>1739</v>
      </c>
    </row>
    <row r="1616" spans="1:24" x14ac:dyDescent="0.3">
      <c r="A1616" t="s">
        <v>3423</v>
      </c>
      <c r="B1616" s="2">
        <v>45628</v>
      </c>
      <c r="C1616" t="s">
        <v>188</v>
      </c>
      <c r="D1616" t="s">
        <v>1671</v>
      </c>
      <c r="E1616" t="s">
        <v>1762</v>
      </c>
      <c r="F1616" s="4">
        <v>3</v>
      </c>
      <c r="G1616">
        <v>687.66</v>
      </c>
      <c r="H1616">
        <v>0.06</v>
      </c>
      <c r="I1616" t="s">
        <v>1809</v>
      </c>
      <c r="J1616">
        <v>1939.2012</v>
      </c>
      <c r="K1616" t="s">
        <v>189</v>
      </c>
      <c r="L1616">
        <v>23</v>
      </c>
      <c r="M1616" t="s">
        <v>16</v>
      </c>
      <c r="N1616" t="s">
        <v>190</v>
      </c>
      <c r="O1616" t="s">
        <v>191</v>
      </c>
      <c r="P1616" t="s">
        <v>12</v>
      </c>
      <c r="Q1616" t="s">
        <v>13</v>
      </c>
      <c r="R1616" t="s">
        <v>3903</v>
      </c>
      <c r="S1616" t="s">
        <v>1527</v>
      </c>
      <c r="T1616" t="s">
        <v>3847</v>
      </c>
      <c r="U1616" t="s">
        <v>1672</v>
      </c>
      <c r="V1616" t="s">
        <v>1763</v>
      </c>
      <c r="W1616" t="s">
        <v>1746</v>
      </c>
      <c r="X1616" t="s">
        <v>1755</v>
      </c>
    </row>
    <row r="1617" spans="1:24" x14ac:dyDescent="0.3">
      <c r="A1617" t="s">
        <v>3424</v>
      </c>
      <c r="B1617" s="2">
        <v>45742</v>
      </c>
      <c r="C1617" t="s">
        <v>705</v>
      </c>
      <c r="D1617" t="s">
        <v>1617</v>
      </c>
      <c r="E1617" t="s">
        <v>1769</v>
      </c>
      <c r="F1617" s="4">
        <v>4</v>
      </c>
      <c r="G1617">
        <v>639.05999999999995</v>
      </c>
      <c r="H1617">
        <v>0.12</v>
      </c>
      <c r="I1617" t="s">
        <v>1809</v>
      </c>
      <c r="J1617">
        <v>2249.4911999999999</v>
      </c>
      <c r="K1617" t="s">
        <v>706</v>
      </c>
      <c r="L1617">
        <v>50</v>
      </c>
      <c r="M1617" t="s">
        <v>16</v>
      </c>
      <c r="N1617" t="s">
        <v>3809</v>
      </c>
      <c r="O1617" t="s">
        <v>88</v>
      </c>
      <c r="P1617" t="s">
        <v>12</v>
      </c>
      <c r="Q1617" t="s">
        <v>13</v>
      </c>
      <c r="R1617" t="s">
        <v>3873</v>
      </c>
      <c r="S1617" t="s">
        <v>1546</v>
      </c>
      <c r="T1617" t="s">
        <v>3811</v>
      </c>
      <c r="U1617" t="s">
        <v>1618</v>
      </c>
      <c r="V1617" t="s">
        <v>1770</v>
      </c>
      <c r="W1617" t="s">
        <v>1746</v>
      </c>
      <c r="X1617" t="s">
        <v>1739</v>
      </c>
    </row>
    <row r="1618" spans="1:24" x14ac:dyDescent="0.3">
      <c r="A1618" t="s">
        <v>3425</v>
      </c>
      <c r="B1618" s="2">
        <v>45456</v>
      </c>
      <c r="C1618" t="s">
        <v>244</v>
      </c>
      <c r="D1618" t="s">
        <v>1673</v>
      </c>
      <c r="E1618" t="s">
        <v>1762</v>
      </c>
      <c r="F1618" s="4">
        <v>1</v>
      </c>
      <c r="G1618">
        <v>475.15</v>
      </c>
      <c r="H1618">
        <v>0.04</v>
      </c>
      <c r="I1618" t="s">
        <v>1812</v>
      </c>
      <c r="J1618">
        <v>456.14399999999989</v>
      </c>
      <c r="K1618" t="s">
        <v>245</v>
      </c>
      <c r="L1618">
        <v>24</v>
      </c>
      <c r="M1618" t="s">
        <v>16</v>
      </c>
      <c r="N1618" t="s">
        <v>246</v>
      </c>
      <c r="O1618" t="s">
        <v>247</v>
      </c>
      <c r="P1618" t="s">
        <v>12</v>
      </c>
      <c r="Q1618" t="s">
        <v>31</v>
      </c>
      <c r="R1618" t="s">
        <v>3904</v>
      </c>
      <c r="S1618" t="s">
        <v>1541</v>
      </c>
      <c r="T1618" t="s">
        <v>3833</v>
      </c>
      <c r="U1618" t="s">
        <v>1674</v>
      </c>
      <c r="V1618" t="s">
        <v>1763</v>
      </c>
      <c r="W1618" t="s">
        <v>1746</v>
      </c>
      <c r="X1618" t="s">
        <v>1755</v>
      </c>
    </row>
    <row r="1619" spans="1:24" x14ac:dyDescent="0.3">
      <c r="A1619" t="s">
        <v>3426</v>
      </c>
      <c r="B1619" s="2">
        <v>45534</v>
      </c>
      <c r="C1619" t="s">
        <v>619</v>
      </c>
      <c r="D1619" t="s">
        <v>1619</v>
      </c>
      <c r="E1619" t="s">
        <v>1759</v>
      </c>
      <c r="F1619" s="4">
        <v>1</v>
      </c>
      <c r="G1619">
        <v>62.38</v>
      </c>
      <c r="H1619">
        <v>0.08</v>
      </c>
      <c r="I1619" t="s">
        <v>1812</v>
      </c>
      <c r="J1619">
        <v>57.389600000000002</v>
      </c>
      <c r="K1619" t="s">
        <v>620</v>
      </c>
      <c r="L1619">
        <v>29</v>
      </c>
      <c r="M1619" t="s">
        <v>16</v>
      </c>
      <c r="N1619" t="s">
        <v>621</v>
      </c>
      <c r="O1619" t="s">
        <v>58</v>
      </c>
      <c r="P1619" t="s">
        <v>12</v>
      </c>
      <c r="Q1619" t="s">
        <v>26</v>
      </c>
      <c r="R1619" t="s">
        <v>3874</v>
      </c>
      <c r="S1619" t="s">
        <v>1549</v>
      </c>
      <c r="T1619" t="s">
        <v>3828</v>
      </c>
      <c r="U1619" t="s">
        <v>1620</v>
      </c>
      <c r="V1619" t="s">
        <v>1760</v>
      </c>
      <c r="W1619" t="s">
        <v>1737</v>
      </c>
      <c r="X1619" t="s">
        <v>1755</v>
      </c>
    </row>
    <row r="1620" spans="1:24" x14ac:dyDescent="0.3">
      <c r="A1620" t="s">
        <v>3427</v>
      </c>
      <c r="B1620" s="2">
        <v>45375</v>
      </c>
      <c r="C1620" t="s">
        <v>1097</v>
      </c>
      <c r="D1620" t="s">
        <v>1561</v>
      </c>
      <c r="E1620" t="s">
        <v>1762</v>
      </c>
      <c r="F1620" s="4">
        <v>1</v>
      </c>
      <c r="G1620">
        <v>977.02</v>
      </c>
      <c r="H1620">
        <v>0.2</v>
      </c>
      <c r="I1620" t="s">
        <v>1812</v>
      </c>
      <c r="J1620">
        <v>781.61599999999999</v>
      </c>
      <c r="K1620" t="s">
        <v>1098</v>
      </c>
      <c r="L1620">
        <v>20</v>
      </c>
      <c r="M1620" t="s">
        <v>9</v>
      </c>
      <c r="N1620" t="s">
        <v>1099</v>
      </c>
      <c r="O1620" t="s">
        <v>166</v>
      </c>
      <c r="P1620" t="s">
        <v>12</v>
      </c>
      <c r="Q1620" t="s">
        <v>31</v>
      </c>
      <c r="R1620" t="s">
        <v>3837</v>
      </c>
      <c r="S1620" t="s">
        <v>1546</v>
      </c>
      <c r="T1620" t="s">
        <v>3838</v>
      </c>
      <c r="U1620" t="s">
        <v>1562</v>
      </c>
      <c r="V1620" t="s">
        <v>1763</v>
      </c>
      <c r="W1620" t="s">
        <v>1746</v>
      </c>
      <c r="X1620" t="s">
        <v>1755</v>
      </c>
    </row>
    <row r="1621" spans="1:24" x14ac:dyDescent="0.3">
      <c r="A1621" t="s">
        <v>3428</v>
      </c>
      <c r="B1621" s="2">
        <v>45546</v>
      </c>
      <c r="C1621" t="s">
        <v>268</v>
      </c>
      <c r="D1621" t="s">
        <v>1697</v>
      </c>
      <c r="E1621" t="s">
        <v>1752</v>
      </c>
      <c r="F1621" s="4">
        <v>2</v>
      </c>
      <c r="G1621">
        <v>898.81</v>
      </c>
      <c r="H1621">
        <v>0.25</v>
      </c>
      <c r="I1621" t="s">
        <v>1807</v>
      </c>
      <c r="J1621">
        <v>1348.2149999999999</v>
      </c>
      <c r="K1621" t="s">
        <v>269</v>
      </c>
      <c r="L1621">
        <v>61</v>
      </c>
      <c r="M1621" t="s">
        <v>16</v>
      </c>
      <c r="N1621" t="s">
        <v>270</v>
      </c>
      <c r="O1621" t="s">
        <v>271</v>
      </c>
      <c r="P1621" t="s">
        <v>12</v>
      </c>
      <c r="Q1621" t="s">
        <v>26</v>
      </c>
      <c r="R1621" t="s">
        <v>3916</v>
      </c>
      <c r="S1621" t="s">
        <v>1541</v>
      </c>
      <c r="T1621" t="s">
        <v>3822</v>
      </c>
      <c r="U1621" t="s">
        <v>1698</v>
      </c>
      <c r="V1621" t="s">
        <v>1753</v>
      </c>
      <c r="W1621" t="s">
        <v>1746</v>
      </c>
      <c r="X1621" t="s">
        <v>1755</v>
      </c>
    </row>
    <row r="1622" spans="1:24" x14ac:dyDescent="0.3">
      <c r="A1622" t="s">
        <v>3429</v>
      </c>
      <c r="B1622" s="2">
        <v>45769</v>
      </c>
      <c r="C1622" t="s">
        <v>1089</v>
      </c>
      <c r="D1622" t="s">
        <v>1645</v>
      </c>
      <c r="E1622" t="s">
        <v>1749</v>
      </c>
      <c r="F1622" s="4">
        <v>2</v>
      </c>
      <c r="G1622">
        <v>422.13</v>
      </c>
      <c r="H1622">
        <v>0.28000000000000003</v>
      </c>
      <c r="I1622" t="s">
        <v>1807</v>
      </c>
      <c r="J1622">
        <v>607.86720000000003</v>
      </c>
      <c r="K1622" t="s">
        <v>1090</v>
      </c>
      <c r="L1622">
        <v>52</v>
      </c>
      <c r="M1622" t="s">
        <v>16</v>
      </c>
      <c r="N1622" t="s">
        <v>1091</v>
      </c>
      <c r="O1622" t="s">
        <v>70</v>
      </c>
      <c r="P1622" t="s">
        <v>12</v>
      </c>
      <c r="Q1622" t="s">
        <v>26</v>
      </c>
      <c r="R1622" t="s">
        <v>3889</v>
      </c>
      <c r="S1622" t="s">
        <v>1549</v>
      </c>
      <c r="T1622" t="s">
        <v>3828</v>
      </c>
      <c r="U1622" t="s">
        <v>1646</v>
      </c>
      <c r="V1622" t="s">
        <v>1750</v>
      </c>
      <c r="W1622" t="s">
        <v>1742</v>
      </c>
      <c r="X1622" t="s">
        <v>1748</v>
      </c>
    </row>
    <row r="1623" spans="1:24" x14ac:dyDescent="0.3">
      <c r="A1623" t="s">
        <v>3430</v>
      </c>
      <c r="B1623" s="2">
        <v>45524</v>
      </c>
      <c r="C1623" t="s">
        <v>188</v>
      </c>
      <c r="D1623" t="s">
        <v>1599</v>
      </c>
      <c r="E1623" t="s">
        <v>1775</v>
      </c>
      <c r="F1623" s="4">
        <v>1</v>
      </c>
      <c r="G1623">
        <v>324.56</v>
      </c>
      <c r="H1623">
        <v>0.03</v>
      </c>
      <c r="I1623" t="s">
        <v>1812</v>
      </c>
      <c r="J1623">
        <v>314.82319999999999</v>
      </c>
      <c r="K1623" t="s">
        <v>189</v>
      </c>
      <c r="L1623">
        <v>23</v>
      </c>
      <c r="M1623" t="s">
        <v>16</v>
      </c>
      <c r="N1623" t="s">
        <v>190</v>
      </c>
      <c r="O1623" t="s">
        <v>191</v>
      </c>
      <c r="P1623" t="s">
        <v>12</v>
      </c>
      <c r="Q1623" t="s">
        <v>13</v>
      </c>
      <c r="R1623" t="s">
        <v>3862</v>
      </c>
      <c r="S1623" t="s">
        <v>1546</v>
      </c>
      <c r="T1623" t="s">
        <v>3811</v>
      </c>
      <c r="U1623" t="s">
        <v>1600</v>
      </c>
      <c r="V1623" t="s">
        <v>1741</v>
      </c>
      <c r="W1623" t="s">
        <v>1742</v>
      </c>
      <c r="X1623" t="s">
        <v>1739</v>
      </c>
    </row>
    <row r="1624" spans="1:24" x14ac:dyDescent="0.3">
      <c r="A1624" t="s">
        <v>3431</v>
      </c>
      <c r="B1624" s="2">
        <v>45531</v>
      </c>
      <c r="C1624" t="s">
        <v>1427</v>
      </c>
      <c r="D1624" t="s">
        <v>1641</v>
      </c>
      <c r="E1624" t="s">
        <v>1787</v>
      </c>
      <c r="F1624" s="4">
        <v>4</v>
      </c>
      <c r="G1624">
        <v>570.38</v>
      </c>
      <c r="H1624">
        <v>0.26</v>
      </c>
      <c r="I1624" t="s">
        <v>1809</v>
      </c>
      <c r="J1624">
        <v>1688.3248000000001</v>
      </c>
      <c r="K1624" t="s">
        <v>1428</v>
      </c>
      <c r="L1624">
        <v>19</v>
      </c>
      <c r="M1624" t="s">
        <v>9</v>
      </c>
      <c r="N1624" t="s">
        <v>1429</v>
      </c>
      <c r="O1624" t="s">
        <v>170</v>
      </c>
      <c r="P1624" t="s">
        <v>12</v>
      </c>
      <c r="Q1624" t="s">
        <v>26</v>
      </c>
      <c r="R1624" t="s">
        <v>3887</v>
      </c>
      <c r="S1624" t="s">
        <v>1527</v>
      </c>
      <c r="T1624" t="s">
        <v>3836</v>
      </c>
      <c r="U1624" t="s">
        <v>1642</v>
      </c>
      <c r="V1624" t="s">
        <v>1741</v>
      </c>
      <c r="W1624" t="s">
        <v>1742</v>
      </c>
      <c r="X1624" t="s">
        <v>1739</v>
      </c>
    </row>
    <row r="1625" spans="1:24" x14ac:dyDescent="0.3">
      <c r="A1625" t="s">
        <v>3432</v>
      </c>
      <c r="B1625" s="2">
        <v>45479</v>
      </c>
      <c r="C1625" t="s">
        <v>1216</v>
      </c>
      <c r="D1625" t="s">
        <v>1599</v>
      </c>
      <c r="E1625" t="s">
        <v>1784</v>
      </c>
      <c r="F1625" s="4">
        <v>2</v>
      </c>
      <c r="G1625">
        <v>223.73</v>
      </c>
      <c r="H1625">
        <v>0.11</v>
      </c>
      <c r="I1625" t="s">
        <v>1809</v>
      </c>
      <c r="J1625">
        <v>398.23939999999999</v>
      </c>
      <c r="K1625" t="s">
        <v>1217</v>
      </c>
      <c r="L1625">
        <v>50</v>
      </c>
      <c r="M1625" t="s">
        <v>9</v>
      </c>
      <c r="N1625" t="s">
        <v>1218</v>
      </c>
      <c r="O1625" t="s">
        <v>166</v>
      </c>
      <c r="P1625" t="s">
        <v>12</v>
      </c>
      <c r="Q1625" t="s">
        <v>26</v>
      </c>
      <c r="R1625" t="s">
        <v>3862</v>
      </c>
      <c r="S1625" t="s">
        <v>1546</v>
      </c>
      <c r="T1625" t="s">
        <v>3811</v>
      </c>
      <c r="U1625" t="s">
        <v>1600</v>
      </c>
      <c r="V1625" t="s">
        <v>1741</v>
      </c>
      <c r="W1625" t="s">
        <v>1742</v>
      </c>
      <c r="X1625" t="s">
        <v>1739</v>
      </c>
    </row>
    <row r="1626" spans="1:24" x14ac:dyDescent="0.3">
      <c r="A1626" t="s">
        <v>3433</v>
      </c>
      <c r="B1626" s="2">
        <v>45868</v>
      </c>
      <c r="C1626" t="s">
        <v>1089</v>
      </c>
      <c r="D1626" t="s">
        <v>1703</v>
      </c>
      <c r="E1626" t="s">
        <v>1787</v>
      </c>
      <c r="F1626" s="4">
        <v>4</v>
      </c>
      <c r="G1626">
        <v>164.93</v>
      </c>
      <c r="H1626">
        <v>0.11</v>
      </c>
      <c r="I1626" t="s">
        <v>1807</v>
      </c>
      <c r="J1626">
        <v>587.1508</v>
      </c>
      <c r="K1626" t="s">
        <v>1090</v>
      </c>
      <c r="L1626">
        <v>52</v>
      </c>
      <c r="M1626" t="s">
        <v>16</v>
      </c>
      <c r="N1626" t="s">
        <v>1091</v>
      </c>
      <c r="O1626" t="s">
        <v>70</v>
      </c>
      <c r="P1626" t="s">
        <v>12</v>
      </c>
      <c r="Q1626" t="s">
        <v>26</v>
      </c>
      <c r="R1626" t="s">
        <v>3919</v>
      </c>
      <c r="S1626" t="s">
        <v>1527</v>
      </c>
      <c r="T1626" t="s">
        <v>3830</v>
      </c>
      <c r="U1626" t="s">
        <v>1704</v>
      </c>
      <c r="V1626" t="s">
        <v>1741</v>
      </c>
      <c r="W1626" t="s">
        <v>1742</v>
      </c>
      <c r="X1626" t="s">
        <v>1739</v>
      </c>
    </row>
    <row r="1627" spans="1:24" x14ac:dyDescent="0.3">
      <c r="A1627" t="s">
        <v>3434</v>
      </c>
      <c r="B1627" s="2">
        <v>45569</v>
      </c>
      <c r="C1627" t="s">
        <v>791</v>
      </c>
      <c r="D1627" t="s">
        <v>1561</v>
      </c>
      <c r="E1627" t="s">
        <v>1762</v>
      </c>
      <c r="F1627" s="4">
        <v>3</v>
      </c>
      <c r="G1627">
        <v>326.66000000000003</v>
      </c>
      <c r="H1627">
        <v>0.28000000000000003</v>
      </c>
      <c r="I1627" t="s">
        <v>1812</v>
      </c>
      <c r="J1627">
        <v>705.5856</v>
      </c>
      <c r="K1627" t="s">
        <v>792</v>
      </c>
      <c r="L1627">
        <v>48</v>
      </c>
      <c r="M1627" t="s">
        <v>9</v>
      </c>
      <c r="N1627" t="s">
        <v>793</v>
      </c>
      <c r="O1627" t="s">
        <v>58</v>
      </c>
      <c r="P1627" t="s">
        <v>12</v>
      </c>
      <c r="Q1627" t="s">
        <v>13</v>
      </c>
      <c r="R1627" t="s">
        <v>3837</v>
      </c>
      <c r="S1627" t="s">
        <v>1546</v>
      </c>
      <c r="T1627" t="s">
        <v>3838</v>
      </c>
      <c r="U1627" t="s">
        <v>1562</v>
      </c>
      <c r="V1627" t="s">
        <v>1763</v>
      </c>
      <c r="W1627" t="s">
        <v>1746</v>
      </c>
      <c r="X1627" t="s">
        <v>1755</v>
      </c>
    </row>
    <row r="1628" spans="1:24" x14ac:dyDescent="0.3">
      <c r="A1628" t="s">
        <v>3435</v>
      </c>
      <c r="B1628" s="2">
        <v>45382</v>
      </c>
      <c r="C1628" t="s">
        <v>595</v>
      </c>
      <c r="D1628" t="s">
        <v>1529</v>
      </c>
      <c r="E1628" t="s">
        <v>1784</v>
      </c>
      <c r="F1628" s="4">
        <v>2</v>
      </c>
      <c r="G1628">
        <v>462.93</v>
      </c>
      <c r="H1628">
        <v>0.17</v>
      </c>
      <c r="I1628" t="s">
        <v>1809</v>
      </c>
      <c r="J1628">
        <v>768.46379999999999</v>
      </c>
      <c r="K1628" t="s">
        <v>596</v>
      </c>
      <c r="L1628">
        <v>18</v>
      </c>
      <c r="M1628" t="s">
        <v>9</v>
      </c>
      <c r="N1628" t="s">
        <v>597</v>
      </c>
      <c r="O1628" t="s">
        <v>96</v>
      </c>
      <c r="P1628" t="s">
        <v>12</v>
      </c>
      <c r="Q1628" t="s">
        <v>31</v>
      </c>
      <c r="R1628" t="s">
        <v>3812</v>
      </c>
      <c r="S1628" t="s">
        <v>1530</v>
      </c>
      <c r="T1628" t="s">
        <v>3813</v>
      </c>
      <c r="U1628" t="s">
        <v>1531</v>
      </c>
      <c r="V1628" t="s">
        <v>1741</v>
      </c>
      <c r="W1628" t="s">
        <v>1742</v>
      </c>
      <c r="X1628" t="s">
        <v>1739</v>
      </c>
    </row>
    <row r="1629" spans="1:24" x14ac:dyDescent="0.3">
      <c r="A1629" t="s">
        <v>3436</v>
      </c>
      <c r="B1629" s="2">
        <v>45885</v>
      </c>
      <c r="C1629" t="s">
        <v>491</v>
      </c>
      <c r="D1629" t="s">
        <v>1526</v>
      </c>
      <c r="E1629" t="s">
        <v>1787</v>
      </c>
      <c r="F1629" s="4">
        <v>3</v>
      </c>
      <c r="G1629">
        <v>60.26</v>
      </c>
      <c r="H1629">
        <v>0.04</v>
      </c>
      <c r="I1629" t="s">
        <v>1807</v>
      </c>
      <c r="J1629">
        <v>173.5488</v>
      </c>
      <c r="K1629" t="s">
        <v>492</v>
      </c>
      <c r="L1629">
        <v>42</v>
      </c>
      <c r="M1629" t="s">
        <v>16</v>
      </c>
      <c r="N1629" t="s">
        <v>493</v>
      </c>
      <c r="O1629" t="s">
        <v>162</v>
      </c>
      <c r="P1629" t="s">
        <v>12</v>
      </c>
      <c r="Q1629" t="s">
        <v>19</v>
      </c>
      <c r="R1629" t="s">
        <v>3810</v>
      </c>
      <c r="S1629" t="s">
        <v>1546</v>
      </c>
      <c r="T1629" t="s">
        <v>3811</v>
      </c>
      <c r="U1629" t="s">
        <v>1528</v>
      </c>
      <c r="V1629" t="s">
        <v>1741</v>
      </c>
      <c r="W1629" t="s">
        <v>1742</v>
      </c>
      <c r="X1629" t="s">
        <v>1739</v>
      </c>
    </row>
    <row r="1630" spans="1:24" x14ac:dyDescent="0.3">
      <c r="A1630" t="s">
        <v>3437</v>
      </c>
      <c r="B1630" s="2">
        <v>45829</v>
      </c>
      <c r="C1630" t="s">
        <v>258</v>
      </c>
      <c r="D1630" t="s">
        <v>1599</v>
      </c>
      <c r="E1630" t="s">
        <v>1769</v>
      </c>
      <c r="F1630" s="4">
        <v>3</v>
      </c>
      <c r="G1630">
        <v>109.5</v>
      </c>
      <c r="H1630">
        <v>0.06</v>
      </c>
      <c r="I1630" t="s">
        <v>1812</v>
      </c>
      <c r="J1630">
        <v>308.79000000000002</v>
      </c>
      <c r="K1630" t="s">
        <v>259</v>
      </c>
      <c r="L1630">
        <v>39</v>
      </c>
      <c r="M1630" t="s">
        <v>16</v>
      </c>
      <c r="N1630" t="s">
        <v>260</v>
      </c>
      <c r="O1630" t="s">
        <v>230</v>
      </c>
      <c r="P1630" t="s">
        <v>12</v>
      </c>
      <c r="Q1630" t="s">
        <v>13</v>
      </c>
      <c r="R1630" t="s">
        <v>3862</v>
      </c>
      <c r="S1630" t="s">
        <v>1546</v>
      </c>
      <c r="T1630" t="s">
        <v>3811</v>
      </c>
      <c r="U1630" t="s">
        <v>1600</v>
      </c>
      <c r="V1630" t="s">
        <v>1770</v>
      </c>
      <c r="W1630" t="s">
        <v>1746</v>
      </c>
      <c r="X1630" t="s">
        <v>1739</v>
      </c>
    </row>
    <row r="1631" spans="1:24" x14ac:dyDescent="0.3">
      <c r="A1631" t="s">
        <v>3438</v>
      </c>
      <c r="B1631" s="2">
        <v>45721</v>
      </c>
      <c r="C1631" t="s">
        <v>1180</v>
      </c>
      <c r="D1631" t="s">
        <v>1671</v>
      </c>
      <c r="E1631" t="s">
        <v>1787</v>
      </c>
      <c r="F1631" s="4">
        <v>1</v>
      </c>
      <c r="G1631">
        <v>505.83</v>
      </c>
      <c r="H1631">
        <v>0.14000000000000001</v>
      </c>
      <c r="I1631" t="s">
        <v>1812</v>
      </c>
      <c r="J1631">
        <v>435.0138</v>
      </c>
      <c r="K1631" t="s">
        <v>1181</v>
      </c>
      <c r="L1631">
        <v>27</v>
      </c>
      <c r="M1631" t="s">
        <v>16</v>
      </c>
      <c r="N1631" t="s">
        <v>1182</v>
      </c>
      <c r="O1631" t="s">
        <v>30</v>
      </c>
      <c r="P1631" t="s">
        <v>12</v>
      </c>
      <c r="Q1631" t="s">
        <v>13</v>
      </c>
      <c r="R1631" t="s">
        <v>3903</v>
      </c>
      <c r="S1631" t="s">
        <v>1527</v>
      </c>
      <c r="T1631" t="s">
        <v>3847</v>
      </c>
      <c r="U1631" t="s">
        <v>1672</v>
      </c>
      <c r="V1631" t="s">
        <v>1741</v>
      </c>
      <c r="W1631" t="s">
        <v>1742</v>
      </c>
      <c r="X1631" t="s">
        <v>1739</v>
      </c>
    </row>
    <row r="1632" spans="1:24" x14ac:dyDescent="0.3">
      <c r="A1632" t="s">
        <v>3439</v>
      </c>
      <c r="B1632" s="2">
        <v>45511</v>
      </c>
      <c r="C1632" t="s">
        <v>539</v>
      </c>
      <c r="D1632" t="s">
        <v>1727</v>
      </c>
      <c r="E1632" t="s">
        <v>1772</v>
      </c>
      <c r="F1632" s="4">
        <v>2</v>
      </c>
      <c r="G1632">
        <v>443.15</v>
      </c>
      <c r="H1632">
        <v>0.27</v>
      </c>
      <c r="I1632" t="s">
        <v>1809</v>
      </c>
      <c r="J1632">
        <v>646.99899999999991</v>
      </c>
      <c r="K1632" t="s">
        <v>540</v>
      </c>
      <c r="L1632">
        <v>39</v>
      </c>
      <c r="M1632" t="s">
        <v>16</v>
      </c>
      <c r="N1632" t="s">
        <v>541</v>
      </c>
      <c r="O1632" t="s">
        <v>191</v>
      </c>
      <c r="P1632" t="s">
        <v>12</v>
      </c>
      <c r="Q1632" t="s">
        <v>26</v>
      </c>
      <c r="R1632" t="s">
        <v>3931</v>
      </c>
      <c r="S1632" t="s">
        <v>1546</v>
      </c>
      <c r="T1632" t="s">
        <v>3826</v>
      </c>
      <c r="U1632" t="s">
        <v>1728</v>
      </c>
      <c r="V1632" t="s">
        <v>1741</v>
      </c>
      <c r="W1632" t="s">
        <v>1742</v>
      </c>
      <c r="X1632" t="s">
        <v>1739</v>
      </c>
    </row>
    <row r="1633" spans="1:24" x14ac:dyDescent="0.3">
      <c r="A1633" t="s">
        <v>3440</v>
      </c>
      <c r="B1633" s="2">
        <v>45739</v>
      </c>
      <c r="C1633" t="s">
        <v>1510</v>
      </c>
      <c r="D1633" t="s">
        <v>1543</v>
      </c>
      <c r="E1633" t="s">
        <v>1762</v>
      </c>
      <c r="F1633" s="4">
        <v>2</v>
      </c>
      <c r="G1633">
        <v>784.26</v>
      </c>
      <c r="H1633">
        <v>0.23</v>
      </c>
      <c r="I1633" t="s">
        <v>1809</v>
      </c>
      <c r="J1633">
        <v>1207.7603999999999</v>
      </c>
      <c r="K1633" t="s">
        <v>1511</v>
      </c>
      <c r="L1633">
        <v>35</v>
      </c>
      <c r="M1633" t="s">
        <v>9</v>
      </c>
      <c r="N1633" t="s">
        <v>1512</v>
      </c>
      <c r="O1633" t="s">
        <v>58</v>
      </c>
      <c r="P1633" t="s">
        <v>12</v>
      </c>
      <c r="Q1633" t="s">
        <v>13</v>
      </c>
      <c r="R1633" t="s">
        <v>3902</v>
      </c>
      <c r="S1633" t="s">
        <v>1530</v>
      </c>
      <c r="T1633" t="s">
        <v>3818</v>
      </c>
      <c r="U1633" t="s">
        <v>1670</v>
      </c>
      <c r="V1633" t="s">
        <v>1763</v>
      </c>
      <c r="W1633" t="s">
        <v>1746</v>
      </c>
      <c r="X1633" t="s">
        <v>1755</v>
      </c>
    </row>
    <row r="1634" spans="1:24" x14ac:dyDescent="0.3">
      <c r="A1634" t="s">
        <v>3441</v>
      </c>
      <c r="B1634" s="2">
        <v>45533</v>
      </c>
      <c r="C1634" t="s">
        <v>1389</v>
      </c>
      <c r="D1634" t="s">
        <v>1609</v>
      </c>
      <c r="E1634" t="s">
        <v>1775</v>
      </c>
      <c r="F1634" s="4">
        <v>3</v>
      </c>
      <c r="G1634">
        <v>590.30999999999995</v>
      </c>
      <c r="H1634">
        <v>0.17</v>
      </c>
      <c r="I1634" t="s">
        <v>1809</v>
      </c>
      <c r="J1634">
        <v>1469.8719000000001</v>
      </c>
      <c r="K1634" t="s">
        <v>1390</v>
      </c>
      <c r="L1634">
        <v>59</v>
      </c>
      <c r="M1634" t="s">
        <v>16</v>
      </c>
      <c r="N1634" t="s">
        <v>1391</v>
      </c>
      <c r="O1634" t="s">
        <v>191</v>
      </c>
      <c r="P1634" t="s">
        <v>12</v>
      </c>
      <c r="Q1634" t="s">
        <v>13</v>
      </c>
      <c r="R1634" t="s">
        <v>3868</v>
      </c>
      <c r="S1634" t="s">
        <v>1546</v>
      </c>
      <c r="T1634" t="s">
        <v>3869</v>
      </c>
      <c r="U1634" t="s">
        <v>1610</v>
      </c>
      <c r="V1634" t="s">
        <v>1741</v>
      </c>
      <c r="W1634" t="s">
        <v>1742</v>
      </c>
      <c r="X1634" t="s">
        <v>1739</v>
      </c>
    </row>
    <row r="1635" spans="1:24" x14ac:dyDescent="0.3">
      <c r="A1635" t="s">
        <v>3442</v>
      </c>
      <c r="B1635" s="2">
        <v>45553</v>
      </c>
      <c r="C1635" t="s">
        <v>412</v>
      </c>
      <c r="D1635" t="s">
        <v>1669</v>
      </c>
      <c r="E1635" t="s">
        <v>1787</v>
      </c>
      <c r="F1635" s="4">
        <v>1</v>
      </c>
      <c r="G1635">
        <v>696.13</v>
      </c>
      <c r="H1635">
        <v>0.06</v>
      </c>
      <c r="I1635" t="s">
        <v>1812</v>
      </c>
      <c r="J1635">
        <v>654.36219999999992</v>
      </c>
      <c r="K1635" t="s">
        <v>413</v>
      </c>
      <c r="L1635">
        <v>62</v>
      </c>
      <c r="M1635" t="s">
        <v>9</v>
      </c>
      <c r="N1635" t="s">
        <v>3955</v>
      </c>
      <c r="O1635" t="s">
        <v>51</v>
      </c>
      <c r="P1635" t="s">
        <v>12</v>
      </c>
      <c r="Q1635" t="s">
        <v>19</v>
      </c>
      <c r="R1635" t="s">
        <v>3902</v>
      </c>
      <c r="S1635" t="s">
        <v>1530</v>
      </c>
      <c r="T1635" t="s">
        <v>3818</v>
      </c>
      <c r="U1635" t="s">
        <v>1670</v>
      </c>
      <c r="V1635" t="s">
        <v>1741</v>
      </c>
      <c r="W1635" t="s">
        <v>1742</v>
      </c>
      <c r="X1635" t="s">
        <v>1739</v>
      </c>
    </row>
    <row r="1636" spans="1:24" x14ac:dyDescent="0.3">
      <c r="A1636" t="s">
        <v>3443</v>
      </c>
      <c r="B1636" s="2">
        <v>45341</v>
      </c>
      <c r="C1636" t="s">
        <v>364</v>
      </c>
      <c r="D1636" t="s">
        <v>1633</v>
      </c>
      <c r="E1636" t="s">
        <v>1759</v>
      </c>
      <c r="F1636" s="4">
        <v>4</v>
      </c>
      <c r="G1636">
        <v>194.39</v>
      </c>
      <c r="H1636">
        <v>0.25</v>
      </c>
      <c r="I1636" t="s">
        <v>1807</v>
      </c>
      <c r="J1636">
        <v>583.16999999999996</v>
      </c>
      <c r="K1636" t="s">
        <v>365</v>
      </c>
      <c r="L1636">
        <v>50</v>
      </c>
      <c r="M1636" t="s">
        <v>16</v>
      </c>
      <c r="N1636" t="s">
        <v>366</v>
      </c>
      <c r="O1636" t="s">
        <v>81</v>
      </c>
      <c r="P1636" t="s">
        <v>12</v>
      </c>
      <c r="Q1636" t="s">
        <v>31</v>
      </c>
      <c r="R1636" t="s">
        <v>3883</v>
      </c>
      <c r="S1636" t="s">
        <v>1546</v>
      </c>
      <c r="T1636" t="s">
        <v>3820</v>
      </c>
      <c r="U1636" t="s">
        <v>1634</v>
      </c>
      <c r="V1636" t="s">
        <v>1760</v>
      </c>
      <c r="W1636" t="s">
        <v>1737</v>
      </c>
      <c r="X1636" t="s">
        <v>1755</v>
      </c>
    </row>
    <row r="1637" spans="1:24" x14ac:dyDescent="0.3">
      <c r="A1637" t="s">
        <v>3444</v>
      </c>
      <c r="B1637" s="2">
        <v>45430</v>
      </c>
      <c r="C1637" t="s">
        <v>1027</v>
      </c>
      <c r="D1637" t="s">
        <v>1597</v>
      </c>
      <c r="E1637" t="s">
        <v>1740</v>
      </c>
      <c r="F1637" s="4">
        <v>1</v>
      </c>
      <c r="G1637">
        <v>339.7</v>
      </c>
      <c r="H1637">
        <v>0.1</v>
      </c>
      <c r="I1637" t="s">
        <v>1807</v>
      </c>
      <c r="J1637">
        <v>305.73</v>
      </c>
      <c r="K1637" t="s">
        <v>1028</v>
      </c>
      <c r="L1637">
        <v>38</v>
      </c>
      <c r="M1637" t="s">
        <v>16</v>
      </c>
      <c r="N1637" t="s">
        <v>1029</v>
      </c>
      <c r="O1637" t="s">
        <v>191</v>
      </c>
      <c r="P1637" t="s">
        <v>12</v>
      </c>
      <c r="Q1637" t="s">
        <v>19</v>
      </c>
      <c r="R1637" t="s">
        <v>3861</v>
      </c>
      <c r="S1637" t="s">
        <v>1527</v>
      </c>
      <c r="T1637" t="s">
        <v>3836</v>
      </c>
      <c r="U1637" t="s">
        <v>1598</v>
      </c>
      <c r="V1637" t="s">
        <v>1741</v>
      </c>
      <c r="W1637" t="s">
        <v>1742</v>
      </c>
      <c r="X1637" t="s">
        <v>1739</v>
      </c>
    </row>
    <row r="1638" spans="1:24" x14ac:dyDescent="0.3">
      <c r="A1638" t="s">
        <v>3445</v>
      </c>
      <c r="B1638" s="2">
        <v>45912</v>
      </c>
      <c r="C1638" t="s">
        <v>182</v>
      </c>
      <c r="D1638" t="s">
        <v>1667</v>
      </c>
      <c r="E1638" t="s">
        <v>1780</v>
      </c>
      <c r="F1638" s="4">
        <v>4</v>
      </c>
      <c r="G1638">
        <v>463.16</v>
      </c>
      <c r="H1638">
        <v>0.27</v>
      </c>
      <c r="I1638" t="s">
        <v>1809</v>
      </c>
      <c r="J1638">
        <v>1352.4272000000001</v>
      </c>
      <c r="K1638" t="s">
        <v>183</v>
      </c>
      <c r="L1638">
        <v>45</v>
      </c>
      <c r="M1638" t="s">
        <v>16</v>
      </c>
      <c r="N1638" t="s">
        <v>184</v>
      </c>
      <c r="O1638" t="s">
        <v>11</v>
      </c>
      <c r="P1638" t="s">
        <v>12</v>
      </c>
      <c r="Q1638" t="s">
        <v>19</v>
      </c>
      <c r="R1638" t="s">
        <v>3900</v>
      </c>
      <c r="S1638" t="s">
        <v>1527</v>
      </c>
      <c r="T1638" t="s">
        <v>3901</v>
      </c>
      <c r="U1638" t="s">
        <v>1668</v>
      </c>
      <c r="V1638" t="s">
        <v>1741</v>
      </c>
      <c r="W1638" t="s">
        <v>1742</v>
      </c>
      <c r="X1638" t="s">
        <v>1739</v>
      </c>
    </row>
    <row r="1639" spans="1:24" x14ac:dyDescent="0.3">
      <c r="A1639" t="s">
        <v>3446</v>
      </c>
      <c r="B1639" s="2">
        <v>45709</v>
      </c>
      <c r="C1639" t="s">
        <v>373</v>
      </c>
      <c r="D1639" t="s">
        <v>1538</v>
      </c>
      <c r="E1639" t="s">
        <v>1772</v>
      </c>
      <c r="F1639" s="4">
        <v>2</v>
      </c>
      <c r="G1639">
        <v>824.91</v>
      </c>
      <c r="H1639">
        <v>0.09</v>
      </c>
      <c r="I1639" t="s">
        <v>1807</v>
      </c>
      <c r="J1639">
        <v>1501.3362</v>
      </c>
      <c r="K1639" t="s">
        <v>374</v>
      </c>
      <c r="L1639">
        <v>38</v>
      </c>
      <c r="M1639" t="s">
        <v>9</v>
      </c>
      <c r="N1639" t="s">
        <v>375</v>
      </c>
      <c r="O1639" t="s">
        <v>18</v>
      </c>
      <c r="P1639" t="s">
        <v>12</v>
      </c>
      <c r="Q1639" t="s">
        <v>19</v>
      </c>
      <c r="R1639" t="s">
        <v>3880</v>
      </c>
      <c r="S1639" t="s">
        <v>1541</v>
      </c>
      <c r="T1639" t="s">
        <v>3881</v>
      </c>
      <c r="U1639" t="s">
        <v>1630</v>
      </c>
      <c r="V1639" t="s">
        <v>1741</v>
      </c>
      <c r="W1639" t="s">
        <v>1742</v>
      </c>
      <c r="X1639" t="s">
        <v>1739</v>
      </c>
    </row>
    <row r="1640" spans="1:24" x14ac:dyDescent="0.3">
      <c r="A1640" t="s">
        <v>3447</v>
      </c>
      <c r="B1640" s="2">
        <v>45520</v>
      </c>
      <c r="C1640" t="s">
        <v>255</v>
      </c>
      <c r="D1640" t="s">
        <v>1538</v>
      </c>
      <c r="E1640" t="s">
        <v>1744</v>
      </c>
      <c r="F1640" s="4">
        <v>4</v>
      </c>
      <c r="G1640">
        <v>796.89</v>
      </c>
      <c r="H1640">
        <v>0.17</v>
      </c>
      <c r="I1640" t="s">
        <v>1807</v>
      </c>
      <c r="J1640">
        <v>2645.6747999999998</v>
      </c>
      <c r="K1640" t="s">
        <v>256</v>
      </c>
      <c r="L1640">
        <v>61</v>
      </c>
      <c r="M1640" t="s">
        <v>16</v>
      </c>
      <c r="N1640" t="s">
        <v>257</v>
      </c>
      <c r="O1640" t="s">
        <v>230</v>
      </c>
      <c r="P1640" t="s">
        <v>12</v>
      </c>
      <c r="Q1640" t="s">
        <v>13</v>
      </c>
      <c r="R1640" t="s">
        <v>3880</v>
      </c>
      <c r="S1640" t="s">
        <v>1541</v>
      </c>
      <c r="T1640" t="s">
        <v>3881</v>
      </c>
      <c r="U1640" t="s">
        <v>1630</v>
      </c>
      <c r="V1640" t="s">
        <v>1745</v>
      </c>
      <c r="W1640" t="s">
        <v>1746</v>
      </c>
      <c r="X1640" t="s">
        <v>1748</v>
      </c>
    </row>
    <row r="1641" spans="1:24" x14ac:dyDescent="0.3">
      <c r="A1641" t="s">
        <v>3448</v>
      </c>
      <c r="B1641" s="2">
        <v>45478</v>
      </c>
      <c r="C1641" t="s">
        <v>764</v>
      </c>
      <c r="D1641" t="s">
        <v>1583</v>
      </c>
      <c r="E1641" t="s">
        <v>1790</v>
      </c>
      <c r="F1641" s="4">
        <v>3</v>
      </c>
      <c r="G1641">
        <v>543.92999999999995</v>
      </c>
      <c r="H1641">
        <v>0.3</v>
      </c>
      <c r="I1641" t="s">
        <v>1812</v>
      </c>
      <c r="J1641">
        <v>1142.2529999999999</v>
      </c>
      <c r="K1641" t="s">
        <v>765</v>
      </c>
      <c r="L1641">
        <v>31</v>
      </c>
      <c r="M1641" t="s">
        <v>9</v>
      </c>
      <c r="N1641" t="s">
        <v>766</v>
      </c>
      <c r="O1641" t="s">
        <v>155</v>
      </c>
      <c r="P1641" t="s">
        <v>12</v>
      </c>
      <c r="Q1641" t="s">
        <v>19</v>
      </c>
      <c r="R1641" t="s">
        <v>3853</v>
      </c>
      <c r="S1641" t="s">
        <v>1546</v>
      </c>
      <c r="T1641" t="s">
        <v>3826</v>
      </c>
      <c r="U1641" t="s">
        <v>1584</v>
      </c>
      <c r="V1641" t="s">
        <v>1741</v>
      </c>
      <c r="W1641" t="s">
        <v>1742</v>
      </c>
      <c r="X1641" t="s">
        <v>1739</v>
      </c>
    </row>
    <row r="1642" spans="1:24" x14ac:dyDescent="0.3">
      <c r="A1642" t="s">
        <v>3449</v>
      </c>
      <c r="B1642" s="2">
        <v>45496</v>
      </c>
      <c r="C1642" t="s">
        <v>568</v>
      </c>
      <c r="D1642" t="s">
        <v>1559</v>
      </c>
      <c r="E1642" t="s">
        <v>1762</v>
      </c>
      <c r="F1642" s="4">
        <v>2</v>
      </c>
      <c r="G1642">
        <v>44.65</v>
      </c>
      <c r="H1642">
        <v>0.03</v>
      </c>
      <c r="I1642" t="s">
        <v>1809</v>
      </c>
      <c r="J1642">
        <v>86.620999999999995</v>
      </c>
      <c r="K1642" t="s">
        <v>569</v>
      </c>
      <c r="L1642">
        <v>26</v>
      </c>
      <c r="M1642" t="s">
        <v>16</v>
      </c>
      <c r="N1642" t="s">
        <v>393</v>
      </c>
      <c r="O1642" t="s">
        <v>264</v>
      </c>
      <c r="P1642" t="s">
        <v>12</v>
      </c>
      <c r="Q1642" t="s">
        <v>19</v>
      </c>
      <c r="R1642" t="s">
        <v>3835</v>
      </c>
      <c r="S1642" t="s">
        <v>1527</v>
      </c>
      <c r="T1642" t="s">
        <v>3836</v>
      </c>
      <c r="U1642" t="s">
        <v>1560</v>
      </c>
      <c r="V1642" t="s">
        <v>1763</v>
      </c>
      <c r="W1642" t="s">
        <v>1746</v>
      </c>
      <c r="X1642" t="s">
        <v>1755</v>
      </c>
    </row>
    <row r="1643" spans="1:24" x14ac:dyDescent="0.3">
      <c r="A1643" t="s">
        <v>3450</v>
      </c>
      <c r="B1643" s="2">
        <v>45742</v>
      </c>
      <c r="C1643" t="s">
        <v>794</v>
      </c>
      <c r="D1643" t="s">
        <v>1643</v>
      </c>
      <c r="E1643" t="s">
        <v>1735</v>
      </c>
      <c r="F1643" s="4">
        <v>4</v>
      </c>
      <c r="G1643">
        <v>827.39</v>
      </c>
      <c r="H1643">
        <v>0.06</v>
      </c>
      <c r="I1643" t="s">
        <v>1812</v>
      </c>
      <c r="J1643">
        <v>3110.9863999999998</v>
      </c>
      <c r="K1643" t="s">
        <v>795</v>
      </c>
      <c r="L1643">
        <v>64</v>
      </c>
      <c r="M1643" t="s">
        <v>9</v>
      </c>
      <c r="N1643" t="s">
        <v>796</v>
      </c>
      <c r="O1643" t="s">
        <v>92</v>
      </c>
      <c r="P1643" t="s">
        <v>12</v>
      </c>
      <c r="Q1643" t="s">
        <v>19</v>
      </c>
      <c r="R1643" t="s">
        <v>3888</v>
      </c>
      <c r="S1643" t="s">
        <v>1527</v>
      </c>
      <c r="T1643" t="s">
        <v>3836</v>
      </c>
      <c r="U1643" t="s">
        <v>1644</v>
      </c>
      <c r="V1643" t="s">
        <v>1736</v>
      </c>
      <c r="W1643" t="s">
        <v>1737</v>
      </c>
      <c r="X1643" t="s">
        <v>1739</v>
      </c>
    </row>
    <row r="1644" spans="1:24" x14ac:dyDescent="0.3">
      <c r="A1644" t="s">
        <v>3451</v>
      </c>
      <c r="B1644" s="2">
        <v>45301</v>
      </c>
      <c r="C1644" t="s">
        <v>962</v>
      </c>
      <c r="D1644" t="s">
        <v>1559</v>
      </c>
      <c r="E1644" t="s">
        <v>1777</v>
      </c>
      <c r="F1644" s="4">
        <v>2</v>
      </c>
      <c r="G1644">
        <v>403.2</v>
      </c>
      <c r="H1644">
        <v>0.21</v>
      </c>
      <c r="I1644" t="s">
        <v>1809</v>
      </c>
      <c r="J1644">
        <v>637.05600000000004</v>
      </c>
      <c r="K1644" t="s">
        <v>963</v>
      </c>
      <c r="L1644">
        <v>41</v>
      </c>
      <c r="M1644" t="s">
        <v>16</v>
      </c>
      <c r="N1644" t="s">
        <v>964</v>
      </c>
      <c r="O1644" t="s">
        <v>264</v>
      </c>
      <c r="P1644" t="s">
        <v>12</v>
      </c>
      <c r="Q1644" t="s">
        <v>13</v>
      </c>
      <c r="R1644" t="s">
        <v>3835</v>
      </c>
      <c r="S1644" t="s">
        <v>1527</v>
      </c>
      <c r="T1644" t="s">
        <v>3836</v>
      </c>
      <c r="U1644" t="s">
        <v>1560</v>
      </c>
      <c r="V1644" t="s">
        <v>1741</v>
      </c>
      <c r="W1644" t="s">
        <v>1742</v>
      </c>
      <c r="X1644" t="s">
        <v>1739</v>
      </c>
    </row>
    <row r="1645" spans="1:24" x14ac:dyDescent="0.3">
      <c r="A1645" t="s">
        <v>3452</v>
      </c>
      <c r="B1645" s="2">
        <v>45547</v>
      </c>
      <c r="C1645" t="s">
        <v>78</v>
      </c>
      <c r="D1645" t="s">
        <v>1703</v>
      </c>
      <c r="E1645" t="s">
        <v>1780</v>
      </c>
      <c r="F1645" s="4">
        <v>4</v>
      </c>
      <c r="G1645">
        <v>292.31</v>
      </c>
      <c r="H1645">
        <v>0.27</v>
      </c>
      <c r="I1645" t="s">
        <v>1809</v>
      </c>
      <c r="J1645">
        <v>853.54520000000002</v>
      </c>
      <c r="K1645" t="s">
        <v>79</v>
      </c>
      <c r="L1645">
        <v>43</v>
      </c>
      <c r="M1645" t="s">
        <v>9</v>
      </c>
      <c r="N1645" t="s">
        <v>80</v>
      </c>
      <c r="O1645" t="s">
        <v>81</v>
      </c>
      <c r="P1645" t="s">
        <v>12</v>
      </c>
      <c r="Q1645" t="s">
        <v>19</v>
      </c>
      <c r="R1645" t="s">
        <v>3919</v>
      </c>
      <c r="S1645" t="s">
        <v>1527</v>
      </c>
      <c r="T1645" t="s">
        <v>3830</v>
      </c>
      <c r="U1645" t="s">
        <v>1704</v>
      </c>
      <c r="V1645" t="s">
        <v>1741</v>
      </c>
      <c r="W1645" t="s">
        <v>1742</v>
      </c>
      <c r="X1645" t="s">
        <v>1739</v>
      </c>
    </row>
    <row r="1646" spans="1:24" x14ac:dyDescent="0.3">
      <c r="A1646" t="s">
        <v>3453</v>
      </c>
      <c r="B1646" s="2">
        <v>45806</v>
      </c>
      <c r="C1646" t="s">
        <v>1496</v>
      </c>
      <c r="D1646" t="s">
        <v>1532</v>
      </c>
      <c r="E1646" t="s">
        <v>1772</v>
      </c>
      <c r="F1646" s="4">
        <v>1</v>
      </c>
      <c r="G1646">
        <v>948.33</v>
      </c>
      <c r="H1646">
        <v>0.11</v>
      </c>
      <c r="I1646" t="s">
        <v>1807</v>
      </c>
      <c r="J1646">
        <v>844.01370000000009</v>
      </c>
      <c r="K1646" t="s">
        <v>1497</v>
      </c>
      <c r="L1646">
        <v>28</v>
      </c>
      <c r="M1646" t="s">
        <v>9</v>
      </c>
      <c r="N1646" t="s">
        <v>1498</v>
      </c>
      <c r="O1646" t="s">
        <v>247</v>
      </c>
      <c r="P1646" t="s">
        <v>12</v>
      </c>
      <c r="Q1646" t="s">
        <v>19</v>
      </c>
      <c r="R1646" t="s">
        <v>3843</v>
      </c>
      <c r="S1646" t="s">
        <v>1549</v>
      </c>
      <c r="T1646" t="s">
        <v>3844</v>
      </c>
      <c r="U1646" t="s">
        <v>1570</v>
      </c>
      <c r="V1646" t="s">
        <v>1741</v>
      </c>
      <c r="W1646" t="s">
        <v>1742</v>
      </c>
      <c r="X1646" t="s">
        <v>1739</v>
      </c>
    </row>
    <row r="1647" spans="1:24" x14ac:dyDescent="0.3">
      <c r="A1647" t="s">
        <v>3454</v>
      </c>
      <c r="B1647" s="2">
        <v>45294</v>
      </c>
      <c r="C1647" t="s">
        <v>1066</v>
      </c>
      <c r="D1647" t="s">
        <v>1609</v>
      </c>
      <c r="E1647" t="s">
        <v>1756</v>
      </c>
      <c r="F1647" s="4">
        <v>1</v>
      </c>
      <c r="G1647">
        <v>702.27</v>
      </c>
      <c r="H1647">
        <v>0.17</v>
      </c>
      <c r="I1647" t="s">
        <v>1812</v>
      </c>
      <c r="J1647">
        <v>582.88409999999999</v>
      </c>
      <c r="K1647" t="s">
        <v>1067</v>
      </c>
      <c r="L1647">
        <v>39</v>
      </c>
      <c r="M1647" t="s">
        <v>9</v>
      </c>
      <c r="N1647" t="s">
        <v>1068</v>
      </c>
      <c r="O1647" t="s">
        <v>284</v>
      </c>
      <c r="P1647" t="s">
        <v>12</v>
      </c>
      <c r="Q1647" t="s">
        <v>26</v>
      </c>
      <c r="R1647" t="s">
        <v>3868</v>
      </c>
      <c r="S1647" t="s">
        <v>1546</v>
      </c>
      <c r="T1647" t="s">
        <v>3869</v>
      </c>
      <c r="U1647" t="s">
        <v>1610</v>
      </c>
      <c r="V1647" t="s">
        <v>1757</v>
      </c>
      <c r="W1647" t="s">
        <v>1742</v>
      </c>
      <c r="X1647" t="s">
        <v>1748</v>
      </c>
    </row>
    <row r="1648" spans="1:24" x14ac:dyDescent="0.3">
      <c r="A1648" t="s">
        <v>3455</v>
      </c>
      <c r="B1648" s="2">
        <v>45875</v>
      </c>
      <c r="C1648" t="s">
        <v>159</v>
      </c>
      <c r="D1648" t="s">
        <v>1591</v>
      </c>
      <c r="E1648" t="s">
        <v>1749</v>
      </c>
      <c r="F1648" s="4">
        <v>2</v>
      </c>
      <c r="G1648">
        <v>379.28</v>
      </c>
      <c r="H1648">
        <v>0.26</v>
      </c>
      <c r="I1648" t="s">
        <v>1807</v>
      </c>
      <c r="J1648">
        <v>561.33439999999996</v>
      </c>
      <c r="K1648" t="s">
        <v>160</v>
      </c>
      <c r="L1648">
        <v>19</v>
      </c>
      <c r="M1648" t="s">
        <v>9</v>
      </c>
      <c r="N1648" t="s">
        <v>161</v>
      </c>
      <c r="O1648" t="s">
        <v>162</v>
      </c>
      <c r="P1648" t="s">
        <v>12</v>
      </c>
      <c r="Q1648" t="s">
        <v>19</v>
      </c>
      <c r="R1648" t="s">
        <v>3857</v>
      </c>
      <c r="S1648" t="s">
        <v>1527</v>
      </c>
      <c r="T1648" t="s">
        <v>3830</v>
      </c>
      <c r="U1648" t="s">
        <v>1592</v>
      </c>
      <c r="V1648" t="s">
        <v>1750</v>
      </c>
      <c r="W1648" t="s">
        <v>1742</v>
      </c>
      <c r="X1648" t="s">
        <v>1748</v>
      </c>
    </row>
    <row r="1649" spans="1:24" x14ac:dyDescent="0.3">
      <c r="A1649" t="s">
        <v>3456</v>
      </c>
      <c r="B1649" s="2">
        <v>45669</v>
      </c>
      <c r="C1649" t="s">
        <v>447</v>
      </c>
      <c r="D1649" t="s">
        <v>1625</v>
      </c>
      <c r="E1649" t="s">
        <v>1735</v>
      </c>
      <c r="F1649" s="4">
        <v>4</v>
      </c>
      <c r="G1649">
        <v>92.35</v>
      </c>
      <c r="H1649">
        <v>0.15</v>
      </c>
      <c r="I1649" t="s">
        <v>1807</v>
      </c>
      <c r="J1649">
        <v>313.99</v>
      </c>
      <c r="K1649" t="s">
        <v>448</v>
      </c>
      <c r="L1649">
        <v>62</v>
      </c>
      <c r="M1649" t="s">
        <v>16</v>
      </c>
      <c r="N1649" t="s">
        <v>449</v>
      </c>
      <c r="O1649" t="s">
        <v>25</v>
      </c>
      <c r="P1649" t="s">
        <v>12</v>
      </c>
      <c r="Q1649" t="s">
        <v>13</v>
      </c>
      <c r="R1649" t="s">
        <v>3877</v>
      </c>
      <c r="S1649" t="s">
        <v>1541</v>
      </c>
      <c r="T1649" t="s">
        <v>3878</v>
      </c>
      <c r="U1649" t="s">
        <v>1626</v>
      </c>
      <c r="V1649" t="s">
        <v>1736</v>
      </c>
      <c r="W1649" t="s">
        <v>1737</v>
      </c>
      <c r="X1649" t="s">
        <v>1739</v>
      </c>
    </row>
    <row r="1650" spans="1:24" x14ac:dyDescent="0.3">
      <c r="A1650" t="s">
        <v>3457</v>
      </c>
      <c r="B1650" s="2">
        <v>45606</v>
      </c>
      <c r="C1650" t="s">
        <v>705</v>
      </c>
      <c r="D1650" t="s">
        <v>1609</v>
      </c>
      <c r="E1650" t="s">
        <v>1777</v>
      </c>
      <c r="F1650" s="4">
        <v>4</v>
      </c>
      <c r="G1650">
        <v>721.54</v>
      </c>
      <c r="H1650">
        <v>0.21</v>
      </c>
      <c r="I1650" t="s">
        <v>1807</v>
      </c>
      <c r="J1650">
        <v>2280.0664000000002</v>
      </c>
      <c r="K1650" t="s">
        <v>706</v>
      </c>
      <c r="L1650">
        <v>50</v>
      </c>
      <c r="M1650" t="s">
        <v>16</v>
      </c>
      <c r="N1650" t="s">
        <v>3809</v>
      </c>
      <c r="O1650" t="s">
        <v>88</v>
      </c>
      <c r="P1650" t="s">
        <v>12</v>
      </c>
      <c r="Q1650" t="s">
        <v>13</v>
      </c>
      <c r="R1650" t="s">
        <v>3868</v>
      </c>
      <c r="S1650" t="s">
        <v>1546</v>
      </c>
      <c r="T1650" t="s">
        <v>3869</v>
      </c>
      <c r="U1650" t="s">
        <v>1610</v>
      </c>
      <c r="V1650" t="s">
        <v>1741</v>
      </c>
      <c r="W1650" t="s">
        <v>1742</v>
      </c>
      <c r="X1650" t="s">
        <v>1739</v>
      </c>
    </row>
    <row r="1651" spans="1:24" x14ac:dyDescent="0.3">
      <c r="A1651" t="s">
        <v>3458</v>
      </c>
      <c r="B1651" s="2">
        <v>45787</v>
      </c>
      <c r="C1651" t="s">
        <v>199</v>
      </c>
      <c r="D1651" t="s">
        <v>1607</v>
      </c>
      <c r="E1651" t="s">
        <v>1769</v>
      </c>
      <c r="F1651" s="4">
        <v>1</v>
      </c>
      <c r="G1651">
        <v>228.69</v>
      </c>
      <c r="H1651">
        <v>0.14000000000000001</v>
      </c>
      <c r="I1651" t="s">
        <v>1807</v>
      </c>
      <c r="J1651">
        <v>196.67339999999999</v>
      </c>
      <c r="K1651" t="s">
        <v>200</v>
      </c>
      <c r="L1651">
        <v>24</v>
      </c>
      <c r="M1651" t="s">
        <v>9</v>
      </c>
      <c r="N1651" t="s">
        <v>201</v>
      </c>
      <c r="O1651" t="s">
        <v>155</v>
      </c>
      <c r="P1651" t="s">
        <v>12</v>
      </c>
      <c r="Q1651" t="s">
        <v>13</v>
      </c>
      <c r="R1651" t="s">
        <v>3867</v>
      </c>
      <c r="S1651" t="s">
        <v>1549</v>
      </c>
      <c r="T1651" t="s">
        <v>3851</v>
      </c>
      <c r="U1651" t="s">
        <v>1608</v>
      </c>
      <c r="V1651" t="s">
        <v>1770</v>
      </c>
      <c r="W1651" t="s">
        <v>1746</v>
      </c>
      <c r="X1651" t="s">
        <v>1739</v>
      </c>
    </row>
    <row r="1652" spans="1:24" x14ac:dyDescent="0.3">
      <c r="A1652" t="s">
        <v>3459</v>
      </c>
      <c r="B1652" s="2">
        <v>45929</v>
      </c>
      <c r="C1652" t="s">
        <v>1100</v>
      </c>
      <c r="D1652" t="s">
        <v>1637</v>
      </c>
      <c r="E1652" t="s">
        <v>1772</v>
      </c>
      <c r="F1652" s="4">
        <v>1</v>
      </c>
      <c r="G1652">
        <v>899.09</v>
      </c>
      <c r="H1652">
        <v>0.2</v>
      </c>
      <c r="I1652" t="s">
        <v>1809</v>
      </c>
      <c r="J1652">
        <v>719.27200000000005</v>
      </c>
      <c r="K1652" t="s">
        <v>1101</v>
      </c>
      <c r="L1652">
        <v>54</v>
      </c>
      <c r="M1652" t="s">
        <v>9</v>
      </c>
      <c r="N1652" t="s">
        <v>1102</v>
      </c>
      <c r="O1652" t="s">
        <v>74</v>
      </c>
      <c r="P1652" t="s">
        <v>12</v>
      </c>
      <c r="Q1652" t="s">
        <v>13</v>
      </c>
      <c r="R1652" t="s">
        <v>3885</v>
      </c>
      <c r="S1652" t="s">
        <v>1530</v>
      </c>
      <c r="T1652" t="s">
        <v>3818</v>
      </c>
      <c r="U1652" t="s">
        <v>1638</v>
      </c>
      <c r="V1652" t="s">
        <v>1741</v>
      </c>
      <c r="W1652" t="s">
        <v>1742</v>
      </c>
      <c r="X1652" t="s">
        <v>1739</v>
      </c>
    </row>
    <row r="1653" spans="1:24" x14ac:dyDescent="0.3">
      <c r="A1653" t="s">
        <v>3460</v>
      </c>
      <c r="B1653" s="2">
        <v>45379</v>
      </c>
      <c r="C1653" t="s">
        <v>1186</v>
      </c>
      <c r="D1653" t="s">
        <v>1545</v>
      </c>
      <c r="E1653" t="s">
        <v>1765</v>
      </c>
      <c r="F1653" s="4">
        <v>4</v>
      </c>
      <c r="G1653">
        <v>195.75</v>
      </c>
      <c r="H1653">
        <v>0.17</v>
      </c>
      <c r="I1653" t="s">
        <v>1807</v>
      </c>
      <c r="J1653">
        <v>649.89</v>
      </c>
      <c r="K1653" t="s">
        <v>1187</v>
      </c>
      <c r="L1653">
        <v>60</v>
      </c>
      <c r="M1653" t="s">
        <v>9</v>
      </c>
      <c r="N1653" t="s">
        <v>1188</v>
      </c>
      <c r="O1653" t="s">
        <v>264</v>
      </c>
      <c r="P1653" t="s">
        <v>12</v>
      </c>
      <c r="Q1653" t="s">
        <v>26</v>
      </c>
      <c r="R1653" t="s">
        <v>3912</v>
      </c>
      <c r="S1653" t="s">
        <v>1527</v>
      </c>
      <c r="T1653" t="s">
        <v>3824</v>
      </c>
      <c r="U1653" t="s">
        <v>1690</v>
      </c>
      <c r="V1653" t="s">
        <v>1766</v>
      </c>
      <c r="W1653" t="s">
        <v>1767</v>
      </c>
      <c r="X1653" t="s">
        <v>1755</v>
      </c>
    </row>
    <row r="1654" spans="1:24" x14ac:dyDescent="0.3">
      <c r="A1654" t="s">
        <v>3461</v>
      </c>
      <c r="B1654" s="2">
        <v>45532</v>
      </c>
      <c r="C1654" t="s">
        <v>1306</v>
      </c>
      <c r="D1654" t="s">
        <v>1717</v>
      </c>
      <c r="E1654" t="s">
        <v>1784</v>
      </c>
      <c r="F1654" s="4">
        <v>3</v>
      </c>
      <c r="G1654">
        <v>199.13</v>
      </c>
      <c r="H1654">
        <v>0.24</v>
      </c>
      <c r="I1654" t="s">
        <v>1807</v>
      </c>
      <c r="J1654">
        <v>454.01639999999998</v>
      </c>
      <c r="K1654" t="s">
        <v>1307</v>
      </c>
      <c r="L1654">
        <v>18</v>
      </c>
      <c r="M1654" t="s">
        <v>16</v>
      </c>
      <c r="N1654" t="s">
        <v>1308</v>
      </c>
      <c r="O1654" t="s">
        <v>11</v>
      </c>
      <c r="P1654" t="s">
        <v>12</v>
      </c>
      <c r="Q1654" t="s">
        <v>19</v>
      </c>
      <c r="R1654" t="s">
        <v>3926</v>
      </c>
      <c r="S1654" t="s">
        <v>1546</v>
      </c>
      <c r="T1654" t="s">
        <v>3811</v>
      </c>
      <c r="U1654" t="s">
        <v>1718</v>
      </c>
      <c r="V1654" t="s">
        <v>1741</v>
      </c>
      <c r="W1654" t="s">
        <v>1742</v>
      </c>
      <c r="X1654" t="s">
        <v>1739</v>
      </c>
    </row>
    <row r="1655" spans="1:24" x14ac:dyDescent="0.3">
      <c r="A1655" t="s">
        <v>3462</v>
      </c>
      <c r="B1655" s="2">
        <v>45466</v>
      </c>
      <c r="C1655" t="s">
        <v>530</v>
      </c>
      <c r="D1655" t="s">
        <v>1575</v>
      </c>
      <c r="E1655" t="s">
        <v>1782</v>
      </c>
      <c r="F1655" s="4">
        <v>2</v>
      </c>
      <c r="G1655">
        <v>833.62</v>
      </c>
      <c r="H1655">
        <v>0.18</v>
      </c>
      <c r="I1655" t="s">
        <v>1807</v>
      </c>
      <c r="J1655">
        <v>1367.1368</v>
      </c>
      <c r="K1655" t="s">
        <v>531</v>
      </c>
      <c r="L1655">
        <v>18</v>
      </c>
      <c r="M1655" t="s">
        <v>16</v>
      </c>
      <c r="N1655" t="s">
        <v>532</v>
      </c>
      <c r="O1655" t="s">
        <v>11</v>
      </c>
      <c r="P1655" t="s">
        <v>12</v>
      </c>
      <c r="Q1655" t="s">
        <v>19</v>
      </c>
      <c r="R1655" t="s">
        <v>3848</v>
      </c>
      <c r="S1655" t="s">
        <v>1549</v>
      </c>
      <c r="T1655" t="s">
        <v>3844</v>
      </c>
      <c r="U1655" t="s">
        <v>1576</v>
      </c>
      <c r="V1655" t="s">
        <v>1741</v>
      </c>
      <c r="W1655" t="s">
        <v>1742</v>
      </c>
      <c r="X1655" t="s">
        <v>1739</v>
      </c>
    </row>
    <row r="1656" spans="1:24" x14ac:dyDescent="0.3">
      <c r="A1656" t="s">
        <v>3463</v>
      </c>
      <c r="B1656" s="2">
        <v>45395</v>
      </c>
      <c r="C1656" t="s">
        <v>1472</v>
      </c>
      <c r="D1656" t="s">
        <v>1681</v>
      </c>
      <c r="E1656" t="s">
        <v>1735</v>
      </c>
      <c r="F1656" s="4">
        <v>1</v>
      </c>
      <c r="G1656">
        <v>676.26</v>
      </c>
      <c r="H1656">
        <v>0.14000000000000001</v>
      </c>
      <c r="I1656" t="s">
        <v>1807</v>
      </c>
      <c r="J1656">
        <v>581.58359999999993</v>
      </c>
      <c r="K1656" t="s">
        <v>1473</v>
      </c>
      <c r="L1656">
        <v>46</v>
      </c>
      <c r="M1656" t="s">
        <v>16</v>
      </c>
      <c r="N1656" t="s">
        <v>1474</v>
      </c>
      <c r="O1656" t="s">
        <v>709</v>
      </c>
      <c r="P1656" t="s">
        <v>12</v>
      </c>
      <c r="Q1656" t="s">
        <v>26</v>
      </c>
      <c r="R1656" t="s">
        <v>3908</v>
      </c>
      <c r="S1656" t="s">
        <v>1530</v>
      </c>
      <c r="T1656" t="s">
        <v>3866</v>
      </c>
      <c r="U1656" t="s">
        <v>1682</v>
      </c>
      <c r="V1656" t="s">
        <v>1736</v>
      </c>
      <c r="W1656" t="s">
        <v>1737</v>
      </c>
      <c r="X1656" t="s">
        <v>1739</v>
      </c>
    </row>
    <row r="1657" spans="1:24" x14ac:dyDescent="0.3">
      <c r="A1657" t="s">
        <v>3464</v>
      </c>
      <c r="B1657" s="2">
        <v>45708</v>
      </c>
      <c r="C1657" t="s">
        <v>130</v>
      </c>
      <c r="D1657" t="s">
        <v>1651</v>
      </c>
      <c r="E1657" t="s">
        <v>1769</v>
      </c>
      <c r="F1657" s="4">
        <v>2</v>
      </c>
      <c r="G1657">
        <v>666.49</v>
      </c>
      <c r="H1657">
        <v>0.06</v>
      </c>
      <c r="I1657" t="s">
        <v>1807</v>
      </c>
      <c r="J1657">
        <v>1253.0011999999999</v>
      </c>
      <c r="K1657" t="s">
        <v>131</v>
      </c>
      <c r="L1657">
        <v>25</v>
      </c>
      <c r="M1657" t="s">
        <v>9</v>
      </c>
      <c r="N1657" t="s">
        <v>132</v>
      </c>
      <c r="O1657" t="s">
        <v>133</v>
      </c>
      <c r="P1657" t="s">
        <v>12</v>
      </c>
      <c r="Q1657" t="s">
        <v>13</v>
      </c>
      <c r="R1657" t="s">
        <v>3892</v>
      </c>
      <c r="S1657" t="s">
        <v>1541</v>
      </c>
      <c r="T1657" t="s">
        <v>3881</v>
      </c>
      <c r="U1657" t="s">
        <v>1652</v>
      </c>
      <c r="V1657" t="s">
        <v>1770</v>
      </c>
      <c r="W1657" t="s">
        <v>1746</v>
      </c>
      <c r="X1657" t="s">
        <v>1739</v>
      </c>
    </row>
    <row r="1658" spans="1:24" x14ac:dyDescent="0.3">
      <c r="A1658" t="s">
        <v>3465</v>
      </c>
      <c r="B1658" s="2">
        <v>45735</v>
      </c>
      <c r="C1658" t="s">
        <v>1403</v>
      </c>
      <c r="D1658" t="s">
        <v>1561</v>
      </c>
      <c r="E1658" t="s">
        <v>1752</v>
      </c>
      <c r="F1658" s="4">
        <v>3</v>
      </c>
      <c r="G1658">
        <v>471.19</v>
      </c>
      <c r="H1658">
        <v>0.28000000000000003</v>
      </c>
      <c r="I1658" t="s">
        <v>1812</v>
      </c>
      <c r="J1658">
        <v>1017.7704</v>
      </c>
      <c r="K1658" t="s">
        <v>1404</v>
      </c>
      <c r="L1658">
        <v>60</v>
      </c>
      <c r="M1658" t="s">
        <v>16</v>
      </c>
      <c r="N1658" t="s">
        <v>1405</v>
      </c>
      <c r="O1658" t="s">
        <v>264</v>
      </c>
      <c r="P1658" t="s">
        <v>12</v>
      </c>
      <c r="Q1658" t="s">
        <v>13</v>
      </c>
      <c r="R1658" t="s">
        <v>3837</v>
      </c>
      <c r="S1658" t="s">
        <v>1546</v>
      </c>
      <c r="T1658" t="s">
        <v>3838</v>
      </c>
      <c r="U1658" t="s">
        <v>1562</v>
      </c>
      <c r="V1658" t="s">
        <v>1753</v>
      </c>
      <c r="W1658" t="s">
        <v>1746</v>
      </c>
      <c r="X1658" t="s">
        <v>1755</v>
      </c>
    </row>
    <row r="1659" spans="1:24" x14ac:dyDescent="0.3">
      <c r="A1659" t="s">
        <v>3466</v>
      </c>
      <c r="B1659" s="2">
        <v>45237</v>
      </c>
      <c r="C1659" t="s">
        <v>409</v>
      </c>
      <c r="D1659" t="s">
        <v>1545</v>
      </c>
      <c r="E1659" t="s">
        <v>1749</v>
      </c>
      <c r="F1659" s="4">
        <v>4</v>
      </c>
      <c r="G1659">
        <v>555.65</v>
      </c>
      <c r="H1659">
        <v>0.25</v>
      </c>
      <c r="I1659" t="s">
        <v>1812</v>
      </c>
      <c r="J1659">
        <v>1666.95</v>
      </c>
      <c r="K1659" t="s">
        <v>410</v>
      </c>
      <c r="L1659">
        <v>44</v>
      </c>
      <c r="M1659" t="s">
        <v>16</v>
      </c>
      <c r="N1659" t="s">
        <v>411</v>
      </c>
      <c r="O1659" t="s">
        <v>234</v>
      </c>
      <c r="P1659" t="s">
        <v>12</v>
      </c>
      <c r="Q1659" t="s">
        <v>26</v>
      </c>
      <c r="R1659" t="s">
        <v>3912</v>
      </c>
      <c r="S1659" t="s">
        <v>1527</v>
      </c>
      <c r="T1659" t="s">
        <v>3824</v>
      </c>
      <c r="U1659" t="s">
        <v>1690</v>
      </c>
      <c r="V1659" t="s">
        <v>1750</v>
      </c>
      <c r="W1659" t="s">
        <v>1742</v>
      </c>
      <c r="X1659" t="s">
        <v>1748</v>
      </c>
    </row>
    <row r="1660" spans="1:24" x14ac:dyDescent="0.3">
      <c r="A1660" t="s">
        <v>3467</v>
      </c>
      <c r="B1660" s="2">
        <v>45282</v>
      </c>
      <c r="C1660" t="s">
        <v>140</v>
      </c>
      <c r="D1660" t="s">
        <v>1721</v>
      </c>
      <c r="E1660" t="s">
        <v>1782</v>
      </c>
      <c r="F1660" s="4">
        <v>2</v>
      </c>
      <c r="G1660">
        <v>100.42</v>
      </c>
      <c r="H1660">
        <v>0.06</v>
      </c>
      <c r="I1660" t="s">
        <v>1807</v>
      </c>
      <c r="J1660">
        <v>188.78960000000001</v>
      </c>
      <c r="K1660" t="s">
        <v>141</v>
      </c>
      <c r="L1660">
        <v>20</v>
      </c>
      <c r="M1660" t="s">
        <v>16</v>
      </c>
      <c r="N1660" t="s">
        <v>142</v>
      </c>
      <c r="O1660" t="s">
        <v>18</v>
      </c>
      <c r="P1660" t="s">
        <v>12</v>
      </c>
      <c r="Q1660" t="s">
        <v>31</v>
      </c>
      <c r="R1660" t="s">
        <v>3928</v>
      </c>
      <c r="S1660" t="s">
        <v>1549</v>
      </c>
      <c r="T1660" t="s">
        <v>3820</v>
      </c>
      <c r="U1660" t="s">
        <v>1722</v>
      </c>
      <c r="V1660" t="s">
        <v>1741</v>
      </c>
      <c r="W1660" t="s">
        <v>1742</v>
      </c>
      <c r="X1660" t="s">
        <v>1739</v>
      </c>
    </row>
    <row r="1661" spans="1:24" x14ac:dyDescent="0.3">
      <c r="A1661" t="s">
        <v>3468</v>
      </c>
      <c r="B1661" s="2">
        <v>45337</v>
      </c>
      <c r="C1661" t="s">
        <v>188</v>
      </c>
      <c r="D1661" t="s">
        <v>1727</v>
      </c>
      <c r="E1661" t="s">
        <v>1793</v>
      </c>
      <c r="F1661" s="4">
        <v>3</v>
      </c>
      <c r="G1661">
        <v>981.69</v>
      </c>
      <c r="H1661">
        <v>0.05</v>
      </c>
      <c r="I1661" t="s">
        <v>1812</v>
      </c>
      <c r="J1661">
        <v>2797.8164999999999</v>
      </c>
      <c r="K1661" t="s">
        <v>189</v>
      </c>
      <c r="L1661">
        <v>23</v>
      </c>
      <c r="M1661" t="s">
        <v>16</v>
      </c>
      <c r="N1661" t="s">
        <v>190</v>
      </c>
      <c r="O1661" t="s">
        <v>191</v>
      </c>
      <c r="P1661" t="s">
        <v>12</v>
      </c>
      <c r="Q1661" t="s">
        <v>13</v>
      </c>
      <c r="R1661" t="s">
        <v>3931</v>
      </c>
      <c r="S1661" t="s">
        <v>1546</v>
      </c>
      <c r="T1661" t="s">
        <v>3826</v>
      </c>
      <c r="U1661" t="s">
        <v>1728</v>
      </c>
      <c r="V1661" t="s">
        <v>1741</v>
      </c>
      <c r="W1661" t="s">
        <v>1742</v>
      </c>
      <c r="X1661" t="s">
        <v>1739</v>
      </c>
    </row>
    <row r="1662" spans="1:24" x14ac:dyDescent="0.3">
      <c r="A1662" t="s">
        <v>3469</v>
      </c>
      <c r="B1662" s="2">
        <v>45310</v>
      </c>
      <c r="C1662" t="s">
        <v>1018</v>
      </c>
      <c r="D1662" t="s">
        <v>1551</v>
      </c>
      <c r="E1662" t="s">
        <v>1787</v>
      </c>
      <c r="F1662" s="4">
        <v>2</v>
      </c>
      <c r="G1662">
        <v>848.87</v>
      </c>
      <c r="H1662">
        <v>0.09</v>
      </c>
      <c r="I1662" t="s">
        <v>1812</v>
      </c>
      <c r="J1662">
        <v>1544.9434000000001</v>
      </c>
      <c r="K1662" t="s">
        <v>1019</v>
      </c>
      <c r="L1662">
        <v>46</v>
      </c>
      <c r="M1662" t="s">
        <v>9</v>
      </c>
      <c r="N1662" t="s">
        <v>1020</v>
      </c>
      <c r="O1662" t="s">
        <v>58</v>
      </c>
      <c r="P1662" t="s">
        <v>12</v>
      </c>
      <c r="Q1662" t="s">
        <v>26</v>
      </c>
      <c r="R1662" t="s">
        <v>3829</v>
      </c>
      <c r="S1662" t="s">
        <v>1527</v>
      </c>
      <c r="T1662" t="s">
        <v>3830</v>
      </c>
      <c r="U1662" t="s">
        <v>1552</v>
      </c>
      <c r="V1662" t="s">
        <v>1741</v>
      </c>
      <c r="W1662" t="s">
        <v>1742</v>
      </c>
      <c r="X1662" t="s">
        <v>1739</v>
      </c>
    </row>
    <row r="1663" spans="1:24" x14ac:dyDescent="0.3">
      <c r="A1663" t="s">
        <v>3470</v>
      </c>
      <c r="B1663" s="2">
        <v>45230</v>
      </c>
      <c r="C1663" t="s">
        <v>1159</v>
      </c>
      <c r="D1663" t="s">
        <v>1723</v>
      </c>
      <c r="E1663" t="s">
        <v>1772</v>
      </c>
      <c r="F1663" s="4">
        <v>3</v>
      </c>
      <c r="G1663">
        <v>582.32000000000005</v>
      </c>
      <c r="H1663">
        <v>0</v>
      </c>
      <c r="I1663" t="s">
        <v>1809</v>
      </c>
      <c r="J1663">
        <v>1746.96</v>
      </c>
      <c r="K1663" t="s">
        <v>1160</v>
      </c>
      <c r="L1663">
        <v>30</v>
      </c>
      <c r="M1663" t="s">
        <v>9</v>
      </c>
      <c r="N1663" t="s">
        <v>1161</v>
      </c>
      <c r="O1663" t="s">
        <v>198</v>
      </c>
      <c r="P1663" t="s">
        <v>12</v>
      </c>
      <c r="Q1663" t="s">
        <v>19</v>
      </c>
      <c r="R1663" t="s">
        <v>3929</v>
      </c>
      <c r="S1663" t="s">
        <v>1530</v>
      </c>
      <c r="T1663" t="s">
        <v>3815</v>
      </c>
      <c r="U1663" t="s">
        <v>1724</v>
      </c>
      <c r="V1663" t="s">
        <v>1741</v>
      </c>
      <c r="W1663" t="s">
        <v>1742</v>
      </c>
      <c r="X1663" t="s">
        <v>1739</v>
      </c>
    </row>
    <row r="1664" spans="1:24" x14ac:dyDescent="0.3">
      <c r="A1664" t="s">
        <v>3471</v>
      </c>
      <c r="B1664" s="2">
        <v>45341</v>
      </c>
      <c r="C1664" t="s">
        <v>562</v>
      </c>
      <c r="D1664" t="s">
        <v>1629</v>
      </c>
      <c r="E1664" t="s">
        <v>1790</v>
      </c>
      <c r="F1664" s="4">
        <v>2</v>
      </c>
      <c r="G1664">
        <v>869.43</v>
      </c>
      <c r="H1664">
        <v>0.24</v>
      </c>
      <c r="I1664" t="s">
        <v>1812</v>
      </c>
      <c r="J1664">
        <v>1321.5336</v>
      </c>
      <c r="K1664" t="s">
        <v>563</v>
      </c>
      <c r="L1664">
        <v>41</v>
      </c>
      <c r="M1664" t="s">
        <v>16</v>
      </c>
      <c r="N1664" t="s">
        <v>564</v>
      </c>
      <c r="O1664" t="s">
        <v>251</v>
      </c>
      <c r="P1664" t="s">
        <v>12</v>
      </c>
      <c r="Q1664" t="s">
        <v>19</v>
      </c>
      <c r="R1664" t="s">
        <v>3880</v>
      </c>
      <c r="S1664" t="s">
        <v>1541</v>
      </c>
      <c r="T1664" t="s">
        <v>3881</v>
      </c>
      <c r="U1664" t="s">
        <v>1630</v>
      </c>
      <c r="V1664" t="s">
        <v>1741</v>
      </c>
      <c r="W1664" t="s">
        <v>1742</v>
      </c>
      <c r="X1664" t="s">
        <v>1739</v>
      </c>
    </row>
    <row r="1665" spans="1:24" x14ac:dyDescent="0.3">
      <c r="A1665" t="s">
        <v>3472</v>
      </c>
      <c r="B1665" s="2">
        <v>45440</v>
      </c>
      <c r="C1665" t="s">
        <v>93</v>
      </c>
      <c r="D1665" t="s">
        <v>1639</v>
      </c>
      <c r="E1665" t="s">
        <v>1752</v>
      </c>
      <c r="F1665" s="4">
        <v>1</v>
      </c>
      <c r="G1665">
        <v>62.26</v>
      </c>
      <c r="H1665">
        <v>0.03</v>
      </c>
      <c r="I1665" t="s">
        <v>1812</v>
      </c>
      <c r="J1665">
        <v>60.392200000000003</v>
      </c>
      <c r="K1665" t="s">
        <v>94</v>
      </c>
      <c r="L1665">
        <v>33</v>
      </c>
      <c r="M1665" t="s">
        <v>16</v>
      </c>
      <c r="N1665" t="s">
        <v>95</v>
      </c>
      <c r="O1665" t="s">
        <v>96</v>
      </c>
      <c r="P1665" t="s">
        <v>12</v>
      </c>
      <c r="Q1665" t="s">
        <v>13</v>
      </c>
      <c r="R1665" t="s">
        <v>3886</v>
      </c>
      <c r="S1665" t="s">
        <v>1549</v>
      </c>
      <c r="T1665" t="s">
        <v>3820</v>
      </c>
      <c r="U1665" t="s">
        <v>1640</v>
      </c>
      <c r="V1665" t="s">
        <v>1753</v>
      </c>
      <c r="W1665" t="s">
        <v>1746</v>
      </c>
      <c r="X1665" t="s">
        <v>1755</v>
      </c>
    </row>
    <row r="1666" spans="1:24" x14ac:dyDescent="0.3">
      <c r="A1666" t="s">
        <v>3473</v>
      </c>
      <c r="B1666" s="2">
        <v>45798</v>
      </c>
      <c r="C1666" t="s">
        <v>506</v>
      </c>
      <c r="D1666" t="s">
        <v>1609</v>
      </c>
      <c r="E1666" t="s">
        <v>1782</v>
      </c>
      <c r="F1666" s="4">
        <v>3</v>
      </c>
      <c r="G1666">
        <v>343.97</v>
      </c>
      <c r="H1666">
        <v>0.04</v>
      </c>
      <c r="I1666" t="s">
        <v>1812</v>
      </c>
      <c r="J1666">
        <v>990.6336</v>
      </c>
      <c r="K1666" t="s">
        <v>507</v>
      </c>
      <c r="L1666">
        <v>31</v>
      </c>
      <c r="M1666" t="s">
        <v>9</v>
      </c>
      <c r="N1666" t="s">
        <v>508</v>
      </c>
      <c r="O1666" t="s">
        <v>113</v>
      </c>
      <c r="P1666" t="s">
        <v>12</v>
      </c>
      <c r="Q1666" t="s">
        <v>19</v>
      </c>
      <c r="R1666" t="s">
        <v>3868</v>
      </c>
      <c r="S1666" t="s">
        <v>1546</v>
      </c>
      <c r="T1666" t="s">
        <v>3869</v>
      </c>
      <c r="U1666" t="s">
        <v>1610</v>
      </c>
      <c r="V1666" t="s">
        <v>1741</v>
      </c>
      <c r="W1666" t="s">
        <v>1742</v>
      </c>
      <c r="X1666" t="s">
        <v>1739</v>
      </c>
    </row>
    <row r="1667" spans="1:24" x14ac:dyDescent="0.3">
      <c r="A1667" t="s">
        <v>3474</v>
      </c>
      <c r="B1667" s="2">
        <v>45293</v>
      </c>
      <c r="C1667" t="s">
        <v>948</v>
      </c>
      <c r="D1667" t="s">
        <v>1579</v>
      </c>
      <c r="E1667" t="s">
        <v>1777</v>
      </c>
      <c r="F1667" s="4">
        <v>3</v>
      </c>
      <c r="G1667">
        <v>304.67</v>
      </c>
      <c r="H1667">
        <v>0.11</v>
      </c>
      <c r="I1667" t="s">
        <v>1807</v>
      </c>
      <c r="J1667">
        <v>813.46889999999996</v>
      </c>
      <c r="K1667" t="s">
        <v>949</v>
      </c>
      <c r="L1667">
        <v>41</v>
      </c>
      <c r="M1667" t="s">
        <v>9</v>
      </c>
      <c r="N1667" t="s">
        <v>950</v>
      </c>
      <c r="O1667" t="s">
        <v>92</v>
      </c>
      <c r="P1667" t="s">
        <v>12</v>
      </c>
      <c r="Q1667" t="s">
        <v>19</v>
      </c>
      <c r="R1667" t="s">
        <v>3850</v>
      </c>
      <c r="S1667" t="s">
        <v>1549</v>
      </c>
      <c r="T1667" t="s">
        <v>3851</v>
      </c>
      <c r="U1667" t="s">
        <v>1580</v>
      </c>
      <c r="V1667" t="s">
        <v>1741</v>
      </c>
      <c r="W1667" t="s">
        <v>1742</v>
      </c>
      <c r="X1667" t="s">
        <v>1739</v>
      </c>
    </row>
    <row r="1668" spans="1:24" x14ac:dyDescent="0.3">
      <c r="A1668" t="s">
        <v>3475</v>
      </c>
      <c r="B1668" s="2">
        <v>45296</v>
      </c>
      <c r="C1668" t="s">
        <v>1129</v>
      </c>
      <c r="D1668" t="s">
        <v>1585</v>
      </c>
      <c r="E1668" t="s">
        <v>1769</v>
      </c>
      <c r="F1668" s="4">
        <v>4</v>
      </c>
      <c r="G1668">
        <v>208.34</v>
      </c>
      <c r="H1668">
        <v>0.01</v>
      </c>
      <c r="I1668" t="s">
        <v>1809</v>
      </c>
      <c r="J1668">
        <v>825.02639999999997</v>
      </c>
      <c r="K1668" t="s">
        <v>1130</v>
      </c>
      <c r="L1668">
        <v>40</v>
      </c>
      <c r="M1668" t="s">
        <v>16</v>
      </c>
      <c r="N1668" t="s">
        <v>1131</v>
      </c>
      <c r="O1668" t="s">
        <v>162</v>
      </c>
      <c r="P1668" t="s">
        <v>12</v>
      </c>
      <c r="Q1668" t="s">
        <v>19</v>
      </c>
      <c r="R1668" t="s">
        <v>3854</v>
      </c>
      <c r="S1668" t="s">
        <v>1527</v>
      </c>
      <c r="T1668" t="s">
        <v>3836</v>
      </c>
      <c r="U1668" t="s">
        <v>1586</v>
      </c>
      <c r="V1668" t="s">
        <v>1770</v>
      </c>
      <c r="W1668" t="s">
        <v>1746</v>
      </c>
      <c r="X1668" t="s">
        <v>1739</v>
      </c>
    </row>
    <row r="1669" spans="1:24" x14ac:dyDescent="0.3">
      <c r="A1669" t="s">
        <v>3476</v>
      </c>
      <c r="B1669" s="2">
        <v>45860</v>
      </c>
      <c r="C1669" t="s">
        <v>974</v>
      </c>
      <c r="D1669" t="s">
        <v>1703</v>
      </c>
      <c r="E1669" t="s">
        <v>1740</v>
      </c>
      <c r="F1669" s="4">
        <v>1</v>
      </c>
      <c r="G1669">
        <v>119.04</v>
      </c>
      <c r="H1669">
        <v>0.13</v>
      </c>
      <c r="I1669" t="s">
        <v>1812</v>
      </c>
      <c r="J1669">
        <v>103.56480000000001</v>
      </c>
      <c r="K1669" t="s">
        <v>975</v>
      </c>
      <c r="L1669">
        <v>62</v>
      </c>
      <c r="M1669" t="s">
        <v>9</v>
      </c>
      <c r="N1669" t="s">
        <v>976</v>
      </c>
      <c r="O1669" t="s">
        <v>92</v>
      </c>
      <c r="P1669" t="s">
        <v>12</v>
      </c>
      <c r="Q1669" t="s">
        <v>31</v>
      </c>
      <c r="R1669" t="s">
        <v>3919</v>
      </c>
      <c r="S1669" t="s">
        <v>1527</v>
      </c>
      <c r="T1669" t="s">
        <v>3830</v>
      </c>
      <c r="U1669" t="s">
        <v>1704</v>
      </c>
      <c r="V1669" t="s">
        <v>1741</v>
      </c>
      <c r="W1669" t="s">
        <v>1742</v>
      </c>
      <c r="X1669" t="s">
        <v>1739</v>
      </c>
    </row>
    <row r="1670" spans="1:24" x14ac:dyDescent="0.3">
      <c r="A1670" t="s">
        <v>3477</v>
      </c>
      <c r="B1670" s="2">
        <v>45843</v>
      </c>
      <c r="C1670" t="s">
        <v>1001</v>
      </c>
      <c r="D1670" t="s">
        <v>1619</v>
      </c>
      <c r="E1670" t="s">
        <v>1769</v>
      </c>
      <c r="F1670" s="4">
        <v>4</v>
      </c>
      <c r="G1670">
        <v>791.65</v>
      </c>
      <c r="H1670">
        <v>0.06</v>
      </c>
      <c r="I1670" t="s">
        <v>1812</v>
      </c>
      <c r="J1670">
        <v>2976.6039999999998</v>
      </c>
      <c r="K1670" t="s">
        <v>1002</v>
      </c>
      <c r="L1670">
        <v>54</v>
      </c>
      <c r="M1670" t="s">
        <v>9</v>
      </c>
      <c r="N1670" t="s">
        <v>1003</v>
      </c>
      <c r="O1670" t="s">
        <v>234</v>
      </c>
      <c r="P1670" t="s">
        <v>12</v>
      </c>
      <c r="Q1670" t="s">
        <v>26</v>
      </c>
      <c r="R1670" t="s">
        <v>3874</v>
      </c>
      <c r="S1670" t="s">
        <v>1549</v>
      </c>
      <c r="T1670" t="s">
        <v>3828</v>
      </c>
      <c r="U1670" t="s">
        <v>1620</v>
      </c>
      <c r="V1670" t="s">
        <v>1770</v>
      </c>
      <c r="W1670" t="s">
        <v>1746</v>
      </c>
      <c r="X1670" t="s">
        <v>1739</v>
      </c>
    </row>
    <row r="1671" spans="1:24" x14ac:dyDescent="0.3">
      <c r="A1671" t="s">
        <v>3478</v>
      </c>
      <c r="B1671" s="2">
        <v>45862</v>
      </c>
      <c r="C1671" t="s">
        <v>195</v>
      </c>
      <c r="D1671" t="s">
        <v>1559</v>
      </c>
      <c r="E1671" t="s">
        <v>1744</v>
      </c>
      <c r="F1671" s="4">
        <v>2</v>
      </c>
      <c r="G1671">
        <v>414.86</v>
      </c>
      <c r="H1671">
        <v>0.23</v>
      </c>
      <c r="I1671" t="s">
        <v>1807</v>
      </c>
      <c r="J1671">
        <v>638.88440000000003</v>
      </c>
      <c r="K1671" t="s">
        <v>196</v>
      </c>
      <c r="L1671">
        <v>37</v>
      </c>
      <c r="M1671" t="s">
        <v>16</v>
      </c>
      <c r="N1671" t="s">
        <v>197</v>
      </c>
      <c r="O1671" t="s">
        <v>198</v>
      </c>
      <c r="P1671" t="s">
        <v>12</v>
      </c>
      <c r="Q1671" t="s">
        <v>26</v>
      </c>
      <c r="R1671" t="s">
        <v>3835</v>
      </c>
      <c r="S1671" t="s">
        <v>1527</v>
      </c>
      <c r="T1671" t="s">
        <v>3836</v>
      </c>
      <c r="U1671" t="s">
        <v>1560</v>
      </c>
      <c r="V1671" t="s">
        <v>1745</v>
      </c>
      <c r="W1671" t="s">
        <v>1746</v>
      </c>
      <c r="X1671" t="s">
        <v>1748</v>
      </c>
    </row>
    <row r="1672" spans="1:24" x14ac:dyDescent="0.3">
      <c r="A1672" t="s">
        <v>3479</v>
      </c>
      <c r="B1672" s="2">
        <v>45385</v>
      </c>
      <c r="C1672" t="s">
        <v>1456</v>
      </c>
      <c r="D1672" t="s">
        <v>1607</v>
      </c>
      <c r="E1672" t="s">
        <v>1777</v>
      </c>
      <c r="F1672" s="4">
        <v>2</v>
      </c>
      <c r="G1672">
        <v>960.81</v>
      </c>
      <c r="H1672">
        <v>0.28000000000000003</v>
      </c>
      <c r="I1672" t="s">
        <v>1809</v>
      </c>
      <c r="J1672">
        <v>1383.5663999999999</v>
      </c>
      <c r="K1672" t="s">
        <v>3951</v>
      </c>
      <c r="L1672">
        <v>40</v>
      </c>
      <c r="M1672" t="s">
        <v>9</v>
      </c>
      <c r="N1672" t="s">
        <v>1457</v>
      </c>
      <c r="O1672" t="s">
        <v>39</v>
      </c>
      <c r="P1672" t="s">
        <v>12</v>
      </c>
      <c r="Q1672" t="s">
        <v>13</v>
      </c>
      <c r="R1672" t="s">
        <v>3867</v>
      </c>
      <c r="S1672" t="s">
        <v>1549</v>
      </c>
      <c r="T1672" t="s">
        <v>3851</v>
      </c>
      <c r="U1672" t="s">
        <v>1608</v>
      </c>
      <c r="V1672" t="s">
        <v>1741</v>
      </c>
      <c r="W1672" t="s">
        <v>1742</v>
      </c>
      <c r="X1672" t="s">
        <v>1739</v>
      </c>
    </row>
    <row r="1673" spans="1:24" x14ac:dyDescent="0.3">
      <c r="A1673" t="s">
        <v>3480</v>
      </c>
      <c r="B1673" s="2">
        <v>45668</v>
      </c>
      <c r="C1673" t="s">
        <v>684</v>
      </c>
      <c r="D1673" t="s">
        <v>1631</v>
      </c>
      <c r="E1673" t="s">
        <v>1752</v>
      </c>
      <c r="F1673" s="4">
        <v>4</v>
      </c>
      <c r="G1673">
        <v>943.36</v>
      </c>
      <c r="H1673">
        <v>0.18</v>
      </c>
      <c r="I1673" t="s">
        <v>1809</v>
      </c>
      <c r="J1673">
        <v>3094.2208000000001</v>
      </c>
      <c r="K1673" t="s">
        <v>685</v>
      </c>
      <c r="L1673">
        <v>42</v>
      </c>
      <c r="M1673" t="s">
        <v>16</v>
      </c>
      <c r="N1673" t="s">
        <v>686</v>
      </c>
      <c r="O1673" t="s">
        <v>74</v>
      </c>
      <c r="P1673" t="s">
        <v>12</v>
      </c>
      <c r="Q1673" t="s">
        <v>19</v>
      </c>
      <c r="R1673" t="s">
        <v>3882</v>
      </c>
      <c r="S1673" t="s">
        <v>1549</v>
      </c>
      <c r="T1673" t="s">
        <v>3828</v>
      </c>
      <c r="U1673" t="s">
        <v>1632</v>
      </c>
      <c r="V1673" t="s">
        <v>1753</v>
      </c>
      <c r="W1673" t="s">
        <v>1746</v>
      </c>
      <c r="X1673" t="s">
        <v>1755</v>
      </c>
    </row>
    <row r="1674" spans="1:24" x14ac:dyDescent="0.3">
      <c r="A1674" t="s">
        <v>3481</v>
      </c>
      <c r="B1674" s="2">
        <v>45561</v>
      </c>
      <c r="C1674" t="s">
        <v>687</v>
      </c>
      <c r="D1674" t="s">
        <v>1534</v>
      </c>
      <c r="E1674" t="s">
        <v>1780</v>
      </c>
      <c r="F1674" s="4">
        <v>1</v>
      </c>
      <c r="G1674">
        <v>830.42</v>
      </c>
      <c r="H1674">
        <v>0.26</v>
      </c>
      <c r="I1674" t="s">
        <v>1812</v>
      </c>
      <c r="J1674">
        <v>614.51080000000002</v>
      </c>
      <c r="K1674" t="s">
        <v>688</v>
      </c>
      <c r="L1674">
        <v>61</v>
      </c>
      <c r="M1674" t="s">
        <v>9</v>
      </c>
      <c r="N1674" t="s">
        <v>689</v>
      </c>
      <c r="O1674" t="s">
        <v>18</v>
      </c>
      <c r="P1674" t="s">
        <v>12</v>
      </c>
      <c r="Q1674" t="s">
        <v>19</v>
      </c>
      <c r="R1674" t="s">
        <v>3856</v>
      </c>
      <c r="S1674" t="s">
        <v>1527</v>
      </c>
      <c r="T1674" t="s">
        <v>3836</v>
      </c>
      <c r="U1674" t="s">
        <v>1590</v>
      </c>
      <c r="V1674" t="s">
        <v>1741</v>
      </c>
      <c r="W1674" t="s">
        <v>1742</v>
      </c>
      <c r="X1674" t="s">
        <v>1739</v>
      </c>
    </row>
    <row r="1675" spans="1:24" x14ac:dyDescent="0.3">
      <c r="A1675" t="s">
        <v>3482</v>
      </c>
      <c r="B1675" s="2">
        <v>45637</v>
      </c>
      <c r="C1675" t="s">
        <v>1095</v>
      </c>
      <c r="D1675" t="s">
        <v>1665</v>
      </c>
      <c r="E1675" t="s">
        <v>1790</v>
      </c>
      <c r="F1675" s="4">
        <v>1</v>
      </c>
      <c r="G1675">
        <v>762.55</v>
      </c>
      <c r="H1675">
        <v>0.19</v>
      </c>
      <c r="I1675" t="s">
        <v>1807</v>
      </c>
      <c r="J1675">
        <v>617.66549999999995</v>
      </c>
      <c r="K1675" t="s">
        <v>3954</v>
      </c>
      <c r="L1675">
        <v>38</v>
      </c>
      <c r="M1675" t="s">
        <v>9</v>
      </c>
      <c r="N1675" t="s">
        <v>1096</v>
      </c>
      <c r="O1675" t="s">
        <v>35</v>
      </c>
      <c r="P1675" t="s">
        <v>12</v>
      </c>
      <c r="Q1675" t="s">
        <v>19</v>
      </c>
      <c r="R1675" t="s">
        <v>3899</v>
      </c>
      <c r="S1675" t="s">
        <v>1546</v>
      </c>
      <c r="T1675" t="s">
        <v>3820</v>
      </c>
      <c r="U1675" t="s">
        <v>1666</v>
      </c>
      <c r="V1675" t="s">
        <v>1741</v>
      </c>
      <c r="W1675" t="s">
        <v>1742</v>
      </c>
      <c r="X1675" t="s">
        <v>1739</v>
      </c>
    </row>
    <row r="1676" spans="1:24" x14ac:dyDescent="0.3">
      <c r="A1676" t="s">
        <v>3483</v>
      </c>
      <c r="B1676" s="2">
        <v>45839</v>
      </c>
      <c r="C1676" t="s">
        <v>1066</v>
      </c>
      <c r="D1676" t="s">
        <v>1679</v>
      </c>
      <c r="E1676" t="s">
        <v>1793</v>
      </c>
      <c r="F1676" s="4">
        <v>2</v>
      </c>
      <c r="G1676">
        <v>464.43</v>
      </c>
      <c r="H1676">
        <v>0.24</v>
      </c>
      <c r="I1676" t="s">
        <v>1812</v>
      </c>
      <c r="J1676">
        <v>705.93360000000007</v>
      </c>
      <c r="K1676" t="s">
        <v>1067</v>
      </c>
      <c r="L1676">
        <v>39</v>
      </c>
      <c r="M1676" t="s">
        <v>9</v>
      </c>
      <c r="N1676" t="s">
        <v>1068</v>
      </c>
      <c r="O1676" t="s">
        <v>284</v>
      </c>
      <c r="P1676" t="s">
        <v>12</v>
      </c>
      <c r="Q1676" t="s">
        <v>26</v>
      </c>
      <c r="R1676" t="s">
        <v>3907</v>
      </c>
      <c r="S1676" t="s">
        <v>1546</v>
      </c>
      <c r="T1676" t="s">
        <v>3826</v>
      </c>
      <c r="U1676" t="s">
        <v>1680</v>
      </c>
      <c r="V1676" t="s">
        <v>1741</v>
      </c>
      <c r="W1676" t="s">
        <v>1742</v>
      </c>
      <c r="X1676" t="s">
        <v>1739</v>
      </c>
    </row>
    <row r="1677" spans="1:24" x14ac:dyDescent="0.3">
      <c r="A1677" t="s">
        <v>3484</v>
      </c>
      <c r="B1677" s="2">
        <v>45851</v>
      </c>
      <c r="C1677" t="s">
        <v>75</v>
      </c>
      <c r="D1677" t="s">
        <v>1659</v>
      </c>
      <c r="E1677" t="s">
        <v>1793</v>
      </c>
      <c r="F1677" s="4">
        <v>1</v>
      </c>
      <c r="G1677">
        <v>711.08</v>
      </c>
      <c r="H1677">
        <v>0.24</v>
      </c>
      <c r="I1677" t="s">
        <v>1809</v>
      </c>
      <c r="J1677">
        <v>540.42079999999999</v>
      </c>
      <c r="K1677" t="s">
        <v>76</v>
      </c>
      <c r="L1677">
        <v>60</v>
      </c>
      <c r="M1677" t="s">
        <v>16</v>
      </c>
      <c r="N1677" t="s">
        <v>77</v>
      </c>
      <c r="O1677" t="s">
        <v>51</v>
      </c>
      <c r="P1677" t="s">
        <v>12</v>
      </c>
      <c r="Q1677" t="s">
        <v>26</v>
      </c>
      <c r="R1677" t="s">
        <v>3896</v>
      </c>
      <c r="S1677" t="s">
        <v>1541</v>
      </c>
      <c r="T1677" t="s">
        <v>3878</v>
      </c>
      <c r="U1677" t="s">
        <v>1660</v>
      </c>
      <c r="V1677" t="s">
        <v>1741</v>
      </c>
      <c r="W1677" t="s">
        <v>1742</v>
      </c>
      <c r="X1677" t="s">
        <v>1739</v>
      </c>
    </row>
    <row r="1678" spans="1:24" x14ac:dyDescent="0.3">
      <c r="A1678" t="s">
        <v>3485</v>
      </c>
      <c r="B1678" s="2">
        <v>45656</v>
      </c>
      <c r="C1678" t="s">
        <v>797</v>
      </c>
      <c r="D1678" t="s">
        <v>1621</v>
      </c>
      <c r="E1678" t="s">
        <v>1782</v>
      </c>
      <c r="F1678" s="4">
        <v>2</v>
      </c>
      <c r="G1678">
        <v>984.96</v>
      </c>
      <c r="H1678">
        <v>0.16</v>
      </c>
      <c r="I1678" t="s">
        <v>1809</v>
      </c>
      <c r="J1678">
        <v>1654.7328</v>
      </c>
      <c r="K1678" t="s">
        <v>798</v>
      </c>
      <c r="L1678">
        <v>26</v>
      </c>
      <c r="M1678" t="s">
        <v>9</v>
      </c>
      <c r="N1678" t="s">
        <v>799</v>
      </c>
      <c r="O1678" t="s">
        <v>22</v>
      </c>
      <c r="P1678" t="s">
        <v>12</v>
      </c>
      <c r="Q1678" t="s">
        <v>31</v>
      </c>
      <c r="R1678" t="s">
        <v>3875</v>
      </c>
      <c r="S1678" t="s">
        <v>1549</v>
      </c>
      <c r="T1678" t="s">
        <v>3859</v>
      </c>
      <c r="U1678" t="s">
        <v>1622</v>
      </c>
      <c r="V1678" t="s">
        <v>1741</v>
      </c>
      <c r="W1678" t="s">
        <v>1742</v>
      </c>
      <c r="X1678" t="s">
        <v>1739</v>
      </c>
    </row>
    <row r="1679" spans="1:24" x14ac:dyDescent="0.3">
      <c r="A1679" t="s">
        <v>3486</v>
      </c>
      <c r="B1679" s="2">
        <v>45759</v>
      </c>
      <c r="C1679" t="s">
        <v>1066</v>
      </c>
      <c r="D1679" t="s">
        <v>1607</v>
      </c>
      <c r="E1679" t="s">
        <v>1777</v>
      </c>
      <c r="F1679" s="4">
        <v>1</v>
      </c>
      <c r="G1679">
        <v>21.14</v>
      </c>
      <c r="H1679">
        <v>0.06</v>
      </c>
      <c r="I1679" t="s">
        <v>1812</v>
      </c>
      <c r="J1679">
        <v>19.871600000000001</v>
      </c>
      <c r="K1679" t="s">
        <v>1067</v>
      </c>
      <c r="L1679">
        <v>39</v>
      </c>
      <c r="M1679" t="s">
        <v>9</v>
      </c>
      <c r="N1679" t="s">
        <v>1068</v>
      </c>
      <c r="O1679" t="s">
        <v>284</v>
      </c>
      <c r="P1679" t="s">
        <v>12</v>
      </c>
      <c r="Q1679" t="s">
        <v>26</v>
      </c>
      <c r="R1679" t="s">
        <v>3867</v>
      </c>
      <c r="S1679" t="s">
        <v>1549</v>
      </c>
      <c r="T1679" t="s">
        <v>3851</v>
      </c>
      <c r="U1679" t="s">
        <v>1608</v>
      </c>
      <c r="V1679" t="s">
        <v>1741</v>
      </c>
      <c r="W1679" t="s">
        <v>1742</v>
      </c>
      <c r="X1679" t="s">
        <v>1739</v>
      </c>
    </row>
    <row r="1680" spans="1:24" x14ac:dyDescent="0.3">
      <c r="A1680" t="s">
        <v>3487</v>
      </c>
      <c r="B1680" s="2">
        <v>45679</v>
      </c>
      <c r="C1680" t="s">
        <v>370</v>
      </c>
      <c r="D1680" t="s">
        <v>1727</v>
      </c>
      <c r="E1680" t="s">
        <v>1765</v>
      </c>
      <c r="F1680" s="4">
        <v>1</v>
      </c>
      <c r="G1680">
        <v>343.03</v>
      </c>
      <c r="H1680">
        <v>0.16</v>
      </c>
      <c r="I1680" t="s">
        <v>1807</v>
      </c>
      <c r="J1680">
        <v>288.14519999999999</v>
      </c>
      <c r="K1680" t="s">
        <v>371</v>
      </c>
      <c r="L1680">
        <v>62</v>
      </c>
      <c r="M1680" t="s">
        <v>16</v>
      </c>
      <c r="N1680" t="s">
        <v>372</v>
      </c>
      <c r="O1680" t="s">
        <v>214</v>
      </c>
      <c r="P1680" t="s">
        <v>12</v>
      </c>
      <c r="Q1680" t="s">
        <v>26</v>
      </c>
      <c r="R1680" t="s">
        <v>3931</v>
      </c>
      <c r="S1680" t="s">
        <v>1546</v>
      </c>
      <c r="T1680" t="s">
        <v>3826</v>
      </c>
      <c r="U1680" t="s">
        <v>1728</v>
      </c>
      <c r="V1680" t="s">
        <v>1766</v>
      </c>
      <c r="W1680" t="s">
        <v>1767</v>
      </c>
      <c r="X1680" t="s">
        <v>1755</v>
      </c>
    </row>
    <row r="1681" spans="1:24" x14ac:dyDescent="0.3">
      <c r="A1681" t="s">
        <v>3488</v>
      </c>
      <c r="B1681" s="2">
        <v>45237</v>
      </c>
      <c r="C1681" t="s">
        <v>785</v>
      </c>
      <c r="D1681" t="s">
        <v>1571</v>
      </c>
      <c r="E1681" t="s">
        <v>1793</v>
      </c>
      <c r="F1681" s="4">
        <v>3</v>
      </c>
      <c r="G1681">
        <v>94.83</v>
      </c>
      <c r="H1681">
        <v>0.16</v>
      </c>
      <c r="I1681" t="s">
        <v>1812</v>
      </c>
      <c r="J1681">
        <v>238.9716</v>
      </c>
      <c r="K1681" t="s">
        <v>786</v>
      </c>
      <c r="L1681">
        <v>19</v>
      </c>
      <c r="M1681" t="s">
        <v>9</v>
      </c>
      <c r="N1681" t="s">
        <v>787</v>
      </c>
      <c r="O1681" t="s">
        <v>47</v>
      </c>
      <c r="P1681" t="s">
        <v>12</v>
      </c>
      <c r="Q1681" t="s">
        <v>19</v>
      </c>
      <c r="R1681" t="s">
        <v>3845</v>
      </c>
      <c r="S1681" t="s">
        <v>1549</v>
      </c>
      <c r="T1681" t="s">
        <v>3820</v>
      </c>
      <c r="U1681" t="s">
        <v>1572</v>
      </c>
      <c r="V1681" t="s">
        <v>1741</v>
      </c>
      <c r="W1681" t="s">
        <v>1742</v>
      </c>
      <c r="X1681" t="s">
        <v>1739</v>
      </c>
    </row>
    <row r="1682" spans="1:24" x14ac:dyDescent="0.3">
      <c r="A1682" t="s">
        <v>3489</v>
      </c>
      <c r="B1682" s="2">
        <v>45790</v>
      </c>
      <c r="C1682" t="s">
        <v>82</v>
      </c>
      <c r="D1682" t="s">
        <v>1669</v>
      </c>
      <c r="E1682" t="s">
        <v>1796</v>
      </c>
      <c r="F1682" s="4">
        <v>3</v>
      </c>
      <c r="G1682">
        <v>74.66</v>
      </c>
      <c r="H1682">
        <v>0.03</v>
      </c>
      <c r="I1682" t="s">
        <v>1809</v>
      </c>
      <c r="J1682">
        <v>217.26060000000001</v>
      </c>
      <c r="K1682" t="s">
        <v>83</v>
      </c>
      <c r="L1682">
        <v>46</v>
      </c>
      <c r="M1682" t="s">
        <v>16</v>
      </c>
      <c r="N1682" t="s">
        <v>84</v>
      </c>
      <c r="O1682" t="s">
        <v>62</v>
      </c>
      <c r="P1682" t="s">
        <v>12</v>
      </c>
      <c r="Q1682" t="s">
        <v>19</v>
      </c>
      <c r="R1682" t="s">
        <v>3902</v>
      </c>
      <c r="S1682" t="s">
        <v>1530</v>
      </c>
      <c r="T1682" t="s">
        <v>3818</v>
      </c>
      <c r="U1682" t="s">
        <v>1670</v>
      </c>
      <c r="V1682" t="s">
        <v>1741</v>
      </c>
      <c r="W1682" t="s">
        <v>1742</v>
      </c>
      <c r="X1682" t="s">
        <v>1739</v>
      </c>
    </row>
    <row r="1683" spans="1:24" x14ac:dyDescent="0.3">
      <c r="A1683" t="s">
        <v>3490</v>
      </c>
      <c r="B1683" s="2">
        <v>45268</v>
      </c>
      <c r="C1683" t="s">
        <v>459</v>
      </c>
      <c r="D1683" t="s">
        <v>1605</v>
      </c>
      <c r="E1683" t="s">
        <v>1784</v>
      </c>
      <c r="F1683" s="4">
        <v>3</v>
      </c>
      <c r="G1683">
        <v>281.95999999999998</v>
      </c>
      <c r="H1683">
        <v>0.01</v>
      </c>
      <c r="I1683" t="s">
        <v>1812</v>
      </c>
      <c r="J1683">
        <v>837.42119999999989</v>
      </c>
      <c r="K1683" t="s">
        <v>460</v>
      </c>
      <c r="L1683">
        <v>55</v>
      </c>
      <c r="M1683" t="s">
        <v>16</v>
      </c>
      <c r="N1683" t="s">
        <v>461</v>
      </c>
      <c r="O1683" t="s">
        <v>70</v>
      </c>
      <c r="P1683" t="s">
        <v>12</v>
      </c>
      <c r="Q1683" t="s">
        <v>31</v>
      </c>
      <c r="R1683" t="s">
        <v>3865</v>
      </c>
      <c r="S1683" t="s">
        <v>1530</v>
      </c>
      <c r="T1683" t="s">
        <v>3866</v>
      </c>
      <c r="U1683" t="s">
        <v>1606</v>
      </c>
      <c r="V1683" t="s">
        <v>1741</v>
      </c>
      <c r="W1683" t="s">
        <v>1742</v>
      </c>
      <c r="X1683" t="s">
        <v>1739</v>
      </c>
    </row>
    <row r="1684" spans="1:24" x14ac:dyDescent="0.3">
      <c r="A1684" t="s">
        <v>3491</v>
      </c>
      <c r="B1684" s="2">
        <v>45664</v>
      </c>
      <c r="C1684" t="s">
        <v>752</v>
      </c>
      <c r="D1684" t="s">
        <v>1673</v>
      </c>
      <c r="E1684" t="s">
        <v>1793</v>
      </c>
      <c r="F1684" s="4">
        <v>4</v>
      </c>
      <c r="G1684">
        <v>622.27</v>
      </c>
      <c r="H1684">
        <v>0.02</v>
      </c>
      <c r="I1684" t="s">
        <v>1809</v>
      </c>
      <c r="J1684">
        <v>2439.2984000000001</v>
      </c>
      <c r="K1684" t="s">
        <v>753</v>
      </c>
      <c r="L1684">
        <v>41</v>
      </c>
      <c r="M1684" t="s">
        <v>16</v>
      </c>
      <c r="N1684" t="s">
        <v>754</v>
      </c>
      <c r="O1684" t="s">
        <v>284</v>
      </c>
      <c r="P1684" t="s">
        <v>12</v>
      </c>
      <c r="Q1684" t="s">
        <v>26</v>
      </c>
      <c r="R1684" t="s">
        <v>3904</v>
      </c>
      <c r="S1684" t="s">
        <v>1541</v>
      </c>
      <c r="T1684" t="s">
        <v>3833</v>
      </c>
      <c r="U1684" t="s">
        <v>1674</v>
      </c>
      <c r="V1684" t="s">
        <v>1741</v>
      </c>
      <c r="W1684" t="s">
        <v>1742</v>
      </c>
      <c r="X1684" t="s">
        <v>1739</v>
      </c>
    </row>
    <row r="1685" spans="1:24" x14ac:dyDescent="0.3">
      <c r="A1685" t="s">
        <v>3492</v>
      </c>
      <c r="B1685" s="2">
        <v>45475</v>
      </c>
      <c r="C1685" t="s">
        <v>358</v>
      </c>
      <c r="D1685" t="s">
        <v>1605</v>
      </c>
      <c r="E1685" t="s">
        <v>1762</v>
      </c>
      <c r="F1685" s="4">
        <v>2</v>
      </c>
      <c r="G1685">
        <v>78.27</v>
      </c>
      <c r="H1685">
        <v>0.28999999999999998</v>
      </c>
      <c r="I1685" t="s">
        <v>1812</v>
      </c>
      <c r="J1685">
        <v>111.1434</v>
      </c>
      <c r="K1685" t="s">
        <v>359</v>
      </c>
      <c r="L1685">
        <v>21</v>
      </c>
      <c r="M1685" t="s">
        <v>9</v>
      </c>
      <c r="N1685" t="s">
        <v>360</v>
      </c>
      <c r="O1685" t="s">
        <v>51</v>
      </c>
      <c r="P1685" t="s">
        <v>12</v>
      </c>
      <c r="Q1685" t="s">
        <v>26</v>
      </c>
      <c r="R1685" t="s">
        <v>3865</v>
      </c>
      <c r="S1685" t="s">
        <v>1530</v>
      </c>
      <c r="T1685" t="s">
        <v>3866</v>
      </c>
      <c r="U1685" t="s">
        <v>1606</v>
      </c>
      <c r="V1685" t="s">
        <v>1763</v>
      </c>
      <c r="W1685" t="s">
        <v>1746</v>
      </c>
      <c r="X1685" t="s">
        <v>1755</v>
      </c>
    </row>
    <row r="1686" spans="1:24" x14ac:dyDescent="0.3">
      <c r="A1686" t="s">
        <v>3493</v>
      </c>
      <c r="B1686" s="2">
        <v>45845</v>
      </c>
      <c r="C1686" t="s">
        <v>59</v>
      </c>
      <c r="D1686" t="s">
        <v>1655</v>
      </c>
      <c r="E1686" t="s">
        <v>1780</v>
      </c>
      <c r="F1686" s="4">
        <v>4</v>
      </c>
      <c r="G1686">
        <v>676.58</v>
      </c>
      <c r="H1686">
        <v>0.23</v>
      </c>
      <c r="I1686" t="s">
        <v>1812</v>
      </c>
      <c r="J1686">
        <v>2083.8663999999999</v>
      </c>
      <c r="K1686" t="s">
        <v>60</v>
      </c>
      <c r="L1686">
        <v>32</v>
      </c>
      <c r="M1686" t="s">
        <v>16</v>
      </c>
      <c r="N1686" t="s">
        <v>61</v>
      </c>
      <c r="O1686" t="s">
        <v>62</v>
      </c>
      <c r="P1686" t="s">
        <v>12</v>
      </c>
      <c r="Q1686" t="s">
        <v>19</v>
      </c>
      <c r="R1686" t="s">
        <v>3894</v>
      </c>
      <c r="S1686" t="s">
        <v>1546</v>
      </c>
      <c r="T1686" t="s">
        <v>3811</v>
      </c>
      <c r="U1686" t="s">
        <v>1656</v>
      </c>
      <c r="V1686" t="s">
        <v>1741</v>
      </c>
      <c r="W1686" t="s">
        <v>1742</v>
      </c>
      <c r="X1686" t="s">
        <v>1739</v>
      </c>
    </row>
    <row r="1687" spans="1:24" x14ac:dyDescent="0.3">
      <c r="A1687" t="s">
        <v>3494</v>
      </c>
      <c r="B1687" s="2">
        <v>45446</v>
      </c>
      <c r="C1687" t="s">
        <v>1478</v>
      </c>
      <c r="D1687" t="s">
        <v>1593</v>
      </c>
      <c r="E1687" t="s">
        <v>1740</v>
      </c>
      <c r="F1687" s="4">
        <v>2</v>
      </c>
      <c r="G1687">
        <v>938.6</v>
      </c>
      <c r="H1687">
        <v>0.04</v>
      </c>
      <c r="I1687" t="s">
        <v>1809</v>
      </c>
      <c r="J1687">
        <v>1802.1120000000001</v>
      </c>
      <c r="K1687" t="s">
        <v>1479</v>
      </c>
      <c r="L1687">
        <v>36</v>
      </c>
      <c r="M1687" t="s">
        <v>16</v>
      </c>
      <c r="N1687" t="s">
        <v>1480</v>
      </c>
      <c r="O1687" t="s">
        <v>170</v>
      </c>
      <c r="P1687" t="s">
        <v>12</v>
      </c>
      <c r="Q1687" t="s">
        <v>26</v>
      </c>
      <c r="R1687" t="s">
        <v>3858</v>
      </c>
      <c r="S1687" t="s">
        <v>1549</v>
      </c>
      <c r="T1687" t="s">
        <v>3859</v>
      </c>
      <c r="U1687" t="s">
        <v>1594</v>
      </c>
      <c r="V1687" t="s">
        <v>1741</v>
      </c>
      <c r="W1687" t="s">
        <v>1742</v>
      </c>
      <c r="X1687" t="s">
        <v>1739</v>
      </c>
    </row>
    <row r="1688" spans="1:24" x14ac:dyDescent="0.3">
      <c r="A1688" t="s">
        <v>3495</v>
      </c>
      <c r="B1688" s="2">
        <v>45761</v>
      </c>
      <c r="C1688" t="s">
        <v>1100</v>
      </c>
      <c r="D1688" t="s">
        <v>1557</v>
      </c>
      <c r="E1688" t="s">
        <v>1782</v>
      </c>
      <c r="F1688" s="4">
        <v>2</v>
      </c>
      <c r="G1688">
        <v>859.47</v>
      </c>
      <c r="H1688">
        <v>0.01</v>
      </c>
      <c r="I1688" t="s">
        <v>1807</v>
      </c>
      <c r="J1688">
        <v>1701.7506000000001</v>
      </c>
      <c r="K1688" t="s">
        <v>1101</v>
      </c>
      <c r="L1688">
        <v>54</v>
      </c>
      <c r="M1688" t="s">
        <v>9</v>
      </c>
      <c r="N1688" t="s">
        <v>1102</v>
      </c>
      <c r="O1688" t="s">
        <v>74</v>
      </c>
      <c r="P1688" t="s">
        <v>12</v>
      </c>
      <c r="Q1688" t="s">
        <v>13</v>
      </c>
      <c r="R1688" t="s">
        <v>3834</v>
      </c>
      <c r="S1688" t="s">
        <v>1546</v>
      </c>
      <c r="T1688" t="s">
        <v>3820</v>
      </c>
      <c r="U1688" t="s">
        <v>1558</v>
      </c>
      <c r="V1688" t="s">
        <v>1741</v>
      </c>
      <c r="W1688" t="s">
        <v>1742</v>
      </c>
      <c r="X1688" t="s">
        <v>1739</v>
      </c>
    </row>
    <row r="1689" spans="1:24" x14ac:dyDescent="0.3">
      <c r="A1689" t="s">
        <v>3496</v>
      </c>
      <c r="B1689" s="2">
        <v>45363</v>
      </c>
      <c r="C1689" t="s">
        <v>211</v>
      </c>
      <c r="D1689" t="s">
        <v>1585</v>
      </c>
      <c r="E1689" t="s">
        <v>1782</v>
      </c>
      <c r="F1689" s="4">
        <v>3</v>
      </c>
      <c r="G1689">
        <v>672.98</v>
      </c>
      <c r="H1689">
        <v>0.23</v>
      </c>
      <c r="I1689" t="s">
        <v>1809</v>
      </c>
      <c r="J1689">
        <v>1554.5838000000001</v>
      </c>
      <c r="K1689" t="s">
        <v>212</v>
      </c>
      <c r="L1689">
        <v>51</v>
      </c>
      <c r="M1689" t="s">
        <v>9</v>
      </c>
      <c r="N1689" t="s">
        <v>213</v>
      </c>
      <c r="O1689" t="s">
        <v>214</v>
      </c>
      <c r="P1689" t="s">
        <v>12</v>
      </c>
      <c r="Q1689" t="s">
        <v>19</v>
      </c>
      <c r="R1689" t="s">
        <v>3854</v>
      </c>
      <c r="S1689" t="s">
        <v>1527</v>
      </c>
      <c r="T1689" t="s">
        <v>3836</v>
      </c>
      <c r="U1689" t="s">
        <v>1586</v>
      </c>
      <c r="V1689" t="s">
        <v>1741</v>
      </c>
      <c r="W1689" t="s">
        <v>1742</v>
      </c>
      <c r="X1689" t="s">
        <v>1739</v>
      </c>
    </row>
    <row r="1690" spans="1:24" x14ac:dyDescent="0.3">
      <c r="A1690" t="s">
        <v>3497</v>
      </c>
      <c r="B1690" s="2">
        <v>45420</v>
      </c>
      <c r="C1690" t="s">
        <v>666</v>
      </c>
      <c r="D1690" t="s">
        <v>1643</v>
      </c>
      <c r="E1690" t="s">
        <v>1793</v>
      </c>
      <c r="F1690" s="4">
        <v>1</v>
      </c>
      <c r="G1690">
        <v>75.8</v>
      </c>
      <c r="H1690">
        <v>0.28999999999999998</v>
      </c>
      <c r="I1690" t="s">
        <v>1809</v>
      </c>
      <c r="J1690">
        <v>53.817999999999998</v>
      </c>
      <c r="K1690" t="s">
        <v>667</v>
      </c>
      <c r="L1690">
        <v>28</v>
      </c>
      <c r="M1690" t="s">
        <v>16</v>
      </c>
      <c r="N1690" t="s">
        <v>668</v>
      </c>
      <c r="O1690" t="s">
        <v>234</v>
      </c>
      <c r="P1690" t="s">
        <v>12</v>
      </c>
      <c r="Q1690" t="s">
        <v>31</v>
      </c>
      <c r="R1690" t="s">
        <v>3888</v>
      </c>
      <c r="S1690" t="s">
        <v>1527</v>
      </c>
      <c r="T1690" t="s">
        <v>3836</v>
      </c>
      <c r="U1690" t="s">
        <v>1644</v>
      </c>
      <c r="V1690" t="s">
        <v>1741</v>
      </c>
      <c r="W1690" t="s">
        <v>1742</v>
      </c>
      <c r="X1690" t="s">
        <v>1739</v>
      </c>
    </row>
    <row r="1691" spans="1:24" x14ac:dyDescent="0.3">
      <c r="A1691" t="s">
        <v>3498</v>
      </c>
      <c r="B1691" s="2">
        <v>45536</v>
      </c>
      <c r="C1691" t="s">
        <v>136</v>
      </c>
      <c r="D1691" t="s">
        <v>1565</v>
      </c>
      <c r="E1691" t="s">
        <v>1784</v>
      </c>
      <c r="F1691" s="4">
        <v>4</v>
      </c>
      <c r="G1691">
        <v>742.15</v>
      </c>
      <c r="H1691">
        <v>0.1</v>
      </c>
      <c r="I1691" t="s">
        <v>1812</v>
      </c>
      <c r="J1691">
        <v>2671.74</v>
      </c>
      <c r="K1691" t="s">
        <v>137</v>
      </c>
      <c r="L1691">
        <v>52</v>
      </c>
      <c r="M1691" t="s">
        <v>9</v>
      </c>
      <c r="N1691" t="s">
        <v>138</v>
      </c>
      <c r="O1691" t="s">
        <v>139</v>
      </c>
      <c r="P1691" t="s">
        <v>12</v>
      </c>
      <c r="Q1691" t="s">
        <v>19</v>
      </c>
      <c r="R1691" t="s">
        <v>3841</v>
      </c>
      <c r="S1691" t="s">
        <v>1549</v>
      </c>
      <c r="T1691" t="s">
        <v>3820</v>
      </c>
      <c r="U1691" t="s">
        <v>1566</v>
      </c>
      <c r="V1691" t="s">
        <v>1741</v>
      </c>
      <c r="W1691" t="s">
        <v>1742</v>
      </c>
      <c r="X1691" t="s">
        <v>1739</v>
      </c>
    </row>
    <row r="1692" spans="1:24" x14ac:dyDescent="0.3">
      <c r="A1692" t="s">
        <v>3499</v>
      </c>
      <c r="B1692" s="2">
        <v>45445</v>
      </c>
      <c r="C1692" t="s">
        <v>261</v>
      </c>
      <c r="D1692" t="s">
        <v>1591</v>
      </c>
      <c r="E1692" t="s">
        <v>1762</v>
      </c>
      <c r="F1692" s="4">
        <v>1</v>
      </c>
      <c r="G1692">
        <v>637.39</v>
      </c>
      <c r="H1692">
        <v>0.22</v>
      </c>
      <c r="I1692" t="s">
        <v>1809</v>
      </c>
      <c r="J1692">
        <v>497.16419999999999</v>
      </c>
      <c r="K1692" t="s">
        <v>262</v>
      </c>
      <c r="L1692">
        <v>56</v>
      </c>
      <c r="M1692" t="s">
        <v>16</v>
      </c>
      <c r="N1692" t="s">
        <v>263</v>
      </c>
      <c r="O1692" t="s">
        <v>264</v>
      </c>
      <c r="P1692" t="s">
        <v>12</v>
      </c>
      <c r="Q1692" t="s">
        <v>13</v>
      </c>
      <c r="R1692" t="s">
        <v>3857</v>
      </c>
      <c r="S1692" t="s">
        <v>1527</v>
      </c>
      <c r="T1692" t="s">
        <v>3830</v>
      </c>
      <c r="U1692" t="s">
        <v>1592</v>
      </c>
      <c r="V1692" t="s">
        <v>1763</v>
      </c>
      <c r="W1692" t="s">
        <v>1746</v>
      </c>
      <c r="X1692" t="s">
        <v>1755</v>
      </c>
    </row>
    <row r="1693" spans="1:24" x14ac:dyDescent="0.3">
      <c r="A1693" t="s">
        <v>3500</v>
      </c>
      <c r="B1693" s="2">
        <v>45230</v>
      </c>
      <c r="C1693" t="s">
        <v>1207</v>
      </c>
      <c r="D1693" t="s">
        <v>1540</v>
      </c>
      <c r="E1693" t="s">
        <v>1790</v>
      </c>
      <c r="F1693" s="4">
        <v>1</v>
      </c>
      <c r="G1693">
        <v>631</v>
      </c>
      <c r="H1693">
        <v>0.04</v>
      </c>
      <c r="I1693" t="s">
        <v>1807</v>
      </c>
      <c r="J1693">
        <v>605.76</v>
      </c>
      <c r="K1693" t="s">
        <v>1208</v>
      </c>
      <c r="L1693">
        <v>46</v>
      </c>
      <c r="M1693" t="s">
        <v>9</v>
      </c>
      <c r="N1693" t="s">
        <v>1209</v>
      </c>
      <c r="O1693" t="s">
        <v>35</v>
      </c>
      <c r="P1693" t="s">
        <v>12</v>
      </c>
      <c r="Q1693" t="s">
        <v>26</v>
      </c>
      <c r="R1693" t="s">
        <v>3891</v>
      </c>
      <c r="S1693" t="s">
        <v>1541</v>
      </c>
      <c r="T1693" t="s">
        <v>3833</v>
      </c>
      <c r="U1693" t="s">
        <v>1650</v>
      </c>
      <c r="V1693" t="s">
        <v>1741</v>
      </c>
      <c r="W1693" t="s">
        <v>1742</v>
      </c>
      <c r="X1693" t="s">
        <v>1739</v>
      </c>
    </row>
    <row r="1694" spans="1:24" x14ac:dyDescent="0.3">
      <c r="A1694" t="s">
        <v>3501</v>
      </c>
      <c r="B1694" s="2">
        <v>45916</v>
      </c>
      <c r="C1694" t="s">
        <v>1213</v>
      </c>
      <c r="D1694" t="s">
        <v>1691</v>
      </c>
      <c r="E1694" t="s">
        <v>1749</v>
      </c>
      <c r="F1694" s="4">
        <v>4</v>
      </c>
      <c r="G1694">
        <v>983.98</v>
      </c>
      <c r="H1694">
        <v>0.11</v>
      </c>
      <c r="I1694" t="s">
        <v>1812</v>
      </c>
      <c r="J1694">
        <v>3502.9688000000001</v>
      </c>
      <c r="K1694" t="s">
        <v>1214</v>
      </c>
      <c r="L1694">
        <v>43</v>
      </c>
      <c r="M1694" t="s">
        <v>16</v>
      </c>
      <c r="N1694" t="s">
        <v>1215</v>
      </c>
      <c r="O1694" t="s">
        <v>117</v>
      </c>
      <c r="P1694" t="s">
        <v>12</v>
      </c>
      <c r="Q1694" t="s">
        <v>26</v>
      </c>
      <c r="R1694" t="s">
        <v>3913</v>
      </c>
      <c r="S1694" t="s">
        <v>1527</v>
      </c>
      <c r="T1694" t="s">
        <v>3830</v>
      </c>
      <c r="U1694" t="s">
        <v>1692</v>
      </c>
      <c r="V1694" t="s">
        <v>1750</v>
      </c>
      <c r="W1694" t="s">
        <v>1742</v>
      </c>
      <c r="X1694" t="s">
        <v>1748</v>
      </c>
    </row>
    <row r="1695" spans="1:24" x14ac:dyDescent="0.3">
      <c r="A1695" t="s">
        <v>3502</v>
      </c>
      <c r="B1695" s="2">
        <v>45353</v>
      </c>
      <c r="C1695" t="s">
        <v>202</v>
      </c>
      <c r="D1695" t="s">
        <v>1641</v>
      </c>
      <c r="E1695" t="s">
        <v>1775</v>
      </c>
      <c r="F1695" s="4">
        <v>4</v>
      </c>
      <c r="G1695">
        <v>73.69</v>
      </c>
      <c r="H1695">
        <v>0.08</v>
      </c>
      <c r="I1695" t="s">
        <v>1807</v>
      </c>
      <c r="J1695">
        <v>271.17919999999998</v>
      </c>
      <c r="K1695" t="s">
        <v>203</v>
      </c>
      <c r="L1695">
        <v>56</v>
      </c>
      <c r="M1695" t="s">
        <v>16</v>
      </c>
      <c r="N1695" t="s">
        <v>204</v>
      </c>
      <c r="O1695" t="s">
        <v>96</v>
      </c>
      <c r="P1695" t="s">
        <v>12</v>
      </c>
      <c r="Q1695" t="s">
        <v>19</v>
      </c>
      <c r="R1695" t="s">
        <v>3887</v>
      </c>
      <c r="S1695" t="s">
        <v>1527</v>
      </c>
      <c r="T1695" t="s">
        <v>3836</v>
      </c>
      <c r="U1695" t="s">
        <v>1642</v>
      </c>
      <c r="V1695" t="s">
        <v>1741</v>
      </c>
      <c r="W1695" t="s">
        <v>1742</v>
      </c>
      <c r="X1695" t="s">
        <v>1739</v>
      </c>
    </row>
    <row r="1696" spans="1:24" x14ac:dyDescent="0.3">
      <c r="A1696" t="s">
        <v>3503</v>
      </c>
      <c r="B1696" s="2">
        <v>45490</v>
      </c>
      <c r="C1696" t="s">
        <v>1327</v>
      </c>
      <c r="D1696" t="s">
        <v>1553</v>
      </c>
      <c r="E1696" t="s">
        <v>1762</v>
      </c>
      <c r="F1696" s="4">
        <v>3</v>
      </c>
      <c r="G1696">
        <v>110.99</v>
      </c>
      <c r="H1696">
        <v>0.21</v>
      </c>
      <c r="I1696" t="s">
        <v>1807</v>
      </c>
      <c r="J1696">
        <v>263.04629999999997</v>
      </c>
      <c r="K1696" t="s">
        <v>1328</v>
      </c>
      <c r="L1696">
        <v>48</v>
      </c>
      <c r="M1696" t="s">
        <v>16</v>
      </c>
      <c r="N1696" t="s">
        <v>1329</v>
      </c>
      <c r="O1696" t="s">
        <v>58</v>
      </c>
      <c r="P1696" t="s">
        <v>12</v>
      </c>
      <c r="Q1696" t="s">
        <v>31</v>
      </c>
      <c r="R1696" t="s">
        <v>3831</v>
      </c>
      <c r="S1696" t="s">
        <v>1546</v>
      </c>
      <c r="T1696" t="s">
        <v>3820</v>
      </c>
      <c r="U1696" t="s">
        <v>1554</v>
      </c>
      <c r="V1696" t="s">
        <v>1763</v>
      </c>
      <c r="W1696" t="s">
        <v>1746</v>
      </c>
      <c r="X1696" t="s">
        <v>1755</v>
      </c>
    </row>
    <row r="1697" spans="1:24" x14ac:dyDescent="0.3">
      <c r="A1697" t="s">
        <v>3504</v>
      </c>
      <c r="B1697" s="2">
        <v>45850</v>
      </c>
      <c r="C1697" t="s">
        <v>298</v>
      </c>
      <c r="D1697" t="s">
        <v>1551</v>
      </c>
      <c r="E1697" t="s">
        <v>1762</v>
      </c>
      <c r="F1697" s="4">
        <v>1</v>
      </c>
      <c r="G1697">
        <v>66.86</v>
      </c>
      <c r="H1697">
        <v>0.22</v>
      </c>
      <c r="I1697" t="s">
        <v>1812</v>
      </c>
      <c r="J1697">
        <v>52.150799999999997</v>
      </c>
      <c r="K1697" t="s">
        <v>299</v>
      </c>
      <c r="L1697">
        <v>26</v>
      </c>
      <c r="M1697" t="s">
        <v>16</v>
      </c>
      <c r="N1697" t="s">
        <v>300</v>
      </c>
      <c r="O1697" t="s">
        <v>81</v>
      </c>
      <c r="P1697" t="s">
        <v>12</v>
      </c>
      <c r="Q1697" t="s">
        <v>26</v>
      </c>
      <c r="R1697" t="s">
        <v>3829</v>
      </c>
      <c r="S1697" t="s">
        <v>1527</v>
      </c>
      <c r="T1697" t="s">
        <v>3830</v>
      </c>
      <c r="U1697" t="s">
        <v>1552</v>
      </c>
      <c r="V1697" t="s">
        <v>1763</v>
      </c>
      <c r="W1697" t="s">
        <v>1746</v>
      </c>
      <c r="X1697" t="s">
        <v>1755</v>
      </c>
    </row>
    <row r="1698" spans="1:24" x14ac:dyDescent="0.3">
      <c r="A1698" t="s">
        <v>3505</v>
      </c>
      <c r="B1698" s="2">
        <v>45515</v>
      </c>
      <c r="C1698" t="s">
        <v>1281</v>
      </c>
      <c r="D1698" t="s">
        <v>1665</v>
      </c>
      <c r="E1698" t="s">
        <v>1793</v>
      </c>
      <c r="F1698" s="4">
        <v>1</v>
      </c>
      <c r="G1698">
        <v>980.26</v>
      </c>
      <c r="H1698">
        <v>0.14000000000000001</v>
      </c>
      <c r="I1698" t="s">
        <v>1809</v>
      </c>
      <c r="J1698">
        <v>843.02359999999999</v>
      </c>
      <c r="K1698" t="s">
        <v>1282</v>
      </c>
      <c r="L1698">
        <v>60</v>
      </c>
      <c r="M1698" t="s">
        <v>16</v>
      </c>
      <c r="N1698" t="s">
        <v>1283</v>
      </c>
      <c r="O1698" t="s">
        <v>11</v>
      </c>
      <c r="P1698" t="s">
        <v>12</v>
      </c>
      <c r="Q1698" t="s">
        <v>26</v>
      </c>
      <c r="R1698" t="s">
        <v>3899</v>
      </c>
      <c r="S1698" t="s">
        <v>1546</v>
      </c>
      <c r="T1698" t="s">
        <v>3820</v>
      </c>
      <c r="U1698" t="s">
        <v>1666</v>
      </c>
      <c r="V1698" t="s">
        <v>1741</v>
      </c>
      <c r="W1698" t="s">
        <v>1742</v>
      </c>
      <c r="X1698" t="s">
        <v>1739</v>
      </c>
    </row>
    <row r="1699" spans="1:24" x14ac:dyDescent="0.3">
      <c r="A1699" t="s">
        <v>3506</v>
      </c>
      <c r="B1699" s="2">
        <v>45322</v>
      </c>
      <c r="C1699" t="s">
        <v>146</v>
      </c>
      <c r="D1699" t="s">
        <v>1567</v>
      </c>
      <c r="E1699" t="s">
        <v>1793</v>
      </c>
      <c r="F1699" s="4">
        <v>1</v>
      </c>
      <c r="G1699">
        <v>235.28</v>
      </c>
      <c r="H1699">
        <v>0.05</v>
      </c>
      <c r="I1699" t="s">
        <v>1809</v>
      </c>
      <c r="J1699">
        <v>223.51599999999999</v>
      </c>
      <c r="K1699" t="s">
        <v>147</v>
      </c>
      <c r="L1699">
        <v>35</v>
      </c>
      <c r="M1699" t="s">
        <v>16</v>
      </c>
      <c r="N1699" t="s">
        <v>148</v>
      </c>
      <c r="O1699" t="s">
        <v>39</v>
      </c>
      <c r="P1699" t="s">
        <v>12</v>
      </c>
      <c r="Q1699" t="s">
        <v>19</v>
      </c>
      <c r="R1699" t="s">
        <v>3842</v>
      </c>
      <c r="S1699" t="s">
        <v>1530</v>
      </c>
      <c r="T1699" t="s">
        <v>3818</v>
      </c>
      <c r="U1699" t="s">
        <v>1568</v>
      </c>
      <c r="V1699" t="s">
        <v>1741</v>
      </c>
      <c r="W1699" t="s">
        <v>1742</v>
      </c>
      <c r="X1699" t="s">
        <v>1739</v>
      </c>
    </row>
    <row r="1700" spans="1:24" x14ac:dyDescent="0.3">
      <c r="A1700" t="s">
        <v>3507</v>
      </c>
      <c r="B1700" s="2">
        <v>45542</v>
      </c>
      <c r="C1700" t="s">
        <v>1278</v>
      </c>
      <c r="D1700" t="s">
        <v>1526</v>
      </c>
      <c r="E1700" t="s">
        <v>1784</v>
      </c>
      <c r="F1700" s="4">
        <v>3</v>
      </c>
      <c r="G1700">
        <v>407.39</v>
      </c>
      <c r="H1700">
        <v>0.08</v>
      </c>
      <c r="I1700" t="s">
        <v>1809</v>
      </c>
      <c r="J1700">
        <v>1124.3964000000001</v>
      </c>
      <c r="K1700" t="s">
        <v>1279</v>
      </c>
      <c r="L1700">
        <v>64</v>
      </c>
      <c r="M1700" t="s">
        <v>16</v>
      </c>
      <c r="N1700" t="s">
        <v>1280</v>
      </c>
      <c r="O1700" t="s">
        <v>319</v>
      </c>
      <c r="P1700" t="s">
        <v>12</v>
      </c>
      <c r="Q1700" t="s">
        <v>19</v>
      </c>
      <c r="R1700" t="s">
        <v>3810</v>
      </c>
      <c r="S1700" t="s">
        <v>1546</v>
      </c>
      <c r="T1700" t="s">
        <v>3811</v>
      </c>
      <c r="U1700" t="s">
        <v>1528</v>
      </c>
      <c r="V1700" t="s">
        <v>1741</v>
      </c>
      <c r="W1700" t="s">
        <v>1742</v>
      </c>
      <c r="X1700" t="s">
        <v>1739</v>
      </c>
    </row>
    <row r="1701" spans="1:24" x14ac:dyDescent="0.3">
      <c r="A1701" t="s">
        <v>3508</v>
      </c>
      <c r="B1701" s="2">
        <v>45675</v>
      </c>
      <c r="C1701" t="s">
        <v>248</v>
      </c>
      <c r="D1701" t="s">
        <v>1585</v>
      </c>
      <c r="E1701" t="s">
        <v>1782</v>
      </c>
      <c r="F1701" s="4">
        <v>4</v>
      </c>
      <c r="G1701">
        <v>459.83</v>
      </c>
      <c r="H1701">
        <v>0.12</v>
      </c>
      <c r="I1701" t="s">
        <v>1812</v>
      </c>
      <c r="J1701">
        <v>1618.6016</v>
      </c>
      <c r="K1701" t="s">
        <v>249</v>
      </c>
      <c r="L1701">
        <v>24</v>
      </c>
      <c r="M1701" t="s">
        <v>16</v>
      </c>
      <c r="N1701" t="s">
        <v>250</v>
      </c>
      <c r="O1701" t="s">
        <v>251</v>
      </c>
      <c r="P1701" t="s">
        <v>12</v>
      </c>
      <c r="Q1701" t="s">
        <v>31</v>
      </c>
      <c r="R1701" t="s">
        <v>3854</v>
      </c>
      <c r="S1701" t="s">
        <v>1527</v>
      </c>
      <c r="T1701" t="s">
        <v>3836</v>
      </c>
      <c r="U1701" t="s">
        <v>1586</v>
      </c>
      <c r="V1701" t="s">
        <v>1741</v>
      </c>
      <c r="W1701" t="s">
        <v>1742</v>
      </c>
      <c r="X1701" t="s">
        <v>1739</v>
      </c>
    </row>
    <row r="1702" spans="1:24" x14ac:dyDescent="0.3">
      <c r="A1702" t="s">
        <v>3509</v>
      </c>
      <c r="B1702" s="2">
        <v>45333</v>
      </c>
      <c r="C1702" t="s">
        <v>491</v>
      </c>
      <c r="D1702" t="s">
        <v>1717</v>
      </c>
      <c r="E1702" t="s">
        <v>1752</v>
      </c>
      <c r="F1702" s="4">
        <v>3</v>
      </c>
      <c r="G1702">
        <v>706.6</v>
      </c>
      <c r="H1702">
        <v>0.17</v>
      </c>
      <c r="I1702" t="s">
        <v>1809</v>
      </c>
      <c r="J1702">
        <v>1759.434</v>
      </c>
      <c r="K1702" t="s">
        <v>492</v>
      </c>
      <c r="L1702">
        <v>42</v>
      </c>
      <c r="M1702" t="s">
        <v>16</v>
      </c>
      <c r="N1702" t="s">
        <v>493</v>
      </c>
      <c r="O1702" t="s">
        <v>162</v>
      </c>
      <c r="P1702" t="s">
        <v>12</v>
      </c>
      <c r="Q1702" t="s">
        <v>19</v>
      </c>
      <c r="R1702" t="s">
        <v>3926</v>
      </c>
      <c r="S1702" t="s">
        <v>1546</v>
      </c>
      <c r="T1702" t="s">
        <v>3811</v>
      </c>
      <c r="U1702" t="s">
        <v>1718</v>
      </c>
      <c r="V1702" t="s">
        <v>1753</v>
      </c>
      <c r="W1702" t="s">
        <v>1746</v>
      </c>
      <c r="X1702" t="s">
        <v>1755</v>
      </c>
    </row>
    <row r="1703" spans="1:24" x14ac:dyDescent="0.3">
      <c r="A1703" t="s">
        <v>3510</v>
      </c>
      <c r="B1703" s="2">
        <v>45819</v>
      </c>
      <c r="C1703" t="s">
        <v>1409</v>
      </c>
      <c r="D1703" t="s">
        <v>1713</v>
      </c>
      <c r="E1703" t="s">
        <v>1796</v>
      </c>
      <c r="F1703" s="4">
        <v>3</v>
      </c>
      <c r="G1703">
        <v>811.16</v>
      </c>
      <c r="H1703">
        <v>0.1</v>
      </c>
      <c r="I1703" t="s">
        <v>1812</v>
      </c>
      <c r="J1703">
        <v>2190.1320000000001</v>
      </c>
      <c r="K1703" t="s">
        <v>1410</v>
      </c>
      <c r="L1703">
        <v>36</v>
      </c>
      <c r="M1703" t="s">
        <v>16</v>
      </c>
      <c r="N1703" t="s">
        <v>1411</v>
      </c>
      <c r="O1703" t="s">
        <v>43</v>
      </c>
      <c r="P1703" t="s">
        <v>12</v>
      </c>
      <c r="Q1703" t="s">
        <v>31</v>
      </c>
      <c r="R1703" t="s">
        <v>3924</v>
      </c>
      <c r="S1703" t="s">
        <v>1530</v>
      </c>
      <c r="T1703" t="s">
        <v>3866</v>
      </c>
      <c r="U1703" t="s">
        <v>1714</v>
      </c>
      <c r="V1703" t="s">
        <v>1741</v>
      </c>
      <c r="W1703" t="s">
        <v>1742</v>
      </c>
      <c r="X1703" t="s">
        <v>1739</v>
      </c>
    </row>
    <row r="1704" spans="1:24" x14ac:dyDescent="0.3">
      <c r="A1704" t="s">
        <v>3511</v>
      </c>
      <c r="B1704" s="2">
        <v>45268</v>
      </c>
      <c r="C1704" t="s">
        <v>699</v>
      </c>
      <c r="D1704" t="s">
        <v>1605</v>
      </c>
      <c r="E1704" t="s">
        <v>1762</v>
      </c>
      <c r="F1704" s="4">
        <v>2</v>
      </c>
      <c r="G1704">
        <v>985.79</v>
      </c>
      <c r="H1704">
        <v>0.04</v>
      </c>
      <c r="I1704" t="s">
        <v>1809</v>
      </c>
      <c r="J1704">
        <v>1892.7167999999999</v>
      </c>
      <c r="K1704" t="s">
        <v>700</v>
      </c>
      <c r="L1704">
        <v>46</v>
      </c>
      <c r="M1704" t="s">
        <v>9</v>
      </c>
      <c r="N1704" t="s">
        <v>701</v>
      </c>
      <c r="O1704" t="s">
        <v>113</v>
      </c>
      <c r="P1704" t="s">
        <v>12</v>
      </c>
      <c r="Q1704" t="s">
        <v>31</v>
      </c>
      <c r="R1704" t="s">
        <v>3865</v>
      </c>
      <c r="S1704" t="s">
        <v>1530</v>
      </c>
      <c r="T1704" t="s">
        <v>3866</v>
      </c>
      <c r="U1704" t="s">
        <v>1606</v>
      </c>
      <c r="V1704" t="s">
        <v>1763</v>
      </c>
      <c r="W1704" t="s">
        <v>1746</v>
      </c>
      <c r="X1704" t="s">
        <v>1755</v>
      </c>
    </row>
    <row r="1705" spans="1:24" x14ac:dyDescent="0.3">
      <c r="A1705" t="s">
        <v>3512</v>
      </c>
      <c r="B1705" s="2">
        <v>45521</v>
      </c>
      <c r="C1705" t="s">
        <v>610</v>
      </c>
      <c r="D1705" t="s">
        <v>1597</v>
      </c>
      <c r="E1705" t="s">
        <v>1782</v>
      </c>
      <c r="F1705" s="4">
        <v>1</v>
      </c>
      <c r="G1705">
        <v>255.02</v>
      </c>
      <c r="H1705">
        <v>0.3</v>
      </c>
      <c r="I1705" t="s">
        <v>1807</v>
      </c>
      <c r="J1705">
        <v>178.51400000000001</v>
      </c>
      <c r="K1705" t="s">
        <v>611</v>
      </c>
      <c r="L1705">
        <v>42</v>
      </c>
      <c r="M1705" t="s">
        <v>9</v>
      </c>
      <c r="N1705" t="s">
        <v>612</v>
      </c>
      <c r="O1705" t="s">
        <v>22</v>
      </c>
      <c r="P1705" t="s">
        <v>12</v>
      </c>
      <c r="Q1705" t="s">
        <v>19</v>
      </c>
      <c r="R1705" t="s">
        <v>3861</v>
      </c>
      <c r="S1705" t="s">
        <v>1527</v>
      </c>
      <c r="T1705" t="s">
        <v>3836</v>
      </c>
      <c r="U1705" t="s">
        <v>1598</v>
      </c>
      <c r="V1705" t="s">
        <v>1741</v>
      </c>
      <c r="W1705" t="s">
        <v>1742</v>
      </c>
      <c r="X1705" t="s">
        <v>1739</v>
      </c>
    </row>
    <row r="1706" spans="1:24" x14ac:dyDescent="0.3">
      <c r="A1706" t="s">
        <v>3513</v>
      </c>
      <c r="B1706" s="2">
        <v>45693</v>
      </c>
      <c r="C1706" t="s">
        <v>336</v>
      </c>
      <c r="D1706" t="s">
        <v>1569</v>
      </c>
      <c r="E1706" t="s">
        <v>1765</v>
      </c>
      <c r="F1706" s="4">
        <v>1</v>
      </c>
      <c r="G1706">
        <v>153.57</v>
      </c>
      <c r="H1706">
        <v>0.01</v>
      </c>
      <c r="I1706" t="s">
        <v>1809</v>
      </c>
      <c r="J1706">
        <v>152.0343</v>
      </c>
      <c r="K1706" t="s">
        <v>337</v>
      </c>
      <c r="L1706">
        <v>30</v>
      </c>
      <c r="M1706" t="s">
        <v>16</v>
      </c>
      <c r="N1706" t="s">
        <v>338</v>
      </c>
      <c r="O1706" t="s">
        <v>58</v>
      </c>
      <c r="P1706" t="s">
        <v>12</v>
      </c>
      <c r="Q1706" t="s">
        <v>19</v>
      </c>
      <c r="R1706" t="s">
        <v>3843</v>
      </c>
      <c r="S1706" t="s">
        <v>1549</v>
      </c>
      <c r="T1706" t="s">
        <v>3844</v>
      </c>
      <c r="U1706" t="s">
        <v>1570</v>
      </c>
      <c r="V1706" t="s">
        <v>1766</v>
      </c>
      <c r="W1706" t="s">
        <v>1767</v>
      </c>
      <c r="X1706" t="s">
        <v>1755</v>
      </c>
    </row>
    <row r="1707" spans="1:24" x14ac:dyDescent="0.3">
      <c r="A1707" t="s">
        <v>3514</v>
      </c>
      <c r="B1707" s="2">
        <v>45734</v>
      </c>
      <c r="C1707" t="s">
        <v>803</v>
      </c>
      <c r="D1707" t="s">
        <v>1617</v>
      </c>
      <c r="E1707" t="s">
        <v>1793</v>
      </c>
      <c r="F1707" s="4">
        <v>3</v>
      </c>
      <c r="G1707">
        <v>962.98</v>
      </c>
      <c r="H1707">
        <v>0.21</v>
      </c>
      <c r="I1707" t="s">
        <v>1807</v>
      </c>
      <c r="J1707">
        <v>2282.2626</v>
      </c>
      <c r="K1707" t="s">
        <v>3941</v>
      </c>
      <c r="L1707">
        <v>34</v>
      </c>
      <c r="M1707" t="s">
        <v>9</v>
      </c>
      <c r="N1707" t="s">
        <v>804</v>
      </c>
      <c r="O1707" t="s">
        <v>319</v>
      </c>
      <c r="P1707" t="s">
        <v>12</v>
      </c>
      <c r="Q1707" t="s">
        <v>26</v>
      </c>
      <c r="R1707" t="s">
        <v>3873</v>
      </c>
      <c r="S1707" t="s">
        <v>1546</v>
      </c>
      <c r="T1707" t="s">
        <v>3811</v>
      </c>
      <c r="U1707" t="s">
        <v>1618</v>
      </c>
      <c r="V1707" t="s">
        <v>1741</v>
      </c>
      <c r="W1707" t="s">
        <v>1742</v>
      </c>
      <c r="X1707" t="s">
        <v>1739</v>
      </c>
    </row>
    <row r="1708" spans="1:24" x14ac:dyDescent="0.3">
      <c r="A1708" t="s">
        <v>3515</v>
      </c>
      <c r="B1708" s="2">
        <v>45377</v>
      </c>
      <c r="C1708" t="s">
        <v>211</v>
      </c>
      <c r="D1708" t="s">
        <v>1619</v>
      </c>
      <c r="E1708" t="s">
        <v>1765</v>
      </c>
      <c r="F1708" s="4">
        <v>3</v>
      </c>
      <c r="G1708">
        <v>884.46</v>
      </c>
      <c r="H1708">
        <v>0.25</v>
      </c>
      <c r="I1708" t="s">
        <v>1807</v>
      </c>
      <c r="J1708">
        <v>1990.0350000000001</v>
      </c>
      <c r="K1708" t="s">
        <v>212</v>
      </c>
      <c r="L1708">
        <v>51</v>
      </c>
      <c r="M1708" t="s">
        <v>9</v>
      </c>
      <c r="N1708" t="s">
        <v>213</v>
      </c>
      <c r="O1708" t="s">
        <v>214</v>
      </c>
      <c r="P1708" t="s">
        <v>12</v>
      </c>
      <c r="Q1708" t="s">
        <v>19</v>
      </c>
      <c r="R1708" t="s">
        <v>3874</v>
      </c>
      <c r="S1708" t="s">
        <v>1549</v>
      </c>
      <c r="T1708" t="s">
        <v>3828</v>
      </c>
      <c r="U1708" t="s">
        <v>1620</v>
      </c>
      <c r="V1708" t="s">
        <v>1766</v>
      </c>
      <c r="W1708" t="s">
        <v>1767</v>
      </c>
      <c r="X1708" t="s">
        <v>1755</v>
      </c>
    </row>
    <row r="1709" spans="1:24" x14ac:dyDescent="0.3">
      <c r="A1709" t="s">
        <v>3516</v>
      </c>
      <c r="B1709" s="2">
        <v>45778</v>
      </c>
      <c r="C1709" t="s">
        <v>1339</v>
      </c>
      <c r="D1709" t="s">
        <v>1665</v>
      </c>
      <c r="E1709" t="s">
        <v>1772</v>
      </c>
      <c r="F1709" s="4">
        <v>4</v>
      </c>
      <c r="G1709">
        <v>359.71</v>
      </c>
      <c r="H1709">
        <v>0.05</v>
      </c>
      <c r="I1709" t="s">
        <v>1809</v>
      </c>
      <c r="J1709">
        <v>1366.8979999999999</v>
      </c>
      <c r="K1709" t="s">
        <v>1340</v>
      </c>
      <c r="L1709">
        <v>59</v>
      </c>
      <c r="M1709" t="s">
        <v>16</v>
      </c>
      <c r="N1709" t="s">
        <v>591</v>
      </c>
      <c r="O1709" t="s">
        <v>47</v>
      </c>
      <c r="P1709" t="s">
        <v>12</v>
      </c>
      <c r="Q1709" t="s">
        <v>19</v>
      </c>
      <c r="R1709" t="s">
        <v>3899</v>
      </c>
      <c r="S1709" t="s">
        <v>1546</v>
      </c>
      <c r="T1709" t="s">
        <v>3820</v>
      </c>
      <c r="U1709" t="s">
        <v>1666</v>
      </c>
      <c r="V1709" t="s">
        <v>1741</v>
      </c>
      <c r="W1709" t="s">
        <v>1742</v>
      </c>
      <c r="X1709" t="s">
        <v>1739</v>
      </c>
    </row>
    <row r="1710" spans="1:24" x14ac:dyDescent="0.3">
      <c r="A1710" t="s">
        <v>3517</v>
      </c>
      <c r="B1710" s="2">
        <v>45715</v>
      </c>
      <c r="C1710" t="s">
        <v>192</v>
      </c>
      <c r="D1710" t="s">
        <v>1631</v>
      </c>
      <c r="E1710" t="s">
        <v>1752</v>
      </c>
      <c r="F1710" s="4">
        <v>3</v>
      </c>
      <c r="G1710">
        <v>766.47</v>
      </c>
      <c r="H1710">
        <v>0.18</v>
      </c>
      <c r="I1710" t="s">
        <v>1807</v>
      </c>
      <c r="J1710">
        <v>1885.5162</v>
      </c>
      <c r="K1710" t="s">
        <v>193</v>
      </c>
      <c r="L1710">
        <v>55</v>
      </c>
      <c r="M1710" t="s">
        <v>9</v>
      </c>
      <c r="N1710" t="s">
        <v>194</v>
      </c>
      <c r="O1710" t="s">
        <v>43</v>
      </c>
      <c r="P1710" t="s">
        <v>12</v>
      </c>
      <c r="Q1710" t="s">
        <v>13</v>
      </c>
      <c r="R1710" t="s">
        <v>3882</v>
      </c>
      <c r="S1710" t="s">
        <v>1549</v>
      </c>
      <c r="T1710" t="s">
        <v>3828</v>
      </c>
      <c r="U1710" t="s">
        <v>1632</v>
      </c>
      <c r="V1710" t="s">
        <v>1753</v>
      </c>
      <c r="W1710" t="s">
        <v>1746</v>
      </c>
      <c r="X1710" t="s">
        <v>1755</v>
      </c>
    </row>
    <row r="1711" spans="1:24" x14ac:dyDescent="0.3">
      <c r="A1711" t="s">
        <v>3518</v>
      </c>
      <c r="B1711" s="2">
        <v>45492</v>
      </c>
      <c r="C1711" t="s">
        <v>716</v>
      </c>
      <c r="D1711" t="s">
        <v>1643</v>
      </c>
      <c r="E1711" t="s">
        <v>1793</v>
      </c>
      <c r="F1711" s="4">
        <v>1</v>
      </c>
      <c r="G1711">
        <v>772.07</v>
      </c>
      <c r="H1711">
        <v>0.26</v>
      </c>
      <c r="I1711" t="s">
        <v>1809</v>
      </c>
      <c r="J1711">
        <v>571.33180000000004</v>
      </c>
      <c r="K1711" t="s">
        <v>717</v>
      </c>
      <c r="L1711">
        <v>29</v>
      </c>
      <c r="M1711" t="s">
        <v>9</v>
      </c>
      <c r="N1711" t="s">
        <v>3958</v>
      </c>
      <c r="O1711" t="s">
        <v>264</v>
      </c>
      <c r="P1711" t="s">
        <v>12</v>
      </c>
      <c r="Q1711" t="s">
        <v>19</v>
      </c>
      <c r="R1711" t="s">
        <v>3888</v>
      </c>
      <c r="S1711" t="s">
        <v>1527</v>
      </c>
      <c r="T1711" t="s">
        <v>3836</v>
      </c>
      <c r="U1711" t="s">
        <v>1644</v>
      </c>
      <c r="V1711" t="s">
        <v>1741</v>
      </c>
      <c r="W1711" t="s">
        <v>1742</v>
      </c>
      <c r="X1711" t="s">
        <v>1739</v>
      </c>
    </row>
    <row r="1712" spans="1:24" x14ac:dyDescent="0.3">
      <c r="A1712" t="s">
        <v>3519</v>
      </c>
      <c r="B1712" s="2">
        <v>45292</v>
      </c>
      <c r="C1712" t="s">
        <v>873</v>
      </c>
      <c r="D1712" t="s">
        <v>1569</v>
      </c>
      <c r="E1712" t="s">
        <v>1756</v>
      </c>
      <c r="F1712" s="4">
        <v>3</v>
      </c>
      <c r="G1712">
        <v>108.31</v>
      </c>
      <c r="H1712">
        <v>0.26</v>
      </c>
      <c r="I1712" t="s">
        <v>1812</v>
      </c>
      <c r="J1712">
        <v>240.44820000000001</v>
      </c>
      <c r="K1712" t="s">
        <v>874</v>
      </c>
      <c r="L1712">
        <v>42</v>
      </c>
      <c r="M1712" t="s">
        <v>16</v>
      </c>
      <c r="N1712" t="s">
        <v>875</v>
      </c>
      <c r="O1712" t="s">
        <v>271</v>
      </c>
      <c r="P1712" t="s">
        <v>12</v>
      </c>
      <c r="Q1712" t="s">
        <v>19</v>
      </c>
      <c r="R1712" t="s">
        <v>3843</v>
      </c>
      <c r="S1712" t="s">
        <v>1549</v>
      </c>
      <c r="T1712" t="s">
        <v>3844</v>
      </c>
      <c r="U1712" t="s">
        <v>1570</v>
      </c>
      <c r="V1712" t="s">
        <v>1757</v>
      </c>
      <c r="W1712" t="s">
        <v>1742</v>
      </c>
      <c r="X1712" t="s">
        <v>1748</v>
      </c>
    </row>
    <row r="1713" spans="1:24" x14ac:dyDescent="0.3">
      <c r="A1713" t="s">
        <v>3520</v>
      </c>
      <c r="B1713" s="2">
        <v>45316</v>
      </c>
      <c r="C1713" t="s">
        <v>702</v>
      </c>
      <c r="D1713" t="s">
        <v>1689</v>
      </c>
      <c r="E1713" t="s">
        <v>1759</v>
      </c>
      <c r="F1713" s="4">
        <v>1</v>
      </c>
      <c r="G1713">
        <v>502.53</v>
      </c>
      <c r="H1713">
        <v>0</v>
      </c>
      <c r="I1713" t="s">
        <v>1809</v>
      </c>
      <c r="J1713">
        <v>502.53</v>
      </c>
      <c r="K1713" t="s">
        <v>703</v>
      </c>
      <c r="L1713">
        <v>47</v>
      </c>
      <c r="M1713" t="s">
        <v>16</v>
      </c>
      <c r="N1713" t="s">
        <v>704</v>
      </c>
      <c r="O1713" t="s">
        <v>30</v>
      </c>
      <c r="P1713" t="s">
        <v>12</v>
      </c>
      <c r="Q1713" t="s">
        <v>19</v>
      </c>
      <c r="R1713" t="s">
        <v>3912</v>
      </c>
      <c r="S1713" t="s">
        <v>1527</v>
      </c>
      <c r="T1713" t="s">
        <v>3824</v>
      </c>
      <c r="U1713" t="s">
        <v>1690</v>
      </c>
      <c r="V1713" t="s">
        <v>1760</v>
      </c>
      <c r="W1713" t="s">
        <v>1737</v>
      </c>
      <c r="X1713" t="s">
        <v>1755</v>
      </c>
    </row>
    <row r="1714" spans="1:24" x14ac:dyDescent="0.3">
      <c r="A1714" t="s">
        <v>3521</v>
      </c>
      <c r="B1714" s="2">
        <v>45548</v>
      </c>
      <c r="C1714" t="s">
        <v>275</v>
      </c>
      <c r="D1714" t="s">
        <v>1529</v>
      </c>
      <c r="E1714" t="s">
        <v>1787</v>
      </c>
      <c r="F1714" s="4">
        <v>2</v>
      </c>
      <c r="G1714">
        <v>508.52</v>
      </c>
      <c r="H1714">
        <v>0.11</v>
      </c>
      <c r="I1714" t="s">
        <v>1812</v>
      </c>
      <c r="J1714">
        <v>905.16559999999993</v>
      </c>
      <c r="K1714" t="s">
        <v>276</v>
      </c>
      <c r="L1714">
        <v>29</v>
      </c>
      <c r="M1714" t="s">
        <v>9</v>
      </c>
      <c r="N1714" t="s">
        <v>277</v>
      </c>
      <c r="O1714" t="s">
        <v>96</v>
      </c>
      <c r="P1714" t="s">
        <v>12</v>
      </c>
      <c r="Q1714" t="s">
        <v>13</v>
      </c>
      <c r="R1714" t="s">
        <v>3812</v>
      </c>
      <c r="S1714" t="s">
        <v>1530</v>
      </c>
      <c r="T1714" t="s">
        <v>3813</v>
      </c>
      <c r="U1714" t="s">
        <v>1531</v>
      </c>
      <c r="V1714" t="s">
        <v>1741</v>
      </c>
      <c r="W1714" t="s">
        <v>1742</v>
      </c>
      <c r="X1714" t="s">
        <v>1739</v>
      </c>
    </row>
    <row r="1715" spans="1:24" x14ac:dyDescent="0.3">
      <c r="A1715" t="s">
        <v>3522</v>
      </c>
      <c r="B1715" s="2">
        <v>45572</v>
      </c>
      <c r="C1715" t="s">
        <v>1427</v>
      </c>
      <c r="D1715" t="s">
        <v>1679</v>
      </c>
      <c r="E1715" t="s">
        <v>1749</v>
      </c>
      <c r="F1715" s="4">
        <v>1</v>
      </c>
      <c r="G1715">
        <v>492</v>
      </c>
      <c r="H1715">
        <v>0.26</v>
      </c>
      <c r="I1715" t="s">
        <v>1809</v>
      </c>
      <c r="J1715">
        <v>364.08</v>
      </c>
      <c r="K1715" t="s">
        <v>1428</v>
      </c>
      <c r="L1715">
        <v>19</v>
      </c>
      <c r="M1715" t="s">
        <v>9</v>
      </c>
      <c r="N1715" t="s">
        <v>1429</v>
      </c>
      <c r="O1715" t="s">
        <v>170</v>
      </c>
      <c r="P1715" t="s">
        <v>12</v>
      </c>
      <c r="Q1715" t="s">
        <v>26</v>
      </c>
      <c r="R1715" t="s">
        <v>3907</v>
      </c>
      <c r="S1715" t="s">
        <v>1546</v>
      </c>
      <c r="T1715" t="s">
        <v>3826</v>
      </c>
      <c r="U1715" t="s">
        <v>1680</v>
      </c>
      <c r="V1715" t="s">
        <v>1750</v>
      </c>
      <c r="W1715" t="s">
        <v>1742</v>
      </c>
      <c r="X1715" t="s">
        <v>1748</v>
      </c>
    </row>
    <row r="1716" spans="1:24" x14ac:dyDescent="0.3">
      <c r="A1716" t="s">
        <v>3523</v>
      </c>
      <c r="B1716" s="2">
        <v>45347</v>
      </c>
      <c r="C1716" t="s">
        <v>1475</v>
      </c>
      <c r="D1716" t="s">
        <v>1605</v>
      </c>
      <c r="E1716" t="s">
        <v>1782</v>
      </c>
      <c r="F1716" s="4">
        <v>4</v>
      </c>
      <c r="G1716">
        <v>746.36</v>
      </c>
      <c r="H1716">
        <v>0.02</v>
      </c>
      <c r="I1716" t="s">
        <v>1807</v>
      </c>
      <c r="J1716">
        <v>2925.7312000000002</v>
      </c>
      <c r="K1716" t="s">
        <v>1476</v>
      </c>
      <c r="L1716">
        <v>22</v>
      </c>
      <c r="M1716" t="s">
        <v>16</v>
      </c>
      <c r="N1716" t="s">
        <v>1477</v>
      </c>
      <c r="O1716" t="s">
        <v>284</v>
      </c>
      <c r="P1716" t="s">
        <v>12</v>
      </c>
      <c r="Q1716" t="s">
        <v>26</v>
      </c>
      <c r="R1716" t="s">
        <v>3865</v>
      </c>
      <c r="S1716" t="s">
        <v>1530</v>
      </c>
      <c r="T1716" t="s">
        <v>3866</v>
      </c>
      <c r="U1716" t="s">
        <v>1606</v>
      </c>
      <c r="V1716" t="s">
        <v>1741</v>
      </c>
      <c r="W1716" t="s">
        <v>1742</v>
      </c>
      <c r="X1716" t="s">
        <v>1739</v>
      </c>
    </row>
    <row r="1717" spans="1:24" x14ac:dyDescent="0.3">
      <c r="A1717" t="s">
        <v>3524</v>
      </c>
      <c r="B1717" s="2">
        <v>45823</v>
      </c>
      <c r="C1717" t="s">
        <v>1327</v>
      </c>
      <c r="D1717" t="s">
        <v>1555</v>
      </c>
      <c r="E1717" t="s">
        <v>1740</v>
      </c>
      <c r="F1717" s="4">
        <v>1</v>
      </c>
      <c r="G1717">
        <v>120.83</v>
      </c>
      <c r="H1717">
        <v>0.08</v>
      </c>
      <c r="I1717" t="s">
        <v>1807</v>
      </c>
      <c r="J1717">
        <v>111.1636</v>
      </c>
      <c r="K1717" t="s">
        <v>1328</v>
      </c>
      <c r="L1717">
        <v>48</v>
      </c>
      <c r="M1717" t="s">
        <v>16</v>
      </c>
      <c r="N1717" t="s">
        <v>1329</v>
      </c>
      <c r="O1717" t="s">
        <v>58</v>
      </c>
      <c r="P1717" t="s">
        <v>12</v>
      </c>
      <c r="Q1717" t="s">
        <v>31</v>
      </c>
      <c r="R1717" t="s">
        <v>3832</v>
      </c>
      <c r="S1717" t="s">
        <v>1541</v>
      </c>
      <c r="T1717" t="s">
        <v>3833</v>
      </c>
      <c r="U1717" t="s">
        <v>1556</v>
      </c>
      <c r="V1717" t="s">
        <v>1741</v>
      </c>
      <c r="W1717" t="s">
        <v>1742</v>
      </c>
      <c r="X1717" t="s">
        <v>1739</v>
      </c>
    </row>
    <row r="1718" spans="1:24" x14ac:dyDescent="0.3">
      <c r="A1718" t="s">
        <v>3525</v>
      </c>
      <c r="B1718" s="2">
        <v>45394</v>
      </c>
      <c r="C1718" t="s">
        <v>1229</v>
      </c>
      <c r="D1718" t="s">
        <v>1685</v>
      </c>
      <c r="E1718" t="s">
        <v>1793</v>
      </c>
      <c r="F1718" s="4">
        <v>2</v>
      </c>
      <c r="G1718">
        <v>68.31</v>
      </c>
      <c r="H1718">
        <v>0.28999999999999998</v>
      </c>
      <c r="I1718" t="s">
        <v>1812</v>
      </c>
      <c r="J1718">
        <v>97.000199999999992</v>
      </c>
      <c r="K1718" t="s">
        <v>1230</v>
      </c>
      <c r="L1718">
        <v>57</v>
      </c>
      <c r="M1718" t="s">
        <v>16</v>
      </c>
      <c r="N1718" t="s">
        <v>1231</v>
      </c>
      <c r="O1718" t="s">
        <v>429</v>
      </c>
      <c r="P1718" t="s">
        <v>12</v>
      </c>
      <c r="Q1718" t="s">
        <v>26</v>
      </c>
      <c r="R1718" t="s">
        <v>3910</v>
      </c>
      <c r="S1718" t="s">
        <v>1546</v>
      </c>
      <c r="T1718" t="s">
        <v>3838</v>
      </c>
      <c r="U1718" t="s">
        <v>1686</v>
      </c>
      <c r="V1718" t="s">
        <v>1741</v>
      </c>
      <c r="W1718" t="s">
        <v>1742</v>
      </c>
      <c r="X1718" t="s">
        <v>1739</v>
      </c>
    </row>
    <row r="1719" spans="1:24" x14ac:dyDescent="0.3">
      <c r="A1719" t="s">
        <v>3526</v>
      </c>
      <c r="B1719" s="2">
        <v>45265</v>
      </c>
      <c r="C1719" t="s">
        <v>227</v>
      </c>
      <c r="D1719" t="s">
        <v>1575</v>
      </c>
      <c r="E1719" t="s">
        <v>1793</v>
      </c>
      <c r="F1719" s="4">
        <v>2</v>
      </c>
      <c r="G1719">
        <v>761.71</v>
      </c>
      <c r="H1719">
        <v>0.02</v>
      </c>
      <c r="I1719" t="s">
        <v>1809</v>
      </c>
      <c r="J1719">
        <v>1492.9516000000001</v>
      </c>
      <c r="K1719" t="s">
        <v>228</v>
      </c>
      <c r="L1719">
        <v>51</v>
      </c>
      <c r="M1719" t="s">
        <v>9</v>
      </c>
      <c r="N1719" t="s">
        <v>229</v>
      </c>
      <c r="O1719" t="s">
        <v>230</v>
      </c>
      <c r="P1719" t="s">
        <v>12</v>
      </c>
      <c r="Q1719" t="s">
        <v>26</v>
      </c>
      <c r="R1719" t="s">
        <v>3848</v>
      </c>
      <c r="S1719" t="s">
        <v>1549</v>
      </c>
      <c r="T1719" t="s">
        <v>3844</v>
      </c>
      <c r="U1719" t="s">
        <v>1576</v>
      </c>
      <c r="V1719" t="s">
        <v>1741</v>
      </c>
      <c r="W1719" t="s">
        <v>1742</v>
      </c>
      <c r="X1719" t="s">
        <v>1739</v>
      </c>
    </row>
    <row r="1720" spans="1:24" x14ac:dyDescent="0.3">
      <c r="A1720" t="s">
        <v>3527</v>
      </c>
      <c r="B1720" s="2">
        <v>45261</v>
      </c>
      <c r="C1720" t="s">
        <v>241</v>
      </c>
      <c r="D1720" t="s">
        <v>1687</v>
      </c>
      <c r="E1720" t="s">
        <v>1749</v>
      </c>
      <c r="F1720" s="4">
        <v>4</v>
      </c>
      <c r="G1720">
        <v>346.37</v>
      </c>
      <c r="H1720">
        <v>0.18</v>
      </c>
      <c r="I1720" t="s">
        <v>1812</v>
      </c>
      <c r="J1720">
        <v>1136.0935999999999</v>
      </c>
      <c r="K1720" t="s">
        <v>242</v>
      </c>
      <c r="L1720">
        <v>58</v>
      </c>
      <c r="M1720" t="s">
        <v>9</v>
      </c>
      <c r="N1720" t="s">
        <v>243</v>
      </c>
      <c r="O1720" t="s">
        <v>47</v>
      </c>
      <c r="P1720" t="s">
        <v>12</v>
      </c>
      <c r="Q1720" t="s">
        <v>31</v>
      </c>
      <c r="R1720" t="s">
        <v>3911</v>
      </c>
      <c r="S1720" t="s">
        <v>1527</v>
      </c>
      <c r="T1720" t="s">
        <v>3836</v>
      </c>
      <c r="U1720" t="s">
        <v>1688</v>
      </c>
      <c r="V1720" t="s">
        <v>1750</v>
      </c>
      <c r="W1720" t="s">
        <v>1742</v>
      </c>
      <c r="X1720" t="s">
        <v>1748</v>
      </c>
    </row>
    <row r="1721" spans="1:24" x14ac:dyDescent="0.3">
      <c r="A1721" t="s">
        <v>3528</v>
      </c>
      <c r="B1721" s="2">
        <v>45702</v>
      </c>
      <c r="C1721" t="s">
        <v>40</v>
      </c>
      <c r="D1721" t="s">
        <v>1641</v>
      </c>
      <c r="E1721" t="s">
        <v>1777</v>
      </c>
      <c r="F1721" s="4">
        <v>1</v>
      </c>
      <c r="G1721">
        <v>846.3</v>
      </c>
      <c r="H1721">
        <v>0.14000000000000001</v>
      </c>
      <c r="I1721" t="s">
        <v>1809</v>
      </c>
      <c r="J1721">
        <v>727.81799999999998</v>
      </c>
      <c r="K1721" t="s">
        <v>41</v>
      </c>
      <c r="L1721">
        <v>53</v>
      </c>
      <c r="M1721" t="s">
        <v>16</v>
      </c>
      <c r="N1721" t="s">
        <v>42</v>
      </c>
      <c r="O1721" t="s">
        <v>43</v>
      </c>
      <c r="P1721" t="s">
        <v>12</v>
      </c>
      <c r="Q1721" t="s">
        <v>26</v>
      </c>
      <c r="R1721" t="s">
        <v>3887</v>
      </c>
      <c r="S1721" t="s">
        <v>1527</v>
      </c>
      <c r="T1721" t="s">
        <v>3836</v>
      </c>
      <c r="U1721" t="s">
        <v>1642</v>
      </c>
      <c r="V1721" t="s">
        <v>1741</v>
      </c>
      <c r="W1721" t="s">
        <v>1742</v>
      </c>
      <c r="X1721" t="s">
        <v>1739</v>
      </c>
    </row>
    <row r="1722" spans="1:24" x14ac:dyDescent="0.3">
      <c r="A1722" t="s">
        <v>3529</v>
      </c>
      <c r="B1722" s="2">
        <v>45624</v>
      </c>
      <c r="C1722" t="s">
        <v>1324</v>
      </c>
      <c r="D1722" t="s">
        <v>1526</v>
      </c>
      <c r="E1722" t="s">
        <v>1796</v>
      </c>
      <c r="F1722" s="4">
        <v>1</v>
      </c>
      <c r="G1722">
        <v>458.97</v>
      </c>
      <c r="H1722">
        <v>0.1</v>
      </c>
      <c r="I1722" t="s">
        <v>1809</v>
      </c>
      <c r="J1722">
        <v>413.07299999999998</v>
      </c>
      <c r="K1722" t="s">
        <v>1325</v>
      </c>
      <c r="L1722">
        <v>51</v>
      </c>
      <c r="M1722" t="s">
        <v>16</v>
      </c>
      <c r="N1722" t="s">
        <v>1326</v>
      </c>
      <c r="O1722" t="s">
        <v>88</v>
      </c>
      <c r="P1722" t="s">
        <v>12</v>
      </c>
      <c r="Q1722" t="s">
        <v>26</v>
      </c>
      <c r="R1722" t="s">
        <v>3810</v>
      </c>
      <c r="S1722" t="s">
        <v>1546</v>
      </c>
      <c r="T1722" t="s">
        <v>3811</v>
      </c>
      <c r="U1722" t="s">
        <v>1528</v>
      </c>
      <c r="V1722" t="s">
        <v>1741</v>
      </c>
      <c r="W1722" t="s">
        <v>1742</v>
      </c>
      <c r="X1722" t="s">
        <v>1739</v>
      </c>
    </row>
    <row r="1723" spans="1:24" x14ac:dyDescent="0.3">
      <c r="A1723" t="s">
        <v>3530</v>
      </c>
      <c r="B1723" s="2">
        <v>45736</v>
      </c>
      <c r="C1723" t="s">
        <v>909</v>
      </c>
      <c r="D1723" t="s">
        <v>1617</v>
      </c>
      <c r="E1723" t="s">
        <v>1762</v>
      </c>
      <c r="F1723" s="4">
        <v>2</v>
      </c>
      <c r="G1723">
        <v>536.61</v>
      </c>
      <c r="H1723">
        <v>0.14000000000000001</v>
      </c>
      <c r="I1723" t="s">
        <v>1807</v>
      </c>
      <c r="J1723">
        <v>922.9692</v>
      </c>
      <c r="K1723" t="s">
        <v>910</v>
      </c>
      <c r="L1723">
        <v>52</v>
      </c>
      <c r="M1723" t="s">
        <v>16</v>
      </c>
      <c r="N1723" t="s">
        <v>911</v>
      </c>
      <c r="O1723" t="s">
        <v>25</v>
      </c>
      <c r="P1723" t="s">
        <v>12</v>
      </c>
      <c r="Q1723" t="s">
        <v>26</v>
      </c>
      <c r="R1723" t="s">
        <v>3873</v>
      </c>
      <c r="S1723" t="s">
        <v>1546</v>
      </c>
      <c r="T1723" t="s">
        <v>3811</v>
      </c>
      <c r="U1723" t="s">
        <v>1618</v>
      </c>
      <c r="V1723" t="s">
        <v>1763</v>
      </c>
      <c r="W1723" t="s">
        <v>1746</v>
      </c>
      <c r="X1723" t="s">
        <v>1755</v>
      </c>
    </row>
    <row r="1724" spans="1:24" x14ac:dyDescent="0.3">
      <c r="A1724" t="s">
        <v>3531</v>
      </c>
      <c r="B1724" s="2">
        <v>45709</v>
      </c>
      <c r="C1724" t="s">
        <v>1290</v>
      </c>
      <c r="D1724" t="s">
        <v>1647</v>
      </c>
      <c r="E1724" t="s">
        <v>1735</v>
      </c>
      <c r="F1724" s="4">
        <v>3</v>
      </c>
      <c r="G1724">
        <v>130.41</v>
      </c>
      <c r="H1724">
        <v>0.14000000000000001</v>
      </c>
      <c r="I1724" t="s">
        <v>1809</v>
      </c>
      <c r="J1724">
        <v>336.45780000000002</v>
      </c>
      <c r="K1724" t="s">
        <v>3949</v>
      </c>
      <c r="L1724">
        <v>45</v>
      </c>
      <c r="M1724" t="s">
        <v>16</v>
      </c>
      <c r="N1724" t="s">
        <v>1291</v>
      </c>
      <c r="O1724" t="s">
        <v>11</v>
      </c>
      <c r="P1724" t="s">
        <v>12</v>
      </c>
      <c r="Q1724" t="s">
        <v>26</v>
      </c>
      <c r="R1724" t="s">
        <v>3890</v>
      </c>
      <c r="S1724" t="s">
        <v>1530</v>
      </c>
      <c r="T1724" t="s">
        <v>3820</v>
      </c>
      <c r="U1724" t="s">
        <v>1648</v>
      </c>
      <c r="V1724" t="s">
        <v>1736</v>
      </c>
      <c r="W1724" t="s">
        <v>1737</v>
      </c>
      <c r="X1724" t="s">
        <v>1739</v>
      </c>
    </row>
    <row r="1725" spans="1:24" x14ac:dyDescent="0.3">
      <c r="A1725" t="s">
        <v>3532</v>
      </c>
      <c r="B1725" s="2">
        <v>45738</v>
      </c>
      <c r="C1725" t="s">
        <v>1507</v>
      </c>
      <c r="D1725" t="s">
        <v>1709</v>
      </c>
      <c r="E1725" t="s">
        <v>1777</v>
      </c>
      <c r="F1725" s="4">
        <v>4</v>
      </c>
      <c r="G1725">
        <v>706.67</v>
      </c>
      <c r="H1725">
        <v>0.01</v>
      </c>
      <c r="I1725" t="s">
        <v>1807</v>
      </c>
      <c r="J1725">
        <v>2798.4132</v>
      </c>
      <c r="K1725" t="s">
        <v>1508</v>
      </c>
      <c r="L1725">
        <v>47</v>
      </c>
      <c r="M1725" t="s">
        <v>16</v>
      </c>
      <c r="N1725" t="s">
        <v>1509</v>
      </c>
      <c r="O1725" t="s">
        <v>25</v>
      </c>
      <c r="P1725" t="s">
        <v>12</v>
      </c>
      <c r="Q1725" t="s">
        <v>26</v>
      </c>
      <c r="R1725" t="s">
        <v>3922</v>
      </c>
      <c r="S1725" t="s">
        <v>1541</v>
      </c>
      <c r="T1725" t="s">
        <v>3878</v>
      </c>
      <c r="U1725" t="s">
        <v>1710</v>
      </c>
      <c r="V1725" t="s">
        <v>1741</v>
      </c>
      <c r="W1725" t="s">
        <v>1742</v>
      </c>
      <c r="X1725" t="s">
        <v>1739</v>
      </c>
    </row>
    <row r="1726" spans="1:24" x14ac:dyDescent="0.3">
      <c r="A1726" t="s">
        <v>3533</v>
      </c>
      <c r="B1726" s="2">
        <v>45685</v>
      </c>
      <c r="C1726" t="s">
        <v>1210</v>
      </c>
      <c r="D1726" t="s">
        <v>1585</v>
      </c>
      <c r="E1726" t="s">
        <v>1749</v>
      </c>
      <c r="F1726" s="4">
        <v>3</v>
      </c>
      <c r="G1726">
        <v>523.45000000000005</v>
      </c>
      <c r="H1726">
        <v>0.17</v>
      </c>
      <c r="I1726" t="s">
        <v>1807</v>
      </c>
      <c r="J1726">
        <v>1303.3905</v>
      </c>
      <c r="K1726" t="s">
        <v>1211</v>
      </c>
      <c r="L1726">
        <v>46</v>
      </c>
      <c r="M1726" t="s">
        <v>9</v>
      </c>
      <c r="N1726" t="s">
        <v>1212</v>
      </c>
      <c r="O1726" t="s">
        <v>113</v>
      </c>
      <c r="P1726" t="s">
        <v>12</v>
      </c>
      <c r="Q1726" t="s">
        <v>13</v>
      </c>
      <c r="R1726" t="s">
        <v>3854</v>
      </c>
      <c r="S1726" t="s">
        <v>1527</v>
      </c>
      <c r="T1726" t="s">
        <v>3836</v>
      </c>
      <c r="U1726" t="s">
        <v>1586</v>
      </c>
      <c r="V1726" t="s">
        <v>1750</v>
      </c>
      <c r="W1726" t="s">
        <v>1742</v>
      </c>
      <c r="X1726" t="s">
        <v>1748</v>
      </c>
    </row>
    <row r="1727" spans="1:24" x14ac:dyDescent="0.3">
      <c r="A1727" t="s">
        <v>3534</v>
      </c>
      <c r="B1727" s="2">
        <v>45701</v>
      </c>
      <c r="C1727" t="s">
        <v>48</v>
      </c>
      <c r="D1727" t="s">
        <v>1713</v>
      </c>
      <c r="E1727" t="s">
        <v>1793</v>
      </c>
      <c r="F1727" s="4">
        <v>3</v>
      </c>
      <c r="G1727">
        <v>482.2</v>
      </c>
      <c r="H1727">
        <v>0.23</v>
      </c>
      <c r="I1727" t="s">
        <v>1812</v>
      </c>
      <c r="J1727">
        <v>1113.8820000000001</v>
      </c>
      <c r="K1727" t="s">
        <v>49</v>
      </c>
      <c r="L1727">
        <v>53</v>
      </c>
      <c r="M1727" t="s">
        <v>9</v>
      </c>
      <c r="N1727" t="s">
        <v>50</v>
      </c>
      <c r="O1727" t="s">
        <v>51</v>
      </c>
      <c r="P1727" t="s">
        <v>12</v>
      </c>
      <c r="Q1727" t="s">
        <v>19</v>
      </c>
      <c r="R1727" t="s">
        <v>3924</v>
      </c>
      <c r="S1727" t="s">
        <v>1530</v>
      </c>
      <c r="T1727" t="s">
        <v>3866</v>
      </c>
      <c r="U1727" t="s">
        <v>1714</v>
      </c>
      <c r="V1727" t="s">
        <v>1741</v>
      </c>
      <c r="W1727" t="s">
        <v>1742</v>
      </c>
      <c r="X1727" t="s">
        <v>1739</v>
      </c>
    </row>
    <row r="1728" spans="1:24" x14ac:dyDescent="0.3">
      <c r="A1728" t="s">
        <v>3535</v>
      </c>
      <c r="B1728" s="2">
        <v>45745</v>
      </c>
      <c r="C1728" t="s">
        <v>423</v>
      </c>
      <c r="D1728" t="s">
        <v>1657</v>
      </c>
      <c r="E1728" t="s">
        <v>1756</v>
      </c>
      <c r="F1728" s="4">
        <v>4</v>
      </c>
      <c r="G1728">
        <v>688.86</v>
      </c>
      <c r="H1728">
        <v>0.02</v>
      </c>
      <c r="I1728" t="s">
        <v>1812</v>
      </c>
      <c r="J1728">
        <v>2700.3312000000001</v>
      </c>
      <c r="K1728" t="s">
        <v>424</v>
      </c>
      <c r="L1728">
        <v>64</v>
      </c>
      <c r="M1728" t="s">
        <v>16</v>
      </c>
      <c r="N1728" t="s">
        <v>425</v>
      </c>
      <c r="O1728" t="s">
        <v>191</v>
      </c>
      <c r="P1728" t="s">
        <v>12</v>
      </c>
      <c r="Q1728" t="s">
        <v>26</v>
      </c>
      <c r="R1728" t="s">
        <v>3895</v>
      </c>
      <c r="S1728" t="s">
        <v>1541</v>
      </c>
      <c r="T1728" t="s">
        <v>3822</v>
      </c>
      <c r="U1728" t="s">
        <v>1658</v>
      </c>
      <c r="V1728" t="s">
        <v>1757</v>
      </c>
      <c r="W1728" t="s">
        <v>1742</v>
      </c>
      <c r="X1728" t="s">
        <v>1748</v>
      </c>
    </row>
    <row r="1729" spans="1:24" x14ac:dyDescent="0.3">
      <c r="A1729" t="s">
        <v>3536</v>
      </c>
      <c r="B1729" s="2">
        <v>45214</v>
      </c>
      <c r="C1729" t="s">
        <v>100</v>
      </c>
      <c r="D1729" t="s">
        <v>1555</v>
      </c>
      <c r="E1729" t="s">
        <v>1735</v>
      </c>
      <c r="F1729" s="4">
        <v>1</v>
      </c>
      <c r="G1729">
        <v>145.47999999999999</v>
      </c>
      <c r="H1729">
        <v>0.1</v>
      </c>
      <c r="I1729" t="s">
        <v>1812</v>
      </c>
      <c r="J1729">
        <v>130.93199999999999</v>
      </c>
      <c r="K1729" t="s">
        <v>101</v>
      </c>
      <c r="L1729">
        <v>40</v>
      </c>
      <c r="M1729" t="s">
        <v>9</v>
      </c>
      <c r="N1729" t="s">
        <v>102</v>
      </c>
      <c r="O1729" t="s">
        <v>35</v>
      </c>
      <c r="P1729" t="s">
        <v>12</v>
      </c>
      <c r="Q1729" t="s">
        <v>31</v>
      </c>
      <c r="R1729" t="s">
        <v>3832</v>
      </c>
      <c r="S1729" t="s">
        <v>1541</v>
      </c>
      <c r="T1729" t="s">
        <v>3833</v>
      </c>
      <c r="U1729" t="s">
        <v>1556</v>
      </c>
      <c r="V1729" t="s">
        <v>1736</v>
      </c>
      <c r="W1729" t="s">
        <v>1737</v>
      </c>
      <c r="X1729" t="s">
        <v>1739</v>
      </c>
    </row>
    <row r="1730" spans="1:24" x14ac:dyDescent="0.3">
      <c r="A1730" t="s">
        <v>3537</v>
      </c>
      <c r="B1730" s="2">
        <v>45547</v>
      </c>
      <c r="C1730" t="s">
        <v>195</v>
      </c>
      <c r="D1730" t="s">
        <v>1593</v>
      </c>
      <c r="E1730" t="s">
        <v>1775</v>
      </c>
      <c r="F1730" s="4">
        <v>4</v>
      </c>
      <c r="G1730">
        <v>862.25</v>
      </c>
      <c r="H1730">
        <v>0.28000000000000003</v>
      </c>
      <c r="I1730" t="s">
        <v>1809</v>
      </c>
      <c r="J1730">
        <v>2483.2800000000002</v>
      </c>
      <c r="K1730" t="s">
        <v>196</v>
      </c>
      <c r="L1730">
        <v>37</v>
      </c>
      <c r="M1730" t="s">
        <v>16</v>
      </c>
      <c r="N1730" t="s">
        <v>197</v>
      </c>
      <c r="O1730" t="s">
        <v>198</v>
      </c>
      <c r="P1730" t="s">
        <v>12</v>
      </c>
      <c r="Q1730" t="s">
        <v>26</v>
      </c>
      <c r="R1730" t="s">
        <v>3858</v>
      </c>
      <c r="S1730" t="s">
        <v>1549</v>
      </c>
      <c r="T1730" t="s">
        <v>3859</v>
      </c>
      <c r="U1730" t="s">
        <v>1594</v>
      </c>
      <c r="V1730" t="s">
        <v>1741</v>
      </c>
      <c r="W1730" t="s">
        <v>1742</v>
      </c>
      <c r="X1730" t="s">
        <v>1739</v>
      </c>
    </row>
    <row r="1731" spans="1:24" x14ac:dyDescent="0.3">
      <c r="A1731" t="s">
        <v>3538</v>
      </c>
      <c r="B1731" s="2">
        <v>45296</v>
      </c>
      <c r="C1731" t="s">
        <v>917</v>
      </c>
      <c r="D1731" t="s">
        <v>1529</v>
      </c>
      <c r="E1731" t="s">
        <v>1782</v>
      </c>
      <c r="F1731" s="4">
        <v>4</v>
      </c>
      <c r="G1731">
        <v>146.12</v>
      </c>
      <c r="H1731">
        <v>0.12</v>
      </c>
      <c r="I1731" t="s">
        <v>1812</v>
      </c>
      <c r="J1731">
        <v>514.3424</v>
      </c>
      <c r="K1731" t="s">
        <v>918</v>
      </c>
      <c r="L1731">
        <v>56</v>
      </c>
      <c r="M1731" t="s">
        <v>16</v>
      </c>
      <c r="N1731" t="s">
        <v>919</v>
      </c>
      <c r="O1731" t="s">
        <v>198</v>
      </c>
      <c r="P1731" t="s">
        <v>12</v>
      </c>
      <c r="Q1731" t="s">
        <v>31</v>
      </c>
      <c r="R1731" t="s">
        <v>3812</v>
      </c>
      <c r="S1731" t="s">
        <v>1530</v>
      </c>
      <c r="T1731" t="s">
        <v>3813</v>
      </c>
      <c r="U1731" t="s">
        <v>1531</v>
      </c>
      <c r="V1731" t="s">
        <v>1741</v>
      </c>
      <c r="W1731" t="s">
        <v>1742</v>
      </c>
      <c r="X1731" t="s">
        <v>1739</v>
      </c>
    </row>
    <row r="1732" spans="1:24" x14ac:dyDescent="0.3">
      <c r="A1732" t="s">
        <v>3539</v>
      </c>
      <c r="B1732" s="2">
        <v>45549</v>
      </c>
      <c r="C1732" t="s">
        <v>1456</v>
      </c>
      <c r="D1732" t="s">
        <v>1593</v>
      </c>
      <c r="E1732" t="s">
        <v>1793</v>
      </c>
      <c r="F1732" s="4">
        <v>2</v>
      </c>
      <c r="G1732">
        <v>695.02</v>
      </c>
      <c r="H1732">
        <v>0.3</v>
      </c>
      <c r="I1732" t="s">
        <v>1812</v>
      </c>
      <c r="J1732">
        <v>973.02799999999991</v>
      </c>
      <c r="K1732" t="s">
        <v>3951</v>
      </c>
      <c r="L1732">
        <v>40</v>
      </c>
      <c r="M1732" t="s">
        <v>9</v>
      </c>
      <c r="N1732" t="s">
        <v>1457</v>
      </c>
      <c r="O1732" t="s">
        <v>39</v>
      </c>
      <c r="P1732" t="s">
        <v>12</v>
      </c>
      <c r="Q1732" t="s">
        <v>13</v>
      </c>
      <c r="R1732" t="s">
        <v>3858</v>
      </c>
      <c r="S1732" t="s">
        <v>1549</v>
      </c>
      <c r="T1732" t="s">
        <v>3859</v>
      </c>
      <c r="U1732" t="s">
        <v>1594</v>
      </c>
      <c r="V1732" t="s">
        <v>1741</v>
      </c>
      <c r="W1732" t="s">
        <v>1742</v>
      </c>
      <c r="X1732" t="s">
        <v>1739</v>
      </c>
    </row>
    <row r="1733" spans="1:24" x14ac:dyDescent="0.3">
      <c r="A1733" t="s">
        <v>3540</v>
      </c>
      <c r="B1733" s="2">
        <v>45231</v>
      </c>
      <c r="C1733" t="s">
        <v>705</v>
      </c>
      <c r="D1733" t="s">
        <v>1719</v>
      </c>
      <c r="E1733" t="s">
        <v>1772</v>
      </c>
      <c r="F1733" s="4">
        <v>2</v>
      </c>
      <c r="G1733">
        <v>886.67</v>
      </c>
      <c r="H1733">
        <v>0.24</v>
      </c>
      <c r="I1733" t="s">
        <v>1809</v>
      </c>
      <c r="J1733">
        <v>1347.7384</v>
      </c>
      <c r="K1733" t="s">
        <v>706</v>
      </c>
      <c r="L1733">
        <v>50</v>
      </c>
      <c r="M1733" t="s">
        <v>16</v>
      </c>
      <c r="N1733" t="s">
        <v>3809</v>
      </c>
      <c r="O1733" t="s">
        <v>88</v>
      </c>
      <c r="P1733" t="s">
        <v>12</v>
      </c>
      <c r="Q1733" t="s">
        <v>13</v>
      </c>
      <c r="R1733" t="s">
        <v>3927</v>
      </c>
      <c r="S1733" t="s">
        <v>1541</v>
      </c>
      <c r="T1733" t="s">
        <v>3822</v>
      </c>
      <c r="U1733" t="s">
        <v>1720</v>
      </c>
      <c r="V1733" t="s">
        <v>1741</v>
      </c>
      <c r="W1733" t="s">
        <v>1742</v>
      </c>
      <c r="X1733" t="s">
        <v>1739</v>
      </c>
    </row>
    <row r="1734" spans="1:24" x14ac:dyDescent="0.3">
      <c r="A1734" t="s">
        <v>3541</v>
      </c>
      <c r="B1734" s="2">
        <v>45628</v>
      </c>
      <c r="C1734" t="s">
        <v>202</v>
      </c>
      <c r="D1734" t="s">
        <v>1663</v>
      </c>
      <c r="E1734" t="s">
        <v>1793</v>
      </c>
      <c r="F1734" s="4">
        <v>2</v>
      </c>
      <c r="G1734">
        <v>864.09</v>
      </c>
      <c r="H1734">
        <v>0.06</v>
      </c>
      <c r="I1734" t="s">
        <v>1812</v>
      </c>
      <c r="J1734">
        <v>1624.4892</v>
      </c>
      <c r="K1734" t="s">
        <v>203</v>
      </c>
      <c r="L1734">
        <v>56</v>
      </c>
      <c r="M1734" t="s">
        <v>16</v>
      </c>
      <c r="N1734" t="s">
        <v>204</v>
      </c>
      <c r="O1734" t="s">
        <v>96</v>
      </c>
      <c r="P1734" t="s">
        <v>12</v>
      </c>
      <c r="Q1734" t="s">
        <v>19</v>
      </c>
      <c r="R1734" t="s">
        <v>3898</v>
      </c>
      <c r="S1734" t="s">
        <v>1541</v>
      </c>
      <c r="T1734" t="s">
        <v>3833</v>
      </c>
      <c r="U1734" t="s">
        <v>1664</v>
      </c>
      <c r="V1734" t="s">
        <v>1741</v>
      </c>
      <c r="W1734" t="s">
        <v>1742</v>
      </c>
      <c r="X1734" t="s">
        <v>1739</v>
      </c>
    </row>
    <row r="1735" spans="1:24" x14ac:dyDescent="0.3">
      <c r="A1735" t="s">
        <v>3542</v>
      </c>
      <c r="B1735" s="2">
        <v>45862</v>
      </c>
      <c r="C1735" t="s">
        <v>23</v>
      </c>
      <c r="D1735" t="s">
        <v>1555</v>
      </c>
      <c r="E1735" t="s">
        <v>1769</v>
      </c>
      <c r="F1735" s="4">
        <v>1</v>
      </c>
      <c r="G1735">
        <v>437.65</v>
      </c>
      <c r="H1735">
        <v>0.02</v>
      </c>
      <c r="I1735" t="s">
        <v>1809</v>
      </c>
      <c r="J1735">
        <v>428.89699999999999</v>
      </c>
      <c r="K1735" t="s">
        <v>3934</v>
      </c>
      <c r="L1735">
        <v>64</v>
      </c>
      <c r="M1735" t="s">
        <v>16</v>
      </c>
      <c r="N1735" t="s">
        <v>24</v>
      </c>
      <c r="O1735" t="s">
        <v>25</v>
      </c>
      <c r="P1735" t="s">
        <v>12</v>
      </c>
      <c r="Q1735" t="s">
        <v>26</v>
      </c>
      <c r="R1735" t="s">
        <v>3832</v>
      </c>
      <c r="S1735" t="s">
        <v>1541</v>
      </c>
      <c r="T1735" t="s">
        <v>3833</v>
      </c>
      <c r="U1735" t="s">
        <v>1556</v>
      </c>
      <c r="V1735" t="s">
        <v>1770</v>
      </c>
      <c r="W1735" t="s">
        <v>1746</v>
      </c>
      <c r="X1735" t="s">
        <v>1739</v>
      </c>
    </row>
    <row r="1736" spans="1:24" x14ac:dyDescent="0.3">
      <c r="A1736" t="s">
        <v>3543</v>
      </c>
      <c r="B1736" s="2">
        <v>45843</v>
      </c>
      <c r="C1736" t="s">
        <v>654</v>
      </c>
      <c r="D1736" t="s">
        <v>1603</v>
      </c>
      <c r="E1736" t="s">
        <v>1780</v>
      </c>
      <c r="F1736" s="4">
        <v>2</v>
      </c>
      <c r="G1736">
        <v>208.09</v>
      </c>
      <c r="H1736">
        <v>0.27</v>
      </c>
      <c r="I1736" t="s">
        <v>1807</v>
      </c>
      <c r="J1736">
        <v>303.81139999999999</v>
      </c>
      <c r="K1736" t="s">
        <v>655</v>
      </c>
      <c r="L1736">
        <v>47</v>
      </c>
      <c r="M1736" t="s">
        <v>9</v>
      </c>
      <c r="N1736" t="s">
        <v>656</v>
      </c>
      <c r="O1736" t="s">
        <v>62</v>
      </c>
      <c r="P1736" t="s">
        <v>12</v>
      </c>
      <c r="Q1736" t="s">
        <v>19</v>
      </c>
      <c r="R1736" t="s">
        <v>3864</v>
      </c>
      <c r="S1736" t="s">
        <v>1530</v>
      </c>
      <c r="T1736" t="s">
        <v>3813</v>
      </c>
      <c r="U1736" t="s">
        <v>1604</v>
      </c>
      <c r="V1736" t="s">
        <v>1741</v>
      </c>
      <c r="W1736" t="s">
        <v>1742</v>
      </c>
      <c r="X1736" t="s">
        <v>1739</v>
      </c>
    </row>
    <row r="1737" spans="1:24" x14ac:dyDescent="0.3">
      <c r="A1737" t="s">
        <v>3544</v>
      </c>
      <c r="B1737" s="2">
        <v>45482</v>
      </c>
      <c r="C1737" t="s">
        <v>202</v>
      </c>
      <c r="D1737" t="s">
        <v>1717</v>
      </c>
      <c r="E1737" t="s">
        <v>1790</v>
      </c>
      <c r="F1737" s="4">
        <v>4</v>
      </c>
      <c r="G1737">
        <v>825.78</v>
      </c>
      <c r="H1737">
        <v>0.02</v>
      </c>
      <c r="I1737" t="s">
        <v>1807</v>
      </c>
      <c r="J1737">
        <v>3237.0576000000001</v>
      </c>
      <c r="K1737" t="s">
        <v>203</v>
      </c>
      <c r="L1737">
        <v>56</v>
      </c>
      <c r="M1737" t="s">
        <v>16</v>
      </c>
      <c r="N1737" t="s">
        <v>204</v>
      </c>
      <c r="O1737" t="s">
        <v>96</v>
      </c>
      <c r="P1737" t="s">
        <v>12</v>
      </c>
      <c r="Q1737" t="s">
        <v>19</v>
      </c>
      <c r="R1737" t="s">
        <v>3926</v>
      </c>
      <c r="S1737" t="s">
        <v>1546</v>
      </c>
      <c r="T1737" t="s">
        <v>3811</v>
      </c>
      <c r="U1737" t="s">
        <v>1718</v>
      </c>
      <c r="V1737" t="s">
        <v>1741</v>
      </c>
      <c r="W1737" t="s">
        <v>1742</v>
      </c>
      <c r="X1737" t="s">
        <v>1739</v>
      </c>
    </row>
    <row r="1738" spans="1:24" x14ac:dyDescent="0.3">
      <c r="A1738" t="s">
        <v>3545</v>
      </c>
      <c r="B1738" s="2">
        <v>45313</v>
      </c>
      <c r="C1738" t="s">
        <v>400</v>
      </c>
      <c r="D1738" t="s">
        <v>1581</v>
      </c>
      <c r="E1738" t="s">
        <v>1790</v>
      </c>
      <c r="F1738" s="4">
        <v>3</v>
      </c>
      <c r="G1738">
        <v>849.77</v>
      </c>
      <c r="H1738">
        <v>0.12</v>
      </c>
      <c r="I1738" t="s">
        <v>1809</v>
      </c>
      <c r="J1738">
        <v>2243.3928000000001</v>
      </c>
      <c r="K1738" t="s">
        <v>401</v>
      </c>
      <c r="L1738">
        <v>21</v>
      </c>
      <c r="M1738" t="s">
        <v>16</v>
      </c>
      <c r="N1738" t="s">
        <v>402</v>
      </c>
      <c r="O1738" t="s">
        <v>214</v>
      </c>
      <c r="P1738" t="s">
        <v>12</v>
      </c>
      <c r="Q1738" t="s">
        <v>19</v>
      </c>
      <c r="R1738" t="s">
        <v>3852</v>
      </c>
      <c r="S1738" t="s">
        <v>1530</v>
      </c>
      <c r="T1738" t="s">
        <v>3820</v>
      </c>
      <c r="U1738" t="s">
        <v>1582</v>
      </c>
      <c r="V1738" t="s">
        <v>1741</v>
      </c>
      <c r="W1738" t="s">
        <v>1742</v>
      </c>
      <c r="X1738" t="s">
        <v>1739</v>
      </c>
    </row>
    <row r="1739" spans="1:24" x14ac:dyDescent="0.3">
      <c r="A1739" t="s">
        <v>3546</v>
      </c>
      <c r="B1739" s="2">
        <v>45314</v>
      </c>
      <c r="C1739" t="s">
        <v>1069</v>
      </c>
      <c r="D1739" t="s">
        <v>1651</v>
      </c>
      <c r="E1739" t="s">
        <v>1752</v>
      </c>
      <c r="F1739" s="4">
        <v>1</v>
      </c>
      <c r="G1739">
        <v>88.78</v>
      </c>
      <c r="H1739">
        <v>0.18</v>
      </c>
      <c r="I1739" t="s">
        <v>1807</v>
      </c>
      <c r="J1739">
        <v>72.799600000000012</v>
      </c>
      <c r="K1739" t="s">
        <v>1070</v>
      </c>
      <c r="L1739">
        <v>33</v>
      </c>
      <c r="M1739" t="s">
        <v>9</v>
      </c>
      <c r="N1739" t="s">
        <v>1071</v>
      </c>
      <c r="O1739" t="s">
        <v>230</v>
      </c>
      <c r="P1739" t="s">
        <v>12</v>
      </c>
      <c r="Q1739" t="s">
        <v>13</v>
      </c>
      <c r="R1739" t="s">
        <v>3892</v>
      </c>
      <c r="S1739" t="s">
        <v>1541</v>
      </c>
      <c r="T1739" t="s">
        <v>3881</v>
      </c>
      <c r="U1739" t="s">
        <v>1652</v>
      </c>
      <c r="V1739" t="s">
        <v>1753</v>
      </c>
      <c r="W1739" t="s">
        <v>1746</v>
      </c>
      <c r="X1739" t="s">
        <v>1755</v>
      </c>
    </row>
    <row r="1740" spans="1:24" x14ac:dyDescent="0.3">
      <c r="A1740" t="s">
        <v>3547</v>
      </c>
      <c r="B1740" s="2">
        <v>45526</v>
      </c>
      <c r="C1740" t="s">
        <v>622</v>
      </c>
      <c r="D1740" t="s">
        <v>1687</v>
      </c>
      <c r="E1740" t="s">
        <v>1752</v>
      </c>
      <c r="F1740" s="4">
        <v>4</v>
      </c>
      <c r="G1740">
        <v>507.22</v>
      </c>
      <c r="H1740">
        <v>0.14000000000000001</v>
      </c>
      <c r="I1740" t="s">
        <v>1809</v>
      </c>
      <c r="J1740">
        <v>1744.8368</v>
      </c>
      <c r="K1740" t="s">
        <v>623</v>
      </c>
      <c r="L1740">
        <v>26</v>
      </c>
      <c r="M1740" t="s">
        <v>9</v>
      </c>
      <c r="N1740" t="s">
        <v>624</v>
      </c>
      <c r="O1740" t="s">
        <v>25</v>
      </c>
      <c r="P1740" t="s">
        <v>12</v>
      </c>
      <c r="Q1740" t="s">
        <v>26</v>
      </c>
      <c r="R1740" t="s">
        <v>3911</v>
      </c>
      <c r="S1740" t="s">
        <v>1527</v>
      </c>
      <c r="T1740" t="s">
        <v>3836</v>
      </c>
      <c r="U1740" t="s">
        <v>1688</v>
      </c>
      <c r="V1740" t="s">
        <v>1753</v>
      </c>
      <c r="W1740" t="s">
        <v>1746</v>
      </c>
      <c r="X1740" t="s">
        <v>1755</v>
      </c>
    </row>
    <row r="1741" spans="1:24" x14ac:dyDescent="0.3">
      <c r="A1741" t="s">
        <v>3548</v>
      </c>
      <c r="B1741" s="2">
        <v>45887</v>
      </c>
      <c r="C1741" t="s">
        <v>986</v>
      </c>
      <c r="D1741" t="s">
        <v>1723</v>
      </c>
      <c r="E1741" t="s">
        <v>1735</v>
      </c>
      <c r="F1741" s="4">
        <v>3</v>
      </c>
      <c r="G1741">
        <v>330.98</v>
      </c>
      <c r="H1741">
        <v>0.11</v>
      </c>
      <c r="I1741" t="s">
        <v>1807</v>
      </c>
      <c r="J1741">
        <v>883.71660000000008</v>
      </c>
      <c r="K1741" t="s">
        <v>987</v>
      </c>
      <c r="L1741">
        <v>64</v>
      </c>
      <c r="M1741" t="s">
        <v>16</v>
      </c>
      <c r="N1741" t="s">
        <v>988</v>
      </c>
      <c r="O1741" t="s">
        <v>139</v>
      </c>
      <c r="P1741" t="s">
        <v>12</v>
      </c>
      <c r="Q1741" t="s">
        <v>13</v>
      </c>
      <c r="R1741" t="s">
        <v>3929</v>
      </c>
      <c r="S1741" t="s">
        <v>1530</v>
      </c>
      <c r="T1741" t="s">
        <v>3815</v>
      </c>
      <c r="U1741" t="s">
        <v>1724</v>
      </c>
      <c r="V1741" t="s">
        <v>1736</v>
      </c>
      <c r="W1741" t="s">
        <v>1737</v>
      </c>
      <c r="X1741" t="s">
        <v>1739</v>
      </c>
    </row>
    <row r="1742" spans="1:24" x14ac:dyDescent="0.3">
      <c r="A1742" t="s">
        <v>3549</v>
      </c>
      <c r="B1742" s="2">
        <v>45562</v>
      </c>
      <c r="C1742" t="s">
        <v>192</v>
      </c>
      <c r="D1742" t="s">
        <v>1605</v>
      </c>
      <c r="E1742" t="s">
        <v>1796</v>
      </c>
      <c r="F1742" s="4">
        <v>4</v>
      </c>
      <c r="G1742">
        <v>442.87</v>
      </c>
      <c r="H1742">
        <v>0.08</v>
      </c>
      <c r="I1742" t="s">
        <v>1807</v>
      </c>
      <c r="J1742">
        <v>1629.7616</v>
      </c>
      <c r="K1742" t="s">
        <v>193</v>
      </c>
      <c r="L1742">
        <v>55</v>
      </c>
      <c r="M1742" t="s">
        <v>9</v>
      </c>
      <c r="N1742" t="s">
        <v>194</v>
      </c>
      <c r="O1742" t="s">
        <v>43</v>
      </c>
      <c r="P1742" t="s">
        <v>12</v>
      </c>
      <c r="Q1742" t="s">
        <v>13</v>
      </c>
      <c r="R1742" t="s">
        <v>3865</v>
      </c>
      <c r="S1742" t="s">
        <v>1530</v>
      </c>
      <c r="T1742" t="s">
        <v>3866</v>
      </c>
      <c r="U1742" t="s">
        <v>1606</v>
      </c>
      <c r="V1742" t="s">
        <v>1741</v>
      </c>
      <c r="W1742" t="s">
        <v>1742</v>
      </c>
      <c r="X1742" t="s">
        <v>1739</v>
      </c>
    </row>
    <row r="1743" spans="1:24" x14ac:dyDescent="0.3">
      <c r="A1743" t="s">
        <v>3550</v>
      </c>
      <c r="B1743" s="2">
        <v>45880</v>
      </c>
      <c r="C1743" t="s">
        <v>48</v>
      </c>
      <c r="D1743" t="s">
        <v>1723</v>
      </c>
      <c r="E1743" t="s">
        <v>1744</v>
      </c>
      <c r="F1743" s="4">
        <v>2</v>
      </c>
      <c r="G1743">
        <v>939.66</v>
      </c>
      <c r="H1743">
        <v>0.14000000000000001</v>
      </c>
      <c r="I1743" t="s">
        <v>1809</v>
      </c>
      <c r="J1743">
        <v>1616.2152000000001</v>
      </c>
      <c r="K1743" t="s">
        <v>49</v>
      </c>
      <c r="L1743">
        <v>53</v>
      </c>
      <c r="M1743" t="s">
        <v>9</v>
      </c>
      <c r="N1743" t="s">
        <v>50</v>
      </c>
      <c r="O1743" t="s">
        <v>51</v>
      </c>
      <c r="P1743" t="s">
        <v>12</v>
      </c>
      <c r="Q1743" t="s">
        <v>19</v>
      </c>
      <c r="R1743" t="s">
        <v>3929</v>
      </c>
      <c r="S1743" t="s">
        <v>1530</v>
      </c>
      <c r="T1743" t="s">
        <v>3815</v>
      </c>
      <c r="U1743" t="s">
        <v>1724</v>
      </c>
      <c r="V1743" t="s">
        <v>1745</v>
      </c>
      <c r="W1743" t="s">
        <v>1746</v>
      </c>
      <c r="X1743" t="s">
        <v>1748</v>
      </c>
    </row>
    <row r="1744" spans="1:24" x14ac:dyDescent="0.3">
      <c r="A1744" t="s">
        <v>3551</v>
      </c>
      <c r="B1744" s="2">
        <v>45556</v>
      </c>
      <c r="C1744" t="s">
        <v>920</v>
      </c>
      <c r="D1744" t="s">
        <v>1677</v>
      </c>
      <c r="E1744" t="s">
        <v>1749</v>
      </c>
      <c r="F1744" s="4">
        <v>1</v>
      </c>
      <c r="G1744">
        <v>24.13</v>
      </c>
      <c r="H1744">
        <v>0</v>
      </c>
      <c r="I1744" t="s">
        <v>1807</v>
      </c>
      <c r="J1744">
        <v>24.13</v>
      </c>
      <c r="K1744" t="s">
        <v>921</v>
      </c>
      <c r="L1744">
        <v>29</v>
      </c>
      <c r="M1744" t="s">
        <v>9</v>
      </c>
      <c r="N1744" t="s">
        <v>922</v>
      </c>
      <c r="O1744" t="s">
        <v>323</v>
      </c>
      <c r="P1744" t="s">
        <v>12</v>
      </c>
      <c r="Q1744" t="s">
        <v>19</v>
      </c>
      <c r="R1744" t="s">
        <v>3906</v>
      </c>
      <c r="S1744" t="s">
        <v>1549</v>
      </c>
      <c r="T1744" t="s">
        <v>3859</v>
      </c>
      <c r="U1744" t="s">
        <v>1678</v>
      </c>
      <c r="V1744" t="s">
        <v>1750</v>
      </c>
      <c r="W1744" t="s">
        <v>1742</v>
      </c>
      <c r="X1744" t="s">
        <v>1748</v>
      </c>
    </row>
    <row r="1745" spans="1:24" x14ac:dyDescent="0.3">
      <c r="A1745" t="s">
        <v>3552</v>
      </c>
      <c r="B1745" s="2">
        <v>45355</v>
      </c>
      <c r="C1745" t="s">
        <v>1126</v>
      </c>
      <c r="D1745" t="s">
        <v>1613</v>
      </c>
      <c r="E1745" t="s">
        <v>1749</v>
      </c>
      <c r="F1745" s="4">
        <v>3</v>
      </c>
      <c r="G1745">
        <v>239.54</v>
      </c>
      <c r="H1745">
        <v>0.28999999999999998</v>
      </c>
      <c r="I1745" t="s">
        <v>1812</v>
      </c>
      <c r="J1745">
        <v>510.22019999999998</v>
      </c>
      <c r="K1745" t="s">
        <v>1127</v>
      </c>
      <c r="L1745">
        <v>63</v>
      </c>
      <c r="M1745" t="s">
        <v>16</v>
      </c>
      <c r="N1745" t="s">
        <v>1128</v>
      </c>
      <c r="O1745" t="s">
        <v>133</v>
      </c>
      <c r="P1745" t="s">
        <v>12</v>
      </c>
      <c r="Q1745" t="s">
        <v>26</v>
      </c>
      <c r="R1745" t="s">
        <v>3871</v>
      </c>
      <c r="S1745" t="s">
        <v>1549</v>
      </c>
      <c r="T1745" t="s">
        <v>3828</v>
      </c>
      <c r="U1745" t="s">
        <v>1614</v>
      </c>
      <c r="V1745" t="s">
        <v>1750</v>
      </c>
      <c r="W1745" t="s">
        <v>1742</v>
      </c>
      <c r="X1745" t="s">
        <v>1748</v>
      </c>
    </row>
    <row r="1746" spans="1:24" x14ac:dyDescent="0.3">
      <c r="A1746" t="s">
        <v>3553</v>
      </c>
      <c r="B1746" s="2">
        <v>45244</v>
      </c>
      <c r="C1746" t="s">
        <v>1467</v>
      </c>
      <c r="D1746" t="s">
        <v>1623</v>
      </c>
      <c r="E1746" t="s">
        <v>1782</v>
      </c>
      <c r="F1746" s="4">
        <v>1</v>
      </c>
      <c r="G1746">
        <v>588.53</v>
      </c>
      <c r="H1746">
        <v>0.1</v>
      </c>
      <c r="I1746" t="s">
        <v>1807</v>
      </c>
      <c r="J1746">
        <v>529.67700000000002</v>
      </c>
      <c r="K1746" t="s">
        <v>1468</v>
      </c>
      <c r="L1746">
        <v>48</v>
      </c>
      <c r="M1746" t="s">
        <v>9</v>
      </c>
      <c r="N1746" t="s">
        <v>1469</v>
      </c>
      <c r="O1746" t="s">
        <v>582</v>
      </c>
      <c r="P1746" t="s">
        <v>12</v>
      </c>
      <c r="Q1746" t="s">
        <v>19</v>
      </c>
      <c r="R1746" t="s">
        <v>3876</v>
      </c>
      <c r="S1746" t="s">
        <v>1530</v>
      </c>
      <c r="T1746" t="s">
        <v>3815</v>
      </c>
      <c r="U1746" t="s">
        <v>1624</v>
      </c>
      <c r="V1746" t="s">
        <v>1741</v>
      </c>
      <c r="W1746" t="s">
        <v>1742</v>
      </c>
      <c r="X1746" t="s">
        <v>1739</v>
      </c>
    </row>
    <row r="1747" spans="1:24" x14ac:dyDescent="0.3">
      <c r="A1747" t="s">
        <v>3554</v>
      </c>
      <c r="B1747" s="2">
        <v>45863</v>
      </c>
      <c r="C1747" t="s">
        <v>906</v>
      </c>
      <c r="D1747" t="s">
        <v>1651</v>
      </c>
      <c r="E1747" t="s">
        <v>1784</v>
      </c>
      <c r="F1747" s="4">
        <v>1</v>
      </c>
      <c r="G1747">
        <v>145.96</v>
      </c>
      <c r="H1747">
        <v>0.3</v>
      </c>
      <c r="I1747" t="s">
        <v>1807</v>
      </c>
      <c r="J1747">
        <v>102.172</v>
      </c>
      <c r="K1747" t="s">
        <v>907</v>
      </c>
      <c r="L1747">
        <v>45</v>
      </c>
      <c r="M1747" t="s">
        <v>9</v>
      </c>
      <c r="N1747" t="s">
        <v>908</v>
      </c>
      <c r="O1747" t="s">
        <v>166</v>
      </c>
      <c r="P1747" t="s">
        <v>12</v>
      </c>
      <c r="Q1747" t="s">
        <v>13</v>
      </c>
      <c r="R1747" t="s">
        <v>3892</v>
      </c>
      <c r="S1747" t="s">
        <v>1541</v>
      </c>
      <c r="T1747" t="s">
        <v>3881</v>
      </c>
      <c r="U1747" t="s">
        <v>1652</v>
      </c>
      <c r="V1747" t="s">
        <v>1741</v>
      </c>
      <c r="W1747" t="s">
        <v>1742</v>
      </c>
      <c r="X1747" t="s">
        <v>1739</v>
      </c>
    </row>
    <row r="1748" spans="1:24" x14ac:dyDescent="0.3">
      <c r="A1748" t="s">
        <v>3555</v>
      </c>
      <c r="B1748" s="2">
        <v>45573</v>
      </c>
      <c r="C1748" t="s">
        <v>355</v>
      </c>
      <c r="D1748" t="s">
        <v>1671</v>
      </c>
      <c r="E1748" t="s">
        <v>1752</v>
      </c>
      <c r="F1748" s="4">
        <v>4</v>
      </c>
      <c r="G1748">
        <v>640.91</v>
      </c>
      <c r="H1748">
        <v>0.06</v>
      </c>
      <c r="I1748" t="s">
        <v>1807</v>
      </c>
      <c r="J1748">
        <v>2409.8216000000002</v>
      </c>
      <c r="K1748" t="s">
        <v>356</v>
      </c>
      <c r="L1748">
        <v>34</v>
      </c>
      <c r="M1748" t="s">
        <v>16</v>
      </c>
      <c r="N1748" t="s">
        <v>357</v>
      </c>
      <c r="O1748" t="s">
        <v>117</v>
      </c>
      <c r="P1748" t="s">
        <v>12</v>
      </c>
      <c r="Q1748" t="s">
        <v>13</v>
      </c>
      <c r="R1748" t="s">
        <v>3903</v>
      </c>
      <c r="S1748" t="s">
        <v>1527</v>
      </c>
      <c r="T1748" t="s">
        <v>3847</v>
      </c>
      <c r="U1748" t="s">
        <v>1672</v>
      </c>
      <c r="V1748" t="s">
        <v>1753</v>
      </c>
      <c r="W1748" t="s">
        <v>1746</v>
      </c>
      <c r="X1748" t="s">
        <v>1755</v>
      </c>
    </row>
    <row r="1749" spans="1:24" x14ac:dyDescent="0.3">
      <c r="A1749" t="s">
        <v>3556</v>
      </c>
      <c r="B1749" s="2">
        <v>45792</v>
      </c>
      <c r="C1749" t="s">
        <v>163</v>
      </c>
      <c r="D1749" t="s">
        <v>1659</v>
      </c>
      <c r="E1749" t="s">
        <v>1775</v>
      </c>
      <c r="F1749" s="4">
        <v>3</v>
      </c>
      <c r="G1749">
        <v>773.86</v>
      </c>
      <c r="H1749">
        <v>0.22</v>
      </c>
      <c r="I1749" t="s">
        <v>1807</v>
      </c>
      <c r="J1749">
        <v>1810.8324</v>
      </c>
      <c r="K1749" t="s">
        <v>164</v>
      </c>
      <c r="L1749">
        <v>45</v>
      </c>
      <c r="M1749" t="s">
        <v>9</v>
      </c>
      <c r="N1749" t="s">
        <v>165</v>
      </c>
      <c r="O1749" t="s">
        <v>166</v>
      </c>
      <c r="P1749" t="s">
        <v>12</v>
      </c>
      <c r="Q1749" t="s">
        <v>19</v>
      </c>
      <c r="R1749" t="s">
        <v>3896</v>
      </c>
      <c r="S1749" t="s">
        <v>1541</v>
      </c>
      <c r="T1749" t="s">
        <v>3878</v>
      </c>
      <c r="U1749" t="s">
        <v>1660</v>
      </c>
      <c r="V1749" t="s">
        <v>1741</v>
      </c>
      <c r="W1749" t="s">
        <v>1742</v>
      </c>
      <c r="X1749" t="s">
        <v>1739</v>
      </c>
    </row>
    <row r="1750" spans="1:24" x14ac:dyDescent="0.3">
      <c r="A1750" t="s">
        <v>3557</v>
      </c>
      <c r="B1750" s="2">
        <v>45744</v>
      </c>
      <c r="C1750" t="s">
        <v>1412</v>
      </c>
      <c r="D1750" t="s">
        <v>1593</v>
      </c>
      <c r="E1750" t="s">
        <v>1784</v>
      </c>
      <c r="F1750" s="4">
        <v>2</v>
      </c>
      <c r="G1750">
        <v>31.28</v>
      </c>
      <c r="H1750">
        <v>0.2</v>
      </c>
      <c r="I1750" t="s">
        <v>1812</v>
      </c>
      <c r="J1750">
        <v>50.048000000000002</v>
      </c>
      <c r="K1750" t="s">
        <v>1413</v>
      </c>
      <c r="L1750">
        <v>45</v>
      </c>
      <c r="M1750" t="s">
        <v>16</v>
      </c>
      <c r="N1750" t="s">
        <v>1414</v>
      </c>
      <c r="O1750" t="s">
        <v>166</v>
      </c>
      <c r="P1750" t="s">
        <v>12</v>
      </c>
      <c r="Q1750" t="s">
        <v>26</v>
      </c>
      <c r="R1750" t="s">
        <v>3858</v>
      </c>
      <c r="S1750" t="s">
        <v>1549</v>
      </c>
      <c r="T1750" t="s">
        <v>3859</v>
      </c>
      <c r="U1750" t="s">
        <v>1594</v>
      </c>
      <c r="V1750" t="s">
        <v>1741</v>
      </c>
      <c r="W1750" t="s">
        <v>1742</v>
      </c>
      <c r="X1750" t="s">
        <v>1739</v>
      </c>
    </row>
    <row r="1751" spans="1:24" x14ac:dyDescent="0.3">
      <c r="A1751" t="s">
        <v>3558</v>
      </c>
      <c r="B1751" s="2">
        <v>45842</v>
      </c>
      <c r="C1751" t="s">
        <v>1153</v>
      </c>
      <c r="D1751" t="s">
        <v>1695</v>
      </c>
      <c r="E1751" t="s">
        <v>1759</v>
      </c>
      <c r="F1751" s="4">
        <v>4</v>
      </c>
      <c r="G1751">
        <v>389.22</v>
      </c>
      <c r="H1751">
        <v>0.18</v>
      </c>
      <c r="I1751" t="s">
        <v>1807</v>
      </c>
      <c r="J1751">
        <v>1276.6415999999999</v>
      </c>
      <c r="K1751" t="s">
        <v>1154</v>
      </c>
      <c r="L1751">
        <v>60</v>
      </c>
      <c r="M1751" t="s">
        <v>9</v>
      </c>
      <c r="N1751" t="s">
        <v>1155</v>
      </c>
      <c r="O1751" t="s">
        <v>429</v>
      </c>
      <c r="P1751" t="s">
        <v>12</v>
      </c>
      <c r="Q1751" t="s">
        <v>13</v>
      </c>
      <c r="R1751" t="s">
        <v>3915</v>
      </c>
      <c r="S1751" t="s">
        <v>1549</v>
      </c>
      <c r="T1751" t="s">
        <v>3828</v>
      </c>
      <c r="U1751" t="s">
        <v>1696</v>
      </c>
      <c r="V1751" t="s">
        <v>1760</v>
      </c>
      <c r="W1751" t="s">
        <v>1737</v>
      </c>
      <c r="X1751" t="s">
        <v>1755</v>
      </c>
    </row>
    <row r="1752" spans="1:24" x14ac:dyDescent="0.3">
      <c r="A1752" t="s">
        <v>3559</v>
      </c>
      <c r="B1752" s="2">
        <v>45502</v>
      </c>
      <c r="C1752" t="s">
        <v>71</v>
      </c>
      <c r="D1752" t="s">
        <v>1659</v>
      </c>
      <c r="E1752" t="s">
        <v>1784</v>
      </c>
      <c r="F1752" s="4">
        <v>3</v>
      </c>
      <c r="G1752">
        <v>543.44000000000005</v>
      </c>
      <c r="H1752">
        <v>0.13</v>
      </c>
      <c r="I1752" t="s">
        <v>1809</v>
      </c>
      <c r="J1752">
        <v>1418.3784000000001</v>
      </c>
      <c r="K1752" t="s">
        <v>72</v>
      </c>
      <c r="L1752">
        <v>24</v>
      </c>
      <c r="M1752" t="s">
        <v>16</v>
      </c>
      <c r="N1752" t="s">
        <v>73</v>
      </c>
      <c r="O1752" t="s">
        <v>74</v>
      </c>
      <c r="P1752" t="s">
        <v>12</v>
      </c>
      <c r="Q1752" t="s">
        <v>19</v>
      </c>
      <c r="R1752" t="s">
        <v>3896</v>
      </c>
      <c r="S1752" t="s">
        <v>1541</v>
      </c>
      <c r="T1752" t="s">
        <v>3878</v>
      </c>
      <c r="U1752" t="s">
        <v>1660</v>
      </c>
      <c r="V1752" t="s">
        <v>1741</v>
      </c>
      <c r="W1752" t="s">
        <v>1742</v>
      </c>
      <c r="X1752" t="s">
        <v>1739</v>
      </c>
    </row>
    <row r="1753" spans="1:24" x14ac:dyDescent="0.3">
      <c r="A1753" t="s">
        <v>3560</v>
      </c>
      <c r="B1753" s="2">
        <v>45296</v>
      </c>
      <c r="C1753" t="s">
        <v>814</v>
      </c>
      <c r="D1753" t="s">
        <v>1725</v>
      </c>
      <c r="E1753" t="s">
        <v>1796</v>
      </c>
      <c r="F1753" s="4">
        <v>4</v>
      </c>
      <c r="G1753">
        <v>715.42</v>
      </c>
      <c r="H1753">
        <v>0.28999999999999998</v>
      </c>
      <c r="I1753" t="s">
        <v>1809</v>
      </c>
      <c r="J1753">
        <v>2031.7927999999999</v>
      </c>
      <c r="K1753" t="s">
        <v>815</v>
      </c>
      <c r="L1753">
        <v>24</v>
      </c>
      <c r="M1753" t="s">
        <v>16</v>
      </c>
      <c r="N1753" t="s">
        <v>816</v>
      </c>
      <c r="O1753" t="s">
        <v>709</v>
      </c>
      <c r="P1753" t="s">
        <v>12</v>
      </c>
      <c r="Q1753" t="s">
        <v>31</v>
      </c>
      <c r="R1753" t="s">
        <v>3930</v>
      </c>
      <c r="S1753" t="s">
        <v>1549</v>
      </c>
      <c r="T1753" t="s">
        <v>3859</v>
      </c>
      <c r="U1753" t="s">
        <v>1726</v>
      </c>
      <c r="V1753" t="s">
        <v>1741</v>
      </c>
      <c r="W1753" t="s">
        <v>1742</v>
      </c>
      <c r="X1753" t="s">
        <v>1739</v>
      </c>
    </row>
    <row r="1754" spans="1:24" x14ac:dyDescent="0.3">
      <c r="A1754" t="s">
        <v>3561</v>
      </c>
      <c r="B1754" s="2">
        <v>45886</v>
      </c>
      <c r="C1754" t="s">
        <v>192</v>
      </c>
      <c r="D1754" t="s">
        <v>1555</v>
      </c>
      <c r="E1754" t="s">
        <v>1752</v>
      </c>
      <c r="F1754" s="4">
        <v>4</v>
      </c>
      <c r="G1754">
        <v>676.14</v>
      </c>
      <c r="H1754">
        <v>0.11</v>
      </c>
      <c r="I1754" t="s">
        <v>1812</v>
      </c>
      <c r="J1754">
        <v>2407.0583999999999</v>
      </c>
      <c r="K1754" t="s">
        <v>193</v>
      </c>
      <c r="L1754">
        <v>55</v>
      </c>
      <c r="M1754" t="s">
        <v>9</v>
      </c>
      <c r="N1754" t="s">
        <v>194</v>
      </c>
      <c r="O1754" t="s">
        <v>43</v>
      </c>
      <c r="P1754" t="s">
        <v>12</v>
      </c>
      <c r="Q1754" t="s">
        <v>13</v>
      </c>
      <c r="R1754" t="s">
        <v>3832</v>
      </c>
      <c r="S1754" t="s">
        <v>1541</v>
      </c>
      <c r="T1754" t="s">
        <v>3833</v>
      </c>
      <c r="U1754" t="s">
        <v>1556</v>
      </c>
      <c r="V1754" t="s">
        <v>1753</v>
      </c>
      <c r="W1754" t="s">
        <v>1746</v>
      </c>
      <c r="X1754" t="s">
        <v>1755</v>
      </c>
    </row>
    <row r="1755" spans="1:24" x14ac:dyDescent="0.3">
      <c r="A1755" t="s">
        <v>3562</v>
      </c>
      <c r="B1755" s="2">
        <v>45425</v>
      </c>
      <c r="C1755" t="s">
        <v>316</v>
      </c>
      <c r="D1755" t="s">
        <v>1609</v>
      </c>
      <c r="E1755" t="s">
        <v>1740</v>
      </c>
      <c r="F1755" s="4">
        <v>4</v>
      </c>
      <c r="G1755">
        <v>352.72</v>
      </c>
      <c r="H1755">
        <v>0.25</v>
      </c>
      <c r="I1755" t="s">
        <v>1807</v>
      </c>
      <c r="J1755">
        <v>1058.1600000000001</v>
      </c>
      <c r="K1755" t="s">
        <v>317</v>
      </c>
      <c r="L1755">
        <v>58</v>
      </c>
      <c r="M1755" t="s">
        <v>16</v>
      </c>
      <c r="N1755" t="s">
        <v>318</v>
      </c>
      <c r="O1755" t="s">
        <v>319</v>
      </c>
      <c r="P1755" t="s">
        <v>12</v>
      </c>
      <c r="Q1755" t="s">
        <v>19</v>
      </c>
      <c r="R1755" t="s">
        <v>3868</v>
      </c>
      <c r="S1755" t="s">
        <v>1546</v>
      </c>
      <c r="T1755" t="s">
        <v>3869</v>
      </c>
      <c r="U1755" t="s">
        <v>1610</v>
      </c>
      <c r="V1755" t="s">
        <v>1741</v>
      </c>
      <c r="W1755" t="s">
        <v>1742</v>
      </c>
      <c r="X1755" t="s">
        <v>1739</v>
      </c>
    </row>
    <row r="1756" spans="1:24" x14ac:dyDescent="0.3">
      <c r="A1756" t="s">
        <v>3563</v>
      </c>
      <c r="B1756" s="2">
        <v>45797</v>
      </c>
      <c r="C1756" t="s">
        <v>568</v>
      </c>
      <c r="D1756" t="s">
        <v>1553</v>
      </c>
      <c r="E1756" t="s">
        <v>1777</v>
      </c>
      <c r="F1756" s="4">
        <v>1</v>
      </c>
      <c r="G1756">
        <v>470.18</v>
      </c>
      <c r="H1756">
        <v>0.19</v>
      </c>
      <c r="I1756" t="s">
        <v>1809</v>
      </c>
      <c r="J1756">
        <v>380.84580000000011</v>
      </c>
      <c r="K1756" t="s">
        <v>569</v>
      </c>
      <c r="L1756">
        <v>26</v>
      </c>
      <c r="M1756" t="s">
        <v>16</v>
      </c>
      <c r="N1756" t="s">
        <v>393</v>
      </c>
      <c r="O1756" t="s">
        <v>264</v>
      </c>
      <c r="P1756" t="s">
        <v>12</v>
      </c>
      <c r="Q1756" t="s">
        <v>19</v>
      </c>
      <c r="R1756" t="s">
        <v>3831</v>
      </c>
      <c r="S1756" t="s">
        <v>1546</v>
      </c>
      <c r="T1756" t="s">
        <v>3820</v>
      </c>
      <c r="U1756" t="s">
        <v>1554</v>
      </c>
      <c r="V1756" t="s">
        <v>1741</v>
      </c>
      <c r="W1756" t="s">
        <v>1742</v>
      </c>
      <c r="X1756" t="s">
        <v>1739</v>
      </c>
    </row>
    <row r="1757" spans="1:24" x14ac:dyDescent="0.3">
      <c r="A1757" t="s">
        <v>3564</v>
      </c>
      <c r="B1757" s="2">
        <v>45898</v>
      </c>
      <c r="C1757" t="s">
        <v>734</v>
      </c>
      <c r="D1757" t="s">
        <v>1663</v>
      </c>
      <c r="E1757" t="s">
        <v>1775</v>
      </c>
      <c r="F1757" s="4">
        <v>1</v>
      </c>
      <c r="G1757">
        <v>891.79</v>
      </c>
      <c r="H1757">
        <v>0.03</v>
      </c>
      <c r="I1757" t="s">
        <v>1807</v>
      </c>
      <c r="J1757">
        <v>865.03629999999998</v>
      </c>
      <c r="K1757" t="s">
        <v>735</v>
      </c>
      <c r="L1757">
        <v>22</v>
      </c>
      <c r="M1757" t="s">
        <v>16</v>
      </c>
      <c r="N1757" t="s">
        <v>736</v>
      </c>
      <c r="O1757" t="s">
        <v>247</v>
      </c>
      <c r="P1757" t="s">
        <v>12</v>
      </c>
      <c r="Q1757" t="s">
        <v>26</v>
      </c>
      <c r="R1757" t="s">
        <v>3898</v>
      </c>
      <c r="S1757" t="s">
        <v>1541</v>
      </c>
      <c r="T1757" t="s">
        <v>3833</v>
      </c>
      <c r="U1757" t="s">
        <v>1664</v>
      </c>
      <c r="V1757" t="s">
        <v>1741</v>
      </c>
      <c r="W1757" t="s">
        <v>1742</v>
      </c>
      <c r="X1757" t="s">
        <v>1739</v>
      </c>
    </row>
    <row r="1758" spans="1:24" x14ac:dyDescent="0.3">
      <c r="A1758" t="s">
        <v>3565</v>
      </c>
      <c r="B1758" s="2">
        <v>45390</v>
      </c>
      <c r="C1758" t="s">
        <v>1080</v>
      </c>
      <c r="D1758" t="s">
        <v>1709</v>
      </c>
      <c r="E1758" t="s">
        <v>1790</v>
      </c>
      <c r="F1758" s="4">
        <v>2</v>
      </c>
      <c r="G1758">
        <v>433.07</v>
      </c>
      <c r="H1758">
        <v>0.25</v>
      </c>
      <c r="I1758" t="s">
        <v>1812</v>
      </c>
      <c r="J1758">
        <v>649.60500000000002</v>
      </c>
      <c r="K1758" t="s">
        <v>1081</v>
      </c>
      <c r="L1758">
        <v>31</v>
      </c>
      <c r="M1758" t="s">
        <v>9</v>
      </c>
      <c r="N1758" t="s">
        <v>1082</v>
      </c>
      <c r="O1758" t="s">
        <v>51</v>
      </c>
      <c r="P1758" t="s">
        <v>12</v>
      </c>
      <c r="Q1758" t="s">
        <v>31</v>
      </c>
      <c r="R1758" t="s">
        <v>3922</v>
      </c>
      <c r="S1758" t="s">
        <v>1541</v>
      </c>
      <c r="T1758" t="s">
        <v>3878</v>
      </c>
      <c r="U1758" t="s">
        <v>1710</v>
      </c>
      <c r="V1758" t="s">
        <v>1741</v>
      </c>
      <c r="W1758" t="s">
        <v>1742</v>
      </c>
      <c r="X1758" t="s">
        <v>1739</v>
      </c>
    </row>
    <row r="1759" spans="1:24" x14ac:dyDescent="0.3">
      <c r="A1759" t="s">
        <v>3566</v>
      </c>
      <c r="B1759" s="2">
        <v>45355</v>
      </c>
      <c r="C1759" t="s">
        <v>59</v>
      </c>
      <c r="D1759" t="s">
        <v>1663</v>
      </c>
      <c r="E1759" t="s">
        <v>1796</v>
      </c>
      <c r="F1759" s="4">
        <v>3</v>
      </c>
      <c r="G1759">
        <v>626.71</v>
      </c>
      <c r="H1759">
        <v>7.0000000000000007E-2</v>
      </c>
      <c r="I1759" t="s">
        <v>1812</v>
      </c>
      <c r="J1759">
        <v>1748.5209</v>
      </c>
      <c r="K1759" t="s">
        <v>60</v>
      </c>
      <c r="L1759">
        <v>32</v>
      </c>
      <c r="M1759" t="s">
        <v>16</v>
      </c>
      <c r="N1759" t="s">
        <v>61</v>
      </c>
      <c r="O1759" t="s">
        <v>62</v>
      </c>
      <c r="P1759" t="s">
        <v>12</v>
      </c>
      <c r="Q1759" t="s">
        <v>19</v>
      </c>
      <c r="R1759" t="s">
        <v>3898</v>
      </c>
      <c r="S1759" t="s">
        <v>1541</v>
      </c>
      <c r="T1759" t="s">
        <v>3833</v>
      </c>
      <c r="U1759" t="s">
        <v>1664</v>
      </c>
      <c r="V1759" t="s">
        <v>1741</v>
      </c>
      <c r="W1759" t="s">
        <v>1742</v>
      </c>
      <c r="X1759" t="s">
        <v>1739</v>
      </c>
    </row>
    <row r="1760" spans="1:24" x14ac:dyDescent="0.3">
      <c r="A1760" t="s">
        <v>3567</v>
      </c>
      <c r="B1760" s="2">
        <v>45916</v>
      </c>
      <c r="C1760" t="s">
        <v>275</v>
      </c>
      <c r="D1760" t="s">
        <v>1603</v>
      </c>
      <c r="E1760" t="s">
        <v>1735</v>
      </c>
      <c r="F1760" s="4">
        <v>2</v>
      </c>
      <c r="G1760">
        <v>324.18</v>
      </c>
      <c r="H1760">
        <v>0.06</v>
      </c>
      <c r="I1760" t="s">
        <v>1812</v>
      </c>
      <c r="J1760">
        <v>609.45839999999998</v>
      </c>
      <c r="K1760" t="s">
        <v>276</v>
      </c>
      <c r="L1760">
        <v>29</v>
      </c>
      <c r="M1760" t="s">
        <v>9</v>
      </c>
      <c r="N1760" t="s">
        <v>277</v>
      </c>
      <c r="O1760" t="s">
        <v>96</v>
      </c>
      <c r="P1760" t="s">
        <v>12</v>
      </c>
      <c r="Q1760" t="s">
        <v>13</v>
      </c>
      <c r="R1760" t="s">
        <v>3864</v>
      </c>
      <c r="S1760" t="s">
        <v>1530</v>
      </c>
      <c r="T1760" t="s">
        <v>3813</v>
      </c>
      <c r="U1760" t="s">
        <v>1604</v>
      </c>
      <c r="V1760" t="s">
        <v>1736</v>
      </c>
      <c r="W1760" t="s">
        <v>1737</v>
      </c>
      <c r="X1760" t="s">
        <v>1739</v>
      </c>
    </row>
    <row r="1761" spans="1:24" x14ac:dyDescent="0.3">
      <c r="A1761" t="s">
        <v>3568</v>
      </c>
      <c r="B1761" s="2">
        <v>45448</v>
      </c>
      <c r="C1761" t="s">
        <v>63</v>
      </c>
      <c r="D1761" t="s">
        <v>1559</v>
      </c>
      <c r="E1761" t="s">
        <v>1790</v>
      </c>
      <c r="F1761" s="4">
        <v>4</v>
      </c>
      <c r="G1761">
        <v>839.74</v>
      </c>
      <c r="H1761">
        <v>0.13</v>
      </c>
      <c r="I1761" t="s">
        <v>1809</v>
      </c>
      <c r="J1761">
        <v>2922.2952</v>
      </c>
      <c r="K1761" t="s">
        <v>64</v>
      </c>
      <c r="L1761">
        <v>53</v>
      </c>
      <c r="M1761" t="s">
        <v>16</v>
      </c>
      <c r="N1761" t="s">
        <v>65</v>
      </c>
      <c r="O1761" t="s">
        <v>66</v>
      </c>
      <c r="P1761" t="s">
        <v>12</v>
      </c>
      <c r="Q1761" t="s">
        <v>31</v>
      </c>
      <c r="R1761" t="s">
        <v>3835</v>
      </c>
      <c r="S1761" t="s">
        <v>1527</v>
      </c>
      <c r="T1761" t="s">
        <v>3836</v>
      </c>
      <c r="U1761" t="s">
        <v>1560</v>
      </c>
      <c r="V1761" t="s">
        <v>1741</v>
      </c>
      <c r="W1761" t="s">
        <v>1742</v>
      </c>
      <c r="X1761" t="s">
        <v>1739</v>
      </c>
    </row>
    <row r="1762" spans="1:24" x14ac:dyDescent="0.3">
      <c r="A1762" t="s">
        <v>3569</v>
      </c>
      <c r="B1762" s="2">
        <v>45402</v>
      </c>
      <c r="C1762" t="s">
        <v>518</v>
      </c>
      <c r="D1762" t="s">
        <v>1655</v>
      </c>
      <c r="E1762" t="s">
        <v>1784</v>
      </c>
      <c r="F1762" s="4">
        <v>3</v>
      </c>
      <c r="G1762">
        <v>252.63</v>
      </c>
      <c r="H1762">
        <v>0.28000000000000003</v>
      </c>
      <c r="I1762" t="s">
        <v>1807</v>
      </c>
      <c r="J1762">
        <v>545.68079999999998</v>
      </c>
      <c r="K1762" t="s">
        <v>519</v>
      </c>
      <c r="L1762">
        <v>59</v>
      </c>
      <c r="M1762" t="s">
        <v>9</v>
      </c>
      <c r="N1762" t="s">
        <v>520</v>
      </c>
      <c r="O1762" t="s">
        <v>18</v>
      </c>
      <c r="P1762" t="s">
        <v>12</v>
      </c>
      <c r="Q1762" t="s">
        <v>26</v>
      </c>
      <c r="R1762" t="s">
        <v>3894</v>
      </c>
      <c r="S1762" t="s">
        <v>1546</v>
      </c>
      <c r="T1762" t="s">
        <v>3811</v>
      </c>
      <c r="U1762" t="s">
        <v>1656</v>
      </c>
      <c r="V1762" t="s">
        <v>1741</v>
      </c>
      <c r="W1762" t="s">
        <v>1742</v>
      </c>
      <c r="X1762" t="s">
        <v>1739</v>
      </c>
    </row>
    <row r="1763" spans="1:24" x14ac:dyDescent="0.3">
      <c r="A1763" t="s">
        <v>3570</v>
      </c>
      <c r="B1763" s="2">
        <v>45581</v>
      </c>
      <c r="C1763" t="s">
        <v>808</v>
      </c>
      <c r="D1763" t="s">
        <v>1689</v>
      </c>
      <c r="E1763" t="s">
        <v>1796</v>
      </c>
      <c r="F1763" s="4">
        <v>2</v>
      </c>
      <c r="G1763">
        <v>60.53</v>
      </c>
      <c r="H1763">
        <v>0.18</v>
      </c>
      <c r="I1763" t="s">
        <v>1807</v>
      </c>
      <c r="J1763">
        <v>99.269200000000012</v>
      </c>
      <c r="K1763" t="s">
        <v>809</v>
      </c>
      <c r="L1763">
        <v>57</v>
      </c>
      <c r="M1763" t="s">
        <v>9</v>
      </c>
      <c r="N1763" t="s">
        <v>810</v>
      </c>
      <c r="O1763" t="s">
        <v>25</v>
      </c>
      <c r="P1763" t="s">
        <v>12</v>
      </c>
      <c r="Q1763" t="s">
        <v>13</v>
      </c>
      <c r="R1763" t="s">
        <v>3912</v>
      </c>
      <c r="S1763" t="s">
        <v>1527</v>
      </c>
      <c r="T1763" t="s">
        <v>3824</v>
      </c>
      <c r="U1763" t="s">
        <v>1690</v>
      </c>
      <c r="V1763" t="s">
        <v>1741</v>
      </c>
      <c r="W1763" t="s">
        <v>1742</v>
      </c>
      <c r="X1763" t="s">
        <v>1739</v>
      </c>
    </row>
    <row r="1764" spans="1:24" x14ac:dyDescent="0.3">
      <c r="A1764" t="s">
        <v>3571</v>
      </c>
      <c r="B1764" s="2">
        <v>45610</v>
      </c>
      <c r="C1764" t="s">
        <v>202</v>
      </c>
      <c r="D1764" t="s">
        <v>1699</v>
      </c>
      <c r="E1764" t="s">
        <v>1780</v>
      </c>
      <c r="F1764" s="4">
        <v>4</v>
      </c>
      <c r="G1764">
        <v>341.95</v>
      </c>
      <c r="H1764">
        <v>0.25</v>
      </c>
      <c r="I1764" t="s">
        <v>1807</v>
      </c>
      <c r="J1764">
        <v>1025.8499999999999</v>
      </c>
      <c r="K1764" t="s">
        <v>203</v>
      </c>
      <c r="L1764">
        <v>56</v>
      </c>
      <c r="M1764" t="s">
        <v>16</v>
      </c>
      <c r="N1764" t="s">
        <v>204</v>
      </c>
      <c r="O1764" t="s">
        <v>96</v>
      </c>
      <c r="P1764" t="s">
        <v>12</v>
      </c>
      <c r="Q1764" t="s">
        <v>19</v>
      </c>
      <c r="R1764" t="s">
        <v>3917</v>
      </c>
      <c r="S1764" t="s">
        <v>1527</v>
      </c>
      <c r="T1764" t="s">
        <v>3901</v>
      </c>
      <c r="U1764" t="s">
        <v>1700</v>
      </c>
      <c r="V1764" t="s">
        <v>1741</v>
      </c>
      <c r="W1764" t="s">
        <v>1742</v>
      </c>
      <c r="X1764" t="s">
        <v>1739</v>
      </c>
    </row>
    <row r="1765" spans="1:24" x14ac:dyDescent="0.3">
      <c r="A1765" t="s">
        <v>3572</v>
      </c>
      <c r="B1765" s="2">
        <v>45438</v>
      </c>
      <c r="C1765" t="s">
        <v>891</v>
      </c>
      <c r="D1765" t="s">
        <v>1575</v>
      </c>
      <c r="E1765" t="s">
        <v>1787</v>
      </c>
      <c r="F1765" s="4">
        <v>4</v>
      </c>
      <c r="G1765">
        <v>300.12</v>
      </c>
      <c r="H1765">
        <v>0.05</v>
      </c>
      <c r="I1765" t="s">
        <v>1809</v>
      </c>
      <c r="J1765">
        <v>1140.4559999999999</v>
      </c>
      <c r="K1765" t="s">
        <v>892</v>
      </c>
      <c r="L1765">
        <v>54</v>
      </c>
      <c r="M1765" t="s">
        <v>9</v>
      </c>
      <c r="N1765" t="s">
        <v>893</v>
      </c>
      <c r="O1765" t="s">
        <v>838</v>
      </c>
      <c r="P1765" t="s">
        <v>12</v>
      </c>
      <c r="Q1765" t="s">
        <v>31</v>
      </c>
      <c r="R1765" t="s">
        <v>3848</v>
      </c>
      <c r="S1765" t="s">
        <v>1549</v>
      </c>
      <c r="T1765" t="s">
        <v>3844</v>
      </c>
      <c r="U1765" t="s">
        <v>1576</v>
      </c>
      <c r="V1765" t="s">
        <v>1741</v>
      </c>
      <c r="W1765" t="s">
        <v>1742</v>
      </c>
      <c r="X1765" t="s">
        <v>1739</v>
      </c>
    </row>
    <row r="1766" spans="1:24" x14ac:dyDescent="0.3">
      <c r="A1766" t="s">
        <v>3573</v>
      </c>
      <c r="B1766" s="2">
        <v>45705</v>
      </c>
      <c r="C1766" t="s">
        <v>397</v>
      </c>
      <c r="D1766" t="s">
        <v>1587</v>
      </c>
      <c r="E1766" t="s">
        <v>1790</v>
      </c>
      <c r="F1766" s="4">
        <v>2</v>
      </c>
      <c r="G1766">
        <v>289.14</v>
      </c>
      <c r="H1766">
        <v>0.12</v>
      </c>
      <c r="I1766" t="s">
        <v>1812</v>
      </c>
      <c r="J1766">
        <v>508.88639999999998</v>
      </c>
      <c r="K1766" t="s">
        <v>398</v>
      </c>
      <c r="L1766">
        <v>18</v>
      </c>
      <c r="M1766" t="s">
        <v>16</v>
      </c>
      <c r="N1766" t="s">
        <v>399</v>
      </c>
      <c r="O1766" t="s">
        <v>18</v>
      </c>
      <c r="P1766" t="s">
        <v>12</v>
      </c>
      <c r="Q1766" t="s">
        <v>19</v>
      </c>
      <c r="R1766" t="s">
        <v>3855</v>
      </c>
      <c r="S1766" t="s">
        <v>1549</v>
      </c>
      <c r="T1766" t="s">
        <v>3820</v>
      </c>
      <c r="U1766" t="s">
        <v>1588</v>
      </c>
      <c r="V1766" t="s">
        <v>1741</v>
      </c>
      <c r="W1766" t="s">
        <v>1742</v>
      </c>
      <c r="X1766" t="s">
        <v>1739</v>
      </c>
    </row>
    <row r="1767" spans="1:24" x14ac:dyDescent="0.3">
      <c r="A1767" t="s">
        <v>3574</v>
      </c>
      <c r="B1767" s="2">
        <v>45695</v>
      </c>
      <c r="C1767" t="s">
        <v>174</v>
      </c>
      <c r="D1767" t="s">
        <v>1581</v>
      </c>
      <c r="E1767" t="s">
        <v>1735</v>
      </c>
      <c r="F1767" s="4">
        <v>2</v>
      </c>
      <c r="G1767">
        <v>596.84</v>
      </c>
      <c r="H1767">
        <v>0.01</v>
      </c>
      <c r="I1767" t="s">
        <v>1809</v>
      </c>
      <c r="J1767">
        <v>1181.7431999999999</v>
      </c>
      <c r="K1767" t="s">
        <v>3936</v>
      </c>
      <c r="L1767">
        <v>55</v>
      </c>
      <c r="M1767" t="s">
        <v>16</v>
      </c>
      <c r="N1767" t="s">
        <v>175</v>
      </c>
      <c r="O1767" t="s">
        <v>133</v>
      </c>
      <c r="P1767" t="s">
        <v>12</v>
      </c>
      <c r="Q1767" t="s">
        <v>13</v>
      </c>
      <c r="R1767" t="s">
        <v>3852</v>
      </c>
      <c r="S1767" t="s">
        <v>1530</v>
      </c>
      <c r="T1767" t="s">
        <v>3820</v>
      </c>
      <c r="U1767" t="s">
        <v>1582</v>
      </c>
      <c r="V1767" t="s">
        <v>1736</v>
      </c>
      <c r="W1767" t="s">
        <v>1737</v>
      </c>
      <c r="X1767" t="s">
        <v>1739</v>
      </c>
    </row>
    <row r="1768" spans="1:24" x14ac:dyDescent="0.3">
      <c r="A1768" t="s">
        <v>3575</v>
      </c>
      <c r="B1768" s="2">
        <v>45571</v>
      </c>
      <c r="C1768" t="s">
        <v>1336</v>
      </c>
      <c r="D1768" t="s">
        <v>1569</v>
      </c>
      <c r="E1768" t="s">
        <v>1765</v>
      </c>
      <c r="F1768" s="4">
        <v>4</v>
      </c>
      <c r="G1768">
        <v>466.24</v>
      </c>
      <c r="H1768">
        <v>0.16</v>
      </c>
      <c r="I1768" t="s">
        <v>1807</v>
      </c>
      <c r="J1768">
        <v>1566.5663999999999</v>
      </c>
      <c r="K1768" t="s">
        <v>1337</v>
      </c>
      <c r="L1768">
        <v>47</v>
      </c>
      <c r="M1768" t="s">
        <v>16</v>
      </c>
      <c r="N1768" t="s">
        <v>1338</v>
      </c>
      <c r="O1768" t="s">
        <v>39</v>
      </c>
      <c r="P1768" t="s">
        <v>12</v>
      </c>
      <c r="Q1768" t="s">
        <v>13</v>
      </c>
      <c r="R1768" t="s">
        <v>3843</v>
      </c>
      <c r="S1768" t="s">
        <v>1549</v>
      </c>
      <c r="T1768" t="s">
        <v>3844</v>
      </c>
      <c r="U1768" t="s">
        <v>1570</v>
      </c>
      <c r="V1768" t="s">
        <v>1766</v>
      </c>
      <c r="W1768" t="s">
        <v>1767</v>
      </c>
      <c r="X1768" t="s">
        <v>1755</v>
      </c>
    </row>
    <row r="1769" spans="1:24" x14ac:dyDescent="0.3">
      <c r="A1769" t="s">
        <v>3576</v>
      </c>
      <c r="B1769" s="2">
        <v>45544</v>
      </c>
      <c r="C1769" t="s">
        <v>800</v>
      </c>
      <c r="D1769" t="s">
        <v>1557</v>
      </c>
      <c r="E1769" t="s">
        <v>1787</v>
      </c>
      <c r="F1769" s="4">
        <v>2</v>
      </c>
      <c r="G1769">
        <v>330.59</v>
      </c>
      <c r="H1769">
        <v>0.14000000000000001</v>
      </c>
      <c r="I1769" t="s">
        <v>1807</v>
      </c>
      <c r="J1769">
        <v>568.61479999999995</v>
      </c>
      <c r="K1769" t="s">
        <v>801</v>
      </c>
      <c r="L1769">
        <v>32</v>
      </c>
      <c r="M1769" t="s">
        <v>9</v>
      </c>
      <c r="N1769" t="s">
        <v>802</v>
      </c>
      <c r="O1769" t="s">
        <v>39</v>
      </c>
      <c r="P1769" t="s">
        <v>12</v>
      </c>
      <c r="Q1769" t="s">
        <v>31</v>
      </c>
      <c r="R1769" t="s">
        <v>3834</v>
      </c>
      <c r="S1769" t="s">
        <v>1546</v>
      </c>
      <c r="T1769" t="s">
        <v>3820</v>
      </c>
      <c r="U1769" t="s">
        <v>1558</v>
      </c>
      <c r="V1769" t="s">
        <v>1741</v>
      </c>
      <c r="W1769" t="s">
        <v>1742</v>
      </c>
      <c r="X1769" t="s">
        <v>1739</v>
      </c>
    </row>
    <row r="1770" spans="1:24" x14ac:dyDescent="0.3">
      <c r="A1770" t="s">
        <v>3577</v>
      </c>
      <c r="B1770" s="2">
        <v>45654</v>
      </c>
      <c r="C1770" t="s">
        <v>1499</v>
      </c>
      <c r="D1770" t="s">
        <v>1575</v>
      </c>
      <c r="E1770" t="s">
        <v>1759</v>
      </c>
      <c r="F1770" s="4">
        <v>2</v>
      </c>
      <c r="G1770">
        <v>616.42999999999995</v>
      </c>
      <c r="H1770">
        <v>0.02</v>
      </c>
      <c r="I1770" t="s">
        <v>1812</v>
      </c>
      <c r="J1770">
        <v>1208.2028</v>
      </c>
      <c r="K1770" t="s">
        <v>1500</v>
      </c>
      <c r="L1770">
        <v>21</v>
      </c>
      <c r="M1770" t="s">
        <v>9</v>
      </c>
      <c r="N1770" t="s">
        <v>84</v>
      </c>
      <c r="O1770" t="s">
        <v>22</v>
      </c>
      <c r="P1770" t="s">
        <v>12</v>
      </c>
      <c r="Q1770" t="s">
        <v>31</v>
      </c>
      <c r="R1770" t="s">
        <v>3848</v>
      </c>
      <c r="S1770" t="s">
        <v>1549</v>
      </c>
      <c r="T1770" t="s">
        <v>3844</v>
      </c>
      <c r="U1770" t="s">
        <v>1576</v>
      </c>
      <c r="V1770" t="s">
        <v>1760</v>
      </c>
      <c r="W1770" t="s">
        <v>1737</v>
      </c>
      <c r="X1770" t="s">
        <v>1755</v>
      </c>
    </row>
    <row r="1771" spans="1:24" x14ac:dyDescent="0.3">
      <c r="A1771" t="s">
        <v>3578</v>
      </c>
      <c r="B1771" s="2">
        <v>45589</v>
      </c>
      <c r="C1771" t="s">
        <v>1240</v>
      </c>
      <c r="D1771" t="s">
        <v>1657</v>
      </c>
      <c r="E1771" t="s">
        <v>1759</v>
      </c>
      <c r="F1771" s="4">
        <v>3</v>
      </c>
      <c r="G1771">
        <v>195.89</v>
      </c>
      <c r="H1771">
        <v>0.16</v>
      </c>
      <c r="I1771" t="s">
        <v>1809</v>
      </c>
      <c r="J1771">
        <v>493.64280000000002</v>
      </c>
      <c r="K1771" t="s">
        <v>1241</v>
      </c>
      <c r="L1771">
        <v>22</v>
      </c>
      <c r="M1771" t="s">
        <v>16</v>
      </c>
      <c r="N1771" t="s">
        <v>1242</v>
      </c>
      <c r="O1771" t="s">
        <v>323</v>
      </c>
      <c r="P1771" t="s">
        <v>12</v>
      </c>
      <c r="Q1771" t="s">
        <v>26</v>
      </c>
      <c r="R1771" t="s">
        <v>3895</v>
      </c>
      <c r="S1771" t="s">
        <v>1541</v>
      </c>
      <c r="T1771" t="s">
        <v>3822</v>
      </c>
      <c r="U1771" t="s">
        <v>1658</v>
      </c>
      <c r="V1771" t="s">
        <v>1760</v>
      </c>
      <c r="W1771" t="s">
        <v>1737</v>
      </c>
      <c r="X1771" t="s">
        <v>1755</v>
      </c>
    </row>
    <row r="1772" spans="1:24" x14ac:dyDescent="0.3">
      <c r="A1772" t="s">
        <v>3579</v>
      </c>
      <c r="B1772" s="2">
        <v>45487</v>
      </c>
      <c r="C1772" t="s">
        <v>1066</v>
      </c>
      <c r="D1772" t="s">
        <v>1543</v>
      </c>
      <c r="E1772" t="s">
        <v>1772</v>
      </c>
      <c r="F1772" s="4">
        <v>4</v>
      </c>
      <c r="G1772">
        <v>614.76</v>
      </c>
      <c r="H1772">
        <v>0.16</v>
      </c>
      <c r="I1772" t="s">
        <v>1807</v>
      </c>
      <c r="J1772">
        <v>2065.5936000000002</v>
      </c>
      <c r="K1772" t="s">
        <v>1067</v>
      </c>
      <c r="L1772">
        <v>39</v>
      </c>
      <c r="M1772" t="s">
        <v>9</v>
      </c>
      <c r="N1772" t="s">
        <v>1068</v>
      </c>
      <c r="O1772" t="s">
        <v>284</v>
      </c>
      <c r="P1772" t="s">
        <v>12</v>
      </c>
      <c r="Q1772" t="s">
        <v>26</v>
      </c>
      <c r="R1772" t="s">
        <v>3902</v>
      </c>
      <c r="S1772" t="s">
        <v>1530</v>
      </c>
      <c r="T1772" t="s">
        <v>3818</v>
      </c>
      <c r="U1772" t="s">
        <v>1670</v>
      </c>
      <c r="V1772" t="s">
        <v>1741</v>
      </c>
      <c r="W1772" t="s">
        <v>1742</v>
      </c>
      <c r="X1772" t="s">
        <v>1739</v>
      </c>
    </row>
    <row r="1773" spans="1:24" x14ac:dyDescent="0.3">
      <c r="A1773" t="s">
        <v>3580</v>
      </c>
      <c r="B1773" s="2">
        <v>45418</v>
      </c>
      <c r="C1773" t="s">
        <v>1243</v>
      </c>
      <c r="D1773" t="s">
        <v>1689</v>
      </c>
      <c r="E1773" t="s">
        <v>1762</v>
      </c>
      <c r="F1773" s="4">
        <v>1</v>
      </c>
      <c r="G1773">
        <v>224.49</v>
      </c>
      <c r="H1773">
        <v>0.11</v>
      </c>
      <c r="I1773" t="s">
        <v>1809</v>
      </c>
      <c r="J1773">
        <v>199.7961</v>
      </c>
      <c r="K1773" t="s">
        <v>1244</v>
      </c>
      <c r="L1773">
        <v>18</v>
      </c>
      <c r="M1773" t="s">
        <v>16</v>
      </c>
      <c r="N1773" t="s">
        <v>1245</v>
      </c>
      <c r="O1773" t="s">
        <v>288</v>
      </c>
      <c r="P1773" t="s">
        <v>12</v>
      </c>
      <c r="Q1773" t="s">
        <v>31</v>
      </c>
      <c r="R1773" t="s">
        <v>3912</v>
      </c>
      <c r="S1773" t="s">
        <v>1527</v>
      </c>
      <c r="T1773" t="s">
        <v>3824</v>
      </c>
      <c r="U1773" t="s">
        <v>1690</v>
      </c>
      <c r="V1773" t="s">
        <v>1763</v>
      </c>
      <c r="W1773" t="s">
        <v>1746</v>
      </c>
      <c r="X1773" t="s">
        <v>1755</v>
      </c>
    </row>
    <row r="1774" spans="1:24" x14ac:dyDescent="0.3">
      <c r="A1774" t="s">
        <v>3581</v>
      </c>
      <c r="B1774" s="2">
        <v>45338</v>
      </c>
      <c r="C1774" t="s">
        <v>1103</v>
      </c>
      <c r="D1774" t="s">
        <v>1641</v>
      </c>
      <c r="E1774" t="s">
        <v>1777</v>
      </c>
      <c r="F1774" s="4">
        <v>1</v>
      </c>
      <c r="G1774">
        <v>967.76</v>
      </c>
      <c r="H1774">
        <v>0.09</v>
      </c>
      <c r="I1774" t="s">
        <v>1807</v>
      </c>
      <c r="J1774">
        <v>880.66160000000002</v>
      </c>
      <c r="K1774" t="s">
        <v>1104</v>
      </c>
      <c r="L1774">
        <v>41</v>
      </c>
      <c r="M1774" t="s">
        <v>9</v>
      </c>
      <c r="N1774" t="s">
        <v>1105</v>
      </c>
      <c r="O1774" t="s">
        <v>284</v>
      </c>
      <c r="P1774" t="s">
        <v>12</v>
      </c>
      <c r="Q1774" t="s">
        <v>26</v>
      </c>
      <c r="R1774" t="s">
        <v>3887</v>
      </c>
      <c r="S1774" t="s">
        <v>1527</v>
      </c>
      <c r="T1774" t="s">
        <v>3836</v>
      </c>
      <c r="U1774" t="s">
        <v>1642</v>
      </c>
      <c r="V1774" t="s">
        <v>1741</v>
      </c>
      <c r="W1774" t="s">
        <v>1742</v>
      </c>
      <c r="X1774" t="s">
        <v>1739</v>
      </c>
    </row>
    <row r="1775" spans="1:24" x14ac:dyDescent="0.3">
      <c r="A1775" t="s">
        <v>3582</v>
      </c>
      <c r="B1775" s="2">
        <v>45507</v>
      </c>
      <c r="C1775" t="s">
        <v>244</v>
      </c>
      <c r="D1775" t="s">
        <v>1613</v>
      </c>
      <c r="E1775" t="s">
        <v>1796</v>
      </c>
      <c r="F1775" s="4">
        <v>2</v>
      </c>
      <c r="G1775">
        <v>56.52</v>
      </c>
      <c r="H1775">
        <v>0.17</v>
      </c>
      <c r="I1775" t="s">
        <v>1809</v>
      </c>
      <c r="J1775">
        <v>93.8232</v>
      </c>
      <c r="K1775" t="s">
        <v>245</v>
      </c>
      <c r="L1775">
        <v>24</v>
      </c>
      <c r="M1775" t="s">
        <v>16</v>
      </c>
      <c r="N1775" t="s">
        <v>246</v>
      </c>
      <c r="O1775" t="s">
        <v>247</v>
      </c>
      <c r="P1775" t="s">
        <v>12</v>
      </c>
      <c r="Q1775" t="s">
        <v>31</v>
      </c>
      <c r="R1775" t="s">
        <v>3871</v>
      </c>
      <c r="S1775" t="s">
        <v>1549</v>
      </c>
      <c r="T1775" t="s">
        <v>3828</v>
      </c>
      <c r="U1775" t="s">
        <v>1614</v>
      </c>
      <c r="V1775" t="s">
        <v>1741</v>
      </c>
      <c r="W1775" t="s">
        <v>1742</v>
      </c>
      <c r="X1775" t="s">
        <v>1739</v>
      </c>
    </row>
    <row r="1776" spans="1:24" x14ac:dyDescent="0.3">
      <c r="A1776" t="s">
        <v>3583</v>
      </c>
      <c r="B1776" s="2">
        <v>45275</v>
      </c>
      <c r="C1776" t="s">
        <v>1490</v>
      </c>
      <c r="D1776" t="s">
        <v>1665</v>
      </c>
      <c r="E1776" t="s">
        <v>1740</v>
      </c>
      <c r="F1776" s="4">
        <v>4</v>
      </c>
      <c r="G1776">
        <v>921.84</v>
      </c>
      <c r="H1776">
        <v>0.04</v>
      </c>
      <c r="I1776" t="s">
        <v>1807</v>
      </c>
      <c r="J1776">
        <v>3539.8656000000001</v>
      </c>
      <c r="K1776" t="s">
        <v>1491</v>
      </c>
      <c r="L1776">
        <v>52</v>
      </c>
      <c r="M1776" t="s">
        <v>16</v>
      </c>
      <c r="N1776" t="s">
        <v>1492</v>
      </c>
      <c r="O1776" t="s">
        <v>139</v>
      </c>
      <c r="P1776" t="s">
        <v>12</v>
      </c>
      <c r="Q1776" t="s">
        <v>19</v>
      </c>
      <c r="R1776" t="s">
        <v>3899</v>
      </c>
      <c r="S1776" t="s">
        <v>1546</v>
      </c>
      <c r="T1776" t="s">
        <v>3820</v>
      </c>
      <c r="U1776" t="s">
        <v>1666</v>
      </c>
      <c r="V1776" t="s">
        <v>1741</v>
      </c>
      <c r="W1776" t="s">
        <v>1742</v>
      </c>
      <c r="X1776" t="s">
        <v>1739</v>
      </c>
    </row>
    <row r="1777" spans="1:24" x14ac:dyDescent="0.3">
      <c r="A1777" t="s">
        <v>3584</v>
      </c>
      <c r="B1777" s="2">
        <v>45319</v>
      </c>
      <c r="C1777" t="s">
        <v>1021</v>
      </c>
      <c r="D1777" t="s">
        <v>1703</v>
      </c>
      <c r="E1777" t="s">
        <v>1787</v>
      </c>
      <c r="F1777" s="4">
        <v>3</v>
      </c>
      <c r="G1777">
        <v>738.47</v>
      </c>
      <c r="H1777">
        <v>0.28000000000000003</v>
      </c>
      <c r="I1777" t="s">
        <v>1807</v>
      </c>
      <c r="J1777">
        <v>1595.0952</v>
      </c>
      <c r="K1777" t="s">
        <v>1022</v>
      </c>
      <c r="L1777">
        <v>62</v>
      </c>
      <c r="M1777" t="s">
        <v>16</v>
      </c>
      <c r="N1777" t="s">
        <v>1023</v>
      </c>
      <c r="O1777" t="s">
        <v>198</v>
      </c>
      <c r="P1777" t="s">
        <v>12</v>
      </c>
      <c r="Q1777" t="s">
        <v>19</v>
      </c>
      <c r="R1777" t="s">
        <v>3919</v>
      </c>
      <c r="S1777" t="s">
        <v>1527</v>
      </c>
      <c r="T1777" t="s">
        <v>3830</v>
      </c>
      <c r="U1777" t="s">
        <v>1704</v>
      </c>
      <c r="V1777" t="s">
        <v>1741</v>
      </c>
      <c r="W1777" t="s">
        <v>1742</v>
      </c>
      <c r="X1777" t="s">
        <v>1739</v>
      </c>
    </row>
    <row r="1778" spans="1:24" x14ac:dyDescent="0.3">
      <c r="A1778" t="s">
        <v>3585</v>
      </c>
      <c r="B1778" s="2">
        <v>45620</v>
      </c>
      <c r="C1778" t="s">
        <v>1021</v>
      </c>
      <c r="D1778" t="s">
        <v>1538</v>
      </c>
      <c r="E1778" t="s">
        <v>1735</v>
      </c>
      <c r="F1778" s="4">
        <v>4</v>
      </c>
      <c r="G1778">
        <v>477.83</v>
      </c>
      <c r="H1778">
        <v>0.05</v>
      </c>
      <c r="I1778" t="s">
        <v>1812</v>
      </c>
      <c r="J1778">
        <v>1815.7539999999999</v>
      </c>
      <c r="K1778" t="s">
        <v>1022</v>
      </c>
      <c r="L1778">
        <v>62</v>
      </c>
      <c r="M1778" t="s">
        <v>16</v>
      </c>
      <c r="N1778" t="s">
        <v>1023</v>
      </c>
      <c r="O1778" t="s">
        <v>198</v>
      </c>
      <c r="P1778" t="s">
        <v>12</v>
      </c>
      <c r="Q1778" t="s">
        <v>19</v>
      </c>
      <c r="R1778" t="s">
        <v>3880</v>
      </c>
      <c r="S1778" t="s">
        <v>1541</v>
      </c>
      <c r="T1778" t="s">
        <v>3881</v>
      </c>
      <c r="U1778" t="s">
        <v>1630</v>
      </c>
      <c r="V1778" t="s">
        <v>1736</v>
      </c>
      <c r="W1778" t="s">
        <v>1737</v>
      </c>
      <c r="X1778" t="s">
        <v>1739</v>
      </c>
    </row>
    <row r="1779" spans="1:24" x14ac:dyDescent="0.3">
      <c r="A1779" t="s">
        <v>3586</v>
      </c>
      <c r="B1779" s="2">
        <v>45831</v>
      </c>
      <c r="C1779" t="s">
        <v>554</v>
      </c>
      <c r="D1779" t="s">
        <v>1615</v>
      </c>
      <c r="E1779" t="s">
        <v>1777</v>
      </c>
      <c r="F1779" s="4">
        <v>3</v>
      </c>
      <c r="G1779">
        <v>605.83000000000004</v>
      </c>
      <c r="H1779">
        <v>0.28000000000000003</v>
      </c>
      <c r="I1779" t="s">
        <v>1812</v>
      </c>
      <c r="J1779">
        <v>1308.5927999999999</v>
      </c>
      <c r="K1779" t="s">
        <v>555</v>
      </c>
      <c r="L1779">
        <v>64</v>
      </c>
      <c r="M1779" t="s">
        <v>9</v>
      </c>
      <c r="N1779" t="s">
        <v>556</v>
      </c>
      <c r="O1779" t="s">
        <v>247</v>
      </c>
      <c r="P1779" t="s">
        <v>12</v>
      </c>
      <c r="Q1779" t="s">
        <v>19</v>
      </c>
      <c r="R1779" t="s">
        <v>3872</v>
      </c>
      <c r="S1779" t="s">
        <v>1546</v>
      </c>
      <c r="T1779" t="s">
        <v>3820</v>
      </c>
      <c r="U1779" t="s">
        <v>1616</v>
      </c>
      <c r="V1779" t="s">
        <v>1741</v>
      </c>
      <c r="W1779" t="s">
        <v>1742</v>
      </c>
      <c r="X1779" t="s">
        <v>1739</v>
      </c>
    </row>
    <row r="1780" spans="1:24" x14ac:dyDescent="0.3">
      <c r="A1780" t="s">
        <v>3587</v>
      </c>
      <c r="B1780" s="2">
        <v>45373</v>
      </c>
      <c r="C1780" t="s">
        <v>244</v>
      </c>
      <c r="D1780" t="s">
        <v>1617</v>
      </c>
      <c r="E1780" t="s">
        <v>1749</v>
      </c>
      <c r="F1780" s="4">
        <v>2</v>
      </c>
      <c r="G1780">
        <v>521.44000000000005</v>
      </c>
      <c r="H1780">
        <v>0.25</v>
      </c>
      <c r="I1780" t="s">
        <v>1812</v>
      </c>
      <c r="J1780">
        <v>782.16000000000008</v>
      </c>
      <c r="K1780" t="s">
        <v>245</v>
      </c>
      <c r="L1780">
        <v>24</v>
      </c>
      <c r="M1780" t="s">
        <v>16</v>
      </c>
      <c r="N1780" t="s">
        <v>246</v>
      </c>
      <c r="O1780" t="s">
        <v>247</v>
      </c>
      <c r="P1780" t="s">
        <v>12</v>
      </c>
      <c r="Q1780" t="s">
        <v>31</v>
      </c>
      <c r="R1780" t="s">
        <v>3873</v>
      </c>
      <c r="S1780" t="s">
        <v>1546</v>
      </c>
      <c r="T1780" t="s">
        <v>3811</v>
      </c>
      <c r="U1780" t="s">
        <v>1618</v>
      </c>
      <c r="V1780" t="s">
        <v>1750</v>
      </c>
      <c r="W1780" t="s">
        <v>1742</v>
      </c>
      <c r="X1780" t="s">
        <v>1748</v>
      </c>
    </row>
    <row r="1781" spans="1:24" x14ac:dyDescent="0.3">
      <c r="A1781" t="s">
        <v>3588</v>
      </c>
      <c r="B1781" s="2">
        <v>45863</v>
      </c>
      <c r="C1781" t="s">
        <v>1153</v>
      </c>
      <c r="D1781" t="s">
        <v>1551</v>
      </c>
      <c r="E1781" t="s">
        <v>1762</v>
      </c>
      <c r="F1781" s="4">
        <v>4</v>
      </c>
      <c r="G1781">
        <v>499.02</v>
      </c>
      <c r="H1781">
        <v>0.06</v>
      </c>
      <c r="I1781" t="s">
        <v>1807</v>
      </c>
      <c r="J1781">
        <v>1876.3152</v>
      </c>
      <c r="K1781" t="s">
        <v>1154</v>
      </c>
      <c r="L1781">
        <v>60</v>
      </c>
      <c r="M1781" t="s">
        <v>9</v>
      </c>
      <c r="N1781" t="s">
        <v>1155</v>
      </c>
      <c r="O1781" t="s">
        <v>429</v>
      </c>
      <c r="P1781" t="s">
        <v>12</v>
      </c>
      <c r="Q1781" t="s">
        <v>13</v>
      </c>
      <c r="R1781" t="s">
        <v>3829</v>
      </c>
      <c r="S1781" t="s">
        <v>1527</v>
      </c>
      <c r="T1781" t="s">
        <v>3830</v>
      </c>
      <c r="U1781" t="s">
        <v>1552</v>
      </c>
      <c r="V1781" t="s">
        <v>1763</v>
      </c>
      <c r="W1781" t="s">
        <v>1746</v>
      </c>
      <c r="X1781" t="s">
        <v>1755</v>
      </c>
    </row>
    <row r="1782" spans="1:24" x14ac:dyDescent="0.3">
      <c r="A1782" t="s">
        <v>3589</v>
      </c>
      <c r="B1782" s="2">
        <v>45758</v>
      </c>
      <c r="C1782" t="s">
        <v>509</v>
      </c>
      <c r="D1782" t="s">
        <v>1536</v>
      </c>
      <c r="E1782" t="s">
        <v>1793</v>
      </c>
      <c r="F1782" s="4">
        <v>4</v>
      </c>
      <c r="G1782">
        <v>299.45999999999998</v>
      </c>
      <c r="H1782">
        <v>0.18</v>
      </c>
      <c r="I1782" t="s">
        <v>1812</v>
      </c>
      <c r="J1782">
        <v>982.22879999999998</v>
      </c>
      <c r="K1782" t="s">
        <v>510</v>
      </c>
      <c r="L1782">
        <v>35</v>
      </c>
      <c r="M1782" t="s">
        <v>16</v>
      </c>
      <c r="N1782" t="s">
        <v>511</v>
      </c>
      <c r="O1782" t="s">
        <v>18</v>
      </c>
      <c r="P1782" t="s">
        <v>12</v>
      </c>
      <c r="Q1782" t="s">
        <v>26</v>
      </c>
      <c r="R1782" t="s">
        <v>3868</v>
      </c>
      <c r="S1782" t="s">
        <v>1546</v>
      </c>
      <c r="T1782" t="s">
        <v>3869</v>
      </c>
      <c r="U1782" t="s">
        <v>1610</v>
      </c>
      <c r="V1782" t="s">
        <v>1741</v>
      </c>
      <c r="W1782" t="s">
        <v>1742</v>
      </c>
      <c r="X1782" t="s">
        <v>1739</v>
      </c>
    </row>
    <row r="1783" spans="1:24" x14ac:dyDescent="0.3">
      <c r="A1783" t="s">
        <v>3590</v>
      </c>
      <c r="B1783" s="2">
        <v>45285</v>
      </c>
      <c r="C1783" t="s">
        <v>1395</v>
      </c>
      <c r="D1783" t="s">
        <v>1609</v>
      </c>
      <c r="E1783" t="s">
        <v>1735</v>
      </c>
      <c r="F1783" s="4">
        <v>1</v>
      </c>
      <c r="G1783">
        <v>609.29</v>
      </c>
      <c r="H1783">
        <v>0.15</v>
      </c>
      <c r="I1783" t="s">
        <v>1807</v>
      </c>
      <c r="J1783">
        <v>517.89649999999995</v>
      </c>
      <c r="K1783" t="s">
        <v>1396</v>
      </c>
      <c r="L1783">
        <v>62</v>
      </c>
      <c r="M1783" t="s">
        <v>16</v>
      </c>
      <c r="N1783" t="s">
        <v>1397</v>
      </c>
      <c r="O1783" t="s">
        <v>582</v>
      </c>
      <c r="P1783" t="s">
        <v>12</v>
      </c>
      <c r="Q1783" t="s">
        <v>19</v>
      </c>
      <c r="R1783" t="s">
        <v>3868</v>
      </c>
      <c r="S1783" t="s">
        <v>1546</v>
      </c>
      <c r="T1783" t="s">
        <v>3869</v>
      </c>
      <c r="U1783" t="s">
        <v>1610</v>
      </c>
      <c r="V1783" t="s">
        <v>1736</v>
      </c>
      <c r="W1783" t="s">
        <v>1737</v>
      </c>
      <c r="X1783" t="s">
        <v>1739</v>
      </c>
    </row>
    <row r="1784" spans="1:24" x14ac:dyDescent="0.3">
      <c r="A1784" t="s">
        <v>3591</v>
      </c>
      <c r="B1784" s="2">
        <v>45656</v>
      </c>
      <c r="C1784" t="s">
        <v>355</v>
      </c>
      <c r="D1784" t="s">
        <v>1532</v>
      </c>
      <c r="E1784" t="s">
        <v>1765</v>
      </c>
      <c r="F1784" s="4">
        <v>1</v>
      </c>
      <c r="G1784">
        <v>213.74</v>
      </c>
      <c r="H1784">
        <v>7.0000000000000007E-2</v>
      </c>
      <c r="I1784" t="s">
        <v>1812</v>
      </c>
      <c r="J1784">
        <v>198.7782</v>
      </c>
      <c r="K1784" t="s">
        <v>356</v>
      </c>
      <c r="L1784">
        <v>34</v>
      </c>
      <c r="M1784" t="s">
        <v>16</v>
      </c>
      <c r="N1784" t="s">
        <v>357</v>
      </c>
      <c r="O1784" t="s">
        <v>117</v>
      </c>
      <c r="P1784" t="s">
        <v>12</v>
      </c>
      <c r="Q1784" t="s">
        <v>13</v>
      </c>
      <c r="R1784" t="s">
        <v>3843</v>
      </c>
      <c r="S1784" t="s">
        <v>1549</v>
      </c>
      <c r="T1784" t="s">
        <v>3844</v>
      </c>
      <c r="U1784" t="s">
        <v>1570</v>
      </c>
      <c r="V1784" t="s">
        <v>1766</v>
      </c>
      <c r="W1784" t="s">
        <v>1767</v>
      </c>
      <c r="X1784" t="s">
        <v>1755</v>
      </c>
    </row>
    <row r="1785" spans="1:24" x14ac:dyDescent="0.3">
      <c r="A1785" t="s">
        <v>3592</v>
      </c>
      <c r="B1785" s="2">
        <v>45718</v>
      </c>
      <c r="C1785" t="s">
        <v>509</v>
      </c>
      <c r="D1785" t="s">
        <v>1641</v>
      </c>
      <c r="E1785" t="s">
        <v>1787</v>
      </c>
      <c r="F1785" s="4">
        <v>4</v>
      </c>
      <c r="G1785">
        <v>613.16999999999996</v>
      </c>
      <c r="H1785">
        <v>0.26</v>
      </c>
      <c r="I1785" t="s">
        <v>1807</v>
      </c>
      <c r="J1785">
        <v>1814.9831999999999</v>
      </c>
      <c r="K1785" t="s">
        <v>510</v>
      </c>
      <c r="L1785">
        <v>35</v>
      </c>
      <c r="M1785" t="s">
        <v>16</v>
      </c>
      <c r="N1785" t="s">
        <v>511</v>
      </c>
      <c r="O1785" t="s">
        <v>18</v>
      </c>
      <c r="P1785" t="s">
        <v>12</v>
      </c>
      <c r="Q1785" t="s">
        <v>26</v>
      </c>
      <c r="R1785" t="s">
        <v>3887</v>
      </c>
      <c r="S1785" t="s">
        <v>1527</v>
      </c>
      <c r="T1785" t="s">
        <v>3836</v>
      </c>
      <c r="U1785" t="s">
        <v>1642</v>
      </c>
      <c r="V1785" t="s">
        <v>1741</v>
      </c>
      <c r="W1785" t="s">
        <v>1742</v>
      </c>
      <c r="X1785" t="s">
        <v>1739</v>
      </c>
    </row>
    <row r="1786" spans="1:24" x14ac:dyDescent="0.3">
      <c r="A1786" t="s">
        <v>3593</v>
      </c>
      <c r="B1786" s="2">
        <v>45293</v>
      </c>
      <c r="C1786" t="s">
        <v>1106</v>
      </c>
      <c r="D1786" t="s">
        <v>1649</v>
      </c>
      <c r="E1786" t="s">
        <v>1775</v>
      </c>
      <c r="F1786" s="4">
        <v>2</v>
      </c>
      <c r="G1786">
        <v>687.36</v>
      </c>
      <c r="H1786">
        <v>7.0000000000000007E-2</v>
      </c>
      <c r="I1786" t="s">
        <v>1812</v>
      </c>
      <c r="J1786">
        <v>1278.4896000000001</v>
      </c>
      <c r="K1786" t="s">
        <v>1107</v>
      </c>
      <c r="L1786">
        <v>60</v>
      </c>
      <c r="M1786" t="s">
        <v>16</v>
      </c>
      <c r="N1786" t="s">
        <v>1108</v>
      </c>
      <c r="O1786" t="s">
        <v>234</v>
      </c>
      <c r="P1786" t="s">
        <v>12</v>
      </c>
      <c r="Q1786" t="s">
        <v>13</v>
      </c>
      <c r="R1786" t="s">
        <v>3891</v>
      </c>
      <c r="S1786" t="s">
        <v>1541</v>
      </c>
      <c r="T1786" t="s">
        <v>3833</v>
      </c>
      <c r="U1786" t="s">
        <v>1650</v>
      </c>
      <c r="V1786" t="s">
        <v>1741</v>
      </c>
      <c r="W1786" t="s">
        <v>1742</v>
      </c>
      <c r="X1786" t="s">
        <v>1739</v>
      </c>
    </row>
    <row r="1787" spans="1:24" x14ac:dyDescent="0.3">
      <c r="A1787" t="s">
        <v>3594</v>
      </c>
      <c r="B1787" s="2">
        <v>45915</v>
      </c>
      <c r="C1787" t="s">
        <v>1015</v>
      </c>
      <c r="D1787" t="s">
        <v>1665</v>
      </c>
      <c r="E1787" t="s">
        <v>1780</v>
      </c>
      <c r="F1787" s="4">
        <v>3</v>
      </c>
      <c r="G1787">
        <v>115.39</v>
      </c>
      <c r="H1787">
        <v>0.02</v>
      </c>
      <c r="I1787" t="s">
        <v>1809</v>
      </c>
      <c r="J1787">
        <v>339.2466</v>
      </c>
      <c r="K1787" t="s">
        <v>1016</v>
      </c>
      <c r="L1787">
        <v>62</v>
      </c>
      <c r="M1787" t="s">
        <v>16</v>
      </c>
      <c r="N1787" t="s">
        <v>1017</v>
      </c>
      <c r="O1787" t="s">
        <v>214</v>
      </c>
      <c r="P1787" t="s">
        <v>12</v>
      </c>
      <c r="Q1787" t="s">
        <v>13</v>
      </c>
      <c r="R1787" t="s">
        <v>3899</v>
      </c>
      <c r="S1787" t="s">
        <v>1546</v>
      </c>
      <c r="T1787" t="s">
        <v>3820</v>
      </c>
      <c r="U1787" t="s">
        <v>1666</v>
      </c>
      <c r="V1787" t="s">
        <v>1741</v>
      </c>
      <c r="W1787" t="s">
        <v>1742</v>
      </c>
      <c r="X1787" t="s">
        <v>1739</v>
      </c>
    </row>
    <row r="1788" spans="1:24" x14ac:dyDescent="0.3">
      <c r="A1788" t="s">
        <v>3595</v>
      </c>
      <c r="B1788" s="2">
        <v>45359</v>
      </c>
      <c r="C1788" t="s">
        <v>586</v>
      </c>
      <c r="D1788" t="s">
        <v>1579</v>
      </c>
      <c r="E1788" t="s">
        <v>1777</v>
      </c>
      <c r="F1788" s="4">
        <v>2</v>
      </c>
      <c r="G1788">
        <v>722.06</v>
      </c>
      <c r="H1788">
        <v>7.0000000000000007E-2</v>
      </c>
      <c r="I1788" t="s">
        <v>1807</v>
      </c>
      <c r="J1788">
        <v>1343.0316</v>
      </c>
      <c r="K1788" t="s">
        <v>587</v>
      </c>
      <c r="L1788">
        <v>38</v>
      </c>
      <c r="M1788" t="s">
        <v>9</v>
      </c>
      <c r="N1788" t="s">
        <v>588</v>
      </c>
      <c r="O1788" t="s">
        <v>117</v>
      </c>
      <c r="P1788" t="s">
        <v>12</v>
      </c>
      <c r="Q1788" t="s">
        <v>31</v>
      </c>
      <c r="R1788" t="s">
        <v>3850</v>
      </c>
      <c r="S1788" t="s">
        <v>1549</v>
      </c>
      <c r="T1788" t="s">
        <v>3851</v>
      </c>
      <c r="U1788" t="s">
        <v>1580</v>
      </c>
      <c r="V1788" t="s">
        <v>1741</v>
      </c>
      <c r="W1788" t="s">
        <v>1742</v>
      </c>
      <c r="X1788" t="s">
        <v>1739</v>
      </c>
    </row>
    <row r="1789" spans="1:24" x14ac:dyDescent="0.3">
      <c r="A1789" t="s">
        <v>3596</v>
      </c>
      <c r="B1789" s="2">
        <v>45652</v>
      </c>
      <c r="C1789" t="s">
        <v>1303</v>
      </c>
      <c r="D1789" t="s">
        <v>1543</v>
      </c>
      <c r="E1789" t="s">
        <v>1784</v>
      </c>
      <c r="F1789" s="4">
        <v>1</v>
      </c>
      <c r="G1789">
        <v>384.57</v>
      </c>
      <c r="H1789">
        <v>0.06</v>
      </c>
      <c r="I1789" t="s">
        <v>1809</v>
      </c>
      <c r="J1789">
        <v>361.49579999999997</v>
      </c>
      <c r="K1789" t="s">
        <v>1304</v>
      </c>
      <c r="L1789">
        <v>28</v>
      </c>
      <c r="M1789" t="s">
        <v>9</v>
      </c>
      <c r="N1789" t="s">
        <v>1305</v>
      </c>
      <c r="O1789" t="s">
        <v>117</v>
      </c>
      <c r="P1789" t="s">
        <v>12</v>
      </c>
      <c r="Q1789" t="s">
        <v>26</v>
      </c>
      <c r="R1789" t="s">
        <v>3902</v>
      </c>
      <c r="S1789" t="s">
        <v>1530</v>
      </c>
      <c r="T1789" t="s">
        <v>3818</v>
      </c>
      <c r="U1789" t="s">
        <v>1670</v>
      </c>
      <c r="V1789" t="s">
        <v>1741</v>
      </c>
      <c r="W1789" t="s">
        <v>1742</v>
      </c>
      <c r="X1789" t="s">
        <v>1739</v>
      </c>
    </row>
    <row r="1790" spans="1:24" x14ac:dyDescent="0.3">
      <c r="A1790" t="s">
        <v>3597</v>
      </c>
      <c r="B1790" s="2">
        <v>45735</v>
      </c>
      <c r="C1790" t="s">
        <v>678</v>
      </c>
      <c r="D1790" t="s">
        <v>1545</v>
      </c>
      <c r="E1790" t="s">
        <v>1780</v>
      </c>
      <c r="F1790" s="4">
        <v>2</v>
      </c>
      <c r="G1790">
        <v>194.09</v>
      </c>
      <c r="H1790">
        <v>0.18</v>
      </c>
      <c r="I1790" t="s">
        <v>1809</v>
      </c>
      <c r="J1790">
        <v>318.30759999999998</v>
      </c>
      <c r="K1790" t="s">
        <v>679</v>
      </c>
      <c r="L1790">
        <v>20</v>
      </c>
      <c r="M1790" t="s">
        <v>16</v>
      </c>
      <c r="N1790" t="s">
        <v>680</v>
      </c>
      <c r="O1790" t="s">
        <v>81</v>
      </c>
      <c r="P1790" t="s">
        <v>12</v>
      </c>
      <c r="Q1790" t="s">
        <v>31</v>
      </c>
      <c r="R1790" t="s">
        <v>3912</v>
      </c>
      <c r="S1790" t="s">
        <v>1527</v>
      </c>
      <c r="T1790" t="s">
        <v>3824</v>
      </c>
      <c r="U1790" t="s">
        <v>1690</v>
      </c>
      <c r="V1790" t="s">
        <v>1741</v>
      </c>
      <c r="W1790" t="s">
        <v>1742</v>
      </c>
      <c r="X1790" t="s">
        <v>1739</v>
      </c>
    </row>
    <row r="1791" spans="1:24" x14ac:dyDescent="0.3">
      <c r="A1791" t="s">
        <v>3598</v>
      </c>
      <c r="B1791" s="2">
        <v>45579</v>
      </c>
      <c r="C1791" t="s">
        <v>565</v>
      </c>
      <c r="D1791" t="s">
        <v>1707</v>
      </c>
      <c r="E1791" t="s">
        <v>1749</v>
      </c>
      <c r="F1791" s="4">
        <v>2</v>
      </c>
      <c r="G1791">
        <v>403.91</v>
      </c>
      <c r="H1791">
        <v>7.0000000000000007E-2</v>
      </c>
      <c r="I1791" t="s">
        <v>1807</v>
      </c>
      <c r="J1791">
        <v>751.27260000000001</v>
      </c>
      <c r="K1791" t="s">
        <v>566</v>
      </c>
      <c r="L1791">
        <v>41</v>
      </c>
      <c r="M1791" t="s">
        <v>16</v>
      </c>
      <c r="N1791" t="s">
        <v>567</v>
      </c>
      <c r="O1791" t="s">
        <v>43</v>
      </c>
      <c r="P1791" t="s">
        <v>12</v>
      </c>
      <c r="Q1791" t="s">
        <v>26</v>
      </c>
      <c r="R1791" t="s">
        <v>3921</v>
      </c>
      <c r="S1791" t="s">
        <v>1549</v>
      </c>
      <c r="T1791" t="s">
        <v>3820</v>
      </c>
      <c r="U1791" t="s">
        <v>1708</v>
      </c>
      <c r="V1791" t="s">
        <v>1750</v>
      </c>
      <c r="W1791" t="s">
        <v>1742</v>
      </c>
      <c r="X1791" t="s">
        <v>1748</v>
      </c>
    </row>
    <row r="1792" spans="1:24" x14ac:dyDescent="0.3">
      <c r="A1792" t="s">
        <v>3599</v>
      </c>
      <c r="B1792" s="2">
        <v>45721</v>
      </c>
      <c r="C1792" t="s">
        <v>275</v>
      </c>
      <c r="D1792" t="s">
        <v>1565</v>
      </c>
      <c r="E1792" t="s">
        <v>1782</v>
      </c>
      <c r="F1792" s="4">
        <v>1</v>
      </c>
      <c r="G1792">
        <v>878.69</v>
      </c>
      <c r="H1792">
        <v>0.3</v>
      </c>
      <c r="I1792" t="s">
        <v>1809</v>
      </c>
      <c r="J1792">
        <v>615.08299999999997</v>
      </c>
      <c r="K1792" t="s">
        <v>276</v>
      </c>
      <c r="L1792">
        <v>29</v>
      </c>
      <c r="M1792" t="s">
        <v>9</v>
      </c>
      <c r="N1792" t="s">
        <v>277</v>
      </c>
      <c r="O1792" t="s">
        <v>96</v>
      </c>
      <c r="P1792" t="s">
        <v>12</v>
      </c>
      <c r="Q1792" t="s">
        <v>13</v>
      </c>
      <c r="R1792" t="s">
        <v>3841</v>
      </c>
      <c r="S1792" t="s">
        <v>1549</v>
      </c>
      <c r="T1792" t="s">
        <v>3820</v>
      </c>
      <c r="U1792" t="s">
        <v>1566</v>
      </c>
      <c r="V1792" t="s">
        <v>1741</v>
      </c>
      <c r="W1792" t="s">
        <v>1742</v>
      </c>
      <c r="X1792" t="s">
        <v>1739</v>
      </c>
    </row>
    <row r="1793" spans="1:24" x14ac:dyDescent="0.3">
      <c r="A1793" t="s">
        <v>3600</v>
      </c>
      <c r="B1793" s="2">
        <v>45446</v>
      </c>
      <c r="C1793" t="s">
        <v>1177</v>
      </c>
      <c r="D1793" t="s">
        <v>1597</v>
      </c>
      <c r="E1793" t="s">
        <v>1784</v>
      </c>
      <c r="F1793" s="4">
        <v>1</v>
      </c>
      <c r="G1793">
        <v>161.16999999999999</v>
      </c>
      <c r="H1793">
        <v>0.05</v>
      </c>
      <c r="I1793" t="s">
        <v>1807</v>
      </c>
      <c r="J1793">
        <v>153.11150000000001</v>
      </c>
      <c r="K1793" t="s">
        <v>1178</v>
      </c>
      <c r="L1793">
        <v>20</v>
      </c>
      <c r="M1793" t="s">
        <v>16</v>
      </c>
      <c r="N1793" t="s">
        <v>1179</v>
      </c>
      <c r="O1793" t="s">
        <v>22</v>
      </c>
      <c r="P1793" t="s">
        <v>12</v>
      </c>
      <c r="Q1793" t="s">
        <v>31</v>
      </c>
      <c r="R1793" t="s">
        <v>3861</v>
      </c>
      <c r="S1793" t="s">
        <v>1527</v>
      </c>
      <c r="T1793" t="s">
        <v>3836</v>
      </c>
      <c r="U1793" t="s">
        <v>1598</v>
      </c>
      <c r="V1793" t="s">
        <v>1741</v>
      </c>
      <c r="W1793" t="s">
        <v>1742</v>
      </c>
      <c r="X1793" t="s">
        <v>1739</v>
      </c>
    </row>
    <row r="1794" spans="1:24" x14ac:dyDescent="0.3">
      <c r="A1794" t="s">
        <v>3601</v>
      </c>
      <c r="B1794" s="2">
        <v>45387</v>
      </c>
      <c r="C1794" t="s">
        <v>690</v>
      </c>
      <c r="D1794" t="s">
        <v>1677</v>
      </c>
      <c r="E1794" t="s">
        <v>1782</v>
      </c>
      <c r="F1794" s="4">
        <v>2</v>
      </c>
      <c r="G1794">
        <v>720.15</v>
      </c>
      <c r="H1794">
        <v>0.22</v>
      </c>
      <c r="I1794" t="s">
        <v>1812</v>
      </c>
      <c r="J1794">
        <v>1123.434</v>
      </c>
      <c r="K1794" t="s">
        <v>691</v>
      </c>
      <c r="L1794">
        <v>50</v>
      </c>
      <c r="M1794" t="s">
        <v>16</v>
      </c>
      <c r="N1794" t="s">
        <v>692</v>
      </c>
      <c r="O1794" t="s">
        <v>66</v>
      </c>
      <c r="P1794" t="s">
        <v>12</v>
      </c>
      <c r="Q1794" t="s">
        <v>13</v>
      </c>
      <c r="R1794" t="s">
        <v>3906</v>
      </c>
      <c r="S1794" t="s">
        <v>1549</v>
      </c>
      <c r="T1794" t="s">
        <v>3859</v>
      </c>
      <c r="U1794" t="s">
        <v>1678</v>
      </c>
      <c r="V1794" t="s">
        <v>1741</v>
      </c>
      <c r="W1794" t="s">
        <v>1742</v>
      </c>
      <c r="X1794" t="s">
        <v>1739</v>
      </c>
    </row>
    <row r="1795" spans="1:24" x14ac:dyDescent="0.3">
      <c r="A1795" t="s">
        <v>3602</v>
      </c>
      <c r="B1795" s="2">
        <v>45222</v>
      </c>
      <c r="C1795" t="s">
        <v>1078</v>
      </c>
      <c r="D1795" t="s">
        <v>1583</v>
      </c>
      <c r="E1795" t="s">
        <v>1765</v>
      </c>
      <c r="F1795" s="4">
        <v>1</v>
      </c>
      <c r="G1795">
        <v>361.8</v>
      </c>
      <c r="H1795">
        <v>0.02</v>
      </c>
      <c r="I1795" t="s">
        <v>1812</v>
      </c>
      <c r="J1795">
        <v>354.56400000000002</v>
      </c>
      <c r="K1795" t="s">
        <v>3946</v>
      </c>
      <c r="L1795">
        <v>55</v>
      </c>
      <c r="M1795" t="s">
        <v>9</v>
      </c>
      <c r="N1795" t="s">
        <v>1079</v>
      </c>
      <c r="O1795" t="s">
        <v>166</v>
      </c>
      <c r="P1795" t="s">
        <v>12</v>
      </c>
      <c r="Q1795" t="s">
        <v>13</v>
      </c>
      <c r="R1795" t="s">
        <v>3853</v>
      </c>
      <c r="S1795" t="s">
        <v>1546</v>
      </c>
      <c r="T1795" t="s">
        <v>3826</v>
      </c>
      <c r="U1795" t="s">
        <v>1584</v>
      </c>
      <c r="V1795" t="s">
        <v>1766</v>
      </c>
      <c r="W1795" t="s">
        <v>1767</v>
      </c>
      <c r="X1795" t="s">
        <v>1755</v>
      </c>
    </row>
    <row r="1796" spans="1:24" x14ac:dyDescent="0.3">
      <c r="A1796" t="s">
        <v>3603</v>
      </c>
      <c r="B1796" s="2">
        <v>45402</v>
      </c>
      <c r="C1796" t="s">
        <v>734</v>
      </c>
      <c r="D1796" t="s">
        <v>1721</v>
      </c>
      <c r="E1796" t="s">
        <v>1759</v>
      </c>
      <c r="F1796" s="4">
        <v>1</v>
      </c>
      <c r="G1796">
        <v>779.84</v>
      </c>
      <c r="H1796">
        <v>0.28999999999999998</v>
      </c>
      <c r="I1796" t="s">
        <v>1809</v>
      </c>
      <c r="J1796">
        <v>553.68640000000005</v>
      </c>
      <c r="K1796" t="s">
        <v>735</v>
      </c>
      <c r="L1796">
        <v>22</v>
      </c>
      <c r="M1796" t="s">
        <v>16</v>
      </c>
      <c r="N1796" t="s">
        <v>736</v>
      </c>
      <c r="O1796" t="s">
        <v>247</v>
      </c>
      <c r="P1796" t="s">
        <v>12</v>
      </c>
      <c r="Q1796" t="s">
        <v>26</v>
      </c>
      <c r="R1796" t="s">
        <v>3928</v>
      </c>
      <c r="S1796" t="s">
        <v>1549</v>
      </c>
      <c r="T1796" t="s">
        <v>3820</v>
      </c>
      <c r="U1796" t="s">
        <v>1722</v>
      </c>
      <c r="V1796" t="s">
        <v>1760</v>
      </c>
      <c r="W1796" t="s">
        <v>1737</v>
      </c>
      <c r="X1796" t="s">
        <v>1755</v>
      </c>
    </row>
    <row r="1797" spans="1:24" x14ac:dyDescent="0.3">
      <c r="A1797" t="s">
        <v>3604</v>
      </c>
      <c r="B1797" s="2">
        <v>45455</v>
      </c>
      <c r="C1797" t="s">
        <v>27</v>
      </c>
      <c r="D1797" t="s">
        <v>1723</v>
      </c>
      <c r="E1797" t="s">
        <v>1752</v>
      </c>
      <c r="F1797" s="4">
        <v>2</v>
      </c>
      <c r="G1797">
        <v>649.89</v>
      </c>
      <c r="H1797">
        <v>0.17</v>
      </c>
      <c r="I1797" t="s">
        <v>1812</v>
      </c>
      <c r="J1797">
        <v>1078.8173999999999</v>
      </c>
      <c r="K1797" t="s">
        <v>28</v>
      </c>
      <c r="L1797">
        <v>24</v>
      </c>
      <c r="M1797" t="s">
        <v>9</v>
      </c>
      <c r="N1797" t="s">
        <v>29</v>
      </c>
      <c r="O1797" t="s">
        <v>30</v>
      </c>
      <c r="P1797" t="s">
        <v>12</v>
      </c>
      <c r="Q1797" t="s">
        <v>31</v>
      </c>
      <c r="R1797" t="s">
        <v>3929</v>
      </c>
      <c r="S1797" t="s">
        <v>1530</v>
      </c>
      <c r="T1797" t="s">
        <v>3815</v>
      </c>
      <c r="U1797" t="s">
        <v>1724</v>
      </c>
      <c r="V1797" t="s">
        <v>1753</v>
      </c>
      <c r="W1797" t="s">
        <v>1746</v>
      </c>
      <c r="X1797" t="s">
        <v>1755</v>
      </c>
    </row>
    <row r="1798" spans="1:24" x14ac:dyDescent="0.3">
      <c r="A1798" t="s">
        <v>3605</v>
      </c>
      <c r="B1798" s="2">
        <v>45877</v>
      </c>
      <c r="C1798" t="s">
        <v>660</v>
      </c>
      <c r="D1798" t="s">
        <v>1637</v>
      </c>
      <c r="E1798" t="s">
        <v>1759</v>
      </c>
      <c r="F1798" s="4">
        <v>1</v>
      </c>
      <c r="G1798">
        <v>952.73</v>
      </c>
      <c r="H1798">
        <v>0.17</v>
      </c>
      <c r="I1798" t="s">
        <v>1807</v>
      </c>
      <c r="J1798">
        <v>790.76589999999999</v>
      </c>
      <c r="K1798" t="s">
        <v>661</v>
      </c>
      <c r="L1798">
        <v>44</v>
      </c>
      <c r="M1798" t="s">
        <v>16</v>
      </c>
      <c r="N1798" t="s">
        <v>662</v>
      </c>
      <c r="O1798" t="s">
        <v>284</v>
      </c>
      <c r="P1798" t="s">
        <v>12</v>
      </c>
      <c r="Q1798" t="s">
        <v>19</v>
      </c>
      <c r="R1798" t="s">
        <v>3885</v>
      </c>
      <c r="S1798" t="s">
        <v>1530</v>
      </c>
      <c r="T1798" t="s">
        <v>3818</v>
      </c>
      <c r="U1798" t="s">
        <v>1638</v>
      </c>
      <c r="V1798" t="s">
        <v>1760</v>
      </c>
      <c r="W1798" t="s">
        <v>1737</v>
      </c>
      <c r="X1798" t="s">
        <v>1755</v>
      </c>
    </row>
    <row r="1799" spans="1:24" x14ac:dyDescent="0.3">
      <c r="A1799" t="s">
        <v>3606</v>
      </c>
      <c r="B1799" s="2">
        <v>45875</v>
      </c>
      <c r="C1799" t="s">
        <v>301</v>
      </c>
      <c r="D1799" t="s">
        <v>1729</v>
      </c>
      <c r="E1799" t="s">
        <v>1787</v>
      </c>
      <c r="F1799" s="4">
        <v>4</v>
      </c>
      <c r="G1799">
        <v>820.78</v>
      </c>
      <c r="H1799">
        <v>0.25</v>
      </c>
      <c r="I1799" t="s">
        <v>1807</v>
      </c>
      <c r="J1799">
        <v>2462.34</v>
      </c>
      <c r="K1799" t="s">
        <v>302</v>
      </c>
      <c r="L1799">
        <v>36</v>
      </c>
      <c r="M1799" t="s">
        <v>9</v>
      </c>
      <c r="N1799" t="s">
        <v>303</v>
      </c>
      <c r="O1799" t="s">
        <v>251</v>
      </c>
      <c r="P1799" t="s">
        <v>12</v>
      </c>
      <c r="Q1799" t="s">
        <v>19</v>
      </c>
      <c r="R1799" t="s">
        <v>3932</v>
      </c>
      <c r="S1799" t="s">
        <v>1527</v>
      </c>
      <c r="T1799" t="s">
        <v>3830</v>
      </c>
      <c r="U1799" t="s">
        <v>1730</v>
      </c>
      <c r="V1799" t="s">
        <v>1741</v>
      </c>
      <c r="W1799" t="s">
        <v>1742</v>
      </c>
      <c r="X1799" t="s">
        <v>1739</v>
      </c>
    </row>
    <row r="1800" spans="1:24" x14ac:dyDescent="0.3">
      <c r="A1800" t="s">
        <v>3607</v>
      </c>
      <c r="B1800" s="2">
        <v>45592</v>
      </c>
      <c r="C1800" t="s">
        <v>1063</v>
      </c>
      <c r="D1800" t="s">
        <v>1607</v>
      </c>
      <c r="E1800" t="s">
        <v>1749</v>
      </c>
      <c r="F1800" s="4">
        <v>4</v>
      </c>
      <c r="G1800">
        <v>247.55</v>
      </c>
      <c r="H1800">
        <v>0.05</v>
      </c>
      <c r="I1800" t="s">
        <v>1807</v>
      </c>
      <c r="J1800">
        <v>940.69</v>
      </c>
      <c r="K1800" t="s">
        <v>1064</v>
      </c>
      <c r="L1800">
        <v>38</v>
      </c>
      <c r="M1800" t="s">
        <v>9</v>
      </c>
      <c r="N1800" t="s">
        <v>1065</v>
      </c>
      <c r="O1800" t="s">
        <v>166</v>
      </c>
      <c r="P1800" t="s">
        <v>12</v>
      </c>
      <c r="Q1800" t="s">
        <v>26</v>
      </c>
      <c r="R1800" t="s">
        <v>3867</v>
      </c>
      <c r="S1800" t="s">
        <v>1549</v>
      </c>
      <c r="T1800" t="s">
        <v>3851</v>
      </c>
      <c r="U1800" t="s">
        <v>1608</v>
      </c>
      <c r="V1800" t="s">
        <v>1750</v>
      </c>
      <c r="W1800" t="s">
        <v>1742</v>
      </c>
      <c r="X1800" t="s">
        <v>1748</v>
      </c>
    </row>
    <row r="1801" spans="1:24" x14ac:dyDescent="0.3">
      <c r="A1801" t="s">
        <v>3608</v>
      </c>
      <c r="B1801" s="2">
        <v>45369</v>
      </c>
      <c r="C1801" t="s">
        <v>726</v>
      </c>
      <c r="D1801" t="s">
        <v>1729</v>
      </c>
      <c r="E1801" t="s">
        <v>1765</v>
      </c>
      <c r="F1801" s="4">
        <v>3</v>
      </c>
      <c r="G1801">
        <v>561.44000000000005</v>
      </c>
      <c r="H1801">
        <v>0.2</v>
      </c>
      <c r="I1801" t="s">
        <v>1812</v>
      </c>
      <c r="J1801">
        <v>1347.4559999999999</v>
      </c>
      <c r="K1801" t="s">
        <v>727</v>
      </c>
      <c r="L1801">
        <v>52</v>
      </c>
      <c r="M1801" t="s">
        <v>16</v>
      </c>
      <c r="N1801" t="s">
        <v>728</v>
      </c>
      <c r="O1801" t="s">
        <v>62</v>
      </c>
      <c r="P1801" t="s">
        <v>12</v>
      </c>
      <c r="Q1801" t="s">
        <v>13</v>
      </c>
      <c r="R1801" t="s">
        <v>3932</v>
      </c>
      <c r="S1801" t="s">
        <v>1527</v>
      </c>
      <c r="T1801" t="s">
        <v>3830</v>
      </c>
      <c r="U1801" t="s">
        <v>1730</v>
      </c>
      <c r="V1801" t="s">
        <v>1766</v>
      </c>
      <c r="W1801" t="s">
        <v>1767</v>
      </c>
      <c r="X1801" t="s">
        <v>1755</v>
      </c>
    </row>
    <row r="1802" spans="1:24" x14ac:dyDescent="0.3">
      <c r="A1802" t="s">
        <v>3609</v>
      </c>
      <c r="B1802" s="2">
        <v>45249</v>
      </c>
      <c r="C1802" t="s">
        <v>885</v>
      </c>
      <c r="D1802" t="s">
        <v>1675</v>
      </c>
      <c r="E1802" t="s">
        <v>1765</v>
      </c>
      <c r="F1802" s="4">
        <v>4</v>
      </c>
      <c r="G1802">
        <v>214.37</v>
      </c>
      <c r="H1802">
        <v>0.11</v>
      </c>
      <c r="I1802" t="s">
        <v>1812</v>
      </c>
      <c r="J1802">
        <v>763.15719999999999</v>
      </c>
      <c r="K1802" t="s">
        <v>886</v>
      </c>
      <c r="L1802">
        <v>46</v>
      </c>
      <c r="M1802" t="s">
        <v>16</v>
      </c>
      <c r="N1802" t="s">
        <v>887</v>
      </c>
      <c r="O1802" t="s">
        <v>166</v>
      </c>
      <c r="P1802" t="s">
        <v>12</v>
      </c>
      <c r="Q1802" t="s">
        <v>19</v>
      </c>
      <c r="R1802" t="s">
        <v>3905</v>
      </c>
      <c r="S1802" t="s">
        <v>1549</v>
      </c>
      <c r="T1802" t="s">
        <v>3828</v>
      </c>
      <c r="U1802" t="s">
        <v>1676</v>
      </c>
      <c r="V1802" t="s">
        <v>1766</v>
      </c>
      <c r="W1802" t="s">
        <v>1767</v>
      </c>
      <c r="X1802" t="s">
        <v>1755</v>
      </c>
    </row>
    <row r="1803" spans="1:24" x14ac:dyDescent="0.3">
      <c r="A1803" t="s">
        <v>3610</v>
      </c>
      <c r="B1803" s="2">
        <v>45741</v>
      </c>
      <c r="C1803" t="s">
        <v>1281</v>
      </c>
      <c r="D1803" t="s">
        <v>1565</v>
      </c>
      <c r="E1803" t="s">
        <v>1787</v>
      </c>
      <c r="F1803" s="4">
        <v>3</v>
      </c>
      <c r="G1803">
        <v>123.74</v>
      </c>
      <c r="H1803">
        <v>0.23</v>
      </c>
      <c r="I1803" t="s">
        <v>1809</v>
      </c>
      <c r="J1803">
        <v>285.83940000000001</v>
      </c>
      <c r="K1803" t="s">
        <v>1282</v>
      </c>
      <c r="L1803">
        <v>60</v>
      </c>
      <c r="M1803" t="s">
        <v>16</v>
      </c>
      <c r="N1803" t="s">
        <v>1283</v>
      </c>
      <c r="O1803" t="s">
        <v>11</v>
      </c>
      <c r="P1803" t="s">
        <v>12</v>
      </c>
      <c r="Q1803" t="s">
        <v>26</v>
      </c>
      <c r="R1803" t="s">
        <v>3841</v>
      </c>
      <c r="S1803" t="s">
        <v>1549</v>
      </c>
      <c r="T1803" t="s">
        <v>3820</v>
      </c>
      <c r="U1803" t="s">
        <v>1566</v>
      </c>
      <c r="V1803" t="s">
        <v>1741</v>
      </c>
      <c r="W1803" t="s">
        <v>1742</v>
      </c>
      <c r="X1803" t="s">
        <v>1739</v>
      </c>
    </row>
    <row r="1804" spans="1:24" x14ac:dyDescent="0.3">
      <c r="A1804" t="s">
        <v>3611</v>
      </c>
      <c r="B1804" s="2">
        <v>45427</v>
      </c>
      <c r="C1804" t="s">
        <v>63</v>
      </c>
      <c r="D1804" t="s">
        <v>1665</v>
      </c>
      <c r="E1804" t="s">
        <v>1775</v>
      </c>
      <c r="F1804" s="4">
        <v>4</v>
      </c>
      <c r="G1804">
        <v>645.71</v>
      </c>
      <c r="H1804">
        <v>0.1</v>
      </c>
      <c r="I1804" t="s">
        <v>1809</v>
      </c>
      <c r="J1804">
        <v>2324.556</v>
      </c>
      <c r="K1804" t="s">
        <v>64</v>
      </c>
      <c r="L1804">
        <v>53</v>
      </c>
      <c r="M1804" t="s">
        <v>16</v>
      </c>
      <c r="N1804" t="s">
        <v>65</v>
      </c>
      <c r="O1804" t="s">
        <v>66</v>
      </c>
      <c r="P1804" t="s">
        <v>12</v>
      </c>
      <c r="Q1804" t="s">
        <v>31</v>
      </c>
      <c r="R1804" t="s">
        <v>3899</v>
      </c>
      <c r="S1804" t="s">
        <v>1546</v>
      </c>
      <c r="T1804" t="s">
        <v>3820</v>
      </c>
      <c r="U1804" t="s">
        <v>1666</v>
      </c>
      <c r="V1804" t="s">
        <v>1741</v>
      </c>
      <c r="W1804" t="s">
        <v>1742</v>
      </c>
      <c r="X1804" t="s">
        <v>1739</v>
      </c>
    </row>
    <row r="1805" spans="1:24" x14ac:dyDescent="0.3">
      <c r="A1805" t="s">
        <v>3612</v>
      </c>
      <c r="B1805" s="2">
        <v>45736</v>
      </c>
      <c r="C1805" t="s">
        <v>134</v>
      </c>
      <c r="D1805" t="s">
        <v>1573</v>
      </c>
      <c r="E1805" t="s">
        <v>1777</v>
      </c>
      <c r="F1805" s="4">
        <v>3</v>
      </c>
      <c r="G1805">
        <v>587.12</v>
      </c>
      <c r="H1805">
        <v>0.3</v>
      </c>
      <c r="I1805" t="s">
        <v>1807</v>
      </c>
      <c r="J1805">
        <v>1232.952</v>
      </c>
      <c r="K1805" t="s">
        <v>3935</v>
      </c>
      <c r="L1805">
        <v>27</v>
      </c>
      <c r="M1805" t="s">
        <v>16</v>
      </c>
      <c r="N1805" t="s">
        <v>135</v>
      </c>
      <c r="O1805" t="s">
        <v>96</v>
      </c>
      <c r="P1805" t="s">
        <v>12</v>
      </c>
      <c r="Q1805" t="s">
        <v>19</v>
      </c>
      <c r="R1805" t="s">
        <v>3846</v>
      </c>
      <c r="S1805" t="s">
        <v>1527</v>
      </c>
      <c r="T1805" t="s">
        <v>3847</v>
      </c>
      <c r="U1805" t="s">
        <v>1574</v>
      </c>
      <c r="V1805" t="s">
        <v>1741</v>
      </c>
      <c r="W1805" t="s">
        <v>1742</v>
      </c>
      <c r="X1805" t="s">
        <v>1739</v>
      </c>
    </row>
    <row r="1806" spans="1:24" x14ac:dyDescent="0.3">
      <c r="A1806" t="s">
        <v>3613</v>
      </c>
      <c r="B1806" s="2">
        <v>45941</v>
      </c>
      <c r="C1806" t="s">
        <v>767</v>
      </c>
      <c r="D1806" t="s">
        <v>1581</v>
      </c>
      <c r="E1806" t="s">
        <v>1793</v>
      </c>
      <c r="F1806" s="4">
        <v>1</v>
      </c>
      <c r="G1806">
        <v>401.18</v>
      </c>
      <c r="H1806">
        <v>0.15</v>
      </c>
      <c r="I1806" t="s">
        <v>1812</v>
      </c>
      <c r="J1806">
        <v>341.00299999999999</v>
      </c>
      <c r="K1806" t="s">
        <v>768</v>
      </c>
      <c r="L1806">
        <v>58</v>
      </c>
      <c r="M1806" t="s">
        <v>16</v>
      </c>
      <c r="N1806" t="s">
        <v>769</v>
      </c>
      <c r="O1806" t="s">
        <v>284</v>
      </c>
      <c r="P1806" t="s">
        <v>12</v>
      </c>
      <c r="Q1806" t="s">
        <v>19</v>
      </c>
      <c r="R1806" t="s">
        <v>3852</v>
      </c>
      <c r="S1806" t="s">
        <v>1530</v>
      </c>
      <c r="T1806" t="s">
        <v>3820</v>
      </c>
      <c r="U1806" t="s">
        <v>1582</v>
      </c>
      <c r="V1806" t="s">
        <v>1741</v>
      </c>
      <c r="W1806" t="s">
        <v>1742</v>
      </c>
      <c r="X1806" t="s">
        <v>1739</v>
      </c>
    </row>
    <row r="1807" spans="1:24" x14ac:dyDescent="0.3">
      <c r="A1807" t="s">
        <v>3614</v>
      </c>
      <c r="B1807" s="2">
        <v>45486</v>
      </c>
      <c r="C1807" t="s">
        <v>1132</v>
      </c>
      <c r="D1807" t="s">
        <v>1647</v>
      </c>
      <c r="E1807" t="s">
        <v>1793</v>
      </c>
      <c r="F1807" s="4">
        <v>3</v>
      </c>
      <c r="G1807">
        <v>658.33</v>
      </c>
      <c r="H1807">
        <v>0.12</v>
      </c>
      <c r="I1807" t="s">
        <v>1812</v>
      </c>
      <c r="J1807">
        <v>1737.9911999999999</v>
      </c>
      <c r="K1807" t="s">
        <v>1133</v>
      </c>
      <c r="L1807">
        <v>51</v>
      </c>
      <c r="M1807" t="s">
        <v>9</v>
      </c>
      <c r="N1807" t="s">
        <v>1134</v>
      </c>
      <c r="O1807" t="s">
        <v>22</v>
      </c>
      <c r="P1807" t="s">
        <v>12</v>
      </c>
      <c r="Q1807" t="s">
        <v>19</v>
      </c>
      <c r="R1807" t="s">
        <v>3890</v>
      </c>
      <c r="S1807" t="s">
        <v>1530</v>
      </c>
      <c r="T1807" t="s">
        <v>3820</v>
      </c>
      <c r="U1807" t="s">
        <v>1648</v>
      </c>
      <c r="V1807" t="s">
        <v>1741</v>
      </c>
      <c r="W1807" t="s">
        <v>1742</v>
      </c>
      <c r="X1807" t="s">
        <v>1739</v>
      </c>
    </row>
    <row r="1808" spans="1:24" x14ac:dyDescent="0.3">
      <c r="A1808" t="s">
        <v>3615</v>
      </c>
      <c r="B1808" s="2">
        <v>45474</v>
      </c>
      <c r="C1808" t="s">
        <v>651</v>
      </c>
      <c r="D1808" t="s">
        <v>1629</v>
      </c>
      <c r="E1808" t="s">
        <v>1775</v>
      </c>
      <c r="F1808" s="4">
        <v>4</v>
      </c>
      <c r="G1808">
        <v>450.3</v>
      </c>
      <c r="H1808">
        <v>0.02</v>
      </c>
      <c r="I1808" t="s">
        <v>1807</v>
      </c>
      <c r="J1808">
        <v>1765.1759999999999</v>
      </c>
      <c r="K1808" t="s">
        <v>652</v>
      </c>
      <c r="L1808">
        <v>37</v>
      </c>
      <c r="M1808" t="s">
        <v>16</v>
      </c>
      <c r="N1808" t="s">
        <v>653</v>
      </c>
      <c r="O1808" t="s">
        <v>155</v>
      </c>
      <c r="P1808" t="s">
        <v>12</v>
      </c>
      <c r="Q1808" t="s">
        <v>26</v>
      </c>
      <c r="R1808" t="s">
        <v>3880</v>
      </c>
      <c r="S1808" t="s">
        <v>1541</v>
      </c>
      <c r="T1808" t="s">
        <v>3881</v>
      </c>
      <c r="U1808" t="s">
        <v>1630</v>
      </c>
      <c r="V1808" t="s">
        <v>1741</v>
      </c>
      <c r="W1808" t="s">
        <v>1742</v>
      </c>
      <c r="X1808" t="s">
        <v>1739</v>
      </c>
    </row>
    <row r="1809" spans="1:24" x14ac:dyDescent="0.3">
      <c r="A1809" t="s">
        <v>3616</v>
      </c>
      <c r="B1809" s="2">
        <v>45757</v>
      </c>
      <c r="C1809" t="s">
        <v>485</v>
      </c>
      <c r="D1809" t="s">
        <v>1719</v>
      </c>
      <c r="E1809" t="s">
        <v>1772</v>
      </c>
      <c r="F1809" s="4">
        <v>4</v>
      </c>
      <c r="G1809">
        <v>33.630000000000003</v>
      </c>
      <c r="H1809">
        <v>0.05</v>
      </c>
      <c r="I1809" t="s">
        <v>1807</v>
      </c>
      <c r="J1809">
        <v>127.794</v>
      </c>
      <c r="K1809" t="s">
        <v>486</v>
      </c>
      <c r="L1809">
        <v>32</v>
      </c>
      <c r="M1809" t="s">
        <v>16</v>
      </c>
      <c r="N1809" t="s">
        <v>487</v>
      </c>
      <c r="O1809" t="s">
        <v>251</v>
      </c>
      <c r="P1809" t="s">
        <v>12</v>
      </c>
      <c r="Q1809" t="s">
        <v>19</v>
      </c>
      <c r="R1809" t="s">
        <v>3927</v>
      </c>
      <c r="S1809" t="s">
        <v>1541</v>
      </c>
      <c r="T1809" t="s">
        <v>3822</v>
      </c>
      <c r="U1809" t="s">
        <v>1720</v>
      </c>
      <c r="V1809" t="s">
        <v>1741</v>
      </c>
      <c r="W1809" t="s">
        <v>1742</v>
      </c>
      <c r="X1809" t="s">
        <v>1739</v>
      </c>
    </row>
    <row r="1810" spans="1:24" x14ac:dyDescent="0.3">
      <c r="A1810" t="s">
        <v>3617</v>
      </c>
      <c r="B1810" s="2">
        <v>45475</v>
      </c>
      <c r="C1810" t="s">
        <v>140</v>
      </c>
      <c r="D1810" t="s">
        <v>1563</v>
      </c>
      <c r="E1810" t="s">
        <v>1735</v>
      </c>
      <c r="F1810" s="4">
        <v>3</v>
      </c>
      <c r="G1810">
        <v>168.89</v>
      </c>
      <c r="H1810">
        <v>0.03</v>
      </c>
      <c r="I1810" t="s">
        <v>1812</v>
      </c>
      <c r="J1810">
        <v>491.46989999999988</v>
      </c>
      <c r="K1810" t="s">
        <v>141</v>
      </c>
      <c r="L1810">
        <v>20</v>
      </c>
      <c r="M1810" t="s">
        <v>16</v>
      </c>
      <c r="N1810" t="s">
        <v>142</v>
      </c>
      <c r="O1810" t="s">
        <v>18</v>
      </c>
      <c r="P1810" t="s">
        <v>12</v>
      </c>
      <c r="Q1810" t="s">
        <v>31</v>
      </c>
      <c r="R1810" t="s">
        <v>3839</v>
      </c>
      <c r="S1810" t="s">
        <v>1541</v>
      </c>
      <c r="T1810" t="s">
        <v>3840</v>
      </c>
      <c r="U1810" t="s">
        <v>1564</v>
      </c>
      <c r="V1810" t="s">
        <v>1736</v>
      </c>
      <c r="W1810" t="s">
        <v>1737</v>
      </c>
      <c r="X1810" t="s">
        <v>1739</v>
      </c>
    </row>
    <row r="1811" spans="1:24" x14ac:dyDescent="0.3">
      <c r="A1811" t="s">
        <v>3618</v>
      </c>
      <c r="B1811" s="2">
        <v>45546</v>
      </c>
      <c r="C1811" t="s">
        <v>336</v>
      </c>
      <c r="D1811" t="s">
        <v>1651</v>
      </c>
      <c r="E1811" t="s">
        <v>1775</v>
      </c>
      <c r="F1811" s="4">
        <v>1</v>
      </c>
      <c r="G1811">
        <v>141.85</v>
      </c>
      <c r="H1811">
        <v>0.06</v>
      </c>
      <c r="I1811" t="s">
        <v>1809</v>
      </c>
      <c r="J1811">
        <v>133.339</v>
      </c>
      <c r="K1811" t="s">
        <v>337</v>
      </c>
      <c r="L1811">
        <v>30</v>
      </c>
      <c r="M1811" t="s">
        <v>16</v>
      </c>
      <c r="N1811" t="s">
        <v>338</v>
      </c>
      <c r="O1811" t="s">
        <v>58</v>
      </c>
      <c r="P1811" t="s">
        <v>12</v>
      </c>
      <c r="Q1811" t="s">
        <v>19</v>
      </c>
      <c r="R1811" t="s">
        <v>3892</v>
      </c>
      <c r="S1811" t="s">
        <v>1541</v>
      </c>
      <c r="T1811" t="s">
        <v>3881</v>
      </c>
      <c r="U1811" t="s">
        <v>1652</v>
      </c>
      <c r="V1811" t="s">
        <v>1741</v>
      </c>
      <c r="W1811" t="s">
        <v>1742</v>
      </c>
      <c r="X1811" t="s">
        <v>1739</v>
      </c>
    </row>
    <row r="1812" spans="1:24" x14ac:dyDescent="0.3">
      <c r="A1812" t="s">
        <v>3619</v>
      </c>
      <c r="B1812" s="2">
        <v>45520</v>
      </c>
      <c r="C1812" t="s">
        <v>956</v>
      </c>
      <c r="D1812" t="s">
        <v>1601</v>
      </c>
      <c r="E1812" t="s">
        <v>1762</v>
      </c>
      <c r="F1812" s="4">
        <v>1</v>
      </c>
      <c r="G1812">
        <v>617.4</v>
      </c>
      <c r="H1812">
        <v>0.21</v>
      </c>
      <c r="I1812" t="s">
        <v>1807</v>
      </c>
      <c r="J1812">
        <v>487.74599999999998</v>
      </c>
      <c r="K1812" t="s">
        <v>957</v>
      </c>
      <c r="L1812">
        <v>56</v>
      </c>
      <c r="M1812" t="s">
        <v>16</v>
      </c>
      <c r="N1812" t="s">
        <v>958</v>
      </c>
      <c r="O1812" t="s">
        <v>234</v>
      </c>
      <c r="P1812" t="s">
        <v>12</v>
      </c>
      <c r="Q1812" t="s">
        <v>19</v>
      </c>
      <c r="R1812" t="s">
        <v>3863</v>
      </c>
      <c r="S1812" t="s">
        <v>1527</v>
      </c>
      <c r="T1812" t="s">
        <v>3824</v>
      </c>
      <c r="U1812" t="s">
        <v>1602</v>
      </c>
      <c r="V1812" t="s">
        <v>1763</v>
      </c>
      <c r="W1812" t="s">
        <v>1746</v>
      </c>
      <c r="X1812" t="s">
        <v>1755</v>
      </c>
    </row>
    <row r="1813" spans="1:24" x14ac:dyDescent="0.3">
      <c r="A1813" t="s">
        <v>3620</v>
      </c>
      <c r="B1813" s="2">
        <v>45534</v>
      </c>
      <c r="C1813" t="s">
        <v>491</v>
      </c>
      <c r="D1813" t="s">
        <v>1637</v>
      </c>
      <c r="E1813" t="s">
        <v>1740</v>
      </c>
      <c r="F1813" s="4">
        <v>3</v>
      </c>
      <c r="G1813">
        <v>841.47</v>
      </c>
      <c r="H1813">
        <v>0.15</v>
      </c>
      <c r="I1813" t="s">
        <v>1812</v>
      </c>
      <c r="J1813">
        <v>2145.7485000000001</v>
      </c>
      <c r="K1813" t="s">
        <v>492</v>
      </c>
      <c r="L1813">
        <v>42</v>
      </c>
      <c r="M1813" t="s">
        <v>16</v>
      </c>
      <c r="N1813" t="s">
        <v>493</v>
      </c>
      <c r="O1813" t="s">
        <v>162</v>
      </c>
      <c r="P1813" t="s">
        <v>12</v>
      </c>
      <c r="Q1813" t="s">
        <v>19</v>
      </c>
      <c r="R1813" t="s">
        <v>3885</v>
      </c>
      <c r="S1813" t="s">
        <v>1530</v>
      </c>
      <c r="T1813" t="s">
        <v>3818</v>
      </c>
      <c r="U1813" t="s">
        <v>1638</v>
      </c>
      <c r="V1813" t="s">
        <v>1741</v>
      </c>
      <c r="W1813" t="s">
        <v>1742</v>
      </c>
      <c r="X1813" t="s">
        <v>1739</v>
      </c>
    </row>
    <row r="1814" spans="1:24" x14ac:dyDescent="0.3">
      <c r="A1814" t="s">
        <v>3621</v>
      </c>
      <c r="B1814" s="2">
        <v>45334</v>
      </c>
      <c r="C1814" t="s">
        <v>218</v>
      </c>
      <c r="D1814" t="s">
        <v>1573</v>
      </c>
      <c r="E1814" t="s">
        <v>1780</v>
      </c>
      <c r="F1814" s="4">
        <v>2</v>
      </c>
      <c r="G1814">
        <v>960.41</v>
      </c>
      <c r="H1814">
        <v>0.18</v>
      </c>
      <c r="I1814" t="s">
        <v>1807</v>
      </c>
      <c r="J1814">
        <v>1575.0724</v>
      </c>
      <c r="K1814" t="s">
        <v>219</v>
      </c>
      <c r="L1814">
        <v>22</v>
      </c>
      <c r="M1814" t="s">
        <v>16</v>
      </c>
      <c r="N1814" t="s">
        <v>220</v>
      </c>
      <c r="O1814" t="s">
        <v>66</v>
      </c>
      <c r="P1814" t="s">
        <v>12</v>
      </c>
      <c r="Q1814" t="s">
        <v>19</v>
      </c>
      <c r="R1814" t="s">
        <v>3846</v>
      </c>
      <c r="S1814" t="s">
        <v>1527</v>
      </c>
      <c r="T1814" t="s">
        <v>3847</v>
      </c>
      <c r="U1814" t="s">
        <v>1574</v>
      </c>
      <c r="V1814" t="s">
        <v>1741</v>
      </c>
      <c r="W1814" t="s">
        <v>1742</v>
      </c>
      <c r="X1814" t="s">
        <v>1739</v>
      </c>
    </row>
    <row r="1815" spans="1:24" x14ac:dyDescent="0.3">
      <c r="A1815" t="s">
        <v>3622</v>
      </c>
      <c r="B1815" s="2">
        <v>45289</v>
      </c>
      <c r="C1815" t="s">
        <v>1379</v>
      </c>
      <c r="D1815" t="s">
        <v>1681</v>
      </c>
      <c r="E1815" t="s">
        <v>1793</v>
      </c>
      <c r="F1815" s="4">
        <v>3</v>
      </c>
      <c r="G1815">
        <v>717.22</v>
      </c>
      <c r="H1815">
        <v>0.24</v>
      </c>
      <c r="I1815" t="s">
        <v>1809</v>
      </c>
      <c r="J1815">
        <v>1635.2616</v>
      </c>
      <c r="K1815" t="s">
        <v>1380</v>
      </c>
      <c r="L1815">
        <v>60</v>
      </c>
      <c r="M1815" t="s">
        <v>16</v>
      </c>
      <c r="N1815" t="s">
        <v>559</v>
      </c>
      <c r="O1815" t="s">
        <v>230</v>
      </c>
      <c r="P1815" t="s">
        <v>12</v>
      </c>
      <c r="Q1815" t="s">
        <v>13</v>
      </c>
      <c r="R1815" t="s">
        <v>3908</v>
      </c>
      <c r="S1815" t="s">
        <v>1530</v>
      </c>
      <c r="T1815" t="s">
        <v>3866</v>
      </c>
      <c r="U1815" t="s">
        <v>1682</v>
      </c>
      <c r="V1815" t="s">
        <v>1741</v>
      </c>
      <c r="W1815" t="s">
        <v>1742</v>
      </c>
      <c r="X1815" t="s">
        <v>1739</v>
      </c>
    </row>
    <row r="1816" spans="1:24" x14ac:dyDescent="0.3">
      <c r="A1816" t="s">
        <v>3623</v>
      </c>
      <c r="B1816" s="2">
        <v>45832</v>
      </c>
      <c r="C1816" t="s">
        <v>397</v>
      </c>
      <c r="D1816" t="s">
        <v>1555</v>
      </c>
      <c r="E1816" t="s">
        <v>1735</v>
      </c>
      <c r="F1816" s="4">
        <v>1</v>
      </c>
      <c r="G1816">
        <v>281.83</v>
      </c>
      <c r="H1816">
        <v>0.16</v>
      </c>
      <c r="I1816" t="s">
        <v>1812</v>
      </c>
      <c r="J1816">
        <v>236.7372</v>
      </c>
      <c r="K1816" t="s">
        <v>398</v>
      </c>
      <c r="L1816">
        <v>18</v>
      </c>
      <c r="M1816" t="s">
        <v>16</v>
      </c>
      <c r="N1816" t="s">
        <v>399</v>
      </c>
      <c r="O1816" t="s">
        <v>18</v>
      </c>
      <c r="P1816" t="s">
        <v>12</v>
      </c>
      <c r="Q1816" t="s">
        <v>19</v>
      </c>
      <c r="R1816" t="s">
        <v>3832</v>
      </c>
      <c r="S1816" t="s">
        <v>1541</v>
      </c>
      <c r="T1816" t="s">
        <v>3833</v>
      </c>
      <c r="U1816" t="s">
        <v>1556</v>
      </c>
      <c r="V1816" t="s">
        <v>1736</v>
      </c>
      <c r="W1816" t="s">
        <v>1737</v>
      </c>
      <c r="X1816" t="s">
        <v>1739</v>
      </c>
    </row>
    <row r="1817" spans="1:24" x14ac:dyDescent="0.3">
      <c r="A1817" t="s">
        <v>3624</v>
      </c>
      <c r="B1817" s="2">
        <v>45400</v>
      </c>
      <c r="C1817" t="s">
        <v>660</v>
      </c>
      <c r="D1817" t="s">
        <v>1649</v>
      </c>
      <c r="E1817" t="s">
        <v>1782</v>
      </c>
      <c r="F1817" s="4">
        <v>1</v>
      </c>
      <c r="G1817">
        <v>509.08</v>
      </c>
      <c r="H1817">
        <v>0.04</v>
      </c>
      <c r="I1817" t="s">
        <v>1809</v>
      </c>
      <c r="J1817">
        <v>488.71679999999998</v>
      </c>
      <c r="K1817" t="s">
        <v>661</v>
      </c>
      <c r="L1817">
        <v>44</v>
      </c>
      <c r="M1817" t="s">
        <v>16</v>
      </c>
      <c r="N1817" t="s">
        <v>662</v>
      </c>
      <c r="O1817" t="s">
        <v>284</v>
      </c>
      <c r="P1817" t="s">
        <v>12</v>
      </c>
      <c r="Q1817" t="s">
        <v>19</v>
      </c>
      <c r="R1817" t="s">
        <v>3891</v>
      </c>
      <c r="S1817" t="s">
        <v>1541</v>
      </c>
      <c r="T1817" t="s">
        <v>3833</v>
      </c>
      <c r="U1817" t="s">
        <v>1650</v>
      </c>
      <c r="V1817" t="s">
        <v>1741</v>
      </c>
      <c r="W1817" t="s">
        <v>1742</v>
      </c>
      <c r="X1817" t="s">
        <v>1739</v>
      </c>
    </row>
    <row r="1818" spans="1:24" x14ac:dyDescent="0.3">
      <c r="A1818" t="s">
        <v>3625</v>
      </c>
      <c r="B1818" s="2">
        <v>45930</v>
      </c>
      <c r="C1818" t="s">
        <v>1232</v>
      </c>
      <c r="D1818" t="s">
        <v>1723</v>
      </c>
      <c r="E1818" t="s">
        <v>1744</v>
      </c>
      <c r="F1818" s="4">
        <v>4</v>
      </c>
      <c r="G1818">
        <v>827.09</v>
      </c>
      <c r="H1818">
        <v>0.3</v>
      </c>
      <c r="I1818" t="s">
        <v>1807</v>
      </c>
      <c r="J1818">
        <v>2315.8519999999999</v>
      </c>
      <c r="K1818" t="s">
        <v>1233</v>
      </c>
      <c r="L1818">
        <v>51</v>
      </c>
      <c r="M1818" t="s">
        <v>16</v>
      </c>
      <c r="N1818" t="s">
        <v>1234</v>
      </c>
      <c r="O1818" t="s">
        <v>96</v>
      </c>
      <c r="P1818" t="s">
        <v>12</v>
      </c>
      <c r="Q1818" t="s">
        <v>19</v>
      </c>
      <c r="R1818" t="s">
        <v>3929</v>
      </c>
      <c r="S1818" t="s">
        <v>1530</v>
      </c>
      <c r="T1818" t="s">
        <v>3815</v>
      </c>
      <c r="U1818" t="s">
        <v>1724</v>
      </c>
      <c r="V1818" t="s">
        <v>1745</v>
      </c>
      <c r="W1818" t="s">
        <v>1746</v>
      </c>
      <c r="X1818" t="s">
        <v>1748</v>
      </c>
    </row>
    <row r="1819" spans="1:24" x14ac:dyDescent="0.3">
      <c r="A1819" t="s">
        <v>3626</v>
      </c>
      <c r="B1819" s="2">
        <v>45935</v>
      </c>
      <c r="C1819" t="s">
        <v>678</v>
      </c>
      <c r="D1819" t="s">
        <v>1589</v>
      </c>
      <c r="E1819" t="s">
        <v>1752</v>
      </c>
      <c r="F1819" s="4">
        <v>2</v>
      </c>
      <c r="G1819">
        <v>823.36</v>
      </c>
      <c r="H1819">
        <v>0.23</v>
      </c>
      <c r="I1819" t="s">
        <v>1807</v>
      </c>
      <c r="J1819">
        <v>1267.9744000000001</v>
      </c>
      <c r="K1819" t="s">
        <v>679</v>
      </c>
      <c r="L1819">
        <v>20</v>
      </c>
      <c r="M1819" t="s">
        <v>16</v>
      </c>
      <c r="N1819" t="s">
        <v>680</v>
      </c>
      <c r="O1819" t="s">
        <v>81</v>
      </c>
      <c r="P1819" t="s">
        <v>12</v>
      </c>
      <c r="Q1819" t="s">
        <v>31</v>
      </c>
      <c r="R1819" t="s">
        <v>3856</v>
      </c>
      <c r="S1819" t="s">
        <v>1527</v>
      </c>
      <c r="T1819" t="s">
        <v>3836</v>
      </c>
      <c r="U1819" t="s">
        <v>1590</v>
      </c>
      <c r="V1819" t="s">
        <v>1753</v>
      </c>
      <c r="W1819" t="s">
        <v>1746</v>
      </c>
      <c r="X1819" t="s">
        <v>1755</v>
      </c>
    </row>
    <row r="1820" spans="1:24" x14ac:dyDescent="0.3">
      <c r="A1820" t="s">
        <v>3627</v>
      </c>
      <c r="B1820" s="2">
        <v>45814</v>
      </c>
      <c r="C1820" t="s">
        <v>462</v>
      </c>
      <c r="D1820" t="s">
        <v>1583</v>
      </c>
      <c r="E1820" t="s">
        <v>1756</v>
      </c>
      <c r="F1820" s="4">
        <v>4</v>
      </c>
      <c r="G1820">
        <v>282.18</v>
      </c>
      <c r="H1820">
        <v>0.13</v>
      </c>
      <c r="I1820" t="s">
        <v>1812</v>
      </c>
      <c r="J1820">
        <v>981.9864</v>
      </c>
      <c r="K1820" t="s">
        <v>463</v>
      </c>
      <c r="L1820">
        <v>43</v>
      </c>
      <c r="M1820" t="s">
        <v>9</v>
      </c>
      <c r="N1820" t="s">
        <v>464</v>
      </c>
      <c r="O1820" t="s">
        <v>25</v>
      </c>
      <c r="P1820" t="s">
        <v>12</v>
      </c>
      <c r="Q1820" t="s">
        <v>19</v>
      </c>
      <c r="R1820" t="s">
        <v>3853</v>
      </c>
      <c r="S1820" t="s">
        <v>1546</v>
      </c>
      <c r="T1820" t="s">
        <v>3826</v>
      </c>
      <c r="U1820" t="s">
        <v>1584</v>
      </c>
      <c r="V1820" t="s">
        <v>1757</v>
      </c>
      <c r="W1820" t="s">
        <v>1742</v>
      </c>
      <c r="X1820" t="s">
        <v>1748</v>
      </c>
    </row>
    <row r="1821" spans="1:24" x14ac:dyDescent="0.3">
      <c r="A1821" t="s">
        <v>3628</v>
      </c>
      <c r="B1821" s="2">
        <v>45323</v>
      </c>
      <c r="C1821" t="s">
        <v>565</v>
      </c>
      <c r="D1821" t="s">
        <v>1573</v>
      </c>
      <c r="E1821" t="s">
        <v>1740</v>
      </c>
      <c r="F1821" s="4">
        <v>1</v>
      </c>
      <c r="G1821">
        <v>486.39</v>
      </c>
      <c r="H1821">
        <v>0.09</v>
      </c>
      <c r="I1821" t="s">
        <v>1812</v>
      </c>
      <c r="J1821">
        <v>442.61489999999998</v>
      </c>
      <c r="K1821" t="s">
        <v>566</v>
      </c>
      <c r="L1821">
        <v>41</v>
      </c>
      <c r="M1821" t="s">
        <v>16</v>
      </c>
      <c r="N1821" t="s">
        <v>567</v>
      </c>
      <c r="O1821" t="s">
        <v>43</v>
      </c>
      <c r="P1821" t="s">
        <v>12</v>
      </c>
      <c r="Q1821" t="s">
        <v>26</v>
      </c>
      <c r="R1821" t="s">
        <v>3846</v>
      </c>
      <c r="S1821" t="s">
        <v>1527</v>
      </c>
      <c r="T1821" t="s">
        <v>3847</v>
      </c>
      <c r="U1821" t="s">
        <v>1574</v>
      </c>
      <c r="V1821" t="s">
        <v>1741</v>
      </c>
      <c r="W1821" t="s">
        <v>1742</v>
      </c>
      <c r="X1821" t="s">
        <v>1739</v>
      </c>
    </row>
    <row r="1822" spans="1:24" x14ac:dyDescent="0.3">
      <c r="A1822" t="s">
        <v>3629</v>
      </c>
      <c r="B1822" s="2">
        <v>45312</v>
      </c>
      <c r="C1822" t="s">
        <v>171</v>
      </c>
      <c r="D1822" t="s">
        <v>1567</v>
      </c>
      <c r="E1822" t="s">
        <v>1749</v>
      </c>
      <c r="F1822" s="4">
        <v>2</v>
      </c>
      <c r="G1822">
        <v>603.62</v>
      </c>
      <c r="H1822">
        <v>0.18</v>
      </c>
      <c r="I1822" t="s">
        <v>1812</v>
      </c>
      <c r="J1822">
        <v>989.93680000000006</v>
      </c>
      <c r="K1822" t="s">
        <v>172</v>
      </c>
      <c r="L1822">
        <v>54</v>
      </c>
      <c r="M1822" t="s">
        <v>9</v>
      </c>
      <c r="N1822" t="s">
        <v>173</v>
      </c>
      <c r="O1822" t="s">
        <v>99</v>
      </c>
      <c r="P1822" t="s">
        <v>12</v>
      </c>
      <c r="Q1822" t="s">
        <v>26</v>
      </c>
      <c r="R1822" t="s">
        <v>3842</v>
      </c>
      <c r="S1822" t="s">
        <v>1530</v>
      </c>
      <c r="T1822" t="s">
        <v>3818</v>
      </c>
      <c r="U1822" t="s">
        <v>1568</v>
      </c>
      <c r="V1822" t="s">
        <v>1750</v>
      </c>
      <c r="W1822" t="s">
        <v>1742</v>
      </c>
      <c r="X1822" t="s">
        <v>1748</v>
      </c>
    </row>
    <row r="1823" spans="1:24" x14ac:dyDescent="0.3">
      <c r="A1823" t="s">
        <v>3630</v>
      </c>
      <c r="B1823" s="2">
        <v>45554</v>
      </c>
      <c r="C1823" t="s">
        <v>491</v>
      </c>
      <c r="D1823" t="s">
        <v>1605</v>
      </c>
      <c r="E1823" t="s">
        <v>1765</v>
      </c>
      <c r="F1823" s="4">
        <v>3</v>
      </c>
      <c r="G1823">
        <v>204.17</v>
      </c>
      <c r="H1823">
        <v>0.1</v>
      </c>
      <c r="I1823" t="s">
        <v>1809</v>
      </c>
      <c r="J1823">
        <v>551.25900000000001</v>
      </c>
      <c r="K1823" t="s">
        <v>492</v>
      </c>
      <c r="L1823">
        <v>42</v>
      </c>
      <c r="M1823" t="s">
        <v>16</v>
      </c>
      <c r="N1823" t="s">
        <v>493</v>
      </c>
      <c r="O1823" t="s">
        <v>162</v>
      </c>
      <c r="P1823" t="s">
        <v>12</v>
      </c>
      <c r="Q1823" t="s">
        <v>19</v>
      </c>
      <c r="R1823" t="s">
        <v>3865</v>
      </c>
      <c r="S1823" t="s">
        <v>1530</v>
      </c>
      <c r="T1823" t="s">
        <v>3866</v>
      </c>
      <c r="U1823" t="s">
        <v>1606</v>
      </c>
      <c r="V1823" t="s">
        <v>1766</v>
      </c>
      <c r="W1823" t="s">
        <v>1767</v>
      </c>
      <c r="X1823" t="s">
        <v>1755</v>
      </c>
    </row>
    <row r="1824" spans="1:24" x14ac:dyDescent="0.3">
      <c r="A1824" t="s">
        <v>3631</v>
      </c>
      <c r="B1824" s="2">
        <v>45310</v>
      </c>
      <c r="C1824" t="s">
        <v>462</v>
      </c>
      <c r="D1824" t="s">
        <v>1545</v>
      </c>
      <c r="E1824" t="s">
        <v>1784</v>
      </c>
      <c r="F1824" s="4">
        <v>1</v>
      </c>
      <c r="G1824">
        <v>43.58</v>
      </c>
      <c r="H1824">
        <v>0.01</v>
      </c>
      <c r="I1824" t="s">
        <v>1812</v>
      </c>
      <c r="J1824">
        <v>43.144199999999998</v>
      </c>
      <c r="K1824" t="s">
        <v>463</v>
      </c>
      <c r="L1824">
        <v>43</v>
      </c>
      <c r="M1824" t="s">
        <v>9</v>
      </c>
      <c r="N1824" t="s">
        <v>464</v>
      </c>
      <c r="O1824" t="s">
        <v>25</v>
      </c>
      <c r="P1824" t="s">
        <v>12</v>
      </c>
      <c r="Q1824" t="s">
        <v>19</v>
      </c>
      <c r="R1824" t="s">
        <v>3912</v>
      </c>
      <c r="S1824" t="s">
        <v>1527</v>
      </c>
      <c r="T1824" t="s">
        <v>3824</v>
      </c>
      <c r="U1824" t="s">
        <v>1690</v>
      </c>
      <c r="V1824" t="s">
        <v>1741</v>
      </c>
      <c r="W1824" t="s">
        <v>1742</v>
      </c>
      <c r="X1824" t="s">
        <v>1739</v>
      </c>
    </row>
    <row r="1825" spans="1:24" x14ac:dyDescent="0.3">
      <c r="A1825" t="s">
        <v>3632</v>
      </c>
      <c r="B1825" s="2">
        <v>45594</v>
      </c>
      <c r="C1825" t="s">
        <v>1033</v>
      </c>
      <c r="D1825" t="s">
        <v>1625</v>
      </c>
      <c r="E1825" t="s">
        <v>1744</v>
      </c>
      <c r="F1825" s="4">
        <v>3</v>
      </c>
      <c r="G1825">
        <v>469.33</v>
      </c>
      <c r="H1825">
        <v>0.14000000000000001</v>
      </c>
      <c r="I1825" t="s">
        <v>1809</v>
      </c>
      <c r="J1825">
        <v>1210.8714</v>
      </c>
      <c r="K1825" t="s">
        <v>1034</v>
      </c>
      <c r="L1825">
        <v>64</v>
      </c>
      <c r="M1825" t="s">
        <v>16</v>
      </c>
      <c r="N1825" t="s">
        <v>1035</v>
      </c>
      <c r="O1825" t="s">
        <v>99</v>
      </c>
      <c r="P1825" t="s">
        <v>12</v>
      </c>
      <c r="Q1825" t="s">
        <v>26</v>
      </c>
      <c r="R1825" t="s">
        <v>3877</v>
      </c>
      <c r="S1825" t="s">
        <v>1541</v>
      </c>
      <c r="T1825" t="s">
        <v>3878</v>
      </c>
      <c r="U1825" t="s">
        <v>1626</v>
      </c>
      <c r="V1825" t="s">
        <v>1745</v>
      </c>
      <c r="W1825" t="s">
        <v>1746</v>
      </c>
      <c r="X1825" t="s">
        <v>1748</v>
      </c>
    </row>
    <row r="1826" spans="1:24" x14ac:dyDescent="0.3">
      <c r="A1826" t="s">
        <v>3633</v>
      </c>
      <c r="B1826" s="2">
        <v>45840</v>
      </c>
      <c r="C1826" t="s">
        <v>675</v>
      </c>
      <c r="D1826" t="s">
        <v>1545</v>
      </c>
      <c r="E1826" t="s">
        <v>1765</v>
      </c>
      <c r="F1826" s="4">
        <v>4</v>
      </c>
      <c r="G1826">
        <v>836.23</v>
      </c>
      <c r="H1826">
        <v>0.12</v>
      </c>
      <c r="I1826" t="s">
        <v>1807</v>
      </c>
      <c r="J1826">
        <v>2943.5295999999998</v>
      </c>
      <c r="K1826" t="s">
        <v>676</v>
      </c>
      <c r="L1826">
        <v>48</v>
      </c>
      <c r="M1826" t="s">
        <v>9</v>
      </c>
      <c r="N1826" t="s">
        <v>677</v>
      </c>
      <c r="O1826" t="s">
        <v>429</v>
      </c>
      <c r="P1826" t="s">
        <v>12</v>
      </c>
      <c r="Q1826" t="s">
        <v>19</v>
      </c>
      <c r="R1826" t="s">
        <v>3912</v>
      </c>
      <c r="S1826" t="s">
        <v>1527</v>
      </c>
      <c r="T1826" t="s">
        <v>3824</v>
      </c>
      <c r="U1826" t="s">
        <v>1690</v>
      </c>
      <c r="V1826" t="s">
        <v>1766</v>
      </c>
      <c r="W1826" t="s">
        <v>1767</v>
      </c>
      <c r="X1826" t="s">
        <v>1755</v>
      </c>
    </row>
    <row r="1827" spans="1:24" x14ac:dyDescent="0.3">
      <c r="A1827" t="s">
        <v>3634</v>
      </c>
      <c r="B1827" s="2">
        <v>45549</v>
      </c>
      <c r="C1827" t="s">
        <v>583</v>
      </c>
      <c r="D1827" t="s">
        <v>1665</v>
      </c>
      <c r="E1827" t="s">
        <v>1796</v>
      </c>
      <c r="F1827" s="4">
        <v>2</v>
      </c>
      <c r="G1827">
        <v>661.53</v>
      </c>
      <c r="H1827">
        <v>0.2</v>
      </c>
      <c r="I1827" t="s">
        <v>1809</v>
      </c>
      <c r="J1827">
        <v>1058.4480000000001</v>
      </c>
      <c r="K1827" t="s">
        <v>584</v>
      </c>
      <c r="L1827">
        <v>43</v>
      </c>
      <c r="M1827" t="s">
        <v>16</v>
      </c>
      <c r="N1827" t="s">
        <v>585</v>
      </c>
      <c r="O1827" t="s">
        <v>312</v>
      </c>
      <c r="P1827" t="s">
        <v>12</v>
      </c>
      <c r="Q1827" t="s">
        <v>26</v>
      </c>
      <c r="R1827" t="s">
        <v>3899</v>
      </c>
      <c r="S1827" t="s">
        <v>1546</v>
      </c>
      <c r="T1827" t="s">
        <v>3820</v>
      </c>
      <c r="U1827" t="s">
        <v>1666</v>
      </c>
      <c r="V1827" t="s">
        <v>1741</v>
      </c>
      <c r="W1827" t="s">
        <v>1742</v>
      </c>
      <c r="X1827" t="s">
        <v>1739</v>
      </c>
    </row>
    <row r="1828" spans="1:24" x14ac:dyDescent="0.3">
      <c r="A1828" t="s">
        <v>3635</v>
      </c>
      <c r="B1828" s="2">
        <v>45903</v>
      </c>
      <c r="C1828" t="s">
        <v>406</v>
      </c>
      <c r="D1828" t="s">
        <v>1643</v>
      </c>
      <c r="E1828" t="s">
        <v>1787</v>
      </c>
      <c r="F1828" s="4">
        <v>3</v>
      </c>
      <c r="G1828">
        <v>753.47</v>
      </c>
      <c r="H1828">
        <v>0.25</v>
      </c>
      <c r="I1828" t="s">
        <v>1809</v>
      </c>
      <c r="J1828">
        <v>1695.3074999999999</v>
      </c>
      <c r="K1828" t="s">
        <v>407</v>
      </c>
      <c r="L1828">
        <v>40</v>
      </c>
      <c r="M1828" t="s">
        <v>9</v>
      </c>
      <c r="N1828" t="s">
        <v>408</v>
      </c>
      <c r="O1828" t="s">
        <v>70</v>
      </c>
      <c r="P1828" t="s">
        <v>12</v>
      </c>
      <c r="Q1828" t="s">
        <v>19</v>
      </c>
      <c r="R1828" t="s">
        <v>3888</v>
      </c>
      <c r="S1828" t="s">
        <v>1527</v>
      </c>
      <c r="T1828" t="s">
        <v>3836</v>
      </c>
      <c r="U1828" t="s">
        <v>1644</v>
      </c>
      <c r="V1828" t="s">
        <v>1741</v>
      </c>
      <c r="W1828" t="s">
        <v>1742</v>
      </c>
      <c r="X1828" t="s">
        <v>1739</v>
      </c>
    </row>
    <row r="1829" spans="1:24" x14ac:dyDescent="0.3">
      <c r="A1829" t="s">
        <v>3636</v>
      </c>
      <c r="B1829" s="2">
        <v>45673</v>
      </c>
      <c r="C1829" t="s">
        <v>518</v>
      </c>
      <c r="D1829" t="s">
        <v>1659</v>
      </c>
      <c r="E1829" t="s">
        <v>1735</v>
      </c>
      <c r="F1829" s="4">
        <v>3</v>
      </c>
      <c r="G1829">
        <v>713.95</v>
      </c>
      <c r="H1829">
        <v>0</v>
      </c>
      <c r="I1829" t="s">
        <v>1807</v>
      </c>
      <c r="J1829">
        <v>2141.85</v>
      </c>
      <c r="K1829" t="s">
        <v>519</v>
      </c>
      <c r="L1829">
        <v>59</v>
      </c>
      <c r="M1829" t="s">
        <v>9</v>
      </c>
      <c r="N1829" t="s">
        <v>520</v>
      </c>
      <c r="O1829" t="s">
        <v>18</v>
      </c>
      <c r="P1829" t="s">
        <v>12</v>
      </c>
      <c r="Q1829" t="s">
        <v>26</v>
      </c>
      <c r="R1829" t="s">
        <v>3896</v>
      </c>
      <c r="S1829" t="s">
        <v>1541</v>
      </c>
      <c r="T1829" t="s">
        <v>3878</v>
      </c>
      <c r="U1829" t="s">
        <v>1660</v>
      </c>
      <c r="V1829" t="s">
        <v>1736</v>
      </c>
      <c r="W1829" t="s">
        <v>1737</v>
      </c>
      <c r="X1829" t="s">
        <v>1739</v>
      </c>
    </row>
    <row r="1830" spans="1:24" x14ac:dyDescent="0.3">
      <c r="A1830" t="s">
        <v>3637</v>
      </c>
      <c r="B1830" s="2">
        <v>45395</v>
      </c>
      <c r="C1830" t="s">
        <v>348</v>
      </c>
      <c r="D1830" t="s">
        <v>1553</v>
      </c>
      <c r="E1830" t="s">
        <v>1756</v>
      </c>
      <c r="F1830" s="4">
        <v>3</v>
      </c>
      <c r="G1830">
        <v>596</v>
      </c>
      <c r="H1830">
        <v>0.28000000000000003</v>
      </c>
      <c r="I1830" t="s">
        <v>1812</v>
      </c>
      <c r="J1830">
        <v>1287.3599999999999</v>
      </c>
      <c r="K1830" t="s">
        <v>349</v>
      </c>
      <c r="L1830">
        <v>53</v>
      </c>
      <c r="M1830" t="s">
        <v>16</v>
      </c>
      <c r="N1830" t="s">
        <v>350</v>
      </c>
      <c r="O1830" t="s">
        <v>234</v>
      </c>
      <c r="P1830" t="s">
        <v>12</v>
      </c>
      <c r="Q1830" t="s">
        <v>31</v>
      </c>
      <c r="R1830" t="s">
        <v>3831</v>
      </c>
      <c r="S1830" t="s">
        <v>1546</v>
      </c>
      <c r="T1830" t="s">
        <v>3820</v>
      </c>
      <c r="U1830" t="s">
        <v>1554</v>
      </c>
      <c r="V1830" t="s">
        <v>1757</v>
      </c>
      <c r="W1830" t="s">
        <v>1742</v>
      </c>
      <c r="X1830" t="s">
        <v>1748</v>
      </c>
    </row>
    <row r="1831" spans="1:24" x14ac:dyDescent="0.3">
      <c r="A1831" t="s">
        <v>3638</v>
      </c>
      <c r="B1831" s="2">
        <v>45379</v>
      </c>
      <c r="C1831" t="s">
        <v>1039</v>
      </c>
      <c r="D1831" t="s">
        <v>1548</v>
      </c>
      <c r="E1831" t="s">
        <v>1769</v>
      </c>
      <c r="F1831" s="4">
        <v>2</v>
      </c>
      <c r="G1831">
        <v>169.46</v>
      </c>
      <c r="H1831">
        <v>0.03</v>
      </c>
      <c r="I1831" t="s">
        <v>1809</v>
      </c>
      <c r="J1831">
        <v>328.75240000000002</v>
      </c>
      <c r="K1831" t="s">
        <v>1040</v>
      </c>
      <c r="L1831">
        <v>37</v>
      </c>
      <c r="M1831" t="s">
        <v>9</v>
      </c>
      <c r="N1831" t="s">
        <v>1041</v>
      </c>
      <c r="O1831" t="s">
        <v>166</v>
      </c>
      <c r="P1831" t="s">
        <v>12</v>
      </c>
      <c r="Q1831" t="s">
        <v>31</v>
      </c>
      <c r="R1831" t="s">
        <v>3922</v>
      </c>
      <c r="S1831" t="s">
        <v>1541</v>
      </c>
      <c r="T1831" t="s">
        <v>3878</v>
      </c>
      <c r="U1831" t="s">
        <v>1710</v>
      </c>
      <c r="V1831" t="s">
        <v>1770</v>
      </c>
      <c r="W1831" t="s">
        <v>1746</v>
      </c>
      <c r="X1831" t="s">
        <v>1739</v>
      </c>
    </row>
    <row r="1832" spans="1:24" x14ac:dyDescent="0.3">
      <c r="A1832" t="s">
        <v>3639</v>
      </c>
      <c r="B1832" s="2">
        <v>45860</v>
      </c>
      <c r="C1832" t="s">
        <v>939</v>
      </c>
      <c r="D1832" t="s">
        <v>1661</v>
      </c>
      <c r="E1832" t="s">
        <v>1782</v>
      </c>
      <c r="F1832" s="4">
        <v>4</v>
      </c>
      <c r="G1832">
        <v>611.91999999999996</v>
      </c>
      <c r="H1832">
        <v>0.2</v>
      </c>
      <c r="I1832" t="s">
        <v>1809</v>
      </c>
      <c r="J1832">
        <v>1958.144</v>
      </c>
      <c r="K1832" t="s">
        <v>940</v>
      </c>
      <c r="L1832">
        <v>50</v>
      </c>
      <c r="M1832" t="s">
        <v>9</v>
      </c>
      <c r="N1832" t="s">
        <v>941</v>
      </c>
      <c r="O1832" t="s">
        <v>35</v>
      </c>
      <c r="P1832" t="s">
        <v>12</v>
      </c>
      <c r="Q1832" t="s">
        <v>31</v>
      </c>
      <c r="R1832" t="s">
        <v>3897</v>
      </c>
      <c r="S1832" t="s">
        <v>1549</v>
      </c>
      <c r="T1832" t="s">
        <v>3828</v>
      </c>
      <c r="U1832" t="s">
        <v>1662</v>
      </c>
      <c r="V1832" t="s">
        <v>1741</v>
      </c>
      <c r="W1832" t="s">
        <v>1742</v>
      </c>
      <c r="X1832" t="s">
        <v>1739</v>
      </c>
    </row>
    <row r="1833" spans="1:24" x14ac:dyDescent="0.3">
      <c r="A1833" t="s">
        <v>3640</v>
      </c>
      <c r="B1833" s="2">
        <v>45704</v>
      </c>
      <c r="C1833" t="s">
        <v>23</v>
      </c>
      <c r="D1833" t="s">
        <v>1679</v>
      </c>
      <c r="E1833" t="s">
        <v>1784</v>
      </c>
      <c r="F1833" s="4">
        <v>2</v>
      </c>
      <c r="G1833">
        <v>25.3</v>
      </c>
      <c r="H1833">
        <v>0.21</v>
      </c>
      <c r="I1833" t="s">
        <v>1807</v>
      </c>
      <c r="J1833">
        <v>39.973999999999997</v>
      </c>
      <c r="K1833" t="s">
        <v>3934</v>
      </c>
      <c r="L1833">
        <v>64</v>
      </c>
      <c r="M1833" t="s">
        <v>16</v>
      </c>
      <c r="N1833" t="s">
        <v>24</v>
      </c>
      <c r="O1833" t="s">
        <v>25</v>
      </c>
      <c r="P1833" t="s">
        <v>12</v>
      </c>
      <c r="Q1833" t="s">
        <v>26</v>
      </c>
      <c r="R1833" t="s">
        <v>3907</v>
      </c>
      <c r="S1833" t="s">
        <v>1546</v>
      </c>
      <c r="T1833" t="s">
        <v>3826</v>
      </c>
      <c r="U1833" t="s">
        <v>1680</v>
      </c>
      <c r="V1833" t="s">
        <v>1741</v>
      </c>
      <c r="W1833" t="s">
        <v>1742</v>
      </c>
      <c r="X1833" t="s">
        <v>1739</v>
      </c>
    </row>
    <row r="1834" spans="1:24" x14ac:dyDescent="0.3">
      <c r="A1834" t="s">
        <v>3641</v>
      </c>
      <c r="B1834" s="2">
        <v>45327</v>
      </c>
      <c r="C1834" t="s">
        <v>1327</v>
      </c>
      <c r="D1834" t="s">
        <v>1677</v>
      </c>
      <c r="E1834" t="s">
        <v>1772</v>
      </c>
      <c r="F1834" s="4">
        <v>4</v>
      </c>
      <c r="G1834">
        <v>166.93</v>
      </c>
      <c r="H1834">
        <v>0.02</v>
      </c>
      <c r="I1834" t="s">
        <v>1809</v>
      </c>
      <c r="J1834">
        <v>654.36559999999997</v>
      </c>
      <c r="K1834" t="s">
        <v>1328</v>
      </c>
      <c r="L1834">
        <v>48</v>
      </c>
      <c r="M1834" t="s">
        <v>16</v>
      </c>
      <c r="N1834" t="s">
        <v>1329</v>
      </c>
      <c r="O1834" t="s">
        <v>58</v>
      </c>
      <c r="P1834" t="s">
        <v>12</v>
      </c>
      <c r="Q1834" t="s">
        <v>31</v>
      </c>
      <c r="R1834" t="s">
        <v>3906</v>
      </c>
      <c r="S1834" t="s">
        <v>1549</v>
      </c>
      <c r="T1834" t="s">
        <v>3859</v>
      </c>
      <c r="U1834" t="s">
        <v>1678</v>
      </c>
      <c r="V1834" t="s">
        <v>1741</v>
      </c>
      <c r="W1834" t="s">
        <v>1742</v>
      </c>
      <c r="X1834" t="s">
        <v>1739</v>
      </c>
    </row>
    <row r="1835" spans="1:24" x14ac:dyDescent="0.3">
      <c r="A1835" t="s">
        <v>3642</v>
      </c>
      <c r="B1835" s="2">
        <v>45721</v>
      </c>
      <c r="C1835" t="s">
        <v>882</v>
      </c>
      <c r="D1835" t="s">
        <v>1651</v>
      </c>
      <c r="E1835" t="s">
        <v>1775</v>
      </c>
      <c r="F1835" s="4">
        <v>4</v>
      </c>
      <c r="G1835">
        <v>861.55</v>
      </c>
      <c r="H1835">
        <v>0.12</v>
      </c>
      <c r="I1835" t="s">
        <v>1807</v>
      </c>
      <c r="J1835">
        <v>3032.6559999999999</v>
      </c>
      <c r="K1835" t="s">
        <v>883</v>
      </c>
      <c r="L1835">
        <v>59</v>
      </c>
      <c r="M1835" t="s">
        <v>9</v>
      </c>
      <c r="N1835" t="s">
        <v>884</v>
      </c>
      <c r="O1835" t="s">
        <v>99</v>
      </c>
      <c r="P1835" t="s">
        <v>12</v>
      </c>
      <c r="Q1835" t="s">
        <v>26</v>
      </c>
      <c r="R1835" t="s">
        <v>3892</v>
      </c>
      <c r="S1835" t="s">
        <v>1541</v>
      </c>
      <c r="T1835" t="s">
        <v>3881</v>
      </c>
      <c r="U1835" t="s">
        <v>1652</v>
      </c>
      <c r="V1835" t="s">
        <v>1741</v>
      </c>
      <c r="W1835" t="s">
        <v>1742</v>
      </c>
      <c r="X1835" t="s">
        <v>1739</v>
      </c>
    </row>
    <row r="1836" spans="1:24" x14ac:dyDescent="0.3">
      <c r="A1836" t="s">
        <v>3643</v>
      </c>
      <c r="B1836" s="2">
        <v>45842</v>
      </c>
      <c r="C1836" t="s">
        <v>1115</v>
      </c>
      <c r="D1836" t="s">
        <v>1617</v>
      </c>
      <c r="E1836" t="s">
        <v>1756</v>
      </c>
      <c r="F1836" s="4">
        <v>3</v>
      </c>
      <c r="G1836">
        <v>56.17</v>
      </c>
      <c r="H1836">
        <v>0.01</v>
      </c>
      <c r="I1836" t="s">
        <v>1812</v>
      </c>
      <c r="J1836">
        <v>166.82490000000001</v>
      </c>
      <c r="K1836" t="s">
        <v>1116</v>
      </c>
      <c r="L1836">
        <v>64</v>
      </c>
      <c r="M1836" t="s">
        <v>9</v>
      </c>
      <c r="N1836" t="s">
        <v>1117</v>
      </c>
      <c r="O1836" t="s">
        <v>288</v>
      </c>
      <c r="P1836" t="s">
        <v>12</v>
      </c>
      <c r="Q1836" t="s">
        <v>19</v>
      </c>
      <c r="R1836" t="s">
        <v>3873</v>
      </c>
      <c r="S1836" t="s">
        <v>1546</v>
      </c>
      <c r="T1836" t="s">
        <v>3811</v>
      </c>
      <c r="U1836" t="s">
        <v>1618</v>
      </c>
      <c r="V1836" t="s">
        <v>1757</v>
      </c>
      <c r="W1836" t="s">
        <v>1742</v>
      </c>
      <c r="X1836" t="s">
        <v>1748</v>
      </c>
    </row>
    <row r="1837" spans="1:24" x14ac:dyDescent="0.3">
      <c r="A1837" t="s">
        <v>3644</v>
      </c>
      <c r="B1837" s="2">
        <v>45862</v>
      </c>
      <c r="C1837" t="s">
        <v>842</v>
      </c>
      <c r="D1837" t="s">
        <v>1561</v>
      </c>
      <c r="E1837" t="s">
        <v>1796</v>
      </c>
      <c r="F1837" s="4">
        <v>1</v>
      </c>
      <c r="G1837">
        <v>582.29</v>
      </c>
      <c r="H1837">
        <v>0.2</v>
      </c>
      <c r="I1837" t="s">
        <v>1807</v>
      </c>
      <c r="J1837">
        <v>465.83199999999999</v>
      </c>
      <c r="K1837" t="s">
        <v>843</v>
      </c>
      <c r="L1837">
        <v>18</v>
      </c>
      <c r="M1837" t="s">
        <v>9</v>
      </c>
      <c r="N1837" t="s">
        <v>844</v>
      </c>
      <c r="O1837" t="s">
        <v>582</v>
      </c>
      <c r="P1837" t="s">
        <v>12</v>
      </c>
      <c r="Q1837" t="s">
        <v>26</v>
      </c>
      <c r="R1837" t="s">
        <v>3837</v>
      </c>
      <c r="S1837" t="s">
        <v>1546</v>
      </c>
      <c r="T1837" t="s">
        <v>3838</v>
      </c>
      <c r="U1837" t="s">
        <v>1562</v>
      </c>
      <c r="V1837" t="s">
        <v>1741</v>
      </c>
      <c r="W1837" t="s">
        <v>1742</v>
      </c>
      <c r="X1837" t="s">
        <v>1739</v>
      </c>
    </row>
    <row r="1838" spans="1:24" x14ac:dyDescent="0.3">
      <c r="A1838" t="s">
        <v>3645</v>
      </c>
      <c r="B1838" s="2">
        <v>45681</v>
      </c>
      <c r="C1838" t="s">
        <v>826</v>
      </c>
      <c r="D1838" t="s">
        <v>1697</v>
      </c>
      <c r="E1838" t="s">
        <v>1735</v>
      </c>
      <c r="F1838" s="4">
        <v>3</v>
      </c>
      <c r="G1838">
        <v>63.96</v>
      </c>
      <c r="H1838">
        <v>0.02</v>
      </c>
      <c r="I1838" t="s">
        <v>1807</v>
      </c>
      <c r="J1838">
        <v>188.04239999999999</v>
      </c>
      <c r="K1838" t="s">
        <v>827</v>
      </c>
      <c r="L1838">
        <v>60</v>
      </c>
      <c r="M1838" t="s">
        <v>16</v>
      </c>
      <c r="N1838" t="s">
        <v>828</v>
      </c>
      <c r="O1838" t="s">
        <v>35</v>
      </c>
      <c r="P1838" t="s">
        <v>12</v>
      </c>
      <c r="Q1838" t="s">
        <v>31</v>
      </c>
      <c r="R1838" t="s">
        <v>3916</v>
      </c>
      <c r="S1838" t="s">
        <v>1541</v>
      </c>
      <c r="T1838" t="s">
        <v>3822</v>
      </c>
      <c r="U1838" t="s">
        <v>1698</v>
      </c>
      <c r="V1838" t="s">
        <v>1736</v>
      </c>
      <c r="W1838" t="s">
        <v>1737</v>
      </c>
      <c r="X1838" t="s">
        <v>1739</v>
      </c>
    </row>
    <row r="1839" spans="1:24" x14ac:dyDescent="0.3">
      <c r="A1839" t="s">
        <v>3646</v>
      </c>
      <c r="B1839" s="2">
        <v>45392</v>
      </c>
      <c r="C1839" t="s">
        <v>238</v>
      </c>
      <c r="D1839" t="s">
        <v>1548</v>
      </c>
      <c r="E1839" t="s">
        <v>1777</v>
      </c>
      <c r="F1839" s="4">
        <v>1</v>
      </c>
      <c r="G1839">
        <v>829.83</v>
      </c>
      <c r="H1839">
        <v>0.26</v>
      </c>
      <c r="I1839" t="s">
        <v>1812</v>
      </c>
      <c r="J1839">
        <v>614.07420000000002</v>
      </c>
      <c r="K1839" t="s">
        <v>239</v>
      </c>
      <c r="L1839">
        <v>27</v>
      </c>
      <c r="M1839" t="s">
        <v>16</v>
      </c>
      <c r="N1839" t="s">
        <v>240</v>
      </c>
      <c r="O1839" t="s">
        <v>181</v>
      </c>
      <c r="P1839" t="s">
        <v>12</v>
      </c>
      <c r="Q1839" t="s">
        <v>31</v>
      </c>
      <c r="R1839" t="s">
        <v>3922</v>
      </c>
      <c r="S1839" t="s">
        <v>1541</v>
      </c>
      <c r="T1839" t="s">
        <v>3878</v>
      </c>
      <c r="U1839" t="s">
        <v>1710</v>
      </c>
      <c r="V1839" t="s">
        <v>1741</v>
      </c>
      <c r="W1839" t="s">
        <v>1742</v>
      </c>
      <c r="X1839" t="s">
        <v>1739</v>
      </c>
    </row>
    <row r="1840" spans="1:24" x14ac:dyDescent="0.3">
      <c r="A1840" t="s">
        <v>3647</v>
      </c>
      <c r="B1840" s="2">
        <v>45586</v>
      </c>
      <c r="C1840" t="s">
        <v>1144</v>
      </c>
      <c r="D1840" t="s">
        <v>1599</v>
      </c>
      <c r="E1840" t="s">
        <v>1787</v>
      </c>
      <c r="F1840" s="4">
        <v>2</v>
      </c>
      <c r="G1840">
        <v>858.15</v>
      </c>
      <c r="H1840">
        <v>0.03</v>
      </c>
      <c r="I1840" t="s">
        <v>1807</v>
      </c>
      <c r="J1840">
        <v>1664.8109999999999</v>
      </c>
      <c r="K1840" t="s">
        <v>1145</v>
      </c>
      <c r="L1840">
        <v>21</v>
      </c>
      <c r="M1840" t="s">
        <v>16</v>
      </c>
      <c r="N1840" t="s">
        <v>1146</v>
      </c>
      <c r="O1840" t="s">
        <v>251</v>
      </c>
      <c r="P1840" t="s">
        <v>12</v>
      </c>
      <c r="Q1840" t="s">
        <v>31</v>
      </c>
      <c r="R1840" t="s">
        <v>3862</v>
      </c>
      <c r="S1840" t="s">
        <v>1546</v>
      </c>
      <c r="T1840" t="s">
        <v>3811</v>
      </c>
      <c r="U1840" t="s">
        <v>1600</v>
      </c>
      <c r="V1840" t="s">
        <v>1741</v>
      </c>
      <c r="W1840" t="s">
        <v>1742</v>
      </c>
      <c r="X1840" t="s">
        <v>1739</v>
      </c>
    </row>
    <row r="1841" spans="1:24" x14ac:dyDescent="0.3">
      <c r="A1841" t="s">
        <v>3648</v>
      </c>
      <c r="B1841" s="2">
        <v>45340</v>
      </c>
      <c r="C1841" t="s">
        <v>1112</v>
      </c>
      <c r="D1841" t="s">
        <v>1677</v>
      </c>
      <c r="E1841" t="s">
        <v>1780</v>
      </c>
      <c r="F1841" s="4">
        <v>3</v>
      </c>
      <c r="G1841">
        <v>717.32</v>
      </c>
      <c r="H1841">
        <v>0.23</v>
      </c>
      <c r="I1841" t="s">
        <v>1812</v>
      </c>
      <c r="J1841">
        <v>1657.0092</v>
      </c>
      <c r="K1841" t="s">
        <v>1113</v>
      </c>
      <c r="L1841">
        <v>34</v>
      </c>
      <c r="M1841" t="s">
        <v>9</v>
      </c>
      <c r="N1841" t="s">
        <v>1114</v>
      </c>
      <c r="O1841" t="s">
        <v>62</v>
      </c>
      <c r="P1841" t="s">
        <v>12</v>
      </c>
      <c r="Q1841" t="s">
        <v>31</v>
      </c>
      <c r="R1841" t="s">
        <v>3906</v>
      </c>
      <c r="S1841" t="s">
        <v>1549</v>
      </c>
      <c r="T1841" t="s">
        <v>3859</v>
      </c>
      <c r="U1841" t="s">
        <v>1678</v>
      </c>
      <c r="V1841" t="s">
        <v>1741</v>
      </c>
      <c r="W1841" t="s">
        <v>1742</v>
      </c>
      <c r="X1841" t="s">
        <v>1739</v>
      </c>
    </row>
    <row r="1842" spans="1:24" x14ac:dyDescent="0.3">
      <c r="A1842" t="s">
        <v>3649</v>
      </c>
      <c r="B1842" s="2">
        <v>45853</v>
      </c>
      <c r="C1842" t="s">
        <v>1312</v>
      </c>
      <c r="D1842" t="s">
        <v>1697</v>
      </c>
      <c r="E1842" t="s">
        <v>1777</v>
      </c>
      <c r="F1842" s="4">
        <v>1</v>
      </c>
      <c r="G1842">
        <v>163.19999999999999</v>
      </c>
      <c r="H1842">
        <v>0.22</v>
      </c>
      <c r="I1842" t="s">
        <v>1809</v>
      </c>
      <c r="J1842">
        <v>127.29600000000001</v>
      </c>
      <c r="K1842" t="s">
        <v>1313</v>
      </c>
      <c r="L1842">
        <v>43</v>
      </c>
      <c r="M1842" t="s">
        <v>9</v>
      </c>
      <c r="N1842" t="s">
        <v>1314</v>
      </c>
      <c r="O1842" t="s">
        <v>323</v>
      </c>
      <c r="P1842" t="s">
        <v>12</v>
      </c>
      <c r="Q1842" t="s">
        <v>26</v>
      </c>
      <c r="R1842" t="s">
        <v>3916</v>
      </c>
      <c r="S1842" t="s">
        <v>1541</v>
      </c>
      <c r="T1842" t="s">
        <v>3822</v>
      </c>
      <c r="U1842" t="s">
        <v>1698</v>
      </c>
      <c r="V1842" t="s">
        <v>1741</v>
      </c>
      <c r="W1842" t="s">
        <v>1742</v>
      </c>
      <c r="X1842" t="s">
        <v>1739</v>
      </c>
    </row>
    <row r="1843" spans="1:24" x14ac:dyDescent="0.3">
      <c r="A1843" t="s">
        <v>3650</v>
      </c>
      <c r="B1843" s="2">
        <v>45489</v>
      </c>
      <c r="C1843" t="s">
        <v>430</v>
      </c>
      <c r="D1843" t="s">
        <v>1693</v>
      </c>
      <c r="E1843" t="s">
        <v>1777</v>
      </c>
      <c r="F1843" s="4">
        <v>2</v>
      </c>
      <c r="G1843">
        <v>966.71</v>
      </c>
      <c r="H1843">
        <v>0.11</v>
      </c>
      <c r="I1843" t="s">
        <v>1807</v>
      </c>
      <c r="J1843">
        <v>1720.7438</v>
      </c>
      <c r="K1843" t="s">
        <v>431</v>
      </c>
      <c r="L1843">
        <v>39</v>
      </c>
      <c r="M1843" t="s">
        <v>9</v>
      </c>
      <c r="N1843" t="s">
        <v>432</v>
      </c>
      <c r="O1843" t="s">
        <v>133</v>
      </c>
      <c r="P1843" t="s">
        <v>12</v>
      </c>
      <c r="Q1843" t="s">
        <v>13</v>
      </c>
      <c r="R1843" t="s">
        <v>3914</v>
      </c>
      <c r="S1843" t="s">
        <v>1549</v>
      </c>
      <c r="T1843" t="s">
        <v>3844</v>
      </c>
      <c r="U1843" t="s">
        <v>1694</v>
      </c>
      <c r="V1843" t="s">
        <v>1741</v>
      </c>
      <c r="W1843" t="s">
        <v>1742</v>
      </c>
      <c r="X1843" t="s">
        <v>1739</v>
      </c>
    </row>
    <row r="1844" spans="1:24" x14ac:dyDescent="0.3">
      <c r="A1844" t="s">
        <v>3651</v>
      </c>
      <c r="B1844" s="2">
        <v>45761</v>
      </c>
      <c r="C1844" t="s">
        <v>1080</v>
      </c>
      <c r="D1844" t="s">
        <v>1601</v>
      </c>
      <c r="E1844" t="s">
        <v>1780</v>
      </c>
      <c r="F1844" s="4">
        <v>2</v>
      </c>
      <c r="G1844">
        <v>873.94</v>
      </c>
      <c r="H1844">
        <v>0.14000000000000001</v>
      </c>
      <c r="I1844" t="s">
        <v>1812</v>
      </c>
      <c r="J1844">
        <v>1503.1768</v>
      </c>
      <c r="K1844" t="s">
        <v>1081</v>
      </c>
      <c r="L1844">
        <v>31</v>
      </c>
      <c r="M1844" t="s">
        <v>9</v>
      </c>
      <c r="N1844" t="s">
        <v>1082</v>
      </c>
      <c r="O1844" t="s">
        <v>51</v>
      </c>
      <c r="P1844" t="s">
        <v>12</v>
      </c>
      <c r="Q1844" t="s">
        <v>31</v>
      </c>
      <c r="R1844" t="s">
        <v>3863</v>
      </c>
      <c r="S1844" t="s">
        <v>1527</v>
      </c>
      <c r="T1844" t="s">
        <v>3824</v>
      </c>
      <c r="U1844" t="s">
        <v>1602</v>
      </c>
      <c r="V1844" t="s">
        <v>1741</v>
      </c>
      <c r="W1844" t="s">
        <v>1742</v>
      </c>
      <c r="X1844" t="s">
        <v>1739</v>
      </c>
    </row>
    <row r="1845" spans="1:24" x14ac:dyDescent="0.3">
      <c r="A1845" t="s">
        <v>3652</v>
      </c>
      <c r="B1845" s="2">
        <v>45379</v>
      </c>
      <c r="C1845" t="s">
        <v>497</v>
      </c>
      <c r="D1845" t="s">
        <v>1526</v>
      </c>
      <c r="E1845" t="s">
        <v>1749</v>
      </c>
      <c r="F1845" s="4">
        <v>1</v>
      </c>
      <c r="G1845">
        <v>140.24</v>
      </c>
      <c r="H1845">
        <v>0.27</v>
      </c>
      <c r="I1845" t="s">
        <v>1807</v>
      </c>
      <c r="J1845">
        <v>102.37520000000001</v>
      </c>
      <c r="K1845" t="s">
        <v>498</v>
      </c>
      <c r="L1845">
        <v>24</v>
      </c>
      <c r="M1845" t="s">
        <v>9</v>
      </c>
      <c r="N1845" t="s">
        <v>499</v>
      </c>
      <c r="O1845" t="s">
        <v>247</v>
      </c>
      <c r="P1845" t="s">
        <v>12</v>
      </c>
      <c r="Q1845" t="s">
        <v>19</v>
      </c>
      <c r="R1845" t="s">
        <v>3810</v>
      </c>
      <c r="S1845" t="s">
        <v>1546</v>
      </c>
      <c r="T1845" t="s">
        <v>3811</v>
      </c>
      <c r="U1845" t="s">
        <v>1528</v>
      </c>
      <c r="V1845" t="s">
        <v>1750</v>
      </c>
      <c r="W1845" t="s">
        <v>1742</v>
      </c>
      <c r="X1845" t="s">
        <v>1748</v>
      </c>
    </row>
    <row r="1846" spans="1:24" x14ac:dyDescent="0.3">
      <c r="A1846" t="s">
        <v>3653</v>
      </c>
      <c r="B1846" s="2">
        <v>45716</v>
      </c>
      <c r="C1846" t="s">
        <v>651</v>
      </c>
      <c r="D1846" t="s">
        <v>1617</v>
      </c>
      <c r="E1846" t="s">
        <v>1756</v>
      </c>
      <c r="F1846" s="4">
        <v>2</v>
      </c>
      <c r="G1846">
        <v>549.91999999999996</v>
      </c>
      <c r="H1846">
        <v>0.28000000000000003</v>
      </c>
      <c r="I1846" t="s">
        <v>1807</v>
      </c>
      <c r="J1846">
        <v>791.88479999999993</v>
      </c>
      <c r="K1846" t="s">
        <v>652</v>
      </c>
      <c r="L1846">
        <v>37</v>
      </c>
      <c r="M1846" t="s">
        <v>16</v>
      </c>
      <c r="N1846" t="s">
        <v>653</v>
      </c>
      <c r="O1846" t="s">
        <v>155</v>
      </c>
      <c r="P1846" t="s">
        <v>12</v>
      </c>
      <c r="Q1846" t="s">
        <v>26</v>
      </c>
      <c r="R1846" t="s">
        <v>3873</v>
      </c>
      <c r="S1846" t="s">
        <v>1546</v>
      </c>
      <c r="T1846" t="s">
        <v>3811</v>
      </c>
      <c r="U1846" t="s">
        <v>1618</v>
      </c>
      <c r="V1846" t="s">
        <v>1757</v>
      </c>
      <c r="W1846" t="s">
        <v>1742</v>
      </c>
      <c r="X1846" t="s">
        <v>1748</v>
      </c>
    </row>
    <row r="1847" spans="1:24" x14ac:dyDescent="0.3">
      <c r="A1847" t="s">
        <v>3654</v>
      </c>
      <c r="B1847" s="2">
        <v>45364</v>
      </c>
      <c r="C1847" t="s">
        <v>385</v>
      </c>
      <c r="D1847" t="s">
        <v>1565</v>
      </c>
      <c r="E1847" t="s">
        <v>1756</v>
      </c>
      <c r="F1847" s="4">
        <v>4</v>
      </c>
      <c r="G1847">
        <v>715.88</v>
      </c>
      <c r="H1847">
        <v>0.19</v>
      </c>
      <c r="I1847" t="s">
        <v>1809</v>
      </c>
      <c r="J1847">
        <v>2319.4512</v>
      </c>
      <c r="K1847" t="s">
        <v>386</v>
      </c>
      <c r="L1847">
        <v>27</v>
      </c>
      <c r="M1847" t="s">
        <v>16</v>
      </c>
      <c r="N1847" t="s">
        <v>387</v>
      </c>
      <c r="O1847" t="s">
        <v>133</v>
      </c>
      <c r="P1847" t="s">
        <v>12</v>
      </c>
      <c r="Q1847" t="s">
        <v>19</v>
      </c>
      <c r="R1847" t="s">
        <v>3841</v>
      </c>
      <c r="S1847" t="s">
        <v>1549</v>
      </c>
      <c r="T1847" t="s">
        <v>3820</v>
      </c>
      <c r="U1847" t="s">
        <v>1566</v>
      </c>
      <c r="V1847" t="s">
        <v>1757</v>
      </c>
      <c r="W1847" t="s">
        <v>1742</v>
      </c>
      <c r="X1847" t="s">
        <v>1748</v>
      </c>
    </row>
    <row r="1848" spans="1:24" x14ac:dyDescent="0.3">
      <c r="A1848" t="s">
        <v>3655</v>
      </c>
      <c r="B1848" s="2">
        <v>45752</v>
      </c>
      <c r="C1848" t="s">
        <v>1147</v>
      </c>
      <c r="D1848" t="s">
        <v>1532</v>
      </c>
      <c r="E1848" t="s">
        <v>1765</v>
      </c>
      <c r="F1848" s="4">
        <v>3</v>
      </c>
      <c r="G1848">
        <v>591.9</v>
      </c>
      <c r="H1848">
        <v>0.27</v>
      </c>
      <c r="I1848" t="s">
        <v>1807</v>
      </c>
      <c r="J1848">
        <v>1296.261</v>
      </c>
      <c r="K1848" t="s">
        <v>1148</v>
      </c>
      <c r="L1848">
        <v>28</v>
      </c>
      <c r="M1848" t="s">
        <v>9</v>
      </c>
      <c r="N1848" t="s">
        <v>1149</v>
      </c>
      <c r="O1848" t="s">
        <v>47</v>
      </c>
      <c r="P1848" t="s">
        <v>12</v>
      </c>
      <c r="Q1848" t="s">
        <v>19</v>
      </c>
      <c r="R1848" t="s">
        <v>3843</v>
      </c>
      <c r="S1848" t="s">
        <v>1549</v>
      </c>
      <c r="T1848" t="s">
        <v>3844</v>
      </c>
      <c r="U1848" t="s">
        <v>1570</v>
      </c>
      <c r="V1848" t="s">
        <v>1766</v>
      </c>
      <c r="W1848" t="s">
        <v>1767</v>
      </c>
      <c r="X1848" t="s">
        <v>1755</v>
      </c>
    </row>
    <row r="1849" spans="1:24" x14ac:dyDescent="0.3">
      <c r="A1849" t="s">
        <v>3656</v>
      </c>
      <c r="B1849" s="2">
        <v>45883</v>
      </c>
      <c r="C1849" t="s">
        <v>1159</v>
      </c>
      <c r="D1849" t="s">
        <v>1575</v>
      </c>
      <c r="E1849" t="s">
        <v>1772</v>
      </c>
      <c r="F1849" s="4">
        <v>2</v>
      </c>
      <c r="G1849">
        <v>523.14</v>
      </c>
      <c r="H1849">
        <v>0.13</v>
      </c>
      <c r="I1849" t="s">
        <v>1809</v>
      </c>
      <c r="J1849">
        <v>910.2636</v>
      </c>
      <c r="K1849" t="s">
        <v>1160</v>
      </c>
      <c r="L1849">
        <v>30</v>
      </c>
      <c r="M1849" t="s">
        <v>9</v>
      </c>
      <c r="N1849" t="s">
        <v>1161</v>
      </c>
      <c r="O1849" t="s">
        <v>198</v>
      </c>
      <c r="P1849" t="s">
        <v>12</v>
      </c>
      <c r="Q1849" t="s">
        <v>19</v>
      </c>
      <c r="R1849" t="s">
        <v>3848</v>
      </c>
      <c r="S1849" t="s">
        <v>1549</v>
      </c>
      <c r="T1849" t="s">
        <v>3844</v>
      </c>
      <c r="U1849" t="s">
        <v>1576</v>
      </c>
      <c r="V1849" t="s">
        <v>1741</v>
      </c>
      <c r="W1849" t="s">
        <v>1742</v>
      </c>
      <c r="X1849" t="s">
        <v>1739</v>
      </c>
    </row>
    <row r="1850" spans="1:24" x14ac:dyDescent="0.3">
      <c r="A1850" t="s">
        <v>3657</v>
      </c>
      <c r="B1850" s="2">
        <v>45477</v>
      </c>
      <c r="C1850" t="s">
        <v>724</v>
      </c>
      <c r="D1850" t="s">
        <v>1669</v>
      </c>
      <c r="E1850" t="s">
        <v>1782</v>
      </c>
      <c r="F1850" s="4">
        <v>2</v>
      </c>
      <c r="G1850">
        <v>478.62</v>
      </c>
      <c r="H1850">
        <v>0.17</v>
      </c>
      <c r="I1850" t="s">
        <v>1812</v>
      </c>
      <c r="J1850">
        <v>794.50919999999996</v>
      </c>
      <c r="K1850" t="s">
        <v>725</v>
      </c>
      <c r="L1850">
        <v>63</v>
      </c>
      <c r="M1850" t="s">
        <v>16</v>
      </c>
      <c r="N1850" t="s">
        <v>213</v>
      </c>
      <c r="O1850" t="s">
        <v>162</v>
      </c>
      <c r="P1850" t="s">
        <v>12</v>
      </c>
      <c r="Q1850" t="s">
        <v>13</v>
      </c>
      <c r="R1850" t="s">
        <v>3902</v>
      </c>
      <c r="S1850" t="s">
        <v>1530</v>
      </c>
      <c r="T1850" t="s">
        <v>3818</v>
      </c>
      <c r="U1850" t="s">
        <v>1670</v>
      </c>
      <c r="V1850" t="s">
        <v>1741</v>
      </c>
      <c r="W1850" t="s">
        <v>1742</v>
      </c>
      <c r="X1850" t="s">
        <v>1739</v>
      </c>
    </row>
    <row r="1851" spans="1:24" x14ac:dyDescent="0.3">
      <c r="A1851" t="s">
        <v>3658</v>
      </c>
      <c r="B1851" s="2">
        <v>45556</v>
      </c>
      <c r="C1851" t="s">
        <v>936</v>
      </c>
      <c r="D1851" t="s">
        <v>1695</v>
      </c>
      <c r="E1851" t="s">
        <v>1740</v>
      </c>
      <c r="F1851" s="4">
        <v>4</v>
      </c>
      <c r="G1851">
        <v>740.5</v>
      </c>
      <c r="H1851">
        <v>0.17</v>
      </c>
      <c r="I1851" t="s">
        <v>1809</v>
      </c>
      <c r="J1851">
        <v>2458.46</v>
      </c>
      <c r="K1851" t="s">
        <v>937</v>
      </c>
      <c r="L1851">
        <v>29</v>
      </c>
      <c r="M1851" t="s">
        <v>9</v>
      </c>
      <c r="N1851" t="s">
        <v>938</v>
      </c>
      <c r="O1851" t="s">
        <v>323</v>
      </c>
      <c r="P1851" t="s">
        <v>12</v>
      </c>
      <c r="Q1851" t="s">
        <v>19</v>
      </c>
      <c r="R1851" t="s">
        <v>3915</v>
      </c>
      <c r="S1851" t="s">
        <v>1549</v>
      </c>
      <c r="T1851" t="s">
        <v>3828</v>
      </c>
      <c r="U1851" t="s">
        <v>1696</v>
      </c>
      <c r="V1851" t="s">
        <v>1741</v>
      </c>
      <c r="W1851" t="s">
        <v>1742</v>
      </c>
      <c r="X1851" t="s">
        <v>1739</v>
      </c>
    </row>
    <row r="1852" spans="1:24" x14ac:dyDescent="0.3">
      <c r="A1852" t="s">
        <v>3659</v>
      </c>
      <c r="B1852" s="2">
        <v>45465</v>
      </c>
      <c r="C1852" t="s">
        <v>388</v>
      </c>
      <c r="D1852" t="s">
        <v>1623</v>
      </c>
      <c r="E1852" t="s">
        <v>1744</v>
      </c>
      <c r="F1852" s="4">
        <v>1</v>
      </c>
      <c r="G1852">
        <v>780.24</v>
      </c>
      <c r="H1852">
        <v>0.04</v>
      </c>
      <c r="I1852" t="s">
        <v>1812</v>
      </c>
      <c r="J1852">
        <v>749.03039999999999</v>
      </c>
      <c r="K1852" t="s">
        <v>389</v>
      </c>
      <c r="L1852">
        <v>51</v>
      </c>
      <c r="M1852" t="s">
        <v>9</v>
      </c>
      <c r="N1852" t="s">
        <v>390</v>
      </c>
      <c r="O1852" t="s">
        <v>155</v>
      </c>
      <c r="P1852" t="s">
        <v>12</v>
      </c>
      <c r="Q1852" t="s">
        <v>31</v>
      </c>
      <c r="R1852" t="s">
        <v>3876</v>
      </c>
      <c r="S1852" t="s">
        <v>1530</v>
      </c>
      <c r="T1852" t="s">
        <v>3815</v>
      </c>
      <c r="U1852" t="s">
        <v>1624</v>
      </c>
      <c r="V1852" t="s">
        <v>1745</v>
      </c>
      <c r="W1852" t="s">
        <v>1746</v>
      </c>
      <c r="X1852" t="s">
        <v>1748</v>
      </c>
    </row>
    <row r="1853" spans="1:24" x14ac:dyDescent="0.3">
      <c r="A1853" t="s">
        <v>3660</v>
      </c>
      <c r="B1853" s="2">
        <v>45552</v>
      </c>
      <c r="C1853" t="s">
        <v>373</v>
      </c>
      <c r="D1853" t="s">
        <v>1671</v>
      </c>
      <c r="E1853" t="s">
        <v>1787</v>
      </c>
      <c r="F1853" s="4">
        <v>4</v>
      </c>
      <c r="G1853">
        <v>579.24</v>
      </c>
      <c r="H1853">
        <v>0.04</v>
      </c>
      <c r="I1853" t="s">
        <v>1812</v>
      </c>
      <c r="J1853">
        <v>2224.2815999999998</v>
      </c>
      <c r="K1853" t="s">
        <v>374</v>
      </c>
      <c r="L1853">
        <v>38</v>
      </c>
      <c r="M1853" t="s">
        <v>9</v>
      </c>
      <c r="N1853" t="s">
        <v>375</v>
      </c>
      <c r="O1853" t="s">
        <v>18</v>
      </c>
      <c r="P1853" t="s">
        <v>12</v>
      </c>
      <c r="Q1853" t="s">
        <v>19</v>
      </c>
      <c r="R1853" t="s">
        <v>3903</v>
      </c>
      <c r="S1853" t="s">
        <v>1527</v>
      </c>
      <c r="T1853" t="s">
        <v>3847</v>
      </c>
      <c r="U1853" t="s">
        <v>1672</v>
      </c>
      <c r="V1853" t="s">
        <v>1741</v>
      </c>
      <c r="W1853" t="s">
        <v>1742</v>
      </c>
      <c r="X1853" t="s">
        <v>1739</v>
      </c>
    </row>
    <row r="1854" spans="1:24" x14ac:dyDescent="0.3">
      <c r="A1854" t="s">
        <v>3661</v>
      </c>
      <c r="B1854" s="2">
        <v>45635</v>
      </c>
      <c r="C1854" t="s">
        <v>1147</v>
      </c>
      <c r="D1854" t="s">
        <v>1529</v>
      </c>
      <c r="E1854" t="s">
        <v>1744</v>
      </c>
      <c r="F1854" s="4">
        <v>3</v>
      </c>
      <c r="G1854">
        <v>268.95</v>
      </c>
      <c r="H1854">
        <v>0.04</v>
      </c>
      <c r="I1854" t="s">
        <v>1809</v>
      </c>
      <c r="J1854">
        <v>774.57599999999991</v>
      </c>
      <c r="K1854" t="s">
        <v>1148</v>
      </c>
      <c r="L1854">
        <v>28</v>
      </c>
      <c r="M1854" t="s">
        <v>9</v>
      </c>
      <c r="N1854" t="s">
        <v>1149</v>
      </c>
      <c r="O1854" t="s">
        <v>47</v>
      </c>
      <c r="P1854" t="s">
        <v>12</v>
      </c>
      <c r="Q1854" t="s">
        <v>19</v>
      </c>
      <c r="R1854" t="s">
        <v>3812</v>
      </c>
      <c r="S1854" t="s">
        <v>1530</v>
      </c>
      <c r="T1854" t="s">
        <v>3813</v>
      </c>
      <c r="U1854" t="s">
        <v>1531</v>
      </c>
      <c r="V1854" t="s">
        <v>1745</v>
      </c>
      <c r="W1854" t="s">
        <v>1746</v>
      </c>
      <c r="X1854" t="s">
        <v>1748</v>
      </c>
    </row>
    <row r="1855" spans="1:24" x14ac:dyDescent="0.3">
      <c r="A1855" t="s">
        <v>3662</v>
      </c>
      <c r="B1855" s="2">
        <v>45740</v>
      </c>
      <c r="C1855" t="s">
        <v>953</v>
      </c>
      <c r="D1855" t="s">
        <v>1538</v>
      </c>
      <c r="E1855" t="s">
        <v>1752</v>
      </c>
      <c r="F1855" s="4">
        <v>1</v>
      </c>
      <c r="G1855">
        <v>47.47</v>
      </c>
      <c r="H1855">
        <v>0.28000000000000003</v>
      </c>
      <c r="I1855" t="s">
        <v>1807</v>
      </c>
      <c r="J1855">
        <v>34.178400000000003</v>
      </c>
      <c r="K1855" t="s">
        <v>954</v>
      </c>
      <c r="L1855">
        <v>44</v>
      </c>
      <c r="M1855" t="s">
        <v>9</v>
      </c>
      <c r="N1855" t="s">
        <v>955</v>
      </c>
      <c r="O1855" t="s">
        <v>74</v>
      </c>
      <c r="P1855" t="s">
        <v>12</v>
      </c>
      <c r="Q1855" t="s">
        <v>19</v>
      </c>
      <c r="R1855" t="s">
        <v>3880</v>
      </c>
      <c r="S1855" t="s">
        <v>1541</v>
      </c>
      <c r="T1855" t="s">
        <v>3881</v>
      </c>
      <c r="U1855" t="s">
        <v>1630</v>
      </c>
      <c r="V1855" t="s">
        <v>1753</v>
      </c>
      <c r="W1855" t="s">
        <v>1746</v>
      </c>
      <c r="X1855" t="s">
        <v>1755</v>
      </c>
    </row>
    <row r="1856" spans="1:24" x14ac:dyDescent="0.3">
      <c r="A1856" t="s">
        <v>3663</v>
      </c>
      <c r="B1856" s="2">
        <v>45796</v>
      </c>
      <c r="C1856" t="s">
        <v>814</v>
      </c>
      <c r="D1856" t="s">
        <v>1597</v>
      </c>
      <c r="E1856" t="s">
        <v>1790</v>
      </c>
      <c r="F1856" s="4">
        <v>3</v>
      </c>
      <c r="G1856">
        <v>858.81</v>
      </c>
      <c r="H1856">
        <v>7.0000000000000007E-2</v>
      </c>
      <c r="I1856" t="s">
        <v>1807</v>
      </c>
      <c r="J1856">
        <v>2396.0799000000002</v>
      </c>
      <c r="K1856" t="s">
        <v>815</v>
      </c>
      <c r="L1856">
        <v>24</v>
      </c>
      <c r="M1856" t="s">
        <v>16</v>
      </c>
      <c r="N1856" t="s">
        <v>816</v>
      </c>
      <c r="O1856" t="s">
        <v>709</v>
      </c>
      <c r="P1856" t="s">
        <v>12</v>
      </c>
      <c r="Q1856" t="s">
        <v>31</v>
      </c>
      <c r="R1856" t="s">
        <v>3861</v>
      </c>
      <c r="S1856" t="s">
        <v>1527</v>
      </c>
      <c r="T1856" t="s">
        <v>3836</v>
      </c>
      <c r="U1856" t="s">
        <v>1598</v>
      </c>
      <c r="V1856" t="s">
        <v>1741</v>
      </c>
      <c r="W1856" t="s">
        <v>1742</v>
      </c>
      <c r="X1856" t="s">
        <v>1739</v>
      </c>
    </row>
    <row r="1857" spans="1:24" x14ac:dyDescent="0.3">
      <c r="A1857" t="s">
        <v>3664</v>
      </c>
      <c r="B1857" s="2">
        <v>45710</v>
      </c>
      <c r="C1857" t="s">
        <v>968</v>
      </c>
      <c r="D1857" t="s">
        <v>1569</v>
      </c>
      <c r="E1857" t="s">
        <v>1772</v>
      </c>
      <c r="F1857" s="4">
        <v>3</v>
      </c>
      <c r="G1857">
        <v>569.98</v>
      </c>
      <c r="H1857">
        <v>0.05</v>
      </c>
      <c r="I1857" t="s">
        <v>1807</v>
      </c>
      <c r="J1857">
        <v>1624.443</v>
      </c>
      <c r="K1857" t="s">
        <v>969</v>
      </c>
      <c r="L1857">
        <v>35</v>
      </c>
      <c r="M1857" t="s">
        <v>9</v>
      </c>
      <c r="N1857" t="s">
        <v>970</v>
      </c>
      <c r="O1857" t="s">
        <v>170</v>
      </c>
      <c r="P1857" t="s">
        <v>12</v>
      </c>
      <c r="Q1857" t="s">
        <v>31</v>
      </c>
      <c r="R1857" t="s">
        <v>3843</v>
      </c>
      <c r="S1857" t="s">
        <v>1549</v>
      </c>
      <c r="T1857" t="s">
        <v>3844</v>
      </c>
      <c r="U1857" t="s">
        <v>1570</v>
      </c>
      <c r="V1857" t="s">
        <v>1741</v>
      </c>
      <c r="W1857" t="s">
        <v>1742</v>
      </c>
      <c r="X1857" t="s">
        <v>1739</v>
      </c>
    </row>
    <row r="1858" spans="1:24" x14ac:dyDescent="0.3">
      <c r="A1858" t="s">
        <v>3665</v>
      </c>
      <c r="B1858" s="2">
        <v>45596</v>
      </c>
      <c r="C1858" t="s">
        <v>1018</v>
      </c>
      <c r="D1858" t="s">
        <v>1679</v>
      </c>
      <c r="E1858" t="s">
        <v>1777</v>
      </c>
      <c r="F1858" s="4">
        <v>3</v>
      </c>
      <c r="G1858">
        <v>306.52</v>
      </c>
      <c r="H1858">
        <v>0.01</v>
      </c>
      <c r="I1858" t="s">
        <v>1812</v>
      </c>
      <c r="J1858">
        <v>910.36439999999993</v>
      </c>
      <c r="K1858" t="s">
        <v>1019</v>
      </c>
      <c r="L1858">
        <v>46</v>
      </c>
      <c r="M1858" t="s">
        <v>9</v>
      </c>
      <c r="N1858" t="s">
        <v>1020</v>
      </c>
      <c r="O1858" t="s">
        <v>58</v>
      </c>
      <c r="P1858" t="s">
        <v>12</v>
      </c>
      <c r="Q1858" t="s">
        <v>26</v>
      </c>
      <c r="R1858" t="s">
        <v>3907</v>
      </c>
      <c r="S1858" t="s">
        <v>1546</v>
      </c>
      <c r="T1858" t="s">
        <v>3826</v>
      </c>
      <c r="U1858" t="s">
        <v>1680</v>
      </c>
      <c r="V1858" t="s">
        <v>1741</v>
      </c>
      <c r="W1858" t="s">
        <v>1742</v>
      </c>
      <c r="X1858" t="s">
        <v>1739</v>
      </c>
    </row>
    <row r="1859" spans="1:24" x14ac:dyDescent="0.3">
      <c r="A1859" t="s">
        <v>3666</v>
      </c>
      <c r="B1859" s="2">
        <v>45354</v>
      </c>
      <c r="C1859" t="s">
        <v>235</v>
      </c>
      <c r="D1859" t="s">
        <v>1643</v>
      </c>
      <c r="E1859" t="s">
        <v>1780</v>
      </c>
      <c r="F1859" s="4">
        <v>3</v>
      </c>
      <c r="G1859">
        <v>184.67</v>
      </c>
      <c r="H1859">
        <v>0.03</v>
      </c>
      <c r="I1859" t="s">
        <v>1812</v>
      </c>
      <c r="J1859">
        <v>537.38969999999995</v>
      </c>
      <c r="K1859" t="s">
        <v>236</v>
      </c>
      <c r="L1859">
        <v>21</v>
      </c>
      <c r="M1859" t="s">
        <v>16</v>
      </c>
      <c r="N1859" t="s">
        <v>237</v>
      </c>
      <c r="O1859" t="s">
        <v>133</v>
      </c>
      <c r="P1859" t="s">
        <v>12</v>
      </c>
      <c r="Q1859" t="s">
        <v>13</v>
      </c>
      <c r="R1859" t="s">
        <v>3888</v>
      </c>
      <c r="S1859" t="s">
        <v>1527</v>
      </c>
      <c r="T1859" t="s">
        <v>3836</v>
      </c>
      <c r="U1859" t="s">
        <v>1644</v>
      </c>
      <c r="V1859" t="s">
        <v>1741</v>
      </c>
      <c r="W1859" t="s">
        <v>1742</v>
      </c>
      <c r="X1859" t="s">
        <v>1739</v>
      </c>
    </row>
    <row r="1860" spans="1:24" x14ac:dyDescent="0.3">
      <c r="A1860" t="s">
        <v>3667</v>
      </c>
      <c r="B1860" s="2">
        <v>45428</v>
      </c>
      <c r="C1860" t="s">
        <v>1467</v>
      </c>
      <c r="D1860" t="s">
        <v>1583</v>
      </c>
      <c r="E1860" t="s">
        <v>1756</v>
      </c>
      <c r="F1860" s="4">
        <v>4</v>
      </c>
      <c r="G1860">
        <v>189.56</v>
      </c>
      <c r="H1860">
        <v>0</v>
      </c>
      <c r="I1860" t="s">
        <v>1812</v>
      </c>
      <c r="J1860">
        <v>758.24</v>
      </c>
      <c r="K1860" t="s">
        <v>1468</v>
      </c>
      <c r="L1860">
        <v>48</v>
      </c>
      <c r="M1860" t="s">
        <v>9</v>
      </c>
      <c r="N1860" t="s">
        <v>1469</v>
      </c>
      <c r="O1860" t="s">
        <v>582</v>
      </c>
      <c r="P1860" t="s">
        <v>12</v>
      </c>
      <c r="Q1860" t="s">
        <v>19</v>
      </c>
      <c r="R1860" t="s">
        <v>3853</v>
      </c>
      <c r="S1860" t="s">
        <v>1546</v>
      </c>
      <c r="T1860" t="s">
        <v>3826</v>
      </c>
      <c r="U1860" t="s">
        <v>1584</v>
      </c>
      <c r="V1860" t="s">
        <v>1757</v>
      </c>
      <c r="W1860" t="s">
        <v>1742</v>
      </c>
      <c r="X1860" t="s">
        <v>1748</v>
      </c>
    </row>
    <row r="1861" spans="1:24" x14ac:dyDescent="0.3">
      <c r="A1861" t="s">
        <v>3668</v>
      </c>
      <c r="B1861" s="2">
        <v>45511</v>
      </c>
      <c r="C1861" t="s">
        <v>672</v>
      </c>
      <c r="D1861" t="s">
        <v>1681</v>
      </c>
      <c r="E1861" t="s">
        <v>1756</v>
      </c>
      <c r="F1861" s="4">
        <v>1</v>
      </c>
      <c r="G1861">
        <v>805.24</v>
      </c>
      <c r="H1861">
        <v>0.04</v>
      </c>
      <c r="I1861" t="s">
        <v>1809</v>
      </c>
      <c r="J1861">
        <v>773.03039999999999</v>
      </c>
      <c r="K1861" t="s">
        <v>673</v>
      </c>
      <c r="L1861">
        <v>50</v>
      </c>
      <c r="M1861" t="s">
        <v>16</v>
      </c>
      <c r="N1861" t="s">
        <v>674</v>
      </c>
      <c r="O1861" t="s">
        <v>323</v>
      </c>
      <c r="P1861" t="s">
        <v>12</v>
      </c>
      <c r="Q1861" t="s">
        <v>19</v>
      </c>
      <c r="R1861" t="s">
        <v>3908</v>
      </c>
      <c r="S1861" t="s">
        <v>1530</v>
      </c>
      <c r="T1861" t="s">
        <v>3866</v>
      </c>
      <c r="U1861" t="s">
        <v>1682</v>
      </c>
      <c r="V1861" t="s">
        <v>1757</v>
      </c>
      <c r="W1861" t="s">
        <v>1742</v>
      </c>
      <c r="X1861" t="s">
        <v>1748</v>
      </c>
    </row>
    <row r="1862" spans="1:24" x14ac:dyDescent="0.3">
      <c r="A1862" t="s">
        <v>3669</v>
      </c>
      <c r="B1862" s="2">
        <v>45549</v>
      </c>
      <c r="C1862" t="s">
        <v>613</v>
      </c>
      <c r="D1862" t="s">
        <v>1639</v>
      </c>
      <c r="E1862" t="s">
        <v>1790</v>
      </c>
      <c r="F1862" s="4">
        <v>3</v>
      </c>
      <c r="G1862">
        <v>683.74</v>
      </c>
      <c r="H1862">
        <v>0.24</v>
      </c>
      <c r="I1862" t="s">
        <v>1807</v>
      </c>
      <c r="J1862">
        <v>1558.9272000000001</v>
      </c>
      <c r="K1862" t="s">
        <v>614</v>
      </c>
      <c r="L1862">
        <v>29</v>
      </c>
      <c r="M1862" t="s">
        <v>9</v>
      </c>
      <c r="N1862" t="s">
        <v>615</v>
      </c>
      <c r="O1862" t="s">
        <v>230</v>
      </c>
      <c r="P1862" t="s">
        <v>12</v>
      </c>
      <c r="Q1862" t="s">
        <v>31</v>
      </c>
      <c r="R1862" t="s">
        <v>3886</v>
      </c>
      <c r="S1862" t="s">
        <v>1549</v>
      </c>
      <c r="T1862" t="s">
        <v>3820</v>
      </c>
      <c r="U1862" t="s">
        <v>1640</v>
      </c>
      <c r="V1862" t="s">
        <v>1741</v>
      </c>
      <c r="W1862" t="s">
        <v>1742</v>
      </c>
      <c r="X1862" t="s">
        <v>1739</v>
      </c>
    </row>
    <row r="1863" spans="1:24" x14ac:dyDescent="0.3">
      <c r="A1863" t="s">
        <v>3670</v>
      </c>
      <c r="B1863" s="2">
        <v>45573</v>
      </c>
      <c r="C1863" t="s">
        <v>678</v>
      </c>
      <c r="D1863" t="s">
        <v>1643</v>
      </c>
      <c r="E1863" t="s">
        <v>1793</v>
      </c>
      <c r="F1863" s="4">
        <v>3</v>
      </c>
      <c r="G1863">
        <v>439.21</v>
      </c>
      <c r="H1863">
        <v>0.28000000000000003</v>
      </c>
      <c r="I1863" t="s">
        <v>1812</v>
      </c>
      <c r="J1863">
        <v>948.69359999999983</v>
      </c>
      <c r="K1863" t="s">
        <v>679</v>
      </c>
      <c r="L1863">
        <v>20</v>
      </c>
      <c r="M1863" t="s">
        <v>16</v>
      </c>
      <c r="N1863" t="s">
        <v>680</v>
      </c>
      <c r="O1863" t="s">
        <v>81</v>
      </c>
      <c r="P1863" t="s">
        <v>12</v>
      </c>
      <c r="Q1863" t="s">
        <v>31</v>
      </c>
      <c r="R1863" t="s">
        <v>3888</v>
      </c>
      <c r="S1863" t="s">
        <v>1527</v>
      </c>
      <c r="T1863" t="s">
        <v>3836</v>
      </c>
      <c r="U1863" t="s">
        <v>1644</v>
      </c>
      <c r="V1863" t="s">
        <v>1741</v>
      </c>
      <c r="W1863" t="s">
        <v>1742</v>
      </c>
      <c r="X1863" t="s">
        <v>1739</v>
      </c>
    </row>
    <row r="1864" spans="1:24" x14ac:dyDescent="0.3">
      <c r="A1864" t="s">
        <v>3671</v>
      </c>
      <c r="B1864" s="2">
        <v>45904</v>
      </c>
      <c r="C1864" t="s">
        <v>409</v>
      </c>
      <c r="D1864" t="s">
        <v>1663</v>
      </c>
      <c r="E1864" t="s">
        <v>1759</v>
      </c>
      <c r="F1864" s="4">
        <v>1</v>
      </c>
      <c r="G1864">
        <v>126.92</v>
      </c>
      <c r="H1864">
        <v>0.24</v>
      </c>
      <c r="I1864" t="s">
        <v>1812</v>
      </c>
      <c r="J1864">
        <v>96.459199999999996</v>
      </c>
      <c r="K1864" t="s">
        <v>410</v>
      </c>
      <c r="L1864">
        <v>44</v>
      </c>
      <c r="M1864" t="s">
        <v>16</v>
      </c>
      <c r="N1864" t="s">
        <v>411</v>
      </c>
      <c r="O1864" t="s">
        <v>234</v>
      </c>
      <c r="P1864" t="s">
        <v>12</v>
      </c>
      <c r="Q1864" t="s">
        <v>26</v>
      </c>
      <c r="R1864" t="s">
        <v>3898</v>
      </c>
      <c r="S1864" t="s">
        <v>1541</v>
      </c>
      <c r="T1864" t="s">
        <v>3833</v>
      </c>
      <c r="U1864" t="s">
        <v>1664</v>
      </c>
      <c r="V1864" t="s">
        <v>1760</v>
      </c>
      <c r="W1864" t="s">
        <v>1737</v>
      </c>
      <c r="X1864" t="s">
        <v>1755</v>
      </c>
    </row>
    <row r="1865" spans="1:24" x14ac:dyDescent="0.3">
      <c r="A1865" t="s">
        <v>3672</v>
      </c>
      <c r="B1865" s="2">
        <v>45489</v>
      </c>
      <c r="C1865" t="s">
        <v>27</v>
      </c>
      <c r="D1865" t="s">
        <v>1677</v>
      </c>
      <c r="E1865" t="s">
        <v>1752</v>
      </c>
      <c r="F1865" s="4">
        <v>4</v>
      </c>
      <c r="G1865">
        <v>834.7</v>
      </c>
      <c r="H1865">
        <v>0.14000000000000001</v>
      </c>
      <c r="I1865" t="s">
        <v>1807</v>
      </c>
      <c r="J1865">
        <v>2871.3679999999999</v>
      </c>
      <c r="K1865" t="s">
        <v>28</v>
      </c>
      <c r="L1865">
        <v>24</v>
      </c>
      <c r="M1865" t="s">
        <v>9</v>
      </c>
      <c r="N1865" t="s">
        <v>29</v>
      </c>
      <c r="O1865" t="s">
        <v>30</v>
      </c>
      <c r="P1865" t="s">
        <v>12</v>
      </c>
      <c r="Q1865" t="s">
        <v>31</v>
      </c>
      <c r="R1865" t="s">
        <v>3906</v>
      </c>
      <c r="S1865" t="s">
        <v>1549</v>
      </c>
      <c r="T1865" t="s">
        <v>3859</v>
      </c>
      <c r="U1865" t="s">
        <v>1678</v>
      </c>
      <c r="V1865" t="s">
        <v>1753</v>
      </c>
      <c r="W1865" t="s">
        <v>1746</v>
      </c>
      <c r="X1865" t="s">
        <v>1755</v>
      </c>
    </row>
    <row r="1866" spans="1:24" x14ac:dyDescent="0.3">
      <c r="A1866" t="s">
        <v>3673</v>
      </c>
      <c r="B1866" s="2">
        <v>45909</v>
      </c>
      <c r="C1866" t="s">
        <v>1060</v>
      </c>
      <c r="D1866" t="s">
        <v>1615</v>
      </c>
      <c r="E1866" t="s">
        <v>1775</v>
      </c>
      <c r="F1866" s="4">
        <v>2</v>
      </c>
      <c r="G1866">
        <v>271.88</v>
      </c>
      <c r="H1866">
        <v>0.11</v>
      </c>
      <c r="I1866" t="s">
        <v>1812</v>
      </c>
      <c r="J1866">
        <v>483.94639999999998</v>
      </c>
      <c r="K1866" t="s">
        <v>1061</v>
      </c>
      <c r="L1866">
        <v>30</v>
      </c>
      <c r="M1866" t="s">
        <v>16</v>
      </c>
      <c r="N1866" t="s">
        <v>1062</v>
      </c>
      <c r="O1866" t="s">
        <v>191</v>
      </c>
      <c r="P1866" t="s">
        <v>12</v>
      </c>
      <c r="Q1866" t="s">
        <v>26</v>
      </c>
      <c r="R1866" t="s">
        <v>3872</v>
      </c>
      <c r="S1866" t="s">
        <v>1546</v>
      </c>
      <c r="T1866" t="s">
        <v>3820</v>
      </c>
      <c r="U1866" t="s">
        <v>1616</v>
      </c>
      <c r="V1866" t="s">
        <v>1741</v>
      </c>
      <c r="W1866" t="s">
        <v>1742</v>
      </c>
      <c r="X1866" t="s">
        <v>1739</v>
      </c>
    </row>
    <row r="1867" spans="1:24" x14ac:dyDescent="0.3">
      <c r="A1867" t="s">
        <v>3674</v>
      </c>
      <c r="B1867" s="2">
        <v>45720</v>
      </c>
      <c r="C1867" t="s">
        <v>1461</v>
      </c>
      <c r="D1867" t="s">
        <v>1553</v>
      </c>
      <c r="E1867" t="s">
        <v>1740</v>
      </c>
      <c r="F1867" s="4">
        <v>4</v>
      </c>
      <c r="G1867">
        <v>972.14</v>
      </c>
      <c r="H1867">
        <v>0.25</v>
      </c>
      <c r="I1867" t="s">
        <v>1807</v>
      </c>
      <c r="J1867">
        <v>2916.42</v>
      </c>
      <c r="K1867" t="s">
        <v>1462</v>
      </c>
      <c r="L1867">
        <v>21</v>
      </c>
      <c r="M1867" t="s">
        <v>9</v>
      </c>
      <c r="N1867" t="s">
        <v>1463</v>
      </c>
      <c r="O1867" t="s">
        <v>247</v>
      </c>
      <c r="P1867" t="s">
        <v>12</v>
      </c>
      <c r="Q1867" t="s">
        <v>26</v>
      </c>
      <c r="R1867" t="s">
        <v>3831</v>
      </c>
      <c r="S1867" t="s">
        <v>1546</v>
      </c>
      <c r="T1867" t="s">
        <v>3820</v>
      </c>
      <c r="U1867" t="s">
        <v>1554</v>
      </c>
      <c r="V1867" t="s">
        <v>1741</v>
      </c>
      <c r="W1867" t="s">
        <v>1742</v>
      </c>
      <c r="X1867" t="s">
        <v>1739</v>
      </c>
    </row>
    <row r="1868" spans="1:24" x14ac:dyDescent="0.3">
      <c r="A1868" t="s">
        <v>3675</v>
      </c>
      <c r="B1868" s="2">
        <v>45831</v>
      </c>
      <c r="C1868" t="s">
        <v>330</v>
      </c>
      <c r="D1868" t="s">
        <v>1617</v>
      </c>
      <c r="E1868" t="s">
        <v>1752</v>
      </c>
      <c r="F1868" s="4">
        <v>3</v>
      </c>
      <c r="G1868">
        <v>523.66</v>
      </c>
      <c r="H1868">
        <v>0.27</v>
      </c>
      <c r="I1868" t="s">
        <v>1809</v>
      </c>
      <c r="J1868">
        <v>1146.8154</v>
      </c>
      <c r="K1868" t="s">
        <v>331</v>
      </c>
      <c r="L1868">
        <v>43</v>
      </c>
      <c r="M1868" t="s">
        <v>16</v>
      </c>
      <c r="N1868" t="s">
        <v>332</v>
      </c>
      <c r="O1868" t="s">
        <v>312</v>
      </c>
      <c r="P1868" t="s">
        <v>12</v>
      </c>
      <c r="Q1868" t="s">
        <v>13</v>
      </c>
      <c r="R1868" t="s">
        <v>3873</v>
      </c>
      <c r="S1868" t="s">
        <v>1546</v>
      </c>
      <c r="T1868" t="s">
        <v>3811</v>
      </c>
      <c r="U1868" t="s">
        <v>1618</v>
      </c>
      <c r="V1868" t="s">
        <v>1753</v>
      </c>
      <c r="W1868" t="s">
        <v>1746</v>
      </c>
      <c r="X1868" t="s">
        <v>1755</v>
      </c>
    </row>
    <row r="1869" spans="1:24" x14ac:dyDescent="0.3">
      <c r="A1869" t="s">
        <v>3676</v>
      </c>
      <c r="B1869" s="2">
        <v>45602</v>
      </c>
      <c r="C1869" t="s">
        <v>494</v>
      </c>
      <c r="D1869" t="s">
        <v>1659</v>
      </c>
      <c r="E1869" t="s">
        <v>1744</v>
      </c>
      <c r="F1869" s="4">
        <v>4</v>
      </c>
      <c r="G1869">
        <v>838.99</v>
      </c>
      <c r="H1869">
        <v>0.16</v>
      </c>
      <c r="I1869" t="s">
        <v>1807</v>
      </c>
      <c r="J1869">
        <v>2819.0064000000002</v>
      </c>
      <c r="K1869" t="s">
        <v>495</v>
      </c>
      <c r="L1869">
        <v>33</v>
      </c>
      <c r="M1869" t="s">
        <v>9</v>
      </c>
      <c r="N1869" t="s">
        <v>496</v>
      </c>
      <c r="O1869" t="s">
        <v>319</v>
      </c>
      <c r="P1869" t="s">
        <v>12</v>
      </c>
      <c r="Q1869" t="s">
        <v>26</v>
      </c>
      <c r="R1869" t="s">
        <v>3896</v>
      </c>
      <c r="S1869" t="s">
        <v>1541</v>
      </c>
      <c r="T1869" t="s">
        <v>3878</v>
      </c>
      <c r="U1869" t="s">
        <v>1660</v>
      </c>
      <c r="V1869" t="s">
        <v>1745</v>
      </c>
      <c r="W1869" t="s">
        <v>1746</v>
      </c>
      <c r="X1869" t="s">
        <v>1748</v>
      </c>
    </row>
    <row r="1870" spans="1:24" x14ac:dyDescent="0.3">
      <c r="A1870" t="s">
        <v>3677</v>
      </c>
      <c r="B1870" s="2">
        <v>45722</v>
      </c>
      <c r="C1870" t="s">
        <v>456</v>
      </c>
      <c r="D1870" t="s">
        <v>1553</v>
      </c>
      <c r="E1870" t="s">
        <v>1790</v>
      </c>
      <c r="F1870" s="4">
        <v>4</v>
      </c>
      <c r="G1870">
        <v>838.7</v>
      </c>
      <c r="H1870">
        <v>0.21</v>
      </c>
      <c r="I1870" t="s">
        <v>1812</v>
      </c>
      <c r="J1870">
        <v>2650.2919999999999</v>
      </c>
      <c r="K1870" t="s">
        <v>457</v>
      </c>
      <c r="L1870">
        <v>29</v>
      </c>
      <c r="M1870" t="s">
        <v>9</v>
      </c>
      <c r="N1870" t="s">
        <v>458</v>
      </c>
      <c r="O1870" t="s">
        <v>155</v>
      </c>
      <c r="P1870" t="s">
        <v>12</v>
      </c>
      <c r="Q1870" t="s">
        <v>19</v>
      </c>
      <c r="R1870" t="s">
        <v>3831</v>
      </c>
      <c r="S1870" t="s">
        <v>1546</v>
      </c>
      <c r="T1870" t="s">
        <v>3820</v>
      </c>
      <c r="U1870" t="s">
        <v>1554</v>
      </c>
      <c r="V1870" t="s">
        <v>1741</v>
      </c>
      <c r="W1870" t="s">
        <v>1742</v>
      </c>
      <c r="X1870" t="s">
        <v>1739</v>
      </c>
    </row>
    <row r="1871" spans="1:24" x14ac:dyDescent="0.3">
      <c r="A1871" t="s">
        <v>3678</v>
      </c>
      <c r="B1871" s="2">
        <v>45794</v>
      </c>
      <c r="C1871" t="s">
        <v>1290</v>
      </c>
      <c r="D1871" t="s">
        <v>1679</v>
      </c>
      <c r="E1871" t="s">
        <v>1765</v>
      </c>
      <c r="F1871" s="4">
        <v>3</v>
      </c>
      <c r="G1871">
        <v>943.24</v>
      </c>
      <c r="H1871">
        <v>0.21</v>
      </c>
      <c r="I1871" t="s">
        <v>1807</v>
      </c>
      <c r="J1871">
        <v>2235.4787999999999</v>
      </c>
      <c r="K1871" t="s">
        <v>3949</v>
      </c>
      <c r="L1871">
        <v>45</v>
      </c>
      <c r="M1871" t="s">
        <v>16</v>
      </c>
      <c r="N1871" t="s">
        <v>1291</v>
      </c>
      <c r="O1871" t="s">
        <v>11</v>
      </c>
      <c r="P1871" t="s">
        <v>12</v>
      </c>
      <c r="Q1871" t="s">
        <v>26</v>
      </c>
      <c r="R1871" t="s">
        <v>3907</v>
      </c>
      <c r="S1871" t="s">
        <v>1546</v>
      </c>
      <c r="T1871" t="s">
        <v>3826</v>
      </c>
      <c r="U1871" t="s">
        <v>1680</v>
      </c>
      <c r="V1871" t="s">
        <v>1766</v>
      </c>
      <c r="W1871" t="s">
        <v>1767</v>
      </c>
      <c r="X1871" t="s">
        <v>1755</v>
      </c>
    </row>
    <row r="1872" spans="1:24" x14ac:dyDescent="0.3">
      <c r="A1872" t="s">
        <v>3679</v>
      </c>
      <c r="B1872" s="2">
        <v>45659</v>
      </c>
      <c r="C1872" t="s">
        <v>936</v>
      </c>
      <c r="D1872" t="s">
        <v>1526</v>
      </c>
      <c r="E1872" t="s">
        <v>1790</v>
      </c>
      <c r="F1872" s="4">
        <v>2</v>
      </c>
      <c r="G1872">
        <v>310.33</v>
      </c>
      <c r="H1872">
        <v>0.26</v>
      </c>
      <c r="I1872" t="s">
        <v>1807</v>
      </c>
      <c r="J1872">
        <v>459.28840000000002</v>
      </c>
      <c r="K1872" t="s">
        <v>937</v>
      </c>
      <c r="L1872">
        <v>29</v>
      </c>
      <c r="M1872" t="s">
        <v>9</v>
      </c>
      <c r="N1872" t="s">
        <v>938</v>
      </c>
      <c r="O1872" t="s">
        <v>323</v>
      </c>
      <c r="P1872" t="s">
        <v>12</v>
      </c>
      <c r="Q1872" t="s">
        <v>19</v>
      </c>
      <c r="R1872" t="s">
        <v>3810</v>
      </c>
      <c r="S1872" t="s">
        <v>1546</v>
      </c>
      <c r="T1872" t="s">
        <v>3811</v>
      </c>
      <c r="U1872" t="s">
        <v>1528</v>
      </c>
      <c r="V1872" t="s">
        <v>1741</v>
      </c>
      <c r="W1872" t="s">
        <v>1742</v>
      </c>
      <c r="X1872" t="s">
        <v>1739</v>
      </c>
    </row>
    <row r="1873" spans="1:24" x14ac:dyDescent="0.3">
      <c r="A1873" t="s">
        <v>3680</v>
      </c>
      <c r="B1873" s="2">
        <v>45501</v>
      </c>
      <c r="C1873" t="s">
        <v>1075</v>
      </c>
      <c r="D1873" t="s">
        <v>1621</v>
      </c>
      <c r="E1873" t="s">
        <v>1735</v>
      </c>
      <c r="F1873" s="4">
        <v>3</v>
      </c>
      <c r="G1873">
        <v>201.05</v>
      </c>
      <c r="H1873">
        <v>0.23</v>
      </c>
      <c r="I1873" t="s">
        <v>1809</v>
      </c>
      <c r="J1873">
        <v>464.42550000000011</v>
      </c>
      <c r="K1873" t="s">
        <v>1076</v>
      </c>
      <c r="L1873">
        <v>39</v>
      </c>
      <c r="M1873" t="s">
        <v>16</v>
      </c>
      <c r="N1873" t="s">
        <v>1077</v>
      </c>
      <c r="O1873" t="s">
        <v>234</v>
      </c>
      <c r="P1873" t="s">
        <v>12</v>
      </c>
      <c r="Q1873" t="s">
        <v>19</v>
      </c>
      <c r="R1873" t="s">
        <v>3875</v>
      </c>
      <c r="S1873" t="s">
        <v>1549</v>
      </c>
      <c r="T1873" t="s">
        <v>3859</v>
      </c>
      <c r="U1873" t="s">
        <v>1622</v>
      </c>
      <c r="V1873" t="s">
        <v>1736</v>
      </c>
      <c r="W1873" t="s">
        <v>1737</v>
      </c>
      <c r="X1873" t="s">
        <v>1739</v>
      </c>
    </row>
    <row r="1874" spans="1:24" x14ac:dyDescent="0.3">
      <c r="A1874" t="s">
        <v>3681</v>
      </c>
      <c r="B1874" s="2">
        <v>45408</v>
      </c>
      <c r="C1874" t="s">
        <v>800</v>
      </c>
      <c r="D1874" t="s">
        <v>1647</v>
      </c>
      <c r="E1874" t="s">
        <v>1790</v>
      </c>
      <c r="F1874" s="4">
        <v>1</v>
      </c>
      <c r="G1874">
        <v>803.37</v>
      </c>
      <c r="H1874">
        <v>0.3</v>
      </c>
      <c r="I1874" t="s">
        <v>1809</v>
      </c>
      <c r="J1874">
        <v>562.35899999999992</v>
      </c>
      <c r="K1874" t="s">
        <v>801</v>
      </c>
      <c r="L1874">
        <v>32</v>
      </c>
      <c r="M1874" t="s">
        <v>9</v>
      </c>
      <c r="N1874" t="s">
        <v>802</v>
      </c>
      <c r="O1874" t="s">
        <v>39</v>
      </c>
      <c r="P1874" t="s">
        <v>12</v>
      </c>
      <c r="Q1874" t="s">
        <v>31</v>
      </c>
      <c r="R1874" t="s">
        <v>3890</v>
      </c>
      <c r="S1874" t="s">
        <v>1530</v>
      </c>
      <c r="T1874" t="s">
        <v>3820</v>
      </c>
      <c r="U1874" t="s">
        <v>1648</v>
      </c>
      <c r="V1874" t="s">
        <v>1741</v>
      </c>
      <c r="W1874" t="s">
        <v>1742</v>
      </c>
      <c r="X1874" t="s">
        <v>1739</v>
      </c>
    </row>
    <row r="1875" spans="1:24" x14ac:dyDescent="0.3">
      <c r="A1875" t="s">
        <v>3682</v>
      </c>
      <c r="B1875" s="2">
        <v>45886</v>
      </c>
      <c r="C1875" t="s">
        <v>143</v>
      </c>
      <c r="D1875" t="s">
        <v>1653</v>
      </c>
      <c r="E1875" t="s">
        <v>1784</v>
      </c>
      <c r="F1875" s="4">
        <v>3</v>
      </c>
      <c r="G1875">
        <v>259.98</v>
      </c>
      <c r="H1875">
        <v>7.0000000000000007E-2</v>
      </c>
      <c r="I1875" t="s">
        <v>1812</v>
      </c>
      <c r="J1875">
        <v>725.3442</v>
      </c>
      <c r="K1875" t="s">
        <v>144</v>
      </c>
      <c r="L1875">
        <v>27</v>
      </c>
      <c r="M1875" t="s">
        <v>16</v>
      </c>
      <c r="N1875" t="s">
        <v>145</v>
      </c>
      <c r="O1875" t="s">
        <v>81</v>
      </c>
      <c r="P1875" t="s">
        <v>12</v>
      </c>
      <c r="Q1875" t="s">
        <v>13</v>
      </c>
      <c r="R1875" t="s">
        <v>3893</v>
      </c>
      <c r="S1875" t="s">
        <v>1549</v>
      </c>
      <c r="T1875" t="s">
        <v>3844</v>
      </c>
      <c r="U1875" t="s">
        <v>1654</v>
      </c>
      <c r="V1875" t="s">
        <v>1741</v>
      </c>
      <c r="W1875" t="s">
        <v>1742</v>
      </c>
      <c r="X1875" t="s">
        <v>1739</v>
      </c>
    </row>
    <row r="1876" spans="1:24" x14ac:dyDescent="0.3">
      <c r="A1876" t="s">
        <v>3683</v>
      </c>
      <c r="B1876" s="2">
        <v>45426</v>
      </c>
      <c r="C1876" t="s">
        <v>423</v>
      </c>
      <c r="D1876" t="s">
        <v>1532</v>
      </c>
      <c r="E1876" t="s">
        <v>1749</v>
      </c>
      <c r="F1876" s="4">
        <v>4</v>
      </c>
      <c r="G1876">
        <v>591.9</v>
      </c>
      <c r="H1876">
        <v>0.2</v>
      </c>
      <c r="I1876" t="s">
        <v>1809</v>
      </c>
      <c r="J1876">
        <v>1894.08</v>
      </c>
      <c r="K1876" t="s">
        <v>424</v>
      </c>
      <c r="L1876">
        <v>64</v>
      </c>
      <c r="M1876" t="s">
        <v>16</v>
      </c>
      <c r="N1876" t="s">
        <v>425</v>
      </c>
      <c r="O1876" t="s">
        <v>191</v>
      </c>
      <c r="P1876" t="s">
        <v>12</v>
      </c>
      <c r="Q1876" t="s">
        <v>26</v>
      </c>
      <c r="R1876" t="s">
        <v>3843</v>
      </c>
      <c r="S1876" t="s">
        <v>1549</v>
      </c>
      <c r="T1876" t="s">
        <v>3844</v>
      </c>
      <c r="U1876" t="s">
        <v>1570</v>
      </c>
      <c r="V1876" t="s">
        <v>1750</v>
      </c>
      <c r="W1876" t="s">
        <v>1742</v>
      </c>
      <c r="X1876" t="s">
        <v>1748</v>
      </c>
    </row>
    <row r="1877" spans="1:24" x14ac:dyDescent="0.3">
      <c r="A1877" t="s">
        <v>3684</v>
      </c>
      <c r="B1877" s="2">
        <v>45730</v>
      </c>
      <c r="C1877" t="s">
        <v>127</v>
      </c>
      <c r="D1877" t="s">
        <v>1651</v>
      </c>
      <c r="E1877" t="s">
        <v>1777</v>
      </c>
      <c r="F1877" s="4">
        <v>2</v>
      </c>
      <c r="G1877">
        <v>396.9</v>
      </c>
      <c r="H1877">
        <v>0.18</v>
      </c>
      <c r="I1877" t="s">
        <v>1809</v>
      </c>
      <c r="J1877">
        <v>650.91600000000005</v>
      </c>
      <c r="K1877" t="s">
        <v>128</v>
      </c>
      <c r="L1877">
        <v>48</v>
      </c>
      <c r="M1877" t="s">
        <v>16</v>
      </c>
      <c r="N1877" t="s">
        <v>129</v>
      </c>
      <c r="O1877" t="s">
        <v>35</v>
      </c>
      <c r="P1877" t="s">
        <v>12</v>
      </c>
      <c r="Q1877" t="s">
        <v>31</v>
      </c>
      <c r="R1877" t="s">
        <v>3892</v>
      </c>
      <c r="S1877" t="s">
        <v>1541</v>
      </c>
      <c r="T1877" t="s">
        <v>3881</v>
      </c>
      <c r="U1877" t="s">
        <v>1652</v>
      </c>
      <c r="V1877" t="s">
        <v>1741</v>
      </c>
      <c r="W1877" t="s">
        <v>1742</v>
      </c>
      <c r="X1877" t="s">
        <v>1739</v>
      </c>
    </row>
    <row r="1878" spans="1:24" x14ac:dyDescent="0.3">
      <c r="A1878" t="s">
        <v>3685</v>
      </c>
      <c r="B1878" s="2">
        <v>45731</v>
      </c>
      <c r="C1878" t="s">
        <v>1384</v>
      </c>
      <c r="D1878" t="s">
        <v>1727</v>
      </c>
      <c r="E1878" t="s">
        <v>1744</v>
      </c>
      <c r="F1878" s="4">
        <v>1</v>
      </c>
      <c r="G1878">
        <v>176.84</v>
      </c>
      <c r="H1878">
        <v>0.19</v>
      </c>
      <c r="I1878" t="s">
        <v>1807</v>
      </c>
      <c r="J1878">
        <v>143.24039999999999</v>
      </c>
      <c r="K1878" t="s">
        <v>1385</v>
      </c>
      <c r="L1878">
        <v>60</v>
      </c>
      <c r="M1878" t="s">
        <v>9</v>
      </c>
      <c r="N1878" t="s">
        <v>1386</v>
      </c>
      <c r="O1878" t="s">
        <v>99</v>
      </c>
      <c r="P1878" t="s">
        <v>12</v>
      </c>
      <c r="Q1878" t="s">
        <v>19</v>
      </c>
      <c r="R1878" t="s">
        <v>3931</v>
      </c>
      <c r="S1878" t="s">
        <v>1546</v>
      </c>
      <c r="T1878" t="s">
        <v>3826</v>
      </c>
      <c r="U1878" t="s">
        <v>1728</v>
      </c>
      <c r="V1878" t="s">
        <v>1745</v>
      </c>
      <c r="W1878" t="s">
        <v>1746</v>
      </c>
      <c r="X1878" t="s">
        <v>1748</v>
      </c>
    </row>
    <row r="1879" spans="1:24" x14ac:dyDescent="0.3">
      <c r="A1879" t="s">
        <v>3686</v>
      </c>
      <c r="B1879" s="2">
        <v>45272</v>
      </c>
      <c r="C1879" t="s">
        <v>805</v>
      </c>
      <c r="D1879" t="s">
        <v>1583</v>
      </c>
      <c r="E1879" t="s">
        <v>1735</v>
      </c>
      <c r="F1879" s="4">
        <v>2</v>
      </c>
      <c r="G1879">
        <v>614.21</v>
      </c>
      <c r="H1879">
        <v>0.11</v>
      </c>
      <c r="I1879" t="s">
        <v>1809</v>
      </c>
      <c r="J1879">
        <v>1093.2937999999999</v>
      </c>
      <c r="K1879" t="s">
        <v>806</v>
      </c>
      <c r="L1879">
        <v>21</v>
      </c>
      <c r="M1879" t="s">
        <v>9</v>
      </c>
      <c r="N1879" t="s">
        <v>807</v>
      </c>
      <c r="O1879" t="s">
        <v>162</v>
      </c>
      <c r="P1879" t="s">
        <v>12</v>
      </c>
      <c r="Q1879" t="s">
        <v>31</v>
      </c>
      <c r="R1879" t="s">
        <v>3853</v>
      </c>
      <c r="S1879" t="s">
        <v>1546</v>
      </c>
      <c r="T1879" t="s">
        <v>3826</v>
      </c>
      <c r="U1879" t="s">
        <v>1584</v>
      </c>
      <c r="V1879" t="s">
        <v>1736</v>
      </c>
      <c r="W1879" t="s">
        <v>1737</v>
      </c>
      <c r="X1879" t="s">
        <v>1739</v>
      </c>
    </row>
    <row r="1880" spans="1:24" x14ac:dyDescent="0.3">
      <c r="A1880" t="s">
        <v>3687</v>
      </c>
      <c r="B1880" s="2">
        <v>45584</v>
      </c>
      <c r="C1880" t="s">
        <v>376</v>
      </c>
      <c r="D1880" t="s">
        <v>1534</v>
      </c>
      <c r="E1880" t="s">
        <v>1762</v>
      </c>
      <c r="F1880" s="4">
        <v>3</v>
      </c>
      <c r="G1880">
        <v>604.66</v>
      </c>
      <c r="H1880">
        <v>0.18</v>
      </c>
      <c r="I1880" t="s">
        <v>1812</v>
      </c>
      <c r="J1880">
        <v>1487.4636</v>
      </c>
      <c r="K1880" t="s">
        <v>377</v>
      </c>
      <c r="L1880">
        <v>27</v>
      </c>
      <c r="M1880" t="s">
        <v>9</v>
      </c>
      <c r="N1880" t="s">
        <v>378</v>
      </c>
      <c r="O1880" t="s">
        <v>47</v>
      </c>
      <c r="P1880" t="s">
        <v>12</v>
      </c>
      <c r="Q1880" t="s">
        <v>26</v>
      </c>
      <c r="R1880" t="s">
        <v>3856</v>
      </c>
      <c r="S1880" t="s">
        <v>1527</v>
      </c>
      <c r="T1880" t="s">
        <v>3836</v>
      </c>
      <c r="U1880" t="s">
        <v>1590</v>
      </c>
      <c r="V1880" t="s">
        <v>1763</v>
      </c>
      <c r="W1880" t="s">
        <v>1746</v>
      </c>
      <c r="X1880" t="s">
        <v>1755</v>
      </c>
    </row>
    <row r="1881" spans="1:24" x14ac:dyDescent="0.3">
      <c r="A1881" t="s">
        <v>3688</v>
      </c>
      <c r="B1881" s="2">
        <v>45534</v>
      </c>
      <c r="C1881" t="s">
        <v>1513</v>
      </c>
      <c r="D1881" t="s">
        <v>1532</v>
      </c>
      <c r="E1881" t="s">
        <v>1777</v>
      </c>
      <c r="F1881" s="4">
        <v>3</v>
      </c>
      <c r="G1881">
        <v>24.29</v>
      </c>
      <c r="H1881">
        <v>0.12</v>
      </c>
      <c r="I1881" t="s">
        <v>1809</v>
      </c>
      <c r="J1881">
        <v>64.125600000000006</v>
      </c>
      <c r="K1881" t="s">
        <v>1514</v>
      </c>
      <c r="L1881">
        <v>27</v>
      </c>
      <c r="M1881" t="s">
        <v>16</v>
      </c>
      <c r="N1881" t="s">
        <v>1515</v>
      </c>
      <c r="O1881" t="s">
        <v>230</v>
      </c>
      <c r="P1881" t="s">
        <v>12</v>
      </c>
      <c r="Q1881" t="s">
        <v>31</v>
      </c>
      <c r="R1881" t="s">
        <v>3843</v>
      </c>
      <c r="S1881" t="s">
        <v>1549</v>
      </c>
      <c r="T1881" t="s">
        <v>3844</v>
      </c>
      <c r="U1881" t="s">
        <v>1570</v>
      </c>
      <c r="V1881" t="s">
        <v>1741</v>
      </c>
      <c r="W1881" t="s">
        <v>1742</v>
      </c>
      <c r="X1881" t="s">
        <v>1739</v>
      </c>
    </row>
    <row r="1882" spans="1:24" x14ac:dyDescent="0.3">
      <c r="A1882" t="s">
        <v>3689</v>
      </c>
      <c r="B1882" s="2">
        <v>45482</v>
      </c>
      <c r="C1882" t="s">
        <v>414</v>
      </c>
      <c r="D1882" t="s">
        <v>1657</v>
      </c>
      <c r="E1882" t="s">
        <v>1775</v>
      </c>
      <c r="F1882" s="4">
        <v>1</v>
      </c>
      <c r="G1882">
        <v>503.95</v>
      </c>
      <c r="H1882">
        <v>0.24</v>
      </c>
      <c r="I1882" t="s">
        <v>1809</v>
      </c>
      <c r="J1882">
        <v>383.00200000000001</v>
      </c>
      <c r="K1882" t="s">
        <v>415</v>
      </c>
      <c r="L1882">
        <v>50</v>
      </c>
      <c r="M1882" t="s">
        <v>9</v>
      </c>
      <c r="N1882" t="s">
        <v>416</v>
      </c>
      <c r="O1882" t="s">
        <v>99</v>
      </c>
      <c r="P1882" t="s">
        <v>12</v>
      </c>
      <c r="Q1882" t="s">
        <v>19</v>
      </c>
      <c r="R1882" t="s">
        <v>3895</v>
      </c>
      <c r="S1882" t="s">
        <v>1541</v>
      </c>
      <c r="T1882" t="s">
        <v>3822</v>
      </c>
      <c r="U1882" t="s">
        <v>1658</v>
      </c>
      <c r="V1882" t="s">
        <v>1741</v>
      </c>
      <c r="W1882" t="s">
        <v>1742</v>
      </c>
      <c r="X1882" t="s">
        <v>1739</v>
      </c>
    </row>
    <row r="1883" spans="1:24" x14ac:dyDescent="0.3">
      <c r="A1883" t="s">
        <v>3690</v>
      </c>
      <c r="B1883" s="2">
        <v>45475</v>
      </c>
      <c r="C1883" t="s">
        <v>995</v>
      </c>
      <c r="D1883" t="s">
        <v>1633</v>
      </c>
      <c r="E1883" t="s">
        <v>1782</v>
      </c>
      <c r="F1883" s="4">
        <v>4</v>
      </c>
      <c r="G1883">
        <v>860.78</v>
      </c>
      <c r="H1883">
        <v>0.03</v>
      </c>
      <c r="I1883" t="s">
        <v>1807</v>
      </c>
      <c r="J1883">
        <v>3339.8263999999999</v>
      </c>
      <c r="K1883" t="s">
        <v>996</v>
      </c>
      <c r="L1883">
        <v>34</v>
      </c>
      <c r="M1883" t="s">
        <v>16</v>
      </c>
      <c r="N1883" t="s">
        <v>997</v>
      </c>
      <c r="O1883" t="s">
        <v>309</v>
      </c>
      <c r="P1883" t="s">
        <v>12</v>
      </c>
      <c r="Q1883" t="s">
        <v>19</v>
      </c>
      <c r="R1883" t="s">
        <v>3883</v>
      </c>
      <c r="S1883" t="s">
        <v>1546</v>
      </c>
      <c r="T1883" t="s">
        <v>3820</v>
      </c>
      <c r="U1883" t="s">
        <v>1634</v>
      </c>
      <c r="V1883" t="s">
        <v>1741</v>
      </c>
      <c r="W1883" t="s">
        <v>1742</v>
      </c>
      <c r="X1883" t="s">
        <v>1739</v>
      </c>
    </row>
    <row r="1884" spans="1:24" x14ac:dyDescent="0.3">
      <c r="A1884" t="s">
        <v>3691</v>
      </c>
      <c r="B1884" s="2">
        <v>45234</v>
      </c>
      <c r="C1884" t="s">
        <v>640</v>
      </c>
      <c r="D1884" t="s">
        <v>1615</v>
      </c>
      <c r="E1884" t="s">
        <v>1749</v>
      </c>
      <c r="F1884" s="4">
        <v>3</v>
      </c>
      <c r="G1884">
        <v>41.97</v>
      </c>
      <c r="H1884">
        <v>0.03</v>
      </c>
      <c r="I1884" t="s">
        <v>1812</v>
      </c>
      <c r="J1884">
        <v>122.1327</v>
      </c>
      <c r="K1884" t="s">
        <v>641</v>
      </c>
      <c r="L1884">
        <v>54</v>
      </c>
      <c r="M1884" t="s">
        <v>9</v>
      </c>
      <c r="N1884" t="s">
        <v>204</v>
      </c>
      <c r="O1884" t="s">
        <v>198</v>
      </c>
      <c r="P1884" t="s">
        <v>12</v>
      </c>
      <c r="Q1884" t="s">
        <v>19</v>
      </c>
      <c r="R1884" t="s">
        <v>3872</v>
      </c>
      <c r="S1884" t="s">
        <v>1546</v>
      </c>
      <c r="T1884" t="s">
        <v>3820</v>
      </c>
      <c r="U1884" t="s">
        <v>1616</v>
      </c>
      <c r="V1884" t="s">
        <v>1750</v>
      </c>
      <c r="W1884" t="s">
        <v>1742</v>
      </c>
      <c r="X1884" t="s">
        <v>1748</v>
      </c>
    </row>
    <row r="1885" spans="1:24" x14ac:dyDescent="0.3">
      <c r="A1885" t="s">
        <v>3692</v>
      </c>
      <c r="B1885" s="2">
        <v>45397</v>
      </c>
      <c r="C1885" t="s">
        <v>134</v>
      </c>
      <c r="D1885" t="s">
        <v>1561</v>
      </c>
      <c r="E1885" t="s">
        <v>1756</v>
      </c>
      <c r="F1885" s="4">
        <v>1</v>
      </c>
      <c r="G1885">
        <v>649.59</v>
      </c>
      <c r="H1885">
        <v>0.12</v>
      </c>
      <c r="I1885" t="s">
        <v>1812</v>
      </c>
      <c r="J1885">
        <v>571.63920000000007</v>
      </c>
      <c r="K1885" t="s">
        <v>3935</v>
      </c>
      <c r="L1885">
        <v>27</v>
      </c>
      <c r="M1885" t="s">
        <v>16</v>
      </c>
      <c r="N1885" t="s">
        <v>135</v>
      </c>
      <c r="O1885" t="s">
        <v>96</v>
      </c>
      <c r="P1885" t="s">
        <v>12</v>
      </c>
      <c r="Q1885" t="s">
        <v>19</v>
      </c>
      <c r="R1885" t="s">
        <v>3837</v>
      </c>
      <c r="S1885" t="s">
        <v>1546</v>
      </c>
      <c r="T1885" t="s">
        <v>3838</v>
      </c>
      <c r="U1885" t="s">
        <v>1562</v>
      </c>
      <c r="V1885" t="s">
        <v>1757</v>
      </c>
      <c r="W1885" t="s">
        <v>1742</v>
      </c>
      <c r="X1885" t="s">
        <v>1748</v>
      </c>
    </row>
    <row r="1886" spans="1:24" x14ac:dyDescent="0.3">
      <c r="A1886" t="s">
        <v>3693</v>
      </c>
      <c r="B1886" s="2">
        <v>45502</v>
      </c>
      <c r="C1886" t="s">
        <v>199</v>
      </c>
      <c r="D1886" t="s">
        <v>1657</v>
      </c>
      <c r="E1886" t="s">
        <v>1769</v>
      </c>
      <c r="F1886" s="4">
        <v>2</v>
      </c>
      <c r="G1886">
        <v>386.09</v>
      </c>
      <c r="H1886">
        <v>0.19</v>
      </c>
      <c r="I1886" t="s">
        <v>1809</v>
      </c>
      <c r="J1886">
        <v>625.46579999999994</v>
      </c>
      <c r="K1886" t="s">
        <v>200</v>
      </c>
      <c r="L1886">
        <v>24</v>
      </c>
      <c r="M1886" t="s">
        <v>9</v>
      </c>
      <c r="N1886" t="s">
        <v>201</v>
      </c>
      <c r="O1886" t="s">
        <v>155</v>
      </c>
      <c r="P1886" t="s">
        <v>12</v>
      </c>
      <c r="Q1886" t="s">
        <v>13</v>
      </c>
      <c r="R1886" t="s">
        <v>3895</v>
      </c>
      <c r="S1886" t="s">
        <v>1541</v>
      </c>
      <c r="T1886" t="s">
        <v>3822</v>
      </c>
      <c r="U1886" t="s">
        <v>1658</v>
      </c>
      <c r="V1886" t="s">
        <v>1770</v>
      </c>
      <c r="W1886" t="s">
        <v>1746</v>
      </c>
      <c r="X1886" t="s">
        <v>1739</v>
      </c>
    </row>
    <row r="1887" spans="1:24" x14ac:dyDescent="0.3">
      <c r="A1887" t="s">
        <v>3694</v>
      </c>
      <c r="B1887" s="2">
        <v>45644</v>
      </c>
      <c r="C1887" t="s">
        <v>348</v>
      </c>
      <c r="D1887" t="s">
        <v>1633</v>
      </c>
      <c r="E1887" t="s">
        <v>1777</v>
      </c>
      <c r="F1887" s="4">
        <v>1</v>
      </c>
      <c r="G1887">
        <v>891.62</v>
      </c>
      <c r="H1887">
        <v>0.06</v>
      </c>
      <c r="I1887" t="s">
        <v>1809</v>
      </c>
      <c r="J1887">
        <v>838.12279999999998</v>
      </c>
      <c r="K1887" t="s">
        <v>349</v>
      </c>
      <c r="L1887">
        <v>53</v>
      </c>
      <c r="M1887" t="s">
        <v>16</v>
      </c>
      <c r="N1887" t="s">
        <v>350</v>
      </c>
      <c r="O1887" t="s">
        <v>234</v>
      </c>
      <c r="P1887" t="s">
        <v>12</v>
      </c>
      <c r="Q1887" t="s">
        <v>31</v>
      </c>
      <c r="R1887" t="s">
        <v>3883</v>
      </c>
      <c r="S1887" t="s">
        <v>1546</v>
      </c>
      <c r="T1887" t="s">
        <v>3820</v>
      </c>
      <c r="U1887" t="s">
        <v>1634</v>
      </c>
      <c r="V1887" t="s">
        <v>1741</v>
      </c>
      <c r="W1887" t="s">
        <v>1742</v>
      </c>
      <c r="X1887" t="s">
        <v>1739</v>
      </c>
    </row>
    <row r="1888" spans="1:24" x14ac:dyDescent="0.3">
      <c r="A1888" t="s">
        <v>3695</v>
      </c>
      <c r="B1888" s="2">
        <v>45617</v>
      </c>
      <c r="C1888" t="s">
        <v>1177</v>
      </c>
      <c r="D1888" t="s">
        <v>1659</v>
      </c>
      <c r="E1888" t="s">
        <v>1784</v>
      </c>
      <c r="F1888" s="4">
        <v>2</v>
      </c>
      <c r="G1888">
        <v>558.9</v>
      </c>
      <c r="H1888">
        <v>0.05</v>
      </c>
      <c r="I1888" t="s">
        <v>1812</v>
      </c>
      <c r="J1888">
        <v>1061.9100000000001</v>
      </c>
      <c r="K1888" t="s">
        <v>1178</v>
      </c>
      <c r="L1888">
        <v>20</v>
      </c>
      <c r="M1888" t="s">
        <v>16</v>
      </c>
      <c r="N1888" t="s">
        <v>1179</v>
      </c>
      <c r="O1888" t="s">
        <v>22</v>
      </c>
      <c r="P1888" t="s">
        <v>12</v>
      </c>
      <c r="Q1888" t="s">
        <v>31</v>
      </c>
      <c r="R1888" t="s">
        <v>3896</v>
      </c>
      <c r="S1888" t="s">
        <v>1541</v>
      </c>
      <c r="T1888" t="s">
        <v>3878</v>
      </c>
      <c r="U1888" t="s">
        <v>1660</v>
      </c>
      <c r="V1888" t="s">
        <v>1741</v>
      </c>
      <c r="W1888" t="s">
        <v>1742</v>
      </c>
      <c r="X1888" t="s">
        <v>1739</v>
      </c>
    </row>
    <row r="1889" spans="1:24" x14ac:dyDescent="0.3">
      <c r="A1889" t="s">
        <v>3696</v>
      </c>
      <c r="B1889" s="2">
        <v>45797</v>
      </c>
      <c r="C1889" t="s">
        <v>1092</v>
      </c>
      <c r="D1889" t="s">
        <v>1529</v>
      </c>
      <c r="E1889" t="s">
        <v>1749</v>
      </c>
      <c r="F1889" s="4">
        <v>2</v>
      </c>
      <c r="G1889">
        <v>99.04</v>
      </c>
      <c r="H1889">
        <v>0.26</v>
      </c>
      <c r="I1889" t="s">
        <v>1812</v>
      </c>
      <c r="J1889">
        <v>146.57919999999999</v>
      </c>
      <c r="K1889" t="s">
        <v>1093</v>
      </c>
      <c r="L1889">
        <v>56</v>
      </c>
      <c r="M1889" t="s">
        <v>16</v>
      </c>
      <c r="N1889" t="s">
        <v>1094</v>
      </c>
      <c r="O1889" t="s">
        <v>319</v>
      </c>
      <c r="P1889" t="s">
        <v>12</v>
      </c>
      <c r="Q1889" t="s">
        <v>31</v>
      </c>
      <c r="R1889" t="s">
        <v>3812</v>
      </c>
      <c r="S1889" t="s">
        <v>1530</v>
      </c>
      <c r="T1889" t="s">
        <v>3813</v>
      </c>
      <c r="U1889" t="s">
        <v>1531</v>
      </c>
      <c r="V1889" t="s">
        <v>1750</v>
      </c>
      <c r="W1889" t="s">
        <v>1742</v>
      </c>
      <c r="X1889" t="s">
        <v>1748</v>
      </c>
    </row>
    <row r="1890" spans="1:24" x14ac:dyDescent="0.3">
      <c r="A1890" t="s">
        <v>3697</v>
      </c>
      <c r="B1890" s="2">
        <v>45740</v>
      </c>
      <c r="C1890" t="s">
        <v>914</v>
      </c>
      <c r="D1890" t="s">
        <v>1534</v>
      </c>
      <c r="E1890" t="s">
        <v>1765</v>
      </c>
      <c r="F1890" s="4">
        <v>4</v>
      </c>
      <c r="G1890">
        <v>625.13</v>
      </c>
      <c r="H1890">
        <v>0.06</v>
      </c>
      <c r="I1890" t="s">
        <v>1807</v>
      </c>
      <c r="J1890">
        <v>2350.4888000000001</v>
      </c>
      <c r="K1890" t="s">
        <v>915</v>
      </c>
      <c r="L1890">
        <v>30</v>
      </c>
      <c r="M1890" t="s">
        <v>9</v>
      </c>
      <c r="N1890" t="s">
        <v>916</v>
      </c>
      <c r="O1890" t="s">
        <v>113</v>
      </c>
      <c r="P1890" t="s">
        <v>12</v>
      </c>
      <c r="Q1890" t="s">
        <v>26</v>
      </c>
      <c r="R1890" t="s">
        <v>3856</v>
      </c>
      <c r="S1890" t="s">
        <v>1527</v>
      </c>
      <c r="T1890" t="s">
        <v>3836</v>
      </c>
      <c r="U1890" t="s">
        <v>1590</v>
      </c>
      <c r="V1890" t="s">
        <v>1766</v>
      </c>
      <c r="W1890" t="s">
        <v>1767</v>
      </c>
      <c r="X1890" t="s">
        <v>1755</v>
      </c>
    </row>
    <row r="1891" spans="1:24" x14ac:dyDescent="0.3">
      <c r="A1891" t="s">
        <v>3698</v>
      </c>
      <c r="B1891" s="2">
        <v>45824</v>
      </c>
      <c r="C1891" t="s">
        <v>143</v>
      </c>
      <c r="D1891" t="s">
        <v>1611</v>
      </c>
      <c r="E1891" t="s">
        <v>1793</v>
      </c>
      <c r="F1891" s="4">
        <v>4</v>
      </c>
      <c r="G1891">
        <v>38.380000000000003</v>
      </c>
      <c r="H1891">
        <v>0.16</v>
      </c>
      <c r="I1891" t="s">
        <v>1812</v>
      </c>
      <c r="J1891">
        <v>128.95679999999999</v>
      </c>
      <c r="K1891" t="s">
        <v>144</v>
      </c>
      <c r="L1891">
        <v>27</v>
      </c>
      <c r="M1891" t="s">
        <v>16</v>
      </c>
      <c r="N1891" t="s">
        <v>145</v>
      </c>
      <c r="O1891" t="s">
        <v>81</v>
      </c>
      <c r="P1891" t="s">
        <v>12</v>
      </c>
      <c r="Q1891" t="s">
        <v>13</v>
      </c>
      <c r="R1891" t="s">
        <v>3870</v>
      </c>
      <c r="S1891" t="s">
        <v>1546</v>
      </c>
      <c r="T1891" t="s">
        <v>3826</v>
      </c>
      <c r="U1891" t="s">
        <v>1612</v>
      </c>
      <c r="V1891" t="s">
        <v>1741</v>
      </c>
      <c r="W1891" t="s">
        <v>1742</v>
      </c>
      <c r="X1891" t="s">
        <v>1739</v>
      </c>
    </row>
    <row r="1892" spans="1:24" x14ac:dyDescent="0.3">
      <c r="A1892" t="s">
        <v>3699</v>
      </c>
      <c r="B1892" s="2">
        <v>45404</v>
      </c>
      <c r="C1892" t="s">
        <v>1496</v>
      </c>
      <c r="D1892" t="s">
        <v>1719</v>
      </c>
      <c r="E1892" t="s">
        <v>1772</v>
      </c>
      <c r="F1892" s="4">
        <v>4</v>
      </c>
      <c r="G1892">
        <v>731.72</v>
      </c>
      <c r="H1892">
        <v>0.22</v>
      </c>
      <c r="I1892" t="s">
        <v>1812</v>
      </c>
      <c r="J1892">
        <v>2282.9663999999998</v>
      </c>
      <c r="K1892" t="s">
        <v>1497</v>
      </c>
      <c r="L1892">
        <v>28</v>
      </c>
      <c r="M1892" t="s">
        <v>9</v>
      </c>
      <c r="N1892" t="s">
        <v>1498</v>
      </c>
      <c r="O1892" t="s">
        <v>247</v>
      </c>
      <c r="P1892" t="s">
        <v>12</v>
      </c>
      <c r="Q1892" t="s">
        <v>19</v>
      </c>
      <c r="R1892" t="s">
        <v>3927</v>
      </c>
      <c r="S1892" t="s">
        <v>1541</v>
      </c>
      <c r="T1892" t="s">
        <v>3822</v>
      </c>
      <c r="U1892" t="s">
        <v>1720</v>
      </c>
      <c r="V1892" t="s">
        <v>1741</v>
      </c>
      <c r="W1892" t="s">
        <v>1742</v>
      </c>
      <c r="X1892" t="s">
        <v>1739</v>
      </c>
    </row>
    <row r="1893" spans="1:24" x14ac:dyDescent="0.3">
      <c r="A1893" t="s">
        <v>3700</v>
      </c>
      <c r="B1893" s="2">
        <v>45916</v>
      </c>
      <c r="C1893" t="s">
        <v>1395</v>
      </c>
      <c r="D1893" t="s">
        <v>1693</v>
      </c>
      <c r="E1893" t="s">
        <v>1796</v>
      </c>
      <c r="F1893" s="4">
        <v>3</v>
      </c>
      <c r="G1893">
        <v>825.33</v>
      </c>
      <c r="H1893">
        <v>0.21</v>
      </c>
      <c r="I1893" t="s">
        <v>1807</v>
      </c>
      <c r="J1893">
        <v>1956.0320999999999</v>
      </c>
      <c r="K1893" t="s">
        <v>1396</v>
      </c>
      <c r="L1893">
        <v>62</v>
      </c>
      <c r="M1893" t="s">
        <v>16</v>
      </c>
      <c r="N1893" t="s">
        <v>1397</v>
      </c>
      <c r="O1893" t="s">
        <v>582</v>
      </c>
      <c r="P1893" t="s">
        <v>12</v>
      </c>
      <c r="Q1893" t="s">
        <v>19</v>
      </c>
      <c r="R1893" t="s">
        <v>3914</v>
      </c>
      <c r="S1893" t="s">
        <v>1549</v>
      </c>
      <c r="T1893" t="s">
        <v>3844</v>
      </c>
      <c r="U1893" t="s">
        <v>1694</v>
      </c>
      <c r="V1893" t="s">
        <v>1741</v>
      </c>
      <c r="W1893" t="s">
        <v>1742</v>
      </c>
      <c r="X1893" t="s">
        <v>1739</v>
      </c>
    </row>
    <row r="1894" spans="1:24" x14ac:dyDescent="0.3">
      <c r="A1894" t="s">
        <v>3701</v>
      </c>
      <c r="B1894" s="2">
        <v>45269</v>
      </c>
      <c r="C1894" t="s">
        <v>218</v>
      </c>
      <c r="D1894" t="s">
        <v>1671</v>
      </c>
      <c r="E1894" t="s">
        <v>1782</v>
      </c>
      <c r="F1894" s="4">
        <v>2</v>
      </c>
      <c r="G1894">
        <v>47.3</v>
      </c>
      <c r="H1894">
        <v>0.01</v>
      </c>
      <c r="I1894" t="s">
        <v>1809</v>
      </c>
      <c r="J1894">
        <v>93.653999999999996</v>
      </c>
      <c r="K1894" t="s">
        <v>219</v>
      </c>
      <c r="L1894">
        <v>22</v>
      </c>
      <c r="M1894" t="s">
        <v>16</v>
      </c>
      <c r="N1894" t="s">
        <v>220</v>
      </c>
      <c r="O1894" t="s">
        <v>66</v>
      </c>
      <c r="P1894" t="s">
        <v>12</v>
      </c>
      <c r="Q1894" t="s">
        <v>19</v>
      </c>
      <c r="R1894" t="s">
        <v>3903</v>
      </c>
      <c r="S1894" t="s">
        <v>1527</v>
      </c>
      <c r="T1894" t="s">
        <v>3847</v>
      </c>
      <c r="U1894" t="s">
        <v>1672</v>
      </c>
      <c r="V1894" t="s">
        <v>1741</v>
      </c>
      <c r="W1894" t="s">
        <v>1742</v>
      </c>
      <c r="X1894" t="s">
        <v>1739</v>
      </c>
    </row>
    <row r="1895" spans="1:24" x14ac:dyDescent="0.3">
      <c r="A1895" t="s">
        <v>3702</v>
      </c>
      <c r="B1895" s="2">
        <v>45493</v>
      </c>
      <c r="C1895" t="s">
        <v>562</v>
      </c>
      <c r="D1895" t="s">
        <v>1675</v>
      </c>
      <c r="E1895" t="s">
        <v>1790</v>
      </c>
      <c r="F1895" s="4">
        <v>1</v>
      </c>
      <c r="G1895">
        <v>389.12</v>
      </c>
      <c r="H1895">
        <v>0.18</v>
      </c>
      <c r="I1895" t="s">
        <v>1809</v>
      </c>
      <c r="J1895">
        <v>319.07839999999999</v>
      </c>
      <c r="K1895" t="s">
        <v>563</v>
      </c>
      <c r="L1895">
        <v>41</v>
      </c>
      <c r="M1895" t="s">
        <v>16</v>
      </c>
      <c r="N1895" t="s">
        <v>564</v>
      </c>
      <c r="O1895" t="s">
        <v>251</v>
      </c>
      <c r="P1895" t="s">
        <v>12</v>
      </c>
      <c r="Q1895" t="s">
        <v>19</v>
      </c>
      <c r="R1895" t="s">
        <v>3905</v>
      </c>
      <c r="S1895" t="s">
        <v>1549</v>
      </c>
      <c r="T1895" t="s">
        <v>3828</v>
      </c>
      <c r="U1895" t="s">
        <v>1676</v>
      </c>
      <c r="V1895" t="s">
        <v>1741</v>
      </c>
      <c r="W1895" t="s">
        <v>1742</v>
      </c>
      <c r="X1895" t="s">
        <v>1739</v>
      </c>
    </row>
    <row r="1896" spans="1:24" x14ac:dyDescent="0.3">
      <c r="A1896" t="s">
        <v>3703</v>
      </c>
      <c r="B1896" s="2">
        <v>45558</v>
      </c>
      <c r="C1896" t="s">
        <v>1398</v>
      </c>
      <c r="D1896" t="s">
        <v>1695</v>
      </c>
      <c r="E1896" t="s">
        <v>1793</v>
      </c>
      <c r="F1896" s="4">
        <v>3</v>
      </c>
      <c r="G1896">
        <v>543.83000000000004</v>
      </c>
      <c r="H1896">
        <v>0.05</v>
      </c>
      <c r="I1896" t="s">
        <v>1807</v>
      </c>
      <c r="J1896">
        <v>1549.9155000000001</v>
      </c>
      <c r="K1896" t="s">
        <v>1399</v>
      </c>
      <c r="L1896">
        <v>29</v>
      </c>
      <c r="M1896" t="s">
        <v>16</v>
      </c>
      <c r="N1896" t="s">
        <v>1400</v>
      </c>
      <c r="O1896" t="s">
        <v>51</v>
      </c>
      <c r="P1896" t="s">
        <v>12</v>
      </c>
      <c r="Q1896" t="s">
        <v>31</v>
      </c>
      <c r="R1896" t="s">
        <v>3915</v>
      </c>
      <c r="S1896" t="s">
        <v>1549</v>
      </c>
      <c r="T1896" t="s">
        <v>3828</v>
      </c>
      <c r="U1896" t="s">
        <v>1696</v>
      </c>
      <c r="V1896" t="s">
        <v>1741</v>
      </c>
      <c r="W1896" t="s">
        <v>1742</v>
      </c>
      <c r="X1896" t="s">
        <v>1739</v>
      </c>
    </row>
    <row r="1897" spans="1:24" x14ac:dyDescent="0.3">
      <c r="A1897" t="s">
        <v>3704</v>
      </c>
      <c r="B1897" s="2">
        <v>45423</v>
      </c>
      <c r="C1897" t="s">
        <v>103</v>
      </c>
      <c r="D1897" t="s">
        <v>1559</v>
      </c>
      <c r="E1897" t="s">
        <v>1740</v>
      </c>
      <c r="F1897" s="4">
        <v>2</v>
      </c>
      <c r="G1897">
        <v>660.27</v>
      </c>
      <c r="H1897">
        <v>0.01</v>
      </c>
      <c r="I1897" t="s">
        <v>1809</v>
      </c>
      <c r="J1897">
        <v>1307.3345999999999</v>
      </c>
      <c r="K1897" t="s">
        <v>104</v>
      </c>
      <c r="L1897">
        <v>59</v>
      </c>
      <c r="M1897" t="s">
        <v>16</v>
      </c>
      <c r="N1897" t="s">
        <v>105</v>
      </c>
      <c r="O1897" t="s">
        <v>106</v>
      </c>
      <c r="P1897" t="s">
        <v>12</v>
      </c>
      <c r="Q1897" t="s">
        <v>19</v>
      </c>
      <c r="R1897" t="s">
        <v>3835</v>
      </c>
      <c r="S1897" t="s">
        <v>1527</v>
      </c>
      <c r="T1897" t="s">
        <v>3836</v>
      </c>
      <c r="U1897" t="s">
        <v>1560</v>
      </c>
      <c r="V1897" t="s">
        <v>1741</v>
      </c>
      <c r="W1897" t="s">
        <v>1742</v>
      </c>
      <c r="X1897" t="s">
        <v>1739</v>
      </c>
    </row>
    <row r="1898" spans="1:24" x14ac:dyDescent="0.3">
      <c r="A1898" t="s">
        <v>3705</v>
      </c>
      <c r="B1898" s="2">
        <v>45780</v>
      </c>
      <c r="C1898" t="s">
        <v>1330</v>
      </c>
      <c r="D1898" t="s">
        <v>1557</v>
      </c>
      <c r="E1898" t="s">
        <v>1765</v>
      </c>
      <c r="F1898" s="4">
        <v>4</v>
      </c>
      <c r="G1898">
        <v>729.31</v>
      </c>
      <c r="H1898">
        <v>0.03</v>
      </c>
      <c r="I1898" t="s">
        <v>1807</v>
      </c>
      <c r="J1898">
        <v>2829.7228</v>
      </c>
      <c r="K1898" t="s">
        <v>1331</v>
      </c>
      <c r="L1898">
        <v>37</v>
      </c>
      <c r="M1898" t="s">
        <v>16</v>
      </c>
      <c r="N1898" t="s">
        <v>1332</v>
      </c>
      <c r="O1898" t="s">
        <v>251</v>
      </c>
      <c r="P1898" t="s">
        <v>12</v>
      </c>
      <c r="Q1898" t="s">
        <v>13</v>
      </c>
      <c r="R1898" t="s">
        <v>3834</v>
      </c>
      <c r="S1898" t="s">
        <v>1546</v>
      </c>
      <c r="T1898" t="s">
        <v>3820</v>
      </c>
      <c r="U1898" t="s">
        <v>1558</v>
      </c>
      <c r="V1898" t="s">
        <v>1766</v>
      </c>
      <c r="W1898" t="s">
        <v>1767</v>
      </c>
      <c r="X1898" t="s">
        <v>1755</v>
      </c>
    </row>
    <row r="1899" spans="1:24" x14ac:dyDescent="0.3">
      <c r="A1899" t="s">
        <v>3706</v>
      </c>
      <c r="B1899" s="2">
        <v>45345</v>
      </c>
      <c r="C1899" t="s">
        <v>1292</v>
      </c>
      <c r="D1899" t="s">
        <v>1705</v>
      </c>
      <c r="E1899" t="s">
        <v>1759</v>
      </c>
      <c r="F1899" s="4">
        <v>2</v>
      </c>
      <c r="G1899">
        <v>152.91</v>
      </c>
      <c r="H1899">
        <v>0.24</v>
      </c>
      <c r="I1899" t="s">
        <v>1809</v>
      </c>
      <c r="J1899">
        <v>232.42320000000001</v>
      </c>
      <c r="K1899" t="s">
        <v>1293</v>
      </c>
      <c r="L1899">
        <v>42</v>
      </c>
      <c r="M1899" t="s">
        <v>16</v>
      </c>
      <c r="N1899" t="s">
        <v>1294</v>
      </c>
      <c r="O1899" t="s">
        <v>74</v>
      </c>
      <c r="P1899" t="s">
        <v>12</v>
      </c>
      <c r="Q1899" t="s">
        <v>19</v>
      </c>
      <c r="R1899" t="s">
        <v>3920</v>
      </c>
      <c r="S1899" t="s">
        <v>1527</v>
      </c>
      <c r="T1899" t="s">
        <v>3824</v>
      </c>
      <c r="U1899" t="s">
        <v>1706</v>
      </c>
      <c r="V1899" t="s">
        <v>1760</v>
      </c>
      <c r="W1899" t="s">
        <v>1737</v>
      </c>
      <c r="X1899" t="s">
        <v>1755</v>
      </c>
    </row>
    <row r="1900" spans="1:24" x14ac:dyDescent="0.3">
      <c r="A1900" t="s">
        <v>3707</v>
      </c>
      <c r="B1900" s="2">
        <v>45344</v>
      </c>
      <c r="C1900" t="s">
        <v>1406</v>
      </c>
      <c r="D1900" t="s">
        <v>1679</v>
      </c>
      <c r="E1900" t="s">
        <v>1784</v>
      </c>
      <c r="F1900" s="4">
        <v>4</v>
      </c>
      <c r="G1900">
        <v>592.14</v>
      </c>
      <c r="H1900">
        <v>0.12</v>
      </c>
      <c r="I1900" t="s">
        <v>1812</v>
      </c>
      <c r="J1900">
        <v>2084.3328000000001</v>
      </c>
      <c r="K1900" t="s">
        <v>1407</v>
      </c>
      <c r="L1900">
        <v>34</v>
      </c>
      <c r="M1900" t="s">
        <v>16</v>
      </c>
      <c r="N1900" t="s">
        <v>1408</v>
      </c>
      <c r="O1900" t="s">
        <v>62</v>
      </c>
      <c r="P1900" t="s">
        <v>12</v>
      </c>
      <c r="Q1900" t="s">
        <v>31</v>
      </c>
      <c r="R1900" t="s">
        <v>3907</v>
      </c>
      <c r="S1900" t="s">
        <v>1546</v>
      </c>
      <c r="T1900" t="s">
        <v>3826</v>
      </c>
      <c r="U1900" t="s">
        <v>1680</v>
      </c>
      <c r="V1900" t="s">
        <v>1741</v>
      </c>
      <c r="W1900" t="s">
        <v>1742</v>
      </c>
      <c r="X1900" t="s">
        <v>1739</v>
      </c>
    </row>
    <row r="1901" spans="1:24" x14ac:dyDescent="0.3">
      <c r="A1901" t="s">
        <v>3708</v>
      </c>
      <c r="B1901" s="2">
        <v>45525</v>
      </c>
      <c r="C1901" t="s">
        <v>227</v>
      </c>
      <c r="D1901" t="s">
        <v>1687</v>
      </c>
      <c r="E1901" t="s">
        <v>1777</v>
      </c>
      <c r="F1901" s="4">
        <v>1</v>
      </c>
      <c r="G1901">
        <v>984.37</v>
      </c>
      <c r="H1901">
        <v>0</v>
      </c>
      <c r="I1901" t="s">
        <v>1809</v>
      </c>
      <c r="J1901">
        <v>984.37</v>
      </c>
      <c r="K1901" t="s">
        <v>228</v>
      </c>
      <c r="L1901">
        <v>51</v>
      </c>
      <c r="M1901" t="s">
        <v>9</v>
      </c>
      <c r="N1901" t="s">
        <v>229</v>
      </c>
      <c r="O1901" t="s">
        <v>230</v>
      </c>
      <c r="P1901" t="s">
        <v>12</v>
      </c>
      <c r="Q1901" t="s">
        <v>26</v>
      </c>
      <c r="R1901" t="s">
        <v>3911</v>
      </c>
      <c r="S1901" t="s">
        <v>1527</v>
      </c>
      <c r="T1901" t="s">
        <v>3836</v>
      </c>
      <c r="U1901" t="s">
        <v>1688</v>
      </c>
      <c r="V1901" t="s">
        <v>1741</v>
      </c>
      <c r="W1901" t="s">
        <v>1742</v>
      </c>
      <c r="X1901" t="s">
        <v>1739</v>
      </c>
    </row>
    <row r="1902" spans="1:24" x14ac:dyDescent="0.3">
      <c r="A1902" t="s">
        <v>3709</v>
      </c>
      <c r="B1902" s="2">
        <v>45329</v>
      </c>
      <c r="C1902" t="s">
        <v>917</v>
      </c>
      <c r="D1902" t="s">
        <v>1529</v>
      </c>
      <c r="E1902" t="s">
        <v>1777</v>
      </c>
      <c r="F1902" s="4">
        <v>2</v>
      </c>
      <c r="G1902">
        <v>237.59</v>
      </c>
      <c r="H1902">
        <v>0.12</v>
      </c>
      <c r="I1902" t="s">
        <v>1807</v>
      </c>
      <c r="J1902">
        <v>418.15839999999997</v>
      </c>
      <c r="K1902" t="s">
        <v>918</v>
      </c>
      <c r="L1902">
        <v>56</v>
      </c>
      <c r="M1902" t="s">
        <v>16</v>
      </c>
      <c r="N1902" t="s">
        <v>919</v>
      </c>
      <c r="O1902" t="s">
        <v>198</v>
      </c>
      <c r="P1902" t="s">
        <v>12</v>
      </c>
      <c r="Q1902" t="s">
        <v>31</v>
      </c>
      <c r="R1902" t="s">
        <v>3812</v>
      </c>
      <c r="S1902" t="s">
        <v>1530</v>
      </c>
      <c r="T1902" t="s">
        <v>3813</v>
      </c>
      <c r="U1902" t="s">
        <v>1531</v>
      </c>
      <c r="V1902" t="s">
        <v>1741</v>
      </c>
      <c r="W1902" t="s">
        <v>1742</v>
      </c>
      <c r="X1902" t="s">
        <v>1739</v>
      </c>
    </row>
    <row r="1903" spans="1:24" x14ac:dyDescent="0.3">
      <c r="A1903" t="s">
        <v>3710</v>
      </c>
      <c r="B1903" s="2">
        <v>45250</v>
      </c>
      <c r="C1903" t="s">
        <v>1321</v>
      </c>
      <c r="D1903" t="s">
        <v>1581</v>
      </c>
      <c r="E1903" t="s">
        <v>1765</v>
      </c>
      <c r="F1903" s="4">
        <v>1</v>
      </c>
      <c r="G1903">
        <v>52.06</v>
      </c>
      <c r="H1903">
        <v>0.27</v>
      </c>
      <c r="I1903" t="s">
        <v>1812</v>
      </c>
      <c r="J1903">
        <v>38.003799999999998</v>
      </c>
      <c r="K1903" t="s">
        <v>1322</v>
      </c>
      <c r="L1903">
        <v>37</v>
      </c>
      <c r="M1903" t="s">
        <v>9</v>
      </c>
      <c r="N1903" t="s">
        <v>1323</v>
      </c>
      <c r="O1903" t="s">
        <v>30</v>
      </c>
      <c r="P1903" t="s">
        <v>12</v>
      </c>
      <c r="Q1903" t="s">
        <v>19</v>
      </c>
      <c r="R1903" t="s">
        <v>3852</v>
      </c>
      <c r="S1903" t="s">
        <v>1530</v>
      </c>
      <c r="T1903" t="s">
        <v>3820</v>
      </c>
      <c r="U1903" t="s">
        <v>1582</v>
      </c>
      <c r="V1903" t="s">
        <v>1766</v>
      </c>
      <c r="W1903" t="s">
        <v>1767</v>
      </c>
      <c r="X1903" t="s">
        <v>1755</v>
      </c>
    </row>
    <row r="1904" spans="1:24" x14ac:dyDescent="0.3">
      <c r="A1904" t="s">
        <v>3711</v>
      </c>
      <c r="B1904" s="2">
        <v>45691</v>
      </c>
      <c r="C1904" t="s">
        <v>1389</v>
      </c>
      <c r="D1904" t="s">
        <v>1534</v>
      </c>
      <c r="E1904" t="s">
        <v>1740</v>
      </c>
      <c r="F1904" s="4">
        <v>2</v>
      </c>
      <c r="G1904">
        <v>594.63</v>
      </c>
      <c r="H1904">
        <v>0.12</v>
      </c>
      <c r="I1904" t="s">
        <v>1807</v>
      </c>
      <c r="J1904">
        <v>1046.5488</v>
      </c>
      <c r="K1904" t="s">
        <v>1390</v>
      </c>
      <c r="L1904">
        <v>59</v>
      </c>
      <c r="M1904" t="s">
        <v>16</v>
      </c>
      <c r="N1904" t="s">
        <v>1391</v>
      </c>
      <c r="O1904" t="s">
        <v>191</v>
      </c>
      <c r="P1904" t="s">
        <v>12</v>
      </c>
      <c r="Q1904" t="s">
        <v>13</v>
      </c>
      <c r="R1904" t="s">
        <v>3856</v>
      </c>
      <c r="S1904" t="s">
        <v>1527</v>
      </c>
      <c r="T1904" t="s">
        <v>3836</v>
      </c>
      <c r="U1904" t="s">
        <v>1590</v>
      </c>
      <c r="V1904" t="s">
        <v>1741</v>
      </c>
      <c r="W1904" t="s">
        <v>1742</v>
      </c>
      <c r="X1904" t="s">
        <v>1739</v>
      </c>
    </row>
    <row r="1905" spans="1:24" x14ac:dyDescent="0.3">
      <c r="A1905" t="s">
        <v>3712</v>
      </c>
      <c r="B1905" s="2">
        <v>45644</v>
      </c>
      <c r="C1905" t="s">
        <v>551</v>
      </c>
      <c r="D1905" t="s">
        <v>1534</v>
      </c>
      <c r="E1905" t="s">
        <v>1735</v>
      </c>
      <c r="F1905" s="4">
        <v>3</v>
      </c>
      <c r="G1905">
        <v>476.1</v>
      </c>
      <c r="H1905">
        <v>0.05</v>
      </c>
      <c r="I1905" t="s">
        <v>1812</v>
      </c>
      <c r="J1905">
        <v>1356.885</v>
      </c>
      <c r="K1905" t="s">
        <v>552</v>
      </c>
      <c r="L1905">
        <v>36</v>
      </c>
      <c r="M1905" t="s">
        <v>16</v>
      </c>
      <c r="N1905" t="s">
        <v>553</v>
      </c>
      <c r="O1905" t="s">
        <v>234</v>
      </c>
      <c r="P1905" t="s">
        <v>12</v>
      </c>
      <c r="Q1905" t="s">
        <v>13</v>
      </c>
      <c r="R1905" t="s">
        <v>3856</v>
      </c>
      <c r="S1905" t="s">
        <v>1527</v>
      </c>
      <c r="T1905" t="s">
        <v>3836</v>
      </c>
      <c r="U1905" t="s">
        <v>1590</v>
      </c>
      <c r="V1905" t="s">
        <v>1736</v>
      </c>
      <c r="W1905" t="s">
        <v>1737</v>
      </c>
      <c r="X1905" t="s">
        <v>1739</v>
      </c>
    </row>
    <row r="1906" spans="1:24" x14ac:dyDescent="0.3">
      <c r="A1906" t="s">
        <v>3713</v>
      </c>
      <c r="B1906" s="2">
        <v>45514</v>
      </c>
      <c r="C1906" t="s">
        <v>224</v>
      </c>
      <c r="D1906" t="s">
        <v>1653</v>
      </c>
      <c r="E1906" t="s">
        <v>1759</v>
      </c>
      <c r="F1906" s="4">
        <v>1</v>
      </c>
      <c r="G1906">
        <v>546.47</v>
      </c>
      <c r="H1906">
        <v>0.08</v>
      </c>
      <c r="I1906" t="s">
        <v>1812</v>
      </c>
      <c r="J1906">
        <v>502.75240000000002</v>
      </c>
      <c r="K1906" t="s">
        <v>225</v>
      </c>
      <c r="L1906">
        <v>50</v>
      </c>
      <c r="M1906" t="s">
        <v>9</v>
      </c>
      <c r="N1906" t="s">
        <v>226</v>
      </c>
      <c r="O1906" t="s">
        <v>113</v>
      </c>
      <c r="P1906" t="s">
        <v>12</v>
      </c>
      <c r="Q1906" t="s">
        <v>31</v>
      </c>
      <c r="R1906" t="s">
        <v>3893</v>
      </c>
      <c r="S1906" t="s">
        <v>1549</v>
      </c>
      <c r="T1906" t="s">
        <v>3844</v>
      </c>
      <c r="U1906" t="s">
        <v>1654</v>
      </c>
      <c r="V1906" t="s">
        <v>1760</v>
      </c>
      <c r="W1906" t="s">
        <v>1737</v>
      </c>
      <c r="X1906" t="s">
        <v>1755</v>
      </c>
    </row>
    <row r="1907" spans="1:24" x14ac:dyDescent="0.3">
      <c r="A1907" t="s">
        <v>3714</v>
      </c>
      <c r="B1907" s="2">
        <v>45760</v>
      </c>
      <c r="C1907" t="s">
        <v>576</v>
      </c>
      <c r="D1907" t="s">
        <v>1681</v>
      </c>
      <c r="E1907" t="s">
        <v>1777</v>
      </c>
      <c r="F1907" s="4">
        <v>1</v>
      </c>
      <c r="G1907">
        <v>979.49</v>
      </c>
      <c r="H1907">
        <v>0.19</v>
      </c>
      <c r="I1907" t="s">
        <v>1812</v>
      </c>
      <c r="J1907">
        <v>793.38690000000008</v>
      </c>
      <c r="K1907" t="s">
        <v>577</v>
      </c>
      <c r="L1907">
        <v>55</v>
      </c>
      <c r="M1907" t="s">
        <v>9</v>
      </c>
      <c r="N1907" t="s">
        <v>578</v>
      </c>
      <c r="O1907" t="s">
        <v>170</v>
      </c>
      <c r="P1907" t="s">
        <v>12</v>
      </c>
      <c r="Q1907" t="s">
        <v>31</v>
      </c>
      <c r="R1907" t="s">
        <v>3908</v>
      </c>
      <c r="S1907" t="s">
        <v>1530</v>
      </c>
      <c r="T1907" t="s">
        <v>3866</v>
      </c>
      <c r="U1907" t="s">
        <v>1682</v>
      </c>
      <c r="V1907" t="s">
        <v>1741</v>
      </c>
      <c r="W1907" t="s">
        <v>1742</v>
      </c>
      <c r="X1907" t="s">
        <v>1739</v>
      </c>
    </row>
    <row r="1908" spans="1:24" x14ac:dyDescent="0.3">
      <c r="A1908" t="s">
        <v>3715</v>
      </c>
      <c r="B1908" s="2">
        <v>45289</v>
      </c>
      <c r="C1908" t="s">
        <v>628</v>
      </c>
      <c r="D1908" t="s">
        <v>1565</v>
      </c>
      <c r="E1908" t="s">
        <v>1744</v>
      </c>
      <c r="F1908" s="4">
        <v>3</v>
      </c>
      <c r="G1908">
        <v>988.53</v>
      </c>
      <c r="H1908">
        <v>0.3</v>
      </c>
      <c r="I1908" t="s">
        <v>1812</v>
      </c>
      <c r="J1908">
        <v>2075.913</v>
      </c>
      <c r="K1908" t="s">
        <v>629</v>
      </c>
      <c r="L1908">
        <v>46</v>
      </c>
      <c r="M1908" t="s">
        <v>9</v>
      </c>
      <c r="N1908" t="s">
        <v>630</v>
      </c>
      <c r="O1908" t="s">
        <v>81</v>
      </c>
      <c r="P1908" t="s">
        <v>12</v>
      </c>
      <c r="Q1908" t="s">
        <v>13</v>
      </c>
      <c r="R1908" t="s">
        <v>3841</v>
      </c>
      <c r="S1908" t="s">
        <v>1549</v>
      </c>
      <c r="T1908" t="s">
        <v>3820</v>
      </c>
      <c r="U1908" t="s">
        <v>1566</v>
      </c>
      <c r="V1908" t="s">
        <v>1745</v>
      </c>
      <c r="W1908" t="s">
        <v>1746</v>
      </c>
      <c r="X1908" t="s">
        <v>1748</v>
      </c>
    </row>
    <row r="1909" spans="1:24" x14ac:dyDescent="0.3">
      <c r="A1909" t="s">
        <v>3716</v>
      </c>
      <c r="B1909" s="2">
        <v>45704</v>
      </c>
      <c r="C1909" t="s">
        <v>808</v>
      </c>
      <c r="D1909" t="s">
        <v>1683</v>
      </c>
      <c r="E1909" t="s">
        <v>1749</v>
      </c>
      <c r="F1909" s="4">
        <v>4</v>
      </c>
      <c r="G1909">
        <v>849.29</v>
      </c>
      <c r="H1909">
        <v>0.26</v>
      </c>
      <c r="I1909" t="s">
        <v>1807</v>
      </c>
      <c r="J1909">
        <v>2513.8984</v>
      </c>
      <c r="K1909" t="s">
        <v>809</v>
      </c>
      <c r="L1909">
        <v>57</v>
      </c>
      <c r="M1909" t="s">
        <v>9</v>
      </c>
      <c r="N1909" t="s">
        <v>810</v>
      </c>
      <c r="O1909" t="s">
        <v>25</v>
      </c>
      <c r="P1909" t="s">
        <v>12</v>
      </c>
      <c r="Q1909" t="s">
        <v>13</v>
      </c>
      <c r="R1909" t="s">
        <v>3909</v>
      </c>
      <c r="S1909" t="s">
        <v>1546</v>
      </c>
      <c r="T1909" t="s">
        <v>3811</v>
      </c>
      <c r="U1909" t="s">
        <v>1684</v>
      </c>
      <c r="V1909" t="s">
        <v>1750</v>
      </c>
      <c r="W1909" t="s">
        <v>1742</v>
      </c>
      <c r="X1909" t="s">
        <v>1748</v>
      </c>
    </row>
    <row r="1910" spans="1:24" x14ac:dyDescent="0.3">
      <c r="A1910" t="s">
        <v>3717</v>
      </c>
      <c r="B1910" s="2">
        <v>45318</v>
      </c>
      <c r="C1910" t="s">
        <v>1066</v>
      </c>
      <c r="D1910" t="s">
        <v>1721</v>
      </c>
      <c r="E1910" t="s">
        <v>1782</v>
      </c>
      <c r="F1910" s="4">
        <v>2</v>
      </c>
      <c r="G1910">
        <v>452.29</v>
      </c>
      <c r="H1910">
        <v>0.01</v>
      </c>
      <c r="I1910" t="s">
        <v>1812</v>
      </c>
      <c r="J1910">
        <v>895.53420000000006</v>
      </c>
      <c r="K1910" t="s">
        <v>1067</v>
      </c>
      <c r="L1910">
        <v>39</v>
      </c>
      <c r="M1910" t="s">
        <v>9</v>
      </c>
      <c r="N1910" t="s">
        <v>1068</v>
      </c>
      <c r="O1910" t="s">
        <v>284</v>
      </c>
      <c r="P1910" t="s">
        <v>12</v>
      </c>
      <c r="Q1910" t="s">
        <v>26</v>
      </c>
      <c r="R1910" t="s">
        <v>3928</v>
      </c>
      <c r="S1910" t="s">
        <v>1549</v>
      </c>
      <c r="T1910" t="s">
        <v>3820</v>
      </c>
      <c r="U1910" t="s">
        <v>1722</v>
      </c>
      <c r="V1910" t="s">
        <v>1741</v>
      </c>
      <c r="W1910" t="s">
        <v>1742</v>
      </c>
      <c r="X1910" t="s">
        <v>1739</v>
      </c>
    </row>
    <row r="1911" spans="1:24" x14ac:dyDescent="0.3">
      <c r="A1911" t="s">
        <v>3718</v>
      </c>
      <c r="B1911" s="2">
        <v>45495</v>
      </c>
      <c r="C1911" t="s">
        <v>1361</v>
      </c>
      <c r="D1911" t="s">
        <v>1639</v>
      </c>
      <c r="E1911" t="s">
        <v>1793</v>
      </c>
      <c r="F1911" s="4">
        <v>2</v>
      </c>
      <c r="G1911">
        <v>810.81</v>
      </c>
      <c r="H1911">
        <v>0.11</v>
      </c>
      <c r="I1911" t="s">
        <v>1812</v>
      </c>
      <c r="J1911">
        <v>1443.2418</v>
      </c>
      <c r="K1911" t="s">
        <v>1362</v>
      </c>
      <c r="L1911">
        <v>35</v>
      </c>
      <c r="M1911" t="s">
        <v>9</v>
      </c>
      <c r="N1911" t="s">
        <v>1363</v>
      </c>
      <c r="O1911" t="s">
        <v>284</v>
      </c>
      <c r="P1911" t="s">
        <v>12</v>
      </c>
      <c r="Q1911" t="s">
        <v>19</v>
      </c>
      <c r="R1911" t="s">
        <v>3886</v>
      </c>
      <c r="S1911" t="s">
        <v>1549</v>
      </c>
      <c r="T1911" t="s">
        <v>3820</v>
      </c>
      <c r="U1911" t="s">
        <v>1640</v>
      </c>
      <c r="V1911" t="s">
        <v>1741</v>
      </c>
      <c r="W1911" t="s">
        <v>1742</v>
      </c>
      <c r="X1911" t="s">
        <v>1739</v>
      </c>
    </row>
    <row r="1912" spans="1:24" x14ac:dyDescent="0.3">
      <c r="A1912" t="s">
        <v>3719</v>
      </c>
      <c r="B1912" s="2">
        <v>45560</v>
      </c>
      <c r="C1912" t="s">
        <v>127</v>
      </c>
      <c r="D1912" t="s">
        <v>1653</v>
      </c>
      <c r="E1912" t="s">
        <v>1765</v>
      </c>
      <c r="F1912" s="4">
        <v>1</v>
      </c>
      <c r="G1912">
        <v>846.67</v>
      </c>
      <c r="H1912">
        <v>0.1</v>
      </c>
      <c r="I1912" t="s">
        <v>1812</v>
      </c>
      <c r="J1912">
        <v>762.00299999999993</v>
      </c>
      <c r="K1912" t="s">
        <v>128</v>
      </c>
      <c r="L1912">
        <v>48</v>
      </c>
      <c r="M1912" t="s">
        <v>16</v>
      </c>
      <c r="N1912" t="s">
        <v>129</v>
      </c>
      <c r="O1912" t="s">
        <v>35</v>
      </c>
      <c r="P1912" t="s">
        <v>12</v>
      </c>
      <c r="Q1912" t="s">
        <v>31</v>
      </c>
      <c r="R1912" t="s">
        <v>3893</v>
      </c>
      <c r="S1912" t="s">
        <v>1549</v>
      </c>
      <c r="T1912" t="s">
        <v>3844</v>
      </c>
      <c r="U1912" t="s">
        <v>1654</v>
      </c>
      <c r="V1912" t="s">
        <v>1766</v>
      </c>
      <c r="W1912" t="s">
        <v>1767</v>
      </c>
      <c r="X1912" t="s">
        <v>1755</v>
      </c>
    </row>
    <row r="1913" spans="1:24" x14ac:dyDescent="0.3">
      <c r="A1913" t="s">
        <v>3720</v>
      </c>
      <c r="B1913" s="2">
        <v>45367</v>
      </c>
      <c r="C1913" t="s">
        <v>78</v>
      </c>
      <c r="D1913" t="s">
        <v>1579</v>
      </c>
      <c r="E1913" t="s">
        <v>1759</v>
      </c>
      <c r="F1913" s="4">
        <v>4</v>
      </c>
      <c r="G1913">
        <v>73.55</v>
      </c>
      <c r="H1913">
        <v>0.24</v>
      </c>
      <c r="I1913" t="s">
        <v>1812</v>
      </c>
      <c r="J1913">
        <v>223.59200000000001</v>
      </c>
      <c r="K1913" t="s">
        <v>79</v>
      </c>
      <c r="L1913">
        <v>43</v>
      </c>
      <c r="M1913" t="s">
        <v>9</v>
      </c>
      <c r="N1913" t="s">
        <v>80</v>
      </c>
      <c r="O1913" t="s">
        <v>81</v>
      </c>
      <c r="P1913" t="s">
        <v>12</v>
      </c>
      <c r="Q1913" t="s">
        <v>19</v>
      </c>
      <c r="R1913" t="s">
        <v>3850</v>
      </c>
      <c r="S1913" t="s">
        <v>1549</v>
      </c>
      <c r="T1913" t="s">
        <v>3851</v>
      </c>
      <c r="U1913" t="s">
        <v>1580</v>
      </c>
      <c r="V1913" t="s">
        <v>1760</v>
      </c>
      <c r="W1913" t="s">
        <v>1737</v>
      </c>
      <c r="X1913" t="s">
        <v>1755</v>
      </c>
    </row>
    <row r="1914" spans="1:24" x14ac:dyDescent="0.3">
      <c r="A1914" t="s">
        <v>3721</v>
      </c>
      <c r="B1914" s="2">
        <v>45861</v>
      </c>
      <c r="C1914" t="s">
        <v>876</v>
      </c>
      <c r="D1914" t="s">
        <v>1715</v>
      </c>
      <c r="E1914" t="s">
        <v>1759</v>
      </c>
      <c r="F1914" s="4">
        <v>1</v>
      </c>
      <c r="G1914">
        <v>882.03</v>
      </c>
      <c r="H1914">
        <v>0.04</v>
      </c>
      <c r="I1914" t="s">
        <v>1812</v>
      </c>
      <c r="J1914">
        <v>846.74879999999996</v>
      </c>
      <c r="K1914" t="s">
        <v>877</v>
      </c>
      <c r="L1914">
        <v>21</v>
      </c>
      <c r="M1914" t="s">
        <v>16</v>
      </c>
      <c r="N1914" t="s">
        <v>878</v>
      </c>
      <c r="O1914" t="s">
        <v>214</v>
      </c>
      <c r="P1914" t="s">
        <v>12</v>
      </c>
      <c r="Q1914" t="s">
        <v>19</v>
      </c>
      <c r="R1914" t="s">
        <v>3925</v>
      </c>
      <c r="S1914" t="s">
        <v>1527</v>
      </c>
      <c r="T1914" t="s">
        <v>3838</v>
      </c>
      <c r="U1914" t="s">
        <v>1716</v>
      </c>
      <c r="V1914" t="s">
        <v>1760</v>
      </c>
      <c r="W1914" t="s">
        <v>1737</v>
      </c>
      <c r="X1914" t="s">
        <v>1755</v>
      </c>
    </row>
    <row r="1915" spans="1:24" x14ac:dyDescent="0.3">
      <c r="A1915" t="s">
        <v>3722</v>
      </c>
      <c r="B1915" s="2">
        <v>45589</v>
      </c>
      <c r="C1915" t="s">
        <v>44</v>
      </c>
      <c r="D1915" t="s">
        <v>1575</v>
      </c>
      <c r="E1915" t="s">
        <v>1782</v>
      </c>
      <c r="F1915" s="4">
        <v>1</v>
      </c>
      <c r="G1915">
        <v>958.44</v>
      </c>
      <c r="H1915">
        <v>0.21</v>
      </c>
      <c r="I1915" t="s">
        <v>1807</v>
      </c>
      <c r="J1915">
        <v>757.16760000000011</v>
      </c>
      <c r="K1915" t="s">
        <v>45</v>
      </c>
      <c r="L1915">
        <v>64</v>
      </c>
      <c r="M1915" t="s">
        <v>9</v>
      </c>
      <c r="N1915" t="s">
        <v>46</v>
      </c>
      <c r="O1915" t="s">
        <v>47</v>
      </c>
      <c r="P1915" t="s">
        <v>12</v>
      </c>
      <c r="Q1915" t="s">
        <v>13</v>
      </c>
      <c r="R1915" t="s">
        <v>3848</v>
      </c>
      <c r="S1915" t="s">
        <v>1549</v>
      </c>
      <c r="T1915" t="s">
        <v>3844</v>
      </c>
      <c r="U1915" t="s">
        <v>1576</v>
      </c>
      <c r="V1915" t="s">
        <v>1741</v>
      </c>
      <c r="W1915" t="s">
        <v>1742</v>
      </c>
      <c r="X1915" t="s">
        <v>1739</v>
      </c>
    </row>
    <row r="1916" spans="1:24" x14ac:dyDescent="0.3">
      <c r="A1916" t="s">
        <v>3723</v>
      </c>
      <c r="B1916" s="2">
        <v>45560</v>
      </c>
      <c r="C1916" t="s">
        <v>44</v>
      </c>
      <c r="D1916" t="s">
        <v>1729</v>
      </c>
      <c r="E1916" t="s">
        <v>1744</v>
      </c>
      <c r="F1916" s="4">
        <v>1</v>
      </c>
      <c r="G1916">
        <v>716.29</v>
      </c>
      <c r="H1916">
        <v>0.01</v>
      </c>
      <c r="I1916" t="s">
        <v>1809</v>
      </c>
      <c r="J1916">
        <v>709.12709999999993</v>
      </c>
      <c r="K1916" t="s">
        <v>45</v>
      </c>
      <c r="L1916">
        <v>64</v>
      </c>
      <c r="M1916" t="s">
        <v>9</v>
      </c>
      <c r="N1916" t="s">
        <v>46</v>
      </c>
      <c r="O1916" t="s">
        <v>47</v>
      </c>
      <c r="P1916" t="s">
        <v>12</v>
      </c>
      <c r="Q1916" t="s">
        <v>13</v>
      </c>
      <c r="R1916" t="s">
        <v>3932</v>
      </c>
      <c r="S1916" t="s">
        <v>1527</v>
      </c>
      <c r="T1916" t="s">
        <v>3830</v>
      </c>
      <c r="U1916" t="s">
        <v>1730</v>
      </c>
      <c r="V1916" t="s">
        <v>1745</v>
      </c>
      <c r="W1916" t="s">
        <v>1746</v>
      </c>
      <c r="X1916" t="s">
        <v>1748</v>
      </c>
    </row>
    <row r="1917" spans="1:24" x14ac:dyDescent="0.3">
      <c r="A1917" t="s">
        <v>3724</v>
      </c>
      <c r="B1917" s="2">
        <v>45408</v>
      </c>
      <c r="C1917" t="s">
        <v>1007</v>
      </c>
      <c r="D1917" t="s">
        <v>1548</v>
      </c>
      <c r="E1917" t="s">
        <v>1787</v>
      </c>
      <c r="F1917" s="4">
        <v>2</v>
      </c>
      <c r="G1917">
        <v>409.14</v>
      </c>
      <c r="H1917">
        <v>0.01</v>
      </c>
      <c r="I1917" t="s">
        <v>1809</v>
      </c>
      <c r="J1917">
        <v>810.09719999999993</v>
      </c>
      <c r="K1917" t="s">
        <v>1008</v>
      </c>
      <c r="L1917">
        <v>58</v>
      </c>
      <c r="M1917" t="s">
        <v>9</v>
      </c>
      <c r="N1917" t="s">
        <v>1009</v>
      </c>
      <c r="O1917" t="s">
        <v>11</v>
      </c>
      <c r="P1917" t="s">
        <v>12</v>
      </c>
      <c r="Q1917" t="s">
        <v>19</v>
      </c>
      <c r="R1917" t="s">
        <v>3922</v>
      </c>
      <c r="S1917" t="s">
        <v>1541</v>
      </c>
      <c r="T1917" t="s">
        <v>3878</v>
      </c>
      <c r="U1917" t="s">
        <v>1710</v>
      </c>
      <c r="V1917" t="s">
        <v>1741</v>
      </c>
      <c r="W1917" t="s">
        <v>1742</v>
      </c>
      <c r="X1917" t="s">
        <v>1739</v>
      </c>
    </row>
    <row r="1918" spans="1:24" x14ac:dyDescent="0.3">
      <c r="A1918" t="s">
        <v>3725</v>
      </c>
      <c r="B1918" s="2">
        <v>45714</v>
      </c>
      <c r="C1918" t="s">
        <v>301</v>
      </c>
      <c r="D1918" t="s">
        <v>1729</v>
      </c>
      <c r="E1918" t="s">
        <v>1769</v>
      </c>
      <c r="F1918" s="4">
        <v>4</v>
      </c>
      <c r="G1918">
        <v>261.73</v>
      </c>
      <c r="H1918">
        <v>0.1</v>
      </c>
      <c r="I1918" t="s">
        <v>1809</v>
      </c>
      <c r="J1918">
        <v>942.22800000000007</v>
      </c>
      <c r="K1918" t="s">
        <v>302</v>
      </c>
      <c r="L1918">
        <v>36</v>
      </c>
      <c r="M1918" t="s">
        <v>9</v>
      </c>
      <c r="N1918" t="s">
        <v>303</v>
      </c>
      <c r="O1918" t="s">
        <v>251</v>
      </c>
      <c r="P1918" t="s">
        <v>12</v>
      </c>
      <c r="Q1918" t="s">
        <v>19</v>
      </c>
      <c r="R1918" t="s">
        <v>3932</v>
      </c>
      <c r="S1918" t="s">
        <v>1527</v>
      </c>
      <c r="T1918" t="s">
        <v>3830</v>
      </c>
      <c r="U1918" t="s">
        <v>1730</v>
      </c>
      <c r="V1918" t="s">
        <v>1770</v>
      </c>
      <c r="W1918" t="s">
        <v>1746</v>
      </c>
      <c r="X1918" t="s">
        <v>1739</v>
      </c>
    </row>
    <row r="1919" spans="1:24" x14ac:dyDescent="0.3">
      <c r="A1919" t="s">
        <v>3726</v>
      </c>
      <c r="B1919" s="2">
        <v>45661</v>
      </c>
      <c r="C1919" t="s">
        <v>1421</v>
      </c>
      <c r="D1919" t="s">
        <v>1555</v>
      </c>
      <c r="E1919" t="s">
        <v>1735</v>
      </c>
      <c r="F1919" s="4">
        <v>2</v>
      </c>
      <c r="G1919">
        <v>687.35</v>
      </c>
      <c r="H1919">
        <v>0.2</v>
      </c>
      <c r="I1919" t="s">
        <v>1812</v>
      </c>
      <c r="J1919">
        <v>1099.76</v>
      </c>
      <c r="K1919" t="s">
        <v>1422</v>
      </c>
      <c r="L1919">
        <v>63</v>
      </c>
      <c r="M1919" t="s">
        <v>16</v>
      </c>
      <c r="N1919" t="s">
        <v>1423</v>
      </c>
      <c r="O1919" t="s">
        <v>198</v>
      </c>
      <c r="P1919" t="s">
        <v>12</v>
      </c>
      <c r="Q1919" t="s">
        <v>31</v>
      </c>
      <c r="R1919" t="s">
        <v>3832</v>
      </c>
      <c r="S1919" t="s">
        <v>1541</v>
      </c>
      <c r="T1919" t="s">
        <v>3833</v>
      </c>
      <c r="U1919" t="s">
        <v>1556</v>
      </c>
      <c r="V1919" t="s">
        <v>1736</v>
      </c>
      <c r="W1919" t="s">
        <v>1737</v>
      </c>
      <c r="X1919" t="s">
        <v>1739</v>
      </c>
    </row>
    <row r="1920" spans="1:24" x14ac:dyDescent="0.3">
      <c r="A1920" t="s">
        <v>3727</v>
      </c>
      <c r="B1920" s="2">
        <v>45921</v>
      </c>
      <c r="C1920" t="s">
        <v>669</v>
      </c>
      <c r="D1920" t="s">
        <v>1699</v>
      </c>
      <c r="E1920" t="s">
        <v>1765</v>
      </c>
      <c r="F1920" s="4">
        <v>2</v>
      </c>
      <c r="G1920">
        <v>30.14</v>
      </c>
      <c r="H1920">
        <v>0.21</v>
      </c>
      <c r="I1920" t="s">
        <v>1807</v>
      </c>
      <c r="J1920">
        <v>47.621200000000002</v>
      </c>
      <c r="K1920" t="s">
        <v>670</v>
      </c>
      <c r="L1920">
        <v>54</v>
      </c>
      <c r="M1920" t="s">
        <v>9</v>
      </c>
      <c r="N1920" t="s">
        <v>671</v>
      </c>
      <c r="O1920" t="s">
        <v>88</v>
      </c>
      <c r="P1920" t="s">
        <v>12</v>
      </c>
      <c r="Q1920" t="s">
        <v>26</v>
      </c>
      <c r="R1920" t="s">
        <v>3917</v>
      </c>
      <c r="S1920" t="s">
        <v>1527</v>
      </c>
      <c r="T1920" t="s">
        <v>3901</v>
      </c>
      <c r="U1920" t="s">
        <v>1700</v>
      </c>
      <c r="V1920" t="s">
        <v>1766</v>
      </c>
      <c r="W1920" t="s">
        <v>1767</v>
      </c>
      <c r="X1920" t="s">
        <v>1755</v>
      </c>
    </row>
    <row r="1921" spans="1:24" x14ac:dyDescent="0.3">
      <c r="A1921" t="s">
        <v>3728</v>
      </c>
      <c r="B1921" s="2">
        <v>45651</v>
      </c>
      <c r="C1921" t="s">
        <v>348</v>
      </c>
      <c r="D1921" t="s">
        <v>1599</v>
      </c>
      <c r="E1921" t="s">
        <v>1765</v>
      </c>
      <c r="F1921" s="4">
        <v>3</v>
      </c>
      <c r="G1921">
        <v>570.12</v>
      </c>
      <c r="H1921">
        <v>0.12</v>
      </c>
      <c r="I1921" t="s">
        <v>1809</v>
      </c>
      <c r="J1921">
        <v>1505.1168</v>
      </c>
      <c r="K1921" t="s">
        <v>349</v>
      </c>
      <c r="L1921">
        <v>53</v>
      </c>
      <c r="M1921" t="s">
        <v>16</v>
      </c>
      <c r="N1921" t="s">
        <v>350</v>
      </c>
      <c r="O1921" t="s">
        <v>234</v>
      </c>
      <c r="P1921" t="s">
        <v>12</v>
      </c>
      <c r="Q1921" t="s">
        <v>31</v>
      </c>
      <c r="R1921" t="s">
        <v>3862</v>
      </c>
      <c r="S1921" t="s">
        <v>1546</v>
      </c>
      <c r="T1921" t="s">
        <v>3811</v>
      </c>
      <c r="U1921" t="s">
        <v>1600</v>
      </c>
      <c r="V1921" t="s">
        <v>1766</v>
      </c>
      <c r="W1921" t="s">
        <v>1767</v>
      </c>
      <c r="X1921" t="s">
        <v>1755</v>
      </c>
    </row>
    <row r="1922" spans="1:24" x14ac:dyDescent="0.3">
      <c r="A1922" t="s">
        <v>3729</v>
      </c>
      <c r="B1922" s="2">
        <v>45883</v>
      </c>
      <c r="C1922" t="s">
        <v>885</v>
      </c>
      <c r="D1922" t="s">
        <v>1685</v>
      </c>
      <c r="E1922" t="s">
        <v>1796</v>
      </c>
      <c r="F1922" s="4">
        <v>3</v>
      </c>
      <c r="G1922">
        <v>401.87</v>
      </c>
      <c r="H1922">
        <v>0.28999999999999998</v>
      </c>
      <c r="I1922" t="s">
        <v>1812</v>
      </c>
      <c r="J1922">
        <v>855.98310000000004</v>
      </c>
      <c r="K1922" t="s">
        <v>886</v>
      </c>
      <c r="L1922">
        <v>46</v>
      </c>
      <c r="M1922" t="s">
        <v>16</v>
      </c>
      <c r="N1922" t="s">
        <v>887</v>
      </c>
      <c r="O1922" t="s">
        <v>166</v>
      </c>
      <c r="P1922" t="s">
        <v>12</v>
      </c>
      <c r="Q1922" t="s">
        <v>19</v>
      </c>
      <c r="R1922" t="s">
        <v>3910</v>
      </c>
      <c r="S1922" t="s">
        <v>1546</v>
      </c>
      <c r="T1922" t="s">
        <v>3838</v>
      </c>
      <c r="U1922" t="s">
        <v>1686</v>
      </c>
      <c r="V1922" t="s">
        <v>1741</v>
      </c>
      <c r="W1922" t="s">
        <v>1742</v>
      </c>
      <c r="X1922" t="s">
        <v>1739</v>
      </c>
    </row>
    <row r="1923" spans="1:24" x14ac:dyDescent="0.3">
      <c r="A1923" t="s">
        <v>3730</v>
      </c>
      <c r="B1923" s="2">
        <v>45624</v>
      </c>
      <c r="C1923" t="s">
        <v>1507</v>
      </c>
      <c r="D1923" t="s">
        <v>1689</v>
      </c>
      <c r="E1923" t="s">
        <v>1777</v>
      </c>
      <c r="F1923" s="4">
        <v>4</v>
      </c>
      <c r="G1923">
        <v>619.35</v>
      </c>
      <c r="H1923">
        <v>0.3</v>
      </c>
      <c r="I1923" t="s">
        <v>1807</v>
      </c>
      <c r="J1923">
        <v>1734.18</v>
      </c>
      <c r="K1923" t="s">
        <v>1508</v>
      </c>
      <c r="L1923">
        <v>47</v>
      </c>
      <c r="M1923" t="s">
        <v>16</v>
      </c>
      <c r="N1923" t="s">
        <v>1509</v>
      </c>
      <c r="O1923" t="s">
        <v>25</v>
      </c>
      <c r="P1923" t="s">
        <v>12</v>
      </c>
      <c r="Q1923" t="s">
        <v>26</v>
      </c>
      <c r="R1923" t="s">
        <v>3912</v>
      </c>
      <c r="S1923" t="s">
        <v>1527</v>
      </c>
      <c r="T1923" t="s">
        <v>3824</v>
      </c>
      <c r="U1923" t="s">
        <v>1690</v>
      </c>
      <c r="V1923" t="s">
        <v>1741</v>
      </c>
      <c r="W1923" t="s">
        <v>1742</v>
      </c>
      <c r="X1923" t="s">
        <v>1739</v>
      </c>
    </row>
    <row r="1924" spans="1:24" x14ac:dyDescent="0.3">
      <c r="A1924" t="s">
        <v>3731</v>
      </c>
      <c r="B1924" s="2">
        <v>45276</v>
      </c>
      <c r="C1924" t="s">
        <v>785</v>
      </c>
      <c r="D1924" t="s">
        <v>1623</v>
      </c>
      <c r="E1924" t="s">
        <v>1790</v>
      </c>
      <c r="F1924" s="4">
        <v>4</v>
      </c>
      <c r="G1924">
        <v>569.36</v>
      </c>
      <c r="H1924">
        <v>0.27</v>
      </c>
      <c r="I1924" t="s">
        <v>1809</v>
      </c>
      <c r="J1924">
        <v>1662.5311999999999</v>
      </c>
      <c r="K1924" t="s">
        <v>786</v>
      </c>
      <c r="L1924">
        <v>19</v>
      </c>
      <c r="M1924" t="s">
        <v>9</v>
      </c>
      <c r="N1924" t="s">
        <v>787</v>
      </c>
      <c r="O1924" t="s">
        <v>47</v>
      </c>
      <c r="P1924" t="s">
        <v>12</v>
      </c>
      <c r="Q1924" t="s">
        <v>19</v>
      </c>
      <c r="R1924" t="s">
        <v>3876</v>
      </c>
      <c r="S1924" t="s">
        <v>1530</v>
      </c>
      <c r="T1924" t="s">
        <v>3815</v>
      </c>
      <c r="U1924" t="s">
        <v>1624</v>
      </c>
      <c r="V1924" t="s">
        <v>1741</v>
      </c>
      <c r="W1924" t="s">
        <v>1742</v>
      </c>
      <c r="X1924" t="s">
        <v>1739</v>
      </c>
    </row>
    <row r="1925" spans="1:24" x14ac:dyDescent="0.3">
      <c r="A1925" t="s">
        <v>3732</v>
      </c>
      <c r="B1925" s="2">
        <v>45344</v>
      </c>
      <c r="C1925" t="s">
        <v>1450</v>
      </c>
      <c r="D1925" t="s">
        <v>1585</v>
      </c>
      <c r="E1925" t="s">
        <v>1752</v>
      </c>
      <c r="F1925" s="4">
        <v>2</v>
      </c>
      <c r="G1925">
        <v>846.35</v>
      </c>
      <c r="H1925">
        <v>0.3</v>
      </c>
      <c r="I1925" t="s">
        <v>1812</v>
      </c>
      <c r="J1925">
        <v>1184.8900000000001</v>
      </c>
      <c r="K1925" t="s">
        <v>1451</v>
      </c>
      <c r="L1925">
        <v>41</v>
      </c>
      <c r="M1925" t="s">
        <v>16</v>
      </c>
      <c r="N1925" t="s">
        <v>1452</v>
      </c>
      <c r="O1925" t="s">
        <v>96</v>
      </c>
      <c r="P1925" t="s">
        <v>12</v>
      </c>
      <c r="Q1925" t="s">
        <v>13</v>
      </c>
      <c r="R1925" t="s">
        <v>3854</v>
      </c>
      <c r="S1925" t="s">
        <v>1527</v>
      </c>
      <c r="T1925" t="s">
        <v>3836</v>
      </c>
      <c r="U1925" t="s">
        <v>1586</v>
      </c>
      <c r="V1925" t="s">
        <v>1753</v>
      </c>
      <c r="W1925" t="s">
        <v>1746</v>
      </c>
      <c r="X1925" t="s">
        <v>1755</v>
      </c>
    </row>
    <row r="1926" spans="1:24" x14ac:dyDescent="0.3">
      <c r="A1926" t="s">
        <v>3733</v>
      </c>
      <c r="B1926" s="2">
        <v>45849</v>
      </c>
      <c r="C1926" t="s">
        <v>1330</v>
      </c>
      <c r="D1926" t="s">
        <v>1591</v>
      </c>
      <c r="E1926" t="s">
        <v>1744</v>
      </c>
      <c r="F1926" s="4">
        <v>1</v>
      </c>
      <c r="G1926">
        <v>788.45</v>
      </c>
      <c r="H1926">
        <v>0.28999999999999998</v>
      </c>
      <c r="I1926" t="s">
        <v>1809</v>
      </c>
      <c r="J1926">
        <v>559.79949999999997</v>
      </c>
      <c r="K1926" t="s">
        <v>1331</v>
      </c>
      <c r="L1926">
        <v>37</v>
      </c>
      <c r="M1926" t="s">
        <v>16</v>
      </c>
      <c r="N1926" t="s">
        <v>1332</v>
      </c>
      <c r="O1926" t="s">
        <v>251</v>
      </c>
      <c r="P1926" t="s">
        <v>12</v>
      </c>
      <c r="Q1926" t="s">
        <v>13</v>
      </c>
      <c r="R1926" t="s">
        <v>3857</v>
      </c>
      <c r="S1926" t="s">
        <v>1527</v>
      </c>
      <c r="T1926" t="s">
        <v>3830</v>
      </c>
      <c r="U1926" t="s">
        <v>1592</v>
      </c>
      <c r="V1926" t="s">
        <v>1745</v>
      </c>
      <c r="W1926" t="s">
        <v>1746</v>
      </c>
      <c r="X1926" t="s">
        <v>1748</v>
      </c>
    </row>
    <row r="1927" spans="1:24" x14ac:dyDescent="0.3">
      <c r="A1927" t="s">
        <v>3734</v>
      </c>
      <c r="B1927" s="2">
        <v>45880</v>
      </c>
      <c r="C1927" t="s">
        <v>1115</v>
      </c>
      <c r="D1927" t="s">
        <v>1601</v>
      </c>
      <c r="E1927" t="s">
        <v>1777</v>
      </c>
      <c r="F1927" s="4">
        <v>2</v>
      </c>
      <c r="G1927">
        <v>338.81</v>
      </c>
      <c r="H1927">
        <v>7.0000000000000007E-2</v>
      </c>
      <c r="I1927" t="s">
        <v>1812</v>
      </c>
      <c r="J1927">
        <v>630.1866</v>
      </c>
      <c r="K1927" t="s">
        <v>1116</v>
      </c>
      <c r="L1927">
        <v>64</v>
      </c>
      <c r="M1927" t="s">
        <v>9</v>
      </c>
      <c r="N1927" t="s">
        <v>1117</v>
      </c>
      <c r="O1927" t="s">
        <v>288</v>
      </c>
      <c r="P1927" t="s">
        <v>12</v>
      </c>
      <c r="Q1927" t="s">
        <v>19</v>
      </c>
      <c r="R1927" t="s">
        <v>3863</v>
      </c>
      <c r="S1927" t="s">
        <v>1527</v>
      </c>
      <c r="T1927" t="s">
        <v>3824</v>
      </c>
      <c r="U1927" t="s">
        <v>1602</v>
      </c>
      <c r="V1927" t="s">
        <v>1741</v>
      </c>
      <c r="W1927" t="s">
        <v>1742</v>
      </c>
      <c r="X1927" t="s">
        <v>1739</v>
      </c>
    </row>
    <row r="1928" spans="1:24" x14ac:dyDescent="0.3">
      <c r="A1928" t="s">
        <v>3735</v>
      </c>
      <c r="B1928" s="2">
        <v>45907</v>
      </c>
      <c r="C1928" t="s">
        <v>110</v>
      </c>
      <c r="D1928" t="s">
        <v>1559</v>
      </c>
      <c r="E1928" t="s">
        <v>1756</v>
      </c>
      <c r="F1928" s="4">
        <v>4</v>
      </c>
      <c r="G1928">
        <v>94.48</v>
      </c>
      <c r="H1928">
        <v>0.06</v>
      </c>
      <c r="I1928" t="s">
        <v>1812</v>
      </c>
      <c r="J1928">
        <v>355.2448</v>
      </c>
      <c r="K1928" t="s">
        <v>111</v>
      </c>
      <c r="L1928">
        <v>31</v>
      </c>
      <c r="M1928" t="s">
        <v>9</v>
      </c>
      <c r="N1928" t="s">
        <v>112</v>
      </c>
      <c r="O1928" t="s">
        <v>113</v>
      </c>
      <c r="P1928" t="s">
        <v>12</v>
      </c>
      <c r="Q1928" t="s">
        <v>13</v>
      </c>
      <c r="R1928" t="s">
        <v>3835</v>
      </c>
      <c r="S1928" t="s">
        <v>1527</v>
      </c>
      <c r="T1928" t="s">
        <v>3836</v>
      </c>
      <c r="U1928" t="s">
        <v>1560</v>
      </c>
      <c r="V1928" t="s">
        <v>1757</v>
      </c>
      <c r="W1928" t="s">
        <v>1742</v>
      </c>
      <c r="X1928" t="s">
        <v>1748</v>
      </c>
    </row>
    <row r="1929" spans="1:24" x14ac:dyDescent="0.3">
      <c r="A1929" t="s">
        <v>3736</v>
      </c>
      <c r="B1929" s="2">
        <v>45545</v>
      </c>
      <c r="C1929" t="s">
        <v>1453</v>
      </c>
      <c r="D1929" t="s">
        <v>1569</v>
      </c>
      <c r="E1929" t="s">
        <v>1780</v>
      </c>
      <c r="F1929" s="4">
        <v>3</v>
      </c>
      <c r="G1929">
        <v>941.85</v>
      </c>
      <c r="H1929">
        <v>0.16</v>
      </c>
      <c r="I1929" t="s">
        <v>1809</v>
      </c>
      <c r="J1929">
        <v>2373.462</v>
      </c>
      <c r="K1929" t="s">
        <v>1454</v>
      </c>
      <c r="L1929">
        <v>59</v>
      </c>
      <c r="M1929" t="s">
        <v>9</v>
      </c>
      <c r="N1929" t="s">
        <v>1455</v>
      </c>
      <c r="O1929" t="s">
        <v>62</v>
      </c>
      <c r="P1929" t="s">
        <v>12</v>
      </c>
      <c r="Q1929" t="s">
        <v>19</v>
      </c>
      <c r="R1929" t="s">
        <v>3843</v>
      </c>
      <c r="S1929" t="s">
        <v>1549</v>
      </c>
      <c r="T1929" t="s">
        <v>3844</v>
      </c>
      <c r="U1929" t="s">
        <v>1570</v>
      </c>
      <c r="V1929" t="s">
        <v>1741</v>
      </c>
      <c r="W1929" t="s">
        <v>1742</v>
      </c>
      <c r="X1929" t="s">
        <v>1739</v>
      </c>
    </row>
    <row r="1930" spans="1:24" x14ac:dyDescent="0.3">
      <c r="A1930" t="s">
        <v>3737</v>
      </c>
      <c r="B1930" s="2">
        <v>45257</v>
      </c>
      <c r="C1930" t="s">
        <v>533</v>
      </c>
      <c r="D1930" t="s">
        <v>1621</v>
      </c>
      <c r="E1930" t="s">
        <v>1756</v>
      </c>
      <c r="F1930" s="4">
        <v>2</v>
      </c>
      <c r="G1930">
        <v>336.97</v>
      </c>
      <c r="H1930">
        <v>0.14000000000000001</v>
      </c>
      <c r="I1930" t="s">
        <v>1809</v>
      </c>
      <c r="J1930">
        <v>579.58840000000009</v>
      </c>
      <c r="K1930" t="s">
        <v>534</v>
      </c>
      <c r="L1930">
        <v>37</v>
      </c>
      <c r="M1930" t="s">
        <v>9</v>
      </c>
      <c r="N1930" t="s">
        <v>535</v>
      </c>
      <c r="O1930" t="s">
        <v>133</v>
      </c>
      <c r="P1930" t="s">
        <v>12</v>
      </c>
      <c r="Q1930" t="s">
        <v>31</v>
      </c>
      <c r="R1930" t="s">
        <v>3875</v>
      </c>
      <c r="S1930" t="s">
        <v>1549</v>
      </c>
      <c r="T1930" t="s">
        <v>3859</v>
      </c>
      <c r="U1930" t="s">
        <v>1622</v>
      </c>
      <c r="V1930" t="s">
        <v>1757</v>
      </c>
      <c r="W1930" t="s">
        <v>1742</v>
      </c>
      <c r="X1930" t="s">
        <v>1748</v>
      </c>
    </row>
    <row r="1931" spans="1:24" x14ac:dyDescent="0.3">
      <c r="A1931" t="s">
        <v>3738</v>
      </c>
      <c r="B1931" s="2">
        <v>45466</v>
      </c>
      <c r="C1931" t="s">
        <v>968</v>
      </c>
      <c r="D1931" t="s">
        <v>1538</v>
      </c>
      <c r="E1931" t="s">
        <v>1756</v>
      </c>
      <c r="F1931" s="4">
        <v>2</v>
      </c>
      <c r="G1931">
        <v>344.16</v>
      </c>
      <c r="H1931">
        <v>0.09</v>
      </c>
      <c r="I1931" t="s">
        <v>1809</v>
      </c>
      <c r="J1931">
        <v>626.37120000000004</v>
      </c>
      <c r="K1931" t="s">
        <v>969</v>
      </c>
      <c r="L1931">
        <v>35</v>
      </c>
      <c r="M1931" t="s">
        <v>9</v>
      </c>
      <c r="N1931" t="s">
        <v>970</v>
      </c>
      <c r="O1931" t="s">
        <v>170</v>
      </c>
      <c r="P1931" t="s">
        <v>12</v>
      </c>
      <c r="Q1931" t="s">
        <v>31</v>
      </c>
      <c r="R1931" t="s">
        <v>3880</v>
      </c>
      <c r="S1931" t="s">
        <v>1541</v>
      </c>
      <c r="T1931" t="s">
        <v>3881</v>
      </c>
      <c r="U1931" t="s">
        <v>1630</v>
      </c>
      <c r="V1931" t="s">
        <v>1757</v>
      </c>
      <c r="W1931" t="s">
        <v>1742</v>
      </c>
      <c r="X1931" t="s">
        <v>1748</v>
      </c>
    </row>
    <row r="1932" spans="1:24" x14ac:dyDescent="0.3">
      <c r="A1932" t="s">
        <v>3739</v>
      </c>
      <c r="B1932" s="2">
        <v>45847</v>
      </c>
      <c r="C1932" t="s">
        <v>939</v>
      </c>
      <c r="D1932" t="s">
        <v>1627</v>
      </c>
      <c r="E1932" t="s">
        <v>1769</v>
      </c>
      <c r="F1932" s="4">
        <v>1</v>
      </c>
      <c r="G1932">
        <v>841.53</v>
      </c>
      <c r="H1932">
        <v>0.15</v>
      </c>
      <c r="I1932" t="s">
        <v>1807</v>
      </c>
      <c r="J1932">
        <v>715.30049999999994</v>
      </c>
      <c r="K1932" t="s">
        <v>940</v>
      </c>
      <c r="L1932">
        <v>50</v>
      </c>
      <c r="M1932" t="s">
        <v>9</v>
      </c>
      <c r="N1932" t="s">
        <v>941</v>
      </c>
      <c r="O1932" t="s">
        <v>35</v>
      </c>
      <c r="P1932" t="s">
        <v>12</v>
      </c>
      <c r="Q1932" t="s">
        <v>31</v>
      </c>
      <c r="R1932" t="s">
        <v>3879</v>
      </c>
      <c r="S1932" t="s">
        <v>1546</v>
      </c>
      <c r="T1932" t="s">
        <v>3820</v>
      </c>
      <c r="U1932" t="s">
        <v>1628</v>
      </c>
      <c r="V1932" t="s">
        <v>1770</v>
      </c>
      <c r="W1932" t="s">
        <v>1746</v>
      </c>
      <c r="X1932" t="s">
        <v>1739</v>
      </c>
    </row>
    <row r="1933" spans="1:24" x14ac:dyDescent="0.3">
      <c r="A1933" t="s">
        <v>3740</v>
      </c>
      <c r="B1933" s="2">
        <v>45825</v>
      </c>
      <c r="C1933" t="s">
        <v>1300</v>
      </c>
      <c r="D1933" t="s">
        <v>1697</v>
      </c>
      <c r="E1933" t="s">
        <v>1790</v>
      </c>
      <c r="F1933" s="4">
        <v>3</v>
      </c>
      <c r="G1933">
        <v>63.36</v>
      </c>
      <c r="H1933">
        <v>0.28999999999999998</v>
      </c>
      <c r="I1933" t="s">
        <v>1812</v>
      </c>
      <c r="J1933">
        <v>134.95679999999999</v>
      </c>
      <c r="K1933" t="s">
        <v>1301</v>
      </c>
      <c r="L1933">
        <v>40</v>
      </c>
      <c r="M1933" t="s">
        <v>9</v>
      </c>
      <c r="N1933" t="s">
        <v>1302</v>
      </c>
      <c r="O1933" t="s">
        <v>11</v>
      </c>
      <c r="P1933" t="s">
        <v>12</v>
      </c>
      <c r="Q1933" t="s">
        <v>26</v>
      </c>
      <c r="R1933" t="s">
        <v>3916</v>
      </c>
      <c r="S1933" t="s">
        <v>1541</v>
      </c>
      <c r="T1933" t="s">
        <v>3822</v>
      </c>
      <c r="U1933" t="s">
        <v>1698</v>
      </c>
      <c r="V1933" t="s">
        <v>1741</v>
      </c>
      <c r="W1933" t="s">
        <v>1742</v>
      </c>
      <c r="X1933" t="s">
        <v>1739</v>
      </c>
    </row>
    <row r="1934" spans="1:24" x14ac:dyDescent="0.3">
      <c r="A1934" t="s">
        <v>3741</v>
      </c>
      <c r="B1934" s="2">
        <v>45839</v>
      </c>
      <c r="C1934" t="s">
        <v>1507</v>
      </c>
      <c r="D1934" t="s">
        <v>1687</v>
      </c>
      <c r="E1934" t="s">
        <v>1765</v>
      </c>
      <c r="F1934" s="4">
        <v>2</v>
      </c>
      <c r="G1934">
        <v>552.49</v>
      </c>
      <c r="H1934">
        <v>0.1</v>
      </c>
      <c r="I1934" t="s">
        <v>1807</v>
      </c>
      <c r="J1934">
        <v>994.48200000000008</v>
      </c>
      <c r="K1934" t="s">
        <v>1508</v>
      </c>
      <c r="L1934">
        <v>47</v>
      </c>
      <c r="M1934" t="s">
        <v>16</v>
      </c>
      <c r="N1934" t="s">
        <v>1509</v>
      </c>
      <c r="O1934" t="s">
        <v>25</v>
      </c>
      <c r="P1934" t="s">
        <v>12</v>
      </c>
      <c r="Q1934" t="s">
        <v>26</v>
      </c>
      <c r="R1934" t="s">
        <v>3911</v>
      </c>
      <c r="S1934" t="s">
        <v>1527</v>
      </c>
      <c r="T1934" t="s">
        <v>3836</v>
      </c>
      <c r="U1934" t="s">
        <v>1688</v>
      </c>
      <c r="V1934" t="s">
        <v>1766</v>
      </c>
      <c r="W1934" t="s">
        <v>1767</v>
      </c>
      <c r="X1934" t="s">
        <v>1755</v>
      </c>
    </row>
    <row r="1935" spans="1:24" x14ac:dyDescent="0.3">
      <c r="A1935" t="s">
        <v>3742</v>
      </c>
      <c r="B1935" s="2">
        <v>45720</v>
      </c>
      <c r="C1935" t="s">
        <v>752</v>
      </c>
      <c r="D1935" t="s">
        <v>1579</v>
      </c>
      <c r="E1935" t="s">
        <v>1759</v>
      </c>
      <c r="F1935" s="4">
        <v>3</v>
      </c>
      <c r="G1935">
        <v>447.38</v>
      </c>
      <c r="H1935">
        <v>0.03</v>
      </c>
      <c r="I1935" t="s">
        <v>1807</v>
      </c>
      <c r="J1935">
        <v>1301.8758</v>
      </c>
      <c r="K1935" t="s">
        <v>753</v>
      </c>
      <c r="L1935">
        <v>41</v>
      </c>
      <c r="M1935" t="s">
        <v>16</v>
      </c>
      <c r="N1935" t="s">
        <v>754</v>
      </c>
      <c r="O1935" t="s">
        <v>284</v>
      </c>
      <c r="P1935" t="s">
        <v>12</v>
      </c>
      <c r="Q1935" t="s">
        <v>26</v>
      </c>
      <c r="R1935" t="s">
        <v>3850</v>
      </c>
      <c r="S1935" t="s">
        <v>1549</v>
      </c>
      <c r="T1935" t="s">
        <v>3851</v>
      </c>
      <c r="U1935" t="s">
        <v>1580</v>
      </c>
      <c r="V1935" t="s">
        <v>1760</v>
      </c>
      <c r="W1935" t="s">
        <v>1737</v>
      </c>
      <c r="X1935" t="s">
        <v>1755</v>
      </c>
    </row>
    <row r="1936" spans="1:24" x14ac:dyDescent="0.3">
      <c r="A1936" t="s">
        <v>3743</v>
      </c>
      <c r="B1936" s="2">
        <v>45250</v>
      </c>
      <c r="C1936" t="s">
        <v>1376</v>
      </c>
      <c r="D1936" t="s">
        <v>1677</v>
      </c>
      <c r="E1936" t="s">
        <v>1796</v>
      </c>
      <c r="F1936" s="4">
        <v>1</v>
      </c>
      <c r="G1936">
        <v>727.7</v>
      </c>
      <c r="H1936">
        <v>0.21</v>
      </c>
      <c r="I1936" t="s">
        <v>1812</v>
      </c>
      <c r="J1936">
        <v>574.88300000000004</v>
      </c>
      <c r="K1936" t="s">
        <v>1377</v>
      </c>
      <c r="L1936">
        <v>46</v>
      </c>
      <c r="M1936" t="s">
        <v>9</v>
      </c>
      <c r="N1936" t="s">
        <v>1378</v>
      </c>
      <c r="O1936" t="s">
        <v>70</v>
      </c>
      <c r="P1936" t="s">
        <v>12</v>
      </c>
      <c r="Q1936" t="s">
        <v>26</v>
      </c>
      <c r="R1936" t="s">
        <v>3906</v>
      </c>
      <c r="S1936" t="s">
        <v>1549</v>
      </c>
      <c r="T1936" t="s">
        <v>3859</v>
      </c>
      <c r="U1936" t="s">
        <v>1678</v>
      </c>
      <c r="V1936" t="s">
        <v>1741</v>
      </c>
      <c r="W1936" t="s">
        <v>1742</v>
      </c>
      <c r="X1936" t="s">
        <v>1739</v>
      </c>
    </row>
    <row r="1937" spans="1:24" x14ac:dyDescent="0.3">
      <c r="A1937" t="s">
        <v>3744</v>
      </c>
      <c r="B1937" s="2">
        <v>45258</v>
      </c>
      <c r="C1937" t="s">
        <v>1336</v>
      </c>
      <c r="D1937" t="s">
        <v>1633</v>
      </c>
      <c r="E1937" t="s">
        <v>1762</v>
      </c>
      <c r="F1937" s="4">
        <v>4</v>
      </c>
      <c r="G1937">
        <v>581.34</v>
      </c>
      <c r="H1937">
        <v>0.08</v>
      </c>
      <c r="I1937" t="s">
        <v>1807</v>
      </c>
      <c r="J1937">
        <v>2139.3312000000001</v>
      </c>
      <c r="K1937" t="s">
        <v>1337</v>
      </c>
      <c r="L1937">
        <v>47</v>
      </c>
      <c r="M1937" t="s">
        <v>16</v>
      </c>
      <c r="N1937" t="s">
        <v>1338</v>
      </c>
      <c r="O1937" t="s">
        <v>39</v>
      </c>
      <c r="P1937" t="s">
        <v>12</v>
      </c>
      <c r="Q1937" t="s">
        <v>13</v>
      </c>
      <c r="R1937" t="s">
        <v>3883</v>
      </c>
      <c r="S1937" t="s">
        <v>1546</v>
      </c>
      <c r="T1937" t="s">
        <v>3820</v>
      </c>
      <c r="U1937" t="s">
        <v>1634</v>
      </c>
      <c r="V1937" t="s">
        <v>1763</v>
      </c>
      <c r="W1937" t="s">
        <v>1746</v>
      </c>
      <c r="X1937" t="s">
        <v>1755</v>
      </c>
    </row>
    <row r="1938" spans="1:24" x14ac:dyDescent="0.3">
      <c r="A1938" t="s">
        <v>3745</v>
      </c>
      <c r="B1938" s="2">
        <v>45793</v>
      </c>
      <c r="C1938" t="s">
        <v>339</v>
      </c>
      <c r="D1938" t="s">
        <v>1663</v>
      </c>
      <c r="E1938" t="s">
        <v>1740</v>
      </c>
      <c r="F1938" s="4">
        <v>1</v>
      </c>
      <c r="G1938">
        <v>338.83</v>
      </c>
      <c r="H1938">
        <v>0.19</v>
      </c>
      <c r="I1938" t="s">
        <v>1809</v>
      </c>
      <c r="J1938">
        <v>274.45229999999998</v>
      </c>
      <c r="K1938" t="s">
        <v>340</v>
      </c>
      <c r="L1938">
        <v>36</v>
      </c>
      <c r="M1938" t="s">
        <v>9</v>
      </c>
      <c r="N1938" t="s">
        <v>341</v>
      </c>
      <c r="O1938" t="s">
        <v>323</v>
      </c>
      <c r="P1938" t="s">
        <v>12</v>
      </c>
      <c r="Q1938" t="s">
        <v>19</v>
      </c>
      <c r="R1938" t="s">
        <v>3898</v>
      </c>
      <c r="S1938" t="s">
        <v>1541</v>
      </c>
      <c r="T1938" t="s">
        <v>3833</v>
      </c>
      <c r="U1938" t="s">
        <v>1664</v>
      </c>
      <c r="V1938" t="s">
        <v>1741</v>
      </c>
      <c r="W1938" t="s">
        <v>1742</v>
      </c>
      <c r="X1938" t="s">
        <v>1739</v>
      </c>
    </row>
    <row r="1939" spans="1:24" x14ac:dyDescent="0.3">
      <c r="A1939" t="s">
        <v>3746</v>
      </c>
      <c r="B1939" s="2">
        <v>45265</v>
      </c>
      <c r="C1939" t="s">
        <v>897</v>
      </c>
      <c r="D1939" t="s">
        <v>1629</v>
      </c>
      <c r="E1939" t="s">
        <v>1780</v>
      </c>
      <c r="F1939" s="4">
        <v>4</v>
      </c>
      <c r="G1939">
        <v>568.80999999999995</v>
      </c>
      <c r="H1939">
        <v>0.25</v>
      </c>
      <c r="I1939" t="s">
        <v>1807</v>
      </c>
      <c r="J1939">
        <v>1706.43</v>
      </c>
      <c r="K1939" t="s">
        <v>898</v>
      </c>
      <c r="L1939">
        <v>22</v>
      </c>
      <c r="M1939" t="s">
        <v>9</v>
      </c>
      <c r="N1939" t="s">
        <v>899</v>
      </c>
      <c r="O1939" t="s">
        <v>709</v>
      </c>
      <c r="P1939" t="s">
        <v>12</v>
      </c>
      <c r="Q1939" t="s">
        <v>31</v>
      </c>
      <c r="R1939" t="s">
        <v>3880</v>
      </c>
      <c r="S1939" t="s">
        <v>1541</v>
      </c>
      <c r="T1939" t="s">
        <v>3881</v>
      </c>
      <c r="U1939" t="s">
        <v>1630</v>
      </c>
      <c r="V1939" t="s">
        <v>1741</v>
      </c>
      <c r="W1939" t="s">
        <v>1742</v>
      </c>
      <c r="X1939" t="s">
        <v>1739</v>
      </c>
    </row>
    <row r="1940" spans="1:24" x14ac:dyDescent="0.3">
      <c r="A1940" t="s">
        <v>3747</v>
      </c>
      <c r="B1940" s="2">
        <v>45607</v>
      </c>
      <c r="C1940" t="s">
        <v>1159</v>
      </c>
      <c r="D1940" t="s">
        <v>1653</v>
      </c>
      <c r="E1940" t="s">
        <v>1790</v>
      </c>
      <c r="F1940" s="4">
        <v>2</v>
      </c>
      <c r="G1940">
        <v>352.63</v>
      </c>
      <c r="H1940">
        <v>0.15</v>
      </c>
      <c r="I1940" t="s">
        <v>1809</v>
      </c>
      <c r="J1940">
        <v>599.471</v>
      </c>
      <c r="K1940" t="s">
        <v>1160</v>
      </c>
      <c r="L1940">
        <v>30</v>
      </c>
      <c r="M1940" t="s">
        <v>9</v>
      </c>
      <c r="N1940" t="s">
        <v>1161</v>
      </c>
      <c r="O1940" t="s">
        <v>198</v>
      </c>
      <c r="P1940" t="s">
        <v>12</v>
      </c>
      <c r="Q1940" t="s">
        <v>19</v>
      </c>
      <c r="R1940" t="s">
        <v>3893</v>
      </c>
      <c r="S1940" t="s">
        <v>1549</v>
      </c>
      <c r="T1940" t="s">
        <v>3844</v>
      </c>
      <c r="U1940" t="s">
        <v>1654</v>
      </c>
      <c r="V1940" t="s">
        <v>1741</v>
      </c>
      <c r="W1940" t="s">
        <v>1742</v>
      </c>
      <c r="X1940" t="s">
        <v>1739</v>
      </c>
    </row>
    <row r="1941" spans="1:24" x14ac:dyDescent="0.3">
      <c r="A1941" t="s">
        <v>3748</v>
      </c>
      <c r="B1941" s="2">
        <v>45382</v>
      </c>
      <c r="C1941" t="s">
        <v>518</v>
      </c>
      <c r="D1941" t="s">
        <v>1723</v>
      </c>
      <c r="E1941" t="s">
        <v>1780</v>
      </c>
      <c r="F1941" s="4">
        <v>2</v>
      </c>
      <c r="G1941">
        <v>629.86</v>
      </c>
      <c r="H1941">
        <v>0.15</v>
      </c>
      <c r="I1941" t="s">
        <v>1809</v>
      </c>
      <c r="J1941">
        <v>1070.7619999999999</v>
      </c>
      <c r="K1941" t="s">
        <v>519</v>
      </c>
      <c r="L1941">
        <v>59</v>
      </c>
      <c r="M1941" t="s">
        <v>9</v>
      </c>
      <c r="N1941" t="s">
        <v>520</v>
      </c>
      <c r="O1941" t="s">
        <v>18</v>
      </c>
      <c r="P1941" t="s">
        <v>12</v>
      </c>
      <c r="Q1941" t="s">
        <v>26</v>
      </c>
      <c r="R1941" t="s">
        <v>3929</v>
      </c>
      <c r="S1941" t="s">
        <v>1530</v>
      </c>
      <c r="T1941" t="s">
        <v>3815</v>
      </c>
      <c r="U1941" t="s">
        <v>1724</v>
      </c>
      <c r="V1941" t="s">
        <v>1741</v>
      </c>
      <c r="W1941" t="s">
        <v>1742</v>
      </c>
      <c r="X1941" t="s">
        <v>1739</v>
      </c>
    </row>
    <row r="1942" spans="1:24" x14ac:dyDescent="0.3">
      <c r="A1942" t="s">
        <v>3749</v>
      </c>
      <c r="B1942" s="2">
        <v>45793</v>
      </c>
      <c r="C1942" t="s">
        <v>1499</v>
      </c>
      <c r="D1942" t="s">
        <v>1727</v>
      </c>
      <c r="E1942" t="s">
        <v>1749</v>
      </c>
      <c r="F1942" s="4">
        <v>3</v>
      </c>
      <c r="G1942">
        <v>212.08</v>
      </c>
      <c r="H1942">
        <v>7.0000000000000007E-2</v>
      </c>
      <c r="I1942" t="s">
        <v>1807</v>
      </c>
      <c r="J1942">
        <v>591.70319999999992</v>
      </c>
      <c r="K1942" t="s">
        <v>1500</v>
      </c>
      <c r="L1942">
        <v>21</v>
      </c>
      <c r="M1942" t="s">
        <v>9</v>
      </c>
      <c r="N1942" t="s">
        <v>84</v>
      </c>
      <c r="O1942" t="s">
        <v>22</v>
      </c>
      <c r="P1942" t="s">
        <v>12</v>
      </c>
      <c r="Q1942" t="s">
        <v>31</v>
      </c>
      <c r="R1942" t="s">
        <v>3931</v>
      </c>
      <c r="S1942" t="s">
        <v>1546</v>
      </c>
      <c r="T1942" t="s">
        <v>3826</v>
      </c>
      <c r="U1942" t="s">
        <v>1728</v>
      </c>
      <c r="V1942" t="s">
        <v>1750</v>
      </c>
      <c r="W1942" t="s">
        <v>1742</v>
      </c>
      <c r="X1942" t="s">
        <v>1748</v>
      </c>
    </row>
    <row r="1943" spans="1:24" x14ac:dyDescent="0.3">
      <c r="A1943" t="s">
        <v>3750</v>
      </c>
      <c r="B1943" s="2">
        <v>45590</v>
      </c>
      <c r="C1943" t="s">
        <v>533</v>
      </c>
      <c r="D1943" t="s">
        <v>1645</v>
      </c>
      <c r="E1943" t="s">
        <v>1744</v>
      </c>
      <c r="F1943" s="4">
        <v>3</v>
      </c>
      <c r="G1943">
        <v>878.62</v>
      </c>
      <c r="H1943">
        <v>0.05</v>
      </c>
      <c r="I1943" t="s">
        <v>1809</v>
      </c>
      <c r="J1943">
        <v>2504.067</v>
      </c>
      <c r="K1943" t="s">
        <v>534</v>
      </c>
      <c r="L1943">
        <v>37</v>
      </c>
      <c r="M1943" t="s">
        <v>9</v>
      </c>
      <c r="N1943" t="s">
        <v>535</v>
      </c>
      <c r="O1943" t="s">
        <v>133</v>
      </c>
      <c r="P1943" t="s">
        <v>12</v>
      </c>
      <c r="Q1943" t="s">
        <v>31</v>
      </c>
      <c r="R1943" t="s">
        <v>3889</v>
      </c>
      <c r="S1943" t="s">
        <v>1549</v>
      </c>
      <c r="T1943" t="s">
        <v>3828</v>
      </c>
      <c r="U1943" t="s">
        <v>1646</v>
      </c>
      <c r="V1943" t="s">
        <v>1745</v>
      </c>
      <c r="W1943" t="s">
        <v>1746</v>
      </c>
      <c r="X1943" t="s">
        <v>1748</v>
      </c>
    </row>
    <row r="1944" spans="1:24" x14ac:dyDescent="0.3">
      <c r="A1944" t="s">
        <v>3751</v>
      </c>
      <c r="B1944" s="2">
        <v>45679</v>
      </c>
      <c r="C1944" t="s">
        <v>826</v>
      </c>
      <c r="D1944" t="s">
        <v>1691</v>
      </c>
      <c r="E1944" t="s">
        <v>1772</v>
      </c>
      <c r="F1944" s="4">
        <v>4</v>
      </c>
      <c r="G1944">
        <v>87.83</v>
      </c>
      <c r="H1944">
        <v>0.23</v>
      </c>
      <c r="I1944" t="s">
        <v>1809</v>
      </c>
      <c r="J1944">
        <v>270.51639999999998</v>
      </c>
      <c r="K1944" t="s">
        <v>827</v>
      </c>
      <c r="L1944">
        <v>60</v>
      </c>
      <c r="M1944" t="s">
        <v>16</v>
      </c>
      <c r="N1944" t="s">
        <v>828</v>
      </c>
      <c r="O1944" t="s">
        <v>35</v>
      </c>
      <c r="P1944" t="s">
        <v>12</v>
      </c>
      <c r="Q1944" t="s">
        <v>31</v>
      </c>
      <c r="R1944" t="s">
        <v>3913</v>
      </c>
      <c r="S1944" t="s">
        <v>1527</v>
      </c>
      <c r="T1944" t="s">
        <v>3830</v>
      </c>
      <c r="U1944" t="s">
        <v>1692</v>
      </c>
      <c r="V1944" t="s">
        <v>1741</v>
      </c>
      <c r="W1944" t="s">
        <v>1742</v>
      </c>
      <c r="X1944" t="s">
        <v>1739</v>
      </c>
    </row>
    <row r="1945" spans="1:24" x14ac:dyDescent="0.3">
      <c r="A1945" t="s">
        <v>3752</v>
      </c>
      <c r="B1945" s="2">
        <v>45814</v>
      </c>
      <c r="C1945" t="s">
        <v>867</v>
      </c>
      <c r="D1945" t="s">
        <v>1643</v>
      </c>
      <c r="E1945" t="s">
        <v>1769</v>
      </c>
      <c r="F1945" s="4">
        <v>3</v>
      </c>
      <c r="G1945">
        <v>442.64</v>
      </c>
      <c r="H1945">
        <v>0.15</v>
      </c>
      <c r="I1945" t="s">
        <v>1812</v>
      </c>
      <c r="J1945">
        <v>1128.732</v>
      </c>
      <c r="K1945" t="s">
        <v>868</v>
      </c>
      <c r="L1945">
        <v>38</v>
      </c>
      <c r="M1945" t="s">
        <v>9</v>
      </c>
      <c r="N1945" t="s">
        <v>869</v>
      </c>
      <c r="O1945" t="s">
        <v>582</v>
      </c>
      <c r="P1945" t="s">
        <v>12</v>
      </c>
      <c r="Q1945" t="s">
        <v>13</v>
      </c>
      <c r="R1945" t="s">
        <v>3888</v>
      </c>
      <c r="S1945" t="s">
        <v>1527</v>
      </c>
      <c r="T1945" t="s">
        <v>3836</v>
      </c>
      <c r="U1945" t="s">
        <v>1644</v>
      </c>
      <c r="V1945" t="s">
        <v>1770</v>
      </c>
      <c r="W1945" t="s">
        <v>1746</v>
      </c>
      <c r="X1945" t="s">
        <v>1739</v>
      </c>
    </row>
    <row r="1946" spans="1:24" x14ac:dyDescent="0.3">
      <c r="A1946" t="s">
        <v>3753</v>
      </c>
      <c r="B1946" s="2">
        <v>45795</v>
      </c>
      <c r="C1946" t="s">
        <v>330</v>
      </c>
      <c r="D1946" t="s">
        <v>1607</v>
      </c>
      <c r="E1946" t="s">
        <v>1744</v>
      </c>
      <c r="F1946" s="4">
        <v>3</v>
      </c>
      <c r="G1946">
        <v>410.04</v>
      </c>
      <c r="H1946">
        <v>0.09</v>
      </c>
      <c r="I1946" t="s">
        <v>1812</v>
      </c>
      <c r="J1946">
        <v>1119.4092000000001</v>
      </c>
      <c r="K1946" t="s">
        <v>331</v>
      </c>
      <c r="L1946">
        <v>43</v>
      </c>
      <c r="M1946" t="s">
        <v>16</v>
      </c>
      <c r="N1946" t="s">
        <v>332</v>
      </c>
      <c r="O1946" t="s">
        <v>312</v>
      </c>
      <c r="P1946" t="s">
        <v>12</v>
      </c>
      <c r="Q1946" t="s">
        <v>13</v>
      </c>
      <c r="R1946" t="s">
        <v>3867</v>
      </c>
      <c r="S1946" t="s">
        <v>1549</v>
      </c>
      <c r="T1946" t="s">
        <v>3851</v>
      </c>
      <c r="U1946" t="s">
        <v>1608</v>
      </c>
      <c r="V1946" t="s">
        <v>1745</v>
      </c>
      <c r="W1946" t="s">
        <v>1746</v>
      </c>
      <c r="X1946" t="s">
        <v>1748</v>
      </c>
    </row>
    <row r="1947" spans="1:24" x14ac:dyDescent="0.3">
      <c r="A1947" t="s">
        <v>3754</v>
      </c>
      <c r="B1947" s="2">
        <v>45797</v>
      </c>
      <c r="C1947" t="s">
        <v>450</v>
      </c>
      <c r="D1947" t="s">
        <v>1719</v>
      </c>
      <c r="E1947" t="s">
        <v>1790</v>
      </c>
      <c r="F1947" s="4">
        <v>1</v>
      </c>
      <c r="G1947">
        <v>355.31</v>
      </c>
      <c r="H1947">
        <v>0.27</v>
      </c>
      <c r="I1947" t="s">
        <v>1807</v>
      </c>
      <c r="J1947">
        <v>259.37630000000001</v>
      </c>
      <c r="K1947" t="s">
        <v>451</v>
      </c>
      <c r="L1947">
        <v>54</v>
      </c>
      <c r="M1947" t="s">
        <v>9</v>
      </c>
      <c r="N1947" t="s">
        <v>452</v>
      </c>
      <c r="O1947" t="s">
        <v>247</v>
      </c>
      <c r="P1947" t="s">
        <v>12</v>
      </c>
      <c r="Q1947" t="s">
        <v>26</v>
      </c>
      <c r="R1947" t="s">
        <v>3927</v>
      </c>
      <c r="S1947" t="s">
        <v>1541</v>
      </c>
      <c r="T1947" t="s">
        <v>3822</v>
      </c>
      <c r="U1947" t="s">
        <v>1720</v>
      </c>
      <c r="V1947" t="s">
        <v>1741</v>
      </c>
      <c r="W1947" t="s">
        <v>1742</v>
      </c>
      <c r="X1947" t="s">
        <v>1739</v>
      </c>
    </row>
    <row r="1948" spans="1:24" x14ac:dyDescent="0.3">
      <c r="A1948" t="s">
        <v>3755</v>
      </c>
      <c r="B1948" s="2">
        <v>45607</v>
      </c>
      <c r="C1948" t="s">
        <v>1162</v>
      </c>
      <c r="D1948" t="s">
        <v>1548</v>
      </c>
      <c r="E1948" t="s">
        <v>1780</v>
      </c>
      <c r="F1948" s="4">
        <v>4</v>
      </c>
      <c r="G1948">
        <v>243.13</v>
      </c>
      <c r="H1948">
        <v>0.25</v>
      </c>
      <c r="I1948" t="s">
        <v>1812</v>
      </c>
      <c r="J1948">
        <v>729.39</v>
      </c>
      <c r="K1948" t="s">
        <v>1163</v>
      </c>
      <c r="L1948">
        <v>39</v>
      </c>
      <c r="M1948" t="s">
        <v>16</v>
      </c>
      <c r="N1948" t="s">
        <v>1164</v>
      </c>
      <c r="O1948" t="s">
        <v>166</v>
      </c>
      <c r="P1948" t="s">
        <v>12</v>
      </c>
      <c r="Q1948" t="s">
        <v>26</v>
      </c>
      <c r="R1948" t="s">
        <v>3922</v>
      </c>
      <c r="S1948" t="s">
        <v>1541</v>
      </c>
      <c r="T1948" t="s">
        <v>3878</v>
      </c>
      <c r="U1948" t="s">
        <v>1710</v>
      </c>
      <c r="V1948" t="s">
        <v>1741</v>
      </c>
      <c r="W1948" t="s">
        <v>1742</v>
      </c>
      <c r="X1948" t="s">
        <v>1739</v>
      </c>
    </row>
    <row r="1949" spans="1:24" x14ac:dyDescent="0.3">
      <c r="A1949" t="s">
        <v>3756</v>
      </c>
      <c r="B1949" s="2">
        <v>45614</v>
      </c>
      <c r="C1949" t="s">
        <v>731</v>
      </c>
      <c r="D1949" t="s">
        <v>1649</v>
      </c>
      <c r="E1949" t="s">
        <v>1775</v>
      </c>
      <c r="F1949" s="4">
        <v>2</v>
      </c>
      <c r="G1949">
        <v>410.63</v>
      </c>
      <c r="H1949">
        <v>0.28000000000000003</v>
      </c>
      <c r="I1949" t="s">
        <v>1812</v>
      </c>
      <c r="J1949">
        <v>591.30719999999997</v>
      </c>
      <c r="K1949" t="s">
        <v>732</v>
      </c>
      <c r="L1949">
        <v>29</v>
      </c>
      <c r="M1949" t="s">
        <v>9</v>
      </c>
      <c r="N1949" t="s">
        <v>733</v>
      </c>
      <c r="O1949" t="s">
        <v>139</v>
      </c>
      <c r="P1949" t="s">
        <v>12</v>
      </c>
      <c r="Q1949" t="s">
        <v>26</v>
      </c>
      <c r="R1949" t="s">
        <v>3891</v>
      </c>
      <c r="S1949" t="s">
        <v>1541</v>
      </c>
      <c r="T1949" t="s">
        <v>3833</v>
      </c>
      <c r="U1949" t="s">
        <v>1650</v>
      </c>
      <c r="V1949" t="s">
        <v>1741</v>
      </c>
      <c r="W1949" t="s">
        <v>1742</v>
      </c>
      <c r="X1949" t="s">
        <v>1739</v>
      </c>
    </row>
    <row r="1950" spans="1:24" x14ac:dyDescent="0.3">
      <c r="A1950" t="s">
        <v>3757</v>
      </c>
      <c r="B1950" s="2">
        <v>45293</v>
      </c>
      <c r="C1950" t="s">
        <v>1303</v>
      </c>
      <c r="D1950" t="s">
        <v>1719</v>
      </c>
      <c r="E1950" t="s">
        <v>1772</v>
      </c>
      <c r="F1950" s="4">
        <v>4</v>
      </c>
      <c r="G1950">
        <v>101.25</v>
      </c>
      <c r="H1950">
        <v>0.16</v>
      </c>
      <c r="I1950" t="s">
        <v>1809</v>
      </c>
      <c r="J1950">
        <v>340.2</v>
      </c>
      <c r="K1950" t="s">
        <v>1304</v>
      </c>
      <c r="L1950">
        <v>28</v>
      </c>
      <c r="M1950" t="s">
        <v>9</v>
      </c>
      <c r="N1950" t="s">
        <v>1305</v>
      </c>
      <c r="O1950" t="s">
        <v>117</v>
      </c>
      <c r="P1950" t="s">
        <v>12</v>
      </c>
      <c r="Q1950" t="s">
        <v>26</v>
      </c>
      <c r="R1950" t="s">
        <v>3927</v>
      </c>
      <c r="S1950" t="s">
        <v>1541</v>
      </c>
      <c r="T1950" t="s">
        <v>3822</v>
      </c>
      <c r="U1950" t="s">
        <v>1720</v>
      </c>
      <c r="V1950" t="s">
        <v>1741</v>
      </c>
      <c r="W1950" t="s">
        <v>1742</v>
      </c>
      <c r="X1950" t="s">
        <v>1739</v>
      </c>
    </row>
    <row r="1951" spans="1:24" x14ac:dyDescent="0.3">
      <c r="A1951" t="s">
        <v>3758</v>
      </c>
      <c r="B1951" s="2">
        <v>45301</v>
      </c>
      <c r="C1951" t="s">
        <v>724</v>
      </c>
      <c r="D1951" t="s">
        <v>1543</v>
      </c>
      <c r="E1951" t="s">
        <v>1790</v>
      </c>
      <c r="F1951" s="4">
        <v>4</v>
      </c>
      <c r="G1951">
        <v>716.39</v>
      </c>
      <c r="H1951">
        <v>0.03</v>
      </c>
      <c r="I1951" t="s">
        <v>1809</v>
      </c>
      <c r="J1951">
        <v>2779.5931999999998</v>
      </c>
      <c r="K1951" t="s">
        <v>725</v>
      </c>
      <c r="L1951">
        <v>63</v>
      </c>
      <c r="M1951" t="s">
        <v>16</v>
      </c>
      <c r="N1951" t="s">
        <v>213</v>
      </c>
      <c r="O1951" t="s">
        <v>162</v>
      </c>
      <c r="P1951" t="s">
        <v>12</v>
      </c>
      <c r="Q1951" t="s">
        <v>13</v>
      </c>
      <c r="R1951" t="s">
        <v>3902</v>
      </c>
      <c r="S1951" t="s">
        <v>1530</v>
      </c>
      <c r="T1951" t="s">
        <v>3818</v>
      </c>
      <c r="U1951" t="s">
        <v>1670</v>
      </c>
      <c r="V1951" t="s">
        <v>1741</v>
      </c>
      <c r="W1951" t="s">
        <v>1742</v>
      </c>
      <c r="X1951" t="s">
        <v>1739</v>
      </c>
    </row>
    <row r="1952" spans="1:24" x14ac:dyDescent="0.3">
      <c r="A1952" t="s">
        <v>3759</v>
      </c>
      <c r="B1952" s="2">
        <v>45311</v>
      </c>
      <c r="C1952" t="s">
        <v>333</v>
      </c>
      <c r="D1952" t="s">
        <v>1677</v>
      </c>
      <c r="E1952" t="s">
        <v>1740</v>
      </c>
      <c r="F1952" s="4">
        <v>1</v>
      </c>
      <c r="G1952">
        <v>721.74</v>
      </c>
      <c r="H1952">
        <v>0.24</v>
      </c>
      <c r="I1952" t="s">
        <v>1809</v>
      </c>
      <c r="J1952">
        <v>548.52240000000006</v>
      </c>
      <c r="K1952" t="s">
        <v>334</v>
      </c>
      <c r="L1952">
        <v>62</v>
      </c>
      <c r="M1952" t="s">
        <v>16</v>
      </c>
      <c r="N1952" t="s">
        <v>335</v>
      </c>
      <c r="O1952" t="s">
        <v>181</v>
      </c>
      <c r="P1952" t="s">
        <v>12</v>
      </c>
      <c r="Q1952" t="s">
        <v>13</v>
      </c>
      <c r="R1952" t="s">
        <v>3906</v>
      </c>
      <c r="S1952" t="s">
        <v>1549</v>
      </c>
      <c r="T1952" t="s">
        <v>3859</v>
      </c>
      <c r="U1952" t="s">
        <v>1678</v>
      </c>
      <c r="V1952" t="s">
        <v>1741</v>
      </c>
      <c r="W1952" t="s">
        <v>1742</v>
      </c>
      <c r="X1952" t="s">
        <v>1739</v>
      </c>
    </row>
    <row r="1953" spans="1:24" x14ac:dyDescent="0.3">
      <c r="A1953" t="s">
        <v>3760</v>
      </c>
      <c r="B1953" s="2">
        <v>45702</v>
      </c>
      <c r="C1953" t="s">
        <v>202</v>
      </c>
      <c r="D1953" t="s">
        <v>1655</v>
      </c>
      <c r="E1953" t="s">
        <v>1775</v>
      </c>
      <c r="F1953" s="4">
        <v>2</v>
      </c>
      <c r="G1953">
        <v>527.91</v>
      </c>
      <c r="H1953">
        <v>0.02</v>
      </c>
      <c r="I1953" t="s">
        <v>1807</v>
      </c>
      <c r="J1953">
        <v>1034.7036000000001</v>
      </c>
      <c r="K1953" t="s">
        <v>203</v>
      </c>
      <c r="L1953">
        <v>56</v>
      </c>
      <c r="M1953" t="s">
        <v>16</v>
      </c>
      <c r="N1953" t="s">
        <v>204</v>
      </c>
      <c r="O1953" t="s">
        <v>96</v>
      </c>
      <c r="P1953" t="s">
        <v>12</v>
      </c>
      <c r="Q1953" t="s">
        <v>19</v>
      </c>
      <c r="R1953" t="s">
        <v>3894</v>
      </c>
      <c r="S1953" t="s">
        <v>1546</v>
      </c>
      <c r="T1953" t="s">
        <v>3811</v>
      </c>
      <c r="U1953" t="s">
        <v>1656</v>
      </c>
      <c r="V1953" t="s">
        <v>1741</v>
      </c>
      <c r="W1953" t="s">
        <v>1742</v>
      </c>
      <c r="X1953" t="s">
        <v>1739</v>
      </c>
    </row>
    <row r="1954" spans="1:24" x14ac:dyDescent="0.3">
      <c r="A1954" t="s">
        <v>3761</v>
      </c>
      <c r="B1954" s="2">
        <v>45525</v>
      </c>
      <c r="C1954" t="s">
        <v>995</v>
      </c>
      <c r="D1954" t="s">
        <v>1635</v>
      </c>
      <c r="E1954" t="s">
        <v>1780</v>
      </c>
      <c r="F1954" s="4">
        <v>2</v>
      </c>
      <c r="G1954">
        <v>945.92</v>
      </c>
      <c r="H1954">
        <v>0.19</v>
      </c>
      <c r="I1954" t="s">
        <v>1812</v>
      </c>
      <c r="J1954">
        <v>1532.3904</v>
      </c>
      <c r="K1954" t="s">
        <v>996</v>
      </c>
      <c r="L1954">
        <v>34</v>
      </c>
      <c r="M1954" t="s">
        <v>16</v>
      </c>
      <c r="N1954" t="s">
        <v>997</v>
      </c>
      <c r="O1954" t="s">
        <v>309</v>
      </c>
      <c r="P1954" t="s">
        <v>12</v>
      </c>
      <c r="Q1954" t="s">
        <v>19</v>
      </c>
      <c r="R1954" t="s">
        <v>3884</v>
      </c>
      <c r="S1954" t="s">
        <v>1549</v>
      </c>
      <c r="T1954" t="s">
        <v>3859</v>
      </c>
      <c r="U1954" t="s">
        <v>1636</v>
      </c>
      <c r="V1954" t="s">
        <v>1741</v>
      </c>
      <c r="W1954" t="s">
        <v>1742</v>
      </c>
      <c r="X1954" t="s">
        <v>1739</v>
      </c>
    </row>
    <row r="1955" spans="1:24" x14ac:dyDescent="0.3">
      <c r="A1955" t="s">
        <v>3762</v>
      </c>
      <c r="B1955" s="2">
        <v>45780</v>
      </c>
      <c r="C1955" t="s">
        <v>292</v>
      </c>
      <c r="D1955" t="s">
        <v>1643</v>
      </c>
      <c r="E1955" t="s">
        <v>1790</v>
      </c>
      <c r="F1955" s="4">
        <v>2</v>
      </c>
      <c r="G1955">
        <v>981.35</v>
      </c>
      <c r="H1955">
        <v>0.16</v>
      </c>
      <c r="I1955" t="s">
        <v>1809</v>
      </c>
      <c r="J1955">
        <v>1648.6679999999999</v>
      </c>
      <c r="K1955" t="s">
        <v>293</v>
      </c>
      <c r="L1955">
        <v>53</v>
      </c>
      <c r="M1955" t="s">
        <v>9</v>
      </c>
      <c r="N1955" t="s">
        <v>294</v>
      </c>
      <c r="O1955" t="s">
        <v>133</v>
      </c>
      <c r="P1955" t="s">
        <v>12</v>
      </c>
      <c r="Q1955" t="s">
        <v>19</v>
      </c>
      <c r="R1955" t="s">
        <v>3888</v>
      </c>
      <c r="S1955" t="s">
        <v>1527</v>
      </c>
      <c r="T1955" t="s">
        <v>3836</v>
      </c>
      <c r="U1955" t="s">
        <v>1644</v>
      </c>
      <c r="V1955" t="s">
        <v>1741</v>
      </c>
      <c r="W1955" t="s">
        <v>1742</v>
      </c>
      <c r="X1955" t="s">
        <v>1739</v>
      </c>
    </row>
    <row r="1956" spans="1:24" x14ac:dyDescent="0.3">
      <c r="A1956" t="s">
        <v>3763</v>
      </c>
      <c r="B1956" s="2">
        <v>45819</v>
      </c>
      <c r="C1956" t="s">
        <v>716</v>
      </c>
      <c r="D1956" t="s">
        <v>1649</v>
      </c>
      <c r="E1956" t="s">
        <v>1749</v>
      </c>
      <c r="F1956" s="4">
        <v>1</v>
      </c>
      <c r="G1956">
        <v>913.99</v>
      </c>
      <c r="H1956">
        <v>0.14000000000000001</v>
      </c>
      <c r="I1956" t="s">
        <v>1807</v>
      </c>
      <c r="J1956">
        <v>786.03139999999996</v>
      </c>
      <c r="K1956" t="s">
        <v>717</v>
      </c>
      <c r="L1956">
        <v>29</v>
      </c>
      <c r="M1956" t="s">
        <v>9</v>
      </c>
      <c r="N1956" t="s">
        <v>3958</v>
      </c>
      <c r="O1956" t="s">
        <v>264</v>
      </c>
      <c r="P1956" t="s">
        <v>12</v>
      </c>
      <c r="Q1956" t="s">
        <v>19</v>
      </c>
      <c r="R1956" t="s">
        <v>3891</v>
      </c>
      <c r="S1956" t="s">
        <v>1541</v>
      </c>
      <c r="T1956" t="s">
        <v>3833</v>
      </c>
      <c r="U1956" t="s">
        <v>1650</v>
      </c>
      <c r="V1956" t="s">
        <v>1750</v>
      </c>
      <c r="W1956" t="s">
        <v>1742</v>
      </c>
      <c r="X1956" t="s">
        <v>1748</v>
      </c>
    </row>
    <row r="1957" spans="1:24" x14ac:dyDescent="0.3">
      <c r="A1957" t="s">
        <v>3764</v>
      </c>
      <c r="B1957" s="2">
        <v>45863</v>
      </c>
      <c r="C1957" t="s">
        <v>55</v>
      </c>
      <c r="D1957" t="s">
        <v>1663</v>
      </c>
      <c r="E1957" t="s">
        <v>1765</v>
      </c>
      <c r="F1957" s="4">
        <v>4</v>
      </c>
      <c r="G1957">
        <v>270.69</v>
      </c>
      <c r="H1957">
        <v>0.18</v>
      </c>
      <c r="I1957" t="s">
        <v>1809</v>
      </c>
      <c r="J1957">
        <v>887.86320000000001</v>
      </c>
      <c r="K1957" t="s">
        <v>56</v>
      </c>
      <c r="L1957">
        <v>55</v>
      </c>
      <c r="M1957" t="s">
        <v>16</v>
      </c>
      <c r="N1957" t="s">
        <v>57</v>
      </c>
      <c r="O1957" t="s">
        <v>58</v>
      </c>
      <c r="P1957" t="s">
        <v>12</v>
      </c>
      <c r="Q1957" t="s">
        <v>13</v>
      </c>
      <c r="R1957" t="s">
        <v>3898</v>
      </c>
      <c r="S1957" t="s">
        <v>1541</v>
      </c>
      <c r="T1957" t="s">
        <v>3833</v>
      </c>
      <c r="U1957" t="s">
        <v>1664</v>
      </c>
      <c r="V1957" t="s">
        <v>1766</v>
      </c>
      <c r="W1957" t="s">
        <v>1767</v>
      </c>
      <c r="X1957" t="s">
        <v>1755</v>
      </c>
    </row>
    <row r="1958" spans="1:24" x14ac:dyDescent="0.3">
      <c r="A1958" t="s">
        <v>3765</v>
      </c>
      <c r="B1958" s="2">
        <v>45687</v>
      </c>
      <c r="C1958" t="s">
        <v>533</v>
      </c>
      <c r="D1958" t="s">
        <v>1685</v>
      </c>
      <c r="E1958" t="s">
        <v>1759</v>
      </c>
      <c r="F1958" s="4">
        <v>3</v>
      </c>
      <c r="G1958">
        <v>998.58</v>
      </c>
      <c r="H1958">
        <v>0.02</v>
      </c>
      <c r="I1958" t="s">
        <v>1807</v>
      </c>
      <c r="J1958">
        <v>2935.8252000000002</v>
      </c>
      <c r="K1958" t="s">
        <v>534</v>
      </c>
      <c r="L1958">
        <v>37</v>
      </c>
      <c r="M1958" t="s">
        <v>9</v>
      </c>
      <c r="N1958" t="s">
        <v>535</v>
      </c>
      <c r="O1958" t="s">
        <v>133</v>
      </c>
      <c r="P1958" t="s">
        <v>12</v>
      </c>
      <c r="Q1958" t="s">
        <v>31</v>
      </c>
      <c r="R1958" t="s">
        <v>3910</v>
      </c>
      <c r="S1958" t="s">
        <v>1546</v>
      </c>
      <c r="T1958" t="s">
        <v>3838</v>
      </c>
      <c r="U1958" t="s">
        <v>1686</v>
      </c>
      <c r="V1958" t="s">
        <v>1760</v>
      </c>
      <c r="W1958" t="s">
        <v>1737</v>
      </c>
      <c r="X1958" t="s">
        <v>1755</v>
      </c>
    </row>
    <row r="1959" spans="1:24" x14ac:dyDescent="0.3">
      <c r="A1959" t="s">
        <v>3766</v>
      </c>
      <c r="B1959" s="2">
        <v>45806</v>
      </c>
      <c r="C1959" t="s">
        <v>1392</v>
      </c>
      <c r="D1959" t="s">
        <v>1605</v>
      </c>
      <c r="E1959" t="s">
        <v>1769</v>
      </c>
      <c r="F1959" s="4">
        <v>3</v>
      </c>
      <c r="G1959">
        <v>765.12</v>
      </c>
      <c r="H1959">
        <v>0.18</v>
      </c>
      <c r="I1959" t="s">
        <v>1807</v>
      </c>
      <c r="J1959">
        <v>1882.1952000000001</v>
      </c>
      <c r="K1959" t="s">
        <v>1393</v>
      </c>
      <c r="L1959">
        <v>59</v>
      </c>
      <c r="M1959" t="s">
        <v>9</v>
      </c>
      <c r="N1959" t="s">
        <v>1394</v>
      </c>
      <c r="O1959" t="s">
        <v>288</v>
      </c>
      <c r="P1959" t="s">
        <v>12</v>
      </c>
      <c r="Q1959" t="s">
        <v>13</v>
      </c>
      <c r="R1959" t="s">
        <v>3865</v>
      </c>
      <c r="S1959" t="s">
        <v>1530</v>
      </c>
      <c r="T1959" t="s">
        <v>3866</v>
      </c>
      <c r="U1959" t="s">
        <v>1606</v>
      </c>
      <c r="V1959" t="s">
        <v>1770</v>
      </c>
      <c r="W1959" t="s">
        <v>1746</v>
      </c>
      <c r="X1959" t="s">
        <v>1739</v>
      </c>
    </row>
    <row r="1960" spans="1:24" x14ac:dyDescent="0.3">
      <c r="A1960" t="s">
        <v>3767</v>
      </c>
      <c r="B1960" s="2">
        <v>45216</v>
      </c>
      <c r="C1960" t="s">
        <v>261</v>
      </c>
      <c r="D1960" t="s">
        <v>1659</v>
      </c>
      <c r="E1960" t="s">
        <v>1796</v>
      </c>
      <c r="F1960" s="4">
        <v>3</v>
      </c>
      <c r="G1960">
        <v>449.99</v>
      </c>
      <c r="H1960">
        <v>0.17</v>
      </c>
      <c r="I1960" t="s">
        <v>1812</v>
      </c>
      <c r="J1960">
        <v>1120.4751000000001</v>
      </c>
      <c r="K1960" t="s">
        <v>262</v>
      </c>
      <c r="L1960">
        <v>56</v>
      </c>
      <c r="M1960" t="s">
        <v>16</v>
      </c>
      <c r="N1960" t="s">
        <v>263</v>
      </c>
      <c r="O1960" t="s">
        <v>264</v>
      </c>
      <c r="P1960" t="s">
        <v>12</v>
      </c>
      <c r="Q1960" t="s">
        <v>13</v>
      </c>
      <c r="R1960" t="s">
        <v>3896</v>
      </c>
      <c r="S1960" t="s">
        <v>1541</v>
      </c>
      <c r="T1960" t="s">
        <v>3878</v>
      </c>
      <c r="U1960" t="s">
        <v>1660</v>
      </c>
      <c r="V1960" t="s">
        <v>1741</v>
      </c>
      <c r="W1960" t="s">
        <v>1742</v>
      </c>
      <c r="X1960" t="s">
        <v>1739</v>
      </c>
    </row>
    <row r="1961" spans="1:24" x14ac:dyDescent="0.3">
      <c r="A1961" t="s">
        <v>3768</v>
      </c>
      <c r="B1961" s="2">
        <v>45639</v>
      </c>
      <c r="C1961" t="s">
        <v>800</v>
      </c>
      <c r="D1961" t="s">
        <v>1617</v>
      </c>
      <c r="E1961" t="s">
        <v>1775</v>
      </c>
      <c r="F1961" s="4">
        <v>2</v>
      </c>
      <c r="G1961">
        <v>249.02</v>
      </c>
      <c r="H1961">
        <v>0.01</v>
      </c>
      <c r="I1961" t="s">
        <v>1812</v>
      </c>
      <c r="J1961">
        <v>493.05959999999999</v>
      </c>
      <c r="K1961" t="s">
        <v>801</v>
      </c>
      <c r="L1961">
        <v>32</v>
      </c>
      <c r="M1961" t="s">
        <v>9</v>
      </c>
      <c r="N1961" t="s">
        <v>802</v>
      </c>
      <c r="O1961" t="s">
        <v>39</v>
      </c>
      <c r="P1961" t="s">
        <v>12</v>
      </c>
      <c r="Q1961" t="s">
        <v>31</v>
      </c>
      <c r="R1961" t="s">
        <v>3873</v>
      </c>
      <c r="S1961" t="s">
        <v>1546</v>
      </c>
      <c r="T1961" t="s">
        <v>3811</v>
      </c>
      <c r="U1961" t="s">
        <v>1618</v>
      </c>
      <c r="V1961" t="s">
        <v>1741</v>
      </c>
      <c r="W1961" t="s">
        <v>1742</v>
      </c>
      <c r="X1961" t="s">
        <v>1739</v>
      </c>
    </row>
    <row r="1962" spans="1:24" x14ac:dyDescent="0.3">
      <c r="A1962" t="s">
        <v>3769</v>
      </c>
      <c r="B1962" s="2">
        <v>45454</v>
      </c>
      <c r="C1962" t="s">
        <v>462</v>
      </c>
      <c r="D1962" t="s">
        <v>1645</v>
      </c>
      <c r="E1962" t="s">
        <v>1796</v>
      </c>
      <c r="F1962" s="4">
        <v>3</v>
      </c>
      <c r="G1962">
        <v>223.64</v>
      </c>
      <c r="H1962">
        <v>0.05</v>
      </c>
      <c r="I1962" t="s">
        <v>1807</v>
      </c>
      <c r="J1962">
        <v>637.37399999999991</v>
      </c>
      <c r="K1962" t="s">
        <v>463</v>
      </c>
      <c r="L1962">
        <v>43</v>
      </c>
      <c r="M1962" t="s">
        <v>9</v>
      </c>
      <c r="N1962" t="s">
        <v>464</v>
      </c>
      <c r="O1962" t="s">
        <v>25</v>
      </c>
      <c r="P1962" t="s">
        <v>12</v>
      </c>
      <c r="Q1962" t="s">
        <v>19</v>
      </c>
      <c r="R1962" t="s">
        <v>3889</v>
      </c>
      <c r="S1962" t="s">
        <v>1549</v>
      </c>
      <c r="T1962" t="s">
        <v>3828</v>
      </c>
      <c r="U1962" t="s">
        <v>1646</v>
      </c>
      <c r="V1962" t="s">
        <v>1741</v>
      </c>
      <c r="W1962" t="s">
        <v>1742</v>
      </c>
      <c r="X1962" t="s">
        <v>1739</v>
      </c>
    </row>
    <row r="1963" spans="1:24" x14ac:dyDescent="0.3">
      <c r="A1963" t="s">
        <v>3770</v>
      </c>
      <c r="B1963" s="2">
        <v>45934</v>
      </c>
      <c r="C1963" t="s">
        <v>370</v>
      </c>
      <c r="D1963" t="s">
        <v>1579</v>
      </c>
      <c r="E1963" t="s">
        <v>1752</v>
      </c>
      <c r="F1963" s="4">
        <v>2</v>
      </c>
      <c r="G1963">
        <v>92.94</v>
      </c>
      <c r="H1963">
        <v>0.12</v>
      </c>
      <c r="I1963" t="s">
        <v>1807</v>
      </c>
      <c r="J1963">
        <v>163.5744</v>
      </c>
      <c r="K1963" t="s">
        <v>371</v>
      </c>
      <c r="L1963">
        <v>62</v>
      </c>
      <c r="M1963" t="s">
        <v>16</v>
      </c>
      <c r="N1963" t="s">
        <v>372</v>
      </c>
      <c r="O1963" t="s">
        <v>214</v>
      </c>
      <c r="P1963" t="s">
        <v>12</v>
      </c>
      <c r="Q1963" t="s">
        <v>26</v>
      </c>
      <c r="R1963" t="s">
        <v>3850</v>
      </c>
      <c r="S1963" t="s">
        <v>1549</v>
      </c>
      <c r="T1963" t="s">
        <v>3851</v>
      </c>
      <c r="U1963" t="s">
        <v>1580</v>
      </c>
      <c r="V1963" t="s">
        <v>1753</v>
      </c>
      <c r="W1963" t="s">
        <v>1746</v>
      </c>
      <c r="X1963" t="s">
        <v>1755</v>
      </c>
    </row>
    <row r="1964" spans="1:24" x14ac:dyDescent="0.3">
      <c r="A1964" t="s">
        <v>3771</v>
      </c>
      <c r="B1964" s="2">
        <v>45401</v>
      </c>
      <c r="C1964" t="s">
        <v>1118</v>
      </c>
      <c r="D1964" t="s">
        <v>1563</v>
      </c>
      <c r="E1964" t="s">
        <v>1744</v>
      </c>
      <c r="F1964" s="4">
        <v>4</v>
      </c>
      <c r="G1964">
        <v>268.3</v>
      </c>
      <c r="H1964">
        <v>0.02</v>
      </c>
      <c r="I1964" t="s">
        <v>1812</v>
      </c>
      <c r="J1964">
        <v>1051.7360000000001</v>
      </c>
      <c r="K1964" t="s">
        <v>1119</v>
      </c>
      <c r="L1964">
        <v>60</v>
      </c>
      <c r="M1964" t="s">
        <v>9</v>
      </c>
      <c r="N1964" t="s">
        <v>1120</v>
      </c>
      <c r="O1964" t="s">
        <v>251</v>
      </c>
      <c r="P1964" t="s">
        <v>12</v>
      </c>
      <c r="Q1964" t="s">
        <v>19</v>
      </c>
      <c r="R1964" t="s">
        <v>3839</v>
      </c>
      <c r="S1964" t="s">
        <v>1541</v>
      </c>
      <c r="T1964" t="s">
        <v>3840</v>
      </c>
      <c r="U1964" t="s">
        <v>1564</v>
      </c>
      <c r="V1964" t="s">
        <v>1745</v>
      </c>
      <c r="W1964" t="s">
        <v>1746</v>
      </c>
      <c r="X1964" t="s">
        <v>1748</v>
      </c>
    </row>
    <row r="1965" spans="1:24" x14ac:dyDescent="0.3">
      <c r="A1965" t="s">
        <v>3772</v>
      </c>
      <c r="B1965" s="2">
        <v>45770</v>
      </c>
      <c r="C1965" t="s">
        <v>1352</v>
      </c>
      <c r="D1965" t="s">
        <v>1649</v>
      </c>
      <c r="E1965" t="s">
        <v>1796</v>
      </c>
      <c r="F1965" s="4">
        <v>4</v>
      </c>
      <c r="G1965">
        <v>835.61</v>
      </c>
      <c r="H1965">
        <v>0.03</v>
      </c>
      <c r="I1965" t="s">
        <v>1807</v>
      </c>
      <c r="J1965">
        <v>3242.1668</v>
      </c>
      <c r="K1965" t="s">
        <v>1353</v>
      </c>
      <c r="L1965">
        <v>51</v>
      </c>
      <c r="M1965" t="s">
        <v>9</v>
      </c>
      <c r="N1965" t="s">
        <v>1354</v>
      </c>
      <c r="O1965" t="s">
        <v>35</v>
      </c>
      <c r="P1965" t="s">
        <v>12</v>
      </c>
      <c r="Q1965" t="s">
        <v>26</v>
      </c>
      <c r="R1965" t="s">
        <v>3891</v>
      </c>
      <c r="S1965" t="s">
        <v>1541</v>
      </c>
      <c r="T1965" t="s">
        <v>3833</v>
      </c>
      <c r="U1965" t="s">
        <v>1650</v>
      </c>
      <c r="V1965" t="s">
        <v>1741</v>
      </c>
      <c r="W1965" t="s">
        <v>1742</v>
      </c>
      <c r="X1965" t="s">
        <v>1739</v>
      </c>
    </row>
    <row r="1966" spans="1:24" x14ac:dyDescent="0.3">
      <c r="A1966" t="s">
        <v>3773</v>
      </c>
      <c r="B1966" s="2">
        <v>45405</v>
      </c>
      <c r="C1966" t="s">
        <v>1180</v>
      </c>
      <c r="D1966" t="s">
        <v>1667</v>
      </c>
      <c r="E1966" t="s">
        <v>1756</v>
      </c>
      <c r="F1966" s="4">
        <v>3</v>
      </c>
      <c r="G1966">
        <v>120.97</v>
      </c>
      <c r="H1966">
        <v>0.11</v>
      </c>
      <c r="I1966" t="s">
        <v>1807</v>
      </c>
      <c r="J1966">
        <v>322.98989999999998</v>
      </c>
      <c r="K1966" t="s">
        <v>1181</v>
      </c>
      <c r="L1966">
        <v>27</v>
      </c>
      <c r="M1966" t="s">
        <v>16</v>
      </c>
      <c r="N1966" t="s">
        <v>1182</v>
      </c>
      <c r="O1966" t="s">
        <v>30</v>
      </c>
      <c r="P1966" t="s">
        <v>12</v>
      </c>
      <c r="Q1966" t="s">
        <v>13</v>
      </c>
      <c r="R1966" t="s">
        <v>3900</v>
      </c>
      <c r="S1966" t="s">
        <v>1527</v>
      </c>
      <c r="T1966" t="s">
        <v>3901</v>
      </c>
      <c r="U1966" t="s">
        <v>1668</v>
      </c>
      <c r="V1966" t="s">
        <v>1757</v>
      </c>
      <c r="W1966" t="s">
        <v>1742</v>
      </c>
      <c r="X1966" t="s">
        <v>1748</v>
      </c>
    </row>
    <row r="1967" spans="1:24" x14ac:dyDescent="0.3">
      <c r="A1967" t="s">
        <v>3774</v>
      </c>
      <c r="B1967" s="2">
        <v>45424</v>
      </c>
      <c r="C1967" t="s">
        <v>124</v>
      </c>
      <c r="D1967" t="s">
        <v>1611</v>
      </c>
      <c r="E1967" t="s">
        <v>1769</v>
      </c>
      <c r="F1967" s="4">
        <v>2</v>
      </c>
      <c r="G1967">
        <v>26.36</v>
      </c>
      <c r="H1967">
        <v>0.03</v>
      </c>
      <c r="I1967" t="s">
        <v>1812</v>
      </c>
      <c r="J1967">
        <v>51.138399999999997</v>
      </c>
      <c r="K1967" t="s">
        <v>125</v>
      </c>
      <c r="L1967">
        <v>41</v>
      </c>
      <c r="M1967" t="s">
        <v>9</v>
      </c>
      <c r="N1967" t="s">
        <v>126</v>
      </c>
      <c r="O1967" t="s">
        <v>51</v>
      </c>
      <c r="P1967" t="s">
        <v>12</v>
      </c>
      <c r="Q1967" t="s">
        <v>26</v>
      </c>
      <c r="R1967" t="s">
        <v>3870</v>
      </c>
      <c r="S1967" t="s">
        <v>1546</v>
      </c>
      <c r="T1967" t="s">
        <v>3826</v>
      </c>
      <c r="U1967" t="s">
        <v>1612</v>
      </c>
      <c r="V1967" t="s">
        <v>1770</v>
      </c>
      <c r="W1967" t="s">
        <v>1746</v>
      </c>
      <c r="X1967" t="s">
        <v>1739</v>
      </c>
    </row>
    <row r="1968" spans="1:24" x14ac:dyDescent="0.3">
      <c r="A1968" t="s">
        <v>3775</v>
      </c>
      <c r="B1968" s="2">
        <v>45881</v>
      </c>
      <c r="C1968" t="s">
        <v>134</v>
      </c>
      <c r="D1968" t="s">
        <v>1685</v>
      </c>
      <c r="E1968" t="s">
        <v>1759</v>
      </c>
      <c r="F1968" s="4">
        <v>1</v>
      </c>
      <c r="G1968">
        <v>918.87</v>
      </c>
      <c r="H1968">
        <v>0.11</v>
      </c>
      <c r="I1968" t="s">
        <v>1809</v>
      </c>
      <c r="J1968">
        <v>817.79430000000002</v>
      </c>
      <c r="K1968" t="s">
        <v>3935</v>
      </c>
      <c r="L1968">
        <v>27</v>
      </c>
      <c r="M1968" t="s">
        <v>16</v>
      </c>
      <c r="N1968" t="s">
        <v>135</v>
      </c>
      <c r="O1968" t="s">
        <v>96</v>
      </c>
      <c r="P1968" t="s">
        <v>12</v>
      </c>
      <c r="Q1968" t="s">
        <v>19</v>
      </c>
      <c r="R1968" t="s">
        <v>3910</v>
      </c>
      <c r="S1968" t="s">
        <v>1546</v>
      </c>
      <c r="T1968" t="s">
        <v>3838</v>
      </c>
      <c r="U1968" t="s">
        <v>1686</v>
      </c>
      <c r="V1968" t="s">
        <v>1760</v>
      </c>
      <c r="W1968" t="s">
        <v>1737</v>
      </c>
      <c r="X1968" t="s">
        <v>1755</v>
      </c>
    </row>
    <row r="1969" spans="1:24" x14ac:dyDescent="0.3">
      <c r="A1969" t="s">
        <v>3776</v>
      </c>
      <c r="B1969" s="2">
        <v>45794</v>
      </c>
      <c r="C1969" t="s">
        <v>127</v>
      </c>
      <c r="D1969" t="s">
        <v>1665</v>
      </c>
      <c r="E1969" t="s">
        <v>1775</v>
      </c>
      <c r="F1969" s="4">
        <v>2</v>
      </c>
      <c r="G1969">
        <v>924.73</v>
      </c>
      <c r="H1969">
        <v>0.28999999999999998</v>
      </c>
      <c r="I1969" t="s">
        <v>1809</v>
      </c>
      <c r="J1969">
        <v>1313.1166000000001</v>
      </c>
      <c r="K1969" t="s">
        <v>128</v>
      </c>
      <c r="L1969">
        <v>48</v>
      </c>
      <c r="M1969" t="s">
        <v>16</v>
      </c>
      <c r="N1969" t="s">
        <v>129</v>
      </c>
      <c r="O1969" t="s">
        <v>35</v>
      </c>
      <c r="P1969" t="s">
        <v>12</v>
      </c>
      <c r="Q1969" t="s">
        <v>31</v>
      </c>
      <c r="R1969" t="s">
        <v>3899</v>
      </c>
      <c r="S1969" t="s">
        <v>1546</v>
      </c>
      <c r="T1969" t="s">
        <v>3820</v>
      </c>
      <c r="U1969" t="s">
        <v>1666</v>
      </c>
      <c r="V1969" t="s">
        <v>1741</v>
      </c>
      <c r="W1969" t="s">
        <v>1742</v>
      </c>
      <c r="X1969" t="s">
        <v>1739</v>
      </c>
    </row>
    <row r="1970" spans="1:24" x14ac:dyDescent="0.3">
      <c r="A1970" t="s">
        <v>3777</v>
      </c>
      <c r="B1970" s="2">
        <v>45665</v>
      </c>
      <c r="C1970" t="s">
        <v>93</v>
      </c>
      <c r="D1970" t="s">
        <v>1555</v>
      </c>
      <c r="E1970" t="s">
        <v>1772</v>
      </c>
      <c r="F1970" s="4">
        <v>3</v>
      </c>
      <c r="G1970">
        <v>195.31</v>
      </c>
      <c r="H1970">
        <v>0.13</v>
      </c>
      <c r="I1970" t="s">
        <v>1812</v>
      </c>
      <c r="J1970">
        <v>509.75909999999999</v>
      </c>
      <c r="K1970" t="s">
        <v>94</v>
      </c>
      <c r="L1970">
        <v>33</v>
      </c>
      <c r="M1970" t="s">
        <v>16</v>
      </c>
      <c r="N1970" t="s">
        <v>95</v>
      </c>
      <c r="O1970" t="s">
        <v>96</v>
      </c>
      <c r="P1970" t="s">
        <v>12</v>
      </c>
      <c r="Q1970" t="s">
        <v>13</v>
      </c>
      <c r="R1970" t="s">
        <v>3832</v>
      </c>
      <c r="S1970" t="s">
        <v>1541</v>
      </c>
      <c r="T1970" t="s">
        <v>3833</v>
      </c>
      <c r="U1970" t="s">
        <v>1556</v>
      </c>
      <c r="V1970" t="s">
        <v>1741</v>
      </c>
      <c r="W1970" t="s">
        <v>1742</v>
      </c>
      <c r="X1970" t="s">
        <v>1739</v>
      </c>
    </row>
    <row r="1971" spans="1:24" x14ac:dyDescent="0.3">
      <c r="A1971" t="s">
        <v>3778</v>
      </c>
      <c r="B1971" s="2">
        <v>45793</v>
      </c>
      <c r="C1971" t="s">
        <v>476</v>
      </c>
      <c r="D1971" t="s">
        <v>1607</v>
      </c>
      <c r="E1971" t="s">
        <v>1765</v>
      </c>
      <c r="F1971" s="4">
        <v>1</v>
      </c>
      <c r="G1971">
        <v>91.38</v>
      </c>
      <c r="H1971">
        <v>0.14000000000000001</v>
      </c>
      <c r="I1971" t="s">
        <v>1807</v>
      </c>
      <c r="J1971">
        <v>78.586799999999997</v>
      </c>
      <c r="K1971" t="s">
        <v>477</v>
      </c>
      <c r="L1971">
        <v>46</v>
      </c>
      <c r="M1971" t="s">
        <v>9</v>
      </c>
      <c r="N1971" t="s">
        <v>478</v>
      </c>
      <c r="O1971" t="s">
        <v>66</v>
      </c>
      <c r="P1971" t="s">
        <v>12</v>
      </c>
      <c r="Q1971" t="s">
        <v>26</v>
      </c>
      <c r="R1971" t="s">
        <v>3867</v>
      </c>
      <c r="S1971" t="s">
        <v>1549</v>
      </c>
      <c r="T1971" t="s">
        <v>3851</v>
      </c>
      <c r="U1971" t="s">
        <v>1608</v>
      </c>
      <c r="V1971" t="s">
        <v>1766</v>
      </c>
      <c r="W1971" t="s">
        <v>1767</v>
      </c>
      <c r="X1971" t="s">
        <v>1755</v>
      </c>
    </row>
    <row r="1972" spans="1:24" x14ac:dyDescent="0.3">
      <c r="A1972" t="s">
        <v>3779</v>
      </c>
      <c r="B1972" s="2">
        <v>45563</v>
      </c>
      <c r="C1972" t="s">
        <v>1470</v>
      </c>
      <c r="D1972" t="s">
        <v>1703</v>
      </c>
      <c r="E1972" t="s">
        <v>1775</v>
      </c>
      <c r="F1972" s="4">
        <v>2</v>
      </c>
      <c r="G1972">
        <v>494.35</v>
      </c>
      <c r="H1972">
        <v>0.1</v>
      </c>
      <c r="I1972" t="s">
        <v>1807</v>
      </c>
      <c r="J1972">
        <v>889.83</v>
      </c>
      <c r="K1972" t="s">
        <v>1259</v>
      </c>
      <c r="L1972">
        <v>32</v>
      </c>
      <c r="M1972" t="s">
        <v>9</v>
      </c>
      <c r="N1972" t="s">
        <v>1471</v>
      </c>
      <c r="O1972" t="s">
        <v>181</v>
      </c>
      <c r="P1972" t="s">
        <v>12</v>
      </c>
      <c r="Q1972" t="s">
        <v>13</v>
      </c>
      <c r="R1972" t="s">
        <v>3919</v>
      </c>
      <c r="S1972" t="s">
        <v>1527</v>
      </c>
      <c r="T1972" t="s">
        <v>3830</v>
      </c>
      <c r="U1972" t="s">
        <v>1704</v>
      </c>
      <c r="V1972" t="s">
        <v>1741</v>
      </c>
      <c r="W1972" t="s">
        <v>1742</v>
      </c>
      <c r="X1972" t="s">
        <v>1739</v>
      </c>
    </row>
    <row r="1973" spans="1:24" x14ac:dyDescent="0.3">
      <c r="A1973" t="s">
        <v>3780</v>
      </c>
      <c r="B1973" s="2">
        <v>45577</v>
      </c>
      <c r="C1973" t="s">
        <v>808</v>
      </c>
      <c r="D1973" t="s">
        <v>1579</v>
      </c>
      <c r="E1973" t="s">
        <v>1772</v>
      </c>
      <c r="F1973" s="4">
        <v>1</v>
      </c>
      <c r="G1973">
        <v>412.2</v>
      </c>
      <c r="H1973">
        <v>0.11</v>
      </c>
      <c r="I1973" t="s">
        <v>1807</v>
      </c>
      <c r="J1973">
        <v>366.858</v>
      </c>
      <c r="K1973" t="s">
        <v>809</v>
      </c>
      <c r="L1973">
        <v>57</v>
      </c>
      <c r="M1973" t="s">
        <v>9</v>
      </c>
      <c r="N1973" t="s">
        <v>810</v>
      </c>
      <c r="O1973" t="s">
        <v>25</v>
      </c>
      <c r="P1973" t="s">
        <v>12</v>
      </c>
      <c r="Q1973" t="s">
        <v>13</v>
      </c>
      <c r="R1973" t="s">
        <v>3850</v>
      </c>
      <c r="S1973" t="s">
        <v>1549</v>
      </c>
      <c r="T1973" t="s">
        <v>3851</v>
      </c>
      <c r="U1973" t="s">
        <v>1580</v>
      </c>
      <c r="V1973" t="s">
        <v>1741</v>
      </c>
      <c r="W1973" t="s">
        <v>1742</v>
      </c>
      <c r="X1973" t="s">
        <v>1739</v>
      </c>
    </row>
    <row r="1974" spans="1:24" x14ac:dyDescent="0.3">
      <c r="A1974" t="s">
        <v>3781</v>
      </c>
      <c r="B1974" s="2">
        <v>45466</v>
      </c>
      <c r="C1974" t="s">
        <v>1216</v>
      </c>
      <c r="D1974" t="s">
        <v>1689</v>
      </c>
      <c r="E1974" t="s">
        <v>1787</v>
      </c>
      <c r="F1974" s="4">
        <v>1</v>
      </c>
      <c r="G1974">
        <v>650.47</v>
      </c>
      <c r="H1974">
        <v>0.13</v>
      </c>
      <c r="I1974" t="s">
        <v>1809</v>
      </c>
      <c r="J1974">
        <v>565.90890000000002</v>
      </c>
      <c r="K1974" t="s">
        <v>1217</v>
      </c>
      <c r="L1974">
        <v>50</v>
      </c>
      <c r="M1974" t="s">
        <v>9</v>
      </c>
      <c r="N1974" t="s">
        <v>1218</v>
      </c>
      <c r="O1974" t="s">
        <v>166</v>
      </c>
      <c r="P1974" t="s">
        <v>12</v>
      </c>
      <c r="Q1974" t="s">
        <v>26</v>
      </c>
      <c r="R1974" t="s">
        <v>3912</v>
      </c>
      <c r="S1974" t="s">
        <v>1527</v>
      </c>
      <c r="T1974" t="s">
        <v>3824</v>
      </c>
      <c r="U1974" t="s">
        <v>1690</v>
      </c>
      <c r="V1974" t="s">
        <v>1741</v>
      </c>
      <c r="W1974" t="s">
        <v>1742</v>
      </c>
      <c r="X1974" t="s">
        <v>1739</v>
      </c>
    </row>
    <row r="1975" spans="1:24" x14ac:dyDescent="0.3">
      <c r="A1975" t="s">
        <v>3782</v>
      </c>
      <c r="B1975" s="2">
        <v>45256</v>
      </c>
      <c r="C1975" t="s">
        <v>515</v>
      </c>
      <c r="D1975" t="s">
        <v>1559</v>
      </c>
      <c r="E1975" t="s">
        <v>1777</v>
      </c>
      <c r="F1975" s="4">
        <v>1</v>
      </c>
      <c r="G1975">
        <v>68.209999999999994</v>
      </c>
      <c r="H1975">
        <v>0.05</v>
      </c>
      <c r="I1975" t="s">
        <v>1809</v>
      </c>
      <c r="J1975">
        <v>64.799499999999995</v>
      </c>
      <c r="K1975" t="s">
        <v>516</v>
      </c>
      <c r="L1975">
        <v>46</v>
      </c>
      <c r="M1975" t="s">
        <v>9</v>
      </c>
      <c r="N1975" t="s">
        <v>517</v>
      </c>
      <c r="O1975" t="s">
        <v>264</v>
      </c>
      <c r="P1975" t="s">
        <v>12</v>
      </c>
      <c r="Q1975" t="s">
        <v>13</v>
      </c>
      <c r="R1975" t="s">
        <v>3835</v>
      </c>
      <c r="S1975" t="s">
        <v>1527</v>
      </c>
      <c r="T1975" t="s">
        <v>3836</v>
      </c>
      <c r="U1975" t="s">
        <v>1560</v>
      </c>
      <c r="V1975" t="s">
        <v>1741</v>
      </c>
      <c r="W1975" t="s">
        <v>1742</v>
      </c>
      <c r="X1975" t="s">
        <v>1739</v>
      </c>
    </row>
    <row r="1976" spans="1:24" x14ac:dyDescent="0.3">
      <c r="A1976" t="s">
        <v>3783</v>
      </c>
      <c r="B1976" s="2">
        <v>45886</v>
      </c>
      <c r="C1976" t="s">
        <v>456</v>
      </c>
      <c r="D1976" t="s">
        <v>1637</v>
      </c>
      <c r="E1976" t="s">
        <v>1762</v>
      </c>
      <c r="F1976" s="4">
        <v>2</v>
      </c>
      <c r="G1976">
        <v>842.89</v>
      </c>
      <c r="H1976">
        <v>0.25</v>
      </c>
      <c r="I1976" t="s">
        <v>1812</v>
      </c>
      <c r="J1976">
        <v>1264.335</v>
      </c>
      <c r="K1976" t="s">
        <v>457</v>
      </c>
      <c r="L1976">
        <v>29</v>
      </c>
      <c r="M1976" t="s">
        <v>9</v>
      </c>
      <c r="N1976" t="s">
        <v>458</v>
      </c>
      <c r="O1976" t="s">
        <v>155</v>
      </c>
      <c r="P1976" t="s">
        <v>12</v>
      </c>
      <c r="Q1976" t="s">
        <v>19</v>
      </c>
      <c r="R1976" t="s">
        <v>3885</v>
      </c>
      <c r="S1976" t="s">
        <v>1530</v>
      </c>
      <c r="T1976" t="s">
        <v>3818</v>
      </c>
      <c r="U1976" t="s">
        <v>1638</v>
      </c>
      <c r="V1976" t="s">
        <v>1763</v>
      </c>
      <c r="W1976" t="s">
        <v>1746</v>
      </c>
      <c r="X1976" t="s">
        <v>1755</v>
      </c>
    </row>
    <row r="1977" spans="1:24" x14ac:dyDescent="0.3">
      <c r="A1977" t="s">
        <v>3784</v>
      </c>
      <c r="B1977" s="2">
        <v>45390</v>
      </c>
      <c r="C1977" t="s">
        <v>939</v>
      </c>
      <c r="D1977" t="s">
        <v>1538</v>
      </c>
      <c r="E1977" t="s">
        <v>1752</v>
      </c>
      <c r="F1977" s="4">
        <v>2</v>
      </c>
      <c r="G1977">
        <v>227.95</v>
      </c>
      <c r="H1977">
        <v>0.24</v>
      </c>
      <c r="I1977" t="s">
        <v>1812</v>
      </c>
      <c r="J1977">
        <v>346.48399999999998</v>
      </c>
      <c r="K1977" t="s">
        <v>940</v>
      </c>
      <c r="L1977">
        <v>50</v>
      </c>
      <c r="M1977" t="s">
        <v>9</v>
      </c>
      <c r="N1977" t="s">
        <v>941</v>
      </c>
      <c r="O1977" t="s">
        <v>35</v>
      </c>
      <c r="P1977" t="s">
        <v>12</v>
      </c>
      <c r="Q1977" t="s">
        <v>31</v>
      </c>
      <c r="R1977" t="s">
        <v>3880</v>
      </c>
      <c r="S1977" t="s">
        <v>1541</v>
      </c>
      <c r="T1977" t="s">
        <v>3881</v>
      </c>
      <c r="U1977" t="s">
        <v>1630</v>
      </c>
      <c r="V1977" t="s">
        <v>1753</v>
      </c>
      <c r="W1977" t="s">
        <v>1746</v>
      </c>
      <c r="X1977" t="s">
        <v>1755</v>
      </c>
    </row>
    <row r="1978" spans="1:24" x14ac:dyDescent="0.3">
      <c r="A1978" t="s">
        <v>3785</v>
      </c>
      <c r="B1978" s="2">
        <v>45388</v>
      </c>
      <c r="C1978" t="s">
        <v>625</v>
      </c>
      <c r="D1978" t="s">
        <v>1663</v>
      </c>
      <c r="E1978" t="s">
        <v>1777</v>
      </c>
      <c r="F1978" s="4">
        <v>3</v>
      </c>
      <c r="G1978">
        <v>685.97</v>
      </c>
      <c r="H1978">
        <v>0.24</v>
      </c>
      <c r="I1978" t="s">
        <v>1809</v>
      </c>
      <c r="J1978">
        <v>1564.0116</v>
      </c>
      <c r="K1978" t="s">
        <v>626</v>
      </c>
      <c r="L1978">
        <v>38</v>
      </c>
      <c r="M1978" t="s">
        <v>9</v>
      </c>
      <c r="N1978" t="s">
        <v>627</v>
      </c>
      <c r="O1978" t="s">
        <v>106</v>
      </c>
      <c r="P1978" t="s">
        <v>12</v>
      </c>
      <c r="Q1978" t="s">
        <v>13</v>
      </c>
      <c r="R1978" t="s">
        <v>3898</v>
      </c>
      <c r="S1978" t="s">
        <v>1541</v>
      </c>
      <c r="T1978" t="s">
        <v>3833</v>
      </c>
      <c r="U1978" t="s">
        <v>1664</v>
      </c>
      <c r="V1978" t="s">
        <v>1741</v>
      </c>
      <c r="W1978" t="s">
        <v>1742</v>
      </c>
      <c r="X1978" t="s">
        <v>1739</v>
      </c>
    </row>
    <row r="1979" spans="1:24" x14ac:dyDescent="0.3">
      <c r="A1979" t="s">
        <v>3786</v>
      </c>
      <c r="B1979" s="2">
        <v>45793</v>
      </c>
      <c r="C1979" t="s">
        <v>1129</v>
      </c>
      <c r="D1979" t="s">
        <v>1589</v>
      </c>
      <c r="E1979" t="s">
        <v>1744</v>
      </c>
      <c r="F1979" s="4">
        <v>1</v>
      </c>
      <c r="G1979">
        <v>722.57</v>
      </c>
      <c r="H1979">
        <v>0.18</v>
      </c>
      <c r="I1979" t="s">
        <v>1807</v>
      </c>
      <c r="J1979">
        <v>592.50740000000008</v>
      </c>
      <c r="K1979" t="s">
        <v>1130</v>
      </c>
      <c r="L1979">
        <v>40</v>
      </c>
      <c r="M1979" t="s">
        <v>16</v>
      </c>
      <c r="N1979" t="s">
        <v>1131</v>
      </c>
      <c r="O1979" t="s">
        <v>162</v>
      </c>
      <c r="P1979" t="s">
        <v>12</v>
      </c>
      <c r="Q1979" t="s">
        <v>19</v>
      </c>
      <c r="R1979" t="s">
        <v>3856</v>
      </c>
      <c r="S1979" t="s">
        <v>1527</v>
      </c>
      <c r="T1979" t="s">
        <v>3836</v>
      </c>
      <c r="U1979" t="s">
        <v>1590</v>
      </c>
      <c r="V1979" t="s">
        <v>1745</v>
      </c>
      <c r="W1979" t="s">
        <v>1746</v>
      </c>
      <c r="X1979" t="s">
        <v>1748</v>
      </c>
    </row>
    <row r="1980" spans="1:24" x14ac:dyDescent="0.3">
      <c r="A1980" t="s">
        <v>3787</v>
      </c>
      <c r="B1980" s="2">
        <v>45615</v>
      </c>
      <c r="C1980" t="s">
        <v>470</v>
      </c>
      <c r="D1980" t="s">
        <v>1601</v>
      </c>
      <c r="E1980" t="s">
        <v>1756</v>
      </c>
      <c r="F1980" s="4">
        <v>3</v>
      </c>
      <c r="G1980">
        <v>585.54999999999995</v>
      </c>
      <c r="H1980">
        <v>0.14000000000000001</v>
      </c>
      <c r="I1980" t="s">
        <v>1812</v>
      </c>
      <c r="J1980">
        <v>1510.7190000000001</v>
      </c>
      <c r="K1980" t="s">
        <v>471</v>
      </c>
      <c r="L1980">
        <v>30</v>
      </c>
      <c r="M1980" t="s">
        <v>9</v>
      </c>
      <c r="N1980" t="s">
        <v>472</v>
      </c>
      <c r="O1980" t="s">
        <v>51</v>
      </c>
      <c r="P1980" t="s">
        <v>12</v>
      </c>
      <c r="Q1980" t="s">
        <v>13</v>
      </c>
      <c r="R1980" t="s">
        <v>3863</v>
      </c>
      <c r="S1980" t="s">
        <v>1527</v>
      </c>
      <c r="T1980" t="s">
        <v>3824</v>
      </c>
      <c r="U1980" t="s">
        <v>1602</v>
      </c>
      <c r="V1980" t="s">
        <v>1757</v>
      </c>
      <c r="W1980" t="s">
        <v>1742</v>
      </c>
      <c r="X1980" t="s">
        <v>1748</v>
      </c>
    </row>
    <row r="1981" spans="1:24" x14ac:dyDescent="0.3">
      <c r="A1981" t="s">
        <v>3788</v>
      </c>
      <c r="B1981" s="2">
        <v>45666</v>
      </c>
      <c r="C1981" t="s">
        <v>965</v>
      </c>
      <c r="D1981" t="s">
        <v>1623</v>
      </c>
      <c r="E1981" t="s">
        <v>1780</v>
      </c>
      <c r="F1981" s="4">
        <v>2</v>
      </c>
      <c r="G1981">
        <v>635.80999999999995</v>
      </c>
      <c r="H1981">
        <v>0.13</v>
      </c>
      <c r="I1981" t="s">
        <v>1809</v>
      </c>
      <c r="J1981">
        <v>1106.3094000000001</v>
      </c>
      <c r="K1981" t="s">
        <v>966</v>
      </c>
      <c r="L1981">
        <v>20</v>
      </c>
      <c r="M1981" t="s">
        <v>9</v>
      </c>
      <c r="N1981" t="s">
        <v>967</v>
      </c>
      <c r="O1981" t="s">
        <v>30</v>
      </c>
      <c r="P1981" t="s">
        <v>12</v>
      </c>
      <c r="Q1981" t="s">
        <v>26</v>
      </c>
      <c r="R1981" t="s">
        <v>3876</v>
      </c>
      <c r="S1981" t="s">
        <v>1530</v>
      </c>
      <c r="T1981" t="s">
        <v>3815</v>
      </c>
      <c r="U1981" t="s">
        <v>1624</v>
      </c>
      <c r="V1981" t="s">
        <v>1741</v>
      </c>
      <c r="W1981" t="s">
        <v>1742</v>
      </c>
      <c r="X1981" t="s">
        <v>1739</v>
      </c>
    </row>
    <row r="1982" spans="1:24" x14ac:dyDescent="0.3">
      <c r="A1982" t="s">
        <v>3789</v>
      </c>
      <c r="B1982" s="2">
        <v>45644</v>
      </c>
      <c r="C1982" t="s">
        <v>873</v>
      </c>
      <c r="D1982" t="s">
        <v>1559</v>
      </c>
      <c r="E1982" t="s">
        <v>1752</v>
      </c>
      <c r="F1982" s="4">
        <v>2</v>
      </c>
      <c r="G1982">
        <v>353.74</v>
      </c>
      <c r="H1982">
        <v>0.01</v>
      </c>
      <c r="I1982" t="s">
        <v>1807</v>
      </c>
      <c r="J1982">
        <v>700.40520000000004</v>
      </c>
      <c r="K1982" t="s">
        <v>874</v>
      </c>
      <c r="L1982">
        <v>42</v>
      </c>
      <c r="M1982" t="s">
        <v>16</v>
      </c>
      <c r="N1982" t="s">
        <v>875</v>
      </c>
      <c r="O1982" t="s">
        <v>271</v>
      </c>
      <c r="P1982" t="s">
        <v>12</v>
      </c>
      <c r="Q1982" t="s">
        <v>19</v>
      </c>
      <c r="R1982" t="s">
        <v>3835</v>
      </c>
      <c r="S1982" t="s">
        <v>1527</v>
      </c>
      <c r="T1982" t="s">
        <v>3836</v>
      </c>
      <c r="U1982" t="s">
        <v>1560</v>
      </c>
      <c r="V1982" t="s">
        <v>1753</v>
      </c>
      <c r="W1982" t="s">
        <v>1746</v>
      </c>
      <c r="X1982" t="s">
        <v>1755</v>
      </c>
    </row>
    <row r="1983" spans="1:24" x14ac:dyDescent="0.3">
      <c r="A1983" t="s">
        <v>3790</v>
      </c>
      <c r="B1983" s="2">
        <v>45648</v>
      </c>
      <c r="C1983" t="s">
        <v>835</v>
      </c>
      <c r="D1983" t="s">
        <v>1603</v>
      </c>
      <c r="E1983" t="s">
        <v>1762</v>
      </c>
      <c r="F1983" s="4">
        <v>1</v>
      </c>
      <c r="G1983">
        <v>377.52</v>
      </c>
      <c r="H1983">
        <v>0.15</v>
      </c>
      <c r="I1983" t="s">
        <v>1807</v>
      </c>
      <c r="J1983">
        <v>320.892</v>
      </c>
      <c r="K1983" t="s">
        <v>836</v>
      </c>
      <c r="L1983">
        <v>38</v>
      </c>
      <c r="M1983" t="s">
        <v>9</v>
      </c>
      <c r="N1983" t="s">
        <v>837</v>
      </c>
      <c r="O1983" t="s">
        <v>838</v>
      </c>
      <c r="P1983" t="s">
        <v>12</v>
      </c>
      <c r="Q1983" t="s">
        <v>13</v>
      </c>
      <c r="R1983" t="s">
        <v>3864</v>
      </c>
      <c r="S1983" t="s">
        <v>1530</v>
      </c>
      <c r="T1983" t="s">
        <v>3813</v>
      </c>
      <c r="U1983" t="s">
        <v>1604</v>
      </c>
      <c r="V1983" t="s">
        <v>1763</v>
      </c>
      <c r="W1983" t="s">
        <v>1746</v>
      </c>
      <c r="X1983" t="s">
        <v>1755</v>
      </c>
    </row>
    <row r="1984" spans="1:24" x14ac:dyDescent="0.3">
      <c r="A1984" t="s">
        <v>3791</v>
      </c>
      <c r="B1984" s="2">
        <v>45500</v>
      </c>
      <c r="C1984" t="s">
        <v>663</v>
      </c>
      <c r="D1984" t="s">
        <v>1667</v>
      </c>
      <c r="E1984" t="s">
        <v>1744</v>
      </c>
      <c r="F1984" s="4">
        <v>3</v>
      </c>
      <c r="G1984">
        <v>901.49</v>
      </c>
      <c r="H1984">
        <v>0</v>
      </c>
      <c r="I1984" t="s">
        <v>1807</v>
      </c>
      <c r="J1984">
        <v>2704.47</v>
      </c>
      <c r="K1984" t="s">
        <v>664</v>
      </c>
      <c r="L1984">
        <v>26</v>
      </c>
      <c r="M1984" t="s">
        <v>16</v>
      </c>
      <c r="N1984" t="s">
        <v>665</v>
      </c>
      <c r="O1984" t="s">
        <v>88</v>
      </c>
      <c r="P1984" t="s">
        <v>12</v>
      </c>
      <c r="Q1984" t="s">
        <v>13</v>
      </c>
      <c r="R1984" t="s">
        <v>3900</v>
      </c>
      <c r="S1984" t="s">
        <v>1527</v>
      </c>
      <c r="T1984" t="s">
        <v>3901</v>
      </c>
      <c r="U1984" t="s">
        <v>1668</v>
      </c>
      <c r="V1984" t="s">
        <v>1745</v>
      </c>
      <c r="W1984" t="s">
        <v>1746</v>
      </c>
      <c r="X1984" t="s">
        <v>1748</v>
      </c>
    </row>
    <row r="1985" spans="1:24" x14ac:dyDescent="0.3">
      <c r="A1985" t="s">
        <v>3792</v>
      </c>
      <c r="B1985" s="2">
        <v>45806</v>
      </c>
      <c r="C1985" t="s">
        <v>648</v>
      </c>
      <c r="D1985" t="s">
        <v>1591</v>
      </c>
      <c r="E1985" t="s">
        <v>1756</v>
      </c>
      <c r="F1985" s="4">
        <v>1</v>
      </c>
      <c r="G1985">
        <v>563.01</v>
      </c>
      <c r="H1985">
        <v>0.1</v>
      </c>
      <c r="I1985" t="s">
        <v>1807</v>
      </c>
      <c r="J1985">
        <v>506.709</v>
      </c>
      <c r="K1985" t="s">
        <v>649</v>
      </c>
      <c r="L1985">
        <v>25</v>
      </c>
      <c r="M1985" t="s">
        <v>16</v>
      </c>
      <c r="N1985" t="s">
        <v>650</v>
      </c>
      <c r="O1985" t="s">
        <v>429</v>
      </c>
      <c r="P1985" t="s">
        <v>12</v>
      </c>
      <c r="Q1985" t="s">
        <v>19</v>
      </c>
      <c r="R1985" t="s">
        <v>3857</v>
      </c>
      <c r="S1985" t="s">
        <v>1527</v>
      </c>
      <c r="T1985" t="s">
        <v>3830</v>
      </c>
      <c r="U1985" t="s">
        <v>1592</v>
      </c>
      <c r="V1985" t="s">
        <v>1757</v>
      </c>
      <c r="W1985" t="s">
        <v>1742</v>
      </c>
      <c r="X1985" t="s">
        <v>1748</v>
      </c>
    </row>
    <row r="1986" spans="1:24" x14ac:dyDescent="0.3">
      <c r="A1986" t="s">
        <v>3793</v>
      </c>
      <c r="B1986" s="2">
        <v>45365</v>
      </c>
      <c r="C1986" t="s">
        <v>195</v>
      </c>
      <c r="D1986" t="s">
        <v>1671</v>
      </c>
      <c r="E1986" t="s">
        <v>1759</v>
      </c>
      <c r="F1986" s="4">
        <v>4</v>
      </c>
      <c r="G1986">
        <v>167.25</v>
      </c>
      <c r="H1986">
        <v>0.11</v>
      </c>
      <c r="I1986" t="s">
        <v>1807</v>
      </c>
      <c r="J1986">
        <v>595.41</v>
      </c>
      <c r="K1986" t="s">
        <v>196</v>
      </c>
      <c r="L1986">
        <v>37</v>
      </c>
      <c r="M1986" t="s">
        <v>16</v>
      </c>
      <c r="N1986" t="s">
        <v>197</v>
      </c>
      <c r="O1986" t="s">
        <v>198</v>
      </c>
      <c r="P1986" t="s">
        <v>12</v>
      </c>
      <c r="Q1986" t="s">
        <v>26</v>
      </c>
      <c r="R1986" t="s">
        <v>3903</v>
      </c>
      <c r="S1986" t="s">
        <v>1527</v>
      </c>
      <c r="T1986" t="s">
        <v>3847</v>
      </c>
      <c r="U1986" t="s">
        <v>1672</v>
      </c>
      <c r="V1986" t="s">
        <v>1760</v>
      </c>
      <c r="W1986" t="s">
        <v>1737</v>
      </c>
      <c r="X1986" t="s">
        <v>1755</v>
      </c>
    </row>
    <row r="1987" spans="1:24" x14ac:dyDescent="0.3">
      <c r="A1987" t="s">
        <v>3794</v>
      </c>
      <c r="B1987" s="2">
        <v>45229</v>
      </c>
      <c r="C1987" t="s">
        <v>1387</v>
      </c>
      <c r="D1987" t="s">
        <v>1651</v>
      </c>
      <c r="E1987" t="s">
        <v>1793</v>
      </c>
      <c r="F1987" s="4">
        <v>3</v>
      </c>
      <c r="G1987">
        <v>345.43</v>
      </c>
      <c r="H1987">
        <v>0.08</v>
      </c>
      <c r="I1987" t="s">
        <v>1812</v>
      </c>
      <c r="J1987">
        <v>953.38679999999999</v>
      </c>
      <c r="K1987" t="s">
        <v>1388</v>
      </c>
      <c r="L1987">
        <v>54</v>
      </c>
      <c r="M1987" t="s">
        <v>9</v>
      </c>
      <c r="N1987" t="s">
        <v>129</v>
      </c>
      <c r="O1987" t="s">
        <v>96</v>
      </c>
      <c r="P1987" t="s">
        <v>12</v>
      </c>
      <c r="Q1987" t="s">
        <v>13</v>
      </c>
      <c r="R1987" t="s">
        <v>3892</v>
      </c>
      <c r="S1987" t="s">
        <v>1541</v>
      </c>
      <c r="T1987" t="s">
        <v>3881</v>
      </c>
      <c r="U1987" t="s">
        <v>1652</v>
      </c>
      <c r="V1987" t="s">
        <v>1741</v>
      </c>
      <c r="W1987" t="s">
        <v>1742</v>
      </c>
      <c r="X1987" t="s">
        <v>1739</v>
      </c>
    </row>
    <row r="1988" spans="1:24" x14ac:dyDescent="0.3">
      <c r="A1988" t="s">
        <v>3795</v>
      </c>
      <c r="B1988" s="2">
        <v>45349</v>
      </c>
      <c r="C1988" t="s">
        <v>962</v>
      </c>
      <c r="D1988" t="s">
        <v>1695</v>
      </c>
      <c r="E1988" t="s">
        <v>1769</v>
      </c>
      <c r="F1988" s="4">
        <v>4</v>
      </c>
      <c r="G1988">
        <v>752.48</v>
      </c>
      <c r="H1988">
        <v>0.23</v>
      </c>
      <c r="I1988" t="s">
        <v>1807</v>
      </c>
      <c r="J1988">
        <v>2317.6383999999998</v>
      </c>
      <c r="K1988" t="s">
        <v>963</v>
      </c>
      <c r="L1988">
        <v>41</v>
      </c>
      <c r="M1988" t="s">
        <v>16</v>
      </c>
      <c r="N1988" t="s">
        <v>964</v>
      </c>
      <c r="O1988" t="s">
        <v>264</v>
      </c>
      <c r="P1988" t="s">
        <v>12</v>
      </c>
      <c r="Q1988" t="s">
        <v>13</v>
      </c>
      <c r="R1988" t="s">
        <v>3915</v>
      </c>
      <c r="S1988" t="s">
        <v>1549</v>
      </c>
      <c r="T1988" t="s">
        <v>3828</v>
      </c>
      <c r="U1988" t="s">
        <v>1696</v>
      </c>
      <c r="V1988" t="s">
        <v>1770</v>
      </c>
      <c r="W1988" t="s">
        <v>1746</v>
      </c>
      <c r="X1988" t="s">
        <v>1739</v>
      </c>
    </row>
    <row r="1989" spans="1:24" x14ac:dyDescent="0.3">
      <c r="A1989" t="s">
        <v>3796</v>
      </c>
      <c r="B1989" s="2">
        <v>45886</v>
      </c>
      <c r="C1989" t="s">
        <v>1373</v>
      </c>
      <c r="D1989" t="s">
        <v>1645</v>
      </c>
      <c r="E1989" t="s">
        <v>1796</v>
      </c>
      <c r="F1989" s="4">
        <v>1</v>
      </c>
      <c r="G1989">
        <v>120.02</v>
      </c>
      <c r="H1989">
        <v>0.26</v>
      </c>
      <c r="I1989" t="s">
        <v>1807</v>
      </c>
      <c r="J1989">
        <v>88.814799999999991</v>
      </c>
      <c r="K1989" t="s">
        <v>1374</v>
      </c>
      <c r="L1989">
        <v>59</v>
      </c>
      <c r="M1989" t="s">
        <v>9</v>
      </c>
      <c r="N1989" t="s">
        <v>1375</v>
      </c>
      <c r="O1989" t="s">
        <v>25</v>
      </c>
      <c r="P1989" t="s">
        <v>12</v>
      </c>
      <c r="Q1989" t="s">
        <v>26</v>
      </c>
      <c r="R1989" t="s">
        <v>3889</v>
      </c>
      <c r="S1989" t="s">
        <v>1549</v>
      </c>
      <c r="T1989" t="s">
        <v>3828</v>
      </c>
      <c r="U1989" t="s">
        <v>1646</v>
      </c>
      <c r="V1989" t="s">
        <v>1741</v>
      </c>
      <c r="W1989" t="s">
        <v>1742</v>
      </c>
      <c r="X1989" t="s">
        <v>1739</v>
      </c>
    </row>
    <row r="1990" spans="1:24" x14ac:dyDescent="0.3">
      <c r="A1990" t="s">
        <v>3797</v>
      </c>
      <c r="B1990" s="2">
        <v>45359</v>
      </c>
      <c r="C1990" t="s">
        <v>1007</v>
      </c>
      <c r="D1990" t="s">
        <v>1613</v>
      </c>
      <c r="E1990" t="s">
        <v>1765</v>
      </c>
      <c r="F1990" s="4">
        <v>3</v>
      </c>
      <c r="G1990">
        <v>146.71</v>
      </c>
      <c r="H1990">
        <v>0.28000000000000003</v>
      </c>
      <c r="I1990" t="s">
        <v>1807</v>
      </c>
      <c r="J1990">
        <v>316.89359999999999</v>
      </c>
      <c r="K1990" t="s">
        <v>1008</v>
      </c>
      <c r="L1990">
        <v>58</v>
      </c>
      <c r="M1990" t="s">
        <v>9</v>
      </c>
      <c r="N1990" t="s">
        <v>1009</v>
      </c>
      <c r="O1990" t="s">
        <v>11</v>
      </c>
      <c r="P1990" t="s">
        <v>12</v>
      </c>
      <c r="Q1990" t="s">
        <v>19</v>
      </c>
      <c r="R1990" t="s">
        <v>3871</v>
      </c>
      <c r="S1990" t="s">
        <v>1549</v>
      </c>
      <c r="T1990" t="s">
        <v>3828</v>
      </c>
      <c r="U1990" t="s">
        <v>1614</v>
      </c>
      <c r="V1990" t="s">
        <v>1766</v>
      </c>
      <c r="W1990" t="s">
        <v>1767</v>
      </c>
      <c r="X1990" t="s">
        <v>1755</v>
      </c>
    </row>
    <row r="1991" spans="1:24" x14ac:dyDescent="0.3">
      <c r="A1991" t="s">
        <v>3798</v>
      </c>
      <c r="B1991" s="2">
        <v>45730</v>
      </c>
      <c r="C1991" t="s">
        <v>295</v>
      </c>
      <c r="D1991" t="s">
        <v>1659</v>
      </c>
      <c r="E1991" t="s">
        <v>1735</v>
      </c>
      <c r="F1991" s="4">
        <v>2</v>
      </c>
      <c r="G1991">
        <v>358.87</v>
      </c>
      <c r="H1991">
        <v>0.24</v>
      </c>
      <c r="I1991" t="s">
        <v>1807</v>
      </c>
      <c r="J1991">
        <v>545.48239999999998</v>
      </c>
      <c r="K1991" t="s">
        <v>296</v>
      </c>
      <c r="L1991">
        <v>48</v>
      </c>
      <c r="M1991" t="s">
        <v>16</v>
      </c>
      <c r="N1991" t="s">
        <v>297</v>
      </c>
      <c r="O1991" t="s">
        <v>247</v>
      </c>
      <c r="P1991" t="s">
        <v>12</v>
      </c>
      <c r="Q1991" t="s">
        <v>26</v>
      </c>
      <c r="R1991" t="s">
        <v>3896</v>
      </c>
      <c r="S1991" t="s">
        <v>1541</v>
      </c>
      <c r="T1991" t="s">
        <v>3878</v>
      </c>
      <c r="U1991" t="s">
        <v>1660</v>
      </c>
      <c r="V1991" t="s">
        <v>1736</v>
      </c>
      <c r="W1991" t="s">
        <v>1737</v>
      </c>
      <c r="X1991" t="s">
        <v>1739</v>
      </c>
    </row>
    <row r="1992" spans="1:24" x14ac:dyDescent="0.3">
      <c r="A1992" t="s">
        <v>3799</v>
      </c>
      <c r="B1992" s="2">
        <v>45456</v>
      </c>
      <c r="C1992" t="s">
        <v>767</v>
      </c>
      <c r="D1992" t="s">
        <v>1635</v>
      </c>
      <c r="E1992" t="s">
        <v>1749</v>
      </c>
      <c r="F1992" s="4">
        <v>4</v>
      </c>
      <c r="G1992">
        <v>212.75</v>
      </c>
      <c r="H1992">
        <v>0.11</v>
      </c>
      <c r="I1992" t="s">
        <v>1812</v>
      </c>
      <c r="J1992">
        <v>757.39</v>
      </c>
      <c r="K1992" t="s">
        <v>768</v>
      </c>
      <c r="L1992">
        <v>58</v>
      </c>
      <c r="M1992" t="s">
        <v>16</v>
      </c>
      <c r="N1992" t="s">
        <v>769</v>
      </c>
      <c r="O1992" t="s">
        <v>284</v>
      </c>
      <c r="P1992" t="s">
        <v>12</v>
      </c>
      <c r="Q1992" t="s">
        <v>19</v>
      </c>
      <c r="R1992" t="s">
        <v>3884</v>
      </c>
      <c r="S1992" t="s">
        <v>1549</v>
      </c>
      <c r="T1992" t="s">
        <v>3859</v>
      </c>
      <c r="U1992" t="s">
        <v>1636</v>
      </c>
      <c r="V1992" t="s">
        <v>1750</v>
      </c>
      <c r="W1992" t="s">
        <v>1742</v>
      </c>
      <c r="X1992" t="s">
        <v>1748</v>
      </c>
    </row>
    <row r="1993" spans="1:24" x14ac:dyDescent="0.3">
      <c r="A1993" t="s">
        <v>3800</v>
      </c>
      <c r="B1993" s="2">
        <v>45450</v>
      </c>
      <c r="C1993" t="s">
        <v>1018</v>
      </c>
      <c r="D1993" t="s">
        <v>1621</v>
      </c>
      <c r="E1993" t="s">
        <v>1775</v>
      </c>
      <c r="F1993" s="4">
        <v>1</v>
      </c>
      <c r="G1993">
        <v>183.47</v>
      </c>
      <c r="H1993">
        <v>0.17</v>
      </c>
      <c r="I1993" t="s">
        <v>1809</v>
      </c>
      <c r="J1993">
        <v>152.2801</v>
      </c>
      <c r="K1993" t="s">
        <v>1019</v>
      </c>
      <c r="L1993">
        <v>46</v>
      </c>
      <c r="M1993" t="s">
        <v>9</v>
      </c>
      <c r="N1993" t="s">
        <v>1020</v>
      </c>
      <c r="O1993" t="s">
        <v>58</v>
      </c>
      <c r="P1993" t="s">
        <v>12</v>
      </c>
      <c r="Q1993" t="s">
        <v>26</v>
      </c>
      <c r="R1993" t="s">
        <v>3875</v>
      </c>
      <c r="S1993" t="s">
        <v>1549</v>
      </c>
      <c r="T1993" t="s">
        <v>3859</v>
      </c>
      <c r="U1993" t="s">
        <v>1622</v>
      </c>
      <c r="V1993" t="s">
        <v>1741</v>
      </c>
      <c r="W1993" t="s">
        <v>1742</v>
      </c>
      <c r="X1993" t="s">
        <v>1739</v>
      </c>
    </row>
    <row r="1994" spans="1:24" x14ac:dyDescent="0.3">
      <c r="A1994" t="s">
        <v>3801</v>
      </c>
      <c r="B1994" s="2">
        <v>45493</v>
      </c>
      <c r="C1994" t="s">
        <v>248</v>
      </c>
      <c r="D1994" t="s">
        <v>1709</v>
      </c>
      <c r="E1994" t="s">
        <v>1784</v>
      </c>
      <c r="F1994" s="4">
        <v>4</v>
      </c>
      <c r="G1994">
        <v>569.98</v>
      </c>
      <c r="H1994">
        <v>0.23</v>
      </c>
      <c r="I1994" t="s">
        <v>1807</v>
      </c>
      <c r="J1994">
        <v>1755.5383999999999</v>
      </c>
      <c r="K1994" t="s">
        <v>249</v>
      </c>
      <c r="L1994">
        <v>24</v>
      </c>
      <c r="M1994" t="s">
        <v>16</v>
      </c>
      <c r="N1994" t="s">
        <v>250</v>
      </c>
      <c r="O1994" t="s">
        <v>251</v>
      </c>
      <c r="P1994" t="s">
        <v>12</v>
      </c>
      <c r="Q1994" t="s">
        <v>31</v>
      </c>
      <c r="R1994" t="s">
        <v>3922</v>
      </c>
      <c r="S1994" t="s">
        <v>1541</v>
      </c>
      <c r="T1994" t="s">
        <v>3878</v>
      </c>
      <c r="U1994" t="s">
        <v>1710</v>
      </c>
      <c r="V1994" t="s">
        <v>1741</v>
      </c>
      <c r="W1994" t="s">
        <v>1742</v>
      </c>
      <c r="X1994" t="s">
        <v>1739</v>
      </c>
    </row>
    <row r="1995" spans="1:24" x14ac:dyDescent="0.3">
      <c r="A1995" t="s">
        <v>3802</v>
      </c>
      <c r="B1995" s="2">
        <v>45274</v>
      </c>
      <c r="C1995" t="s">
        <v>1439</v>
      </c>
      <c r="D1995" t="s">
        <v>1573</v>
      </c>
      <c r="E1995" t="s">
        <v>1777</v>
      </c>
      <c r="F1995" s="4">
        <v>3</v>
      </c>
      <c r="G1995">
        <v>984.12</v>
      </c>
      <c r="H1995">
        <v>0.27</v>
      </c>
      <c r="I1995" t="s">
        <v>1807</v>
      </c>
      <c r="J1995">
        <v>2155.2228</v>
      </c>
      <c r="K1995" t="s">
        <v>1440</v>
      </c>
      <c r="L1995">
        <v>53</v>
      </c>
      <c r="M1995" t="s">
        <v>9</v>
      </c>
      <c r="N1995" t="s">
        <v>1441</v>
      </c>
      <c r="O1995" t="s">
        <v>709</v>
      </c>
      <c r="P1995" t="s">
        <v>12</v>
      </c>
      <c r="Q1995" t="s">
        <v>31</v>
      </c>
      <c r="R1995" t="s">
        <v>3846</v>
      </c>
      <c r="S1995" t="s">
        <v>1527</v>
      </c>
      <c r="T1995" t="s">
        <v>3847</v>
      </c>
      <c r="U1995" t="s">
        <v>1574</v>
      </c>
      <c r="V1995" t="s">
        <v>1741</v>
      </c>
      <c r="W1995" t="s">
        <v>1742</v>
      </c>
      <c r="X1995" t="s">
        <v>1739</v>
      </c>
    </row>
    <row r="1996" spans="1:24" x14ac:dyDescent="0.3">
      <c r="A1996" t="s">
        <v>3803</v>
      </c>
      <c r="B1996" s="2">
        <v>45844</v>
      </c>
      <c r="C1996" t="s">
        <v>1442</v>
      </c>
      <c r="D1996" t="s">
        <v>1699</v>
      </c>
      <c r="E1996" t="s">
        <v>1765</v>
      </c>
      <c r="F1996" s="4">
        <v>1</v>
      </c>
      <c r="G1996">
        <v>905.23</v>
      </c>
      <c r="H1996">
        <v>0</v>
      </c>
      <c r="I1996" t="s">
        <v>1807</v>
      </c>
      <c r="J1996">
        <v>905.23</v>
      </c>
      <c r="K1996" t="s">
        <v>1443</v>
      </c>
      <c r="L1996">
        <v>32</v>
      </c>
      <c r="M1996" t="s">
        <v>16</v>
      </c>
      <c r="N1996" t="s">
        <v>1444</v>
      </c>
      <c r="O1996" t="s">
        <v>319</v>
      </c>
      <c r="P1996" t="s">
        <v>12</v>
      </c>
      <c r="Q1996" t="s">
        <v>26</v>
      </c>
      <c r="R1996" t="s">
        <v>3917</v>
      </c>
      <c r="S1996" t="s">
        <v>1527</v>
      </c>
      <c r="T1996" t="s">
        <v>3901</v>
      </c>
      <c r="U1996" t="s">
        <v>1700</v>
      </c>
      <c r="V1996" t="s">
        <v>1766</v>
      </c>
      <c r="W1996" t="s">
        <v>1767</v>
      </c>
      <c r="X1996" t="s">
        <v>1755</v>
      </c>
    </row>
    <row r="1997" spans="1:24" x14ac:dyDescent="0.3">
      <c r="A1997" t="s">
        <v>3804</v>
      </c>
      <c r="B1997" s="2">
        <v>45264</v>
      </c>
      <c r="C1997" t="s">
        <v>607</v>
      </c>
      <c r="D1997" t="s">
        <v>1729</v>
      </c>
      <c r="E1997" t="s">
        <v>1796</v>
      </c>
      <c r="F1997" s="4">
        <v>3</v>
      </c>
      <c r="G1997">
        <v>112.77</v>
      </c>
      <c r="H1997">
        <v>0.19</v>
      </c>
      <c r="I1997" t="s">
        <v>1807</v>
      </c>
      <c r="J1997">
        <v>274.03109999999998</v>
      </c>
      <c r="K1997" t="s">
        <v>608</v>
      </c>
      <c r="L1997">
        <v>60</v>
      </c>
      <c r="M1997" t="s">
        <v>16</v>
      </c>
      <c r="N1997" t="s">
        <v>609</v>
      </c>
      <c r="O1997" t="s">
        <v>113</v>
      </c>
      <c r="P1997" t="s">
        <v>12</v>
      </c>
      <c r="Q1997" t="s">
        <v>31</v>
      </c>
      <c r="R1997" t="s">
        <v>3932</v>
      </c>
      <c r="S1997" t="s">
        <v>1527</v>
      </c>
      <c r="T1997" t="s">
        <v>3830</v>
      </c>
      <c r="U1997" t="s">
        <v>1730</v>
      </c>
      <c r="V1997" t="s">
        <v>1741</v>
      </c>
      <c r="W1997" t="s">
        <v>1742</v>
      </c>
      <c r="X1997" t="s">
        <v>1739</v>
      </c>
    </row>
    <row r="1998" spans="1:24" x14ac:dyDescent="0.3">
      <c r="A1998" t="s">
        <v>3805</v>
      </c>
      <c r="B1998" s="2">
        <v>45773</v>
      </c>
      <c r="C1998" t="s">
        <v>533</v>
      </c>
      <c r="D1998" t="s">
        <v>1601</v>
      </c>
      <c r="E1998" t="s">
        <v>1765</v>
      </c>
      <c r="F1998" s="4">
        <v>3</v>
      </c>
      <c r="G1998">
        <v>875.99</v>
      </c>
      <c r="H1998">
        <v>0.09</v>
      </c>
      <c r="I1998" t="s">
        <v>1809</v>
      </c>
      <c r="J1998">
        <v>2391.4526999999998</v>
      </c>
      <c r="K1998" t="s">
        <v>534</v>
      </c>
      <c r="L1998">
        <v>37</v>
      </c>
      <c r="M1998" t="s">
        <v>9</v>
      </c>
      <c r="N1998" t="s">
        <v>535</v>
      </c>
      <c r="O1998" t="s">
        <v>133</v>
      </c>
      <c r="P1998" t="s">
        <v>12</v>
      </c>
      <c r="Q1998" t="s">
        <v>31</v>
      </c>
      <c r="R1998" t="s">
        <v>3863</v>
      </c>
      <c r="S1998" t="s">
        <v>1527</v>
      </c>
      <c r="T1998" t="s">
        <v>3824</v>
      </c>
      <c r="U1998" t="s">
        <v>1602</v>
      </c>
      <c r="V1998" t="s">
        <v>1766</v>
      </c>
      <c r="W1998" t="s">
        <v>1767</v>
      </c>
      <c r="X1998" t="s">
        <v>1755</v>
      </c>
    </row>
    <row r="1999" spans="1:24" x14ac:dyDescent="0.3">
      <c r="A1999" t="s">
        <v>3806</v>
      </c>
      <c r="B1999" s="2">
        <v>45460</v>
      </c>
      <c r="C1999" t="s">
        <v>436</v>
      </c>
      <c r="D1999" t="s">
        <v>1709</v>
      </c>
      <c r="E1999" t="s">
        <v>1772</v>
      </c>
      <c r="F1999" s="4">
        <v>2</v>
      </c>
      <c r="G1999">
        <v>685.31</v>
      </c>
      <c r="H1999">
        <v>0.26</v>
      </c>
      <c r="I1999" t="s">
        <v>1809</v>
      </c>
      <c r="J1999">
        <v>1014.2588</v>
      </c>
      <c r="K1999" t="s">
        <v>437</v>
      </c>
      <c r="L1999">
        <v>43</v>
      </c>
      <c r="M1999" t="s">
        <v>16</v>
      </c>
      <c r="N1999" t="s">
        <v>438</v>
      </c>
      <c r="O1999" t="s">
        <v>288</v>
      </c>
      <c r="P1999" t="s">
        <v>12</v>
      </c>
      <c r="Q1999" t="s">
        <v>31</v>
      </c>
      <c r="R1999" t="s">
        <v>3922</v>
      </c>
      <c r="S1999" t="s">
        <v>1541</v>
      </c>
      <c r="T1999" t="s">
        <v>3878</v>
      </c>
      <c r="U1999" t="s">
        <v>1710</v>
      </c>
      <c r="V1999" t="s">
        <v>1741</v>
      </c>
      <c r="W1999" t="s">
        <v>1742</v>
      </c>
      <c r="X1999" t="s">
        <v>1739</v>
      </c>
    </row>
    <row r="2000" spans="1:24" x14ac:dyDescent="0.3">
      <c r="A2000" t="s">
        <v>3807</v>
      </c>
      <c r="B2000" s="2">
        <v>45607</v>
      </c>
      <c r="C2000" t="s">
        <v>195</v>
      </c>
      <c r="D2000" t="s">
        <v>1653</v>
      </c>
      <c r="E2000" t="s">
        <v>1775</v>
      </c>
      <c r="F2000" s="4">
        <v>3</v>
      </c>
      <c r="G2000">
        <v>945.37</v>
      </c>
      <c r="H2000">
        <v>0.05</v>
      </c>
      <c r="I2000" t="s">
        <v>1807</v>
      </c>
      <c r="J2000">
        <v>2694.3045000000002</v>
      </c>
      <c r="K2000" t="s">
        <v>196</v>
      </c>
      <c r="L2000">
        <v>37</v>
      </c>
      <c r="M2000" t="s">
        <v>16</v>
      </c>
      <c r="N2000" t="s">
        <v>197</v>
      </c>
      <c r="O2000" t="s">
        <v>198</v>
      </c>
      <c r="P2000" t="s">
        <v>12</v>
      </c>
      <c r="Q2000" t="s">
        <v>26</v>
      </c>
      <c r="R2000" t="s">
        <v>3893</v>
      </c>
      <c r="S2000" t="s">
        <v>1549</v>
      </c>
      <c r="T2000" t="s">
        <v>3844</v>
      </c>
      <c r="U2000" t="s">
        <v>1654</v>
      </c>
      <c r="V2000" t="s">
        <v>1741</v>
      </c>
      <c r="W2000" t="s">
        <v>1742</v>
      </c>
      <c r="X2000" t="s">
        <v>1739</v>
      </c>
    </row>
    <row r="2001" spans="1:24" x14ac:dyDescent="0.3">
      <c r="A2001" t="s">
        <v>3808</v>
      </c>
      <c r="B2001" s="2">
        <v>45267</v>
      </c>
      <c r="C2001" t="s">
        <v>100</v>
      </c>
      <c r="D2001" t="s">
        <v>1683</v>
      </c>
      <c r="E2001" t="s">
        <v>1796</v>
      </c>
      <c r="F2001" s="4">
        <v>3</v>
      </c>
      <c r="G2001">
        <v>68.45</v>
      </c>
      <c r="H2001">
        <v>0.17</v>
      </c>
      <c r="I2001" t="s">
        <v>1809</v>
      </c>
      <c r="J2001">
        <v>170.44049999999999</v>
      </c>
      <c r="K2001" t="s">
        <v>101</v>
      </c>
      <c r="L2001">
        <v>40</v>
      </c>
      <c r="M2001" t="s">
        <v>9</v>
      </c>
      <c r="N2001" t="s">
        <v>102</v>
      </c>
      <c r="O2001" t="s">
        <v>35</v>
      </c>
      <c r="P2001" t="s">
        <v>12</v>
      </c>
      <c r="Q2001" t="s">
        <v>31</v>
      </c>
      <c r="R2001" t="s">
        <v>3909</v>
      </c>
      <c r="S2001" t="s">
        <v>1546</v>
      </c>
      <c r="T2001" t="s">
        <v>3811</v>
      </c>
      <c r="U2001" t="s">
        <v>1684</v>
      </c>
      <c r="V2001" t="s">
        <v>1741</v>
      </c>
      <c r="W2001" t="s">
        <v>1742</v>
      </c>
      <c r="X2001" t="s">
        <v>1739</v>
      </c>
    </row>
  </sheetData>
  <conditionalFormatting sqref="R263">
    <cfRule type="duplicateValues" dxfId="18" priority="18"/>
  </conditionalFormatting>
  <conditionalFormatting sqref="R428">
    <cfRule type="duplicateValues" dxfId="17" priority="17"/>
  </conditionalFormatting>
  <conditionalFormatting sqref="R516">
    <cfRule type="duplicateValues" dxfId="16" priority="16"/>
  </conditionalFormatting>
  <conditionalFormatting sqref="R1006">
    <cfRule type="duplicateValues" dxfId="15" priority="15"/>
  </conditionalFormatting>
  <conditionalFormatting sqref="R1099">
    <cfRule type="duplicateValues" dxfId="14" priority="14"/>
  </conditionalFormatting>
  <conditionalFormatting sqref="R1123">
    <cfRule type="duplicateValues" dxfId="13" priority="13"/>
  </conditionalFormatting>
  <conditionalFormatting sqref="R1128">
    <cfRule type="duplicateValues" dxfId="12" priority="12"/>
  </conditionalFormatting>
  <conditionalFormatting sqref="R1192">
    <cfRule type="duplicateValues" dxfId="11" priority="11"/>
  </conditionalFormatting>
  <conditionalFormatting sqref="R1279">
    <cfRule type="duplicateValues" dxfId="10" priority="10"/>
  </conditionalFormatting>
  <conditionalFormatting sqref="R1288">
    <cfRule type="duplicateValues" dxfId="9" priority="9"/>
  </conditionalFormatting>
  <conditionalFormatting sqref="R1316">
    <cfRule type="duplicateValues" dxfId="8" priority="8"/>
  </conditionalFormatting>
  <conditionalFormatting sqref="R1629">
    <cfRule type="duplicateValues" dxfId="7" priority="7"/>
  </conditionalFormatting>
  <conditionalFormatting sqref="R1700">
    <cfRule type="duplicateValues" dxfId="6" priority="6"/>
  </conditionalFormatting>
  <conditionalFormatting sqref="R1722">
    <cfRule type="duplicateValues" dxfId="5" priority="5"/>
  </conditionalFormatting>
  <conditionalFormatting sqref="R1845">
    <cfRule type="duplicateValues" dxfId="4" priority="2"/>
  </conditionalFormatting>
  <conditionalFormatting sqref="R1872">
    <cfRule type="duplicateValues" dxfId="3" priority="3"/>
  </conditionalFormatting>
  <conditionalFormatting sqref="R1">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1A5C-6E66-46D2-9AB1-64537D08EAA8}">
  <dimension ref="D4:E7"/>
  <sheetViews>
    <sheetView tabSelected="1" workbookViewId="0">
      <selection activeCell="H20" sqref="H20"/>
    </sheetView>
  </sheetViews>
  <sheetFormatPr defaultRowHeight="14.4" x14ac:dyDescent="0.3"/>
  <cols>
    <col min="4" max="4" width="32.44140625" customWidth="1"/>
  </cols>
  <sheetData>
    <row r="4" spans="4:5" x14ac:dyDescent="0.3">
      <c r="D4" s="15" t="s">
        <v>3963</v>
      </c>
      <c r="E4" s="15">
        <f>COUNT(Table7[Total_Amount])</f>
        <v>2000</v>
      </c>
    </row>
    <row r="5" spans="4:5" x14ac:dyDescent="0.3">
      <c r="D5" s="15" t="s">
        <v>3964</v>
      </c>
      <c r="E5" s="15">
        <f>COUNTIF(Table7[Gender],"Male")</f>
        <v>968</v>
      </c>
    </row>
    <row r="6" spans="4:5" x14ac:dyDescent="0.3">
      <c r="D6" s="15" t="s">
        <v>3965</v>
      </c>
      <c r="E6" s="15">
        <f>COUNTIF(Table7[Gender],"Female")</f>
        <v>1032</v>
      </c>
    </row>
    <row r="7" spans="4:5" x14ac:dyDescent="0.3">
      <c r="D7" s="15" t="s">
        <v>3966</v>
      </c>
      <c r="E7" s="15">
        <f>SUM(Table7[Total_Amount])</f>
        <v>2175265.0085773687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8066-9C99-4092-9F61-6D7877E4A7CB}">
  <dimension ref="A1:AI2001"/>
  <sheetViews>
    <sheetView workbookViewId="0">
      <selection activeCell="AQ26" sqref="AQ26"/>
    </sheetView>
  </sheetViews>
  <sheetFormatPr defaultRowHeight="14.4" x14ac:dyDescent="0.3"/>
  <cols>
    <col min="1" max="1" width="12.5546875" customWidth="1"/>
    <col min="2" max="2" width="12.5546875" style="2" customWidth="1"/>
    <col min="3" max="3" width="15" customWidth="1"/>
    <col min="4" max="4" width="15.5546875" customWidth="1"/>
    <col min="6" max="6" width="9" customWidth="1"/>
    <col min="7" max="7" width="10.44140625" customWidth="1"/>
    <col min="12" max="12" width="12.5546875" style="2" customWidth="1"/>
    <col min="13" max="13" width="15" customWidth="1"/>
    <col min="15" max="15" width="12.5546875" bestFit="1" customWidth="1"/>
    <col min="16" max="16" width="19.77734375" bestFit="1" customWidth="1"/>
    <col min="18" max="18" width="15.5546875" customWidth="1"/>
    <col min="19" max="19" width="15" customWidth="1"/>
    <col min="20" max="20" width="12.5546875" bestFit="1" customWidth="1"/>
    <col min="21" max="21" width="19.77734375" bestFit="1" customWidth="1"/>
    <col min="23" max="23" width="9" customWidth="1"/>
    <col min="24" max="24" width="10.44140625" customWidth="1"/>
    <col min="25" max="25" width="15" customWidth="1"/>
    <col min="26" max="26" width="19.77734375" bestFit="1" customWidth="1"/>
    <col min="27" max="27" width="15.5546875" bestFit="1" customWidth="1"/>
    <col min="28" max="29" width="12" bestFit="1" customWidth="1"/>
    <col min="32" max="32" width="15" customWidth="1"/>
    <col min="34" max="34" width="12.5546875" bestFit="1" customWidth="1"/>
    <col min="35" max="35" width="19.77734375" bestFit="1" customWidth="1"/>
  </cols>
  <sheetData>
    <row r="1" spans="1:35" ht="15" thickBot="1" x14ac:dyDescent="0.35">
      <c r="A1" t="s">
        <v>1</v>
      </c>
      <c r="B1" s="2" t="s">
        <v>1800</v>
      </c>
      <c r="C1" t="s">
        <v>1805</v>
      </c>
      <c r="D1" t="s">
        <v>1804</v>
      </c>
      <c r="E1" t="s">
        <v>2</v>
      </c>
      <c r="F1" t="s">
        <v>3</v>
      </c>
      <c r="G1" s="6" t="s">
        <v>1521</v>
      </c>
      <c r="H1" s="5" t="s">
        <v>1733</v>
      </c>
      <c r="L1" s="2" t="s">
        <v>1800</v>
      </c>
      <c r="M1" t="s">
        <v>1805</v>
      </c>
      <c r="R1" t="s">
        <v>1804</v>
      </c>
      <c r="S1" t="s">
        <v>1805</v>
      </c>
      <c r="W1" s="10" t="s">
        <v>3</v>
      </c>
      <c r="X1" s="16" t="s">
        <v>1521</v>
      </c>
      <c r="Y1" t="s">
        <v>1805</v>
      </c>
      <c r="AF1" t="s">
        <v>1805</v>
      </c>
      <c r="AG1" s="5" t="s">
        <v>1733</v>
      </c>
    </row>
    <row r="2" spans="1:35" ht="15" thickTop="1" x14ac:dyDescent="0.3">
      <c r="A2" t="s">
        <v>1259</v>
      </c>
      <c r="B2" s="2">
        <v>45480</v>
      </c>
      <c r="C2">
        <v>198.41640000000001</v>
      </c>
      <c r="D2" t="s">
        <v>1807</v>
      </c>
      <c r="E2">
        <v>48</v>
      </c>
      <c r="F2" t="s">
        <v>16</v>
      </c>
      <c r="G2" t="s">
        <v>1549</v>
      </c>
      <c r="H2" t="s">
        <v>1742</v>
      </c>
      <c r="L2" s="2">
        <v>45480</v>
      </c>
      <c r="M2">
        <v>198.41640000000001</v>
      </c>
      <c r="O2" s="8" t="s">
        <v>3959</v>
      </c>
      <c r="P2" t="s">
        <v>3961</v>
      </c>
      <c r="R2" t="s">
        <v>1807</v>
      </c>
      <c r="S2">
        <v>198.41640000000001</v>
      </c>
      <c r="W2" s="11" t="s">
        <v>16</v>
      </c>
      <c r="X2" s="11" t="s">
        <v>1549</v>
      </c>
      <c r="Y2">
        <v>198.41640000000001</v>
      </c>
      <c r="AF2">
        <v>198.41640000000001</v>
      </c>
      <c r="AG2" t="s">
        <v>1742</v>
      </c>
    </row>
    <row r="3" spans="1:35" x14ac:dyDescent="0.3">
      <c r="A3" t="s">
        <v>1425</v>
      </c>
      <c r="B3" s="2">
        <v>45285</v>
      </c>
      <c r="C3">
        <v>228.7893</v>
      </c>
      <c r="D3" t="s">
        <v>1809</v>
      </c>
      <c r="E3">
        <v>45</v>
      </c>
      <c r="F3" t="s">
        <v>9</v>
      </c>
      <c r="G3" t="s">
        <v>1546</v>
      </c>
      <c r="H3" t="s">
        <v>1742</v>
      </c>
      <c r="L3" s="2">
        <v>45285</v>
      </c>
      <c r="M3">
        <v>228.7893</v>
      </c>
      <c r="O3" s="9" t="s">
        <v>3967</v>
      </c>
      <c r="P3" s="14">
        <v>224167.88882377226</v>
      </c>
      <c r="R3" t="s">
        <v>1809</v>
      </c>
      <c r="S3">
        <v>228.7893</v>
      </c>
      <c r="T3" s="8" t="s">
        <v>3959</v>
      </c>
      <c r="U3" t="s">
        <v>3961</v>
      </c>
      <c r="W3" s="12" t="s">
        <v>9</v>
      </c>
      <c r="X3" s="12" t="s">
        <v>1546</v>
      </c>
      <c r="Y3">
        <v>228.7893</v>
      </c>
      <c r="Z3" s="8" t="s">
        <v>3961</v>
      </c>
      <c r="AA3" s="8" t="s">
        <v>3962</v>
      </c>
      <c r="AF3">
        <v>228.7893</v>
      </c>
      <c r="AG3" t="s">
        <v>1742</v>
      </c>
    </row>
    <row r="4" spans="1:35" x14ac:dyDescent="0.3">
      <c r="A4" t="s">
        <v>209</v>
      </c>
      <c r="B4" s="2">
        <v>45446</v>
      </c>
      <c r="C4">
        <v>2742.15</v>
      </c>
      <c r="D4" t="s">
        <v>1807</v>
      </c>
      <c r="E4">
        <v>43</v>
      </c>
      <c r="F4" t="s">
        <v>16</v>
      </c>
      <c r="G4" t="s">
        <v>1541</v>
      </c>
      <c r="H4" t="s">
        <v>1767</v>
      </c>
      <c r="L4" s="2">
        <v>45446</v>
      </c>
      <c r="M4">
        <v>2742.15</v>
      </c>
      <c r="O4" s="9" t="s">
        <v>3968</v>
      </c>
      <c r="P4" s="14">
        <v>1093875.323011338</v>
      </c>
      <c r="R4" t="s">
        <v>1807</v>
      </c>
      <c r="S4">
        <v>2742.15</v>
      </c>
      <c r="T4" s="9" t="s">
        <v>1812</v>
      </c>
      <c r="U4" s="14">
        <v>703703.33943202347</v>
      </c>
      <c r="W4" s="11" t="s">
        <v>16</v>
      </c>
      <c r="X4" s="11" t="s">
        <v>1541</v>
      </c>
      <c r="Y4">
        <v>2742.15</v>
      </c>
      <c r="Z4" s="8" t="s">
        <v>3959</v>
      </c>
      <c r="AA4" t="s">
        <v>16</v>
      </c>
      <c r="AB4" t="s">
        <v>9</v>
      </c>
      <c r="AC4" t="s">
        <v>3960</v>
      </c>
      <c r="AF4">
        <v>2742.15</v>
      </c>
      <c r="AG4" t="s">
        <v>1767</v>
      </c>
      <c r="AH4" s="8" t="s">
        <v>3959</v>
      </c>
      <c r="AI4" t="s">
        <v>3961</v>
      </c>
    </row>
    <row r="5" spans="1:35" x14ac:dyDescent="0.3">
      <c r="A5" t="s">
        <v>1076</v>
      </c>
      <c r="B5" s="2">
        <v>45259</v>
      </c>
      <c r="C5">
        <v>774.0684</v>
      </c>
      <c r="D5" t="s">
        <v>1812</v>
      </c>
      <c r="E5">
        <v>39</v>
      </c>
      <c r="F5" t="s">
        <v>16</v>
      </c>
      <c r="G5" t="s">
        <v>1546</v>
      </c>
      <c r="H5" t="s">
        <v>1767</v>
      </c>
      <c r="L5" s="2">
        <v>45259</v>
      </c>
      <c r="M5">
        <v>774.0684</v>
      </c>
      <c r="O5" s="9" t="s">
        <v>3969</v>
      </c>
      <c r="P5" s="14">
        <v>857221.79674225789</v>
      </c>
      <c r="R5" t="s">
        <v>1812</v>
      </c>
      <c r="S5">
        <v>774.0684</v>
      </c>
      <c r="T5" s="9" t="s">
        <v>1807</v>
      </c>
      <c r="U5" s="14">
        <v>714843.56993400666</v>
      </c>
      <c r="W5" s="12" t="s">
        <v>16</v>
      </c>
      <c r="X5" s="12" t="s">
        <v>1546</v>
      </c>
      <c r="Y5">
        <v>774.0684</v>
      </c>
      <c r="Z5" s="9" t="s">
        <v>1541</v>
      </c>
      <c r="AA5" s="14">
        <v>180344.28020000001</v>
      </c>
      <c r="AB5" s="14">
        <v>175735.69230825125</v>
      </c>
      <c r="AC5" s="14">
        <v>356079.97250825126</v>
      </c>
      <c r="AF5">
        <v>774.0684</v>
      </c>
      <c r="AG5" t="s">
        <v>1767</v>
      </c>
      <c r="AH5" s="9" t="s">
        <v>1737</v>
      </c>
      <c r="AI5" s="14">
        <v>199672.35180000015</v>
      </c>
    </row>
    <row r="6" spans="1:35" x14ac:dyDescent="0.3">
      <c r="A6" t="s">
        <v>1500</v>
      </c>
      <c r="B6" s="2">
        <v>45297</v>
      </c>
      <c r="C6">
        <v>1833.4380000000001</v>
      </c>
      <c r="D6" t="s">
        <v>1807</v>
      </c>
      <c r="E6">
        <v>21</v>
      </c>
      <c r="F6" t="s">
        <v>9</v>
      </c>
      <c r="G6" t="s">
        <v>1541</v>
      </c>
      <c r="H6" t="s">
        <v>1742</v>
      </c>
      <c r="L6" s="2">
        <v>45297</v>
      </c>
      <c r="M6">
        <v>1833.4380000000001</v>
      </c>
      <c r="O6" s="9" t="s">
        <v>3960</v>
      </c>
      <c r="P6" s="14">
        <v>2175265.0085773682</v>
      </c>
      <c r="R6" t="s">
        <v>1807</v>
      </c>
      <c r="S6">
        <v>1833.4380000000001</v>
      </c>
      <c r="T6" s="9" t="s">
        <v>1809</v>
      </c>
      <c r="U6" s="14">
        <v>756718.09921133844</v>
      </c>
      <c r="W6" s="11" t="s">
        <v>9</v>
      </c>
      <c r="X6" s="11" t="s">
        <v>1541</v>
      </c>
      <c r="Y6">
        <v>1833.4380000000001</v>
      </c>
      <c r="Z6" s="9" t="s">
        <v>1530</v>
      </c>
      <c r="AA6" s="14">
        <v>155935.59120000008</v>
      </c>
      <c r="AB6" s="14">
        <v>166848.66935777839</v>
      </c>
      <c r="AC6" s="14">
        <v>322784.26055777847</v>
      </c>
      <c r="AF6">
        <v>1833.4380000000001</v>
      </c>
      <c r="AG6" t="s">
        <v>1742</v>
      </c>
      <c r="AH6" s="9" t="s">
        <v>1742</v>
      </c>
      <c r="AI6" s="14">
        <v>1380704.5224773686</v>
      </c>
    </row>
    <row r="7" spans="1:35" x14ac:dyDescent="0.3">
      <c r="A7" t="s">
        <v>401</v>
      </c>
      <c r="B7" s="2">
        <v>45499</v>
      </c>
      <c r="C7">
        <v>357.23430000000002</v>
      </c>
      <c r="D7" t="s">
        <v>1812</v>
      </c>
      <c r="E7">
        <v>21</v>
      </c>
      <c r="F7" t="s">
        <v>16</v>
      </c>
      <c r="G7" t="s">
        <v>1546</v>
      </c>
      <c r="H7" t="s">
        <v>1746</v>
      </c>
      <c r="L7" s="2">
        <v>45499</v>
      </c>
      <c r="M7">
        <v>357.23430000000002</v>
      </c>
      <c r="R7" t="s">
        <v>1812</v>
      </c>
      <c r="S7">
        <v>357.23430000000002</v>
      </c>
      <c r="T7" s="9" t="s">
        <v>3960</v>
      </c>
      <c r="U7" s="14">
        <v>2175265.0085773687</v>
      </c>
      <c r="W7" s="12" t="s">
        <v>16</v>
      </c>
      <c r="X7" s="12" t="s">
        <v>1546</v>
      </c>
      <c r="Y7">
        <v>357.23430000000002</v>
      </c>
      <c r="Z7" s="9" t="s">
        <v>1546</v>
      </c>
      <c r="AA7" s="14">
        <v>281133.03879999998</v>
      </c>
      <c r="AB7" s="14">
        <v>222031.80359999987</v>
      </c>
      <c r="AC7" s="14">
        <v>503164.84239999985</v>
      </c>
      <c r="AF7">
        <v>357.23430000000002</v>
      </c>
      <c r="AG7" t="s">
        <v>1746</v>
      </c>
      <c r="AH7" s="9" t="s">
        <v>1746</v>
      </c>
      <c r="AI7" s="14">
        <v>435916.67190000013</v>
      </c>
    </row>
    <row r="8" spans="1:35" x14ac:dyDescent="0.3">
      <c r="A8" t="s">
        <v>76</v>
      </c>
      <c r="B8" s="2">
        <v>45850</v>
      </c>
      <c r="C8">
        <v>1335.027</v>
      </c>
      <c r="D8" t="s">
        <v>1809</v>
      </c>
      <c r="E8">
        <v>60</v>
      </c>
      <c r="F8" t="s">
        <v>16</v>
      </c>
      <c r="G8" t="s">
        <v>1527</v>
      </c>
      <c r="H8" t="s">
        <v>1746</v>
      </c>
      <c r="L8" s="2">
        <v>45850</v>
      </c>
      <c r="M8">
        <v>1335.027</v>
      </c>
      <c r="R8" t="s">
        <v>1809</v>
      </c>
      <c r="S8">
        <v>1335.027</v>
      </c>
      <c r="W8" s="11" t="s">
        <v>16</v>
      </c>
      <c r="X8" s="11" t="s">
        <v>1527</v>
      </c>
      <c r="Y8">
        <v>1335.027</v>
      </c>
      <c r="Z8" s="9" t="s">
        <v>1527</v>
      </c>
      <c r="AA8" s="14">
        <v>217025.2637000001</v>
      </c>
      <c r="AB8" s="14">
        <v>231524.55639999986</v>
      </c>
      <c r="AC8" s="14">
        <v>448549.82009999995</v>
      </c>
      <c r="AF8">
        <v>1335.027</v>
      </c>
      <c r="AG8" t="s">
        <v>1746</v>
      </c>
      <c r="AH8" s="9" t="s">
        <v>1767</v>
      </c>
      <c r="AI8" s="14">
        <v>158971.46239999999</v>
      </c>
    </row>
    <row r="9" spans="1:35" x14ac:dyDescent="0.3">
      <c r="A9" t="s">
        <v>507</v>
      </c>
      <c r="B9" s="2">
        <v>45248</v>
      </c>
      <c r="C9">
        <v>1054.5612000000001</v>
      </c>
      <c r="D9" t="s">
        <v>1809</v>
      </c>
      <c r="E9">
        <v>31</v>
      </c>
      <c r="F9" t="s">
        <v>9</v>
      </c>
      <c r="G9" t="s">
        <v>1527</v>
      </c>
      <c r="H9" t="s">
        <v>1767</v>
      </c>
      <c r="L9" s="2">
        <v>45248</v>
      </c>
      <c r="M9">
        <v>1054.5612000000001</v>
      </c>
      <c r="R9" t="s">
        <v>1809</v>
      </c>
      <c r="S9">
        <v>1054.5612000000001</v>
      </c>
      <c r="W9" s="12" t="s">
        <v>9</v>
      </c>
      <c r="X9" s="12" t="s">
        <v>1527</v>
      </c>
      <c r="Y9">
        <v>1054.5612000000001</v>
      </c>
      <c r="Z9" s="9" t="s">
        <v>1549</v>
      </c>
      <c r="AA9" s="14">
        <v>276719.29391133855</v>
      </c>
      <c r="AB9" s="14">
        <v>267966.81909999996</v>
      </c>
      <c r="AC9" s="14">
        <v>544686.11301133852</v>
      </c>
      <c r="AF9">
        <v>1054.5612000000001</v>
      </c>
      <c r="AG9" t="s">
        <v>1767</v>
      </c>
      <c r="AH9" s="9" t="s">
        <v>3960</v>
      </c>
      <c r="AI9" s="14">
        <v>2175265.0085773687</v>
      </c>
    </row>
    <row r="10" spans="1:35" x14ac:dyDescent="0.3">
      <c r="A10" t="s">
        <v>611</v>
      </c>
      <c r="B10" s="2">
        <v>45781</v>
      </c>
      <c r="C10">
        <v>1250.6175000000001</v>
      </c>
      <c r="D10" t="s">
        <v>1809</v>
      </c>
      <c r="E10">
        <v>42</v>
      </c>
      <c r="F10" t="s">
        <v>9</v>
      </c>
      <c r="G10" t="s">
        <v>1527</v>
      </c>
      <c r="H10" t="s">
        <v>1742</v>
      </c>
      <c r="L10" s="2">
        <v>45781</v>
      </c>
      <c r="M10">
        <v>1250.6175000000001</v>
      </c>
      <c r="R10" t="s">
        <v>1809</v>
      </c>
      <c r="S10">
        <v>1250.6175000000001</v>
      </c>
      <c r="W10" s="11" t="s">
        <v>9</v>
      </c>
      <c r="X10" s="11" t="s">
        <v>1527</v>
      </c>
      <c r="Y10">
        <v>1250.6175000000001</v>
      </c>
      <c r="Z10" s="9" t="s">
        <v>3960</v>
      </c>
      <c r="AA10" s="14">
        <v>1111157.4678113386</v>
      </c>
      <c r="AB10" s="14">
        <v>1064107.5407660294</v>
      </c>
      <c r="AC10" s="14">
        <v>2175265.0085773682</v>
      </c>
      <c r="AF10">
        <v>1250.6175000000001</v>
      </c>
      <c r="AG10" t="s">
        <v>1742</v>
      </c>
    </row>
    <row r="11" spans="1:35" x14ac:dyDescent="0.3">
      <c r="A11" t="s">
        <v>1416</v>
      </c>
      <c r="B11" s="2">
        <v>45869</v>
      </c>
      <c r="C11">
        <v>1344.6818000000001</v>
      </c>
      <c r="D11" t="s">
        <v>1809</v>
      </c>
      <c r="E11">
        <v>28</v>
      </c>
      <c r="F11" t="s">
        <v>16</v>
      </c>
      <c r="G11" t="s">
        <v>1527</v>
      </c>
      <c r="H11" t="s">
        <v>1737</v>
      </c>
      <c r="L11" s="2">
        <v>45869</v>
      </c>
      <c r="M11">
        <v>1344.6818000000001</v>
      </c>
      <c r="R11" t="s">
        <v>1809</v>
      </c>
      <c r="S11">
        <v>1344.6818000000001</v>
      </c>
      <c r="W11" s="12" t="s">
        <v>16</v>
      </c>
      <c r="X11" s="12" t="s">
        <v>1527</v>
      </c>
      <c r="Y11">
        <v>1344.6818000000001</v>
      </c>
      <c r="AF11">
        <v>1344.6818000000001</v>
      </c>
      <c r="AG11" t="s">
        <v>1737</v>
      </c>
    </row>
    <row r="12" spans="1:35" x14ac:dyDescent="0.3">
      <c r="A12" t="s">
        <v>239</v>
      </c>
      <c r="B12" s="2">
        <v>45335</v>
      </c>
      <c r="C12">
        <v>259.1259</v>
      </c>
      <c r="D12" t="s">
        <v>1807</v>
      </c>
      <c r="E12">
        <v>27</v>
      </c>
      <c r="F12" t="s">
        <v>16</v>
      </c>
      <c r="G12" t="s">
        <v>1549</v>
      </c>
      <c r="H12" t="s">
        <v>1742</v>
      </c>
      <c r="L12" s="2">
        <v>45335</v>
      </c>
      <c r="M12">
        <v>259.1259</v>
      </c>
      <c r="R12" t="s">
        <v>1807</v>
      </c>
      <c r="S12">
        <v>259.1259</v>
      </c>
      <c r="W12" s="11" t="s">
        <v>16</v>
      </c>
      <c r="X12" s="11" t="s">
        <v>1549</v>
      </c>
      <c r="Y12">
        <v>259.1259</v>
      </c>
      <c r="AF12">
        <v>259.1259</v>
      </c>
      <c r="AG12" t="s">
        <v>1742</v>
      </c>
    </row>
    <row r="13" spans="1:35" x14ac:dyDescent="0.3">
      <c r="A13" t="s">
        <v>999</v>
      </c>
      <c r="B13" s="2">
        <v>45801</v>
      </c>
      <c r="C13">
        <v>952.57439999999997</v>
      </c>
      <c r="D13" t="s">
        <v>1807</v>
      </c>
      <c r="E13">
        <v>21</v>
      </c>
      <c r="F13" t="s">
        <v>16</v>
      </c>
      <c r="G13" t="s">
        <v>1546</v>
      </c>
      <c r="H13" t="s">
        <v>1742</v>
      </c>
      <c r="L13" s="2">
        <v>45801</v>
      </c>
      <c r="M13">
        <v>952.57439999999997</v>
      </c>
      <c r="R13" t="s">
        <v>1807</v>
      </c>
      <c r="S13">
        <v>952.57439999999997</v>
      </c>
      <c r="W13" s="12" t="s">
        <v>16</v>
      </c>
      <c r="X13" s="12" t="s">
        <v>1546</v>
      </c>
      <c r="Y13">
        <v>952.57439999999997</v>
      </c>
      <c r="AF13">
        <v>952.57439999999997</v>
      </c>
      <c r="AG13" t="s">
        <v>1742</v>
      </c>
    </row>
    <row r="14" spans="1:35" x14ac:dyDescent="0.3">
      <c r="A14" t="s">
        <v>756</v>
      </c>
      <c r="B14" s="2">
        <v>45528</v>
      </c>
      <c r="C14">
        <v>2552.5367999999999</v>
      </c>
      <c r="D14" t="s">
        <v>1807</v>
      </c>
      <c r="E14">
        <v>40</v>
      </c>
      <c r="F14" t="s">
        <v>9</v>
      </c>
      <c r="G14" t="s">
        <v>1549</v>
      </c>
      <c r="H14" t="s">
        <v>1746</v>
      </c>
      <c r="L14" s="2">
        <v>45528</v>
      </c>
      <c r="M14">
        <v>2552.5367999999999</v>
      </c>
      <c r="R14" t="s">
        <v>1807</v>
      </c>
      <c r="S14">
        <v>2552.5367999999999</v>
      </c>
      <c r="W14" s="11" t="s">
        <v>9</v>
      </c>
      <c r="X14" s="11" t="s">
        <v>1549</v>
      </c>
      <c r="Y14">
        <v>2552.5367999999999</v>
      </c>
      <c r="AF14">
        <v>2552.5367999999999</v>
      </c>
      <c r="AG14" t="s">
        <v>1746</v>
      </c>
    </row>
    <row r="15" spans="1:35" x14ac:dyDescent="0.3">
      <c r="A15" t="s">
        <v>1356</v>
      </c>
      <c r="B15" s="2">
        <v>45875</v>
      </c>
      <c r="C15">
        <v>443.66</v>
      </c>
      <c r="D15" t="s">
        <v>1809</v>
      </c>
      <c r="E15">
        <v>19</v>
      </c>
      <c r="F15" t="s">
        <v>9</v>
      </c>
      <c r="G15" t="s">
        <v>1546</v>
      </c>
      <c r="H15" t="s">
        <v>1742</v>
      </c>
      <c r="L15" s="2">
        <v>45875</v>
      </c>
      <c r="M15">
        <v>443.66</v>
      </c>
      <c r="R15" t="s">
        <v>1809</v>
      </c>
      <c r="S15">
        <v>443.66</v>
      </c>
      <c r="W15" s="12" t="s">
        <v>9</v>
      </c>
      <c r="X15" s="12" t="s">
        <v>1546</v>
      </c>
      <c r="Y15">
        <v>443.66</v>
      </c>
      <c r="AF15">
        <v>443.66</v>
      </c>
      <c r="AG15" t="s">
        <v>1742</v>
      </c>
    </row>
    <row r="16" spans="1:35" x14ac:dyDescent="0.3">
      <c r="A16" t="s">
        <v>1081</v>
      </c>
      <c r="B16" s="2">
        <v>45829</v>
      </c>
      <c r="C16">
        <v>1145.8548000000001</v>
      </c>
      <c r="D16" t="s">
        <v>1809</v>
      </c>
      <c r="E16">
        <v>31</v>
      </c>
      <c r="F16" t="s">
        <v>9</v>
      </c>
      <c r="G16" t="s">
        <v>1549</v>
      </c>
      <c r="H16" t="s">
        <v>1742</v>
      </c>
      <c r="L16" s="2">
        <v>45829</v>
      </c>
      <c r="M16">
        <v>1145.8548000000001</v>
      </c>
      <c r="R16" t="s">
        <v>1809</v>
      </c>
      <c r="S16">
        <v>1145.8548000000001</v>
      </c>
      <c r="W16" s="11" t="s">
        <v>9</v>
      </c>
      <c r="X16" s="11" t="s">
        <v>1549</v>
      </c>
      <c r="Y16">
        <v>1145.8548000000001</v>
      </c>
      <c r="AF16">
        <v>1145.8548000000001</v>
      </c>
      <c r="AG16" t="s">
        <v>1742</v>
      </c>
    </row>
    <row r="17" spans="1:33" x14ac:dyDescent="0.3">
      <c r="A17" t="s">
        <v>1334</v>
      </c>
      <c r="B17" s="2">
        <v>45636</v>
      </c>
      <c r="C17">
        <v>2509.4591999999998</v>
      </c>
      <c r="D17" t="s">
        <v>1812</v>
      </c>
      <c r="E17">
        <v>61</v>
      </c>
      <c r="F17" t="s">
        <v>9</v>
      </c>
      <c r="G17" t="s">
        <v>1530</v>
      </c>
      <c r="H17" t="s">
        <v>1746</v>
      </c>
      <c r="L17" s="2">
        <v>45636</v>
      </c>
      <c r="M17">
        <v>2509.4591999999998</v>
      </c>
      <c r="R17" t="s">
        <v>1812</v>
      </c>
      <c r="S17">
        <v>2509.4591999999998</v>
      </c>
      <c r="W17" s="12" t="s">
        <v>9</v>
      </c>
      <c r="X17" s="12" t="s">
        <v>1530</v>
      </c>
      <c r="Y17">
        <v>2509.4591999999998</v>
      </c>
      <c r="AF17">
        <v>2509.4591999999998</v>
      </c>
      <c r="AG17" t="s">
        <v>1746</v>
      </c>
    </row>
    <row r="18" spans="1:33" x14ac:dyDescent="0.3">
      <c r="A18" t="s">
        <v>871</v>
      </c>
      <c r="B18" s="2">
        <v>45913</v>
      </c>
      <c r="C18">
        <v>677.97</v>
      </c>
      <c r="D18" t="s">
        <v>1807</v>
      </c>
      <c r="E18">
        <v>22</v>
      </c>
      <c r="F18" t="s">
        <v>16</v>
      </c>
      <c r="G18" t="s">
        <v>1549</v>
      </c>
      <c r="H18" t="s">
        <v>1742</v>
      </c>
      <c r="L18" s="2">
        <v>45913</v>
      </c>
      <c r="M18">
        <v>677.97</v>
      </c>
      <c r="R18" t="s">
        <v>1807</v>
      </c>
      <c r="S18">
        <v>677.97</v>
      </c>
      <c r="W18" s="11" t="s">
        <v>16</v>
      </c>
      <c r="X18" s="11" t="s">
        <v>1549</v>
      </c>
      <c r="Y18">
        <v>677.97</v>
      </c>
      <c r="AF18">
        <v>677.97</v>
      </c>
      <c r="AG18" t="s">
        <v>1742</v>
      </c>
    </row>
    <row r="19" spans="1:33" x14ac:dyDescent="0.3">
      <c r="A19" t="s">
        <v>286</v>
      </c>
      <c r="B19" s="2">
        <v>45637</v>
      </c>
      <c r="C19">
        <v>774.14260000000002</v>
      </c>
      <c r="D19" t="s">
        <v>1807</v>
      </c>
      <c r="E19">
        <v>61</v>
      </c>
      <c r="F19" t="s">
        <v>16</v>
      </c>
      <c r="G19" t="s">
        <v>1527</v>
      </c>
      <c r="H19" t="s">
        <v>1746</v>
      </c>
      <c r="L19" s="2">
        <v>45637</v>
      </c>
      <c r="M19">
        <v>774.14260000000002</v>
      </c>
      <c r="R19" t="s">
        <v>1807</v>
      </c>
      <c r="S19">
        <v>774.14260000000002</v>
      </c>
      <c r="W19" s="12" t="s">
        <v>16</v>
      </c>
      <c r="X19" s="12" t="s">
        <v>1527</v>
      </c>
      <c r="Y19">
        <v>774.14260000000002</v>
      </c>
      <c r="AF19">
        <v>774.14260000000002</v>
      </c>
      <c r="AG19" t="s">
        <v>1746</v>
      </c>
    </row>
    <row r="20" spans="1:33" x14ac:dyDescent="0.3">
      <c r="A20" t="s">
        <v>334</v>
      </c>
      <c r="B20" s="2">
        <v>45517</v>
      </c>
      <c r="C20">
        <v>838.84500000000003</v>
      </c>
      <c r="D20" t="s">
        <v>1812</v>
      </c>
      <c r="E20">
        <v>62</v>
      </c>
      <c r="F20" t="s">
        <v>16</v>
      </c>
      <c r="G20" t="s">
        <v>1546</v>
      </c>
      <c r="H20" t="s">
        <v>1746</v>
      </c>
      <c r="L20" s="2">
        <v>45517</v>
      </c>
      <c r="M20">
        <v>838.84500000000003</v>
      </c>
      <c r="R20" t="s">
        <v>1812</v>
      </c>
      <c r="S20">
        <v>838.84500000000003</v>
      </c>
      <c r="W20" s="11" t="s">
        <v>16</v>
      </c>
      <c r="X20" s="11" t="s">
        <v>1546</v>
      </c>
      <c r="Y20">
        <v>838.84500000000003</v>
      </c>
      <c r="AF20">
        <v>838.84500000000003</v>
      </c>
      <c r="AG20" t="s">
        <v>1746</v>
      </c>
    </row>
    <row r="21" spans="1:33" x14ac:dyDescent="0.3">
      <c r="A21" t="s">
        <v>762</v>
      </c>
      <c r="B21" s="2">
        <v>45369</v>
      </c>
      <c r="C21">
        <v>1782.4512</v>
      </c>
      <c r="D21" t="s">
        <v>1812</v>
      </c>
      <c r="E21">
        <v>59</v>
      </c>
      <c r="F21" t="s">
        <v>16</v>
      </c>
      <c r="G21" t="s">
        <v>1541</v>
      </c>
      <c r="H21" t="s">
        <v>1742</v>
      </c>
      <c r="L21" s="2">
        <v>45369</v>
      </c>
      <c r="M21">
        <v>1782.4512</v>
      </c>
      <c r="R21" t="s">
        <v>1812</v>
      </c>
      <c r="S21">
        <v>1782.4512</v>
      </c>
      <c r="W21" s="12" t="s">
        <v>16</v>
      </c>
      <c r="X21" s="12" t="s">
        <v>1541</v>
      </c>
      <c r="Y21">
        <v>1782.4512</v>
      </c>
      <c r="AF21">
        <v>1782.4512</v>
      </c>
      <c r="AG21" t="s">
        <v>1742</v>
      </c>
    </row>
    <row r="22" spans="1:33" x14ac:dyDescent="0.3">
      <c r="A22" t="s">
        <v>483</v>
      </c>
      <c r="B22" s="2">
        <v>45843</v>
      </c>
      <c r="C22">
        <v>2159.4276</v>
      </c>
      <c r="D22" t="s">
        <v>1812</v>
      </c>
      <c r="E22">
        <v>46</v>
      </c>
      <c r="F22" t="s">
        <v>9</v>
      </c>
      <c r="G22" t="s">
        <v>1549</v>
      </c>
      <c r="H22" t="s">
        <v>1742</v>
      </c>
      <c r="L22" s="2">
        <v>45843</v>
      </c>
      <c r="M22">
        <v>2159.4276</v>
      </c>
      <c r="R22" t="s">
        <v>1812</v>
      </c>
      <c r="S22">
        <v>2159.4276</v>
      </c>
      <c r="W22" s="11" t="s">
        <v>9</v>
      </c>
      <c r="X22" s="11" t="s">
        <v>1549</v>
      </c>
      <c r="Y22">
        <v>2159.4276</v>
      </c>
      <c r="AF22">
        <v>2159.4276</v>
      </c>
      <c r="AG22" t="s">
        <v>1742</v>
      </c>
    </row>
    <row r="23" spans="1:33" x14ac:dyDescent="0.3">
      <c r="A23" t="s">
        <v>1223</v>
      </c>
      <c r="B23" s="2">
        <v>45447</v>
      </c>
      <c r="C23">
        <v>459.85680000000002</v>
      </c>
      <c r="D23" t="s">
        <v>1807</v>
      </c>
      <c r="E23">
        <v>62</v>
      </c>
      <c r="F23" t="s">
        <v>16</v>
      </c>
      <c r="G23" t="s">
        <v>1546</v>
      </c>
      <c r="H23" t="s">
        <v>1742</v>
      </c>
      <c r="L23" s="2">
        <v>45447</v>
      </c>
      <c r="M23">
        <v>459.85680000000002</v>
      </c>
      <c r="R23" t="s">
        <v>1807</v>
      </c>
      <c r="S23">
        <v>459.85680000000002</v>
      </c>
      <c r="W23" s="12" t="s">
        <v>16</v>
      </c>
      <c r="X23" s="12" t="s">
        <v>1546</v>
      </c>
      <c r="Y23">
        <v>459.85680000000002</v>
      </c>
      <c r="AF23">
        <v>459.85680000000002</v>
      </c>
      <c r="AG23" t="s">
        <v>1742</v>
      </c>
    </row>
    <row r="24" spans="1:33" x14ac:dyDescent="0.3">
      <c r="A24" t="s">
        <v>1451</v>
      </c>
      <c r="B24" s="2">
        <v>45394</v>
      </c>
      <c r="C24">
        <v>2850.1122</v>
      </c>
      <c r="D24" t="s">
        <v>1809</v>
      </c>
      <c r="E24">
        <v>41</v>
      </c>
      <c r="F24" t="s">
        <v>16</v>
      </c>
      <c r="G24" t="s">
        <v>1530</v>
      </c>
      <c r="H24" t="s">
        <v>1742</v>
      </c>
      <c r="L24" s="2">
        <v>45394</v>
      </c>
      <c r="M24">
        <v>2850.1122</v>
      </c>
      <c r="R24" t="s">
        <v>1809</v>
      </c>
      <c r="S24">
        <v>2850.1122</v>
      </c>
      <c r="W24" s="11" t="s">
        <v>16</v>
      </c>
      <c r="X24" s="11" t="s">
        <v>1530</v>
      </c>
      <c r="Y24">
        <v>2850.1122</v>
      </c>
      <c r="AF24">
        <v>2850.1122</v>
      </c>
      <c r="AG24" t="s">
        <v>1742</v>
      </c>
    </row>
    <row r="25" spans="1:33" x14ac:dyDescent="0.3">
      <c r="A25" t="s">
        <v>1139</v>
      </c>
      <c r="B25" s="2">
        <v>45466</v>
      </c>
      <c r="C25">
        <v>661.73760000000004</v>
      </c>
      <c r="D25" t="s">
        <v>1807</v>
      </c>
      <c r="E25">
        <v>20</v>
      </c>
      <c r="F25" t="s">
        <v>16</v>
      </c>
      <c r="G25" t="s">
        <v>1541</v>
      </c>
      <c r="H25" t="s">
        <v>1767</v>
      </c>
      <c r="L25" s="2">
        <v>45466</v>
      </c>
      <c r="M25">
        <v>661.73760000000004</v>
      </c>
      <c r="R25" t="s">
        <v>1807</v>
      </c>
      <c r="S25">
        <v>661.73760000000004</v>
      </c>
      <c r="W25" s="12" t="s">
        <v>16</v>
      </c>
      <c r="X25" s="12" t="s">
        <v>1541</v>
      </c>
      <c r="Y25">
        <v>661.73760000000004</v>
      </c>
      <c r="AF25">
        <v>661.73760000000004</v>
      </c>
      <c r="AG25" t="s">
        <v>1767</v>
      </c>
    </row>
    <row r="26" spans="1:33" x14ac:dyDescent="0.3">
      <c r="A26" t="s">
        <v>608</v>
      </c>
      <c r="B26" s="2">
        <v>45908</v>
      </c>
      <c r="C26">
        <v>216.50399999999999</v>
      </c>
      <c r="D26" t="s">
        <v>1807</v>
      </c>
      <c r="E26">
        <v>60</v>
      </c>
      <c r="F26" t="s">
        <v>16</v>
      </c>
      <c r="G26" t="s">
        <v>1546</v>
      </c>
      <c r="H26" t="s">
        <v>1737</v>
      </c>
      <c r="L26" s="2">
        <v>45908</v>
      </c>
      <c r="M26">
        <v>216.50399999999999</v>
      </c>
      <c r="R26" t="s">
        <v>1807</v>
      </c>
      <c r="S26">
        <v>216.50399999999999</v>
      </c>
      <c r="W26" s="11" t="s">
        <v>16</v>
      </c>
      <c r="X26" s="11" t="s">
        <v>1546</v>
      </c>
      <c r="Y26">
        <v>216.50399999999999</v>
      </c>
      <c r="AF26">
        <v>216.50399999999999</v>
      </c>
      <c r="AG26" t="s">
        <v>1737</v>
      </c>
    </row>
    <row r="27" spans="1:33" x14ac:dyDescent="0.3">
      <c r="A27" t="s">
        <v>1178</v>
      </c>
      <c r="B27" s="2">
        <v>45552</v>
      </c>
      <c r="C27">
        <v>2933.3224</v>
      </c>
      <c r="D27" t="s">
        <v>1809</v>
      </c>
      <c r="E27">
        <v>20</v>
      </c>
      <c r="F27" t="s">
        <v>16</v>
      </c>
      <c r="G27" t="s">
        <v>1541</v>
      </c>
      <c r="H27" t="s">
        <v>1742</v>
      </c>
      <c r="L27" s="2">
        <v>45552</v>
      </c>
      <c r="M27">
        <v>2933.3224</v>
      </c>
      <c r="R27" t="s">
        <v>1809</v>
      </c>
      <c r="S27">
        <v>2933.3224</v>
      </c>
      <c r="W27" s="12" t="s">
        <v>16</v>
      </c>
      <c r="X27" s="12" t="s">
        <v>1541</v>
      </c>
      <c r="Y27">
        <v>2933.3224</v>
      </c>
      <c r="AF27">
        <v>2933.3224</v>
      </c>
      <c r="AG27" t="s">
        <v>1742</v>
      </c>
    </row>
    <row r="28" spans="1:33" x14ac:dyDescent="0.3">
      <c r="A28" t="s">
        <v>688</v>
      </c>
      <c r="B28" s="2">
        <v>45294</v>
      </c>
      <c r="C28">
        <v>599.65440000000001</v>
      </c>
      <c r="D28" t="s">
        <v>1807</v>
      </c>
      <c r="E28">
        <v>61</v>
      </c>
      <c r="F28" t="s">
        <v>9</v>
      </c>
      <c r="G28" t="s">
        <v>1546</v>
      </c>
      <c r="H28" t="s">
        <v>1767</v>
      </c>
      <c r="L28" s="2">
        <v>45294</v>
      </c>
      <c r="M28">
        <v>599.65440000000001</v>
      </c>
      <c r="R28" t="s">
        <v>1807</v>
      </c>
      <c r="S28">
        <v>599.65440000000001</v>
      </c>
      <c r="W28" s="11" t="s">
        <v>9</v>
      </c>
      <c r="X28" s="11" t="s">
        <v>1546</v>
      </c>
      <c r="Y28">
        <v>599.65440000000001</v>
      </c>
      <c r="AF28">
        <v>599.65440000000001</v>
      </c>
      <c r="AG28" t="s">
        <v>1767</v>
      </c>
    </row>
    <row r="29" spans="1:33" x14ac:dyDescent="0.3">
      <c r="A29" t="s">
        <v>649</v>
      </c>
      <c r="B29" s="2">
        <v>45710</v>
      </c>
      <c r="C29">
        <v>2030.5700999999999</v>
      </c>
      <c r="D29" t="s">
        <v>1807</v>
      </c>
      <c r="E29">
        <v>25</v>
      </c>
      <c r="F29" t="s">
        <v>16</v>
      </c>
      <c r="G29" t="s">
        <v>1546</v>
      </c>
      <c r="H29" t="s">
        <v>1767</v>
      </c>
      <c r="L29" s="2">
        <v>45710</v>
      </c>
      <c r="M29">
        <v>2030.5700999999999</v>
      </c>
      <c r="R29" t="s">
        <v>1807</v>
      </c>
      <c r="S29">
        <v>2030.5700999999999</v>
      </c>
      <c r="W29" s="12" t="s">
        <v>16</v>
      </c>
      <c r="X29" s="12" t="s">
        <v>1546</v>
      </c>
      <c r="Y29">
        <v>2030.5700999999999</v>
      </c>
      <c r="AF29">
        <v>2030.5700999999999</v>
      </c>
      <c r="AG29" t="s">
        <v>1767</v>
      </c>
    </row>
    <row r="30" spans="1:33" x14ac:dyDescent="0.3">
      <c r="A30" t="s">
        <v>495</v>
      </c>
      <c r="B30" s="2">
        <v>45923</v>
      </c>
      <c r="C30">
        <v>132.09379999999999</v>
      </c>
      <c r="D30" t="s">
        <v>1809</v>
      </c>
      <c r="E30">
        <v>33</v>
      </c>
      <c r="F30" t="s">
        <v>9</v>
      </c>
      <c r="G30" t="s">
        <v>1546</v>
      </c>
      <c r="H30" t="s">
        <v>1746</v>
      </c>
      <c r="L30" s="2">
        <v>45923</v>
      </c>
      <c r="M30">
        <v>132.09379999999999</v>
      </c>
      <c r="R30" t="s">
        <v>1809</v>
      </c>
      <c r="S30">
        <v>132.09379999999999</v>
      </c>
      <c r="W30" s="11" t="s">
        <v>9</v>
      </c>
      <c r="X30" s="11" t="s">
        <v>1546</v>
      </c>
      <c r="Y30">
        <v>132.09379999999999</v>
      </c>
      <c r="AF30">
        <v>132.09379999999999</v>
      </c>
      <c r="AG30" t="s">
        <v>1746</v>
      </c>
    </row>
    <row r="31" spans="1:33" x14ac:dyDescent="0.3">
      <c r="A31" t="s">
        <v>1081</v>
      </c>
      <c r="B31" s="2">
        <v>45302</v>
      </c>
      <c r="C31">
        <v>1535.6780000000001</v>
      </c>
      <c r="D31" t="s">
        <v>1807</v>
      </c>
      <c r="E31">
        <v>31</v>
      </c>
      <c r="F31" t="s">
        <v>9</v>
      </c>
      <c r="G31" t="s">
        <v>1527</v>
      </c>
      <c r="H31" t="s">
        <v>1742</v>
      </c>
      <c r="L31" s="2">
        <v>45302</v>
      </c>
      <c r="M31">
        <v>1535.6780000000001</v>
      </c>
      <c r="R31" t="s">
        <v>1807</v>
      </c>
      <c r="S31">
        <v>1535.6780000000001</v>
      </c>
      <c r="W31" s="12" t="s">
        <v>9</v>
      </c>
      <c r="X31" s="12" t="s">
        <v>1527</v>
      </c>
      <c r="Y31">
        <v>1535.6780000000001</v>
      </c>
      <c r="AF31">
        <v>1535.6780000000001</v>
      </c>
      <c r="AG31" t="s">
        <v>1742</v>
      </c>
    </row>
    <row r="32" spans="1:33" x14ac:dyDescent="0.3">
      <c r="A32" t="s">
        <v>119</v>
      </c>
      <c r="B32" s="2">
        <v>45217</v>
      </c>
      <c r="C32">
        <v>373.56060000000002</v>
      </c>
      <c r="D32" t="s">
        <v>1809</v>
      </c>
      <c r="E32">
        <v>54</v>
      </c>
      <c r="F32" t="s">
        <v>16</v>
      </c>
      <c r="G32" t="s">
        <v>1541</v>
      </c>
      <c r="H32" t="s">
        <v>1742</v>
      </c>
      <c r="L32" s="2">
        <v>45217</v>
      </c>
      <c r="M32">
        <v>373.56060000000002</v>
      </c>
      <c r="R32" t="s">
        <v>1809</v>
      </c>
      <c r="S32">
        <v>373.56060000000002</v>
      </c>
      <c r="W32" s="11" t="s">
        <v>16</v>
      </c>
      <c r="X32" s="11" t="s">
        <v>1541</v>
      </c>
      <c r="Y32">
        <v>373.56060000000002</v>
      </c>
      <c r="AF32">
        <v>373.56060000000002</v>
      </c>
      <c r="AG32" t="s">
        <v>1742</v>
      </c>
    </row>
    <row r="33" spans="1:33" x14ac:dyDescent="0.3">
      <c r="A33" t="s">
        <v>1268</v>
      </c>
      <c r="B33" s="2">
        <v>45593</v>
      </c>
      <c r="C33">
        <v>288.98239999999998</v>
      </c>
      <c r="D33" t="s">
        <v>1812</v>
      </c>
      <c r="E33">
        <v>59</v>
      </c>
      <c r="F33" t="s">
        <v>16</v>
      </c>
      <c r="G33" t="s">
        <v>1530</v>
      </c>
      <c r="H33" t="s">
        <v>1742</v>
      </c>
      <c r="L33" s="2">
        <v>45593</v>
      </c>
      <c r="M33">
        <v>288.98239999999998</v>
      </c>
      <c r="R33" t="s">
        <v>1812</v>
      </c>
      <c r="S33">
        <v>288.98239999999998</v>
      </c>
      <c r="W33" s="12" t="s">
        <v>16</v>
      </c>
      <c r="X33" s="12" t="s">
        <v>1530</v>
      </c>
      <c r="Y33">
        <v>288.98239999999998</v>
      </c>
      <c r="AF33">
        <v>288.98239999999998</v>
      </c>
      <c r="AG33" t="s">
        <v>1742</v>
      </c>
    </row>
    <row r="34" spans="1:33" x14ac:dyDescent="0.3">
      <c r="A34" t="s">
        <v>1227</v>
      </c>
      <c r="B34" s="2">
        <v>45597</v>
      </c>
      <c r="C34">
        <v>1154.8943999999999</v>
      </c>
      <c r="D34" t="s">
        <v>1807</v>
      </c>
      <c r="E34">
        <v>27</v>
      </c>
      <c r="F34" t="s">
        <v>9</v>
      </c>
      <c r="G34" t="s">
        <v>1530</v>
      </c>
      <c r="H34" t="s">
        <v>1767</v>
      </c>
      <c r="L34" s="2">
        <v>45597</v>
      </c>
      <c r="M34">
        <v>1154.8943999999999</v>
      </c>
      <c r="R34" t="s">
        <v>1807</v>
      </c>
      <c r="S34">
        <v>1154.8943999999999</v>
      </c>
      <c r="W34" s="11" t="s">
        <v>9</v>
      </c>
      <c r="X34" s="11" t="s">
        <v>1530</v>
      </c>
      <c r="Y34">
        <v>1154.8943999999999</v>
      </c>
      <c r="AF34">
        <v>1154.8943999999999</v>
      </c>
      <c r="AG34" t="s">
        <v>1767</v>
      </c>
    </row>
    <row r="35" spans="1:33" x14ac:dyDescent="0.3">
      <c r="A35" t="s">
        <v>1385</v>
      </c>
      <c r="B35" s="2">
        <v>45620</v>
      </c>
      <c r="C35">
        <v>1219.4269999999999</v>
      </c>
      <c r="D35" t="s">
        <v>1807</v>
      </c>
      <c r="E35">
        <v>60</v>
      </c>
      <c r="F35" t="s">
        <v>9</v>
      </c>
      <c r="G35" t="s">
        <v>1541</v>
      </c>
      <c r="H35" t="s">
        <v>1737</v>
      </c>
      <c r="L35" s="2">
        <v>45620</v>
      </c>
      <c r="M35">
        <v>1219.4269999999999</v>
      </c>
      <c r="R35" t="s">
        <v>1807</v>
      </c>
      <c r="S35">
        <v>1219.4269999999999</v>
      </c>
      <c r="W35" s="12" t="s">
        <v>9</v>
      </c>
      <c r="X35" s="12" t="s">
        <v>1541</v>
      </c>
      <c r="Y35">
        <v>1219.4269999999999</v>
      </c>
      <c r="AF35">
        <v>1219.4269999999999</v>
      </c>
      <c r="AG35" t="s">
        <v>1737</v>
      </c>
    </row>
    <row r="36" spans="1:33" x14ac:dyDescent="0.3">
      <c r="A36" t="s">
        <v>1070</v>
      </c>
      <c r="B36" s="2">
        <v>45215</v>
      </c>
      <c r="C36">
        <v>2148.1212</v>
      </c>
      <c r="D36" t="s">
        <v>1807</v>
      </c>
      <c r="E36">
        <v>33</v>
      </c>
      <c r="F36" t="s">
        <v>9</v>
      </c>
      <c r="G36" t="s">
        <v>1527</v>
      </c>
      <c r="H36" t="s">
        <v>1742</v>
      </c>
      <c r="L36" s="2">
        <v>45215</v>
      </c>
      <c r="M36">
        <v>2148.1212</v>
      </c>
      <c r="R36" t="s">
        <v>1807</v>
      </c>
      <c r="S36">
        <v>2148.1212</v>
      </c>
      <c r="W36" s="11" t="s">
        <v>9</v>
      </c>
      <c r="X36" s="11" t="s">
        <v>1527</v>
      </c>
      <c r="Y36">
        <v>2148.1212</v>
      </c>
      <c r="AF36">
        <v>2148.1212</v>
      </c>
      <c r="AG36" t="s">
        <v>1742</v>
      </c>
    </row>
    <row r="37" spans="1:33" x14ac:dyDescent="0.3">
      <c r="A37" t="s">
        <v>703</v>
      </c>
      <c r="B37" s="2">
        <v>45878</v>
      </c>
      <c r="C37">
        <v>354.32639999999998</v>
      </c>
      <c r="D37" t="s">
        <v>1812</v>
      </c>
      <c r="E37">
        <v>47</v>
      </c>
      <c r="F37" t="s">
        <v>16</v>
      </c>
      <c r="G37" t="s">
        <v>1541</v>
      </c>
      <c r="H37" t="s">
        <v>1742</v>
      </c>
      <c r="L37" s="2">
        <v>45878</v>
      </c>
      <c r="M37">
        <v>354.32639999999998</v>
      </c>
      <c r="R37" t="s">
        <v>1812</v>
      </c>
      <c r="S37">
        <v>354.32639999999998</v>
      </c>
      <c r="W37" s="12" t="s">
        <v>16</v>
      </c>
      <c r="X37" s="12" t="s">
        <v>1541</v>
      </c>
      <c r="Y37">
        <v>354.32639999999998</v>
      </c>
      <c r="AF37">
        <v>354.32639999999998</v>
      </c>
      <c r="AG37" t="s">
        <v>1742</v>
      </c>
    </row>
    <row r="38" spans="1:33" x14ac:dyDescent="0.3">
      <c r="A38" t="s">
        <v>3938</v>
      </c>
      <c r="B38" s="2">
        <v>45635</v>
      </c>
      <c r="C38">
        <v>1409.9903999999999</v>
      </c>
      <c r="D38" t="s">
        <v>1809</v>
      </c>
      <c r="E38">
        <v>58</v>
      </c>
      <c r="F38" t="s">
        <v>16</v>
      </c>
      <c r="G38" t="s">
        <v>1541</v>
      </c>
      <c r="H38" t="s">
        <v>1746</v>
      </c>
      <c r="L38" s="2">
        <v>45635</v>
      </c>
      <c r="M38">
        <v>1409.9903999999999</v>
      </c>
      <c r="R38" t="s">
        <v>1809</v>
      </c>
      <c r="S38">
        <v>1409.9903999999999</v>
      </c>
      <c r="W38" s="11" t="s">
        <v>16</v>
      </c>
      <c r="X38" s="11" t="s">
        <v>1541</v>
      </c>
      <c r="Y38">
        <v>1409.9903999999999</v>
      </c>
      <c r="AF38">
        <v>1409.9903999999999</v>
      </c>
      <c r="AG38" t="s">
        <v>1746</v>
      </c>
    </row>
    <row r="39" spans="1:33" x14ac:dyDescent="0.3">
      <c r="A39" t="s">
        <v>1497</v>
      </c>
      <c r="B39" s="2">
        <v>45329</v>
      </c>
      <c r="C39">
        <v>266.65440000000001</v>
      </c>
      <c r="D39" t="s">
        <v>1809</v>
      </c>
      <c r="E39">
        <v>28</v>
      </c>
      <c r="F39" t="s">
        <v>9</v>
      </c>
      <c r="G39" t="s">
        <v>1527</v>
      </c>
      <c r="H39" t="s">
        <v>1742</v>
      </c>
      <c r="L39" s="2">
        <v>45329</v>
      </c>
      <c r="M39">
        <v>266.65440000000001</v>
      </c>
      <c r="R39" t="s">
        <v>1809</v>
      </c>
      <c r="S39">
        <v>266.65440000000001</v>
      </c>
      <c r="W39" s="12" t="s">
        <v>9</v>
      </c>
      <c r="X39" s="12" t="s">
        <v>1527</v>
      </c>
      <c r="Y39">
        <v>266.65440000000001</v>
      </c>
      <c r="AF39">
        <v>266.65440000000001</v>
      </c>
      <c r="AG39" t="s">
        <v>1742</v>
      </c>
    </row>
    <row r="40" spans="1:33" x14ac:dyDescent="0.3">
      <c r="A40" t="s">
        <v>617</v>
      </c>
      <c r="B40" s="2">
        <v>45378</v>
      </c>
      <c r="C40">
        <v>2764.8031999999998</v>
      </c>
      <c r="D40" t="s">
        <v>1812</v>
      </c>
      <c r="E40">
        <v>21</v>
      </c>
      <c r="F40" t="s">
        <v>9</v>
      </c>
      <c r="G40" t="s">
        <v>1527</v>
      </c>
      <c r="H40" t="s">
        <v>1742</v>
      </c>
      <c r="L40" s="2">
        <v>45378</v>
      </c>
      <c r="M40">
        <v>2764.8031999999998</v>
      </c>
      <c r="R40" t="s">
        <v>1812</v>
      </c>
      <c r="S40">
        <v>2764.8031999999998</v>
      </c>
      <c r="W40" s="11" t="s">
        <v>9</v>
      </c>
      <c r="X40" s="11" t="s">
        <v>1527</v>
      </c>
      <c r="Y40">
        <v>2764.8031999999998</v>
      </c>
      <c r="AF40">
        <v>2764.8031999999998</v>
      </c>
      <c r="AG40" t="s">
        <v>1742</v>
      </c>
    </row>
    <row r="41" spans="1:33" x14ac:dyDescent="0.3">
      <c r="A41" t="s">
        <v>1322</v>
      </c>
      <c r="B41" s="2">
        <v>45264</v>
      </c>
      <c r="C41">
        <v>1105.3432</v>
      </c>
      <c r="D41" t="s">
        <v>1807</v>
      </c>
      <c r="E41">
        <v>37</v>
      </c>
      <c r="F41" t="s">
        <v>9</v>
      </c>
      <c r="G41" t="s">
        <v>1541</v>
      </c>
      <c r="H41" t="s">
        <v>1742</v>
      </c>
      <c r="L41" s="2">
        <v>45264</v>
      </c>
      <c r="M41">
        <v>1105.3432</v>
      </c>
      <c r="R41" t="s">
        <v>1807</v>
      </c>
      <c r="S41">
        <v>1105.3432</v>
      </c>
      <c r="W41" s="12" t="s">
        <v>9</v>
      </c>
      <c r="X41" s="12" t="s">
        <v>1541</v>
      </c>
      <c r="Y41">
        <v>1105.3432</v>
      </c>
      <c r="AF41">
        <v>1105.3432</v>
      </c>
      <c r="AG41" t="s">
        <v>1742</v>
      </c>
    </row>
    <row r="42" spans="1:33" x14ac:dyDescent="0.3">
      <c r="A42" t="s">
        <v>262</v>
      </c>
      <c r="B42" s="2">
        <v>45486</v>
      </c>
      <c r="C42">
        <v>1625.3796</v>
      </c>
      <c r="D42" t="s">
        <v>1812</v>
      </c>
      <c r="E42">
        <v>56</v>
      </c>
      <c r="F42" t="s">
        <v>16</v>
      </c>
      <c r="G42" t="s">
        <v>1546</v>
      </c>
      <c r="H42" t="s">
        <v>1742</v>
      </c>
      <c r="L42" s="2">
        <v>45486</v>
      </c>
      <c r="M42">
        <v>1625.3796</v>
      </c>
      <c r="R42" t="s">
        <v>1812</v>
      </c>
      <c r="S42">
        <v>1625.3796</v>
      </c>
      <c r="W42" s="11" t="s">
        <v>16</v>
      </c>
      <c r="X42" s="11" t="s">
        <v>1546</v>
      </c>
      <c r="Y42">
        <v>1625.3796</v>
      </c>
      <c r="AF42">
        <v>1625.3796</v>
      </c>
      <c r="AG42" t="s">
        <v>1742</v>
      </c>
    </row>
    <row r="43" spans="1:33" x14ac:dyDescent="0.3">
      <c r="A43" t="s">
        <v>946</v>
      </c>
      <c r="B43" s="2">
        <v>45241</v>
      </c>
      <c r="C43">
        <v>945.21720000000016</v>
      </c>
      <c r="D43" t="s">
        <v>1809</v>
      </c>
      <c r="E43">
        <v>23</v>
      </c>
      <c r="F43" t="s">
        <v>16</v>
      </c>
      <c r="G43" t="s">
        <v>1530</v>
      </c>
      <c r="H43" t="s">
        <v>1767</v>
      </c>
      <c r="L43" s="2">
        <v>45241</v>
      </c>
      <c r="M43">
        <v>945.21720000000016</v>
      </c>
      <c r="R43" t="s">
        <v>1809</v>
      </c>
      <c r="S43">
        <v>945.21720000000016</v>
      </c>
      <c r="W43" s="12" t="s">
        <v>16</v>
      </c>
      <c r="X43" s="12" t="s">
        <v>1530</v>
      </c>
      <c r="Y43">
        <v>945.21720000000016</v>
      </c>
      <c r="AF43">
        <v>945.21720000000016</v>
      </c>
      <c r="AG43" t="s">
        <v>1767</v>
      </c>
    </row>
    <row r="44" spans="1:33" x14ac:dyDescent="0.3">
      <c r="A44" t="s">
        <v>1043</v>
      </c>
      <c r="B44" s="2">
        <v>45649</v>
      </c>
      <c r="C44">
        <v>1537.452</v>
      </c>
      <c r="D44" t="s">
        <v>1809</v>
      </c>
      <c r="E44">
        <v>58</v>
      </c>
      <c r="F44" t="s">
        <v>16</v>
      </c>
      <c r="G44" t="s">
        <v>1527</v>
      </c>
      <c r="H44" t="s">
        <v>1746</v>
      </c>
      <c r="L44" s="2">
        <v>45649</v>
      </c>
      <c r="M44">
        <v>1537.452</v>
      </c>
      <c r="R44" t="s">
        <v>1809</v>
      </c>
      <c r="S44">
        <v>1537.452</v>
      </c>
      <c r="W44" s="11" t="s">
        <v>16</v>
      </c>
      <c r="X44" s="11" t="s">
        <v>1527</v>
      </c>
      <c r="Y44">
        <v>1537.452</v>
      </c>
      <c r="AF44">
        <v>1537.452</v>
      </c>
      <c r="AG44" t="s">
        <v>1746</v>
      </c>
    </row>
    <row r="45" spans="1:33" x14ac:dyDescent="0.3">
      <c r="A45" t="s">
        <v>302</v>
      </c>
      <c r="B45" s="2">
        <v>45677</v>
      </c>
      <c r="C45">
        <v>1864.3176000000001</v>
      </c>
      <c r="D45" t="s">
        <v>1809</v>
      </c>
      <c r="E45">
        <v>36</v>
      </c>
      <c r="F45" t="s">
        <v>9</v>
      </c>
      <c r="G45" t="s">
        <v>1527</v>
      </c>
      <c r="H45" t="s">
        <v>1742</v>
      </c>
      <c r="L45" s="2">
        <v>45677</v>
      </c>
      <c r="M45">
        <v>1864.3176000000001</v>
      </c>
      <c r="R45" t="s">
        <v>1809</v>
      </c>
      <c r="S45">
        <v>1864.3176000000001</v>
      </c>
      <c r="W45" s="12" t="s">
        <v>9</v>
      </c>
      <c r="X45" s="12" t="s">
        <v>1527</v>
      </c>
      <c r="Y45">
        <v>1864.3176000000001</v>
      </c>
      <c r="AF45">
        <v>1864.3176000000001</v>
      </c>
      <c r="AG45" t="s">
        <v>1742</v>
      </c>
    </row>
    <row r="46" spans="1:33" x14ac:dyDescent="0.3">
      <c r="A46" t="s">
        <v>658</v>
      </c>
      <c r="B46" s="2">
        <v>45538</v>
      </c>
      <c r="C46">
        <v>322.3528</v>
      </c>
      <c r="D46" t="s">
        <v>1812</v>
      </c>
      <c r="E46">
        <v>52</v>
      </c>
      <c r="F46" t="s">
        <v>9</v>
      </c>
      <c r="G46" t="s">
        <v>1546</v>
      </c>
      <c r="H46" t="s">
        <v>1742</v>
      </c>
      <c r="L46" s="2">
        <v>45538</v>
      </c>
      <c r="M46">
        <v>322.3528</v>
      </c>
      <c r="R46" t="s">
        <v>1812</v>
      </c>
      <c r="S46">
        <v>322.3528</v>
      </c>
      <c r="W46" s="11" t="s">
        <v>9</v>
      </c>
      <c r="X46" s="11" t="s">
        <v>1546</v>
      </c>
      <c r="Y46">
        <v>322.3528</v>
      </c>
      <c r="AF46">
        <v>322.3528</v>
      </c>
      <c r="AG46" t="s">
        <v>1742</v>
      </c>
    </row>
    <row r="47" spans="1:33" x14ac:dyDescent="0.3">
      <c r="A47" t="s">
        <v>1434</v>
      </c>
      <c r="B47" s="2">
        <v>45606</v>
      </c>
      <c r="C47">
        <v>1050.5039999999999</v>
      </c>
      <c r="D47" t="s">
        <v>1809</v>
      </c>
      <c r="E47">
        <v>42</v>
      </c>
      <c r="F47" t="s">
        <v>9</v>
      </c>
      <c r="G47" t="s">
        <v>1541</v>
      </c>
      <c r="H47" t="s">
        <v>1767</v>
      </c>
      <c r="L47" s="2">
        <v>45606</v>
      </c>
      <c r="M47">
        <v>1050.5039999999999</v>
      </c>
      <c r="R47" t="s">
        <v>1809</v>
      </c>
      <c r="S47">
        <v>1050.5039999999999</v>
      </c>
      <c r="W47" s="12" t="s">
        <v>9</v>
      </c>
      <c r="X47" s="12" t="s">
        <v>1541</v>
      </c>
      <c r="Y47">
        <v>1050.5039999999999</v>
      </c>
      <c r="AF47">
        <v>1050.5039999999999</v>
      </c>
      <c r="AG47" t="s">
        <v>1767</v>
      </c>
    </row>
    <row r="48" spans="1:33" x14ac:dyDescent="0.3">
      <c r="A48" t="s">
        <v>256</v>
      </c>
      <c r="B48" s="2">
        <v>45570</v>
      </c>
      <c r="C48">
        <v>393.5686</v>
      </c>
      <c r="D48" t="s">
        <v>1809</v>
      </c>
      <c r="E48">
        <v>61</v>
      </c>
      <c r="F48" t="s">
        <v>16</v>
      </c>
      <c r="G48" t="s">
        <v>1527</v>
      </c>
      <c r="H48" t="s">
        <v>1742</v>
      </c>
      <c r="L48" s="2">
        <v>45570</v>
      </c>
      <c r="M48">
        <v>393.5686</v>
      </c>
      <c r="R48" t="s">
        <v>1809</v>
      </c>
      <c r="S48">
        <v>393.5686</v>
      </c>
      <c r="W48" s="11" t="s">
        <v>16</v>
      </c>
      <c r="X48" s="11" t="s">
        <v>1527</v>
      </c>
      <c r="Y48">
        <v>393.5686</v>
      </c>
      <c r="AF48">
        <v>393.5686</v>
      </c>
      <c r="AG48" t="s">
        <v>1742</v>
      </c>
    </row>
    <row r="49" spans="1:33" x14ac:dyDescent="0.3">
      <c r="A49" t="s">
        <v>45</v>
      </c>
      <c r="B49" s="2">
        <v>45466</v>
      </c>
      <c r="C49">
        <v>116.77079999999999</v>
      </c>
      <c r="D49" t="s">
        <v>1809</v>
      </c>
      <c r="E49">
        <v>64</v>
      </c>
      <c r="F49" t="s">
        <v>9</v>
      </c>
      <c r="G49" t="s">
        <v>1527</v>
      </c>
      <c r="H49" t="s">
        <v>1742</v>
      </c>
      <c r="L49" s="2">
        <v>45466</v>
      </c>
      <c r="M49">
        <v>116.77079999999999</v>
      </c>
      <c r="R49" t="s">
        <v>1809</v>
      </c>
      <c r="S49">
        <v>116.77079999999999</v>
      </c>
      <c r="W49" s="12" t="s">
        <v>9</v>
      </c>
      <c r="X49" s="12" t="s">
        <v>1527</v>
      </c>
      <c r="Y49">
        <v>116.77079999999999</v>
      </c>
      <c r="AF49">
        <v>116.77079999999999</v>
      </c>
      <c r="AG49" t="s">
        <v>1742</v>
      </c>
    </row>
    <row r="50" spans="1:33" x14ac:dyDescent="0.3">
      <c r="A50" t="s">
        <v>658</v>
      </c>
      <c r="B50" s="2">
        <v>45218</v>
      </c>
      <c r="C50">
        <v>372.33359999999999</v>
      </c>
      <c r="D50" t="s">
        <v>1807</v>
      </c>
      <c r="E50">
        <v>52</v>
      </c>
      <c r="F50" t="s">
        <v>9</v>
      </c>
      <c r="G50" t="s">
        <v>1549</v>
      </c>
      <c r="H50" t="s">
        <v>1742</v>
      </c>
      <c r="L50" s="2">
        <v>45218</v>
      </c>
      <c r="M50">
        <v>372.33359999999999</v>
      </c>
      <c r="R50" t="s">
        <v>1807</v>
      </c>
      <c r="S50">
        <v>372.33359999999999</v>
      </c>
      <c r="W50" s="11" t="s">
        <v>9</v>
      </c>
      <c r="X50" s="11" t="s">
        <v>1549</v>
      </c>
      <c r="Y50">
        <v>372.33359999999999</v>
      </c>
      <c r="AF50">
        <v>372.33359999999999</v>
      </c>
      <c r="AG50" t="s">
        <v>1742</v>
      </c>
    </row>
    <row r="51" spans="1:33" x14ac:dyDescent="0.3">
      <c r="A51" t="s">
        <v>3949</v>
      </c>
      <c r="B51" s="2">
        <v>45607</v>
      </c>
      <c r="C51">
        <v>707.77440000000013</v>
      </c>
      <c r="D51" t="s">
        <v>1812</v>
      </c>
      <c r="E51">
        <v>45</v>
      </c>
      <c r="F51" t="s">
        <v>16</v>
      </c>
      <c r="G51" t="s">
        <v>1527</v>
      </c>
      <c r="H51" t="s">
        <v>1742</v>
      </c>
      <c r="L51" s="2">
        <v>45607</v>
      </c>
      <c r="M51">
        <v>707.77440000000013</v>
      </c>
      <c r="R51" t="s">
        <v>1812</v>
      </c>
      <c r="S51">
        <v>707.77440000000013</v>
      </c>
      <c r="W51" s="12" t="s">
        <v>16</v>
      </c>
      <c r="X51" s="12" t="s">
        <v>1527</v>
      </c>
      <c r="Y51">
        <v>707.77440000000013</v>
      </c>
      <c r="AF51">
        <v>707.77440000000013</v>
      </c>
      <c r="AG51" t="s">
        <v>1742</v>
      </c>
    </row>
    <row r="52" spans="1:33" x14ac:dyDescent="0.3">
      <c r="A52" t="s">
        <v>256</v>
      </c>
      <c r="B52" s="2">
        <v>45291</v>
      </c>
      <c r="C52">
        <v>190.83600000000001</v>
      </c>
      <c r="D52" t="s">
        <v>1809</v>
      </c>
      <c r="E52">
        <v>61</v>
      </c>
      <c r="F52" t="s">
        <v>16</v>
      </c>
      <c r="G52" t="s">
        <v>1549</v>
      </c>
      <c r="H52" t="s">
        <v>1746</v>
      </c>
      <c r="L52" s="2">
        <v>45291</v>
      </c>
      <c r="M52">
        <v>190.83600000000001</v>
      </c>
      <c r="R52" t="s">
        <v>1809</v>
      </c>
      <c r="S52">
        <v>190.83600000000001</v>
      </c>
      <c r="W52" s="11" t="s">
        <v>16</v>
      </c>
      <c r="X52" s="11" t="s">
        <v>1549</v>
      </c>
      <c r="Y52">
        <v>190.83600000000001</v>
      </c>
      <c r="AF52">
        <v>190.83600000000001</v>
      </c>
      <c r="AG52" t="s">
        <v>1746</v>
      </c>
    </row>
    <row r="53" spans="1:33" x14ac:dyDescent="0.3">
      <c r="A53" t="s">
        <v>477</v>
      </c>
      <c r="B53" s="2">
        <v>45689</v>
      </c>
      <c r="C53">
        <v>169.9854</v>
      </c>
      <c r="D53" t="s">
        <v>1807</v>
      </c>
      <c r="E53">
        <v>46</v>
      </c>
      <c r="F53" t="s">
        <v>9</v>
      </c>
      <c r="G53" t="s">
        <v>1530</v>
      </c>
      <c r="H53" t="s">
        <v>1746</v>
      </c>
      <c r="L53" s="2">
        <v>45689</v>
      </c>
      <c r="M53">
        <v>169.9854</v>
      </c>
      <c r="R53" t="s">
        <v>1807</v>
      </c>
      <c r="S53">
        <v>169.9854</v>
      </c>
      <c r="W53" s="12" t="s">
        <v>9</v>
      </c>
      <c r="X53" s="12" t="s">
        <v>1530</v>
      </c>
      <c r="Y53">
        <v>169.9854</v>
      </c>
      <c r="AF53">
        <v>169.9854</v>
      </c>
      <c r="AG53" t="s">
        <v>1746</v>
      </c>
    </row>
    <row r="54" spans="1:33" x14ac:dyDescent="0.3">
      <c r="A54" t="s">
        <v>495</v>
      </c>
      <c r="B54" s="2">
        <v>45894</v>
      </c>
      <c r="C54">
        <v>486.06330000000003</v>
      </c>
      <c r="D54" t="s">
        <v>1807</v>
      </c>
      <c r="E54">
        <v>33</v>
      </c>
      <c r="F54" t="s">
        <v>9</v>
      </c>
      <c r="G54" t="s">
        <v>1541</v>
      </c>
      <c r="H54" t="s">
        <v>1737</v>
      </c>
      <c r="L54" s="2">
        <v>45894</v>
      </c>
      <c r="M54">
        <v>486.06330000000003</v>
      </c>
      <c r="R54" t="s">
        <v>1807</v>
      </c>
      <c r="S54">
        <v>486.06330000000003</v>
      </c>
      <c r="W54" s="11" t="s">
        <v>9</v>
      </c>
      <c r="X54" s="11" t="s">
        <v>1541</v>
      </c>
      <c r="Y54">
        <v>486.06330000000003</v>
      </c>
      <c r="AF54">
        <v>486.06330000000003</v>
      </c>
      <c r="AG54" t="s">
        <v>1737</v>
      </c>
    </row>
    <row r="55" spans="1:33" x14ac:dyDescent="0.3">
      <c r="A55" t="s">
        <v>3945</v>
      </c>
      <c r="B55" s="2">
        <v>45677</v>
      </c>
      <c r="C55">
        <v>783.30449999999996</v>
      </c>
      <c r="D55" t="s">
        <v>1812</v>
      </c>
      <c r="E55">
        <v>60</v>
      </c>
      <c r="F55" t="s">
        <v>9</v>
      </c>
      <c r="G55" t="s">
        <v>1549</v>
      </c>
      <c r="H55" t="s">
        <v>1767</v>
      </c>
      <c r="L55" s="2">
        <v>45677</v>
      </c>
      <c r="M55">
        <v>783.30449999999996</v>
      </c>
      <c r="R55" t="s">
        <v>1812</v>
      </c>
      <c r="S55">
        <v>783.30449999999996</v>
      </c>
      <c r="W55" s="12" t="s">
        <v>9</v>
      </c>
      <c r="X55" s="12" t="s">
        <v>1549</v>
      </c>
      <c r="Y55">
        <v>783.30449999999996</v>
      </c>
      <c r="AF55">
        <v>783.30449999999996</v>
      </c>
      <c r="AG55" t="s">
        <v>1767</v>
      </c>
    </row>
    <row r="56" spans="1:33" x14ac:dyDescent="0.3">
      <c r="A56" t="s">
        <v>337</v>
      </c>
      <c r="B56" s="2">
        <v>45706</v>
      </c>
      <c r="C56">
        <v>1592.4947999999999</v>
      </c>
      <c r="D56" t="s">
        <v>1807</v>
      </c>
      <c r="E56">
        <v>30</v>
      </c>
      <c r="F56" t="s">
        <v>16</v>
      </c>
      <c r="G56" t="s">
        <v>1546</v>
      </c>
      <c r="H56" t="s">
        <v>1742</v>
      </c>
      <c r="L56" s="2">
        <v>45706</v>
      </c>
      <c r="M56">
        <v>1592.4947999999999</v>
      </c>
      <c r="R56" t="s">
        <v>1807</v>
      </c>
      <c r="S56">
        <v>1592.4947999999999</v>
      </c>
      <c r="W56" s="11" t="s">
        <v>16</v>
      </c>
      <c r="X56" s="11" t="s">
        <v>1546</v>
      </c>
      <c r="Y56">
        <v>1592.4947999999999</v>
      </c>
      <c r="AF56">
        <v>1592.4947999999999</v>
      </c>
      <c r="AG56" t="s">
        <v>1742</v>
      </c>
    </row>
    <row r="57" spans="1:33" x14ac:dyDescent="0.3">
      <c r="A57" t="s">
        <v>1279</v>
      </c>
      <c r="B57" s="2">
        <v>45589</v>
      </c>
      <c r="C57">
        <v>783.59400000000005</v>
      </c>
      <c r="D57" t="s">
        <v>1812</v>
      </c>
      <c r="E57">
        <v>64</v>
      </c>
      <c r="F57" t="s">
        <v>16</v>
      </c>
      <c r="G57" t="s">
        <v>1541</v>
      </c>
      <c r="H57" t="s">
        <v>1742</v>
      </c>
      <c r="L57" s="2">
        <v>45589</v>
      </c>
      <c r="M57">
        <v>783.59400000000005</v>
      </c>
      <c r="R57" t="s">
        <v>1812</v>
      </c>
      <c r="S57">
        <v>783.59400000000005</v>
      </c>
      <c r="W57" s="12" t="s">
        <v>16</v>
      </c>
      <c r="X57" s="12" t="s">
        <v>1541</v>
      </c>
      <c r="Y57">
        <v>783.59400000000005</v>
      </c>
      <c r="AF57">
        <v>783.59400000000005</v>
      </c>
      <c r="AG57" t="s">
        <v>1742</v>
      </c>
    </row>
    <row r="58" spans="1:33" x14ac:dyDescent="0.3">
      <c r="A58" t="s">
        <v>290</v>
      </c>
      <c r="B58" s="2">
        <v>45282</v>
      </c>
      <c r="C58">
        <v>1567.356</v>
      </c>
      <c r="D58" t="s">
        <v>1809</v>
      </c>
      <c r="E58">
        <v>34</v>
      </c>
      <c r="F58" t="s">
        <v>16</v>
      </c>
      <c r="G58" t="s">
        <v>1546</v>
      </c>
      <c r="H58" t="s">
        <v>1737</v>
      </c>
      <c r="L58" s="2">
        <v>45282</v>
      </c>
      <c r="M58">
        <v>1567.356</v>
      </c>
      <c r="R58" t="s">
        <v>1809</v>
      </c>
      <c r="S58">
        <v>1567.356</v>
      </c>
      <c r="W58" s="11" t="s">
        <v>16</v>
      </c>
      <c r="X58" s="11" t="s">
        <v>1546</v>
      </c>
      <c r="Y58">
        <v>1567.356</v>
      </c>
      <c r="AF58">
        <v>1567.356</v>
      </c>
      <c r="AG58" t="s">
        <v>1737</v>
      </c>
    </row>
    <row r="59" spans="1:33" x14ac:dyDescent="0.3">
      <c r="A59" t="s">
        <v>1425</v>
      </c>
      <c r="B59" s="2">
        <v>45462</v>
      </c>
      <c r="C59">
        <v>979.43039999999996</v>
      </c>
      <c r="D59" t="s">
        <v>1807</v>
      </c>
      <c r="E59">
        <v>45</v>
      </c>
      <c r="F59" t="s">
        <v>9</v>
      </c>
      <c r="G59" t="s">
        <v>1541</v>
      </c>
      <c r="H59" t="s">
        <v>1742</v>
      </c>
      <c r="L59" s="2">
        <v>45462</v>
      </c>
      <c r="M59">
        <v>979.43039999999996</v>
      </c>
      <c r="R59" t="s">
        <v>1807</v>
      </c>
      <c r="S59">
        <v>979.43039999999996</v>
      </c>
      <c r="W59" s="12" t="s">
        <v>9</v>
      </c>
      <c r="X59" s="12" t="s">
        <v>1541</v>
      </c>
      <c r="Y59">
        <v>979.43039999999996</v>
      </c>
      <c r="AF59">
        <v>979.43039999999996</v>
      </c>
      <c r="AG59" t="s">
        <v>1742</v>
      </c>
    </row>
    <row r="60" spans="1:33" x14ac:dyDescent="0.3">
      <c r="A60" t="s">
        <v>1244</v>
      </c>
      <c r="B60" s="2">
        <v>45633</v>
      </c>
      <c r="C60">
        <v>2552.3015999999998</v>
      </c>
      <c r="D60" t="s">
        <v>1809</v>
      </c>
      <c r="E60">
        <v>18</v>
      </c>
      <c r="F60" t="s">
        <v>16</v>
      </c>
      <c r="G60" t="s">
        <v>1546</v>
      </c>
      <c r="H60" t="s">
        <v>1746</v>
      </c>
      <c r="L60" s="2">
        <v>45633</v>
      </c>
      <c r="M60">
        <v>2552.3015999999998</v>
      </c>
      <c r="R60" t="s">
        <v>1809</v>
      </c>
      <c r="S60">
        <v>2552.3015999999998</v>
      </c>
      <c r="W60" s="11" t="s">
        <v>16</v>
      </c>
      <c r="X60" s="11" t="s">
        <v>1546</v>
      </c>
      <c r="Y60">
        <v>2552.3015999999998</v>
      </c>
      <c r="AF60">
        <v>2552.3015999999998</v>
      </c>
      <c r="AG60" t="s">
        <v>1746</v>
      </c>
    </row>
    <row r="61" spans="1:33" x14ac:dyDescent="0.3">
      <c r="A61" t="s">
        <v>1136</v>
      </c>
      <c r="B61" s="2">
        <v>45257</v>
      </c>
      <c r="C61">
        <v>767.17410000000007</v>
      </c>
      <c r="D61" t="s">
        <v>1809</v>
      </c>
      <c r="E61">
        <v>34</v>
      </c>
      <c r="F61" t="s">
        <v>16</v>
      </c>
      <c r="G61" t="s">
        <v>1541</v>
      </c>
      <c r="H61" t="s">
        <v>1742</v>
      </c>
      <c r="L61" s="2">
        <v>45257</v>
      </c>
      <c r="M61">
        <v>767.17410000000007</v>
      </c>
      <c r="R61" t="s">
        <v>1809</v>
      </c>
      <c r="S61">
        <v>767.17410000000007</v>
      </c>
      <c r="W61" s="12" t="s">
        <v>16</v>
      </c>
      <c r="X61" s="12" t="s">
        <v>1541</v>
      </c>
      <c r="Y61">
        <v>767.17410000000007</v>
      </c>
      <c r="AF61">
        <v>767.17410000000007</v>
      </c>
      <c r="AG61" t="s">
        <v>1742</v>
      </c>
    </row>
    <row r="62" spans="1:33" x14ac:dyDescent="0.3">
      <c r="A62" t="s">
        <v>1256</v>
      </c>
      <c r="B62" s="2">
        <v>45854</v>
      </c>
      <c r="C62">
        <v>180.93530000000001</v>
      </c>
      <c r="D62" t="s">
        <v>1812</v>
      </c>
      <c r="E62">
        <v>55</v>
      </c>
      <c r="F62" t="s">
        <v>9</v>
      </c>
      <c r="G62" t="s">
        <v>1549</v>
      </c>
      <c r="H62" t="s">
        <v>1742</v>
      </c>
      <c r="L62" s="2">
        <v>45854</v>
      </c>
      <c r="M62">
        <v>180.93530000000001</v>
      </c>
      <c r="R62" t="s">
        <v>1812</v>
      </c>
      <c r="S62">
        <v>180.93530000000001</v>
      </c>
      <c r="W62" s="11" t="s">
        <v>9</v>
      </c>
      <c r="X62" s="11" t="s">
        <v>1549</v>
      </c>
      <c r="Y62">
        <v>180.93530000000001</v>
      </c>
      <c r="AF62">
        <v>180.93530000000001</v>
      </c>
      <c r="AG62" t="s">
        <v>1742</v>
      </c>
    </row>
    <row r="63" spans="1:33" x14ac:dyDescent="0.3">
      <c r="A63" t="s">
        <v>762</v>
      </c>
      <c r="B63" s="2">
        <v>45716</v>
      </c>
      <c r="C63">
        <v>307.43439999999998</v>
      </c>
      <c r="D63" t="s">
        <v>1809</v>
      </c>
      <c r="E63">
        <v>59</v>
      </c>
      <c r="F63" t="s">
        <v>16</v>
      </c>
      <c r="G63" t="s">
        <v>1549</v>
      </c>
      <c r="H63" t="s">
        <v>1746</v>
      </c>
      <c r="L63" s="2">
        <v>45716</v>
      </c>
      <c r="M63">
        <v>307.43439999999998</v>
      </c>
      <c r="R63" t="s">
        <v>1809</v>
      </c>
      <c r="S63">
        <v>307.43439999999998</v>
      </c>
      <c r="W63" s="12" t="s">
        <v>16</v>
      </c>
      <c r="X63" s="12" t="s">
        <v>1549</v>
      </c>
      <c r="Y63">
        <v>307.43439999999998</v>
      </c>
      <c r="AF63">
        <v>307.43439999999998</v>
      </c>
      <c r="AG63" t="s">
        <v>1746</v>
      </c>
    </row>
    <row r="64" spans="1:33" x14ac:dyDescent="0.3">
      <c r="A64" t="s">
        <v>1416</v>
      </c>
      <c r="B64" s="2">
        <v>45515</v>
      </c>
      <c r="C64">
        <v>412.66719999999998</v>
      </c>
      <c r="D64" t="s">
        <v>1807</v>
      </c>
      <c r="E64">
        <v>28</v>
      </c>
      <c r="F64" t="s">
        <v>16</v>
      </c>
      <c r="G64" t="s">
        <v>1546</v>
      </c>
      <c r="H64" t="s">
        <v>1742</v>
      </c>
      <c r="L64" s="2">
        <v>45515</v>
      </c>
      <c r="M64">
        <v>412.66719999999998</v>
      </c>
      <c r="R64" t="s">
        <v>1807</v>
      </c>
      <c r="S64">
        <v>412.66719999999998</v>
      </c>
      <c r="W64" s="11" t="s">
        <v>16</v>
      </c>
      <c r="X64" s="11" t="s">
        <v>1546</v>
      </c>
      <c r="Y64">
        <v>412.66719999999998</v>
      </c>
      <c r="AF64">
        <v>412.66719999999998</v>
      </c>
      <c r="AG64" t="s">
        <v>1742</v>
      </c>
    </row>
    <row r="65" spans="1:33" x14ac:dyDescent="0.3">
      <c r="A65" t="s">
        <v>431</v>
      </c>
      <c r="B65" s="2">
        <v>45927</v>
      </c>
      <c r="C65">
        <v>230.60300000000001</v>
      </c>
      <c r="D65" t="s">
        <v>1807</v>
      </c>
      <c r="E65">
        <v>39</v>
      </c>
      <c r="F65" t="s">
        <v>9</v>
      </c>
      <c r="G65" t="s">
        <v>1541</v>
      </c>
      <c r="H65" t="s">
        <v>1742</v>
      </c>
      <c r="L65" s="2">
        <v>45927</v>
      </c>
      <c r="M65">
        <v>230.60300000000001</v>
      </c>
      <c r="R65" t="s">
        <v>1807</v>
      </c>
      <c r="S65">
        <v>230.60300000000001</v>
      </c>
      <c r="W65" s="12" t="s">
        <v>9</v>
      </c>
      <c r="X65" s="12" t="s">
        <v>1541</v>
      </c>
      <c r="Y65">
        <v>230.60300000000001</v>
      </c>
      <c r="AF65">
        <v>230.60300000000001</v>
      </c>
      <c r="AG65" t="s">
        <v>1742</v>
      </c>
    </row>
    <row r="66" spans="1:33" x14ac:dyDescent="0.3">
      <c r="A66" t="s">
        <v>809</v>
      </c>
      <c r="B66" s="2">
        <v>45914</v>
      </c>
      <c r="C66">
        <v>1088.6371340062115</v>
      </c>
      <c r="D66" t="s">
        <v>1807</v>
      </c>
      <c r="E66">
        <v>57</v>
      </c>
      <c r="F66" t="s">
        <v>9</v>
      </c>
      <c r="G66" t="s">
        <v>1530</v>
      </c>
      <c r="H66" t="s">
        <v>1742</v>
      </c>
      <c r="L66" s="2">
        <v>45914</v>
      </c>
      <c r="M66">
        <v>1088.6371340062115</v>
      </c>
      <c r="R66" t="s">
        <v>1807</v>
      </c>
      <c r="S66">
        <v>1088.6371340062115</v>
      </c>
      <c r="W66" s="11" t="s">
        <v>9</v>
      </c>
      <c r="X66" s="11" t="s">
        <v>1530</v>
      </c>
      <c r="Y66">
        <v>1088.6371340062115</v>
      </c>
      <c r="AF66">
        <v>1088.6371340062115</v>
      </c>
      <c r="AG66" t="s">
        <v>1742</v>
      </c>
    </row>
    <row r="67" spans="1:33" x14ac:dyDescent="0.3">
      <c r="A67" t="s">
        <v>537</v>
      </c>
      <c r="B67" s="2">
        <v>45290</v>
      </c>
      <c r="C67">
        <v>1301.9864</v>
      </c>
      <c r="D67" t="s">
        <v>1807</v>
      </c>
      <c r="E67">
        <v>21</v>
      </c>
      <c r="F67" t="s">
        <v>9</v>
      </c>
      <c r="G67" t="s">
        <v>1527</v>
      </c>
      <c r="H67" t="s">
        <v>1742</v>
      </c>
      <c r="L67" s="2">
        <v>45290</v>
      </c>
      <c r="M67">
        <v>1301.9864</v>
      </c>
      <c r="R67" t="s">
        <v>1807</v>
      </c>
      <c r="S67">
        <v>1301.9864</v>
      </c>
      <c r="W67" s="12" t="s">
        <v>9</v>
      </c>
      <c r="X67" s="12" t="s">
        <v>1527</v>
      </c>
      <c r="Y67">
        <v>1301.9864</v>
      </c>
      <c r="AF67">
        <v>1301.9864</v>
      </c>
      <c r="AG67" t="s">
        <v>1742</v>
      </c>
    </row>
    <row r="68" spans="1:33" x14ac:dyDescent="0.3">
      <c r="A68" t="s">
        <v>851</v>
      </c>
      <c r="B68" s="2">
        <v>45213</v>
      </c>
      <c r="C68">
        <v>2670.74</v>
      </c>
      <c r="D68" t="s">
        <v>1807</v>
      </c>
      <c r="E68">
        <v>31</v>
      </c>
      <c r="F68" t="s">
        <v>16</v>
      </c>
      <c r="G68" t="s">
        <v>1546</v>
      </c>
      <c r="H68" t="s">
        <v>1746</v>
      </c>
      <c r="L68" s="2">
        <v>45213</v>
      </c>
      <c r="M68">
        <v>2670.74</v>
      </c>
      <c r="R68" t="s">
        <v>1807</v>
      </c>
      <c r="S68">
        <v>2670.74</v>
      </c>
      <c r="W68" s="11" t="s">
        <v>16</v>
      </c>
      <c r="X68" s="11" t="s">
        <v>1546</v>
      </c>
      <c r="Y68">
        <v>2670.74</v>
      </c>
      <c r="AF68">
        <v>2670.74</v>
      </c>
      <c r="AG68" t="s">
        <v>1746</v>
      </c>
    </row>
    <row r="69" spans="1:33" x14ac:dyDescent="0.3">
      <c r="A69" t="s">
        <v>1259</v>
      </c>
      <c r="B69" s="2">
        <v>45255</v>
      </c>
      <c r="C69">
        <v>791.33600000000001</v>
      </c>
      <c r="D69" t="s">
        <v>1809</v>
      </c>
      <c r="E69">
        <v>32</v>
      </c>
      <c r="F69" t="s">
        <v>9</v>
      </c>
      <c r="G69" t="s">
        <v>1541</v>
      </c>
      <c r="H69" t="s">
        <v>1746</v>
      </c>
      <c r="L69" s="2">
        <v>45255</v>
      </c>
      <c r="M69">
        <v>791.33600000000001</v>
      </c>
      <c r="R69" t="s">
        <v>1809</v>
      </c>
      <c r="S69">
        <v>791.33600000000001</v>
      </c>
      <c r="W69" s="12" t="s">
        <v>9</v>
      </c>
      <c r="X69" s="12" t="s">
        <v>1541</v>
      </c>
      <c r="Y69">
        <v>791.33600000000001</v>
      </c>
      <c r="AF69">
        <v>791.33600000000001</v>
      </c>
      <c r="AG69" t="s">
        <v>1746</v>
      </c>
    </row>
    <row r="70" spans="1:33" x14ac:dyDescent="0.3">
      <c r="A70" t="s">
        <v>1151</v>
      </c>
      <c r="B70" s="2">
        <v>45270</v>
      </c>
      <c r="C70">
        <v>204.93440000000001</v>
      </c>
      <c r="D70" t="s">
        <v>1807</v>
      </c>
      <c r="E70">
        <v>37</v>
      </c>
      <c r="F70" t="s">
        <v>16</v>
      </c>
      <c r="G70" t="s">
        <v>1549</v>
      </c>
      <c r="H70" t="s">
        <v>1742</v>
      </c>
      <c r="L70" s="2">
        <v>45270</v>
      </c>
      <c r="M70">
        <v>204.93440000000001</v>
      </c>
      <c r="R70" t="s">
        <v>1807</v>
      </c>
      <c r="S70">
        <v>204.93440000000001</v>
      </c>
      <c r="W70" s="11" t="s">
        <v>16</v>
      </c>
      <c r="X70" s="11" t="s">
        <v>1549</v>
      </c>
      <c r="Y70">
        <v>204.93440000000001</v>
      </c>
      <c r="AF70">
        <v>204.93440000000001</v>
      </c>
      <c r="AG70" t="s">
        <v>1742</v>
      </c>
    </row>
    <row r="71" spans="1:33" x14ac:dyDescent="0.3">
      <c r="A71" t="s">
        <v>1298</v>
      </c>
      <c r="B71" s="2">
        <v>45897</v>
      </c>
      <c r="C71">
        <v>1706.1695999999999</v>
      </c>
      <c r="D71" t="s">
        <v>1807</v>
      </c>
      <c r="E71">
        <v>53</v>
      </c>
      <c r="F71" t="s">
        <v>9</v>
      </c>
      <c r="G71" t="s">
        <v>1546</v>
      </c>
      <c r="H71" t="s">
        <v>1742</v>
      </c>
      <c r="L71" s="2">
        <v>45897</v>
      </c>
      <c r="M71">
        <v>1706.1695999999999</v>
      </c>
      <c r="R71" t="s">
        <v>1807</v>
      </c>
      <c r="S71">
        <v>1706.1695999999999</v>
      </c>
      <c r="W71" s="12" t="s">
        <v>9</v>
      </c>
      <c r="X71" s="12" t="s">
        <v>1546</v>
      </c>
      <c r="Y71">
        <v>1706.1695999999999</v>
      </c>
      <c r="AF71">
        <v>1706.1695999999999</v>
      </c>
      <c r="AG71" t="s">
        <v>1742</v>
      </c>
    </row>
    <row r="72" spans="1:33" x14ac:dyDescent="0.3">
      <c r="A72" t="s">
        <v>216</v>
      </c>
      <c r="B72" s="2">
        <v>45849</v>
      </c>
      <c r="C72">
        <v>1087.997808251168</v>
      </c>
      <c r="D72" t="s">
        <v>1812</v>
      </c>
      <c r="E72">
        <v>53</v>
      </c>
      <c r="F72" t="s">
        <v>9</v>
      </c>
      <c r="G72" t="s">
        <v>1541</v>
      </c>
      <c r="H72" t="s">
        <v>1742</v>
      </c>
      <c r="L72" s="2">
        <v>45849</v>
      </c>
      <c r="M72">
        <v>1087.997808251168</v>
      </c>
      <c r="R72" t="s">
        <v>1812</v>
      </c>
      <c r="S72">
        <v>1087.997808251168</v>
      </c>
      <c r="W72" s="11" t="s">
        <v>9</v>
      </c>
      <c r="X72" s="11" t="s">
        <v>1541</v>
      </c>
      <c r="Y72">
        <v>1087.997808251168</v>
      </c>
      <c r="AF72">
        <v>1087.997808251168</v>
      </c>
      <c r="AG72" t="s">
        <v>1742</v>
      </c>
    </row>
    <row r="73" spans="1:33" x14ac:dyDescent="0.3">
      <c r="A73" t="s">
        <v>555</v>
      </c>
      <c r="B73" s="2">
        <v>45889</v>
      </c>
      <c r="C73">
        <v>1243.038</v>
      </c>
      <c r="D73" t="s">
        <v>1807</v>
      </c>
      <c r="E73">
        <v>64</v>
      </c>
      <c r="F73" t="s">
        <v>9</v>
      </c>
      <c r="G73" t="s">
        <v>1549</v>
      </c>
      <c r="H73" t="s">
        <v>1742</v>
      </c>
      <c r="L73" s="2">
        <v>45889</v>
      </c>
      <c r="M73">
        <v>1243.038</v>
      </c>
      <c r="R73" t="s">
        <v>1807</v>
      </c>
      <c r="S73">
        <v>1243.038</v>
      </c>
      <c r="W73" s="12" t="s">
        <v>9</v>
      </c>
      <c r="X73" s="12" t="s">
        <v>1549</v>
      </c>
      <c r="Y73">
        <v>1243.038</v>
      </c>
      <c r="AF73">
        <v>1243.038</v>
      </c>
      <c r="AG73" t="s">
        <v>1742</v>
      </c>
    </row>
    <row r="74" spans="1:33" x14ac:dyDescent="0.3">
      <c r="A74" t="s">
        <v>1259</v>
      </c>
      <c r="B74" s="2">
        <v>45533</v>
      </c>
      <c r="C74">
        <v>503.97620000000012</v>
      </c>
      <c r="D74" t="s">
        <v>1807</v>
      </c>
      <c r="E74">
        <v>48</v>
      </c>
      <c r="F74" t="s">
        <v>16</v>
      </c>
      <c r="G74" t="s">
        <v>1549</v>
      </c>
      <c r="H74" t="s">
        <v>1742</v>
      </c>
      <c r="L74" s="2">
        <v>45533</v>
      </c>
      <c r="M74">
        <v>503.97620000000012</v>
      </c>
      <c r="R74" t="s">
        <v>1807</v>
      </c>
      <c r="S74">
        <v>503.97620000000012</v>
      </c>
      <c r="W74" s="11" t="s">
        <v>16</v>
      </c>
      <c r="X74" s="11" t="s">
        <v>1549</v>
      </c>
      <c r="Y74">
        <v>503.97620000000012</v>
      </c>
      <c r="AF74">
        <v>503.97620000000012</v>
      </c>
      <c r="AG74" t="s">
        <v>1742</v>
      </c>
    </row>
    <row r="75" spans="1:33" x14ac:dyDescent="0.3">
      <c r="A75" t="s">
        <v>147</v>
      </c>
      <c r="B75" s="2">
        <v>45626</v>
      </c>
      <c r="C75">
        <v>968.18819999999994</v>
      </c>
      <c r="D75" t="s">
        <v>1807</v>
      </c>
      <c r="E75">
        <v>35</v>
      </c>
      <c r="F75" t="s">
        <v>16</v>
      </c>
      <c r="G75" t="s">
        <v>1549</v>
      </c>
      <c r="H75" t="s">
        <v>1742</v>
      </c>
      <c r="L75" s="2">
        <v>45626</v>
      </c>
      <c r="M75">
        <v>968.18819999999994</v>
      </c>
      <c r="R75" t="s">
        <v>1807</v>
      </c>
      <c r="S75">
        <v>968.18819999999994</v>
      </c>
      <c r="W75" s="12" t="s">
        <v>16</v>
      </c>
      <c r="X75" s="12" t="s">
        <v>1549</v>
      </c>
      <c r="Y75">
        <v>968.18819999999994</v>
      </c>
      <c r="AF75">
        <v>968.18819999999994</v>
      </c>
      <c r="AG75" t="s">
        <v>1742</v>
      </c>
    </row>
    <row r="76" spans="1:33" x14ac:dyDescent="0.3">
      <c r="A76" t="s">
        <v>862</v>
      </c>
      <c r="B76" s="2">
        <v>45942</v>
      </c>
      <c r="C76">
        <v>166.482</v>
      </c>
      <c r="D76" t="s">
        <v>1812</v>
      </c>
      <c r="E76">
        <v>38</v>
      </c>
      <c r="F76" t="s">
        <v>9</v>
      </c>
      <c r="G76" t="s">
        <v>1549</v>
      </c>
      <c r="H76" t="s">
        <v>1767</v>
      </c>
      <c r="L76" s="2">
        <v>45942</v>
      </c>
      <c r="M76">
        <v>166.482</v>
      </c>
      <c r="R76" t="s">
        <v>1812</v>
      </c>
      <c r="S76">
        <v>166.482</v>
      </c>
      <c r="W76" s="11" t="s">
        <v>9</v>
      </c>
      <c r="X76" s="11" t="s">
        <v>1549</v>
      </c>
      <c r="Y76">
        <v>166.482</v>
      </c>
      <c r="AF76">
        <v>166.482</v>
      </c>
      <c r="AG76" t="s">
        <v>1767</v>
      </c>
    </row>
    <row r="77" spans="1:33" x14ac:dyDescent="0.3">
      <c r="A77" t="s">
        <v>141</v>
      </c>
      <c r="B77" s="2">
        <v>45500</v>
      </c>
      <c r="C77">
        <v>2156.5544</v>
      </c>
      <c r="D77" t="s">
        <v>1807</v>
      </c>
      <c r="E77">
        <v>20</v>
      </c>
      <c r="F77" t="s">
        <v>16</v>
      </c>
      <c r="G77" t="s">
        <v>1549</v>
      </c>
      <c r="H77" t="s">
        <v>1742</v>
      </c>
      <c r="L77" s="2">
        <v>45500</v>
      </c>
      <c r="M77">
        <v>2156.5544</v>
      </c>
      <c r="R77" t="s">
        <v>1807</v>
      </c>
      <c r="S77">
        <v>2156.5544</v>
      </c>
      <c r="W77" s="12" t="s">
        <v>16</v>
      </c>
      <c r="X77" s="12" t="s">
        <v>1549</v>
      </c>
      <c r="Y77">
        <v>2156.5544</v>
      </c>
      <c r="AF77">
        <v>2156.5544</v>
      </c>
      <c r="AG77" t="s">
        <v>1742</v>
      </c>
    </row>
    <row r="78" spans="1:33" x14ac:dyDescent="0.3">
      <c r="A78" t="s">
        <v>86</v>
      </c>
      <c r="B78" s="2">
        <v>45285</v>
      </c>
      <c r="C78">
        <v>1029.4649999999999</v>
      </c>
      <c r="D78" t="s">
        <v>1807</v>
      </c>
      <c r="E78">
        <v>59</v>
      </c>
      <c r="F78" t="s">
        <v>9</v>
      </c>
      <c r="G78" t="s">
        <v>1546</v>
      </c>
      <c r="H78" t="s">
        <v>1742</v>
      </c>
      <c r="L78" s="2">
        <v>45285</v>
      </c>
      <c r="M78">
        <v>1029.4649999999999</v>
      </c>
      <c r="R78" t="s">
        <v>1807</v>
      </c>
      <c r="S78">
        <v>1029.4649999999999</v>
      </c>
      <c r="W78" s="11" t="s">
        <v>9</v>
      </c>
      <c r="X78" s="11" t="s">
        <v>1546</v>
      </c>
      <c r="Y78">
        <v>1029.4649999999999</v>
      </c>
      <c r="AF78">
        <v>1029.4649999999999</v>
      </c>
      <c r="AG78" t="s">
        <v>1742</v>
      </c>
    </row>
    <row r="79" spans="1:33" x14ac:dyDescent="0.3">
      <c r="A79" t="s">
        <v>41</v>
      </c>
      <c r="B79" s="2">
        <v>45800</v>
      </c>
      <c r="C79">
        <v>502.10860000000002</v>
      </c>
      <c r="D79" t="s">
        <v>1812</v>
      </c>
      <c r="E79">
        <v>53</v>
      </c>
      <c r="F79" t="s">
        <v>16</v>
      </c>
      <c r="G79" t="s">
        <v>1546</v>
      </c>
      <c r="H79" t="s">
        <v>1742</v>
      </c>
      <c r="L79" s="2">
        <v>45800</v>
      </c>
      <c r="M79">
        <v>502.10860000000002</v>
      </c>
      <c r="R79" t="s">
        <v>1812</v>
      </c>
      <c r="S79">
        <v>502.10860000000002</v>
      </c>
      <c r="W79" s="12" t="s">
        <v>16</v>
      </c>
      <c r="X79" s="12" t="s">
        <v>1546</v>
      </c>
      <c r="Y79">
        <v>502.10860000000002</v>
      </c>
      <c r="AF79">
        <v>502.10860000000002</v>
      </c>
      <c r="AG79" t="s">
        <v>1742</v>
      </c>
    </row>
    <row r="80" spans="1:33" x14ac:dyDescent="0.3">
      <c r="A80" t="s">
        <v>711</v>
      </c>
      <c r="B80" s="2">
        <v>45609</v>
      </c>
      <c r="C80">
        <v>1512.924</v>
      </c>
      <c r="D80" t="s">
        <v>1807</v>
      </c>
      <c r="E80">
        <v>35</v>
      </c>
      <c r="F80" t="s">
        <v>9</v>
      </c>
      <c r="G80" t="s">
        <v>1541</v>
      </c>
      <c r="H80" t="s">
        <v>1767</v>
      </c>
      <c r="L80" s="2">
        <v>45609</v>
      </c>
      <c r="M80">
        <v>1512.924</v>
      </c>
      <c r="R80" t="s">
        <v>1807</v>
      </c>
      <c r="S80">
        <v>1512.924</v>
      </c>
      <c r="W80" s="11" t="s">
        <v>9</v>
      </c>
      <c r="X80" s="11" t="s">
        <v>1541</v>
      </c>
      <c r="Y80">
        <v>1512.924</v>
      </c>
      <c r="AF80">
        <v>1512.924</v>
      </c>
      <c r="AG80" t="s">
        <v>1767</v>
      </c>
    </row>
    <row r="81" spans="1:33" x14ac:dyDescent="0.3">
      <c r="A81" t="s">
        <v>398</v>
      </c>
      <c r="B81" s="2">
        <v>45268</v>
      </c>
      <c r="C81">
        <v>289.99450000000002</v>
      </c>
      <c r="D81" t="s">
        <v>1807</v>
      </c>
      <c r="E81">
        <v>18</v>
      </c>
      <c r="F81" t="s">
        <v>16</v>
      </c>
      <c r="G81" t="s">
        <v>1527</v>
      </c>
      <c r="H81" t="s">
        <v>1746</v>
      </c>
      <c r="L81" s="2">
        <v>45268</v>
      </c>
      <c r="M81">
        <v>289.99450000000002</v>
      </c>
      <c r="R81" t="s">
        <v>1807</v>
      </c>
      <c r="S81">
        <v>289.99450000000002</v>
      </c>
      <c r="W81" s="12" t="s">
        <v>16</v>
      </c>
      <c r="X81" s="12" t="s">
        <v>1527</v>
      </c>
      <c r="Y81">
        <v>289.99450000000002</v>
      </c>
      <c r="AF81">
        <v>289.99450000000002</v>
      </c>
      <c r="AG81" t="s">
        <v>1746</v>
      </c>
    </row>
    <row r="82" spans="1:33" x14ac:dyDescent="0.3">
      <c r="A82" t="s">
        <v>577</v>
      </c>
      <c r="B82" s="2">
        <v>45885</v>
      </c>
      <c r="C82">
        <v>415.73379999999997</v>
      </c>
      <c r="D82" t="s">
        <v>1812</v>
      </c>
      <c r="E82">
        <v>55</v>
      </c>
      <c r="F82" t="s">
        <v>9</v>
      </c>
      <c r="G82" t="s">
        <v>1549</v>
      </c>
      <c r="H82" t="s">
        <v>1767</v>
      </c>
      <c r="L82" s="2">
        <v>45885</v>
      </c>
      <c r="M82">
        <v>415.73379999999997</v>
      </c>
      <c r="R82" t="s">
        <v>1812</v>
      </c>
      <c r="S82">
        <v>415.73379999999997</v>
      </c>
      <c r="W82" s="11" t="s">
        <v>9</v>
      </c>
      <c r="X82" s="11" t="s">
        <v>1549</v>
      </c>
      <c r="Y82">
        <v>415.73379999999997</v>
      </c>
      <c r="AF82">
        <v>415.73379999999997</v>
      </c>
      <c r="AG82" t="s">
        <v>1767</v>
      </c>
    </row>
    <row r="83" spans="1:33" x14ac:dyDescent="0.3">
      <c r="A83" t="s">
        <v>3941</v>
      </c>
      <c r="B83" s="2">
        <v>45616</v>
      </c>
      <c r="C83">
        <v>272.79750000000001</v>
      </c>
      <c r="D83" t="s">
        <v>1809</v>
      </c>
      <c r="E83">
        <v>34</v>
      </c>
      <c r="F83" t="s">
        <v>9</v>
      </c>
      <c r="G83" t="s">
        <v>1541</v>
      </c>
      <c r="H83" t="s">
        <v>1746</v>
      </c>
      <c r="L83" s="2">
        <v>45616</v>
      </c>
      <c r="M83">
        <v>272.79750000000001</v>
      </c>
      <c r="R83" t="s">
        <v>1809</v>
      </c>
      <c r="S83">
        <v>272.79750000000001</v>
      </c>
      <c r="W83" s="12" t="s">
        <v>9</v>
      </c>
      <c r="X83" s="12" t="s">
        <v>1541</v>
      </c>
      <c r="Y83">
        <v>272.79750000000001</v>
      </c>
      <c r="AF83">
        <v>272.79750000000001</v>
      </c>
      <c r="AG83" t="s">
        <v>1746</v>
      </c>
    </row>
    <row r="84" spans="1:33" x14ac:dyDescent="0.3">
      <c r="A84" t="s">
        <v>1169</v>
      </c>
      <c r="B84" s="2">
        <v>45518</v>
      </c>
      <c r="C84">
        <v>1010.2344000000001</v>
      </c>
      <c r="D84" t="s">
        <v>1809</v>
      </c>
      <c r="E84">
        <v>34</v>
      </c>
      <c r="F84" t="s">
        <v>16</v>
      </c>
      <c r="G84" t="s">
        <v>1530</v>
      </c>
      <c r="H84" t="s">
        <v>1742</v>
      </c>
      <c r="L84" s="2">
        <v>45518</v>
      </c>
      <c r="M84">
        <v>1010.2344000000001</v>
      </c>
      <c r="R84" t="s">
        <v>1809</v>
      </c>
      <c r="S84">
        <v>1010.2344000000001</v>
      </c>
      <c r="W84" s="11" t="s">
        <v>16</v>
      </c>
      <c r="X84" s="11" t="s">
        <v>1530</v>
      </c>
      <c r="Y84">
        <v>1010.2344000000001</v>
      </c>
      <c r="AF84">
        <v>1010.2344000000001</v>
      </c>
      <c r="AG84" t="s">
        <v>1742</v>
      </c>
    </row>
    <row r="85" spans="1:33" x14ac:dyDescent="0.3">
      <c r="A85" t="s">
        <v>1241</v>
      </c>
      <c r="B85" s="2">
        <v>45427</v>
      </c>
      <c r="C85">
        <v>133.4332</v>
      </c>
      <c r="D85" t="s">
        <v>1809</v>
      </c>
      <c r="E85">
        <v>22</v>
      </c>
      <c r="F85" t="s">
        <v>16</v>
      </c>
      <c r="G85" t="s">
        <v>1549</v>
      </c>
      <c r="H85" t="s">
        <v>1742</v>
      </c>
      <c r="L85" s="2">
        <v>45427</v>
      </c>
      <c r="M85">
        <v>133.4332</v>
      </c>
      <c r="R85" t="s">
        <v>1809</v>
      </c>
      <c r="S85">
        <v>133.4332</v>
      </c>
      <c r="W85" s="12" t="s">
        <v>16</v>
      </c>
      <c r="X85" s="12" t="s">
        <v>1549</v>
      </c>
      <c r="Y85">
        <v>133.4332</v>
      </c>
      <c r="AF85">
        <v>133.4332</v>
      </c>
      <c r="AG85" t="s">
        <v>1742</v>
      </c>
    </row>
    <row r="86" spans="1:33" x14ac:dyDescent="0.3">
      <c r="A86" t="s">
        <v>1298</v>
      </c>
      <c r="B86" s="2">
        <v>45268</v>
      </c>
      <c r="C86">
        <v>1090.0558237722053</v>
      </c>
      <c r="D86" t="s">
        <v>1812</v>
      </c>
      <c r="E86">
        <v>53</v>
      </c>
      <c r="F86" t="s">
        <v>9</v>
      </c>
      <c r="G86" t="s">
        <v>1530</v>
      </c>
      <c r="H86" t="s">
        <v>1742</v>
      </c>
      <c r="L86" s="2">
        <v>45268</v>
      </c>
      <c r="M86">
        <v>1090.0558237722053</v>
      </c>
      <c r="R86" t="s">
        <v>1812</v>
      </c>
      <c r="S86">
        <v>1090.0558237722053</v>
      </c>
      <c r="W86" s="11" t="s">
        <v>9</v>
      </c>
      <c r="X86" s="11" t="s">
        <v>1530</v>
      </c>
      <c r="Y86">
        <v>1090.0558237722053</v>
      </c>
      <c r="AF86">
        <v>1090.0558237722053</v>
      </c>
      <c r="AG86" t="s">
        <v>1742</v>
      </c>
    </row>
    <row r="87" spans="1:33" x14ac:dyDescent="0.3">
      <c r="A87" t="s">
        <v>203</v>
      </c>
      <c r="B87" s="2">
        <v>45282</v>
      </c>
      <c r="C87">
        <v>386.38400000000001</v>
      </c>
      <c r="D87" t="s">
        <v>1812</v>
      </c>
      <c r="E87">
        <v>56</v>
      </c>
      <c r="F87" t="s">
        <v>16</v>
      </c>
      <c r="G87" t="s">
        <v>1549</v>
      </c>
      <c r="H87" t="s">
        <v>1746</v>
      </c>
      <c r="L87" s="2">
        <v>45282</v>
      </c>
      <c r="M87">
        <v>386.38400000000001</v>
      </c>
      <c r="R87" t="s">
        <v>1812</v>
      </c>
      <c r="S87">
        <v>386.38400000000001</v>
      </c>
      <c r="W87" s="12" t="s">
        <v>16</v>
      </c>
      <c r="X87" s="12" t="s">
        <v>1549</v>
      </c>
      <c r="Y87">
        <v>386.38400000000001</v>
      </c>
      <c r="AF87">
        <v>386.38400000000001</v>
      </c>
      <c r="AG87" t="s">
        <v>1746</v>
      </c>
    </row>
    <row r="88" spans="1:33" x14ac:dyDescent="0.3">
      <c r="A88" t="s">
        <v>949</v>
      </c>
      <c r="B88" s="2">
        <v>45545</v>
      </c>
      <c r="C88">
        <v>1943.0927999999999</v>
      </c>
      <c r="D88" t="s">
        <v>1809</v>
      </c>
      <c r="E88">
        <v>41</v>
      </c>
      <c r="F88" t="s">
        <v>9</v>
      </c>
      <c r="G88" t="s">
        <v>1549</v>
      </c>
      <c r="H88" t="s">
        <v>1742</v>
      </c>
      <c r="L88" s="2">
        <v>45545</v>
      </c>
      <c r="M88">
        <v>1943.0927999999999</v>
      </c>
      <c r="R88" t="s">
        <v>1809</v>
      </c>
      <c r="S88">
        <v>1943.0927999999999</v>
      </c>
      <c r="W88" s="11" t="s">
        <v>9</v>
      </c>
      <c r="X88" s="11" t="s">
        <v>1549</v>
      </c>
      <c r="Y88">
        <v>1943.0927999999999</v>
      </c>
      <c r="AF88">
        <v>1943.0927999999999</v>
      </c>
      <c r="AG88" t="s">
        <v>1742</v>
      </c>
    </row>
    <row r="89" spans="1:33" x14ac:dyDescent="0.3">
      <c r="A89" t="s">
        <v>1019</v>
      </c>
      <c r="B89" s="2">
        <v>45755</v>
      </c>
      <c r="C89">
        <v>2777.4432000000002</v>
      </c>
      <c r="D89" t="s">
        <v>1807</v>
      </c>
      <c r="E89">
        <v>46</v>
      </c>
      <c r="F89" t="s">
        <v>9</v>
      </c>
      <c r="G89" t="s">
        <v>1530</v>
      </c>
      <c r="H89" t="s">
        <v>1742</v>
      </c>
      <c r="L89" s="2">
        <v>45755</v>
      </c>
      <c r="M89">
        <v>2777.4432000000002</v>
      </c>
      <c r="R89" t="s">
        <v>1807</v>
      </c>
      <c r="S89">
        <v>2777.4432000000002</v>
      </c>
      <c r="W89" s="12" t="s">
        <v>9</v>
      </c>
      <c r="X89" s="12" t="s">
        <v>1530</v>
      </c>
      <c r="Y89">
        <v>2777.4432000000002</v>
      </c>
      <c r="AF89">
        <v>2777.4432000000002</v>
      </c>
      <c r="AG89" t="s">
        <v>1742</v>
      </c>
    </row>
    <row r="90" spans="1:33" x14ac:dyDescent="0.3">
      <c r="A90" t="s">
        <v>599</v>
      </c>
      <c r="B90" s="2">
        <v>45588</v>
      </c>
      <c r="C90">
        <v>374.66759999999999</v>
      </c>
      <c r="D90" t="s">
        <v>1809</v>
      </c>
      <c r="E90">
        <v>46</v>
      </c>
      <c r="F90" t="s">
        <v>16</v>
      </c>
      <c r="G90" t="s">
        <v>1549</v>
      </c>
      <c r="H90" t="s">
        <v>1737</v>
      </c>
      <c r="L90" s="2">
        <v>45588</v>
      </c>
      <c r="M90">
        <v>374.66759999999999</v>
      </c>
      <c r="R90" t="s">
        <v>1809</v>
      </c>
      <c r="S90">
        <v>374.66759999999999</v>
      </c>
      <c r="W90" s="11" t="s">
        <v>16</v>
      </c>
      <c r="X90" s="11" t="s">
        <v>1549</v>
      </c>
      <c r="Y90">
        <v>374.66759999999999</v>
      </c>
      <c r="AF90">
        <v>374.66759999999999</v>
      </c>
      <c r="AG90" t="s">
        <v>1737</v>
      </c>
    </row>
    <row r="91" spans="1:33" x14ac:dyDescent="0.3">
      <c r="A91" t="s">
        <v>480</v>
      </c>
      <c r="B91" s="2">
        <v>45848</v>
      </c>
      <c r="C91">
        <v>705.78959999999995</v>
      </c>
      <c r="D91" t="s">
        <v>1812</v>
      </c>
      <c r="E91">
        <v>62</v>
      </c>
      <c r="F91" t="s">
        <v>16</v>
      </c>
      <c r="G91" t="s">
        <v>1549</v>
      </c>
      <c r="H91" t="s">
        <v>1742</v>
      </c>
      <c r="L91" s="2">
        <v>45848</v>
      </c>
      <c r="M91">
        <v>705.78959999999995</v>
      </c>
      <c r="R91" t="s">
        <v>1812</v>
      </c>
      <c r="S91">
        <v>705.78959999999995</v>
      </c>
      <c r="W91" s="12" t="s">
        <v>16</v>
      </c>
      <c r="X91" s="12" t="s">
        <v>1549</v>
      </c>
      <c r="Y91">
        <v>705.78959999999995</v>
      </c>
      <c r="AF91">
        <v>705.78959999999995</v>
      </c>
      <c r="AG91" t="s">
        <v>1742</v>
      </c>
    </row>
    <row r="92" spans="1:33" x14ac:dyDescent="0.3">
      <c r="A92" t="s">
        <v>53</v>
      </c>
      <c r="B92" s="2">
        <v>45577</v>
      </c>
      <c r="C92">
        <v>616.21119999999996</v>
      </c>
      <c r="D92" t="s">
        <v>1812</v>
      </c>
      <c r="E92">
        <v>28</v>
      </c>
      <c r="F92" t="s">
        <v>16</v>
      </c>
      <c r="G92" t="s">
        <v>1527</v>
      </c>
      <c r="H92" t="s">
        <v>1742</v>
      </c>
      <c r="L92" s="2">
        <v>45577</v>
      </c>
      <c r="M92">
        <v>616.21119999999996</v>
      </c>
      <c r="R92" t="s">
        <v>1812</v>
      </c>
      <c r="S92">
        <v>616.21119999999996</v>
      </c>
      <c r="W92" s="11" t="s">
        <v>16</v>
      </c>
      <c r="X92" s="11" t="s">
        <v>1527</v>
      </c>
      <c r="Y92">
        <v>616.21119999999996</v>
      </c>
      <c r="AF92">
        <v>616.21119999999996</v>
      </c>
      <c r="AG92" t="s">
        <v>1742</v>
      </c>
    </row>
    <row r="93" spans="1:33" x14ac:dyDescent="0.3">
      <c r="A93" t="s">
        <v>1250</v>
      </c>
      <c r="B93" s="2">
        <v>45312</v>
      </c>
      <c r="C93">
        <v>339.27080000000001</v>
      </c>
      <c r="D93" t="s">
        <v>1809</v>
      </c>
      <c r="E93">
        <v>33</v>
      </c>
      <c r="F93" t="s">
        <v>9</v>
      </c>
      <c r="G93" t="s">
        <v>1541</v>
      </c>
      <c r="H93" t="s">
        <v>1742</v>
      </c>
      <c r="L93" s="2">
        <v>45312</v>
      </c>
      <c r="M93">
        <v>339.27080000000001</v>
      </c>
      <c r="R93" t="s">
        <v>1809</v>
      </c>
      <c r="S93">
        <v>339.27080000000001</v>
      </c>
      <c r="W93" s="12" t="s">
        <v>9</v>
      </c>
      <c r="X93" s="12" t="s">
        <v>1541</v>
      </c>
      <c r="Y93">
        <v>339.27080000000001</v>
      </c>
      <c r="AF93">
        <v>339.27080000000001</v>
      </c>
      <c r="AG93" t="s">
        <v>1742</v>
      </c>
    </row>
    <row r="94" spans="1:33" x14ac:dyDescent="0.3">
      <c r="A94" t="s">
        <v>41</v>
      </c>
      <c r="B94" s="2">
        <v>45350</v>
      </c>
      <c r="C94">
        <v>578.11989999999992</v>
      </c>
      <c r="D94" t="s">
        <v>1807</v>
      </c>
      <c r="E94">
        <v>53</v>
      </c>
      <c r="F94" t="s">
        <v>16</v>
      </c>
      <c r="G94" t="s">
        <v>1527</v>
      </c>
      <c r="H94" t="s">
        <v>1746</v>
      </c>
      <c r="L94" s="2">
        <v>45350</v>
      </c>
      <c r="M94">
        <v>578.11989999999992</v>
      </c>
      <c r="R94" t="s">
        <v>1807</v>
      </c>
      <c r="S94">
        <v>578.11989999999992</v>
      </c>
      <c r="W94" s="11" t="s">
        <v>16</v>
      </c>
      <c r="X94" s="11" t="s">
        <v>1527</v>
      </c>
      <c r="Y94">
        <v>578.11989999999992</v>
      </c>
      <c r="AF94">
        <v>578.11989999999992</v>
      </c>
      <c r="AG94" t="s">
        <v>1746</v>
      </c>
    </row>
    <row r="95" spans="1:33" x14ac:dyDescent="0.3">
      <c r="A95" t="s">
        <v>239</v>
      </c>
      <c r="B95" s="2">
        <v>45657</v>
      </c>
      <c r="C95">
        <v>556.78399999999999</v>
      </c>
      <c r="D95" t="s">
        <v>1809</v>
      </c>
      <c r="E95">
        <v>27</v>
      </c>
      <c r="F95" t="s">
        <v>16</v>
      </c>
      <c r="G95" t="s">
        <v>1549</v>
      </c>
      <c r="H95" t="s">
        <v>1746</v>
      </c>
      <c r="L95" s="2">
        <v>45657</v>
      </c>
      <c r="M95">
        <v>556.78399999999999</v>
      </c>
      <c r="R95" t="s">
        <v>1809</v>
      </c>
      <c r="S95">
        <v>556.78399999999999</v>
      </c>
      <c r="W95" s="12" t="s">
        <v>16</v>
      </c>
      <c r="X95" s="12" t="s">
        <v>1549</v>
      </c>
      <c r="Y95">
        <v>556.78399999999999</v>
      </c>
      <c r="AF95">
        <v>556.78399999999999</v>
      </c>
      <c r="AG95" t="s">
        <v>1746</v>
      </c>
    </row>
    <row r="96" spans="1:33" x14ac:dyDescent="0.3">
      <c r="A96" t="s">
        <v>934</v>
      </c>
      <c r="B96" s="2">
        <v>45530</v>
      </c>
      <c r="C96">
        <v>1090.8604113385834</v>
      </c>
      <c r="D96" t="s">
        <v>1809</v>
      </c>
      <c r="E96">
        <v>48</v>
      </c>
      <c r="F96" t="s">
        <v>16</v>
      </c>
      <c r="G96" t="s">
        <v>1549</v>
      </c>
      <c r="H96" t="s">
        <v>1742</v>
      </c>
      <c r="L96" s="2">
        <v>45530</v>
      </c>
      <c r="M96">
        <v>1090.8604113385834</v>
      </c>
      <c r="R96" t="s">
        <v>1809</v>
      </c>
      <c r="S96">
        <v>1090.8604113385834</v>
      </c>
      <c r="W96" s="11" t="s">
        <v>16</v>
      </c>
      <c r="X96" s="11" t="s">
        <v>1549</v>
      </c>
      <c r="Y96">
        <v>1090.8604113385834</v>
      </c>
      <c r="AF96">
        <v>1090.8604113385834</v>
      </c>
      <c r="AG96" t="s">
        <v>1742</v>
      </c>
    </row>
    <row r="97" spans="1:33" x14ac:dyDescent="0.3">
      <c r="A97" t="s">
        <v>1002</v>
      </c>
      <c r="B97" s="2">
        <v>45556</v>
      </c>
      <c r="C97">
        <v>117.4588</v>
      </c>
      <c r="D97" t="s">
        <v>1812</v>
      </c>
      <c r="E97">
        <v>54</v>
      </c>
      <c r="F97" t="s">
        <v>9</v>
      </c>
      <c r="G97" t="s">
        <v>1527</v>
      </c>
      <c r="H97" t="s">
        <v>1737</v>
      </c>
      <c r="L97" s="2">
        <v>45556</v>
      </c>
      <c r="M97">
        <v>117.4588</v>
      </c>
      <c r="R97" t="s">
        <v>1812</v>
      </c>
      <c r="S97">
        <v>117.4588</v>
      </c>
      <c r="W97" s="12" t="s">
        <v>9</v>
      </c>
      <c r="X97" s="12" t="s">
        <v>1527</v>
      </c>
      <c r="Y97">
        <v>117.4588</v>
      </c>
      <c r="AF97">
        <v>117.4588</v>
      </c>
      <c r="AG97" t="s">
        <v>1737</v>
      </c>
    </row>
    <row r="98" spans="1:33" x14ac:dyDescent="0.3">
      <c r="A98" t="s">
        <v>777</v>
      </c>
      <c r="B98" s="2">
        <v>45523</v>
      </c>
      <c r="C98">
        <v>792.32599999999991</v>
      </c>
      <c r="D98" t="s">
        <v>1812</v>
      </c>
      <c r="E98">
        <v>57</v>
      </c>
      <c r="F98" t="s">
        <v>16</v>
      </c>
      <c r="G98" t="s">
        <v>1549</v>
      </c>
      <c r="H98" t="s">
        <v>1742</v>
      </c>
      <c r="L98" s="2">
        <v>45523</v>
      </c>
      <c r="M98">
        <v>792.32599999999991</v>
      </c>
      <c r="R98" t="s">
        <v>1812</v>
      </c>
      <c r="S98">
        <v>792.32599999999991</v>
      </c>
      <c r="W98" s="11" t="s">
        <v>16</v>
      </c>
      <c r="X98" s="11" t="s">
        <v>1549</v>
      </c>
      <c r="Y98">
        <v>792.32599999999991</v>
      </c>
      <c r="AF98">
        <v>792.32599999999991</v>
      </c>
      <c r="AG98" t="s">
        <v>1742</v>
      </c>
    </row>
    <row r="99" spans="1:33" x14ac:dyDescent="0.3">
      <c r="A99" t="s">
        <v>904</v>
      </c>
      <c r="B99" s="2">
        <v>45587</v>
      </c>
      <c r="C99">
        <v>1669.3068000000001</v>
      </c>
      <c r="D99" t="s">
        <v>1809</v>
      </c>
      <c r="E99">
        <v>58</v>
      </c>
      <c r="F99" t="s">
        <v>9</v>
      </c>
      <c r="G99" t="s">
        <v>1527</v>
      </c>
      <c r="H99" t="s">
        <v>1742</v>
      </c>
      <c r="L99" s="2">
        <v>45587</v>
      </c>
      <c r="M99">
        <v>1669.3068000000001</v>
      </c>
      <c r="R99" t="s">
        <v>1809</v>
      </c>
      <c r="S99">
        <v>1669.3068000000001</v>
      </c>
      <c r="W99" s="12" t="s">
        <v>9</v>
      </c>
      <c r="X99" s="12" t="s">
        <v>1527</v>
      </c>
      <c r="Y99">
        <v>1669.3068000000001</v>
      </c>
      <c r="AF99">
        <v>1669.3068000000001</v>
      </c>
      <c r="AG99" t="s">
        <v>1742</v>
      </c>
    </row>
    <row r="100" spans="1:33" x14ac:dyDescent="0.3">
      <c r="A100" t="s">
        <v>445</v>
      </c>
      <c r="B100" s="2">
        <v>45580</v>
      </c>
      <c r="C100">
        <v>1581.2496000000001</v>
      </c>
      <c r="D100" t="s">
        <v>1807</v>
      </c>
      <c r="E100">
        <v>57</v>
      </c>
      <c r="F100" t="s">
        <v>16</v>
      </c>
      <c r="G100" t="s">
        <v>1527</v>
      </c>
      <c r="H100" t="s">
        <v>1746</v>
      </c>
      <c r="L100" s="2">
        <v>45580</v>
      </c>
      <c r="M100">
        <v>1581.2496000000001</v>
      </c>
      <c r="R100" t="s">
        <v>1807</v>
      </c>
      <c r="S100">
        <v>1581.2496000000001</v>
      </c>
      <c r="W100" s="11" t="s">
        <v>16</v>
      </c>
      <c r="X100" s="11" t="s">
        <v>1527</v>
      </c>
      <c r="Y100">
        <v>1581.2496000000001</v>
      </c>
      <c r="AF100">
        <v>1581.2496000000001</v>
      </c>
      <c r="AG100" t="s">
        <v>1746</v>
      </c>
    </row>
    <row r="101" spans="1:33" x14ac:dyDescent="0.3">
      <c r="A101" t="s">
        <v>1013</v>
      </c>
      <c r="B101" s="2">
        <v>45479</v>
      </c>
      <c r="C101">
        <v>1235.7372</v>
      </c>
      <c r="D101" t="s">
        <v>1812</v>
      </c>
      <c r="E101">
        <v>58</v>
      </c>
      <c r="F101" t="s">
        <v>16</v>
      </c>
      <c r="G101" t="s">
        <v>1549</v>
      </c>
      <c r="H101" t="s">
        <v>1742</v>
      </c>
      <c r="L101" s="2">
        <v>45479</v>
      </c>
      <c r="M101">
        <v>1235.7372</v>
      </c>
      <c r="R101" t="s">
        <v>1812</v>
      </c>
      <c r="S101">
        <v>1235.7372</v>
      </c>
      <c r="W101" s="12" t="s">
        <v>16</v>
      </c>
      <c r="X101" s="12" t="s">
        <v>1549</v>
      </c>
      <c r="Y101">
        <v>1235.7372</v>
      </c>
      <c r="AF101">
        <v>1235.7372</v>
      </c>
      <c r="AG101" t="s">
        <v>1742</v>
      </c>
    </row>
    <row r="102" spans="1:33" x14ac:dyDescent="0.3">
      <c r="A102" t="s">
        <v>1142</v>
      </c>
      <c r="B102" s="2">
        <v>45677</v>
      </c>
      <c r="C102">
        <v>658.46</v>
      </c>
      <c r="D102" t="s">
        <v>1807</v>
      </c>
      <c r="E102">
        <v>45</v>
      </c>
      <c r="F102" t="s">
        <v>9</v>
      </c>
      <c r="G102" t="s">
        <v>1527</v>
      </c>
      <c r="H102" t="s">
        <v>1742</v>
      </c>
      <c r="L102" s="2">
        <v>45677</v>
      </c>
      <c r="M102">
        <v>658.46</v>
      </c>
      <c r="R102" t="s">
        <v>1807</v>
      </c>
      <c r="S102">
        <v>658.46</v>
      </c>
      <c r="W102" s="11" t="s">
        <v>9</v>
      </c>
      <c r="X102" s="11" t="s">
        <v>1527</v>
      </c>
      <c r="Y102">
        <v>658.46</v>
      </c>
      <c r="AF102">
        <v>658.46</v>
      </c>
      <c r="AG102" t="s">
        <v>1742</v>
      </c>
    </row>
    <row r="103" spans="1:33" x14ac:dyDescent="0.3">
      <c r="A103" t="s">
        <v>302</v>
      </c>
      <c r="B103" s="2">
        <v>45453</v>
      </c>
      <c r="C103">
        <v>895.30439999999999</v>
      </c>
      <c r="D103" t="s">
        <v>1809</v>
      </c>
      <c r="E103">
        <v>36</v>
      </c>
      <c r="F103" t="s">
        <v>9</v>
      </c>
      <c r="G103" t="s">
        <v>1530</v>
      </c>
      <c r="H103" t="s">
        <v>1742</v>
      </c>
      <c r="L103" s="2">
        <v>45453</v>
      </c>
      <c r="M103">
        <v>895.30439999999999</v>
      </c>
      <c r="R103" t="s">
        <v>1809</v>
      </c>
      <c r="S103">
        <v>895.30439999999999</v>
      </c>
      <c r="W103" s="12" t="s">
        <v>9</v>
      </c>
      <c r="X103" s="12" t="s">
        <v>1530</v>
      </c>
      <c r="Y103">
        <v>895.30439999999999</v>
      </c>
      <c r="AF103">
        <v>895.30439999999999</v>
      </c>
      <c r="AG103" t="s">
        <v>1742</v>
      </c>
    </row>
    <row r="104" spans="1:33" x14ac:dyDescent="0.3">
      <c r="A104" t="s">
        <v>343</v>
      </c>
      <c r="B104" s="2">
        <v>45552</v>
      </c>
      <c r="C104">
        <v>717.25760000000002</v>
      </c>
      <c r="D104" t="s">
        <v>1809</v>
      </c>
      <c r="E104">
        <v>24</v>
      </c>
      <c r="F104" t="s">
        <v>9</v>
      </c>
      <c r="G104" t="s">
        <v>1527</v>
      </c>
      <c r="H104" t="s">
        <v>1742</v>
      </c>
      <c r="L104" s="2">
        <v>45552</v>
      </c>
      <c r="M104">
        <v>717.25760000000002</v>
      </c>
      <c r="R104" t="s">
        <v>1809</v>
      </c>
      <c r="S104">
        <v>717.25760000000002</v>
      </c>
      <c r="W104" s="11" t="s">
        <v>9</v>
      </c>
      <c r="X104" s="11" t="s">
        <v>1527</v>
      </c>
      <c r="Y104">
        <v>717.25760000000002</v>
      </c>
      <c r="AF104">
        <v>717.25760000000002</v>
      </c>
      <c r="AG104" t="s">
        <v>1742</v>
      </c>
    </row>
    <row r="105" spans="1:33" x14ac:dyDescent="0.3">
      <c r="A105" t="s">
        <v>596</v>
      </c>
      <c r="B105" s="2">
        <v>45907</v>
      </c>
      <c r="C105">
        <v>2997.615600000001</v>
      </c>
      <c r="D105" t="s">
        <v>1809</v>
      </c>
      <c r="E105">
        <v>18</v>
      </c>
      <c r="F105" t="s">
        <v>9</v>
      </c>
      <c r="G105" t="s">
        <v>1546</v>
      </c>
      <c r="H105" t="s">
        <v>1746</v>
      </c>
      <c r="L105" s="2">
        <v>45907</v>
      </c>
      <c r="M105">
        <v>2997.615600000001</v>
      </c>
      <c r="R105" t="s">
        <v>1809</v>
      </c>
      <c r="S105">
        <v>2997.615600000001</v>
      </c>
      <c r="W105" s="12" t="s">
        <v>9</v>
      </c>
      <c r="X105" s="12" t="s">
        <v>1546</v>
      </c>
      <c r="Y105">
        <v>2997.615600000001</v>
      </c>
      <c r="AF105">
        <v>2997.615600000001</v>
      </c>
      <c r="AG105" t="s">
        <v>1746</v>
      </c>
    </row>
    <row r="106" spans="1:33" x14ac:dyDescent="0.3">
      <c r="A106" t="s">
        <v>122</v>
      </c>
      <c r="B106" s="2">
        <v>45330</v>
      </c>
      <c r="C106">
        <v>1636.1117999999999</v>
      </c>
      <c r="D106" t="s">
        <v>1812</v>
      </c>
      <c r="E106">
        <v>64</v>
      </c>
      <c r="F106" t="s">
        <v>16</v>
      </c>
      <c r="G106" t="s">
        <v>1527</v>
      </c>
      <c r="H106" t="s">
        <v>1742</v>
      </c>
      <c r="L106" s="2">
        <v>45330</v>
      </c>
      <c r="M106">
        <v>1636.1117999999999</v>
      </c>
      <c r="R106" t="s">
        <v>1812</v>
      </c>
      <c r="S106">
        <v>1636.1117999999999</v>
      </c>
      <c r="W106" s="11" t="s">
        <v>16</v>
      </c>
      <c r="X106" s="11" t="s">
        <v>1527</v>
      </c>
      <c r="Y106">
        <v>1636.1117999999999</v>
      </c>
      <c r="AF106">
        <v>1636.1117999999999</v>
      </c>
      <c r="AG106" t="s">
        <v>1742</v>
      </c>
    </row>
    <row r="107" spans="1:33" x14ac:dyDescent="0.3">
      <c r="A107" t="s">
        <v>3933</v>
      </c>
      <c r="B107" s="2">
        <v>45214</v>
      </c>
      <c r="C107">
        <v>602.25120000000004</v>
      </c>
      <c r="D107" t="s">
        <v>1807</v>
      </c>
      <c r="E107">
        <v>59</v>
      </c>
      <c r="F107" t="s">
        <v>16</v>
      </c>
      <c r="G107" t="s">
        <v>1527</v>
      </c>
      <c r="H107" t="s">
        <v>1742</v>
      </c>
      <c r="L107" s="2">
        <v>45214</v>
      </c>
      <c r="M107">
        <v>602.25120000000004</v>
      </c>
      <c r="R107" t="s">
        <v>1807</v>
      </c>
      <c r="S107">
        <v>602.25120000000004</v>
      </c>
      <c r="W107" s="12" t="s">
        <v>16</v>
      </c>
      <c r="X107" s="12" t="s">
        <v>1527</v>
      </c>
      <c r="Y107">
        <v>602.25120000000004</v>
      </c>
      <c r="AF107">
        <v>602.25120000000004</v>
      </c>
      <c r="AG107" t="s">
        <v>1742</v>
      </c>
    </row>
    <row r="108" spans="1:33" x14ac:dyDescent="0.3">
      <c r="A108" t="s">
        <v>851</v>
      </c>
      <c r="B108" s="2">
        <v>45891</v>
      </c>
      <c r="C108">
        <v>1605.5052000000001</v>
      </c>
      <c r="D108" t="s">
        <v>1812</v>
      </c>
      <c r="E108">
        <v>31</v>
      </c>
      <c r="F108" t="s">
        <v>16</v>
      </c>
      <c r="G108" t="s">
        <v>1549</v>
      </c>
      <c r="H108" t="s">
        <v>1742</v>
      </c>
      <c r="L108" s="2">
        <v>45891</v>
      </c>
      <c r="M108">
        <v>1605.5052000000001</v>
      </c>
      <c r="R108" t="s">
        <v>1812</v>
      </c>
      <c r="S108">
        <v>1605.5052000000001</v>
      </c>
      <c r="W108" s="11" t="s">
        <v>16</v>
      </c>
      <c r="X108" s="11" t="s">
        <v>1549</v>
      </c>
      <c r="Y108">
        <v>1605.5052000000001</v>
      </c>
      <c r="AF108">
        <v>1605.5052000000001</v>
      </c>
      <c r="AG108" t="s">
        <v>1742</v>
      </c>
    </row>
    <row r="109" spans="1:33" x14ac:dyDescent="0.3">
      <c r="A109" t="s">
        <v>1052</v>
      </c>
      <c r="B109" s="2">
        <v>45323</v>
      </c>
      <c r="C109">
        <v>2060.3912</v>
      </c>
      <c r="D109" t="s">
        <v>1809</v>
      </c>
      <c r="E109">
        <v>52</v>
      </c>
      <c r="F109" t="s">
        <v>16</v>
      </c>
      <c r="G109" t="s">
        <v>1527</v>
      </c>
      <c r="H109" t="s">
        <v>1746</v>
      </c>
      <c r="L109" s="2">
        <v>45323</v>
      </c>
      <c r="M109">
        <v>2060.3912</v>
      </c>
      <c r="R109" t="s">
        <v>1809</v>
      </c>
      <c r="S109">
        <v>2060.3912</v>
      </c>
      <c r="W109" s="12" t="s">
        <v>16</v>
      </c>
      <c r="X109" s="12" t="s">
        <v>1527</v>
      </c>
      <c r="Y109">
        <v>2060.3912</v>
      </c>
      <c r="AF109">
        <v>2060.3912</v>
      </c>
      <c r="AG109" t="s">
        <v>1746</v>
      </c>
    </row>
    <row r="110" spans="1:33" x14ac:dyDescent="0.3">
      <c r="A110" t="s">
        <v>160</v>
      </c>
      <c r="B110" s="2">
        <v>45785</v>
      </c>
      <c r="C110">
        <v>2372.5230000000001</v>
      </c>
      <c r="D110" t="s">
        <v>1807</v>
      </c>
      <c r="E110">
        <v>19</v>
      </c>
      <c r="F110" t="s">
        <v>9</v>
      </c>
      <c r="G110" t="s">
        <v>1549</v>
      </c>
      <c r="H110" t="s">
        <v>1742</v>
      </c>
      <c r="L110" s="2">
        <v>45785</v>
      </c>
      <c r="M110">
        <v>2372.5230000000001</v>
      </c>
      <c r="R110" t="s">
        <v>1807</v>
      </c>
      <c r="S110">
        <v>2372.5230000000001</v>
      </c>
      <c r="W110" s="11" t="s">
        <v>9</v>
      </c>
      <c r="X110" s="11" t="s">
        <v>1549</v>
      </c>
      <c r="Y110">
        <v>2372.5230000000001</v>
      </c>
      <c r="AF110">
        <v>2372.5230000000001</v>
      </c>
      <c r="AG110" t="s">
        <v>1742</v>
      </c>
    </row>
    <row r="111" spans="1:33" x14ac:dyDescent="0.3">
      <c r="A111" t="s">
        <v>691</v>
      </c>
      <c r="B111" s="2">
        <v>45738</v>
      </c>
      <c r="C111">
        <v>1027.7357999999999</v>
      </c>
      <c r="D111" t="s">
        <v>1812</v>
      </c>
      <c r="E111">
        <v>50</v>
      </c>
      <c r="F111" t="s">
        <v>16</v>
      </c>
      <c r="G111" t="s">
        <v>1530</v>
      </c>
      <c r="H111" t="s">
        <v>1737</v>
      </c>
      <c r="L111" s="2">
        <v>45738</v>
      </c>
      <c r="M111">
        <v>1027.7357999999999</v>
      </c>
      <c r="R111" t="s">
        <v>1812</v>
      </c>
      <c r="S111">
        <v>1027.7357999999999</v>
      </c>
      <c r="W111" s="12" t="s">
        <v>16</v>
      </c>
      <c r="X111" s="12" t="s">
        <v>1530</v>
      </c>
      <c r="Y111">
        <v>1027.7357999999999</v>
      </c>
      <c r="AF111">
        <v>1027.7357999999999</v>
      </c>
      <c r="AG111" t="s">
        <v>1737</v>
      </c>
    </row>
    <row r="112" spans="1:33" x14ac:dyDescent="0.3">
      <c r="A112" t="s">
        <v>41</v>
      </c>
      <c r="B112" s="2">
        <v>45851</v>
      </c>
      <c r="C112">
        <v>882.57440000000008</v>
      </c>
      <c r="D112" t="s">
        <v>1807</v>
      </c>
      <c r="E112">
        <v>53</v>
      </c>
      <c r="F112" t="s">
        <v>16</v>
      </c>
      <c r="G112" t="s">
        <v>1546</v>
      </c>
      <c r="H112" t="s">
        <v>1767</v>
      </c>
      <c r="L112" s="2">
        <v>45851</v>
      </c>
      <c r="M112">
        <v>882.57440000000008</v>
      </c>
      <c r="R112" t="s">
        <v>1807</v>
      </c>
      <c r="S112">
        <v>882.57440000000008</v>
      </c>
      <c r="W112" s="11" t="s">
        <v>16</v>
      </c>
      <c r="X112" s="11" t="s">
        <v>1546</v>
      </c>
      <c r="Y112">
        <v>882.57440000000008</v>
      </c>
      <c r="AF112">
        <v>882.57440000000008</v>
      </c>
      <c r="AG112" t="s">
        <v>1767</v>
      </c>
    </row>
    <row r="113" spans="1:33" x14ac:dyDescent="0.3">
      <c r="A113" t="s">
        <v>410</v>
      </c>
      <c r="B113" s="2">
        <v>45798</v>
      </c>
      <c r="C113">
        <v>1674.5057999999999</v>
      </c>
      <c r="D113" t="s">
        <v>1809</v>
      </c>
      <c r="E113">
        <v>44</v>
      </c>
      <c r="F113" t="s">
        <v>16</v>
      </c>
      <c r="G113" t="s">
        <v>1546</v>
      </c>
      <c r="H113" t="s">
        <v>1742</v>
      </c>
      <c r="L113" s="2">
        <v>45798</v>
      </c>
      <c r="M113">
        <v>1674.5057999999999</v>
      </c>
      <c r="R113" t="s">
        <v>1809</v>
      </c>
      <c r="S113">
        <v>1674.5057999999999</v>
      </c>
      <c r="W113" s="12" t="s">
        <v>16</v>
      </c>
      <c r="X113" s="12" t="s">
        <v>1546</v>
      </c>
      <c r="Y113">
        <v>1674.5057999999999</v>
      </c>
      <c r="AF113">
        <v>1674.5057999999999</v>
      </c>
      <c r="AG113" t="s">
        <v>1742</v>
      </c>
    </row>
    <row r="114" spans="1:33" x14ac:dyDescent="0.3">
      <c r="A114" t="s">
        <v>3939</v>
      </c>
      <c r="B114" s="2">
        <v>45705</v>
      </c>
      <c r="C114">
        <v>2020.7097000000001</v>
      </c>
      <c r="D114" t="s">
        <v>1807</v>
      </c>
      <c r="E114">
        <v>58</v>
      </c>
      <c r="F114" t="s">
        <v>9</v>
      </c>
      <c r="G114" t="s">
        <v>1546</v>
      </c>
      <c r="H114" t="s">
        <v>1742</v>
      </c>
      <c r="L114" s="2">
        <v>45705</v>
      </c>
      <c r="M114">
        <v>2020.7097000000001</v>
      </c>
      <c r="R114" t="s">
        <v>1807</v>
      </c>
      <c r="S114">
        <v>2020.7097000000001</v>
      </c>
      <c r="W114" s="11" t="s">
        <v>9</v>
      </c>
      <c r="X114" s="11" t="s">
        <v>1546</v>
      </c>
      <c r="Y114">
        <v>2020.7097000000001</v>
      </c>
      <c r="AF114">
        <v>2020.7097000000001</v>
      </c>
      <c r="AG114" t="s">
        <v>1742</v>
      </c>
    </row>
    <row r="115" spans="1:33" x14ac:dyDescent="0.3">
      <c r="A115" t="s">
        <v>1425</v>
      </c>
      <c r="B115" s="2">
        <v>45413</v>
      </c>
      <c r="C115">
        <v>225.57599999999999</v>
      </c>
      <c r="D115" t="s">
        <v>1809</v>
      </c>
      <c r="E115">
        <v>45</v>
      </c>
      <c r="F115" t="s">
        <v>9</v>
      </c>
      <c r="G115" t="s">
        <v>1527</v>
      </c>
      <c r="H115" t="s">
        <v>1742</v>
      </c>
      <c r="L115" s="2">
        <v>45413</v>
      </c>
      <c r="M115">
        <v>225.57599999999999</v>
      </c>
      <c r="R115" t="s">
        <v>1809</v>
      </c>
      <c r="S115">
        <v>225.57599999999999</v>
      </c>
      <c r="W115" s="12" t="s">
        <v>9</v>
      </c>
      <c r="X115" s="12" t="s">
        <v>1527</v>
      </c>
      <c r="Y115">
        <v>225.57599999999999</v>
      </c>
      <c r="AF115">
        <v>225.57599999999999</v>
      </c>
      <c r="AG115" t="s">
        <v>1742</v>
      </c>
    </row>
    <row r="116" spans="1:33" x14ac:dyDescent="0.3">
      <c r="A116" t="s">
        <v>507</v>
      </c>
      <c r="B116" s="2">
        <v>45482</v>
      </c>
      <c r="C116">
        <v>1388.9190000000001</v>
      </c>
      <c r="D116" t="s">
        <v>1809</v>
      </c>
      <c r="E116">
        <v>31</v>
      </c>
      <c r="F116" t="s">
        <v>9</v>
      </c>
      <c r="G116" t="s">
        <v>1530</v>
      </c>
      <c r="H116" t="s">
        <v>1746</v>
      </c>
      <c r="L116" s="2">
        <v>45482</v>
      </c>
      <c r="M116">
        <v>1388.9190000000001</v>
      </c>
      <c r="R116" t="s">
        <v>1809</v>
      </c>
      <c r="S116">
        <v>1388.9190000000001</v>
      </c>
      <c r="W116" s="11" t="s">
        <v>9</v>
      </c>
      <c r="X116" s="11" t="s">
        <v>1530</v>
      </c>
      <c r="Y116">
        <v>1388.9190000000001</v>
      </c>
      <c r="AF116">
        <v>1388.9190000000001</v>
      </c>
      <c r="AG116" t="s">
        <v>1746</v>
      </c>
    </row>
    <row r="117" spans="1:33" x14ac:dyDescent="0.3">
      <c r="A117" t="s">
        <v>815</v>
      </c>
      <c r="B117" s="2">
        <v>45925</v>
      </c>
      <c r="C117">
        <v>3239.3580000000002</v>
      </c>
      <c r="D117" t="s">
        <v>1809</v>
      </c>
      <c r="E117">
        <v>24</v>
      </c>
      <c r="F117" t="s">
        <v>16</v>
      </c>
      <c r="G117" t="s">
        <v>1530</v>
      </c>
      <c r="H117" t="s">
        <v>1746</v>
      </c>
      <c r="L117" s="2">
        <v>45925</v>
      </c>
      <c r="M117">
        <v>3239.3580000000002</v>
      </c>
      <c r="R117" t="s">
        <v>1809</v>
      </c>
      <c r="S117">
        <v>3239.3580000000002</v>
      </c>
      <c r="W117" s="12" t="s">
        <v>16</v>
      </c>
      <c r="X117" s="12" t="s">
        <v>1530</v>
      </c>
      <c r="Y117">
        <v>3239.3580000000002</v>
      </c>
      <c r="AF117">
        <v>3239.3580000000002</v>
      </c>
      <c r="AG117" t="s">
        <v>1746</v>
      </c>
    </row>
    <row r="118" spans="1:33" x14ac:dyDescent="0.3">
      <c r="A118" t="s">
        <v>1288</v>
      </c>
      <c r="B118" s="2">
        <v>45420</v>
      </c>
      <c r="C118">
        <v>2404.8024</v>
      </c>
      <c r="D118" t="s">
        <v>1807</v>
      </c>
      <c r="E118">
        <v>60</v>
      </c>
      <c r="F118" t="s">
        <v>9</v>
      </c>
      <c r="G118" t="s">
        <v>1527</v>
      </c>
      <c r="H118" t="s">
        <v>1767</v>
      </c>
      <c r="L118" s="2">
        <v>45420</v>
      </c>
      <c r="M118">
        <v>2404.8024</v>
      </c>
      <c r="R118" t="s">
        <v>1807</v>
      </c>
      <c r="S118">
        <v>2404.8024</v>
      </c>
      <c r="W118" s="11" t="s">
        <v>9</v>
      </c>
      <c r="X118" s="11" t="s">
        <v>1527</v>
      </c>
      <c r="Y118">
        <v>2404.8024</v>
      </c>
      <c r="AF118">
        <v>2404.8024</v>
      </c>
      <c r="AG118" t="s">
        <v>1767</v>
      </c>
    </row>
    <row r="119" spans="1:33" x14ac:dyDescent="0.3">
      <c r="A119" t="s">
        <v>245</v>
      </c>
      <c r="B119" s="2">
        <v>45554</v>
      </c>
      <c r="C119">
        <v>1007.223</v>
      </c>
      <c r="D119" t="s">
        <v>1809</v>
      </c>
      <c r="E119">
        <v>24</v>
      </c>
      <c r="F119" t="s">
        <v>16</v>
      </c>
      <c r="G119" t="s">
        <v>1530</v>
      </c>
      <c r="H119" t="s">
        <v>1746</v>
      </c>
      <c r="L119" s="2">
        <v>45554</v>
      </c>
      <c r="M119">
        <v>1007.223</v>
      </c>
      <c r="R119" t="s">
        <v>1809</v>
      </c>
      <c r="S119">
        <v>1007.223</v>
      </c>
      <c r="W119" s="12" t="s">
        <v>16</v>
      </c>
      <c r="X119" s="12" t="s">
        <v>1530</v>
      </c>
      <c r="Y119">
        <v>1007.223</v>
      </c>
      <c r="AF119">
        <v>1007.223</v>
      </c>
      <c r="AG119" t="s">
        <v>1746</v>
      </c>
    </row>
    <row r="120" spans="1:33" x14ac:dyDescent="0.3">
      <c r="A120" t="s">
        <v>368</v>
      </c>
      <c r="B120" s="2">
        <v>45405</v>
      </c>
      <c r="C120">
        <v>115.5</v>
      </c>
      <c r="D120" t="s">
        <v>1812</v>
      </c>
      <c r="E120">
        <v>53</v>
      </c>
      <c r="F120" t="s">
        <v>16</v>
      </c>
      <c r="G120" t="s">
        <v>1546</v>
      </c>
      <c r="H120" t="s">
        <v>1742</v>
      </c>
      <c r="L120" s="2">
        <v>45405</v>
      </c>
      <c r="M120">
        <v>115.5</v>
      </c>
      <c r="R120" t="s">
        <v>1812</v>
      </c>
      <c r="S120">
        <v>115.5</v>
      </c>
      <c r="W120" s="11" t="s">
        <v>16</v>
      </c>
      <c r="X120" s="11" t="s">
        <v>1546</v>
      </c>
      <c r="Y120">
        <v>115.5</v>
      </c>
      <c r="AF120">
        <v>115.5</v>
      </c>
      <c r="AG120" t="s">
        <v>1742</v>
      </c>
    </row>
    <row r="121" spans="1:33" x14ac:dyDescent="0.3">
      <c r="A121" t="s">
        <v>525</v>
      </c>
      <c r="B121" s="2">
        <v>45503</v>
      </c>
      <c r="C121">
        <v>215.14420000000001</v>
      </c>
      <c r="D121" t="s">
        <v>1812</v>
      </c>
      <c r="E121">
        <v>46</v>
      </c>
      <c r="F121" t="s">
        <v>16</v>
      </c>
      <c r="G121" t="s">
        <v>1549</v>
      </c>
      <c r="H121" t="s">
        <v>1767</v>
      </c>
      <c r="L121" s="2">
        <v>45503</v>
      </c>
      <c r="M121">
        <v>215.14420000000001</v>
      </c>
      <c r="R121" t="s">
        <v>1812</v>
      </c>
      <c r="S121">
        <v>215.14420000000001</v>
      </c>
      <c r="W121" s="12" t="s">
        <v>16</v>
      </c>
      <c r="X121" s="12" t="s">
        <v>1549</v>
      </c>
      <c r="Y121">
        <v>215.14420000000001</v>
      </c>
      <c r="AF121">
        <v>215.14420000000001</v>
      </c>
      <c r="AG121" t="s">
        <v>1767</v>
      </c>
    </row>
    <row r="122" spans="1:33" x14ac:dyDescent="0.3">
      <c r="A122" t="s">
        <v>738</v>
      </c>
      <c r="B122" s="2">
        <v>45274</v>
      </c>
      <c r="C122">
        <v>1239.5606</v>
      </c>
      <c r="D122" t="s">
        <v>1812</v>
      </c>
      <c r="E122">
        <v>27</v>
      </c>
      <c r="F122" t="s">
        <v>16</v>
      </c>
      <c r="G122" t="s">
        <v>1549</v>
      </c>
      <c r="H122" t="s">
        <v>1742</v>
      </c>
      <c r="L122" s="2">
        <v>45274</v>
      </c>
      <c r="M122">
        <v>1239.5606</v>
      </c>
      <c r="R122" t="s">
        <v>1812</v>
      </c>
      <c r="S122">
        <v>1239.5606</v>
      </c>
      <c r="W122" s="11" t="s">
        <v>16</v>
      </c>
      <c r="X122" s="11" t="s">
        <v>1549</v>
      </c>
      <c r="Y122">
        <v>1239.5606</v>
      </c>
      <c r="AF122">
        <v>1239.5606</v>
      </c>
      <c r="AG122" t="s">
        <v>1742</v>
      </c>
    </row>
    <row r="123" spans="1:33" x14ac:dyDescent="0.3">
      <c r="A123" t="s">
        <v>836</v>
      </c>
      <c r="B123" s="2">
        <v>45558</v>
      </c>
      <c r="C123">
        <v>1245.3119999999999</v>
      </c>
      <c r="D123" t="s">
        <v>1807</v>
      </c>
      <c r="E123">
        <v>38</v>
      </c>
      <c r="F123" t="s">
        <v>9</v>
      </c>
      <c r="G123" t="s">
        <v>1549</v>
      </c>
      <c r="H123" t="s">
        <v>1742</v>
      </c>
      <c r="L123" s="2">
        <v>45558</v>
      </c>
      <c r="M123">
        <v>1245.3119999999999</v>
      </c>
      <c r="R123" t="s">
        <v>1807</v>
      </c>
      <c r="S123">
        <v>1245.3119999999999</v>
      </c>
      <c r="W123" s="12" t="s">
        <v>9</v>
      </c>
      <c r="X123" s="12" t="s">
        <v>1549</v>
      </c>
      <c r="Y123">
        <v>1245.3119999999999</v>
      </c>
      <c r="AF123">
        <v>1245.3119999999999</v>
      </c>
      <c r="AG123" t="s">
        <v>1742</v>
      </c>
    </row>
    <row r="124" spans="1:33" x14ac:dyDescent="0.3">
      <c r="A124" t="s">
        <v>1052</v>
      </c>
      <c r="B124" s="2">
        <v>45886</v>
      </c>
      <c r="C124">
        <v>379.69920000000002</v>
      </c>
      <c r="D124" t="s">
        <v>1807</v>
      </c>
      <c r="E124">
        <v>52</v>
      </c>
      <c r="F124" t="s">
        <v>16</v>
      </c>
      <c r="G124" t="s">
        <v>1549</v>
      </c>
      <c r="H124" t="s">
        <v>1746</v>
      </c>
      <c r="L124" s="2">
        <v>45886</v>
      </c>
      <c r="M124">
        <v>379.69920000000002</v>
      </c>
      <c r="R124" t="s">
        <v>1807</v>
      </c>
      <c r="S124">
        <v>379.69920000000002</v>
      </c>
      <c r="W124" s="11" t="s">
        <v>16</v>
      </c>
      <c r="X124" s="11" t="s">
        <v>1549</v>
      </c>
      <c r="Y124">
        <v>379.69920000000002</v>
      </c>
      <c r="AF124">
        <v>379.69920000000002</v>
      </c>
      <c r="AG124" t="s">
        <v>1746</v>
      </c>
    </row>
    <row r="125" spans="1:33" x14ac:dyDescent="0.3">
      <c r="A125" t="s">
        <v>1451</v>
      </c>
      <c r="B125" s="2">
        <v>45674</v>
      </c>
      <c r="C125">
        <v>893.38200000000006</v>
      </c>
      <c r="D125" t="s">
        <v>1809</v>
      </c>
      <c r="E125">
        <v>41</v>
      </c>
      <c r="F125" t="s">
        <v>16</v>
      </c>
      <c r="G125" t="s">
        <v>1546</v>
      </c>
      <c r="H125" t="s">
        <v>1746</v>
      </c>
      <c r="L125" s="2">
        <v>45674</v>
      </c>
      <c r="M125">
        <v>893.38200000000006</v>
      </c>
      <c r="R125" t="s">
        <v>1809</v>
      </c>
      <c r="S125">
        <v>893.38200000000006</v>
      </c>
      <c r="W125" s="12" t="s">
        <v>16</v>
      </c>
      <c r="X125" s="12" t="s">
        <v>1546</v>
      </c>
      <c r="Y125">
        <v>893.38200000000006</v>
      </c>
      <c r="AF125">
        <v>893.38200000000006</v>
      </c>
      <c r="AG125" t="s">
        <v>1746</v>
      </c>
    </row>
    <row r="126" spans="1:33" x14ac:dyDescent="0.3">
      <c r="A126" t="s">
        <v>3939</v>
      </c>
      <c r="B126" s="2">
        <v>45777</v>
      </c>
      <c r="C126">
        <v>70.960000000000008</v>
      </c>
      <c r="D126" t="s">
        <v>1812</v>
      </c>
      <c r="E126">
        <v>58</v>
      </c>
      <c r="F126" t="s">
        <v>9</v>
      </c>
      <c r="G126" t="s">
        <v>1527</v>
      </c>
      <c r="H126" t="s">
        <v>1742</v>
      </c>
      <c r="L126" s="2">
        <v>45777</v>
      </c>
      <c r="M126">
        <v>70.960000000000008</v>
      </c>
      <c r="R126" t="s">
        <v>1812</v>
      </c>
      <c r="S126">
        <v>70.960000000000008</v>
      </c>
      <c r="W126" s="11" t="s">
        <v>9</v>
      </c>
      <c r="X126" s="11" t="s">
        <v>1527</v>
      </c>
      <c r="Y126">
        <v>70.960000000000008</v>
      </c>
      <c r="AF126">
        <v>70.960000000000008</v>
      </c>
      <c r="AG126" t="s">
        <v>1742</v>
      </c>
    </row>
    <row r="127" spans="1:33" x14ac:dyDescent="0.3">
      <c r="A127" t="s">
        <v>1514</v>
      </c>
      <c r="B127" s="2">
        <v>45598</v>
      </c>
      <c r="C127">
        <v>803.9944999999999</v>
      </c>
      <c r="D127" t="s">
        <v>1809</v>
      </c>
      <c r="E127">
        <v>27</v>
      </c>
      <c r="F127" t="s">
        <v>16</v>
      </c>
      <c r="G127" t="s">
        <v>1527</v>
      </c>
      <c r="H127" t="s">
        <v>1737</v>
      </c>
      <c r="L127" s="2">
        <v>45598</v>
      </c>
      <c r="M127">
        <v>803.9944999999999</v>
      </c>
      <c r="R127" t="s">
        <v>1809</v>
      </c>
      <c r="S127">
        <v>803.9944999999999</v>
      </c>
      <c r="W127" s="12" t="s">
        <v>16</v>
      </c>
      <c r="X127" s="12" t="s">
        <v>1527</v>
      </c>
      <c r="Y127">
        <v>803.9944999999999</v>
      </c>
      <c r="AF127">
        <v>803.9944999999999</v>
      </c>
      <c r="AG127" t="s">
        <v>1737</v>
      </c>
    </row>
    <row r="128" spans="1:33" x14ac:dyDescent="0.3">
      <c r="A128" t="s">
        <v>445</v>
      </c>
      <c r="B128" s="2">
        <v>45884</v>
      </c>
      <c r="C128">
        <v>926.7263999999999</v>
      </c>
      <c r="D128" t="s">
        <v>1812</v>
      </c>
      <c r="E128">
        <v>57</v>
      </c>
      <c r="F128" t="s">
        <v>16</v>
      </c>
      <c r="G128" t="s">
        <v>1527</v>
      </c>
      <c r="H128" t="s">
        <v>1742</v>
      </c>
      <c r="L128" s="2">
        <v>45884</v>
      </c>
      <c r="M128">
        <v>926.7263999999999</v>
      </c>
      <c r="R128" t="s">
        <v>1812</v>
      </c>
      <c r="S128">
        <v>926.7263999999999</v>
      </c>
      <c r="W128" s="11" t="s">
        <v>16</v>
      </c>
      <c r="X128" s="11" t="s">
        <v>1527</v>
      </c>
      <c r="Y128">
        <v>926.7263999999999</v>
      </c>
      <c r="AF128">
        <v>926.7263999999999</v>
      </c>
      <c r="AG128" t="s">
        <v>1742</v>
      </c>
    </row>
    <row r="129" spans="1:33" x14ac:dyDescent="0.3">
      <c r="A129" t="s">
        <v>874</v>
      </c>
      <c r="B129" s="2">
        <v>45916</v>
      </c>
      <c r="C129">
        <v>2762.1428999999998</v>
      </c>
      <c r="D129" t="s">
        <v>1812</v>
      </c>
      <c r="E129">
        <v>42</v>
      </c>
      <c r="F129" t="s">
        <v>16</v>
      </c>
      <c r="G129" t="s">
        <v>1546</v>
      </c>
      <c r="H129" t="s">
        <v>1737</v>
      </c>
      <c r="L129" s="2">
        <v>45916</v>
      </c>
      <c r="M129">
        <v>2762.1428999999998</v>
      </c>
      <c r="R129" t="s">
        <v>1812</v>
      </c>
      <c r="S129">
        <v>2762.1428999999998</v>
      </c>
      <c r="W129" s="12" t="s">
        <v>16</v>
      </c>
      <c r="X129" s="12" t="s">
        <v>1546</v>
      </c>
      <c r="Y129">
        <v>2762.1428999999998</v>
      </c>
      <c r="AF129">
        <v>2762.1428999999998</v>
      </c>
      <c r="AG129" t="s">
        <v>1737</v>
      </c>
    </row>
    <row r="130" spans="1:33" x14ac:dyDescent="0.3">
      <c r="A130" t="s">
        <v>3948</v>
      </c>
      <c r="B130" s="2">
        <v>45347</v>
      </c>
      <c r="C130">
        <v>1304.9459999999999</v>
      </c>
      <c r="D130" t="s">
        <v>1807</v>
      </c>
      <c r="E130">
        <v>54</v>
      </c>
      <c r="F130" t="s">
        <v>9</v>
      </c>
      <c r="G130" t="s">
        <v>1541</v>
      </c>
      <c r="H130" t="s">
        <v>1746</v>
      </c>
      <c r="L130" s="2">
        <v>45347</v>
      </c>
      <c r="M130">
        <v>1304.9459999999999</v>
      </c>
      <c r="R130" t="s">
        <v>1807</v>
      </c>
      <c r="S130">
        <v>1304.9459999999999</v>
      </c>
      <c r="W130" s="11" t="s">
        <v>9</v>
      </c>
      <c r="X130" s="11" t="s">
        <v>1541</v>
      </c>
      <c r="Y130">
        <v>1304.9459999999999</v>
      </c>
      <c r="AF130">
        <v>1304.9459999999999</v>
      </c>
      <c r="AG130" t="s">
        <v>1746</v>
      </c>
    </row>
    <row r="131" spans="1:33" x14ac:dyDescent="0.3">
      <c r="A131" t="s">
        <v>984</v>
      </c>
      <c r="B131" s="2">
        <v>45723</v>
      </c>
      <c r="C131">
        <v>548.27499999999998</v>
      </c>
      <c r="D131" t="s">
        <v>1807</v>
      </c>
      <c r="E131">
        <v>34</v>
      </c>
      <c r="F131" t="s">
        <v>9</v>
      </c>
      <c r="G131" t="s">
        <v>1530</v>
      </c>
      <c r="H131" t="s">
        <v>1742</v>
      </c>
      <c r="L131" s="2">
        <v>45723</v>
      </c>
      <c r="M131">
        <v>548.27499999999998</v>
      </c>
      <c r="R131" t="s">
        <v>1807</v>
      </c>
      <c r="S131">
        <v>548.27499999999998</v>
      </c>
      <c r="W131" s="12" t="s">
        <v>9</v>
      </c>
      <c r="X131" s="12" t="s">
        <v>1530</v>
      </c>
      <c r="Y131">
        <v>548.27499999999998</v>
      </c>
      <c r="AF131">
        <v>548.27499999999998</v>
      </c>
      <c r="AG131" t="s">
        <v>1742</v>
      </c>
    </row>
    <row r="132" spans="1:33" x14ac:dyDescent="0.3">
      <c r="A132" t="s">
        <v>1067</v>
      </c>
      <c r="B132" s="2">
        <v>45495</v>
      </c>
      <c r="C132">
        <v>782.17539999999997</v>
      </c>
      <c r="D132" t="s">
        <v>1807</v>
      </c>
      <c r="E132">
        <v>39</v>
      </c>
      <c r="F132" t="s">
        <v>9</v>
      </c>
      <c r="G132" t="s">
        <v>1549</v>
      </c>
      <c r="H132" t="s">
        <v>1742</v>
      </c>
      <c r="L132" s="2">
        <v>45495</v>
      </c>
      <c r="M132">
        <v>782.17539999999997</v>
      </c>
      <c r="R132" t="s">
        <v>1807</v>
      </c>
      <c r="S132">
        <v>782.17539999999997</v>
      </c>
      <c r="W132" s="11" t="s">
        <v>9</v>
      </c>
      <c r="X132" s="11" t="s">
        <v>1549</v>
      </c>
      <c r="Y132">
        <v>782.17539999999997</v>
      </c>
      <c r="AF132">
        <v>782.17539999999997</v>
      </c>
      <c r="AG132" t="s">
        <v>1742</v>
      </c>
    </row>
    <row r="133" spans="1:33" x14ac:dyDescent="0.3">
      <c r="A133" t="s">
        <v>1508</v>
      </c>
      <c r="B133" s="2">
        <v>45444</v>
      </c>
      <c r="C133">
        <v>850.29750000000001</v>
      </c>
      <c r="D133" t="s">
        <v>1812</v>
      </c>
      <c r="E133">
        <v>47</v>
      </c>
      <c r="F133" t="s">
        <v>16</v>
      </c>
      <c r="G133" t="s">
        <v>1546</v>
      </c>
      <c r="H133" t="s">
        <v>1742</v>
      </c>
      <c r="L133" s="2">
        <v>45444</v>
      </c>
      <c r="M133">
        <v>850.29750000000001</v>
      </c>
      <c r="R133" t="s">
        <v>1812</v>
      </c>
      <c r="S133">
        <v>850.29750000000001</v>
      </c>
      <c r="W133" s="12" t="s">
        <v>16</v>
      </c>
      <c r="X133" s="12" t="s">
        <v>1546</v>
      </c>
      <c r="Y133">
        <v>850.29750000000001</v>
      </c>
      <c r="AF133">
        <v>850.29750000000001</v>
      </c>
      <c r="AG133" t="s">
        <v>1742</v>
      </c>
    </row>
    <row r="134" spans="1:33" x14ac:dyDescent="0.3">
      <c r="A134" t="s">
        <v>543</v>
      </c>
      <c r="B134" s="2">
        <v>45662</v>
      </c>
      <c r="C134">
        <v>3306.1392000000001</v>
      </c>
      <c r="D134" t="s">
        <v>1809</v>
      </c>
      <c r="E134">
        <v>47</v>
      </c>
      <c r="F134" t="s">
        <v>16</v>
      </c>
      <c r="G134" t="s">
        <v>1546</v>
      </c>
      <c r="H134" t="s">
        <v>1742</v>
      </c>
      <c r="L134" s="2">
        <v>45662</v>
      </c>
      <c r="M134">
        <v>3306.1392000000001</v>
      </c>
      <c r="R134" t="s">
        <v>1809</v>
      </c>
      <c r="S134">
        <v>3306.1392000000001</v>
      </c>
      <c r="W134" s="11" t="s">
        <v>16</v>
      </c>
      <c r="X134" s="11" t="s">
        <v>1546</v>
      </c>
      <c r="Y134">
        <v>3306.1392000000001</v>
      </c>
      <c r="AF134">
        <v>3306.1392000000001</v>
      </c>
      <c r="AG134" t="s">
        <v>1742</v>
      </c>
    </row>
    <row r="135" spans="1:33" x14ac:dyDescent="0.3">
      <c r="A135" t="s">
        <v>1025</v>
      </c>
      <c r="B135" s="2">
        <v>45910</v>
      </c>
      <c r="C135">
        <v>496.97340000000003</v>
      </c>
      <c r="D135" t="s">
        <v>1807</v>
      </c>
      <c r="E135">
        <v>54</v>
      </c>
      <c r="F135" t="s">
        <v>9</v>
      </c>
      <c r="G135" t="s">
        <v>1549</v>
      </c>
      <c r="H135" t="s">
        <v>1746</v>
      </c>
      <c r="L135" s="2">
        <v>45910</v>
      </c>
      <c r="M135">
        <v>496.97340000000003</v>
      </c>
      <c r="R135" t="s">
        <v>1807</v>
      </c>
      <c r="S135">
        <v>496.97340000000003</v>
      </c>
      <c r="W135" s="12" t="s">
        <v>9</v>
      </c>
      <c r="X135" s="12" t="s">
        <v>1549</v>
      </c>
      <c r="Y135">
        <v>496.97340000000003</v>
      </c>
      <c r="AF135">
        <v>496.97340000000003</v>
      </c>
      <c r="AG135" t="s">
        <v>1746</v>
      </c>
    </row>
    <row r="136" spans="1:33" x14ac:dyDescent="0.3">
      <c r="A136" t="s">
        <v>652</v>
      </c>
      <c r="B136" s="2">
        <v>45827</v>
      </c>
      <c r="C136">
        <v>273.08879999999999</v>
      </c>
      <c r="D136" t="s">
        <v>1809</v>
      </c>
      <c r="E136">
        <v>37</v>
      </c>
      <c r="F136" t="s">
        <v>16</v>
      </c>
      <c r="G136" t="s">
        <v>1527</v>
      </c>
      <c r="H136" t="s">
        <v>1742</v>
      </c>
      <c r="L136" s="2">
        <v>45827</v>
      </c>
      <c r="M136">
        <v>273.08879999999999</v>
      </c>
      <c r="R136" t="s">
        <v>1809</v>
      </c>
      <c r="S136">
        <v>273.08879999999999</v>
      </c>
      <c r="W136" s="11" t="s">
        <v>16</v>
      </c>
      <c r="X136" s="11" t="s">
        <v>1527</v>
      </c>
      <c r="Y136">
        <v>273.08879999999999</v>
      </c>
      <c r="AF136">
        <v>273.08879999999999</v>
      </c>
      <c r="AG136" t="s">
        <v>1742</v>
      </c>
    </row>
    <row r="137" spans="1:33" x14ac:dyDescent="0.3">
      <c r="A137" t="s">
        <v>1310</v>
      </c>
      <c r="B137" s="2">
        <v>45544</v>
      </c>
      <c r="C137">
        <v>1349.0568000000001</v>
      </c>
      <c r="D137" t="s">
        <v>1812</v>
      </c>
      <c r="E137">
        <v>27</v>
      </c>
      <c r="F137" t="s">
        <v>16</v>
      </c>
      <c r="G137" t="s">
        <v>1530</v>
      </c>
      <c r="H137" t="s">
        <v>1742</v>
      </c>
      <c r="L137" s="2">
        <v>45544</v>
      </c>
      <c r="M137">
        <v>1349.0568000000001</v>
      </c>
      <c r="R137" t="s">
        <v>1812</v>
      </c>
      <c r="S137">
        <v>1349.0568000000001</v>
      </c>
      <c r="W137" s="12" t="s">
        <v>16</v>
      </c>
      <c r="X137" s="12" t="s">
        <v>1530</v>
      </c>
      <c r="Y137">
        <v>1349.0568000000001</v>
      </c>
      <c r="AF137">
        <v>1349.0568000000001</v>
      </c>
      <c r="AG137" t="s">
        <v>1742</v>
      </c>
    </row>
    <row r="138" spans="1:33" x14ac:dyDescent="0.3">
      <c r="A138" t="s">
        <v>1084</v>
      </c>
      <c r="B138" s="2">
        <v>45751</v>
      </c>
      <c r="C138">
        <v>2471.6376</v>
      </c>
      <c r="D138" t="s">
        <v>1807</v>
      </c>
      <c r="E138">
        <v>26</v>
      </c>
      <c r="F138" t="s">
        <v>9</v>
      </c>
      <c r="G138" t="s">
        <v>1541</v>
      </c>
      <c r="H138" t="s">
        <v>1746</v>
      </c>
      <c r="L138" s="2">
        <v>45751</v>
      </c>
      <c r="M138">
        <v>2471.6376</v>
      </c>
      <c r="R138" t="s">
        <v>1807</v>
      </c>
      <c r="S138">
        <v>2471.6376</v>
      </c>
      <c r="W138" s="11" t="s">
        <v>9</v>
      </c>
      <c r="X138" s="11" t="s">
        <v>1541</v>
      </c>
      <c r="Y138">
        <v>2471.6376</v>
      </c>
      <c r="AF138">
        <v>2471.6376</v>
      </c>
      <c r="AG138" t="s">
        <v>1746</v>
      </c>
    </row>
    <row r="139" spans="1:33" x14ac:dyDescent="0.3">
      <c r="A139" t="s">
        <v>1443</v>
      </c>
      <c r="B139" s="2">
        <v>45392</v>
      </c>
      <c r="C139">
        <v>201.59700000000001</v>
      </c>
      <c r="D139" t="s">
        <v>1812</v>
      </c>
      <c r="E139">
        <v>32</v>
      </c>
      <c r="F139" t="s">
        <v>16</v>
      </c>
      <c r="G139" t="s">
        <v>1549</v>
      </c>
      <c r="H139" t="s">
        <v>1737</v>
      </c>
      <c r="L139" s="2">
        <v>45392</v>
      </c>
      <c r="M139">
        <v>201.59700000000001</v>
      </c>
      <c r="R139" t="s">
        <v>1812</v>
      </c>
      <c r="S139">
        <v>201.59700000000001</v>
      </c>
      <c r="W139" s="12" t="s">
        <v>16</v>
      </c>
      <c r="X139" s="12" t="s">
        <v>1549</v>
      </c>
      <c r="Y139">
        <v>201.59700000000001</v>
      </c>
      <c r="AF139">
        <v>201.59700000000001</v>
      </c>
      <c r="AG139" t="s">
        <v>1737</v>
      </c>
    </row>
    <row r="140" spans="1:33" x14ac:dyDescent="0.3">
      <c r="A140" t="s">
        <v>584</v>
      </c>
      <c r="B140" s="2">
        <v>45589</v>
      </c>
      <c r="C140">
        <v>641.73599999999999</v>
      </c>
      <c r="D140" t="s">
        <v>1812</v>
      </c>
      <c r="E140">
        <v>43</v>
      </c>
      <c r="F140" t="s">
        <v>16</v>
      </c>
      <c r="G140" t="s">
        <v>1549</v>
      </c>
      <c r="H140" t="s">
        <v>1742</v>
      </c>
      <c r="L140" s="2">
        <v>45589</v>
      </c>
      <c r="M140">
        <v>641.73599999999999</v>
      </c>
      <c r="R140" t="s">
        <v>1812</v>
      </c>
      <c r="S140">
        <v>641.73599999999999</v>
      </c>
      <c r="W140" s="11" t="s">
        <v>16</v>
      </c>
      <c r="X140" s="11" t="s">
        <v>1549</v>
      </c>
      <c r="Y140">
        <v>641.73599999999999</v>
      </c>
      <c r="AF140">
        <v>641.73599999999999</v>
      </c>
      <c r="AG140" t="s">
        <v>1742</v>
      </c>
    </row>
    <row r="141" spans="1:33" x14ac:dyDescent="0.3">
      <c r="A141" t="s">
        <v>1049</v>
      </c>
      <c r="B141" s="2">
        <v>45756</v>
      </c>
      <c r="C141">
        <v>2147.5500000000002</v>
      </c>
      <c r="D141" t="s">
        <v>1809</v>
      </c>
      <c r="E141">
        <v>46</v>
      </c>
      <c r="F141" t="s">
        <v>16</v>
      </c>
      <c r="G141" t="s">
        <v>1541</v>
      </c>
      <c r="H141" t="s">
        <v>1742</v>
      </c>
      <c r="L141" s="2">
        <v>45756</v>
      </c>
      <c r="M141">
        <v>2147.5500000000002</v>
      </c>
      <c r="R141" t="s">
        <v>1809</v>
      </c>
      <c r="S141">
        <v>2147.5500000000002</v>
      </c>
      <c r="W141" s="12" t="s">
        <v>16</v>
      </c>
      <c r="X141" s="12" t="s">
        <v>1541</v>
      </c>
      <c r="Y141">
        <v>2147.5500000000002</v>
      </c>
      <c r="AF141">
        <v>2147.5500000000002</v>
      </c>
      <c r="AG141" t="s">
        <v>1742</v>
      </c>
    </row>
    <row r="142" spans="1:33" x14ac:dyDescent="0.3">
      <c r="A142" t="s">
        <v>563</v>
      </c>
      <c r="B142" s="2">
        <v>45255</v>
      </c>
      <c r="C142">
        <v>948.12300000000005</v>
      </c>
      <c r="D142" t="s">
        <v>1812</v>
      </c>
      <c r="E142">
        <v>41</v>
      </c>
      <c r="F142" t="s">
        <v>16</v>
      </c>
      <c r="G142" t="s">
        <v>1546</v>
      </c>
      <c r="H142" t="s">
        <v>1742</v>
      </c>
      <c r="L142" s="2">
        <v>45255</v>
      </c>
      <c r="M142">
        <v>948.12300000000005</v>
      </c>
      <c r="R142" t="s">
        <v>1812</v>
      </c>
      <c r="S142">
        <v>948.12300000000005</v>
      </c>
      <c r="W142" s="11" t="s">
        <v>16</v>
      </c>
      <c r="X142" s="11" t="s">
        <v>1546</v>
      </c>
      <c r="Y142">
        <v>948.12300000000005</v>
      </c>
      <c r="AF142">
        <v>948.12300000000005</v>
      </c>
      <c r="AG142" t="s">
        <v>1742</v>
      </c>
    </row>
    <row r="143" spans="1:33" x14ac:dyDescent="0.3">
      <c r="A143" t="s">
        <v>392</v>
      </c>
      <c r="B143" s="2">
        <v>45718</v>
      </c>
      <c r="C143">
        <v>372.923</v>
      </c>
      <c r="D143" t="s">
        <v>1812</v>
      </c>
      <c r="E143">
        <v>30</v>
      </c>
      <c r="F143" t="s">
        <v>9</v>
      </c>
      <c r="G143" t="s">
        <v>1541</v>
      </c>
      <c r="H143" t="s">
        <v>1737</v>
      </c>
      <c r="L143" s="2">
        <v>45718</v>
      </c>
      <c r="M143">
        <v>372.923</v>
      </c>
      <c r="R143" t="s">
        <v>1812</v>
      </c>
      <c r="S143">
        <v>372.923</v>
      </c>
      <c r="W143" s="12" t="s">
        <v>9</v>
      </c>
      <c r="X143" s="12" t="s">
        <v>1541</v>
      </c>
      <c r="Y143">
        <v>372.923</v>
      </c>
      <c r="AF143">
        <v>372.923</v>
      </c>
      <c r="AG143" t="s">
        <v>1737</v>
      </c>
    </row>
    <row r="144" spans="1:33" x14ac:dyDescent="0.3">
      <c r="A144" t="s">
        <v>1230</v>
      </c>
      <c r="B144" s="2">
        <v>45573</v>
      </c>
      <c r="C144">
        <v>1443.7103999999999</v>
      </c>
      <c r="D144" t="s">
        <v>1812</v>
      </c>
      <c r="E144">
        <v>57</v>
      </c>
      <c r="F144" t="s">
        <v>16</v>
      </c>
      <c r="G144" t="s">
        <v>1541</v>
      </c>
      <c r="H144" t="s">
        <v>1742</v>
      </c>
      <c r="L144" s="2">
        <v>45573</v>
      </c>
      <c r="M144">
        <v>1443.7103999999999</v>
      </c>
      <c r="R144" t="s">
        <v>1812</v>
      </c>
      <c r="S144">
        <v>1443.7103999999999</v>
      </c>
      <c r="W144" s="11" t="s">
        <v>16</v>
      </c>
      <c r="X144" s="11" t="s">
        <v>1541</v>
      </c>
      <c r="Y144">
        <v>1443.7103999999999</v>
      </c>
      <c r="AF144">
        <v>1443.7103999999999</v>
      </c>
      <c r="AG144" t="s">
        <v>1742</v>
      </c>
    </row>
    <row r="145" spans="1:33" x14ac:dyDescent="0.3">
      <c r="A145" t="s">
        <v>1236</v>
      </c>
      <c r="B145" s="2">
        <v>45884</v>
      </c>
      <c r="C145">
        <v>1278.3407999999999</v>
      </c>
      <c r="D145" t="s">
        <v>1812</v>
      </c>
      <c r="E145">
        <v>31</v>
      </c>
      <c r="F145" t="s">
        <v>9</v>
      </c>
      <c r="G145" t="s">
        <v>1546</v>
      </c>
      <c r="H145" t="s">
        <v>1742</v>
      </c>
      <c r="L145" s="2">
        <v>45884</v>
      </c>
      <c r="M145">
        <v>1278.3407999999999</v>
      </c>
      <c r="R145" t="s">
        <v>1812</v>
      </c>
      <c r="S145">
        <v>1278.3407999999999</v>
      </c>
      <c r="W145" s="12" t="s">
        <v>9</v>
      </c>
      <c r="X145" s="12" t="s">
        <v>1546</v>
      </c>
      <c r="Y145">
        <v>1278.3407999999999</v>
      </c>
      <c r="AF145">
        <v>1278.3407999999999</v>
      </c>
      <c r="AG145" t="s">
        <v>1742</v>
      </c>
    </row>
    <row r="146" spans="1:33" x14ac:dyDescent="0.3">
      <c r="A146" t="s">
        <v>1334</v>
      </c>
      <c r="B146" s="2">
        <v>45448</v>
      </c>
      <c r="C146">
        <v>540.90719999999999</v>
      </c>
      <c r="D146" t="s">
        <v>1809</v>
      </c>
      <c r="E146">
        <v>61</v>
      </c>
      <c r="F146" t="s">
        <v>9</v>
      </c>
      <c r="G146" t="s">
        <v>1530</v>
      </c>
      <c r="H146" t="s">
        <v>1767</v>
      </c>
      <c r="L146" s="2">
        <v>45448</v>
      </c>
      <c r="M146">
        <v>540.90719999999999</v>
      </c>
      <c r="R146" t="s">
        <v>1809</v>
      </c>
      <c r="S146">
        <v>540.90719999999999</v>
      </c>
      <c r="W146" s="11" t="s">
        <v>9</v>
      </c>
      <c r="X146" s="11" t="s">
        <v>1530</v>
      </c>
      <c r="Y146">
        <v>540.90719999999999</v>
      </c>
      <c r="AF146">
        <v>540.90719999999999</v>
      </c>
      <c r="AG146" t="s">
        <v>1767</v>
      </c>
    </row>
    <row r="147" spans="1:33" x14ac:dyDescent="0.3">
      <c r="A147" t="s">
        <v>673</v>
      </c>
      <c r="B147" s="2">
        <v>45522</v>
      </c>
      <c r="C147">
        <v>977.04880000000014</v>
      </c>
      <c r="D147" t="s">
        <v>1812</v>
      </c>
      <c r="E147">
        <v>35</v>
      </c>
      <c r="F147" t="s">
        <v>9</v>
      </c>
      <c r="G147" t="s">
        <v>1549</v>
      </c>
      <c r="H147" t="s">
        <v>1742</v>
      </c>
      <c r="L147" s="2">
        <v>45522</v>
      </c>
      <c r="M147">
        <v>977.04880000000014</v>
      </c>
      <c r="R147" t="s">
        <v>1812</v>
      </c>
      <c r="S147">
        <v>977.04880000000014</v>
      </c>
      <c r="W147" s="12" t="s">
        <v>9</v>
      </c>
      <c r="X147" s="12" t="s">
        <v>1549</v>
      </c>
      <c r="Y147">
        <v>977.04880000000014</v>
      </c>
      <c r="AF147">
        <v>977.04880000000014</v>
      </c>
      <c r="AG147" t="s">
        <v>1742</v>
      </c>
    </row>
    <row r="148" spans="1:33" x14ac:dyDescent="0.3">
      <c r="A148" t="s">
        <v>1356</v>
      </c>
      <c r="B148" s="2">
        <v>45626</v>
      </c>
      <c r="C148">
        <v>1753.23</v>
      </c>
      <c r="D148" t="s">
        <v>1812</v>
      </c>
      <c r="E148">
        <v>19</v>
      </c>
      <c r="F148" t="s">
        <v>9</v>
      </c>
      <c r="G148" t="s">
        <v>1530</v>
      </c>
      <c r="H148" t="s">
        <v>1742</v>
      </c>
      <c r="L148" s="2">
        <v>45626</v>
      </c>
      <c r="M148">
        <v>1753.23</v>
      </c>
      <c r="R148" t="s">
        <v>1812</v>
      </c>
      <c r="S148">
        <v>1753.23</v>
      </c>
      <c r="W148" s="11" t="s">
        <v>9</v>
      </c>
      <c r="X148" s="11" t="s">
        <v>1530</v>
      </c>
      <c r="Y148">
        <v>1753.23</v>
      </c>
      <c r="AF148">
        <v>1753.23</v>
      </c>
      <c r="AG148" t="s">
        <v>1742</v>
      </c>
    </row>
    <row r="149" spans="1:33" x14ac:dyDescent="0.3">
      <c r="A149" t="s">
        <v>924</v>
      </c>
      <c r="B149" s="2">
        <v>45617</v>
      </c>
      <c r="C149">
        <v>562.32820000000004</v>
      </c>
      <c r="D149" t="s">
        <v>1809</v>
      </c>
      <c r="E149">
        <v>19</v>
      </c>
      <c r="F149" t="s">
        <v>16</v>
      </c>
      <c r="G149" t="s">
        <v>1549</v>
      </c>
      <c r="H149" t="s">
        <v>1742</v>
      </c>
      <c r="L149" s="2">
        <v>45617</v>
      </c>
      <c r="M149">
        <v>562.32820000000004</v>
      </c>
      <c r="R149" t="s">
        <v>1809</v>
      </c>
      <c r="S149">
        <v>562.32820000000004</v>
      </c>
      <c r="W149" s="12" t="s">
        <v>16</v>
      </c>
      <c r="X149" s="12" t="s">
        <v>1549</v>
      </c>
      <c r="Y149">
        <v>562.32820000000004</v>
      </c>
      <c r="AF149">
        <v>562.32820000000004</v>
      </c>
      <c r="AG149" t="s">
        <v>1742</v>
      </c>
    </row>
    <row r="150" spans="1:33" x14ac:dyDescent="0.3">
      <c r="A150" t="s">
        <v>1500</v>
      </c>
      <c r="B150" s="2">
        <v>45878</v>
      </c>
      <c r="C150">
        <v>475.9819</v>
      </c>
      <c r="D150" t="s">
        <v>1807</v>
      </c>
      <c r="E150">
        <v>21</v>
      </c>
      <c r="F150" t="s">
        <v>9</v>
      </c>
      <c r="G150" t="s">
        <v>1527</v>
      </c>
      <c r="H150" t="s">
        <v>1737</v>
      </c>
      <c r="L150" s="2">
        <v>45878</v>
      </c>
      <c r="M150">
        <v>475.9819</v>
      </c>
      <c r="R150" t="s">
        <v>1807</v>
      </c>
      <c r="S150">
        <v>475.9819</v>
      </c>
      <c r="W150" s="11" t="s">
        <v>9</v>
      </c>
      <c r="X150" s="11" t="s">
        <v>1527</v>
      </c>
      <c r="Y150">
        <v>475.9819</v>
      </c>
      <c r="AF150">
        <v>475.9819</v>
      </c>
      <c r="AG150" t="s">
        <v>1737</v>
      </c>
    </row>
    <row r="151" spans="1:33" x14ac:dyDescent="0.3">
      <c r="A151" t="s">
        <v>331</v>
      </c>
      <c r="B151" s="2">
        <v>45502</v>
      </c>
      <c r="C151">
        <v>1432.2744</v>
      </c>
      <c r="D151" t="s">
        <v>1812</v>
      </c>
      <c r="E151">
        <v>43</v>
      </c>
      <c r="F151" t="s">
        <v>16</v>
      </c>
      <c r="G151" t="s">
        <v>1541</v>
      </c>
      <c r="H151" t="s">
        <v>1742</v>
      </c>
      <c r="L151" s="2">
        <v>45502</v>
      </c>
      <c r="M151">
        <v>1432.2744</v>
      </c>
      <c r="R151" t="s">
        <v>1812</v>
      </c>
      <c r="S151">
        <v>1432.2744</v>
      </c>
      <c r="W151" s="12" t="s">
        <v>16</v>
      </c>
      <c r="X151" s="12" t="s">
        <v>1541</v>
      </c>
      <c r="Y151">
        <v>1432.2744</v>
      </c>
      <c r="AF151">
        <v>1432.2744</v>
      </c>
      <c r="AG151" t="s">
        <v>1742</v>
      </c>
    </row>
    <row r="152" spans="1:33" x14ac:dyDescent="0.3">
      <c r="A152" t="s">
        <v>249</v>
      </c>
      <c r="B152" s="2">
        <v>45433</v>
      </c>
      <c r="C152">
        <v>1194.9503999999999</v>
      </c>
      <c r="D152" t="s">
        <v>1812</v>
      </c>
      <c r="E152">
        <v>24</v>
      </c>
      <c r="F152" t="s">
        <v>16</v>
      </c>
      <c r="G152" t="s">
        <v>1549</v>
      </c>
      <c r="H152" t="s">
        <v>1742</v>
      </c>
      <c r="L152" s="2">
        <v>45433</v>
      </c>
      <c r="M152">
        <v>1194.9503999999999</v>
      </c>
      <c r="R152" t="s">
        <v>1812</v>
      </c>
      <c r="S152">
        <v>1194.9503999999999</v>
      </c>
      <c r="W152" s="11" t="s">
        <v>16</v>
      </c>
      <c r="X152" s="11" t="s">
        <v>1549</v>
      </c>
      <c r="Y152">
        <v>1194.9503999999999</v>
      </c>
      <c r="AF152">
        <v>1194.9503999999999</v>
      </c>
      <c r="AG152" t="s">
        <v>1742</v>
      </c>
    </row>
    <row r="153" spans="1:33" x14ac:dyDescent="0.3">
      <c r="A153" t="s">
        <v>3953</v>
      </c>
      <c r="B153" s="2">
        <v>45594</v>
      </c>
      <c r="C153">
        <v>1584.7840000000001</v>
      </c>
      <c r="D153" t="s">
        <v>1809</v>
      </c>
      <c r="E153">
        <v>52</v>
      </c>
      <c r="F153" t="s">
        <v>16</v>
      </c>
      <c r="G153" t="s">
        <v>1546</v>
      </c>
      <c r="H153" t="s">
        <v>1767</v>
      </c>
      <c r="L153" s="2">
        <v>45594</v>
      </c>
      <c r="M153">
        <v>1584.7840000000001</v>
      </c>
      <c r="R153" t="s">
        <v>1809</v>
      </c>
      <c r="S153">
        <v>1584.7840000000001</v>
      </c>
      <c r="W153" s="12" t="s">
        <v>16</v>
      </c>
      <c r="X153" s="12" t="s">
        <v>1546</v>
      </c>
      <c r="Y153">
        <v>1584.7840000000001</v>
      </c>
      <c r="AF153">
        <v>1584.7840000000001</v>
      </c>
      <c r="AG153" t="s">
        <v>1767</v>
      </c>
    </row>
    <row r="154" spans="1:33" x14ac:dyDescent="0.3">
      <c r="A154" t="s">
        <v>774</v>
      </c>
      <c r="B154" s="2">
        <v>45798</v>
      </c>
      <c r="C154">
        <v>193.55719999999999</v>
      </c>
      <c r="D154" t="s">
        <v>1809</v>
      </c>
      <c r="E154">
        <v>19</v>
      </c>
      <c r="F154" t="s">
        <v>9</v>
      </c>
      <c r="G154" t="s">
        <v>1530</v>
      </c>
      <c r="H154" t="s">
        <v>1742</v>
      </c>
      <c r="L154" s="2">
        <v>45798</v>
      </c>
      <c r="M154">
        <v>193.55719999999999</v>
      </c>
      <c r="R154" t="s">
        <v>1809</v>
      </c>
      <c r="S154">
        <v>193.55719999999999</v>
      </c>
      <c r="W154" s="11" t="s">
        <v>9</v>
      </c>
      <c r="X154" s="11" t="s">
        <v>1530</v>
      </c>
      <c r="Y154">
        <v>193.55719999999999</v>
      </c>
      <c r="AF154">
        <v>193.55719999999999</v>
      </c>
      <c r="AG154" t="s">
        <v>1742</v>
      </c>
    </row>
    <row r="155" spans="1:33" x14ac:dyDescent="0.3">
      <c r="A155" t="s">
        <v>981</v>
      </c>
      <c r="B155" s="2">
        <v>45579</v>
      </c>
      <c r="C155">
        <v>1491.7896000000001</v>
      </c>
      <c r="D155" t="s">
        <v>1807</v>
      </c>
      <c r="E155">
        <v>49</v>
      </c>
      <c r="F155" t="s">
        <v>9</v>
      </c>
      <c r="G155" t="s">
        <v>1546</v>
      </c>
      <c r="H155" t="s">
        <v>1742</v>
      </c>
      <c r="L155" s="2">
        <v>45579</v>
      </c>
      <c r="M155">
        <v>1491.7896000000001</v>
      </c>
      <c r="R155" t="s">
        <v>1807</v>
      </c>
      <c r="S155">
        <v>1491.7896000000001</v>
      </c>
      <c r="W155" s="12" t="s">
        <v>9</v>
      </c>
      <c r="X155" s="12" t="s">
        <v>1546</v>
      </c>
      <c r="Y155">
        <v>1491.7896000000001</v>
      </c>
      <c r="AF155">
        <v>1491.7896000000001</v>
      </c>
      <c r="AG155" t="s">
        <v>1742</v>
      </c>
    </row>
    <row r="156" spans="1:33" x14ac:dyDescent="0.3">
      <c r="A156" t="s">
        <v>1247</v>
      </c>
      <c r="B156" s="2">
        <v>45613</v>
      </c>
      <c r="C156">
        <v>300.2022</v>
      </c>
      <c r="D156" t="s">
        <v>1812</v>
      </c>
      <c r="E156">
        <v>23</v>
      </c>
      <c r="F156" t="s">
        <v>16</v>
      </c>
      <c r="G156" t="s">
        <v>1546</v>
      </c>
      <c r="H156" t="s">
        <v>1746</v>
      </c>
      <c r="L156" s="2">
        <v>45613</v>
      </c>
      <c r="M156">
        <v>300.2022</v>
      </c>
      <c r="R156" t="s">
        <v>1812</v>
      </c>
      <c r="S156">
        <v>300.2022</v>
      </c>
      <c r="W156" s="11" t="s">
        <v>16</v>
      </c>
      <c r="X156" s="11" t="s">
        <v>1546</v>
      </c>
      <c r="Y156">
        <v>300.2022</v>
      </c>
      <c r="AF156">
        <v>300.2022</v>
      </c>
      <c r="AG156" t="s">
        <v>1746</v>
      </c>
    </row>
    <row r="157" spans="1:33" x14ac:dyDescent="0.3">
      <c r="A157" t="s">
        <v>960</v>
      </c>
      <c r="B157" s="2">
        <v>45745</v>
      </c>
      <c r="C157">
        <v>3077.5992000000001</v>
      </c>
      <c r="D157" t="s">
        <v>1807</v>
      </c>
      <c r="E157">
        <v>60</v>
      </c>
      <c r="F157" t="s">
        <v>16</v>
      </c>
      <c r="G157" t="s">
        <v>1546</v>
      </c>
      <c r="H157" t="s">
        <v>1742</v>
      </c>
      <c r="L157" s="2">
        <v>45745</v>
      </c>
      <c r="M157">
        <v>3077.5992000000001</v>
      </c>
      <c r="R157" t="s">
        <v>1807</v>
      </c>
      <c r="S157">
        <v>3077.5992000000001</v>
      </c>
      <c r="W157" s="12" t="s">
        <v>16</v>
      </c>
      <c r="X157" s="12" t="s">
        <v>1546</v>
      </c>
      <c r="Y157">
        <v>3077.5992000000001</v>
      </c>
      <c r="AF157">
        <v>3077.5992000000001</v>
      </c>
      <c r="AG157" t="s">
        <v>1742</v>
      </c>
    </row>
    <row r="158" spans="1:33" x14ac:dyDescent="0.3">
      <c r="A158" t="s">
        <v>996</v>
      </c>
      <c r="B158" s="2">
        <v>45494</v>
      </c>
      <c r="C158">
        <v>1843.04</v>
      </c>
      <c r="D158" t="s">
        <v>1809</v>
      </c>
      <c r="E158">
        <v>34</v>
      </c>
      <c r="F158" t="s">
        <v>16</v>
      </c>
      <c r="G158" t="s">
        <v>1541</v>
      </c>
      <c r="H158" t="s">
        <v>1737</v>
      </c>
      <c r="L158" s="2">
        <v>45494</v>
      </c>
      <c r="M158">
        <v>1843.04</v>
      </c>
      <c r="R158" t="s">
        <v>1809</v>
      </c>
      <c r="S158">
        <v>1843.04</v>
      </c>
      <c r="W158" s="11" t="s">
        <v>16</v>
      </c>
      <c r="X158" s="11" t="s">
        <v>1541</v>
      </c>
      <c r="Y158">
        <v>1843.04</v>
      </c>
      <c r="AF158">
        <v>1843.04</v>
      </c>
      <c r="AG158" t="s">
        <v>1737</v>
      </c>
    </row>
    <row r="159" spans="1:33" x14ac:dyDescent="0.3">
      <c r="A159" t="s">
        <v>343</v>
      </c>
      <c r="B159" s="2">
        <v>45883</v>
      </c>
      <c r="C159">
        <v>79.775999999999996</v>
      </c>
      <c r="D159" t="s">
        <v>1809</v>
      </c>
      <c r="E159">
        <v>24</v>
      </c>
      <c r="F159" t="s">
        <v>9</v>
      </c>
      <c r="G159" t="s">
        <v>1527</v>
      </c>
      <c r="H159" t="s">
        <v>1742</v>
      </c>
      <c r="L159" s="2">
        <v>45883</v>
      </c>
      <c r="M159">
        <v>79.775999999999996</v>
      </c>
      <c r="R159" t="s">
        <v>1809</v>
      </c>
      <c r="S159">
        <v>79.775999999999996</v>
      </c>
      <c r="W159" s="12" t="s">
        <v>9</v>
      </c>
      <c r="X159" s="12" t="s">
        <v>1527</v>
      </c>
      <c r="Y159">
        <v>79.775999999999996</v>
      </c>
      <c r="AF159">
        <v>79.775999999999996</v>
      </c>
      <c r="AG159" t="s">
        <v>1742</v>
      </c>
    </row>
    <row r="160" spans="1:33" x14ac:dyDescent="0.3">
      <c r="A160" t="s">
        <v>1142</v>
      </c>
      <c r="B160" s="2">
        <v>45601</v>
      </c>
      <c r="C160">
        <v>93.909199999999998</v>
      </c>
      <c r="D160" t="s">
        <v>1809</v>
      </c>
      <c r="E160">
        <v>45</v>
      </c>
      <c r="F160" t="s">
        <v>9</v>
      </c>
      <c r="G160" t="s">
        <v>1549</v>
      </c>
      <c r="H160" t="s">
        <v>1742</v>
      </c>
      <c r="L160" s="2">
        <v>45601</v>
      </c>
      <c r="M160">
        <v>93.909199999999998</v>
      </c>
      <c r="R160" t="s">
        <v>1809</v>
      </c>
      <c r="S160">
        <v>93.909199999999998</v>
      </c>
      <c r="W160" s="11" t="s">
        <v>9</v>
      </c>
      <c r="X160" s="11" t="s">
        <v>1549</v>
      </c>
      <c r="Y160">
        <v>93.909199999999998</v>
      </c>
      <c r="AF160">
        <v>93.909199999999998</v>
      </c>
      <c r="AG160" t="s">
        <v>1742</v>
      </c>
    </row>
    <row r="161" spans="1:33" x14ac:dyDescent="0.3">
      <c r="A161" t="s">
        <v>1217</v>
      </c>
      <c r="B161" s="2">
        <v>45454</v>
      </c>
      <c r="C161">
        <v>193.1234</v>
      </c>
      <c r="D161" t="s">
        <v>1812</v>
      </c>
      <c r="E161">
        <v>50</v>
      </c>
      <c r="F161" t="s">
        <v>9</v>
      </c>
      <c r="G161" t="s">
        <v>1541</v>
      </c>
      <c r="H161" t="s">
        <v>1742</v>
      </c>
      <c r="L161" s="2">
        <v>45454</v>
      </c>
      <c r="M161">
        <v>193.1234</v>
      </c>
      <c r="R161" t="s">
        <v>1812</v>
      </c>
      <c r="S161">
        <v>193.1234</v>
      </c>
      <c r="W161" s="12" t="s">
        <v>9</v>
      </c>
      <c r="X161" s="12" t="s">
        <v>1541</v>
      </c>
      <c r="Y161">
        <v>193.1234</v>
      </c>
      <c r="AF161">
        <v>193.1234</v>
      </c>
      <c r="AG161" t="s">
        <v>1742</v>
      </c>
    </row>
    <row r="162" spans="1:33" x14ac:dyDescent="0.3">
      <c r="A162" t="s">
        <v>90</v>
      </c>
      <c r="B162" s="2">
        <v>45918</v>
      </c>
      <c r="C162">
        <v>1084.6812</v>
      </c>
      <c r="D162" t="s">
        <v>1807</v>
      </c>
      <c r="E162">
        <v>36</v>
      </c>
      <c r="F162" t="s">
        <v>16</v>
      </c>
      <c r="G162" t="s">
        <v>1527</v>
      </c>
      <c r="H162" t="s">
        <v>1742</v>
      </c>
      <c r="L162" s="2">
        <v>45918</v>
      </c>
      <c r="M162">
        <v>1084.6812</v>
      </c>
      <c r="R162" t="s">
        <v>1807</v>
      </c>
      <c r="S162">
        <v>1084.6812</v>
      </c>
      <c r="W162" s="11" t="s">
        <v>16</v>
      </c>
      <c r="X162" s="11" t="s">
        <v>1527</v>
      </c>
      <c r="Y162">
        <v>1084.6812</v>
      </c>
      <c r="AF162">
        <v>1084.6812</v>
      </c>
      <c r="AG162" t="s">
        <v>1742</v>
      </c>
    </row>
    <row r="163" spans="1:33" x14ac:dyDescent="0.3">
      <c r="A163" t="s">
        <v>216</v>
      </c>
      <c r="B163" s="2">
        <v>45729</v>
      </c>
      <c r="C163">
        <v>455.60099999999989</v>
      </c>
      <c r="D163" t="s">
        <v>1809</v>
      </c>
      <c r="E163">
        <v>53</v>
      </c>
      <c r="F163" t="s">
        <v>9</v>
      </c>
      <c r="G163" t="s">
        <v>1527</v>
      </c>
      <c r="H163" t="s">
        <v>1737</v>
      </c>
      <c r="L163" s="2">
        <v>45729</v>
      </c>
      <c r="M163">
        <v>455.60099999999989</v>
      </c>
      <c r="R163" t="s">
        <v>1809</v>
      </c>
      <c r="S163">
        <v>455.60099999999989</v>
      </c>
      <c r="W163" s="12" t="s">
        <v>9</v>
      </c>
      <c r="X163" s="12" t="s">
        <v>1527</v>
      </c>
      <c r="Y163">
        <v>455.60099999999989</v>
      </c>
      <c r="AF163">
        <v>455.60099999999989</v>
      </c>
      <c r="AG163" t="s">
        <v>1737</v>
      </c>
    </row>
    <row r="164" spans="1:33" x14ac:dyDescent="0.3">
      <c r="A164" t="s">
        <v>934</v>
      </c>
      <c r="B164" s="2">
        <v>45276</v>
      </c>
      <c r="C164">
        <v>952.84559999999999</v>
      </c>
      <c r="D164" t="s">
        <v>1809</v>
      </c>
      <c r="E164">
        <v>48</v>
      </c>
      <c r="F164" t="s">
        <v>16</v>
      </c>
      <c r="G164" t="s">
        <v>1549</v>
      </c>
      <c r="H164" t="s">
        <v>1737</v>
      </c>
      <c r="L164" s="2">
        <v>45276</v>
      </c>
      <c r="M164">
        <v>952.84559999999999</v>
      </c>
      <c r="R164" t="s">
        <v>1809</v>
      </c>
      <c r="S164">
        <v>952.84559999999999</v>
      </c>
      <c r="W164" s="11" t="s">
        <v>16</v>
      </c>
      <c r="X164" s="11" t="s">
        <v>1549</v>
      </c>
      <c r="Y164">
        <v>952.84559999999999</v>
      </c>
      <c r="AF164">
        <v>952.84559999999999</v>
      </c>
      <c r="AG164" t="s">
        <v>1737</v>
      </c>
    </row>
    <row r="165" spans="1:33" x14ac:dyDescent="0.3">
      <c r="A165" t="s">
        <v>276</v>
      </c>
      <c r="B165" s="2">
        <v>45851</v>
      </c>
      <c r="C165">
        <v>473.66070000000002</v>
      </c>
      <c r="D165" t="s">
        <v>1809</v>
      </c>
      <c r="E165">
        <v>29</v>
      </c>
      <c r="F165" t="s">
        <v>9</v>
      </c>
      <c r="G165" t="s">
        <v>1541</v>
      </c>
      <c r="H165" t="s">
        <v>1742</v>
      </c>
      <c r="L165" s="2">
        <v>45851</v>
      </c>
      <c r="M165">
        <v>473.66070000000002</v>
      </c>
      <c r="R165" t="s">
        <v>1809</v>
      </c>
      <c r="S165">
        <v>473.66070000000002</v>
      </c>
      <c r="W165" s="12" t="s">
        <v>9</v>
      </c>
      <c r="X165" s="12" t="s">
        <v>1541</v>
      </c>
      <c r="Y165">
        <v>473.66070000000002</v>
      </c>
      <c r="AF165">
        <v>473.66070000000002</v>
      </c>
      <c r="AG165" t="s">
        <v>1742</v>
      </c>
    </row>
    <row r="166" spans="1:33" x14ac:dyDescent="0.3">
      <c r="A166" t="s">
        <v>871</v>
      </c>
      <c r="B166" s="2">
        <v>45418</v>
      </c>
      <c r="C166">
        <v>485.55839999999989</v>
      </c>
      <c r="D166" t="s">
        <v>1807</v>
      </c>
      <c r="E166">
        <v>22</v>
      </c>
      <c r="F166" t="s">
        <v>16</v>
      </c>
      <c r="G166" t="s">
        <v>1549</v>
      </c>
      <c r="H166" t="s">
        <v>1742</v>
      </c>
      <c r="L166" s="2">
        <v>45418</v>
      </c>
      <c r="M166">
        <v>485.55839999999989</v>
      </c>
      <c r="R166" t="s">
        <v>1807</v>
      </c>
      <c r="S166">
        <v>485.55839999999989</v>
      </c>
      <c r="W166" s="11" t="s">
        <v>16</v>
      </c>
      <c r="X166" s="11" t="s">
        <v>1549</v>
      </c>
      <c r="Y166">
        <v>485.55839999999989</v>
      </c>
      <c r="AF166">
        <v>485.55839999999989</v>
      </c>
      <c r="AG166" t="s">
        <v>1742</v>
      </c>
    </row>
    <row r="167" spans="1:33" x14ac:dyDescent="0.3">
      <c r="A167" t="s">
        <v>266</v>
      </c>
      <c r="B167" s="2">
        <v>45508</v>
      </c>
      <c r="C167">
        <v>1741.557</v>
      </c>
      <c r="D167" t="s">
        <v>1809</v>
      </c>
      <c r="E167">
        <v>58</v>
      </c>
      <c r="F167" t="s">
        <v>9</v>
      </c>
      <c r="G167" t="s">
        <v>1527</v>
      </c>
      <c r="H167" t="s">
        <v>1742</v>
      </c>
      <c r="L167" s="2">
        <v>45508</v>
      </c>
      <c r="M167">
        <v>1741.557</v>
      </c>
      <c r="R167" t="s">
        <v>1809</v>
      </c>
      <c r="S167">
        <v>1741.557</v>
      </c>
      <c r="W167" s="12" t="s">
        <v>9</v>
      </c>
      <c r="X167" s="12" t="s">
        <v>1527</v>
      </c>
      <c r="Y167">
        <v>1741.557</v>
      </c>
      <c r="AF167">
        <v>1741.557</v>
      </c>
      <c r="AG167" t="s">
        <v>1742</v>
      </c>
    </row>
    <row r="168" spans="1:33" x14ac:dyDescent="0.3">
      <c r="A168" t="s">
        <v>926</v>
      </c>
      <c r="B168" s="2">
        <v>45269</v>
      </c>
      <c r="C168">
        <v>2343.4616000000001</v>
      </c>
      <c r="D168" t="s">
        <v>1812</v>
      </c>
      <c r="E168">
        <v>28</v>
      </c>
      <c r="F168" t="s">
        <v>16</v>
      </c>
      <c r="G168" t="s">
        <v>1530</v>
      </c>
      <c r="H168" t="s">
        <v>1767</v>
      </c>
      <c r="L168" s="2">
        <v>45269</v>
      </c>
      <c r="M168">
        <v>2343.4616000000001</v>
      </c>
      <c r="R168" t="s">
        <v>1812</v>
      </c>
      <c r="S168">
        <v>2343.4616000000001</v>
      </c>
      <c r="W168" s="11" t="s">
        <v>16</v>
      </c>
      <c r="X168" s="11" t="s">
        <v>1530</v>
      </c>
      <c r="Y168">
        <v>2343.4616000000001</v>
      </c>
      <c r="AF168">
        <v>2343.4616000000001</v>
      </c>
      <c r="AG168" t="s">
        <v>1767</v>
      </c>
    </row>
    <row r="169" spans="1:33" x14ac:dyDescent="0.3">
      <c r="A169" t="s">
        <v>1276</v>
      </c>
      <c r="B169" s="2">
        <v>45866</v>
      </c>
      <c r="C169">
        <v>1620.8255999999999</v>
      </c>
      <c r="D169" t="s">
        <v>1807</v>
      </c>
      <c r="E169">
        <v>46</v>
      </c>
      <c r="F169" t="s">
        <v>9</v>
      </c>
      <c r="G169" t="s">
        <v>1527</v>
      </c>
      <c r="H169" t="s">
        <v>1746</v>
      </c>
      <c r="L169" s="2">
        <v>45866</v>
      </c>
      <c r="M169">
        <v>1620.8255999999999</v>
      </c>
      <c r="R169" t="s">
        <v>1807</v>
      </c>
      <c r="S169">
        <v>1620.8255999999999</v>
      </c>
      <c r="W169" s="12" t="s">
        <v>9</v>
      </c>
      <c r="X169" s="12" t="s">
        <v>1527</v>
      </c>
      <c r="Y169">
        <v>1620.8255999999999</v>
      </c>
      <c r="AF169">
        <v>1620.8255999999999</v>
      </c>
      <c r="AG169" t="s">
        <v>1746</v>
      </c>
    </row>
    <row r="170" spans="1:33" x14ac:dyDescent="0.3">
      <c r="A170" t="s">
        <v>377</v>
      </c>
      <c r="B170" s="2">
        <v>45462</v>
      </c>
      <c r="C170">
        <v>798.55200000000013</v>
      </c>
      <c r="D170" t="s">
        <v>1807</v>
      </c>
      <c r="E170">
        <v>27</v>
      </c>
      <c r="F170" t="s">
        <v>9</v>
      </c>
      <c r="G170" t="s">
        <v>1527</v>
      </c>
      <c r="H170" t="s">
        <v>1746</v>
      </c>
      <c r="L170" s="2">
        <v>45462</v>
      </c>
      <c r="M170">
        <v>798.55200000000013</v>
      </c>
      <c r="R170" t="s">
        <v>1807</v>
      </c>
      <c r="S170">
        <v>798.55200000000013</v>
      </c>
      <c r="W170" s="11" t="s">
        <v>9</v>
      </c>
      <c r="X170" s="11" t="s">
        <v>1527</v>
      </c>
      <c r="Y170">
        <v>798.55200000000013</v>
      </c>
      <c r="AF170">
        <v>798.55200000000013</v>
      </c>
      <c r="AG170" t="s">
        <v>1746</v>
      </c>
    </row>
    <row r="171" spans="1:33" x14ac:dyDescent="0.3">
      <c r="A171" t="s">
        <v>1154</v>
      </c>
      <c r="B171" s="2">
        <v>45313</v>
      </c>
      <c r="C171">
        <v>604.41920000000005</v>
      </c>
      <c r="D171" t="s">
        <v>1812</v>
      </c>
      <c r="E171">
        <v>60</v>
      </c>
      <c r="F171" t="s">
        <v>9</v>
      </c>
      <c r="G171" t="s">
        <v>1549</v>
      </c>
      <c r="H171" t="s">
        <v>1746</v>
      </c>
      <c r="L171" s="2">
        <v>45313</v>
      </c>
      <c r="M171">
        <v>604.41920000000005</v>
      </c>
      <c r="R171" t="s">
        <v>1812</v>
      </c>
      <c r="S171">
        <v>604.41920000000005</v>
      </c>
      <c r="W171" s="12" t="s">
        <v>9</v>
      </c>
      <c r="X171" s="12" t="s">
        <v>1549</v>
      </c>
      <c r="Y171">
        <v>604.41920000000005</v>
      </c>
      <c r="AF171">
        <v>604.41920000000005</v>
      </c>
      <c r="AG171" t="s">
        <v>1746</v>
      </c>
    </row>
    <row r="172" spans="1:33" x14ac:dyDescent="0.3">
      <c r="A172" t="s">
        <v>812</v>
      </c>
      <c r="B172" s="2">
        <v>45390</v>
      </c>
      <c r="C172">
        <v>109.5624</v>
      </c>
      <c r="D172" t="s">
        <v>1812</v>
      </c>
      <c r="E172">
        <v>42</v>
      </c>
      <c r="F172" t="s">
        <v>9</v>
      </c>
      <c r="G172" t="s">
        <v>1546</v>
      </c>
      <c r="H172" t="s">
        <v>1737</v>
      </c>
      <c r="L172" s="2">
        <v>45390</v>
      </c>
      <c r="M172">
        <v>109.5624</v>
      </c>
      <c r="R172" t="s">
        <v>1812</v>
      </c>
      <c r="S172">
        <v>109.5624</v>
      </c>
      <c r="W172" s="11" t="s">
        <v>9</v>
      </c>
      <c r="X172" s="11" t="s">
        <v>1546</v>
      </c>
      <c r="Y172">
        <v>109.5624</v>
      </c>
      <c r="AF172">
        <v>109.5624</v>
      </c>
      <c r="AG172" t="s">
        <v>1737</v>
      </c>
    </row>
    <row r="173" spans="1:33" x14ac:dyDescent="0.3">
      <c r="A173" t="s">
        <v>574</v>
      </c>
      <c r="B173" s="2">
        <v>45795</v>
      </c>
      <c r="C173">
        <v>240.5592</v>
      </c>
      <c r="D173" t="s">
        <v>1809</v>
      </c>
      <c r="E173">
        <v>48</v>
      </c>
      <c r="F173" t="s">
        <v>9</v>
      </c>
      <c r="G173" t="s">
        <v>1541</v>
      </c>
      <c r="H173" t="s">
        <v>1742</v>
      </c>
      <c r="L173" s="2">
        <v>45795</v>
      </c>
      <c r="M173">
        <v>240.5592</v>
      </c>
      <c r="R173" t="s">
        <v>1809</v>
      </c>
      <c r="S173">
        <v>240.5592</v>
      </c>
      <c r="W173" s="12" t="s">
        <v>9</v>
      </c>
      <c r="X173" s="12" t="s">
        <v>1541</v>
      </c>
      <c r="Y173">
        <v>240.5592</v>
      </c>
      <c r="AF173">
        <v>240.5592</v>
      </c>
      <c r="AG173" t="s">
        <v>1742</v>
      </c>
    </row>
    <row r="174" spans="1:33" x14ac:dyDescent="0.3">
      <c r="A174" t="s">
        <v>1070</v>
      </c>
      <c r="B174" s="2">
        <v>45267</v>
      </c>
      <c r="C174">
        <v>1241.8800000000001</v>
      </c>
      <c r="D174" t="s">
        <v>1812</v>
      </c>
      <c r="E174">
        <v>33</v>
      </c>
      <c r="F174" t="s">
        <v>9</v>
      </c>
      <c r="G174" t="s">
        <v>1541</v>
      </c>
      <c r="H174" t="s">
        <v>1742</v>
      </c>
      <c r="L174" s="2">
        <v>45267</v>
      </c>
      <c r="M174">
        <v>1241.8800000000001</v>
      </c>
      <c r="R174" t="s">
        <v>1812</v>
      </c>
      <c r="S174">
        <v>1241.8800000000001</v>
      </c>
      <c r="W174" s="11" t="s">
        <v>9</v>
      </c>
      <c r="X174" s="11" t="s">
        <v>1541</v>
      </c>
      <c r="Y174">
        <v>1241.8800000000001</v>
      </c>
      <c r="AF174">
        <v>1241.8800000000001</v>
      </c>
      <c r="AG174" t="s">
        <v>1742</v>
      </c>
    </row>
    <row r="175" spans="1:33" x14ac:dyDescent="0.3">
      <c r="A175" t="s">
        <v>1476</v>
      </c>
      <c r="B175" s="2">
        <v>45314</v>
      </c>
      <c r="C175">
        <v>1068.2460000000001</v>
      </c>
      <c r="D175" t="s">
        <v>1812</v>
      </c>
      <c r="E175">
        <v>22</v>
      </c>
      <c r="F175" t="s">
        <v>16</v>
      </c>
      <c r="G175" t="s">
        <v>1546</v>
      </c>
      <c r="H175" t="s">
        <v>1746</v>
      </c>
      <c r="L175" s="2">
        <v>45314</v>
      </c>
      <c r="M175">
        <v>1068.2460000000001</v>
      </c>
      <c r="R175" t="s">
        <v>1812</v>
      </c>
      <c r="S175">
        <v>1068.2460000000001</v>
      </c>
      <c r="W175" s="12" t="s">
        <v>16</v>
      </c>
      <c r="X175" s="12" t="s">
        <v>1546</v>
      </c>
      <c r="Y175">
        <v>1068.2460000000001</v>
      </c>
      <c r="AF175">
        <v>1068.2460000000001</v>
      </c>
      <c r="AG175" t="s">
        <v>1746</v>
      </c>
    </row>
    <row r="176" spans="1:33" x14ac:dyDescent="0.3">
      <c r="A176" t="s">
        <v>921</v>
      </c>
      <c r="B176" s="2">
        <v>45267</v>
      </c>
      <c r="C176">
        <v>2873.864</v>
      </c>
      <c r="D176" t="s">
        <v>1812</v>
      </c>
      <c r="E176">
        <v>29</v>
      </c>
      <c r="F176" t="s">
        <v>9</v>
      </c>
      <c r="G176" t="s">
        <v>1549</v>
      </c>
      <c r="H176" t="s">
        <v>1746</v>
      </c>
      <c r="L176" s="2">
        <v>45267</v>
      </c>
      <c r="M176">
        <v>2873.864</v>
      </c>
      <c r="R176" t="s">
        <v>1812</v>
      </c>
      <c r="S176">
        <v>2873.864</v>
      </c>
      <c r="W176" s="11" t="s">
        <v>9</v>
      </c>
      <c r="X176" s="11" t="s">
        <v>1549</v>
      </c>
      <c r="Y176">
        <v>2873.864</v>
      </c>
      <c r="AF176">
        <v>2873.864</v>
      </c>
      <c r="AG176" t="s">
        <v>1746</v>
      </c>
    </row>
    <row r="177" spans="1:33" x14ac:dyDescent="0.3">
      <c r="A177" t="s">
        <v>1166</v>
      </c>
      <c r="B177" s="2">
        <v>45641</v>
      </c>
      <c r="C177">
        <v>1217.1579999999999</v>
      </c>
      <c r="D177" t="s">
        <v>1807</v>
      </c>
      <c r="E177">
        <v>44</v>
      </c>
      <c r="F177" t="s">
        <v>16</v>
      </c>
      <c r="G177" t="s">
        <v>1527</v>
      </c>
      <c r="H177" t="s">
        <v>1742</v>
      </c>
      <c r="L177" s="2">
        <v>45641</v>
      </c>
      <c r="M177">
        <v>1217.1579999999999</v>
      </c>
      <c r="R177" t="s">
        <v>1807</v>
      </c>
      <c r="S177">
        <v>1217.1579999999999</v>
      </c>
      <c r="W177" s="12" t="s">
        <v>16</v>
      </c>
      <c r="X177" s="12" t="s">
        <v>1527</v>
      </c>
      <c r="Y177">
        <v>1217.1579999999999</v>
      </c>
      <c r="AF177">
        <v>1217.1579999999999</v>
      </c>
      <c r="AG177" t="s">
        <v>1742</v>
      </c>
    </row>
    <row r="178" spans="1:33" x14ac:dyDescent="0.3">
      <c r="A178" t="s">
        <v>437</v>
      </c>
      <c r="B178" s="2">
        <v>45371</v>
      </c>
      <c r="C178">
        <v>617.29200000000003</v>
      </c>
      <c r="D178" t="s">
        <v>1809</v>
      </c>
      <c r="E178">
        <v>43</v>
      </c>
      <c r="F178" t="s">
        <v>16</v>
      </c>
      <c r="G178" t="s">
        <v>1530</v>
      </c>
      <c r="H178" t="s">
        <v>1742</v>
      </c>
      <c r="L178" s="2">
        <v>45371</v>
      </c>
      <c r="M178">
        <v>617.29200000000003</v>
      </c>
      <c r="R178" t="s">
        <v>1809</v>
      </c>
      <c r="S178">
        <v>617.29200000000003</v>
      </c>
      <c r="W178" s="11" t="s">
        <v>16</v>
      </c>
      <c r="X178" s="11" t="s">
        <v>1530</v>
      </c>
      <c r="Y178">
        <v>617.29200000000003</v>
      </c>
      <c r="AF178">
        <v>617.29200000000003</v>
      </c>
      <c r="AG178" t="s">
        <v>1742</v>
      </c>
    </row>
    <row r="179" spans="1:33" x14ac:dyDescent="0.3">
      <c r="A179" t="s">
        <v>1517</v>
      </c>
      <c r="B179" s="2">
        <v>45670</v>
      </c>
      <c r="C179">
        <v>75.84</v>
      </c>
      <c r="D179" t="s">
        <v>1809</v>
      </c>
      <c r="E179" s="7">
        <v>27</v>
      </c>
      <c r="F179" s="7" t="s">
        <v>16</v>
      </c>
      <c r="G179" t="s">
        <v>1527</v>
      </c>
      <c r="H179" t="s">
        <v>1767</v>
      </c>
      <c r="L179" s="2">
        <v>45670</v>
      </c>
      <c r="M179">
        <v>75.84</v>
      </c>
      <c r="R179" t="s">
        <v>1809</v>
      </c>
      <c r="S179">
        <v>75.84</v>
      </c>
      <c r="W179" s="17" t="s">
        <v>16</v>
      </c>
      <c r="X179" s="12" t="s">
        <v>1527</v>
      </c>
      <c r="Y179">
        <v>75.84</v>
      </c>
      <c r="AF179">
        <v>75.84</v>
      </c>
      <c r="AG179" t="s">
        <v>1767</v>
      </c>
    </row>
    <row r="180" spans="1:33" x14ac:dyDescent="0.3">
      <c r="A180" t="s">
        <v>242</v>
      </c>
      <c r="B180" s="2">
        <v>45885</v>
      </c>
      <c r="C180">
        <v>2555.64</v>
      </c>
      <c r="D180" t="s">
        <v>1812</v>
      </c>
      <c r="E180">
        <v>58</v>
      </c>
      <c r="F180" t="s">
        <v>9</v>
      </c>
      <c r="G180" t="s">
        <v>1541</v>
      </c>
      <c r="H180" t="s">
        <v>1742</v>
      </c>
      <c r="L180" s="2">
        <v>45885</v>
      </c>
      <c r="M180">
        <v>2555.64</v>
      </c>
      <c r="R180" t="s">
        <v>1812</v>
      </c>
      <c r="S180">
        <v>2555.64</v>
      </c>
      <c r="W180" s="11" t="s">
        <v>9</v>
      </c>
      <c r="X180" s="11" t="s">
        <v>1541</v>
      </c>
      <c r="Y180">
        <v>2555.64</v>
      </c>
      <c r="AF180">
        <v>2555.64</v>
      </c>
      <c r="AG180" t="s">
        <v>1742</v>
      </c>
    </row>
    <row r="181" spans="1:33" x14ac:dyDescent="0.3">
      <c r="A181" t="s">
        <v>293</v>
      </c>
      <c r="B181" s="2">
        <v>45812</v>
      </c>
      <c r="C181">
        <v>762.36819999999989</v>
      </c>
      <c r="D181" t="s">
        <v>1807</v>
      </c>
      <c r="E181">
        <v>53</v>
      </c>
      <c r="F181" t="s">
        <v>9</v>
      </c>
      <c r="G181" t="s">
        <v>1549</v>
      </c>
      <c r="H181" t="s">
        <v>1737</v>
      </c>
      <c r="L181" s="2">
        <v>45812</v>
      </c>
      <c r="M181">
        <v>762.36819999999989</v>
      </c>
      <c r="R181" t="s">
        <v>1807</v>
      </c>
      <c r="S181">
        <v>762.36819999999989</v>
      </c>
      <c r="W181" s="12" t="s">
        <v>9</v>
      </c>
      <c r="X181" s="12" t="s">
        <v>1549</v>
      </c>
      <c r="Y181">
        <v>762.36819999999989</v>
      </c>
      <c r="AF181">
        <v>762.36819999999989</v>
      </c>
      <c r="AG181" t="s">
        <v>1737</v>
      </c>
    </row>
    <row r="182" spans="1:33" x14ac:dyDescent="0.3">
      <c r="A182" t="s">
        <v>3951</v>
      </c>
      <c r="B182" s="2">
        <v>45235</v>
      </c>
      <c r="C182">
        <v>2089.8951000000002</v>
      </c>
      <c r="D182" t="s">
        <v>1807</v>
      </c>
      <c r="E182">
        <v>40</v>
      </c>
      <c r="F182" t="s">
        <v>9</v>
      </c>
      <c r="G182" t="s">
        <v>1546</v>
      </c>
      <c r="H182" t="s">
        <v>1742</v>
      </c>
      <c r="L182" s="2">
        <v>45235</v>
      </c>
      <c r="M182">
        <v>2089.8951000000002</v>
      </c>
      <c r="R182" t="s">
        <v>1807</v>
      </c>
      <c r="S182">
        <v>2089.8951000000002</v>
      </c>
      <c r="W182" s="11" t="s">
        <v>9</v>
      </c>
      <c r="X182" s="11" t="s">
        <v>1546</v>
      </c>
      <c r="Y182">
        <v>2089.8951000000002</v>
      </c>
      <c r="AF182">
        <v>2089.8951000000002</v>
      </c>
      <c r="AG182" t="s">
        <v>1742</v>
      </c>
    </row>
    <row r="183" spans="1:33" x14ac:dyDescent="0.3">
      <c r="A183" t="s">
        <v>1410</v>
      </c>
      <c r="B183" s="2">
        <v>45710</v>
      </c>
      <c r="C183">
        <v>137.49600000000001</v>
      </c>
      <c r="D183" t="s">
        <v>1809</v>
      </c>
      <c r="E183">
        <v>36</v>
      </c>
      <c r="F183" t="s">
        <v>16</v>
      </c>
      <c r="G183" t="s">
        <v>1527</v>
      </c>
      <c r="H183" t="s">
        <v>1742</v>
      </c>
      <c r="L183" s="2">
        <v>45710</v>
      </c>
      <c r="M183">
        <v>137.49600000000001</v>
      </c>
      <c r="R183" t="s">
        <v>1809</v>
      </c>
      <c r="S183">
        <v>137.49600000000001</v>
      </c>
      <c r="W183" s="12" t="s">
        <v>16</v>
      </c>
      <c r="X183" s="12" t="s">
        <v>1527</v>
      </c>
      <c r="Y183">
        <v>137.49600000000001</v>
      </c>
      <c r="AF183">
        <v>137.49600000000001</v>
      </c>
      <c r="AG183" t="s">
        <v>1742</v>
      </c>
    </row>
    <row r="184" spans="1:33" x14ac:dyDescent="0.3">
      <c r="A184" t="s">
        <v>1223</v>
      </c>
      <c r="B184" s="2">
        <v>45753</v>
      </c>
      <c r="C184">
        <v>2908.1696000000002</v>
      </c>
      <c r="D184" t="s">
        <v>1812</v>
      </c>
      <c r="E184">
        <v>62</v>
      </c>
      <c r="F184" t="s">
        <v>16</v>
      </c>
      <c r="G184" t="s">
        <v>1546</v>
      </c>
      <c r="H184" t="s">
        <v>1737</v>
      </c>
      <c r="L184" s="2">
        <v>45753</v>
      </c>
      <c r="M184">
        <v>2908.1696000000002</v>
      </c>
      <c r="R184" t="s">
        <v>1812</v>
      </c>
      <c r="S184">
        <v>2908.1696000000002</v>
      </c>
      <c r="W184" s="11" t="s">
        <v>16</v>
      </c>
      <c r="X184" s="11" t="s">
        <v>1546</v>
      </c>
      <c r="Y184">
        <v>2908.1696000000002</v>
      </c>
      <c r="AF184">
        <v>2908.1696000000002</v>
      </c>
      <c r="AG184" t="s">
        <v>1737</v>
      </c>
    </row>
    <row r="185" spans="1:33" x14ac:dyDescent="0.3">
      <c r="A185" t="s">
        <v>3935</v>
      </c>
      <c r="B185" s="2">
        <v>45594</v>
      </c>
      <c r="C185">
        <v>541.6191</v>
      </c>
      <c r="D185" t="s">
        <v>1809</v>
      </c>
      <c r="E185">
        <v>27</v>
      </c>
      <c r="F185" t="s">
        <v>16</v>
      </c>
      <c r="G185" t="s">
        <v>1530</v>
      </c>
      <c r="H185" t="s">
        <v>1742</v>
      </c>
      <c r="L185" s="2">
        <v>45594</v>
      </c>
      <c r="M185">
        <v>541.6191</v>
      </c>
      <c r="R185" t="s">
        <v>1809</v>
      </c>
      <c r="S185">
        <v>541.6191</v>
      </c>
      <c r="W185" s="12" t="s">
        <v>16</v>
      </c>
      <c r="X185" s="12" t="s">
        <v>1530</v>
      </c>
      <c r="Y185">
        <v>541.6191</v>
      </c>
      <c r="AF185">
        <v>541.6191</v>
      </c>
      <c r="AG185" t="s">
        <v>1742</v>
      </c>
    </row>
    <row r="186" spans="1:33" x14ac:dyDescent="0.3">
      <c r="A186" t="s">
        <v>1488</v>
      </c>
      <c r="B186" s="2">
        <v>45686</v>
      </c>
      <c r="C186">
        <v>678.84100000000001</v>
      </c>
      <c r="D186" t="s">
        <v>1809</v>
      </c>
      <c r="E186">
        <v>23</v>
      </c>
      <c r="F186" t="s">
        <v>9</v>
      </c>
      <c r="G186" t="s">
        <v>1541</v>
      </c>
      <c r="H186" t="s">
        <v>1742</v>
      </c>
      <c r="L186" s="2">
        <v>45686</v>
      </c>
      <c r="M186">
        <v>678.84100000000001</v>
      </c>
      <c r="R186" t="s">
        <v>1809</v>
      </c>
      <c r="S186">
        <v>678.84100000000001</v>
      </c>
      <c r="W186" s="11" t="s">
        <v>9</v>
      </c>
      <c r="X186" s="11" t="s">
        <v>1541</v>
      </c>
      <c r="Y186">
        <v>678.84100000000001</v>
      </c>
      <c r="AF186">
        <v>678.84100000000001</v>
      </c>
      <c r="AG186" t="s">
        <v>1742</v>
      </c>
    </row>
    <row r="187" spans="1:33" x14ac:dyDescent="0.3">
      <c r="A187" t="s">
        <v>1313</v>
      </c>
      <c r="B187" s="2">
        <v>45354</v>
      </c>
      <c r="C187">
        <v>1301.6094000000001</v>
      </c>
      <c r="D187" t="s">
        <v>1812</v>
      </c>
      <c r="E187">
        <v>43</v>
      </c>
      <c r="F187" t="s">
        <v>9</v>
      </c>
      <c r="G187" t="s">
        <v>1541</v>
      </c>
      <c r="H187" t="s">
        <v>1742</v>
      </c>
      <c r="L187" s="2">
        <v>45354</v>
      </c>
      <c r="M187">
        <v>1301.6094000000001</v>
      </c>
      <c r="R187" t="s">
        <v>1812</v>
      </c>
      <c r="S187">
        <v>1301.6094000000001</v>
      </c>
      <c r="W187" s="12" t="s">
        <v>9</v>
      </c>
      <c r="X187" s="12" t="s">
        <v>1541</v>
      </c>
      <c r="Y187">
        <v>1301.6094000000001</v>
      </c>
      <c r="AF187">
        <v>1301.6094000000001</v>
      </c>
      <c r="AG187" t="s">
        <v>1742</v>
      </c>
    </row>
    <row r="188" spans="1:33" x14ac:dyDescent="0.3">
      <c r="A188" t="s">
        <v>1385</v>
      </c>
      <c r="B188" s="2">
        <v>45600</v>
      </c>
      <c r="C188">
        <v>968.17919999999992</v>
      </c>
      <c r="D188" t="s">
        <v>1809</v>
      </c>
      <c r="E188">
        <v>60</v>
      </c>
      <c r="F188" t="s">
        <v>9</v>
      </c>
      <c r="G188" t="s">
        <v>1527</v>
      </c>
      <c r="H188" t="s">
        <v>1742</v>
      </c>
      <c r="L188" s="2">
        <v>45600</v>
      </c>
      <c r="M188">
        <v>968.17919999999992</v>
      </c>
      <c r="R188" t="s">
        <v>1809</v>
      </c>
      <c r="S188">
        <v>968.17919999999992</v>
      </c>
      <c r="W188" s="11" t="s">
        <v>9</v>
      </c>
      <c r="X188" s="11" t="s">
        <v>1527</v>
      </c>
      <c r="Y188">
        <v>968.17919999999992</v>
      </c>
      <c r="AF188">
        <v>968.17919999999992</v>
      </c>
      <c r="AG188" t="s">
        <v>1742</v>
      </c>
    </row>
    <row r="189" spans="1:33" x14ac:dyDescent="0.3">
      <c r="A189" t="s">
        <v>859</v>
      </c>
      <c r="B189" s="2">
        <v>45538</v>
      </c>
      <c r="C189">
        <v>1087.6733999999999</v>
      </c>
      <c r="D189" t="s">
        <v>1812</v>
      </c>
      <c r="E189">
        <v>23</v>
      </c>
      <c r="F189" t="s">
        <v>9</v>
      </c>
      <c r="G189" t="s">
        <v>1549</v>
      </c>
      <c r="H189" t="s">
        <v>1737</v>
      </c>
      <c r="L189" s="2">
        <v>45538</v>
      </c>
      <c r="M189">
        <v>1087.6733999999999</v>
      </c>
      <c r="R189" t="s">
        <v>1812</v>
      </c>
      <c r="S189">
        <v>1087.6733999999999</v>
      </c>
      <c r="W189" s="12" t="s">
        <v>9</v>
      </c>
      <c r="X189" s="12" t="s">
        <v>1549</v>
      </c>
      <c r="Y189">
        <v>1087.6733999999999</v>
      </c>
      <c r="AF189">
        <v>1087.6733999999999</v>
      </c>
      <c r="AG189" t="s">
        <v>1737</v>
      </c>
    </row>
    <row r="190" spans="1:33" x14ac:dyDescent="0.3">
      <c r="A190" t="s">
        <v>1181</v>
      </c>
      <c r="B190" s="2">
        <v>45411</v>
      </c>
      <c r="C190">
        <v>1786.2336</v>
      </c>
      <c r="D190" t="s">
        <v>1807</v>
      </c>
      <c r="E190">
        <v>27</v>
      </c>
      <c r="F190" t="s">
        <v>16</v>
      </c>
      <c r="G190" t="s">
        <v>1546</v>
      </c>
      <c r="H190" t="s">
        <v>1742</v>
      </c>
      <c r="L190" s="2">
        <v>45411</v>
      </c>
      <c r="M190">
        <v>1786.2336</v>
      </c>
      <c r="R190" t="s">
        <v>1807</v>
      </c>
      <c r="S190">
        <v>1786.2336</v>
      </c>
      <c r="W190" s="11" t="s">
        <v>16</v>
      </c>
      <c r="X190" s="11" t="s">
        <v>1546</v>
      </c>
      <c r="Y190">
        <v>1786.2336</v>
      </c>
      <c r="AF190">
        <v>1786.2336</v>
      </c>
      <c r="AG190" t="s">
        <v>1742</v>
      </c>
    </row>
    <row r="191" spans="1:33" x14ac:dyDescent="0.3">
      <c r="A191" t="s">
        <v>325</v>
      </c>
      <c r="B191" s="2">
        <v>45411</v>
      </c>
      <c r="C191">
        <v>522.68399999999997</v>
      </c>
      <c r="D191" t="s">
        <v>1812</v>
      </c>
      <c r="E191">
        <v>44</v>
      </c>
      <c r="F191" t="s">
        <v>16</v>
      </c>
      <c r="G191" t="s">
        <v>1530</v>
      </c>
      <c r="H191" t="s">
        <v>1742</v>
      </c>
      <c r="L191" s="2">
        <v>45411</v>
      </c>
      <c r="M191">
        <v>522.68399999999997</v>
      </c>
      <c r="R191" t="s">
        <v>1812</v>
      </c>
      <c r="S191">
        <v>522.68399999999997</v>
      </c>
      <c r="W191" s="12" t="s">
        <v>16</v>
      </c>
      <c r="X191" s="12" t="s">
        <v>1530</v>
      </c>
      <c r="Y191">
        <v>522.68399999999997</v>
      </c>
      <c r="AF191">
        <v>522.68399999999997</v>
      </c>
      <c r="AG191" t="s">
        <v>1742</v>
      </c>
    </row>
    <row r="192" spans="1:33" x14ac:dyDescent="0.3">
      <c r="A192" t="s">
        <v>1040</v>
      </c>
      <c r="B192" s="2">
        <v>45775</v>
      </c>
      <c r="C192">
        <v>1146.9390000000001</v>
      </c>
      <c r="D192" t="s">
        <v>1809</v>
      </c>
      <c r="E192">
        <v>37</v>
      </c>
      <c r="F192" t="s">
        <v>9</v>
      </c>
      <c r="G192" t="s">
        <v>1541</v>
      </c>
      <c r="H192" t="s">
        <v>1746</v>
      </c>
      <c r="L192" s="2">
        <v>45775</v>
      </c>
      <c r="M192">
        <v>1146.9390000000001</v>
      </c>
      <c r="R192" t="s">
        <v>1809</v>
      </c>
      <c r="S192">
        <v>1146.9390000000001</v>
      </c>
      <c r="W192" s="11" t="s">
        <v>9</v>
      </c>
      <c r="X192" s="11" t="s">
        <v>1541</v>
      </c>
      <c r="Y192">
        <v>1146.9390000000001</v>
      </c>
      <c r="AF192">
        <v>1146.9390000000001</v>
      </c>
      <c r="AG192" t="s">
        <v>1746</v>
      </c>
    </row>
    <row r="193" spans="1:33" x14ac:dyDescent="0.3">
      <c r="A193" t="s">
        <v>466</v>
      </c>
      <c r="B193" s="2">
        <v>45459</v>
      </c>
      <c r="C193">
        <v>780.75299999999993</v>
      </c>
      <c r="D193" t="s">
        <v>1809</v>
      </c>
      <c r="E193">
        <v>32</v>
      </c>
      <c r="F193" t="s">
        <v>9</v>
      </c>
      <c r="G193" t="s">
        <v>1530</v>
      </c>
      <c r="H193" t="s">
        <v>1742</v>
      </c>
      <c r="L193" s="2">
        <v>45459</v>
      </c>
      <c r="M193">
        <v>780.75299999999993</v>
      </c>
      <c r="R193" t="s">
        <v>1809</v>
      </c>
      <c r="S193">
        <v>780.75299999999993</v>
      </c>
      <c r="W193" s="12" t="s">
        <v>9</v>
      </c>
      <c r="X193" s="12" t="s">
        <v>1530</v>
      </c>
      <c r="Y193">
        <v>780.75299999999993</v>
      </c>
      <c r="AF193">
        <v>780.75299999999993</v>
      </c>
      <c r="AG193" t="s">
        <v>1742</v>
      </c>
    </row>
    <row r="194" spans="1:33" x14ac:dyDescent="0.3">
      <c r="A194" t="s">
        <v>1301</v>
      </c>
      <c r="B194" s="2">
        <v>45617</v>
      </c>
      <c r="C194">
        <v>922.20749999999987</v>
      </c>
      <c r="D194" t="s">
        <v>1812</v>
      </c>
      <c r="E194">
        <v>40</v>
      </c>
      <c r="F194" t="s">
        <v>9</v>
      </c>
      <c r="G194" t="s">
        <v>1527</v>
      </c>
      <c r="H194" t="s">
        <v>1742</v>
      </c>
      <c r="L194" s="2">
        <v>45617</v>
      </c>
      <c r="M194">
        <v>922.20749999999987</v>
      </c>
      <c r="R194" t="s">
        <v>1812</v>
      </c>
      <c r="S194">
        <v>922.20749999999987</v>
      </c>
      <c r="W194" s="11" t="s">
        <v>9</v>
      </c>
      <c r="X194" s="11" t="s">
        <v>1527</v>
      </c>
      <c r="Y194">
        <v>922.20749999999987</v>
      </c>
      <c r="AF194">
        <v>922.20749999999987</v>
      </c>
      <c r="AG194" t="s">
        <v>1742</v>
      </c>
    </row>
    <row r="195" spans="1:33" x14ac:dyDescent="0.3">
      <c r="A195" t="s">
        <v>537</v>
      </c>
      <c r="B195" s="2">
        <v>45763</v>
      </c>
      <c r="C195">
        <v>263.60719999999998</v>
      </c>
      <c r="D195" t="s">
        <v>1807</v>
      </c>
      <c r="E195">
        <v>21</v>
      </c>
      <c r="F195" t="s">
        <v>9</v>
      </c>
      <c r="G195" t="s">
        <v>1530</v>
      </c>
      <c r="H195" t="s">
        <v>1746</v>
      </c>
      <c r="L195" s="2">
        <v>45763</v>
      </c>
      <c r="M195">
        <v>263.60719999999998</v>
      </c>
      <c r="R195" t="s">
        <v>1807</v>
      </c>
      <c r="S195">
        <v>263.60719999999998</v>
      </c>
      <c r="W195" s="12" t="s">
        <v>9</v>
      </c>
      <c r="X195" s="12" t="s">
        <v>1530</v>
      </c>
      <c r="Y195">
        <v>263.60719999999998</v>
      </c>
      <c r="AF195">
        <v>263.60719999999998</v>
      </c>
      <c r="AG195" t="s">
        <v>1746</v>
      </c>
    </row>
    <row r="196" spans="1:33" x14ac:dyDescent="0.3">
      <c r="A196" t="s">
        <v>1008</v>
      </c>
      <c r="B196" s="2">
        <v>45618</v>
      </c>
      <c r="C196">
        <v>2184.5819999999999</v>
      </c>
      <c r="D196" t="s">
        <v>1812</v>
      </c>
      <c r="E196">
        <v>58</v>
      </c>
      <c r="F196" t="s">
        <v>9</v>
      </c>
      <c r="G196" t="s">
        <v>1541</v>
      </c>
      <c r="H196" t="s">
        <v>1742</v>
      </c>
      <c r="L196" s="2">
        <v>45618</v>
      </c>
      <c r="M196">
        <v>2184.5819999999999</v>
      </c>
      <c r="R196" t="s">
        <v>1812</v>
      </c>
      <c r="S196">
        <v>2184.5819999999999</v>
      </c>
      <c r="W196" s="11" t="s">
        <v>9</v>
      </c>
      <c r="X196" s="11" t="s">
        <v>1541</v>
      </c>
      <c r="Y196">
        <v>2184.5819999999999</v>
      </c>
      <c r="AF196">
        <v>2184.5819999999999</v>
      </c>
      <c r="AG196" t="s">
        <v>1742</v>
      </c>
    </row>
    <row r="197" spans="1:33" x14ac:dyDescent="0.3">
      <c r="A197" t="s">
        <v>1310</v>
      </c>
      <c r="B197" s="2">
        <v>45290</v>
      </c>
      <c r="C197">
        <v>862.51430000000005</v>
      </c>
      <c r="D197" t="s">
        <v>1807</v>
      </c>
      <c r="E197">
        <v>27</v>
      </c>
      <c r="F197" t="s">
        <v>16</v>
      </c>
      <c r="G197" t="s">
        <v>1541</v>
      </c>
      <c r="H197" t="s">
        <v>1742</v>
      </c>
      <c r="L197" s="2">
        <v>45290</v>
      </c>
      <c r="M197">
        <v>862.51430000000005</v>
      </c>
      <c r="R197" t="s">
        <v>1807</v>
      </c>
      <c r="S197">
        <v>862.51430000000005</v>
      </c>
      <c r="W197" s="12" t="s">
        <v>16</v>
      </c>
      <c r="X197" s="12" t="s">
        <v>1541</v>
      </c>
      <c r="Y197">
        <v>862.51430000000005</v>
      </c>
      <c r="AF197">
        <v>862.51430000000005</v>
      </c>
      <c r="AG197" t="s">
        <v>1742</v>
      </c>
    </row>
    <row r="198" spans="1:33" x14ac:dyDescent="0.3">
      <c r="A198" t="s">
        <v>1416</v>
      </c>
      <c r="B198" s="2">
        <v>45904</v>
      </c>
      <c r="C198">
        <v>2620.7460000000001</v>
      </c>
      <c r="D198" t="s">
        <v>1812</v>
      </c>
      <c r="E198">
        <v>28</v>
      </c>
      <c r="F198" t="s">
        <v>16</v>
      </c>
      <c r="G198" t="s">
        <v>1549</v>
      </c>
      <c r="H198" t="s">
        <v>1742</v>
      </c>
      <c r="L198" s="2">
        <v>45904</v>
      </c>
      <c r="M198">
        <v>2620.7460000000001</v>
      </c>
      <c r="R198" t="s">
        <v>1812</v>
      </c>
      <c r="S198">
        <v>2620.7460000000001</v>
      </c>
      <c r="W198" s="11" t="s">
        <v>16</v>
      </c>
      <c r="X198" s="11" t="s">
        <v>1549</v>
      </c>
      <c r="Y198">
        <v>2620.7460000000001</v>
      </c>
      <c r="AF198">
        <v>2620.7460000000001</v>
      </c>
      <c r="AG198" t="s">
        <v>1742</v>
      </c>
    </row>
    <row r="199" spans="1:33" x14ac:dyDescent="0.3">
      <c r="A199" t="s">
        <v>457</v>
      </c>
      <c r="B199" s="2">
        <v>45227</v>
      </c>
      <c r="C199">
        <v>525.00279999999998</v>
      </c>
      <c r="D199" t="s">
        <v>1809</v>
      </c>
      <c r="E199">
        <v>29</v>
      </c>
      <c r="F199" t="s">
        <v>9</v>
      </c>
      <c r="G199" t="s">
        <v>1549</v>
      </c>
      <c r="H199" t="s">
        <v>1742</v>
      </c>
      <c r="L199" s="2">
        <v>45227</v>
      </c>
      <c r="M199">
        <v>525.00279999999998</v>
      </c>
      <c r="R199" t="s">
        <v>1809</v>
      </c>
      <c r="S199">
        <v>525.00279999999998</v>
      </c>
      <c r="W199" s="12" t="s">
        <v>9</v>
      </c>
      <c r="X199" s="12" t="s">
        <v>1549</v>
      </c>
      <c r="Y199">
        <v>525.00279999999998</v>
      </c>
      <c r="AF199">
        <v>525.00279999999998</v>
      </c>
      <c r="AG199" t="s">
        <v>1742</v>
      </c>
    </row>
    <row r="200" spans="1:33" x14ac:dyDescent="0.3">
      <c r="A200" t="s">
        <v>1371</v>
      </c>
      <c r="B200" s="2">
        <v>45600</v>
      </c>
      <c r="C200">
        <v>381.95639999999997</v>
      </c>
      <c r="D200" t="s">
        <v>1809</v>
      </c>
      <c r="E200">
        <v>29</v>
      </c>
      <c r="F200" t="s">
        <v>9</v>
      </c>
      <c r="G200" t="s">
        <v>1549</v>
      </c>
      <c r="H200" t="s">
        <v>1737</v>
      </c>
      <c r="L200" s="2">
        <v>45600</v>
      </c>
      <c r="M200">
        <v>381.95639999999997</v>
      </c>
      <c r="R200" t="s">
        <v>1809</v>
      </c>
      <c r="S200">
        <v>381.95639999999997</v>
      </c>
      <c r="W200" s="11" t="s">
        <v>9</v>
      </c>
      <c r="X200" s="11" t="s">
        <v>1549</v>
      </c>
      <c r="Y200">
        <v>381.95639999999997</v>
      </c>
      <c r="AF200">
        <v>381.95639999999997</v>
      </c>
      <c r="AG200" t="s">
        <v>1737</v>
      </c>
    </row>
    <row r="201" spans="1:33" x14ac:dyDescent="0.3">
      <c r="A201" t="s">
        <v>150</v>
      </c>
      <c r="B201" s="2">
        <v>45646</v>
      </c>
      <c r="C201">
        <v>588.49239999999998</v>
      </c>
      <c r="D201" t="s">
        <v>1807</v>
      </c>
      <c r="E201">
        <v>55</v>
      </c>
      <c r="F201" t="s">
        <v>16</v>
      </c>
      <c r="G201" t="s">
        <v>1541</v>
      </c>
      <c r="H201" t="s">
        <v>1742</v>
      </c>
      <c r="L201" s="2">
        <v>45646</v>
      </c>
      <c r="M201">
        <v>588.49239999999998</v>
      </c>
      <c r="R201" t="s">
        <v>1807</v>
      </c>
      <c r="S201">
        <v>588.49239999999998</v>
      </c>
      <c r="W201" s="12" t="s">
        <v>16</v>
      </c>
      <c r="X201" s="12" t="s">
        <v>1541</v>
      </c>
      <c r="Y201">
        <v>588.49239999999998</v>
      </c>
      <c r="AF201">
        <v>588.49239999999998</v>
      </c>
      <c r="AG201" t="s">
        <v>1742</v>
      </c>
    </row>
    <row r="202" spans="1:33" x14ac:dyDescent="0.3">
      <c r="A202" t="s">
        <v>3940</v>
      </c>
      <c r="B202" s="2">
        <v>45725</v>
      </c>
      <c r="C202">
        <v>1661.8032000000001</v>
      </c>
      <c r="D202" t="s">
        <v>1809</v>
      </c>
      <c r="E202">
        <v>44</v>
      </c>
      <c r="F202" t="s">
        <v>16</v>
      </c>
      <c r="G202" t="s">
        <v>1541</v>
      </c>
      <c r="H202" t="s">
        <v>1737</v>
      </c>
      <c r="L202" s="2">
        <v>45725</v>
      </c>
      <c r="M202">
        <v>1661.8032000000001</v>
      </c>
      <c r="R202" t="s">
        <v>1809</v>
      </c>
      <c r="S202">
        <v>1661.8032000000001</v>
      </c>
      <c r="W202" s="11" t="s">
        <v>16</v>
      </c>
      <c r="X202" s="11" t="s">
        <v>1541</v>
      </c>
      <c r="Y202">
        <v>1661.8032000000001</v>
      </c>
      <c r="AF202">
        <v>1661.8032000000001</v>
      </c>
      <c r="AG202" t="s">
        <v>1737</v>
      </c>
    </row>
    <row r="203" spans="1:33" x14ac:dyDescent="0.3">
      <c r="A203" t="s">
        <v>483</v>
      </c>
      <c r="B203" s="2">
        <v>45742</v>
      </c>
      <c r="C203">
        <v>752.86199999999997</v>
      </c>
      <c r="D203" t="s">
        <v>1807</v>
      </c>
      <c r="E203">
        <v>46</v>
      </c>
      <c r="F203" t="s">
        <v>9</v>
      </c>
      <c r="G203" t="s">
        <v>1527</v>
      </c>
      <c r="H203" t="s">
        <v>1746</v>
      </c>
      <c r="L203" s="2">
        <v>45742</v>
      </c>
      <c r="M203">
        <v>752.86199999999997</v>
      </c>
      <c r="R203" t="s">
        <v>1807</v>
      </c>
      <c r="S203">
        <v>752.86199999999997</v>
      </c>
      <c r="W203" s="12" t="s">
        <v>9</v>
      </c>
      <c r="X203" s="12" t="s">
        <v>1527</v>
      </c>
      <c r="Y203">
        <v>752.86199999999997</v>
      </c>
      <c r="AF203">
        <v>752.86199999999997</v>
      </c>
      <c r="AG203" t="s">
        <v>1746</v>
      </c>
    </row>
    <row r="204" spans="1:33" x14ac:dyDescent="0.3">
      <c r="A204" t="s">
        <v>377</v>
      </c>
      <c r="B204" s="2">
        <v>45750</v>
      </c>
      <c r="C204">
        <v>1175.2416000000001</v>
      </c>
      <c r="D204" t="s">
        <v>1812</v>
      </c>
      <c r="E204">
        <v>27</v>
      </c>
      <c r="F204" t="s">
        <v>9</v>
      </c>
      <c r="G204" t="s">
        <v>1546</v>
      </c>
      <c r="H204" t="s">
        <v>1742</v>
      </c>
      <c r="L204" s="2">
        <v>45750</v>
      </c>
      <c r="M204">
        <v>1175.2416000000001</v>
      </c>
      <c r="R204" t="s">
        <v>1812</v>
      </c>
      <c r="S204">
        <v>1175.2416000000001</v>
      </c>
      <c r="W204" s="11" t="s">
        <v>9</v>
      </c>
      <c r="X204" s="11" t="s">
        <v>1546</v>
      </c>
      <c r="Y204">
        <v>1175.2416000000001</v>
      </c>
      <c r="AF204">
        <v>1175.2416000000001</v>
      </c>
      <c r="AG204" t="s">
        <v>1742</v>
      </c>
    </row>
    <row r="205" spans="1:33" x14ac:dyDescent="0.3">
      <c r="A205" t="s">
        <v>1440</v>
      </c>
      <c r="B205" s="2">
        <v>45327</v>
      </c>
      <c r="C205">
        <v>859.7808</v>
      </c>
      <c r="D205" t="s">
        <v>1809</v>
      </c>
      <c r="E205">
        <v>53</v>
      </c>
      <c r="F205" t="s">
        <v>9</v>
      </c>
      <c r="G205" t="s">
        <v>1546</v>
      </c>
      <c r="H205" t="s">
        <v>1746</v>
      </c>
      <c r="L205" s="2">
        <v>45327</v>
      </c>
      <c r="M205">
        <v>859.7808</v>
      </c>
      <c r="R205" t="s">
        <v>1809</v>
      </c>
      <c r="S205">
        <v>859.7808</v>
      </c>
      <c r="W205" s="12" t="s">
        <v>9</v>
      </c>
      <c r="X205" s="12" t="s">
        <v>1546</v>
      </c>
      <c r="Y205">
        <v>859.7808</v>
      </c>
      <c r="AF205">
        <v>859.7808</v>
      </c>
      <c r="AG205" t="s">
        <v>1746</v>
      </c>
    </row>
    <row r="206" spans="1:33" x14ac:dyDescent="0.3">
      <c r="A206" t="s">
        <v>3953</v>
      </c>
      <c r="B206" s="2">
        <v>45465</v>
      </c>
      <c r="C206">
        <v>1909.9608000000001</v>
      </c>
      <c r="D206" t="s">
        <v>1812</v>
      </c>
      <c r="E206">
        <v>52</v>
      </c>
      <c r="F206" t="s">
        <v>16</v>
      </c>
      <c r="G206" t="s">
        <v>1546</v>
      </c>
      <c r="H206" t="s">
        <v>1746</v>
      </c>
      <c r="L206" s="2">
        <v>45465</v>
      </c>
      <c r="M206">
        <v>1909.9608000000001</v>
      </c>
      <c r="R206" t="s">
        <v>1812</v>
      </c>
      <c r="S206">
        <v>1909.9608000000001</v>
      </c>
      <c r="W206" s="11" t="s">
        <v>16</v>
      </c>
      <c r="X206" s="11" t="s">
        <v>1546</v>
      </c>
      <c r="Y206">
        <v>1909.9608000000001</v>
      </c>
      <c r="AF206">
        <v>1909.9608000000001</v>
      </c>
      <c r="AG206" t="s">
        <v>1746</v>
      </c>
    </row>
    <row r="207" spans="1:33" x14ac:dyDescent="0.3">
      <c r="A207" t="s">
        <v>1340</v>
      </c>
      <c r="B207" s="2">
        <v>45883</v>
      </c>
      <c r="C207">
        <v>374.34539999999998</v>
      </c>
      <c r="D207" t="s">
        <v>1807</v>
      </c>
      <c r="E207">
        <v>59</v>
      </c>
      <c r="F207" t="s">
        <v>16</v>
      </c>
      <c r="G207" t="s">
        <v>1549</v>
      </c>
      <c r="H207" t="s">
        <v>1742</v>
      </c>
      <c r="L207" s="2">
        <v>45883</v>
      </c>
      <c r="M207">
        <v>374.34539999999998</v>
      </c>
      <c r="R207" t="s">
        <v>1807</v>
      </c>
      <c r="S207">
        <v>374.34539999999998</v>
      </c>
      <c r="W207" s="12" t="s">
        <v>16</v>
      </c>
      <c r="X207" s="12" t="s">
        <v>1549</v>
      </c>
      <c r="Y207">
        <v>374.34539999999998</v>
      </c>
      <c r="AF207">
        <v>374.34539999999998</v>
      </c>
      <c r="AG207" t="s">
        <v>1742</v>
      </c>
    </row>
    <row r="208" spans="1:33" x14ac:dyDescent="0.3">
      <c r="A208" t="s">
        <v>774</v>
      </c>
      <c r="B208" s="2">
        <v>45445</v>
      </c>
      <c r="C208">
        <v>1146.4795999999999</v>
      </c>
      <c r="D208" t="s">
        <v>1812</v>
      </c>
      <c r="E208">
        <v>19</v>
      </c>
      <c r="F208" t="s">
        <v>9</v>
      </c>
      <c r="G208" t="s">
        <v>1546</v>
      </c>
      <c r="H208" t="s">
        <v>1742</v>
      </c>
      <c r="L208" s="2">
        <v>45445</v>
      </c>
      <c r="M208">
        <v>1146.4795999999999</v>
      </c>
      <c r="R208" t="s">
        <v>1812</v>
      </c>
      <c r="S208">
        <v>1146.4795999999999</v>
      </c>
      <c r="W208" s="11" t="s">
        <v>9</v>
      </c>
      <c r="X208" s="11" t="s">
        <v>1546</v>
      </c>
      <c r="Y208">
        <v>1146.4795999999999</v>
      </c>
      <c r="AF208">
        <v>1146.4795999999999</v>
      </c>
      <c r="AG208" t="s">
        <v>1742</v>
      </c>
    </row>
    <row r="209" spans="1:33" x14ac:dyDescent="0.3">
      <c r="A209" t="s">
        <v>605</v>
      </c>
      <c r="B209" s="2">
        <v>45640</v>
      </c>
      <c r="C209">
        <v>125.8389</v>
      </c>
      <c r="D209" t="s">
        <v>1809</v>
      </c>
      <c r="E209">
        <v>53</v>
      </c>
      <c r="F209" t="s">
        <v>9</v>
      </c>
      <c r="G209" t="s">
        <v>1527</v>
      </c>
      <c r="H209" t="s">
        <v>1742</v>
      </c>
      <c r="L209" s="2">
        <v>45640</v>
      </c>
      <c r="M209">
        <v>125.8389</v>
      </c>
      <c r="R209" t="s">
        <v>1809</v>
      </c>
      <c r="S209">
        <v>125.8389</v>
      </c>
      <c r="W209" s="12" t="s">
        <v>9</v>
      </c>
      <c r="X209" s="12" t="s">
        <v>1527</v>
      </c>
      <c r="Y209">
        <v>125.8389</v>
      </c>
      <c r="AF209">
        <v>125.8389</v>
      </c>
      <c r="AG209" t="s">
        <v>1742</v>
      </c>
    </row>
    <row r="210" spans="1:33" x14ac:dyDescent="0.3">
      <c r="A210" t="s">
        <v>602</v>
      </c>
      <c r="B210" s="2">
        <v>45411</v>
      </c>
      <c r="C210">
        <v>3576.0383999999999</v>
      </c>
      <c r="D210" t="s">
        <v>1807</v>
      </c>
      <c r="E210">
        <v>54</v>
      </c>
      <c r="F210" t="s">
        <v>16</v>
      </c>
      <c r="G210" t="s">
        <v>1546</v>
      </c>
      <c r="H210" t="s">
        <v>1742</v>
      </c>
      <c r="L210" s="2">
        <v>45411</v>
      </c>
      <c r="M210">
        <v>3576.0383999999999</v>
      </c>
      <c r="R210" t="s">
        <v>1807</v>
      </c>
      <c r="S210">
        <v>3576.0383999999999</v>
      </c>
      <c r="W210" s="11" t="s">
        <v>16</v>
      </c>
      <c r="X210" s="11" t="s">
        <v>1546</v>
      </c>
      <c r="Y210">
        <v>3576.0383999999999</v>
      </c>
      <c r="AF210">
        <v>3576.0383999999999</v>
      </c>
      <c r="AG210" t="s">
        <v>1742</v>
      </c>
    </row>
    <row r="211" spans="1:33" x14ac:dyDescent="0.3">
      <c r="A211" t="s">
        <v>1148</v>
      </c>
      <c r="B211" s="2">
        <v>45224</v>
      </c>
      <c r="C211">
        <v>595.97759999999994</v>
      </c>
      <c r="D211" t="s">
        <v>1809</v>
      </c>
      <c r="E211">
        <v>28</v>
      </c>
      <c r="F211" t="s">
        <v>9</v>
      </c>
      <c r="G211" t="s">
        <v>1546</v>
      </c>
      <c r="H211" t="s">
        <v>1767</v>
      </c>
      <c r="L211" s="2">
        <v>45224</v>
      </c>
      <c r="M211">
        <v>595.97759999999994</v>
      </c>
      <c r="R211" t="s">
        <v>1809</v>
      </c>
      <c r="S211">
        <v>595.97759999999994</v>
      </c>
      <c r="W211" s="12" t="s">
        <v>9</v>
      </c>
      <c r="X211" s="12" t="s">
        <v>1546</v>
      </c>
      <c r="Y211">
        <v>595.97759999999994</v>
      </c>
      <c r="AF211">
        <v>595.97759999999994</v>
      </c>
      <c r="AG211" t="s">
        <v>1767</v>
      </c>
    </row>
    <row r="212" spans="1:33" x14ac:dyDescent="0.3">
      <c r="A212" t="s">
        <v>334</v>
      </c>
      <c r="B212" s="2">
        <v>45497</v>
      </c>
      <c r="C212">
        <v>600.97979999999995</v>
      </c>
      <c r="D212" t="s">
        <v>1812</v>
      </c>
      <c r="E212">
        <v>62</v>
      </c>
      <c r="F212" t="s">
        <v>16</v>
      </c>
      <c r="G212" t="s">
        <v>1549</v>
      </c>
      <c r="H212" t="s">
        <v>1746</v>
      </c>
      <c r="L212" s="2">
        <v>45497</v>
      </c>
      <c r="M212">
        <v>600.97979999999995</v>
      </c>
      <c r="R212" t="s">
        <v>1812</v>
      </c>
      <c r="S212">
        <v>600.97979999999995</v>
      </c>
      <c r="W212" s="11" t="s">
        <v>16</v>
      </c>
      <c r="X212" s="11" t="s">
        <v>1549</v>
      </c>
      <c r="Y212">
        <v>600.97979999999995</v>
      </c>
      <c r="AF212">
        <v>600.97979999999995</v>
      </c>
      <c r="AG212" t="s">
        <v>1746</v>
      </c>
    </row>
    <row r="213" spans="1:33" x14ac:dyDescent="0.3">
      <c r="A213" t="s">
        <v>60</v>
      </c>
      <c r="B213" s="2">
        <v>45807</v>
      </c>
      <c r="C213">
        <v>1491.4119000000001</v>
      </c>
      <c r="D213" t="s">
        <v>1812</v>
      </c>
      <c r="E213">
        <v>32</v>
      </c>
      <c r="F213" t="s">
        <v>16</v>
      </c>
      <c r="G213" t="s">
        <v>1527</v>
      </c>
      <c r="H213" t="s">
        <v>1767</v>
      </c>
      <c r="L213" s="2">
        <v>45807</v>
      </c>
      <c r="M213">
        <v>1491.4119000000001</v>
      </c>
      <c r="R213" t="s">
        <v>1812</v>
      </c>
      <c r="S213">
        <v>1491.4119000000001</v>
      </c>
      <c r="W213" s="12" t="s">
        <v>16</v>
      </c>
      <c r="X213" s="12" t="s">
        <v>1527</v>
      </c>
      <c r="Y213">
        <v>1491.4119000000001</v>
      </c>
      <c r="AF213">
        <v>1491.4119000000001</v>
      </c>
      <c r="AG213" t="s">
        <v>1767</v>
      </c>
    </row>
    <row r="214" spans="1:33" x14ac:dyDescent="0.3">
      <c r="A214" t="s">
        <v>1353</v>
      </c>
      <c r="B214" s="2">
        <v>45942</v>
      </c>
      <c r="C214">
        <v>417.00839999999999</v>
      </c>
      <c r="D214" t="s">
        <v>1807</v>
      </c>
      <c r="E214">
        <v>51</v>
      </c>
      <c r="F214" t="s">
        <v>9</v>
      </c>
      <c r="G214" t="s">
        <v>1527</v>
      </c>
      <c r="H214" t="s">
        <v>1742</v>
      </c>
      <c r="L214" s="2">
        <v>45942</v>
      </c>
      <c r="M214">
        <v>417.00839999999999</v>
      </c>
      <c r="R214" t="s">
        <v>1807</v>
      </c>
      <c r="S214">
        <v>417.00839999999999</v>
      </c>
      <c r="W214" s="11" t="s">
        <v>9</v>
      </c>
      <c r="X214" s="11" t="s">
        <v>1527</v>
      </c>
      <c r="Y214">
        <v>417.00839999999999</v>
      </c>
      <c r="AF214">
        <v>417.00839999999999</v>
      </c>
      <c r="AG214" t="s">
        <v>1742</v>
      </c>
    </row>
    <row r="215" spans="1:33" x14ac:dyDescent="0.3">
      <c r="A215" t="s">
        <v>960</v>
      </c>
      <c r="B215" s="2">
        <v>45314</v>
      </c>
      <c r="C215">
        <v>558.39019999999994</v>
      </c>
      <c r="D215" t="s">
        <v>1809</v>
      </c>
      <c r="E215">
        <v>60</v>
      </c>
      <c r="F215" t="s">
        <v>16</v>
      </c>
      <c r="G215" t="s">
        <v>1527</v>
      </c>
      <c r="H215" t="s">
        <v>1746</v>
      </c>
      <c r="L215" s="2">
        <v>45314</v>
      </c>
      <c r="M215">
        <v>558.39019999999994</v>
      </c>
      <c r="R215" t="s">
        <v>1809</v>
      </c>
      <c r="S215">
        <v>558.39019999999994</v>
      </c>
      <c r="W215" s="12" t="s">
        <v>16</v>
      </c>
      <c r="X215" s="12" t="s">
        <v>1527</v>
      </c>
      <c r="Y215">
        <v>558.39019999999994</v>
      </c>
      <c r="AF215">
        <v>558.39019999999994</v>
      </c>
      <c r="AG215" t="s">
        <v>1746</v>
      </c>
    </row>
    <row r="216" spans="1:33" x14ac:dyDescent="0.3">
      <c r="A216" t="s">
        <v>646</v>
      </c>
      <c r="B216" s="2">
        <v>45943</v>
      </c>
      <c r="C216">
        <v>574.12160000000006</v>
      </c>
      <c r="D216" t="s">
        <v>1807</v>
      </c>
      <c r="E216">
        <v>30</v>
      </c>
      <c r="F216" t="s">
        <v>9</v>
      </c>
      <c r="G216" t="s">
        <v>1546</v>
      </c>
      <c r="H216" t="s">
        <v>1742</v>
      </c>
      <c r="L216" s="2">
        <v>45943</v>
      </c>
      <c r="M216">
        <v>574.12160000000006</v>
      </c>
      <c r="R216" t="s">
        <v>1807</v>
      </c>
      <c r="S216">
        <v>574.12160000000006</v>
      </c>
      <c r="W216" s="11" t="s">
        <v>9</v>
      </c>
      <c r="X216" s="11" t="s">
        <v>1546</v>
      </c>
      <c r="Y216">
        <v>574.12160000000006</v>
      </c>
      <c r="AF216">
        <v>574.12160000000006</v>
      </c>
      <c r="AG216" t="s">
        <v>1742</v>
      </c>
    </row>
    <row r="217" spans="1:33" x14ac:dyDescent="0.3">
      <c r="A217" t="s">
        <v>1356</v>
      </c>
      <c r="B217" s="2">
        <v>45356</v>
      </c>
      <c r="C217">
        <v>907.52549999999997</v>
      </c>
      <c r="D217" t="s">
        <v>1807</v>
      </c>
      <c r="E217">
        <v>19</v>
      </c>
      <c r="F217" t="s">
        <v>9</v>
      </c>
      <c r="G217" t="s">
        <v>1527</v>
      </c>
      <c r="H217" t="s">
        <v>1746</v>
      </c>
      <c r="L217" s="2">
        <v>45356</v>
      </c>
      <c r="M217">
        <v>907.52549999999997</v>
      </c>
      <c r="R217" t="s">
        <v>1807</v>
      </c>
      <c r="S217">
        <v>907.52549999999997</v>
      </c>
      <c r="W217" s="12" t="s">
        <v>9</v>
      </c>
      <c r="X217" s="12" t="s">
        <v>1527</v>
      </c>
      <c r="Y217">
        <v>907.52549999999997</v>
      </c>
      <c r="AF217">
        <v>907.52549999999997</v>
      </c>
      <c r="AG217" t="s">
        <v>1746</v>
      </c>
    </row>
    <row r="218" spans="1:33" x14ac:dyDescent="0.3">
      <c r="A218" t="s">
        <v>510</v>
      </c>
      <c r="B218" s="2">
        <v>45854</v>
      </c>
      <c r="C218">
        <v>390.81599999999997</v>
      </c>
      <c r="D218" t="s">
        <v>1812</v>
      </c>
      <c r="E218">
        <v>35</v>
      </c>
      <c r="F218" t="s">
        <v>16</v>
      </c>
      <c r="G218" t="s">
        <v>1549</v>
      </c>
      <c r="H218" t="s">
        <v>1767</v>
      </c>
      <c r="L218" s="2">
        <v>45854</v>
      </c>
      <c r="M218">
        <v>390.81599999999997</v>
      </c>
      <c r="R218" t="s">
        <v>1812</v>
      </c>
      <c r="S218">
        <v>390.81599999999997</v>
      </c>
      <c r="W218" s="11" t="s">
        <v>16</v>
      </c>
      <c r="X218" s="11" t="s">
        <v>1549</v>
      </c>
      <c r="Y218">
        <v>390.81599999999997</v>
      </c>
      <c r="AF218">
        <v>390.81599999999997</v>
      </c>
      <c r="AG218" t="s">
        <v>1767</v>
      </c>
    </row>
    <row r="219" spans="1:33" x14ac:dyDescent="0.3">
      <c r="A219" t="s">
        <v>843</v>
      </c>
      <c r="B219" s="2">
        <v>45219</v>
      </c>
      <c r="C219">
        <v>286.22519999999997</v>
      </c>
      <c r="D219" t="s">
        <v>1809</v>
      </c>
      <c r="E219">
        <v>18</v>
      </c>
      <c r="F219" t="s">
        <v>9</v>
      </c>
      <c r="G219" t="s">
        <v>1546</v>
      </c>
      <c r="H219" t="s">
        <v>1742</v>
      </c>
      <c r="L219" s="2">
        <v>45219</v>
      </c>
      <c r="M219">
        <v>286.22519999999997</v>
      </c>
      <c r="R219" t="s">
        <v>1809</v>
      </c>
      <c r="S219">
        <v>286.22519999999997</v>
      </c>
      <c r="W219" s="12" t="s">
        <v>9</v>
      </c>
      <c r="X219" s="12" t="s">
        <v>1546</v>
      </c>
      <c r="Y219">
        <v>286.22519999999997</v>
      </c>
      <c r="AF219">
        <v>286.22519999999997</v>
      </c>
      <c r="AG219" t="s">
        <v>1742</v>
      </c>
    </row>
    <row r="220" spans="1:33" x14ac:dyDescent="0.3">
      <c r="A220" t="s">
        <v>783</v>
      </c>
      <c r="B220" s="2">
        <v>45447</v>
      </c>
      <c r="C220">
        <v>2281.8532</v>
      </c>
      <c r="D220" t="s">
        <v>1812</v>
      </c>
      <c r="E220">
        <v>32</v>
      </c>
      <c r="F220" t="s">
        <v>9</v>
      </c>
      <c r="G220" t="s">
        <v>1549</v>
      </c>
      <c r="H220" t="s">
        <v>1742</v>
      </c>
      <c r="L220" s="2">
        <v>45447</v>
      </c>
      <c r="M220">
        <v>2281.8532</v>
      </c>
      <c r="R220" t="s">
        <v>1812</v>
      </c>
      <c r="S220">
        <v>2281.8532</v>
      </c>
      <c r="W220" s="11" t="s">
        <v>9</v>
      </c>
      <c r="X220" s="11" t="s">
        <v>1549</v>
      </c>
      <c r="Y220">
        <v>2281.8532</v>
      </c>
      <c r="AF220">
        <v>2281.8532</v>
      </c>
      <c r="AG220" t="s">
        <v>1742</v>
      </c>
    </row>
    <row r="221" spans="1:33" x14ac:dyDescent="0.3">
      <c r="A221" t="s">
        <v>658</v>
      </c>
      <c r="B221" s="2">
        <v>45225</v>
      </c>
      <c r="C221">
        <v>295.4504</v>
      </c>
      <c r="D221" t="s">
        <v>1812</v>
      </c>
      <c r="E221">
        <v>52</v>
      </c>
      <c r="F221" t="s">
        <v>9</v>
      </c>
      <c r="G221" t="s">
        <v>1546</v>
      </c>
      <c r="H221" t="s">
        <v>1742</v>
      </c>
      <c r="L221" s="2">
        <v>45225</v>
      </c>
      <c r="M221">
        <v>295.4504</v>
      </c>
      <c r="R221" t="s">
        <v>1812</v>
      </c>
      <c r="S221">
        <v>295.4504</v>
      </c>
      <c r="W221" s="12" t="s">
        <v>9</v>
      </c>
      <c r="X221" s="12" t="s">
        <v>1546</v>
      </c>
      <c r="Y221">
        <v>295.4504</v>
      </c>
      <c r="AF221">
        <v>295.4504</v>
      </c>
      <c r="AG221" t="s">
        <v>1742</v>
      </c>
    </row>
    <row r="222" spans="1:33" x14ac:dyDescent="0.3">
      <c r="A222" t="s">
        <v>273</v>
      </c>
      <c r="B222" s="2">
        <v>45754</v>
      </c>
      <c r="C222">
        <v>1199.3579999999999</v>
      </c>
      <c r="D222" t="s">
        <v>1812</v>
      </c>
      <c r="E222">
        <v>37</v>
      </c>
      <c r="F222" t="s">
        <v>9</v>
      </c>
      <c r="G222" t="s">
        <v>1541</v>
      </c>
      <c r="H222" t="s">
        <v>1742</v>
      </c>
      <c r="L222" s="2">
        <v>45754</v>
      </c>
      <c r="M222">
        <v>1199.3579999999999</v>
      </c>
      <c r="R222" t="s">
        <v>1812</v>
      </c>
      <c r="S222">
        <v>1199.3579999999999</v>
      </c>
      <c r="W222" s="11" t="s">
        <v>9</v>
      </c>
      <c r="X222" s="11" t="s">
        <v>1541</v>
      </c>
      <c r="Y222">
        <v>1199.3579999999999</v>
      </c>
      <c r="AF222">
        <v>1199.3579999999999</v>
      </c>
      <c r="AG222" t="s">
        <v>1742</v>
      </c>
    </row>
    <row r="223" spans="1:33" x14ac:dyDescent="0.3">
      <c r="A223" t="s">
        <v>349</v>
      </c>
      <c r="B223" s="2">
        <v>45729</v>
      </c>
      <c r="C223">
        <v>2217.752</v>
      </c>
      <c r="D223" t="s">
        <v>1807</v>
      </c>
      <c r="E223">
        <v>53</v>
      </c>
      <c r="F223" t="s">
        <v>16</v>
      </c>
      <c r="G223" t="s">
        <v>1546</v>
      </c>
      <c r="H223" t="s">
        <v>1742</v>
      </c>
      <c r="L223" s="2">
        <v>45729</v>
      </c>
      <c r="M223">
        <v>2217.752</v>
      </c>
      <c r="R223" t="s">
        <v>1807</v>
      </c>
      <c r="S223">
        <v>2217.752</v>
      </c>
      <c r="W223" s="12" t="s">
        <v>16</v>
      </c>
      <c r="X223" s="12" t="s">
        <v>1546</v>
      </c>
      <c r="Y223">
        <v>2217.752</v>
      </c>
      <c r="AF223">
        <v>2217.752</v>
      </c>
      <c r="AG223" t="s">
        <v>1742</v>
      </c>
    </row>
    <row r="224" spans="1:33" x14ac:dyDescent="0.3">
      <c r="A224" t="s">
        <v>851</v>
      </c>
      <c r="B224" s="2">
        <v>45480</v>
      </c>
      <c r="C224">
        <v>529.8900000000001</v>
      </c>
      <c r="D224" t="s">
        <v>1807</v>
      </c>
      <c r="E224">
        <v>31</v>
      </c>
      <c r="F224" t="s">
        <v>16</v>
      </c>
      <c r="G224" t="s">
        <v>1546</v>
      </c>
      <c r="H224" t="s">
        <v>1742</v>
      </c>
      <c r="L224" s="2">
        <v>45480</v>
      </c>
      <c r="M224">
        <v>529.8900000000001</v>
      </c>
      <c r="R224" t="s">
        <v>1807</v>
      </c>
      <c r="S224">
        <v>529.8900000000001</v>
      </c>
      <c r="W224" s="11" t="s">
        <v>16</v>
      </c>
      <c r="X224" s="11" t="s">
        <v>1546</v>
      </c>
      <c r="Y224">
        <v>529.8900000000001</v>
      </c>
      <c r="AF224">
        <v>529.8900000000001</v>
      </c>
      <c r="AG224" t="s">
        <v>1742</v>
      </c>
    </row>
    <row r="225" spans="1:33" x14ac:dyDescent="0.3">
      <c r="A225" t="s">
        <v>1505</v>
      </c>
      <c r="B225" s="2">
        <v>45361</v>
      </c>
      <c r="C225">
        <v>1495.74</v>
      </c>
      <c r="D225" t="s">
        <v>1809</v>
      </c>
      <c r="E225">
        <v>56</v>
      </c>
      <c r="F225" t="s">
        <v>9</v>
      </c>
      <c r="G225" t="s">
        <v>1549</v>
      </c>
      <c r="H225" t="s">
        <v>1742</v>
      </c>
      <c r="L225" s="2">
        <v>45361</v>
      </c>
      <c r="M225">
        <v>1495.74</v>
      </c>
      <c r="R225" t="s">
        <v>1809</v>
      </c>
      <c r="S225">
        <v>1495.74</v>
      </c>
      <c r="W225" s="12" t="s">
        <v>9</v>
      </c>
      <c r="X225" s="12" t="s">
        <v>1549</v>
      </c>
      <c r="Y225">
        <v>1495.74</v>
      </c>
      <c r="AF225">
        <v>1495.74</v>
      </c>
      <c r="AG225" t="s">
        <v>1742</v>
      </c>
    </row>
    <row r="226" spans="1:33" x14ac:dyDescent="0.3">
      <c r="A226" t="s">
        <v>340</v>
      </c>
      <c r="B226" s="2">
        <v>45915</v>
      </c>
      <c r="C226">
        <v>1447.2216000000001</v>
      </c>
      <c r="D226" t="s">
        <v>1807</v>
      </c>
      <c r="E226">
        <v>36</v>
      </c>
      <c r="F226" t="s">
        <v>9</v>
      </c>
      <c r="G226" t="s">
        <v>1549</v>
      </c>
      <c r="H226" t="s">
        <v>1737</v>
      </c>
      <c r="L226" s="2">
        <v>45915</v>
      </c>
      <c r="M226">
        <v>1447.2216000000001</v>
      </c>
      <c r="R226" t="s">
        <v>1807</v>
      </c>
      <c r="S226">
        <v>1447.2216000000001</v>
      </c>
      <c r="W226" s="11" t="s">
        <v>9</v>
      </c>
      <c r="X226" s="11" t="s">
        <v>1549</v>
      </c>
      <c r="Y226">
        <v>1447.2216000000001</v>
      </c>
      <c r="AF226">
        <v>1447.2216000000001</v>
      </c>
      <c r="AG226" t="s">
        <v>1737</v>
      </c>
    </row>
    <row r="227" spans="1:33" x14ac:dyDescent="0.3">
      <c r="A227" t="s">
        <v>253</v>
      </c>
      <c r="B227" s="2">
        <v>45607</v>
      </c>
      <c r="C227">
        <v>2532.348</v>
      </c>
      <c r="D227" t="s">
        <v>1807</v>
      </c>
      <c r="E227">
        <v>29</v>
      </c>
      <c r="F227" t="s">
        <v>16</v>
      </c>
      <c r="G227" t="s">
        <v>1549</v>
      </c>
      <c r="H227" t="s">
        <v>1746</v>
      </c>
      <c r="L227" s="2">
        <v>45607</v>
      </c>
      <c r="M227">
        <v>2532.348</v>
      </c>
      <c r="R227" t="s">
        <v>1807</v>
      </c>
      <c r="S227">
        <v>2532.348</v>
      </c>
      <c r="W227" s="12" t="s">
        <v>16</v>
      </c>
      <c r="X227" s="12" t="s">
        <v>1549</v>
      </c>
      <c r="Y227">
        <v>2532.348</v>
      </c>
      <c r="AF227">
        <v>2532.348</v>
      </c>
      <c r="AG227" t="s">
        <v>1746</v>
      </c>
    </row>
    <row r="228" spans="1:33" x14ac:dyDescent="0.3">
      <c r="A228" t="s">
        <v>843</v>
      </c>
      <c r="B228" s="2">
        <v>45666</v>
      </c>
      <c r="C228">
        <v>1825.3248000000001</v>
      </c>
      <c r="D228" t="s">
        <v>1809</v>
      </c>
      <c r="E228">
        <v>18</v>
      </c>
      <c r="F228" t="s">
        <v>9</v>
      </c>
      <c r="G228" t="s">
        <v>1549</v>
      </c>
      <c r="H228" t="s">
        <v>1742</v>
      </c>
      <c r="L228" s="2">
        <v>45666</v>
      </c>
      <c r="M228">
        <v>1825.3248000000001</v>
      </c>
      <c r="R228" t="s">
        <v>1809</v>
      </c>
      <c r="S228">
        <v>1825.3248000000001</v>
      </c>
      <c r="W228" s="11" t="s">
        <v>9</v>
      </c>
      <c r="X228" s="11" t="s">
        <v>1549</v>
      </c>
      <c r="Y228">
        <v>1825.3248000000001</v>
      </c>
      <c r="AF228">
        <v>1825.3248000000001</v>
      </c>
      <c r="AG228" t="s">
        <v>1742</v>
      </c>
    </row>
    <row r="229" spans="1:33" x14ac:dyDescent="0.3">
      <c r="A229" t="s">
        <v>1517</v>
      </c>
      <c r="B229" s="2">
        <v>45406</v>
      </c>
      <c r="C229">
        <v>1819.7998</v>
      </c>
      <c r="D229" t="s">
        <v>1807</v>
      </c>
      <c r="E229" s="7">
        <v>27</v>
      </c>
      <c r="F229" s="7" t="s">
        <v>16</v>
      </c>
      <c r="G229" t="s">
        <v>1546</v>
      </c>
      <c r="H229" t="s">
        <v>1746</v>
      </c>
      <c r="L229" s="2">
        <v>45406</v>
      </c>
      <c r="M229">
        <v>1819.7998</v>
      </c>
      <c r="R229" t="s">
        <v>1807</v>
      </c>
      <c r="S229">
        <v>1819.7998</v>
      </c>
      <c r="W229" s="17" t="s">
        <v>16</v>
      </c>
      <c r="X229" s="12" t="s">
        <v>1546</v>
      </c>
      <c r="Y229">
        <v>1819.7998</v>
      </c>
      <c r="AF229">
        <v>1819.7998</v>
      </c>
      <c r="AG229" t="s">
        <v>1746</v>
      </c>
    </row>
    <row r="230" spans="1:33" x14ac:dyDescent="0.3">
      <c r="A230" t="s">
        <v>374</v>
      </c>
      <c r="B230" s="2">
        <v>45284</v>
      </c>
      <c r="C230">
        <v>1630.0416</v>
      </c>
      <c r="D230" t="s">
        <v>1809</v>
      </c>
      <c r="E230">
        <v>38</v>
      </c>
      <c r="F230" t="s">
        <v>9</v>
      </c>
      <c r="G230" t="s">
        <v>1530</v>
      </c>
      <c r="H230" t="s">
        <v>1742</v>
      </c>
      <c r="L230" s="2">
        <v>45284</v>
      </c>
      <c r="M230">
        <v>1630.0416</v>
      </c>
      <c r="R230" t="s">
        <v>1809</v>
      </c>
      <c r="S230">
        <v>1630.0416</v>
      </c>
      <c r="W230" s="11" t="s">
        <v>9</v>
      </c>
      <c r="X230" s="11" t="s">
        <v>1530</v>
      </c>
      <c r="Y230">
        <v>1630.0416</v>
      </c>
      <c r="AF230">
        <v>1630.0416</v>
      </c>
      <c r="AG230" t="s">
        <v>1742</v>
      </c>
    </row>
    <row r="231" spans="1:33" x14ac:dyDescent="0.3">
      <c r="A231" t="s">
        <v>477</v>
      </c>
      <c r="B231" s="2">
        <v>45348</v>
      </c>
      <c r="C231">
        <v>2123.9856</v>
      </c>
      <c r="D231" t="s">
        <v>1807</v>
      </c>
      <c r="E231">
        <v>46</v>
      </c>
      <c r="F231" t="s">
        <v>9</v>
      </c>
      <c r="G231" t="s">
        <v>1541</v>
      </c>
      <c r="H231" t="s">
        <v>1742</v>
      </c>
      <c r="L231" s="2">
        <v>45348</v>
      </c>
      <c r="M231">
        <v>2123.9856</v>
      </c>
      <c r="R231" t="s">
        <v>1807</v>
      </c>
      <c r="S231">
        <v>2123.9856</v>
      </c>
      <c r="W231" s="12" t="s">
        <v>9</v>
      </c>
      <c r="X231" s="12" t="s">
        <v>1541</v>
      </c>
      <c r="Y231">
        <v>2123.9856</v>
      </c>
      <c r="AF231">
        <v>2123.9856</v>
      </c>
      <c r="AG231" t="s">
        <v>1742</v>
      </c>
    </row>
    <row r="232" spans="1:33" x14ac:dyDescent="0.3">
      <c r="A232" t="s">
        <v>186</v>
      </c>
      <c r="B232" s="2">
        <v>45676</v>
      </c>
      <c r="C232">
        <v>1214.6759999999999</v>
      </c>
      <c r="D232" t="s">
        <v>1809</v>
      </c>
      <c r="E232">
        <v>61</v>
      </c>
      <c r="F232" t="s">
        <v>16</v>
      </c>
      <c r="G232" t="s">
        <v>1546</v>
      </c>
      <c r="H232" t="s">
        <v>1742</v>
      </c>
      <c r="L232" s="2">
        <v>45676</v>
      </c>
      <c r="M232">
        <v>1214.6759999999999</v>
      </c>
      <c r="R232" t="s">
        <v>1809</v>
      </c>
      <c r="S232">
        <v>1214.6759999999999</v>
      </c>
      <c r="W232" s="11" t="s">
        <v>16</v>
      </c>
      <c r="X232" s="11" t="s">
        <v>1546</v>
      </c>
      <c r="Y232">
        <v>1214.6759999999999</v>
      </c>
      <c r="AF232">
        <v>1214.6759999999999</v>
      </c>
      <c r="AG232" t="s">
        <v>1742</v>
      </c>
    </row>
    <row r="233" spans="1:33" x14ac:dyDescent="0.3">
      <c r="A233" t="s">
        <v>868</v>
      </c>
      <c r="B233" s="2">
        <v>45863</v>
      </c>
      <c r="C233">
        <v>1519.6104</v>
      </c>
      <c r="D233" t="s">
        <v>1807</v>
      </c>
      <c r="E233">
        <v>38</v>
      </c>
      <c r="F233" t="s">
        <v>9</v>
      </c>
      <c r="G233" t="s">
        <v>1530</v>
      </c>
      <c r="H233" t="s">
        <v>1742</v>
      </c>
      <c r="L233" s="2">
        <v>45863</v>
      </c>
      <c r="M233">
        <v>1519.6104</v>
      </c>
      <c r="R233" t="s">
        <v>1807</v>
      </c>
      <c r="S233">
        <v>1519.6104</v>
      </c>
      <c r="W233" s="12" t="s">
        <v>9</v>
      </c>
      <c r="X233" s="12" t="s">
        <v>1530</v>
      </c>
      <c r="Y233">
        <v>1519.6104</v>
      </c>
      <c r="AF233">
        <v>1519.6104</v>
      </c>
      <c r="AG233" t="s">
        <v>1742</v>
      </c>
    </row>
    <row r="234" spans="1:33" x14ac:dyDescent="0.3">
      <c r="A234" t="s">
        <v>495</v>
      </c>
      <c r="B234" s="2">
        <v>45409</v>
      </c>
      <c r="C234">
        <v>2416.7087999999999</v>
      </c>
      <c r="D234" t="s">
        <v>1809</v>
      </c>
      <c r="E234">
        <v>33</v>
      </c>
      <c r="F234" t="s">
        <v>9</v>
      </c>
      <c r="G234" t="s">
        <v>1530</v>
      </c>
      <c r="H234" t="s">
        <v>1742</v>
      </c>
      <c r="L234" s="2">
        <v>45409</v>
      </c>
      <c r="M234">
        <v>2416.7087999999999</v>
      </c>
      <c r="R234" t="s">
        <v>1809</v>
      </c>
      <c r="S234">
        <v>2416.7087999999999</v>
      </c>
      <c r="W234" s="11" t="s">
        <v>9</v>
      </c>
      <c r="X234" s="11" t="s">
        <v>1530</v>
      </c>
      <c r="Y234">
        <v>2416.7087999999999</v>
      </c>
      <c r="AF234">
        <v>2416.7087999999999</v>
      </c>
      <c r="AG234" t="s">
        <v>1742</v>
      </c>
    </row>
    <row r="235" spans="1:33" x14ac:dyDescent="0.3">
      <c r="A235" t="s">
        <v>53</v>
      </c>
      <c r="B235" s="2">
        <v>45880</v>
      </c>
      <c r="C235">
        <v>940.1484999999999</v>
      </c>
      <c r="D235" t="s">
        <v>1809</v>
      </c>
      <c r="E235">
        <v>28</v>
      </c>
      <c r="F235" t="s">
        <v>16</v>
      </c>
      <c r="G235" t="s">
        <v>1527</v>
      </c>
      <c r="H235" t="s">
        <v>1742</v>
      </c>
      <c r="L235" s="2">
        <v>45880</v>
      </c>
      <c r="M235">
        <v>940.1484999999999</v>
      </c>
      <c r="R235" t="s">
        <v>1809</v>
      </c>
      <c r="S235">
        <v>940.1484999999999</v>
      </c>
      <c r="W235" s="12" t="s">
        <v>16</v>
      </c>
      <c r="X235" s="12" t="s">
        <v>1527</v>
      </c>
      <c r="Y235">
        <v>940.1484999999999</v>
      </c>
      <c r="AF235">
        <v>940.1484999999999</v>
      </c>
      <c r="AG235" t="s">
        <v>1742</v>
      </c>
    </row>
    <row r="236" spans="1:33" x14ac:dyDescent="0.3">
      <c r="A236" t="s">
        <v>1043</v>
      </c>
      <c r="B236" s="2">
        <v>45731</v>
      </c>
      <c r="C236">
        <v>348.78480000000002</v>
      </c>
      <c r="D236" t="s">
        <v>1812</v>
      </c>
      <c r="E236">
        <v>58</v>
      </c>
      <c r="F236" t="s">
        <v>16</v>
      </c>
      <c r="G236" t="s">
        <v>1549</v>
      </c>
      <c r="H236" t="s">
        <v>1737</v>
      </c>
      <c r="L236" s="2">
        <v>45731</v>
      </c>
      <c r="M236">
        <v>348.78480000000002</v>
      </c>
      <c r="R236" t="s">
        <v>1812</v>
      </c>
      <c r="S236">
        <v>348.78480000000002</v>
      </c>
      <c r="W236" s="11" t="s">
        <v>16</v>
      </c>
      <c r="X236" s="11" t="s">
        <v>1549</v>
      </c>
      <c r="Y236">
        <v>348.78480000000002</v>
      </c>
      <c r="AF236">
        <v>348.78480000000002</v>
      </c>
      <c r="AG236" t="s">
        <v>1737</v>
      </c>
    </row>
    <row r="237" spans="1:33" x14ac:dyDescent="0.3">
      <c r="A237" t="s">
        <v>45</v>
      </c>
      <c r="B237" s="2">
        <v>45671</v>
      </c>
      <c r="C237">
        <v>672.29899999999998</v>
      </c>
      <c r="D237" t="s">
        <v>1812</v>
      </c>
      <c r="E237">
        <v>64</v>
      </c>
      <c r="F237" t="s">
        <v>9</v>
      </c>
      <c r="G237" t="s">
        <v>1541</v>
      </c>
      <c r="H237" t="s">
        <v>1737</v>
      </c>
      <c r="L237" s="2">
        <v>45671</v>
      </c>
      <c r="M237">
        <v>672.29899999999998</v>
      </c>
      <c r="R237" t="s">
        <v>1812</v>
      </c>
      <c r="S237">
        <v>672.29899999999998</v>
      </c>
      <c r="W237" s="12" t="s">
        <v>9</v>
      </c>
      <c r="X237" s="12" t="s">
        <v>1541</v>
      </c>
      <c r="Y237">
        <v>672.29899999999998</v>
      </c>
      <c r="AF237">
        <v>672.29899999999998</v>
      </c>
      <c r="AG237" t="s">
        <v>1737</v>
      </c>
    </row>
    <row r="238" spans="1:33" x14ac:dyDescent="0.3">
      <c r="A238" t="s">
        <v>558</v>
      </c>
      <c r="B238" s="2">
        <v>45809</v>
      </c>
      <c r="C238">
        <v>1521.7632000000001</v>
      </c>
      <c r="D238" t="s">
        <v>1807</v>
      </c>
      <c r="E238">
        <v>18</v>
      </c>
      <c r="F238" t="s">
        <v>9</v>
      </c>
      <c r="G238" t="s">
        <v>1549</v>
      </c>
      <c r="H238" t="s">
        <v>1737</v>
      </c>
      <c r="L238" s="2">
        <v>45809</v>
      </c>
      <c r="M238">
        <v>1521.7632000000001</v>
      </c>
      <c r="R238" t="s">
        <v>1807</v>
      </c>
      <c r="S238">
        <v>1521.7632000000001</v>
      </c>
      <c r="W238" s="11" t="s">
        <v>9</v>
      </c>
      <c r="X238" s="11" t="s">
        <v>1549</v>
      </c>
      <c r="Y238">
        <v>1521.7632000000001</v>
      </c>
      <c r="AF238">
        <v>1521.7632000000001</v>
      </c>
      <c r="AG238" t="s">
        <v>1737</v>
      </c>
    </row>
    <row r="239" spans="1:33" x14ac:dyDescent="0.3">
      <c r="A239" t="s">
        <v>1502</v>
      </c>
      <c r="B239" s="2">
        <v>45559</v>
      </c>
      <c r="C239">
        <v>1026.048</v>
      </c>
      <c r="D239" t="s">
        <v>1812</v>
      </c>
      <c r="E239">
        <v>23</v>
      </c>
      <c r="F239" t="s">
        <v>16</v>
      </c>
      <c r="G239" t="s">
        <v>1549</v>
      </c>
      <c r="H239" t="s">
        <v>1742</v>
      </c>
      <c r="L239" s="2">
        <v>45559</v>
      </c>
      <c r="M239">
        <v>1026.048</v>
      </c>
      <c r="R239" t="s">
        <v>1812</v>
      </c>
      <c r="S239">
        <v>1026.048</v>
      </c>
      <c r="W239" s="12" t="s">
        <v>16</v>
      </c>
      <c r="X239" s="12" t="s">
        <v>1549</v>
      </c>
      <c r="Y239">
        <v>1026.048</v>
      </c>
      <c r="AF239">
        <v>1026.048</v>
      </c>
      <c r="AG239" t="s">
        <v>1742</v>
      </c>
    </row>
    <row r="240" spans="1:33" x14ac:dyDescent="0.3">
      <c r="A240" t="s">
        <v>457</v>
      </c>
      <c r="B240" s="2">
        <v>45253</v>
      </c>
      <c r="C240">
        <v>469.60759999999999</v>
      </c>
      <c r="D240" t="s">
        <v>1807</v>
      </c>
      <c r="E240">
        <v>29</v>
      </c>
      <c r="F240" t="s">
        <v>9</v>
      </c>
      <c r="G240" t="s">
        <v>1546</v>
      </c>
      <c r="H240" t="s">
        <v>1742</v>
      </c>
      <c r="L240" s="2">
        <v>45253</v>
      </c>
      <c r="M240">
        <v>469.60759999999999</v>
      </c>
      <c r="R240" t="s">
        <v>1807</v>
      </c>
      <c r="S240">
        <v>469.60759999999999</v>
      </c>
      <c r="W240" s="11" t="s">
        <v>9</v>
      </c>
      <c r="X240" s="11" t="s">
        <v>1546</v>
      </c>
      <c r="Y240">
        <v>469.60759999999999</v>
      </c>
      <c r="AF240">
        <v>469.60759999999999</v>
      </c>
      <c r="AG240" t="s">
        <v>1742</v>
      </c>
    </row>
    <row r="241" spans="1:33" x14ac:dyDescent="0.3">
      <c r="A241" t="s">
        <v>697</v>
      </c>
      <c r="B241" s="2">
        <v>45861</v>
      </c>
      <c r="C241">
        <v>253.09200000000001</v>
      </c>
      <c r="D241" t="s">
        <v>1812</v>
      </c>
      <c r="E241">
        <v>42</v>
      </c>
      <c r="F241" t="s">
        <v>9</v>
      </c>
      <c r="G241" t="s">
        <v>1527</v>
      </c>
      <c r="H241" t="s">
        <v>1767</v>
      </c>
      <c r="L241" s="2">
        <v>45861</v>
      </c>
      <c r="M241">
        <v>253.09200000000001</v>
      </c>
      <c r="R241" t="s">
        <v>1812</v>
      </c>
      <c r="S241">
        <v>253.09200000000001</v>
      </c>
      <c r="W241" s="12" t="s">
        <v>9</v>
      </c>
      <c r="X241" s="12" t="s">
        <v>1527</v>
      </c>
      <c r="Y241">
        <v>253.09200000000001</v>
      </c>
      <c r="AF241">
        <v>253.09200000000001</v>
      </c>
      <c r="AG241" t="s">
        <v>1767</v>
      </c>
    </row>
    <row r="242" spans="1:33" x14ac:dyDescent="0.3">
      <c r="A242" t="s">
        <v>128</v>
      </c>
      <c r="B242" s="2">
        <v>45917</v>
      </c>
      <c r="C242">
        <v>2157.2703000000001</v>
      </c>
      <c r="D242" t="s">
        <v>1807</v>
      </c>
      <c r="E242">
        <v>48</v>
      </c>
      <c r="F242" t="s">
        <v>16</v>
      </c>
      <c r="G242" t="s">
        <v>1546</v>
      </c>
      <c r="H242" t="s">
        <v>1742</v>
      </c>
      <c r="L242" s="2">
        <v>45917</v>
      </c>
      <c r="M242">
        <v>2157.2703000000001</v>
      </c>
      <c r="R242" t="s">
        <v>1807</v>
      </c>
      <c r="S242">
        <v>2157.2703000000001</v>
      </c>
      <c r="W242" s="11" t="s">
        <v>16</v>
      </c>
      <c r="X242" s="11" t="s">
        <v>1546</v>
      </c>
      <c r="Y242">
        <v>2157.2703000000001</v>
      </c>
      <c r="AF242">
        <v>2157.2703000000001</v>
      </c>
      <c r="AG242" t="s">
        <v>1742</v>
      </c>
    </row>
    <row r="243" spans="1:33" x14ac:dyDescent="0.3">
      <c r="A243" t="s">
        <v>1451</v>
      </c>
      <c r="B243" s="2">
        <v>45754</v>
      </c>
      <c r="C243">
        <v>655.17379999999991</v>
      </c>
      <c r="D243" t="s">
        <v>1812</v>
      </c>
      <c r="E243">
        <v>41</v>
      </c>
      <c r="F243" t="s">
        <v>16</v>
      </c>
      <c r="G243" t="s">
        <v>1541</v>
      </c>
      <c r="H243" t="s">
        <v>1742</v>
      </c>
      <c r="L243" s="2">
        <v>45754</v>
      </c>
      <c r="M243">
        <v>655.17379999999991</v>
      </c>
      <c r="R243" t="s">
        <v>1812</v>
      </c>
      <c r="S243">
        <v>655.17379999999991</v>
      </c>
      <c r="W243" s="12" t="s">
        <v>16</v>
      </c>
      <c r="X243" s="12" t="s">
        <v>1541</v>
      </c>
      <c r="Y243">
        <v>655.17379999999991</v>
      </c>
      <c r="AF243">
        <v>655.17379999999991</v>
      </c>
      <c r="AG243" t="s">
        <v>1742</v>
      </c>
    </row>
    <row r="244" spans="1:33" x14ac:dyDescent="0.3">
      <c r="A244" t="s">
        <v>1013</v>
      </c>
      <c r="B244" s="2">
        <v>45312</v>
      </c>
      <c r="C244">
        <v>358.85849999999999</v>
      </c>
      <c r="D244" t="s">
        <v>1809</v>
      </c>
      <c r="E244">
        <v>58</v>
      </c>
      <c r="F244" t="s">
        <v>16</v>
      </c>
      <c r="G244" t="s">
        <v>1527</v>
      </c>
      <c r="H244" t="s">
        <v>1742</v>
      </c>
      <c r="L244" s="2">
        <v>45312</v>
      </c>
      <c r="M244">
        <v>358.85849999999999</v>
      </c>
      <c r="R244" t="s">
        <v>1809</v>
      </c>
      <c r="S244">
        <v>358.85849999999999</v>
      </c>
      <c r="W244" s="11" t="s">
        <v>16</v>
      </c>
      <c r="X244" s="11" t="s">
        <v>1527</v>
      </c>
      <c r="Y244">
        <v>358.85849999999999</v>
      </c>
      <c r="AF244">
        <v>358.85849999999999</v>
      </c>
      <c r="AG244" t="s">
        <v>1742</v>
      </c>
    </row>
    <row r="245" spans="1:33" x14ac:dyDescent="0.3">
      <c r="A245" t="s">
        <v>1127</v>
      </c>
      <c r="B245" s="2">
        <v>45480</v>
      </c>
      <c r="C245">
        <v>1365.663</v>
      </c>
      <c r="D245" t="s">
        <v>1807</v>
      </c>
      <c r="E245">
        <v>63</v>
      </c>
      <c r="F245" t="s">
        <v>16</v>
      </c>
      <c r="G245" t="s">
        <v>1549</v>
      </c>
      <c r="H245" t="s">
        <v>1742</v>
      </c>
      <c r="L245" s="2">
        <v>45480</v>
      </c>
      <c r="M245">
        <v>1365.663</v>
      </c>
      <c r="R245" t="s">
        <v>1807</v>
      </c>
      <c r="S245">
        <v>1365.663</v>
      </c>
      <c r="W245" s="12" t="s">
        <v>16</v>
      </c>
      <c r="X245" s="12" t="s">
        <v>1549</v>
      </c>
      <c r="Y245">
        <v>1365.663</v>
      </c>
      <c r="AF245">
        <v>1365.663</v>
      </c>
      <c r="AG245" t="s">
        <v>1742</v>
      </c>
    </row>
    <row r="246" spans="1:33" x14ac:dyDescent="0.3">
      <c r="A246" t="s">
        <v>649</v>
      </c>
      <c r="B246" s="2">
        <v>45780</v>
      </c>
      <c r="C246">
        <v>1303.6895999999999</v>
      </c>
      <c r="D246" t="s">
        <v>1809</v>
      </c>
      <c r="E246">
        <v>25</v>
      </c>
      <c r="F246" t="s">
        <v>16</v>
      </c>
      <c r="G246" t="s">
        <v>1527</v>
      </c>
      <c r="H246" t="s">
        <v>1737</v>
      </c>
      <c r="L246" s="2">
        <v>45780</v>
      </c>
      <c r="M246">
        <v>1303.6895999999999</v>
      </c>
      <c r="R246" t="s">
        <v>1809</v>
      </c>
      <c r="S246">
        <v>1303.6895999999999</v>
      </c>
      <c r="W246" s="11" t="s">
        <v>16</v>
      </c>
      <c r="X246" s="11" t="s">
        <v>1527</v>
      </c>
      <c r="Y246">
        <v>1303.6895999999999</v>
      </c>
      <c r="AF246">
        <v>1303.6895999999999</v>
      </c>
      <c r="AG246" t="s">
        <v>1737</v>
      </c>
    </row>
    <row r="247" spans="1:33" x14ac:dyDescent="0.3">
      <c r="A247" t="s">
        <v>1413</v>
      </c>
      <c r="B247" s="2">
        <v>45349</v>
      </c>
      <c r="C247">
        <v>641.41</v>
      </c>
      <c r="D247" t="s">
        <v>1809</v>
      </c>
      <c r="E247">
        <v>45</v>
      </c>
      <c r="F247" t="s">
        <v>16</v>
      </c>
      <c r="G247" t="s">
        <v>1527</v>
      </c>
      <c r="H247" t="s">
        <v>1746</v>
      </c>
      <c r="L247" s="2">
        <v>45349</v>
      </c>
      <c r="M247">
        <v>641.41</v>
      </c>
      <c r="R247" t="s">
        <v>1809</v>
      </c>
      <c r="S247">
        <v>641.41</v>
      </c>
      <c r="W247" s="12" t="s">
        <v>16</v>
      </c>
      <c r="X247" s="12" t="s">
        <v>1527</v>
      </c>
      <c r="Y247">
        <v>641.41</v>
      </c>
      <c r="AF247">
        <v>641.41</v>
      </c>
      <c r="AG247" t="s">
        <v>1746</v>
      </c>
    </row>
    <row r="248" spans="1:33" x14ac:dyDescent="0.3">
      <c r="A248" t="s">
        <v>1070</v>
      </c>
      <c r="B248" s="2">
        <v>45846</v>
      </c>
      <c r="C248">
        <v>200.9392</v>
      </c>
      <c r="D248" t="s">
        <v>1809</v>
      </c>
      <c r="E248">
        <v>33</v>
      </c>
      <c r="F248" t="s">
        <v>9</v>
      </c>
      <c r="G248" t="s">
        <v>1546</v>
      </c>
      <c r="H248" t="s">
        <v>1746</v>
      </c>
      <c r="L248" s="2">
        <v>45846</v>
      </c>
      <c r="M248">
        <v>200.9392</v>
      </c>
      <c r="R248" t="s">
        <v>1809</v>
      </c>
      <c r="S248">
        <v>200.9392</v>
      </c>
      <c r="W248" s="11" t="s">
        <v>9</v>
      </c>
      <c r="X248" s="11" t="s">
        <v>1546</v>
      </c>
      <c r="Y248">
        <v>200.9392</v>
      </c>
      <c r="AF248">
        <v>200.9392</v>
      </c>
      <c r="AG248" t="s">
        <v>1746</v>
      </c>
    </row>
    <row r="249" spans="1:33" x14ac:dyDescent="0.3">
      <c r="A249" t="s">
        <v>1334</v>
      </c>
      <c r="B249" s="2">
        <v>45729</v>
      </c>
      <c r="C249">
        <v>736.59950000000003</v>
      </c>
      <c r="D249" t="s">
        <v>1812</v>
      </c>
      <c r="E249">
        <v>61</v>
      </c>
      <c r="F249" t="s">
        <v>9</v>
      </c>
      <c r="G249" t="s">
        <v>1541</v>
      </c>
      <c r="H249" t="s">
        <v>1742</v>
      </c>
      <c r="L249" s="2">
        <v>45729</v>
      </c>
      <c r="M249">
        <v>736.59950000000003</v>
      </c>
      <c r="R249" t="s">
        <v>1812</v>
      </c>
      <c r="S249">
        <v>736.59950000000003</v>
      </c>
      <c r="W249" s="12" t="s">
        <v>9</v>
      </c>
      <c r="X249" s="12" t="s">
        <v>1541</v>
      </c>
      <c r="Y249">
        <v>736.59950000000003</v>
      </c>
      <c r="AF249">
        <v>736.59950000000003</v>
      </c>
      <c r="AG249" t="s">
        <v>1742</v>
      </c>
    </row>
    <row r="250" spans="1:33" x14ac:dyDescent="0.3">
      <c r="A250" t="s">
        <v>299</v>
      </c>
      <c r="B250" s="2">
        <v>45768</v>
      </c>
      <c r="C250">
        <v>1422.492</v>
      </c>
      <c r="D250" t="s">
        <v>1809</v>
      </c>
      <c r="E250">
        <v>26</v>
      </c>
      <c r="F250" t="s">
        <v>16</v>
      </c>
      <c r="G250" t="s">
        <v>1549</v>
      </c>
      <c r="H250" t="s">
        <v>1746</v>
      </c>
      <c r="L250" s="2">
        <v>45768</v>
      </c>
      <c r="M250">
        <v>1422.492</v>
      </c>
      <c r="R250" t="s">
        <v>1809</v>
      </c>
      <c r="S250">
        <v>1422.492</v>
      </c>
      <c r="W250" s="11" t="s">
        <v>16</v>
      </c>
      <c r="X250" s="11" t="s">
        <v>1549</v>
      </c>
      <c r="Y250">
        <v>1422.492</v>
      </c>
      <c r="AF250">
        <v>1422.492</v>
      </c>
      <c r="AG250" t="s">
        <v>1746</v>
      </c>
    </row>
    <row r="251" spans="1:33" x14ac:dyDescent="0.3">
      <c r="A251" t="s">
        <v>101</v>
      </c>
      <c r="B251" s="2">
        <v>45606</v>
      </c>
      <c r="C251">
        <v>1341.87</v>
      </c>
      <c r="D251" t="s">
        <v>1807</v>
      </c>
      <c r="E251">
        <v>40</v>
      </c>
      <c r="F251" t="s">
        <v>9</v>
      </c>
      <c r="G251" t="s">
        <v>1527</v>
      </c>
      <c r="H251" t="s">
        <v>1742</v>
      </c>
      <c r="L251" s="2">
        <v>45606</v>
      </c>
      <c r="M251">
        <v>1341.87</v>
      </c>
      <c r="R251" t="s">
        <v>1807</v>
      </c>
      <c r="S251">
        <v>1341.87</v>
      </c>
      <c r="W251" s="12" t="s">
        <v>9</v>
      </c>
      <c r="X251" s="12" t="s">
        <v>1527</v>
      </c>
      <c r="Y251">
        <v>1341.87</v>
      </c>
      <c r="AF251">
        <v>1341.87</v>
      </c>
      <c r="AG251" t="s">
        <v>1742</v>
      </c>
    </row>
    <row r="252" spans="1:33" x14ac:dyDescent="0.3">
      <c r="A252" t="s">
        <v>445</v>
      </c>
      <c r="B252" s="2">
        <v>45513</v>
      </c>
      <c r="C252">
        <v>2290.4243999999999</v>
      </c>
      <c r="D252" t="s">
        <v>1807</v>
      </c>
      <c r="E252">
        <v>57</v>
      </c>
      <c r="F252" t="s">
        <v>16</v>
      </c>
      <c r="G252" t="s">
        <v>1530</v>
      </c>
      <c r="H252" t="s">
        <v>1746</v>
      </c>
      <c r="L252" s="2">
        <v>45513</v>
      </c>
      <c r="M252">
        <v>2290.4243999999999</v>
      </c>
      <c r="R252" t="s">
        <v>1807</v>
      </c>
      <c r="S252">
        <v>2290.4243999999999</v>
      </c>
      <c r="W252" s="11" t="s">
        <v>16</v>
      </c>
      <c r="X252" s="11" t="s">
        <v>1530</v>
      </c>
      <c r="Y252">
        <v>2290.4243999999999</v>
      </c>
      <c r="AF252">
        <v>2290.4243999999999</v>
      </c>
      <c r="AG252" t="s">
        <v>1746</v>
      </c>
    </row>
    <row r="253" spans="1:33" x14ac:dyDescent="0.3">
      <c r="A253" t="s">
        <v>1476</v>
      </c>
      <c r="B253" s="2">
        <v>45356</v>
      </c>
      <c r="C253">
        <v>3143.84</v>
      </c>
      <c r="D253" t="s">
        <v>1809</v>
      </c>
      <c r="E253">
        <v>22</v>
      </c>
      <c r="F253" t="s">
        <v>16</v>
      </c>
      <c r="G253" t="s">
        <v>1549</v>
      </c>
      <c r="H253" t="s">
        <v>1742</v>
      </c>
      <c r="L253" s="2">
        <v>45356</v>
      </c>
      <c r="M253">
        <v>3143.84</v>
      </c>
      <c r="R253" t="s">
        <v>1809</v>
      </c>
      <c r="S253">
        <v>3143.84</v>
      </c>
      <c r="W253" s="12" t="s">
        <v>16</v>
      </c>
      <c r="X253" s="12" t="s">
        <v>1549</v>
      </c>
      <c r="Y253">
        <v>3143.84</v>
      </c>
      <c r="AF253">
        <v>3143.84</v>
      </c>
      <c r="AG253" t="s">
        <v>1742</v>
      </c>
    </row>
    <row r="254" spans="1:33" x14ac:dyDescent="0.3">
      <c r="A254" t="s">
        <v>1374</v>
      </c>
      <c r="B254" s="2">
        <v>45925</v>
      </c>
      <c r="C254">
        <v>494.56799999999998</v>
      </c>
      <c r="D254" t="s">
        <v>1809</v>
      </c>
      <c r="E254">
        <v>59</v>
      </c>
      <c r="F254" t="s">
        <v>9</v>
      </c>
      <c r="G254" t="s">
        <v>1546</v>
      </c>
      <c r="H254" t="s">
        <v>1742</v>
      </c>
      <c r="L254" s="2">
        <v>45925</v>
      </c>
      <c r="M254">
        <v>494.56799999999998</v>
      </c>
      <c r="R254" t="s">
        <v>1809</v>
      </c>
      <c r="S254">
        <v>494.56799999999998</v>
      </c>
      <c r="W254" s="11" t="s">
        <v>9</v>
      </c>
      <c r="X254" s="11" t="s">
        <v>1546</v>
      </c>
      <c r="Y254">
        <v>494.56799999999998</v>
      </c>
      <c r="AF254">
        <v>494.56799999999998</v>
      </c>
      <c r="AG254" t="s">
        <v>1742</v>
      </c>
    </row>
    <row r="255" spans="1:33" x14ac:dyDescent="0.3">
      <c r="A255" t="s">
        <v>765</v>
      </c>
      <c r="B255" s="2">
        <v>45876</v>
      </c>
      <c r="C255">
        <v>403.06560000000002</v>
      </c>
      <c r="D255" t="s">
        <v>1807</v>
      </c>
      <c r="E255">
        <v>31</v>
      </c>
      <c r="F255" t="s">
        <v>9</v>
      </c>
      <c r="G255" t="s">
        <v>1527</v>
      </c>
      <c r="H255" t="s">
        <v>1742</v>
      </c>
      <c r="L255" s="2">
        <v>45876</v>
      </c>
      <c r="M255">
        <v>403.06560000000002</v>
      </c>
      <c r="R255" t="s">
        <v>1807</v>
      </c>
      <c r="S255">
        <v>403.06560000000002</v>
      </c>
      <c r="W255" s="12" t="s">
        <v>9</v>
      </c>
      <c r="X255" s="12" t="s">
        <v>1527</v>
      </c>
      <c r="Y255">
        <v>403.06560000000002</v>
      </c>
      <c r="AF255">
        <v>403.06560000000002</v>
      </c>
      <c r="AG255" t="s">
        <v>1742</v>
      </c>
    </row>
    <row r="256" spans="1:33" x14ac:dyDescent="0.3">
      <c r="A256" t="s">
        <v>296</v>
      </c>
      <c r="B256" s="2">
        <v>45338</v>
      </c>
      <c r="C256">
        <v>1562.9290000000001</v>
      </c>
      <c r="D256" t="s">
        <v>1809</v>
      </c>
      <c r="E256">
        <v>48</v>
      </c>
      <c r="F256" t="s">
        <v>16</v>
      </c>
      <c r="G256" t="s">
        <v>1527</v>
      </c>
      <c r="H256" t="s">
        <v>1737</v>
      </c>
      <c r="L256" s="2">
        <v>45338</v>
      </c>
      <c r="M256">
        <v>1562.9290000000001</v>
      </c>
      <c r="R256" t="s">
        <v>1809</v>
      </c>
      <c r="S256">
        <v>1562.9290000000001</v>
      </c>
      <c r="W256" s="11" t="s">
        <v>16</v>
      </c>
      <c r="X256" s="11" t="s">
        <v>1527</v>
      </c>
      <c r="Y256">
        <v>1562.9290000000001</v>
      </c>
      <c r="AF256">
        <v>1562.9290000000001</v>
      </c>
      <c r="AG256" t="s">
        <v>1737</v>
      </c>
    </row>
    <row r="257" spans="1:33" x14ac:dyDescent="0.3">
      <c r="A257" t="s">
        <v>172</v>
      </c>
      <c r="B257" s="2">
        <v>45746</v>
      </c>
      <c r="C257">
        <v>1329.1128000000001</v>
      </c>
      <c r="D257" t="s">
        <v>1807</v>
      </c>
      <c r="E257">
        <v>54</v>
      </c>
      <c r="F257" t="s">
        <v>9</v>
      </c>
      <c r="G257" t="s">
        <v>1530</v>
      </c>
      <c r="H257" t="s">
        <v>1746</v>
      </c>
      <c r="L257" s="2">
        <v>45746</v>
      </c>
      <c r="M257">
        <v>1329.1128000000001</v>
      </c>
      <c r="R257" t="s">
        <v>1807</v>
      </c>
      <c r="S257">
        <v>1329.1128000000001</v>
      </c>
      <c r="W257" s="12" t="s">
        <v>9</v>
      </c>
      <c r="X257" s="12" t="s">
        <v>1530</v>
      </c>
      <c r="Y257">
        <v>1329.1128000000001</v>
      </c>
      <c r="AF257">
        <v>1329.1128000000001</v>
      </c>
      <c r="AG257" t="s">
        <v>1746</v>
      </c>
    </row>
    <row r="258" spans="1:33" x14ac:dyDescent="0.3">
      <c r="A258" t="s">
        <v>1437</v>
      </c>
      <c r="B258" s="2">
        <v>45706</v>
      </c>
      <c r="C258">
        <v>111.96120000000001</v>
      </c>
      <c r="D258" t="s">
        <v>1807</v>
      </c>
      <c r="E258">
        <v>42</v>
      </c>
      <c r="F258" t="s">
        <v>9</v>
      </c>
      <c r="G258" t="s">
        <v>1549</v>
      </c>
      <c r="H258" t="s">
        <v>1742</v>
      </c>
      <c r="L258" s="2">
        <v>45706</v>
      </c>
      <c r="M258">
        <v>111.96120000000001</v>
      </c>
      <c r="R258" t="s">
        <v>1807</v>
      </c>
      <c r="S258">
        <v>111.96120000000001</v>
      </c>
      <c r="W258" s="11" t="s">
        <v>9</v>
      </c>
      <c r="X258" s="11" t="s">
        <v>1549</v>
      </c>
      <c r="Y258">
        <v>111.96120000000001</v>
      </c>
      <c r="AF258">
        <v>111.96120000000001</v>
      </c>
      <c r="AG258" t="s">
        <v>1742</v>
      </c>
    </row>
    <row r="259" spans="1:33" x14ac:dyDescent="0.3">
      <c r="A259" t="s">
        <v>64</v>
      </c>
      <c r="B259" s="2">
        <v>45717</v>
      </c>
      <c r="C259">
        <v>1060.5816</v>
      </c>
      <c r="D259" t="s">
        <v>1812</v>
      </c>
      <c r="E259">
        <v>53</v>
      </c>
      <c r="F259" t="s">
        <v>16</v>
      </c>
      <c r="G259" t="s">
        <v>1549</v>
      </c>
      <c r="H259" t="s">
        <v>1742</v>
      </c>
      <c r="L259" s="2">
        <v>45717</v>
      </c>
      <c r="M259">
        <v>1060.5816</v>
      </c>
      <c r="R259" t="s">
        <v>1812</v>
      </c>
      <c r="S259">
        <v>1060.5816</v>
      </c>
      <c r="W259" s="12" t="s">
        <v>16</v>
      </c>
      <c r="X259" s="12" t="s">
        <v>1549</v>
      </c>
      <c r="Y259">
        <v>1060.5816</v>
      </c>
      <c r="AF259">
        <v>1060.5816</v>
      </c>
      <c r="AG259" t="s">
        <v>1742</v>
      </c>
    </row>
    <row r="260" spans="1:33" x14ac:dyDescent="0.3">
      <c r="A260" t="s">
        <v>460</v>
      </c>
      <c r="B260" s="2">
        <v>45300</v>
      </c>
      <c r="C260">
        <v>180.5814</v>
      </c>
      <c r="D260" t="s">
        <v>1807</v>
      </c>
      <c r="E260">
        <v>55</v>
      </c>
      <c r="F260" t="s">
        <v>16</v>
      </c>
      <c r="G260" t="s">
        <v>1527</v>
      </c>
      <c r="H260" t="s">
        <v>1742</v>
      </c>
      <c r="L260" s="2">
        <v>45300</v>
      </c>
      <c r="M260">
        <v>180.5814</v>
      </c>
      <c r="R260" t="s">
        <v>1807</v>
      </c>
      <c r="S260">
        <v>180.5814</v>
      </c>
      <c r="W260" s="11" t="s">
        <v>16</v>
      </c>
      <c r="X260" s="11" t="s">
        <v>1527</v>
      </c>
      <c r="Y260">
        <v>180.5814</v>
      </c>
      <c r="AF260">
        <v>180.5814</v>
      </c>
      <c r="AG260" t="s">
        <v>1742</v>
      </c>
    </row>
    <row r="261" spans="1:33" x14ac:dyDescent="0.3">
      <c r="A261" t="s">
        <v>789</v>
      </c>
      <c r="B261" s="2">
        <v>45773</v>
      </c>
      <c r="C261">
        <v>589.798</v>
      </c>
      <c r="D261" t="s">
        <v>1809</v>
      </c>
      <c r="E261">
        <v>41</v>
      </c>
      <c r="F261" t="s">
        <v>16</v>
      </c>
      <c r="G261" t="s">
        <v>1527</v>
      </c>
      <c r="H261" t="s">
        <v>1746</v>
      </c>
      <c r="L261" s="2">
        <v>45773</v>
      </c>
      <c r="M261">
        <v>589.798</v>
      </c>
      <c r="R261" t="s">
        <v>1809</v>
      </c>
      <c r="S261">
        <v>589.798</v>
      </c>
      <c r="W261" s="12" t="s">
        <v>16</v>
      </c>
      <c r="X261" s="12" t="s">
        <v>1527</v>
      </c>
      <c r="Y261">
        <v>589.798</v>
      </c>
      <c r="AF261">
        <v>589.798</v>
      </c>
      <c r="AG261" t="s">
        <v>1746</v>
      </c>
    </row>
    <row r="262" spans="1:33" x14ac:dyDescent="0.3">
      <c r="A262" t="s">
        <v>362</v>
      </c>
      <c r="B262" s="2">
        <v>45497</v>
      </c>
      <c r="C262">
        <v>2176.2280000000001</v>
      </c>
      <c r="D262" t="s">
        <v>1809</v>
      </c>
      <c r="E262">
        <v>64</v>
      </c>
      <c r="F262" t="s">
        <v>9</v>
      </c>
      <c r="G262" t="s">
        <v>1541</v>
      </c>
      <c r="H262" t="s">
        <v>1742</v>
      </c>
      <c r="L262" s="2">
        <v>45497</v>
      </c>
      <c r="M262">
        <v>2176.2280000000001</v>
      </c>
      <c r="R262" t="s">
        <v>1809</v>
      </c>
      <c r="S262">
        <v>2176.2280000000001</v>
      </c>
      <c r="W262" s="11" t="s">
        <v>9</v>
      </c>
      <c r="X262" s="11" t="s">
        <v>1541</v>
      </c>
      <c r="Y262">
        <v>2176.2280000000001</v>
      </c>
      <c r="AF262">
        <v>2176.2280000000001</v>
      </c>
      <c r="AG262" t="s">
        <v>1742</v>
      </c>
    </row>
    <row r="263" spans="1:33" x14ac:dyDescent="0.3">
      <c r="A263" t="s">
        <v>1037</v>
      </c>
      <c r="B263" s="2">
        <v>45742</v>
      </c>
      <c r="C263">
        <v>3159.0612000000001</v>
      </c>
      <c r="D263" t="s">
        <v>1807</v>
      </c>
      <c r="E263">
        <v>50</v>
      </c>
      <c r="F263" t="s">
        <v>16</v>
      </c>
      <c r="G263" t="s">
        <v>1546</v>
      </c>
      <c r="H263" t="s">
        <v>1767</v>
      </c>
      <c r="L263" s="2">
        <v>45742</v>
      </c>
      <c r="M263">
        <v>3159.0612000000001</v>
      </c>
      <c r="R263" t="s">
        <v>1807</v>
      </c>
      <c r="S263">
        <v>3159.0612000000001</v>
      </c>
      <c r="W263" s="12" t="s">
        <v>16</v>
      </c>
      <c r="X263" s="12" t="s">
        <v>1546</v>
      </c>
      <c r="Y263">
        <v>3159.0612000000001</v>
      </c>
      <c r="AF263">
        <v>3159.0612000000001</v>
      </c>
      <c r="AG263" t="s">
        <v>1767</v>
      </c>
    </row>
    <row r="264" spans="1:33" x14ac:dyDescent="0.3">
      <c r="A264" t="s">
        <v>676</v>
      </c>
      <c r="B264" s="2">
        <v>45713</v>
      </c>
      <c r="C264">
        <v>1194.7392</v>
      </c>
      <c r="D264" t="s">
        <v>1812</v>
      </c>
      <c r="E264">
        <v>48</v>
      </c>
      <c r="F264" t="s">
        <v>9</v>
      </c>
      <c r="G264" t="s">
        <v>1546</v>
      </c>
      <c r="H264" t="s">
        <v>1746</v>
      </c>
      <c r="L264" s="2">
        <v>45713</v>
      </c>
      <c r="M264">
        <v>1194.7392</v>
      </c>
      <c r="R264" t="s">
        <v>1812</v>
      </c>
      <c r="S264">
        <v>1194.7392</v>
      </c>
      <c r="W264" s="11" t="s">
        <v>9</v>
      </c>
      <c r="X264" s="11" t="s">
        <v>1546</v>
      </c>
      <c r="Y264">
        <v>1194.7392</v>
      </c>
      <c r="AF264">
        <v>1194.7392</v>
      </c>
      <c r="AG264" t="s">
        <v>1746</v>
      </c>
    </row>
    <row r="265" spans="1:33" x14ac:dyDescent="0.3">
      <c r="A265" t="s">
        <v>889</v>
      </c>
      <c r="B265" s="2">
        <v>45826</v>
      </c>
      <c r="C265">
        <v>1481.0512000000001</v>
      </c>
      <c r="D265" t="s">
        <v>1812</v>
      </c>
      <c r="E265">
        <v>54</v>
      </c>
      <c r="F265" t="s">
        <v>16</v>
      </c>
      <c r="G265" t="s">
        <v>1530</v>
      </c>
      <c r="H265" t="s">
        <v>1746</v>
      </c>
      <c r="L265" s="2">
        <v>45826</v>
      </c>
      <c r="M265">
        <v>1481.0512000000001</v>
      </c>
      <c r="R265" t="s">
        <v>1812</v>
      </c>
      <c r="S265">
        <v>1481.0512000000001</v>
      </c>
      <c r="W265" s="12" t="s">
        <v>16</v>
      </c>
      <c r="X265" s="12" t="s">
        <v>1530</v>
      </c>
      <c r="Y265">
        <v>1481.0512000000001</v>
      </c>
      <c r="AF265">
        <v>1481.0512000000001</v>
      </c>
      <c r="AG265" t="s">
        <v>1746</v>
      </c>
    </row>
    <row r="266" spans="1:33" x14ac:dyDescent="0.3">
      <c r="A266" t="s">
        <v>3951</v>
      </c>
      <c r="B266" s="2">
        <v>45648</v>
      </c>
      <c r="C266">
        <v>2407.2647999999999</v>
      </c>
      <c r="D266" t="s">
        <v>1812</v>
      </c>
      <c r="E266">
        <v>40</v>
      </c>
      <c r="F266" t="s">
        <v>9</v>
      </c>
      <c r="G266" t="s">
        <v>1541</v>
      </c>
      <c r="H266" t="s">
        <v>1742</v>
      </c>
      <c r="L266" s="2">
        <v>45648</v>
      </c>
      <c r="M266">
        <v>2407.2647999999999</v>
      </c>
      <c r="R266" t="s">
        <v>1812</v>
      </c>
      <c r="S266">
        <v>2407.2647999999999</v>
      </c>
      <c r="W266" s="11" t="s">
        <v>9</v>
      </c>
      <c r="X266" s="11" t="s">
        <v>1541</v>
      </c>
      <c r="Y266">
        <v>2407.2647999999999</v>
      </c>
      <c r="AF266">
        <v>2407.2647999999999</v>
      </c>
      <c r="AG266" t="s">
        <v>1742</v>
      </c>
    </row>
    <row r="267" spans="1:33" x14ac:dyDescent="0.3">
      <c r="A267" t="s">
        <v>474</v>
      </c>
      <c r="B267" s="2">
        <v>45836</v>
      </c>
      <c r="C267">
        <v>388.5</v>
      </c>
      <c r="D267" t="s">
        <v>1807</v>
      </c>
      <c r="E267">
        <v>37</v>
      </c>
      <c r="F267" t="s">
        <v>9</v>
      </c>
      <c r="G267" t="s">
        <v>1527</v>
      </c>
      <c r="H267" t="s">
        <v>1737</v>
      </c>
      <c r="L267" s="2">
        <v>45836</v>
      </c>
      <c r="M267">
        <v>388.5</v>
      </c>
      <c r="R267" t="s">
        <v>1807</v>
      </c>
      <c r="S267">
        <v>388.5</v>
      </c>
      <c r="W267" s="12" t="s">
        <v>9</v>
      </c>
      <c r="X267" s="12" t="s">
        <v>1527</v>
      </c>
      <c r="Y267">
        <v>388.5</v>
      </c>
      <c r="AF267">
        <v>388.5</v>
      </c>
      <c r="AG267" t="s">
        <v>1737</v>
      </c>
    </row>
    <row r="268" spans="1:33" x14ac:dyDescent="0.3">
      <c r="A268" t="s">
        <v>1328</v>
      </c>
      <c r="B268" s="2">
        <v>45437</v>
      </c>
      <c r="C268">
        <v>2337.75</v>
      </c>
      <c r="D268" t="s">
        <v>1807</v>
      </c>
      <c r="E268">
        <v>48</v>
      </c>
      <c r="F268" t="s">
        <v>16</v>
      </c>
      <c r="G268" t="s">
        <v>1541</v>
      </c>
      <c r="H268" t="s">
        <v>1746</v>
      </c>
      <c r="L268" s="2">
        <v>45437</v>
      </c>
      <c r="M268">
        <v>2337.75</v>
      </c>
      <c r="R268" t="s">
        <v>1807</v>
      </c>
      <c r="S268">
        <v>2337.75</v>
      </c>
      <c r="W268" s="11" t="s">
        <v>16</v>
      </c>
      <c r="X268" s="11" t="s">
        <v>1541</v>
      </c>
      <c r="Y268">
        <v>2337.75</v>
      </c>
      <c r="AF268">
        <v>2337.75</v>
      </c>
      <c r="AG268" t="s">
        <v>1746</v>
      </c>
    </row>
    <row r="269" spans="1:33" x14ac:dyDescent="0.3">
      <c r="A269" t="s">
        <v>407</v>
      </c>
      <c r="B269" s="2">
        <v>45807</v>
      </c>
      <c r="C269">
        <v>692.27</v>
      </c>
      <c r="D269" t="s">
        <v>1807</v>
      </c>
      <c r="E269">
        <v>40</v>
      </c>
      <c r="F269" t="s">
        <v>9</v>
      </c>
      <c r="G269" t="s">
        <v>1541</v>
      </c>
      <c r="H269" t="s">
        <v>1746</v>
      </c>
      <c r="L269" s="2">
        <v>45807</v>
      </c>
      <c r="M269">
        <v>692.27</v>
      </c>
      <c r="R269" t="s">
        <v>1807</v>
      </c>
      <c r="S269">
        <v>692.27</v>
      </c>
      <c r="W269" s="12" t="s">
        <v>9</v>
      </c>
      <c r="X269" s="12" t="s">
        <v>1541</v>
      </c>
      <c r="Y269">
        <v>692.27</v>
      </c>
      <c r="AF269">
        <v>692.27</v>
      </c>
      <c r="AG269" t="s">
        <v>1746</v>
      </c>
    </row>
    <row r="270" spans="1:33" x14ac:dyDescent="0.3">
      <c r="A270" t="s">
        <v>1250</v>
      </c>
      <c r="B270" s="2">
        <v>45555</v>
      </c>
      <c r="C270">
        <v>315.24779999999998</v>
      </c>
      <c r="D270" t="s">
        <v>1807</v>
      </c>
      <c r="E270">
        <v>33</v>
      </c>
      <c r="F270" t="s">
        <v>9</v>
      </c>
      <c r="G270" t="s">
        <v>1546</v>
      </c>
      <c r="H270" t="s">
        <v>1742</v>
      </c>
      <c r="L270" s="2">
        <v>45555</v>
      </c>
      <c r="M270">
        <v>315.24779999999998</v>
      </c>
      <c r="R270" t="s">
        <v>1807</v>
      </c>
      <c r="S270">
        <v>315.24779999999998</v>
      </c>
      <c r="W270" s="11" t="s">
        <v>9</v>
      </c>
      <c r="X270" s="11" t="s">
        <v>1546</v>
      </c>
      <c r="Y270">
        <v>315.24779999999998</v>
      </c>
      <c r="AF270">
        <v>315.24779999999998</v>
      </c>
      <c r="AG270" t="s">
        <v>1742</v>
      </c>
    </row>
    <row r="271" spans="1:33" x14ac:dyDescent="0.3">
      <c r="A271" t="s">
        <v>706</v>
      </c>
      <c r="B271" s="2">
        <v>45803</v>
      </c>
      <c r="C271">
        <v>2599.5947999999999</v>
      </c>
      <c r="D271" t="s">
        <v>1809</v>
      </c>
      <c r="E271">
        <v>50</v>
      </c>
      <c r="F271" t="s">
        <v>16</v>
      </c>
      <c r="G271" t="s">
        <v>1530</v>
      </c>
      <c r="H271" t="s">
        <v>1737</v>
      </c>
      <c r="L271" s="2">
        <v>45803</v>
      </c>
      <c r="M271">
        <v>2599.5947999999999</v>
      </c>
      <c r="R271" t="s">
        <v>1809</v>
      </c>
      <c r="S271">
        <v>2599.5947999999999</v>
      </c>
      <c r="W271" s="12" t="s">
        <v>16</v>
      </c>
      <c r="X271" s="12" t="s">
        <v>1530</v>
      </c>
      <c r="Y271">
        <v>2599.5947999999999</v>
      </c>
      <c r="AF271">
        <v>2599.5947999999999</v>
      </c>
      <c r="AG271" t="s">
        <v>1737</v>
      </c>
    </row>
    <row r="272" spans="1:33" x14ac:dyDescent="0.3">
      <c r="A272" t="s">
        <v>356</v>
      </c>
      <c r="B272" s="2">
        <v>45735</v>
      </c>
      <c r="C272">
        <v>1330.0704000000001</v>
      </c>
      <c r="D272" t="s">
        <v>1809</v>
      </c>
      <c r="E272">
        <v>34</v>
      </c>
      <c r="F272" t="s">
        <v>16</v>
      </c>
      <c r="G272" t="s">
        <v>1541</v>
      </c>
      <c r="H272" t="s">
        <v>1742</v>
      </c>
      <c r="L272" s="2">
        <v>45735</v>
      </c>
      <c r="M272">
        <v>1330.0704000000001</v>
      </c>
      <c r="R272" t="s">
        <v>1809</v>
      </c>
      <c r="S272">
        <v>1330.0704000000001</v>
      </c>
      <c r="W272" s="11" t="s">
        <v>16</v>
      </c>
      <c r="X272" s="11" t="s">
        <v>1541</v>
      </c>
      <c r="Y272">
        <v>1330.0704000000001</v>
      </c>
      <c r="AF272">
        <v>1330.0704000000001</v>
      </c>
      <c r="AG272" t="s">
        <v>1742</v>
      </c>
    </row>
    <row r="273" spans="1:33" x14ac:dyDescent="0.3">
      <c r="A273" t="s">
        <v>454</v>
      </c>
      <c r="B273" s="2">
        <v>45750</v>
      </c>
      <c r="C273">
        <v>197.68199999999999</v>
      </c>
      <c r="D273" t="s">
        <v>1807</v>
      </c>
      <c r="E273">
        <v>33</v>
      </c>
      <c r="F273" t="s">
        <v>16</v>
      </c>
      <c r="G273" t="s">
        <v>1527</v>
      </c>
      <c r="H273" t="s">
        <v>1767</v>
      </c>
      <c r="L273" s="2">
        <v>45750</v>
      </c>
      <c r="M273">
        <v>197.68199999999999</v>
      </c>
      <c r="R273" t="s">
        <v>1807</v>
      </c>
      <c r="S273">
        <v>197.68199999999999</v>
      </c>
      <c r="W273" s="12" t="s">
        <v>16</v>
      </c>
      <c r="X273" s="12" t="s">
        <v>1527</v>
      </c>
      <c r="Y273">
        <v>197.68199999999999</v>
      </c>
      <c r="AF273">
        <v>197.68199999999999</v>
      </c>
      <c r="AG273" t="s">
        <v>1767</v>
      </c>
    </row>
    <row r="274" spans="1:33" x14ac:dyDescent="0.3">
      <c r="A274" t="s">
        <v>3935</v>
      </c>
      <c r="B274" s="2">
        <v>45693</v>
      </c>
      <c r="C274">
        <v>1519.4975999999999</v>
      </c>
      <c r="D274" t="s">
        <v>1812</v>
      </c>
      <c r="E274">
        <v>27</v>
      </c>
      <c r="F274" t="s">
        <v>16</v>
      </c>
      <c r="G274" t="s">
        <v>1530</v>
      </c>
      <c r="H274" t="s">
        <v>1742</v>
      </c>
      <c r="L274" s="2">
        <v>45693</v>
      </c>
      <c r="M274">
        <v>1519.4975999999999</v>
      </c>
      <c r="R274" t="s">
        <v>1812</v>
      </c>
      <c r="S274">
        <v>1519.4975999999999</v>
      </c>
      <c r="W274" s="11" t="s">
        <v>16</v>
      </c>
      <c r="X274" s="11" t="s">
        <v>1530</v>
      </c>
      <c r="Y274">
        <v>1519.4975999999999</v>
      </c>
      <c r="AF274">
        <v>1519.4975999999999</v>
      </c>
      <c r="AG274" t="s">
        <v>1742</v>
      </c>
    </row>
    <row r="275" spans="1:33" x14ac:dyDescent="0.3">
      <c r="A275" t="s">
        <v>975</v>
      </c>
      <c r="B275" s="2">
        <v>45667</v>
      </c>
      <c r="C275">
        <v>811.07159999999999</v>
      </c>
      <c r="D275" t="s">
        <v>1809</v>
      </c>
      <c r="E275">
        <v>62</v>
      </c>
      <c r="F275" t="s">
        <v>9</v>
      </c>
      <c r="G275" t="s">
        <v>1546</v>
      </c>
      <c r="H275" t="s">
        <v>1767</v>
      </c>
      <c r="L275" s="2">
        <v>45667</v>
      </c>
      <c r="M275">
        <v>811.07159999999999</v>
      </c>
      <c r="R275" t="s">
        <v>1809</v>
      </c>
      <c r="S275">
        <v>811.07159999999999</v>
      </c>
      <c r="W275" s="12" t="s">
        <v>9</v>
      </c>
      <c r="X275" s="12" t="s">
        <v>1546</v>
      </c>
      <c r="Y275">
        <v>811.07159999999999</v>
      </c>
      <c r="AF275">
        <v>811.07159999999999</v>
      </c>
      <c r="AG275" t="s">
        <v>1767</v>
      </c>
    </row>
    <row r="276" spans="1:33" x14ac:dyDescent="0.3">
      <c r="A276" t="s">
        <v>1328</v>
      </c>
      <c r="B276" s="2">
        <v>45316</v>
      </c>
      <c r="C276">
        <v>394.58629999999999</v>
      </c>
      <c r="D276" t="s">
        <v>1812</v>
      </c>
      <c r="E276">
        <v>48</v>
      </c>
      <c r="F276" t="s">
        <v>16</v>
      </c>
      <c r="G276" t="s">
        <v>1527</v>
      </c>
      <c r="H276" t="s">
        <v>1742</v>
      </c>
      <c r="L276" s="2">
        <v>45316</v>
      </c>
      <c r="M276">
        <v>394.58629999999999</v>
      </c>
      <c r="R276" t="s">
        <v>1812</v>
      </c>
      <c r="S276">
        <v>394.58629999999999</v>
      </c>
      <c r="W276" s="11" t="s">
        <v>16</v>
      </c>
      <c r="X276" s="11" t="s">
        <v>1527</v>
      </c>
      <c r="Y276">
        <v>394.58629999999999</v>
      </c>
      <c r="AF276">
        <v>394.58629999999999</v>
      </c>
      <c r="AG276" t="s">
        <v>1742</v>
      </c>
    </row>
    <row r="277" spans="1:33" x14ac:dyDescent="0.3">
      <c r="A277" t="s">
        <v>1151</v>
      </c>
      <c r="B277" s="2">
        <v>45932</v>
      </c>
      <c r="C277">
        <v>581.76959999999997</v>
      </c>
      <c r="D277" t="s">
        <v>1809</v>
      </c>
      <c r="E277">
        <v>37</v>
      </c>
      <c r="F277" t="s">
        <v>16</v>
      </c>
      <c r="G277" t="s">
        <v>1549</v>
      </c>
      <c r="H277" t="s">
        <v>1742</v>
      </c>
      <c r="L277" s="2">
        <v>45932</v>
      </c>
      <c r="M277">
        <v>581.76959999999997</v>
      </c>
      <c r="R277" t="s">
        <v>1809</v>
      </c>
      <c r="S277">
        <v>581.76959999999997</v>
      </c>
      <c r="W277" s="12" t="s">
        <v>16</v>
      </c>
      <c r="X277" s="12" t="s">
        <v>1549</v>
      </c>
      <c r="Y277">
        <v>581.76959999999997</v>
      </c>
      <c r="AF277">
        <v>581.76959999999997</v>
      </c>
      <c r="AG277" t="s">
        <v>1742</v>
      </c>
    </row>
    <row r="278" spans="1:33" x14ac:dyDescent="0.3">
      <c r="A278" t="s">
        <v>1084</v>
      </c>
      <c r="B278" s="2">
        <v>45483</v>
      </c>
      <c r="C278">
        <v>1212.9007999999999</v>
      </c>
      <c r="D278" t="s">
        <v>1807</v>
      </c>
      <c r="E278">
        <v>26</v>
      </c>
      <c r="F278" t="s">
        <v>9</v>
      </c>
      <c r="G278" t="s">
        <v>1549</v>
      </c>
      <c r="H278" t="s">
        <v>1742</v>
      </c>
      <c r="L278" s="2">
        <v>45483</v>
      </c>
      <c r="M278">
        <v>1212.9007999999999</v>
      </c>
      <c r="R278" t="s">
        <v>1807</v>
      </c>
      <c r="S278">
        <v>1212.9007999999999</v>
      </c>
      <c r="W278" s="11" t="s">
        <v>9</v>
      </c>
      <c r="X278" s="11" t="s">
        <v>1549</v>
      </c>
      <c r="Y278">
        <v>1212.9007999999999</v>
      </c>
      <c r="AF278">
        <v>1212.9007999999999</v>
      </c>
      <c r="AG278" t="s">
        <v>1742</v>
      </c>
    </row>
    <row r="279" spans="1:33" x14ac:dyDescent="0.3">
      <c r="A279" t="s">
        <v>1473</v>
      </c>
      <c r="B279" s="2">
        <v>45661</v>
      </c>
      <c r="C279">
        <v>1741.5192</v>
      </c>
      <c r="D279" t="s">
        <v>1809</v>
      </c>
      <c r="E279">
        <v>46</v>
      </c>
      <c r="F279" t="s">
        <v>16</v>
      </c>
      <c r="G279" t="s">
        <v>1546</v>
      </c>
      <c r="H279" t="s">
        <v>1742</v>
      </c>
      <c r="L279" s="2">
        <v>45661</v>
      </c>
      <c r="M279">
        <v>1741.5192</v>
      </c>
      <c r="R279" t="s">
        <v>1809</v>
      </c>
      <c r="S279">
        <v>1741.5192</v>
      </c>
      <c r="W279" s="12" t="s">
        <v>16</v>
      </c>
      <c r="X279" s="12" t="s">
        <v>1546</v>
      </c>
      <c r="Y279">
        <v>1741.5192</v>
      </c>
      <c r="AF279">
        <v>1741.5192</v>
      </c>
      <c r="AG279" t="s">
        <v>1742</v>
      </c>
    </row>
    <row r="280" spans="1:33" x14ac:dyDescent="0.3">
      <c r="A280" t="s">
        <v>987</v>
      </c>
      <c r="B280" s="2">
        <v>45798</v>
      </c>
      <c r="C280">
        <v>937.4896</v>
      </c>
      <c r="D280" t="s">
        <v>1809</v>
      </c>
      <c r="E280">
        <v>64</v>
      </c>
      <c r="F280" t="s">
        <v>16</v>
      </c>
      <c r="G280" t="s">
        <v>1530</v>
      </c>
      <c r="H280" t="s">
        <v>1746</v>
      </c>
      <c r="L280" s="2">
        <v>45798</v>
      </c>
      <c r="M280">
        <v>937.4896</v>
      </c>
      <c r="R280" t="s">
        <v>1809</v>
      </c>
      <c r="S280">
        <v>937.4896</v>
      </c>
      <c r="W280" s="11" t="s">
        <v>16</v>
      </c>
      <c r="X280" s="11" t="s">
        <v>1530</v>
      </c>
      <c r="Y280">
        <v>937.4896</v>
      </c>
      <c r="AF280">
        <v>937.4896</v>
      </c>
      <c r="AG280" t="s">
        <v>1746</v>
      </c>
    </row>
    <row r="281" spans="1:33" x14ac:dyDescent="0.3">
      <c r="A281" t="s">
        <v>1016</v>
      </c>
      <c r="B281" s="2">
        <v>45868</v>
      </c>
      <c r="C281">
        <v>2687.5259999999998</v>
      </c>
      <c r="D281" t="s">
        <v>1809</v>
      </c>
      <c r="E281">
        <v>62</v>
      </c>
      <c r="F281" t="s">
        <v>16</v>
      </c>
      <c r="G281" t="s">
        <v>1530</v>
      </c>
      <c r="H281" t="s">
        <v>1742</v>
      </c>
      <c r="L281" s="2">
        <v>45868</v>
      </c>
      <c r="M281">
        <v>2687.5259999999998</v>
      </c>
      <c r="R281" t="s">
        <v>1809</v>
      </c>
      <c r="S281">
        <v>2687.5259999999998</v>
      </c>
      <c r="W281" s="12" t="s">
        <v>16</v>
      </c>
      <c r="X281" s="12" t="s">
        <v>1530</v>
      </c>
      <c r="Y281">
        <v>2687.5259999999998</v>
      </c>
      <c r="AF281">
        <v>2687.5259999999998</v>
      </c>
      <c r="AG281" t="s">
        <v>1742</v>
      </c>
    </row>
    <row r="282" spans="1:33" x14ac:dyDescent="0.3">
      <c r="A282" t="s">
        <v>410</v>
      </c>
      <c r="B282" s="2">
        <v>45757</v>
      </c>
      <c r="C282">
        <v>299.6721</v>
      </c>
      <c r="D282" t="s">
        <v>1807</v>
      </c>
      <c r="E282">
        <v>44</v>
      </c>
      <c r="F282" t="s">
        <v>16</v>
      </c>
      <c r="G282" t="s">
        <v>1546</v>
      </c>
      <c r="H282" t="s">
        <v>1767</v>
      </c>
      <c r="L282" s="2">
        <v>45757</v>
      </c>
      <c r="M282">
        <v>299.6721</v>
      </c>
      <c r="R282" t="s">
        <v>1807</v>
      </c>
      <c r="S282">
        <v>299.6721</v>
      </c>
      <c r="W282" s="11" t="s">
        <v>16</v>
      </c>
      <c r="X282" s="11" t="s">
        <v>1546</v>
      </c>
      <c r="Y282">
        <v>299.6721</v>
      </c>
      <c r="AF282">
        <v>299.6721</v>
      </c>
      <c r="AG282" t="s">
        <v>1767</v>
      </c>
    </row>
    <row r="283" spans="1:33" x14ac:dyDescent="0.3">
      <c r="A283" t="s">
        <v>1491</v>
      </c>
      <c r="B283" s="2">
        <v>45475</v>
      </c>
      <c r="C283">
        <v>177.19200000000001</v>
      </c>
      <c r="D283" t="s">
        <v>1812</v>
      </c>
      <c r="E283">
        <v>52</v>
      </c>
      <c r="F283" t="s">
        <v>16</v>
      </c>
      <c r="G283" t="s">
        <v>1541</v>
      </c>
      <c r="H283" t="s">
        <v>1742</v>
      </c>
      <c r="L283" s="2">
        <v>45475</v>
      </c>
      <c r="M283">
        <v>177.19200000000001</v>
      </c>
      <c r="R283" t="s">
        <v>1812</v>
      </c>
      <c r="S283">
        <v>177.19200000000001</v>
      </c>
      <c r="W283" s="12" t="s">
        <v>16</v>
      </c>
      <c r="X283" s="12" t="s">
        <v>1541</v>
      </c>
      <c r="Y283">
        <v>177.19200000000001</v>
      </c>
      <c r="AF283">
        <v>177.19200000000001</v>
      </c>
      <c r="AG283" t="s">
        <v>1742</v>
      </c>
    </row>
    <row r="284" spans="1:33" x14ac:dyDescent="0.3">
      <c r="A284" t="s">
        <v>830</v>
      </c>
      <c r="B284" s="2">
        <v>45829</v>
      </c>
      <c r="C284">
        <v>1568.5425</v>
      </c>
      <c r="D284" t="s">
        <v>1812</v>
      </c>
      <c r="E284">
        <v>50</v>
      </c>
      <c r="F284" t="s">
        <v>9</v>
      </c>
      <c r="G284" t="s">
        <v>1546</v>
      </c>
      <c r="H284" t="s">
        <v>1742</v>
      </c>
      <c r="L284" s="2">
        <v>45829</v>
      </c>
      <c r="M284">
        <v>1568.5425</v>
      </c>
      <c r="R284" t="s">
        <v>1812</v>
      </c>
      <c r="S284">
        <v>1568.5425</v>
      </c>
      <c r="W284" s="11" t="s">
        <v>9</v>
      </c>
      <c r="X284" s="11" t="s">
        <v>1546</v>
      </c>
      <c r="Y284">
        <v>1568.5425</v>
      </c>
      <c r="AF284">
        <v>1568.5425</v>
      </c>
      <c r="AG284" t="s">
        <v>1742</v>
      </c>
    </row>
    <row r="285" spans="1:33" x14ac:dyDescent="0.3">
      <c r="A285" t="s">
        <v>3953</v>
      </c>
      <c r="B285" s="2">
        <v>45639</v>
      </c>
      <c r="C285">
        <v>346.49400000000003</v>
      </c>
      <c r="D285" t="s">
        <v>1807</v>
      </c>
      <c r="E285">
        <v>52</v>
      </c>
      <c r="F285" t="s">
        <v>16</v>
      </c>
      <c r="G285" t="s">
        <v>1541</v>
      </c>
      <c r="H285" t="s">
        <v>1742</v>
      </c>
      <c r="L285" s="2">
        <v>45639</v>
      </c>
      <c r="M285">
        <v>346.49400000000003</v>
      </c>
      <c r="R285" t="s">
        <v>1807</v>
      </c>
      <c r="S285">
        <v>346.49400000000003</v>
      </c>
      <c r="W285" s="12" t="s">
        <v>16</v>
      </c>
      <c r="X285" s="12" t="s">
        <v>1541</v>
      </c>
      <c r="Y285">
        <v>346.49400000000003</v>
      </c>
      <c r="AF285">
        <v>346.49400000000003</v>
      </c>
      <c r="AG285" t="s">
        <v>1742</v>
      </c>
    </row>
    <row r="286" spans="1:33" x14ac:dyDescent="0.3">
      <c r="A286" t="s">
        <v>824</v>
      </c>
      <c r="B286" s="2">
        <v>45518</v>
      </c>
      <c r="C286">
        <v>442.79050000000001</v>
      </c>
      <c r="D286" t="s">
        <v>1807</v>
      </c>
      <c r="E286">
        <v>27</v>
      </c>
      <c r="F286" t="s">
        <v>16</v>
      </c>
      <c r="G286" t="s">
        <v>1527</v>
      </c>
      <c r="H286" t="s">
        <v>1742</v>
      </c>
      <c r="L286" s="2">
        <v>45518</v>
      </c>
      <c r="M286">
        <v>442.79050000000001</v>
      </c>
      <c r="R286" t="s">
        <v>1807</v>
      </c>
      <c r="S286">
        <v>442.79050000000001</v>
      </c>
      <c r="W286" s="11" t="s">
        <v>16</v>
      </c>
      <c r="X286" s="11" t="s">
        <v>1527</v>
      </c>
      <c r="Y286">
        <v>442.79050000000001</v>
      </c>
      <c r="AF286">
        <v>442.79050000000001</v>
      </c>
      <c r="AG286" t="s">
        <v>1742</v>
      </c>
    </row>
    <row r="287" spans="1:33" x14ac:dyDescent="0.3">
      <c r="A287" t="s">
        <v>722</v>
      </c>
      <c r="B287" s="2">
        <v>45721</v>
      </c>
      <c r="C287">
        <v>553.18960000000004</v>
      </c>
      <c r="D287" t="s">
        <v>1812</v>
      </c>
      <c r="E287">
        <v>54</v>
      </c>
      <c r="F287" t="s">
        <v>9</v>
      </c>
      <c r="G287" t="s">
        <v>1549</v>
      </c>
      <c r="H287" t="s">
        <v>1746</v>
      </c>
      <c r="L287" s="2">
        <v>45721</v>
      </c>
      <c r="M287">
        <v>553.18960000000004</v>
      </c>
      <c r="R287" t="s">
        <v>1812</v>
      </c>
      <c r="S287">
        <v>553.18960000000004</v>
      </c>
      <c r="W287" s="12" t="s">
        <v>9</v>
      </c>
      <c r="X287" s="12" t="s">
        <v>1549</v>
      </c>
      <c r="Y287">
        <v>553.18960000000004</v>
      </c>
      <c r="AF287">
        <v>553.18960000000004</v>
      </c>
      <c r="AG287" t="s">
        <v>1746</v>
      </c>
    </row>
    <row r="288" spans="1:33" x14ac:dyDescent="0.3">
      <c r="A288" t="s">
        <v>1422</v>
      </c>
      <c r="B288" s="2">
        <v>45308</v>
      </c>
      <c r="C288">
        <v>2181.4650000000011</v>
      </c>
      <c r="D288" t="s">
        <v>1809</v>
      </c>
      <c r="E288">
        <v>63</v>
      </c>
      <c r="F288" t="s">
        <v>16</v>
      </c>
      <c r="G288" t="s">
        <v>1546</v>
      </c>
      <c r="H288" t="s">
        <v>1742</v>
      </c>
      <c r="L288" s="2">
        <v>45308</v>
      </c>
      <c r="M288">
        <v>2181.4650000000011</v>
      </c>
      <c r="R288" t="s">
        <v>1809</v>
      </c>
      <c r="S288">
        <v>2181.4650000000011</v>
      </c>
      <c r="W288" s="11" t="s">
        <v>16</v>
      </c>
      <c r="X288" s="11" t="s">
        <v>1546</v>
      </c>
      <c r="Y288">
        <v>2181.4650000000011</v>
      </c>
      <c r="AF288">
        <v>2181.4650000000011</v>
      </c>
      <c r="AG288" t="s">
        <v>1742</v>
      </c>
    </row>
    <row r="289" spans="1:33" x14ac:dyDescent="0.3">
      <c r="A289" t="s">
        <v>1043</v>
      </c>
      <c r="B289" s="2">
        <v>45889</v>
      </c>
      <c r="C289">
        <v>2175.5252</v>
      </c>
      <c r="D289" t="s">
        <v>1809</v>
      </c>
      <c r="E289">
        <v>58</v>
      </c>
      <c r="F289" t="s">
        <v>16</v>
      </c>
      <c r="G289" t="s">
        <v>1549</v>
      </c>
      <c r="H289" t="s">
        <v>1737</v>
      </c>
      <c r="L289" s="2">
        <v>45889</v>
      </c>
      <c r="M289">
        <v>2175.5252</v>
      </c>
      <c r="R289" t="s">
        <v>1809</v>
      </c>
      <c r="S289">
        <v>2175.5252</v>
      </c>
      <c r="W289" s="12" t="s">
        <v>16</v>
      </c>
      <c r="X289" s="12" t="s">
        <v>1549</v>
      </c>
      <c r="Y289">
        <v>2175.5252</v>
      </c>
      <c r="AF289">
        <v>2175.5252</v>
      </c>
      <c r="AG289" t="s">
        <v>1737</v>
      </c>
    </row>
    <row r="290" spans="1:33" x14ac:dyDescent="0.3">
      <c r="A290" t="s">
        <v>596</v>
      </c>
      <c r="B290" s="2">
        <v>45386</v>
      </c>
      <c r="C290">
        <v>1504.4760000000001</v>
      </c>
      <c r="D290" t="s">
        <v>1812</v>
      </c>
      <c r="E290">
        <v>18</v>
      </c>
      <c r="F290" t="s">
        <v>9</v>
      </c>
      <c r="G290" t="s">
        <v>1549</v>
      </c>
      <c r="H290" t="s">
        <v>1767</v>
      </c>
      <c r="L290" s="2">
        <v>45386</v>
      </c>
      <c r="M290">
        <v>1504.4760000000001</v>
      </c>
      <c r="R290" t="s">
        <v>1812</v>
      </c>
      <c r="S290">
        <v>1504.4760000000001</v>
      </c>
      <c r="W290" s="11" t="s">
        <v>9</v>
      </c>
      <c r="X290" s="11" t="s">
        <v>1549</v>
      </c>
      <c r="Y290">
        <v>1504.4760000000001</v>
      </c>
      <c r="AF290">
        <v>1504.4760000000001</v>
      </c>
      <c r="AG290" t="s">
        <v>1767</v>
      </c>
    </row>
    <row r="291" spans="1:33" x14ac:dyDescent="0.3">
      <c r="A291" t="s">
        <v>833</v>
      </c>
      <c r="B291" s="2">
        <v>45438</v>
      </c>
      <c r="C291">
        <v>154.74359999999999</v>
      </c>
      <c r="D291" t="s">
        <v>1812</v>
      </c>
      <c r="E291">
        <v>25</v>
      </c>
      <c r="F291" t="s">
        <v>9</v>
      </c>
      <c r="G291" t="s">
        <v>1549</v>
      </c>
      <c r="H291" t="s">
        <v>1746</v>
      </c>
      <c r="L291" s="2">
        <v>45438</v>
      </c>
      <c r="M291">
        <v>154.74359999999999</v>
      </c>
      <c r="R291" t="s">
        <v>1812</v>
      </c>
      <c r="S291">
        <v>154.74359999999999</v>
      </c>
      <c r="W291" s="12" t="s">
        <v>9</v>
      </c>
      <c r="X291" s="12" t="s">
        <v>1549</v>
      </c>
      <c r="Y291">
        <v>154.74359999999999</v>
      </c>
      <c r="AF291">
        <v>154.74359999999999</v>
      </c>
      <c r="AG291" t="s">
        <v>1746</v>
      </c>
    </row>
    <row r="292" spans="1:33" x14ac:dyDescent="0.3">
      <c r="A292" t="s">
        <v>1282</v>
      </c>
      <c r="B292" s="2">
        <v>45856</v>
      </c>
      <c r="C292">
        <v>1501.152</v>
      </c>
      <c r="D292" t="s">
        <v>1812</v>
      </c>
      <c r="E292">
        <v>60</v>
      </c>
      <c r="F292" t="s">
        <v>16</v>
      </c>
      <c r="G292" t="s">
        <v>1549</v>
      </c>
      <c r="H292" t="s">
        <v>1742</v>
      </c>
      <c r="L292" s="2">
        <v>45856</v>
      </c>
      <c r="M292">
        <v>1501.152</v>
      </c>
      <c r="R292" t="s">
        <v>1812</v>
      </c>
      <c r="S292">
        <v>1501.152</v>
      </c>
      <c r="W292" s="11" t="s">
        <v>16</v>
      </c>
      <c r="X292" s="11" t="s">
        <v>1549</v>
      </c>
      <c r="Y292">
        <v>1501.152</v>
      </c>
      <c r="AF292">
        <v>1501.152</v>
      </c>
      <c r="AG292" t="s">
        <v>1742</v>
      </c>
    </row>
    <row r="293" spans="1:33" x14ac:dyDescent="0.3">
      <c r="A293" t="s">
        <v>79</v>
      </c>
      <c r="B293" s="2">
        <v>45485</v>
      </c>
      <c r="C293">
        <v>480.41250000000002</v>
      </c>
      <c r="D293" t="s">
        <v>1807</v>
      </c>
      <c r="E293">
        <v>43</v>
      </c>
      <c r="F293" t="s">
        <v>9</v>
      </c>
      <c r="G293" t="s">
        <v>1549</v>
      </c>
      <c r="H293" t="s">
        <v>1742</v>
      </c>
      <c r="L293" s="2">
        <v>45485</v>
      </c>
      <c r="M293">
        <v>480.41250000000002</v>
      </c>
      <c r="R293" t="s">
        <v>1807</v>
      </c>
      <c r="S293">
        <v>480.41250000000002</v>
      </c>
      <c r="W293" s="12" t="s">
        <v>9</v>
      </c>
      <c r="X293" s="12" t="s">
        <v>1549</v>
      </c>
      <c r="Y293">
        <v>480.41250000000002</v>
      </c>
      <c r="AF293">
        <v>480.41250000000002</v>
      </c>
      <c r="AG293" t="s">
        <v>1742</v>
      </c>
    </row>
    <row r="294" spans="1:33" x14ac:dyDescent="0.3">
      <c r="A294" t="s">
        <v>410</v>
      </c>
      <c r="B294" s="2">
        <v>45545</v>
      </c>
      <c r="C294">
        <v>491.77100000000002</v>
      </c>
      <c r="D294" t="s">
        <v>1807</v>
      </c>
      <c r="E294">
        <v>44</v>
      </c>
      <c r="F294" t="s">
        <v>16</v>
      </c>
      <c r="G294" t="s">
        <v>1546</v>
      </c>
      <c r="H294" t="s">
        <v>1746</v>
      </c>
      <c r="L294" s="2">
        <v>45545</v>
      </c>
      <c r="M294">
        <v>491.77100000000002</v>
      </c>
      <c r="R294" t="s">
        <v>1807</v>
      </c>
      <c r="S294">
        <v>491.77100000000002</v>
      </c>
      <c r="W294" s="11" t="s">
        <v>16</v>
      </c>
      <c r="X294" s="11" t="s">
        <v>1546</v>
      </c>
      <c r="Y294">
        <v>491.77100000000002</v>
      </c>
      <c r="AF294">
        <v>491.77100000000002</v>
      </c>
      <c r="AG294" t="s">
        <v>1746</v>
      </c>
    </row>
    <row r="295" spans="1:33" x14ac:dyDescent="0.3">
      <c r="A295" t="s">
        <v>719</v>
      </c>
      <c r="B295" s="2">
        <v>45826</v>
      </c>
      <c r="C295">
        <v>425.41759999999999</v>
      </c>
      <c r="D295" t="s">
        <v>1807</v>
      </c>
      <c r="E295">
        <v>46</v>
      </c>
      <c r="F295" t="s">
        <v>16</v>
      </c>
      <c r="G295" t="s">
        <v>1546</v>
      </c>
      <c r="H295" t="s">
        <v>1767</v>
      </c>
      <c r="L295" s="2">
        <v>45826</v>
      </c>
      <c r="M295">
        <v>425.41759999999999</v>
      </c>
      <c r="R295" t="s">
        <v>1807</v>
      </c>
      <c r="S295">
        <v>425.41759999999999</v>
      </c>
      <c r="W295" s="12" t="s">
        <v>16</v>
      </c>
      <c r="X295" s="12" t="s">
        <v>1546</v>
      </c>
      <c r="Y295">
        <v>425.41759999999999</v>
      </c>
      <c r="AF295">
        <v>425.41759999999999</v>
      </c>
      <c r="AG295" t="s">
        <v>1767</v>
      </c>
    </row>
    <row r="296" spans="1:33" x14ac:dyDescent="0.3">
      <c r="A296" t="s">
        <v>874</v>
      </c>
      <c r="B296" s="2">
        <v>45654</v>
      </c>
      <c r="C296">
        <v>378.59399999999999</v>
      </c>
      <c r="D296" t="s">
        <v>1807</v>
      </c>
      <c r="E296">
        <v>42</v>
      </c>
      <c r="F296" t="s">
        <v>16</v>
      </c>
      <c r="G296" t="s">
        <v>1549</v>
      </c>
      <c r="H296" t="s">
        <v>1767</v>
      </c>
      <c r="L296" s="2">
        <v>45654</v>
      </c>
      <c r="M296">
        <v>378.59399999999999</v>
      </c>
      <c r="R296" t="s">
        <v>1807</v>
      </c>
      <c r="S296">
        <v>378.59399999999999</v>
      </c>
      <c r="W296" s="11" t="s">
        <v>16</v>
      </c>
      <c r="X296" s="11" t="s">
        <v>1549</v>
      </c>
      <c r="Y296">
        <v>378.59399999999999</v>
      </c>
      <c r="AF296">
        <v>378.59399999999999</v>
      </c>
      <c r="AG296" t="s">
        <v>1767</v>
      </c>
    </row>
    <row r="297" spans="1:33" x14ac:dyDescent="0.3">
      <c r="A297" t="s">
        <v>682</v>
      </c>
      <c r="B297" s="2">
        <v>45556</v>
      </c>
      <c r="C297">
        <v>1879.05</v>
      </c>
      <c r="D297" t="s">
        <v>1812</v>
      </c>
      <c r="E297">
        <v>63</v>
      </c>
      <c r="F297" t="s">
        <v>16</v>
      </c>
      <c r="G297" t="s">
        <v>1530</v>
      </c>
      <c r="H297" t="s">
        <v>1742</v>
      </c>
      <c r="L297" s="2">
        <v>45556</v>
      </c>
      <c r="M297">
        <v>1879.05</v>
      </c>
      <c r="R297" t="s">
        <v>1812</v>
      </c>
      <c r="S297">
        <v>1879.05</v>
      </c>
      <c r="W297" s="12" t="s">
        <v>16</v>
      </c>
      <c r="X297" s="12" t="s">
        <v>1530</v>
      </c>
      <c r="Y297">
        <v>1879.05</v>
      </c>
      <c r="AF297">
        <v>1879.05</v>
      </c>
      <c r="AG297" t="s">
        <v>1742</v>
      </c>
    </row>
    <row r="298" spans="1:33" x14ac:dyDescent="0.3">
      <c r="A298" t="s">
        <v>296</v>
      </c>
      <c r="B298" s="2">
        <v>45434</v>
      </c>
      <c r="C298">
        <v>356.04399999999998</v>
      </c>
      <c r="D298" t="s">
        <v>1809</v>
      </c>
      <c r="E298">
        <v>48</v>
      </c>
      <c r="F298" t="s">
        <v>16</v>
      </c>
      <c r="G298" t="s">
        <v>1549</v>
      </c>
      <c r="H298" t="s">
        <v>1742</v>
      </c>
      <c r="L298" s="2">
        <v>45434</v>
      </c>
      <c r="M298">
        <v>356.04399999999998</v>
      </c>
      <c r="R298" t="s">
        <v>1809</v>
      </c>
      <c r="S298">
        <v>356.04399999999998</v>
      </c>
      <c r="W298" s="11" t="s">
        <v>16</v>
      </c>
      <c r="X298" s="11" t="s">
        <v>1549</v>
      </c>
      <c r="Y298">
        <v>356.04399999999998</v>
      </c>
      <c r="AF298">
        <v>356.04399999999998</v>
      </c>
      <c r="AG298" t="s">
        <v>1742</v>
      </c>
    </row>
    <row r="299" spans="1:33" x14ac:dyDescent="0.3">
      <c r="A299" t="s">
        <v>623</v>
      </c>
      <c r="B299" s="2">
        <v>45871</v>
      </c>
      <c r="C299">
        <v>1372.2396000000001</v>
      </c>
      <c r="D299" t="s">
        <v>1812</v>
      </c>
      <c r="E299">
        <v>26</v>
      </c>
      <c r="F299" t="s">
        <v>9</v>
      </c>
      <c r="G299" t="s">
        <v>1549</v>
      </c>
      <c r="H299" t="s">
        <v>1742</v>
      </c>
      <c r="L299" s="2">
        <v>45871</v>
      </c>
      <c r="M299">
        <v>1372.2396000000001</v>
      </c>
      <c r="R299" t="s">
        <v>1812</v>
      </c>
      <c r="S299">
        <v>1372.2396000000001</v>
      </c>
      <c r="W299" s="12" t="s">
        <v>9</v>
      </c>
      <c r="X299" s="12" t="s">
        <v>1549</v>
      </c>
      <c r="Y299">
        <v>1372.2396000000001</v>
      </c>
      <c r="AF299">
        <v>1372.2396000000001</v>
      </c>
      <c r="AG299" t="s">
        <v>1742</v>
      </c>
    </row>
    <row r="300" spans="1:33" x14ac:dyDescent="0.3">
      <c r="A300" t="s">
        <v>239</v>
      </c>
      <c r="B300" s="2">
        <v>45583</v>
      </c>
      <c r="C300">
        <v>208.25280000000001</v>
      </c>
      <c r="D300" t="s">
        <v>1807</v>
      </c>
      <c r="E300">
        <v>27</v>
      </c>
      <c r="F300" t="s">
        <v>16</v>
      </c>
      <c r="G300" t="s">
        <v>1546</v>
      </c>
      <c r="H300" t="s">
        <v>1742</v>
      </c>
      <c r="L300" s="2">
        <v>45583</v>
      </c>
      <c r="M300">
        <v>208.25280000000001</v>
      </c>
      <c r="R300" t="s">
        <v>1807</v>
      </c>
      <c r="S300">
        <v>208.25280000000001</v>
      </c>
      <c r="W300" s="11" t="s">
        <v>16</v>
      </c>
      <c r="X300" s="11" t="s">
        <v>1546</v>
      </c>
      <c r="Y300">
        <v>208.25280000000001</v>
      </c>
      <c r="AF300">
        <v>208.25280000000001</v>
      </c>
      <c r="AG300" t="s">
        <v>1742</v>
      </c>
    </row>
    <row r="301" spans="1:33" x14ac:dyDescent="0.3">
      <c r="A301" t="s">
        <v>697</v>
      </c>
      <c r="B301" s="2">
        <v>45348</v>
      </c>
      <c r="C301">
        <v>1536.6559999999999</v>
      </c>
      <c r="D301" t="s">
        <v>1809</v>
      </c>
      <c r="E301">
        <v>42</v>
      </c>
      <c r="F301" t="s">
        <v>9</v>
      </c>
      <c r="G301" t="s">
        <v>1549</v>
      </c>
      <c r="H301" t="s">
        <v>1742</v>
      </c>
      <c r="L301" s="2">
        <v>45348</v>
      </c>
      <c r="M301">
        <v>1536.6559999999999</v>
      </c>
      <c r="R301" t="s">
        <v>1809</v>
      </c>
      <c r="S301">
        <v>1536.6559999999999</v>
      </c>
      <c r="W301" s="12" t="s">
        <v>9</v>
      </c>
      <c r="X301" s="12" t="s">
        <v>1549</v>
      </c>
      <c r="Y301">
        <v>1536.6559999999999</v>
      </c>
      <c r="AF301">
        <v>1536.6559999999999</v>
      </c>
      <c r="AG301" t="s">
        <v>1742</v>
      </c>
    </row>
    <row r="302" spans="1:33" x14ac:dyDescent="0.3">
      <c r="A302" t="s">
        <v>643</v>
      </c>
      <c r="B302" s="2">
        <v>45268</v>
      </c>
      <c r="C302">
        <v>2703.9888000000001</v>
      </c>
      <c r="D302" t="s">
        <v>1807</v>
      </c>
      <c r="E302">
        <v>46</v>
      </c>
      <c r="F302" t="s">
        <v>9</v>
      </c>
      <c r="G302" t="s">
        <v>1541</v>
      </c>
      <c r="H302" t="s">
        <v>1742</v>
      </c>
      <c r="L302" s="2">
        <v>45268</v>
      </c>
      <c r="M302">
        <v>2703.9888000000001</v>
      </c>
      <c r="R302" t="s">
        <v>1807</v>
      </c>
      <c r="S302">
        <v>2703.9888000000001</v>
      </c>
      <c r="W302" s="11" t="s">
        <v>9</v>
      </c>
      <c r="X302" s="11" t="s">
        <v>1541</v>
      </c>
      <c r="Y302">
        <v>2703.9888000000001</v>
      </c>
      <c r="AF302">
        <v>2703.9888000000001</v>
      </c>
      <c r="AG302" t="s">
        <v>1742</v>
      </c>
    </row>
    <row r="303" spans="1:33" x14ac:dyDescent="0.3">
      <c r="A303" t="s">
        <v>119</v>
      </c>
      <c r="B303" s="2">
        <v>45596</v>
      </c>
      <c r="C303">
        <v>1953.1368</v>
      </c>
      <c r="D303" t="s">
        <v>1812</v>
      </c>
      <c r="E303">
        <v>54</v>
      </c>
      <c r="F303" t="s">
        <v>16</v>
      </c>
      <c r="G303" t="s">
        <v>1546</v>
      </c>
      <c r="H303" t="s">
        <v>1742</v>
      </c>
      <c r="L303" s="2">
        <v>45596</v>
      </c>
      <c r="M303">
        <v>1953.1368</v>
      </c>
      <c r="R303" t="s">
        <v>1812</v>
      </c>
      <c r="S303">
        <v>1953.1368</v>
      </c>
      <c r="W303" s="12" t="s">
        <v>16</v>
      </c>
      <c r="X303" s="12" t="s">
        <v>1546</v>
      </c>
      <c r="Y303">
        <v>1953.1368</v>
      </c>
      <c r="AF303">
        <v>1953.1368</v>
      </c>
      <c r="AG303" t="s">
        <v>1742</v>
      </c>
    </row>
    <row r="304" spans="1:33" x14ac:dyDescent="0.3">
      <c r="A304" t="s">
        <v>1428</v>
      </c>
      <c r="B304" s="2">
        <v>45624</v>
      </c>
      <c r="C304">
        <v>1384.2239999999999</v>
      </c>
      <c r="D304" t="s">
        <v>1809</v>
      </c>
      <c r="E304">
        <v>19</v>
      </c>
      <c r="F304" t="s">
        <v>9</v>
      </c>
      <c r="G304" t="s">
        <v>1530</v>
      </c>
      <c r="H304" t="s">
        <v>1742</v>
      </c>
      <c r="L304" s="2">
        <v>45624</v>
      </c>
      <c r="M304">
        <v>1384.2239999999999</v>
      </c>
      <c r="R304" t="s">
        <v>1809</v>
      </c>
      <c r="S304">
        <v>1384.2239999999999</v>
      </c>
      <c r="W304" s="11" t="s">
        <v>9</v>
      </c>
      <c r="X304" s="11" t="s">
        <v>1530</v>
      </c>
      <c r="Y304">
        <v>1384.2239999999999</v>
      </c>
      <c r="AF304">
        <v>1384.2239999999999</v>
      </c>
      <c r="AG304" t="s">
        <v>1742</v>
      </c>
    </row>
    <row r="305" spans="1:33" x14ac:dyDescent="0.3">
      <c r="A305" t="s">
        <v>343</v>
      </c>
      <c r="B305" s="2">
        <v>45813</v>
      </c>
      <c r="C305">
        <v>1283.086</v>
      </c>
      <c r="D305" t="s">
        <v>1812</v>
      </c>
      <c r="E305">
        <v>24</v>
      </c>
      <c r="F305" t="s">
        <v>9</v>
      </c>
      <c r="G305" t="s">
        <v>1549</v>
      </c>
      <c r="H305" t="s">
        <v>1746</v>
      </c>
      <c r="L305" s="2">
        <v>45813</v>
      </c>
      <c r="M305">
        <v>1283.086</v>
      </c>
      <c r="R305" t="s">
        <v>1812</v>
      </c>
      <c r="S305">
        <v>1283.086</v>
      </c>
      <c r="W305" s="12" t="s">
        <v>9</v>
      </c>
      <c r="X305" s="12" t="s">
        <v>1549</v>
      </c>
      <c r="Y305">
        <v>1283.086</v>
      </c>
      <c r="AF305">
        <v>1283.086</v>
      </c>
      <c r="AG305" t="s">
        <v>1746</v>
      </c>
    </row>
    <row r="306" spans="1:33" x14ac:dyDescent="0.3">
      <c r="A306" t="s">
        <v>164</v>
      </c>
      <c r="B306" s="2">
        <v>45615</v>
      </c>
      <c r="C306">
        <v>2062.8696</v>
      </c>
      <c r="D306" t="s">
        <v>1807</v>
      </c>
      <c r="E306">
        <v>45</v>
      </c>
      <c r="F306" t="s">
        <v>9</v>
      </c>
      <c r="G306" t="s">
        <v>1546</v>
      </c>
      <c r="H306" t="s">
        <v>1742</v>
      </c>
      <c r="L306" s="2">
        <v>45615</v>
      </c>
      <c r="M306">
        <v>2062.8696</v>
      </c>
      <c r="R306" t="s">
        <v>1807</v>
      </c>
      <c r="S306">
        <v>2062.8696</v>
      </c>
      <c r="W306" s="11" t="s">
        <v>9</v>
      </c>
      <c r="X306" s="11" t="s">
        <v>1546</v>
      </c>
      <c r="Y306">
        <v>2062.8696</v>
      </c>
      <c r="AF306">
        <v>2062.8696</v>
      </c>
      <c r="AG306" t="s">
        <v>1742</v>
      </c>
    </row>
    <row r="307" spans="1:33" x14ac:dyDescent="0.3">
      <c r="A307" t="s">
        <v>682</v>
      </c>
      <c r="B307" s="2">
        <v>45431</v>
      </c>
      <c r="C307">
        <v>2156.6952000000001</v>
      </c>
      <c r="D307" t="s">
        <v>1812</v>
      </c>
      <c r="E307">
        <v>63</v>
      </c>
      <c r="F307" t="s">
        <v>16</v>
      </c>
      <c r="G307" t="s">
        <v>1549</v>
      </c>
      <c r="H307" t="s">
        <v>1742</v>
      </c>
      <c r="L307" s="2">
        <v>45431</v>
      </c>
      <c r="M307">
        <v>2156.6952000000001</v>
      </c>
      <c r="R307" t="s">
        <v>1812</v>
      </c>
      <c r="S307">
        <v>2156.6952000000001</v>
      </c>
      <c r="W307" s="12" t="s">
        <v>16</v>
      </c>
      <c r="X307" s="12" t="s">
        <v>1549</v>
      </c>
      <c r="Y307">
        <v>2156.6952000000001</v>
      </c>
      <c r="AF307">
        <v>2156.6952000000001</v>
      </c>
      <c r="AG307" t="s">
        <v>1742</v>
      </c>
    </row>
    <row r="308" spans="1:33" x14ac:dyDescent="0.3">
      <c r="A308" t="s">
        <v>1465</v>
      </c>
      <c r="B308" s="2">
        <v>45679</v>
      </c>
      <c r="C308">
        <v>1625.2544</v>
      </c>
      <c r="D308" t="s">
        <v>1812</v>
      </c>
      <c r="E308">
        <v>26</v>
      </c>
      <c r="F308" t="s">
        <v>9</v>
      </c>
      <c r="G308" t="s">
        <v>1546</v>
      </c>
      <c r="H308" t="s">
        <v>1742</v>
      </c>
      <c r="L308" s="2">
        <v>45679</v>
      </c>
      <c r="M308">
        <v>1625.2544</v>
      </c>
      <c r="R308" t="s">
        <v>1812</v>
      </c>
      <c r="S308">
        <v>1625.2544</v>
      </c>
      <c r="W308" s="11" t="s">
        <v>9</v>
      </c>
      <c r="X308" s="11" t="s">
        <v>1546</v>
      </c>
      <c r="Y308">
        <v>1625.2544</v>
      </c>
      <c r="AF308">
        <v>1625.2544</v>
      </c>
      <c r="AG308" t="s">
        <v>1742</v>
      </c>
    </row>
    <row r="309" spans="1:33" x14ac:dyDescent="0.3">
      <c r="A309" t="s">
        <v>1380</v>
      </c>
      <c r="B309" s="2">
        <v>45842</v>
      </c>
      <c r="C309">
        <v>326.25599999999997</v>
      </c>
      <c r="D309" t="s">
        <v>1807</v>
      </c>
      <c r="E309">
        <v>60</v>
      </c>
      <c r="F309" t="s">
        <v>16</v>
      </c>
      <c r="G309" t="s">
        <v>1546</v>
      </c>
      <c r="H309" t="s">
        <v>1742</v>
      </c>
      <c r="L309" s="2">
        <v>45842</v>
      </c>
      <c r="M309">
        <v>326.25599999999997</v>
      </c>
      <c r="R309" t="s">
        <v>1807</v>
      </c>
      <c r="S309">
        <v>326.25599999999997</v>
      </c>
      <c r="W309" s="12" t="s">
        <v>16</v>
      </c>
      <c r="X309" s="12" t="s">
        <v>1546</v>
      </c>
      <c r="Y309">
        <v>326.25599999999997</v>
      </c>
      <c r="AF309">
        <v>326.25599999999997</v>
      </c>
      <c r="AG309" t="s">
        <v>1742</v>
      </c>
    </row>
    <row r="310" spans="1:33" x14ac:dyDescent="0.3">
      <c r="A310" t="s">
        <v>1459</v>
      </c>
      <c r="B310" s="2">
        <v>45796</v>
      </c>
      <c r="C310">
        <v>1475.0916</v>
      </c>
      <c r="D310" t="s">
        <v>1809</v>
      </c>
      <c r="E310">
        <v>33</v>
      </c>
      <c r="F310" t="s">
        <v>9</v>
      </c>
      <c r="G310" t="s">
        <v>1546</v>
      </c>
      <c r="H310" t="s">
        <v>1742</v>
      </c>
      <c r="L310" s="2">
        <v>45796</v>
      </c>
      <c r="M310">
        <v>1475.0916</v>
      </c>
      <c r="R310" t="s">
        <v>1809</v>
      </c>
      <c r="S310">
        <v>1475.0916</v>
      </c>
      <c r="W310" s="11" t="s">
        <v>9</v>
      </c>
      <c r="X310" s="11" t="s">
        <v>1546</v>
      </c>
      <c r="Y310">
        <v>1475.0916</v>
      </c>
      <c r="AF310">
        <v>1475.0916</v>
      </c>
      <c r="AG310" t="s">
        <v>1742</v>
      </c>
    </row>
    <row r="311" spans="1:33" x14ac:dyDescent="0.3">
      <c r="A311" t="s">
        <v>708</v>
      </c>
      <c r="B311" s="2">
        <v>45264</v>
      </c>
      <c r="C311">
        <v>1127.0219999999999</v>
      </c>
      <c r="D311" t="s">
        <v>1809</v>
      </c>
      <c r="E311">
        <v>38</v>
      </c>
      <c r="F311" t="s">
        <v>9</v>
      </c>
      <c r="G311" t="s">
        <v>1527</v>
      </c>
      <c r="H311" t="s">
        <v>1742</v>
      </c>
      <c r="L311" s="2">
        <v>45264</v>
      </c>
      <c r="M311">
        <v>1127.0219999999999</v>
      </c>
      <c r="R311" t="s">
        <v>1809</v>
      </c>
      <c r="S311">
        <v>1127.0219999999999</v>
      </c>
      <c r="W311" s="12" t="s">
        <v>9</v>
      </c>
      <c r="X311" s="12" t="s">
        <v>1527</v>
      </c>
      <c r="Y311">
        <v>1127.0219999999999</v>
      </c>
      <c r="AF311">
        <v>1127.0219999999999</v>
      </c>
      <c r="AG311" t="s">
        <v>1742</v>
      </c>
    </row>
    <row r="312" spans="1:33" x14ac:dyDescent="0.3">
      <c r="A312" t="s">
        <v>179</v>
      </c>
      <c r="B312" s="2">
        <v>45504</v>
      </c>
      <c r="C312">
        <v>271.28359999999998</v>
      </c>
      <c r="D312" t="s">
        <v>1807</v>
      </c>
      <c r="E312">
        <v>54</v>
      </c>
      <c r="F312" t="s">
        <v>9</v>
      </c>
      <c r="G312" t="s">
        <v>1541</v>
      </c>
      <c r="H312" t="s">
        <v>1746</v>
      </c>
      <c r="L312" s="2">
        <v>45504</v>
      </c>
      <c r="M312">
        <v>271.28359999999998</v>
      </c>
      <c r="R312" t="s">
        <v>1807</v>
      </c>
      <c r="S312">
        <v>271.28359999999998</v>
      </c>
      <c r="W312" s="11" t="s">
        <v>9</v>
      </c>
      <c r="X312" s="11" t="s">
        <v>1541</v>
      </c>
      <c r="Y312">
        <v>271.28359999999998</v>
      </c>
      <c r="AF312">
        <v>271.28359999999998</v>
      </c>
      <c r="AG312" t="s">
        <v>1746</v>
      </c>
    </row>
    <row r="313" spans="1:33" x14ac:dyDescent="0.3">
      <c r="A313" t="s">
        <v>431</v>
      </c>
      <c r="B313" s="2">
        <v>45679</v>
      </c>
      <c r="C313">
        <v>2699.0963999999999</v>
      </c>
      <c r="D313" t="s">
        <v>1812</v>
      </c>
      <c r="E313">
        <v>39</v>
      </c>
      <c r="F313" t="s">
        <v>9</v>
      </c>
      <c r="G313" t="s">
        <v>1527</v>
      </c>
      <c r="H313" t="s">
        <v>1746</v>
      </c>
      <c r="L313" s="2">
        <v>45679</v>
      </c>
      <c r="M313">
        <v>2699.0963999999999</v>
      </c>
      <c r="R313" t="s">
        <v>1812</v>
      </c>
      <c r="S313">
        <v>2699.0963999999999</v>
      </c>
      <c r="W313" s="12" t="s">
        <v>9</v>
      </c>
      <c r="X313" s="12" t="s">
        <v>1527</v>
      </c>
      <c r="Y313">
        <v>2699.0963999999999</v>
      </c>
      <c r="AF313">
        <v>2699.0963999999999</v>
      </c>
      <c r="AG313" t="s">
        <v>1746</v>
      </c>
    </row>
    <row r="314" spans="1:33" x14ac:dyDescent="0.3">
      <c r="A314" t="s">
        <v>101</v>
      </c>
      <c r="B314" s="2">
        <v>45611</v>
      </c>
      <c r="C314">
        <v>954.01800000000003</v>
      </c>
      <c r="D314" t="s">
        <v>1809</v>
      </c>
      <c r="E314">
        <v>40</v>
      </c>
      <c r="F314" t="s">
        <v>9</v>
      </c>
      <c r="G314" t="s">
        <v>1527</v>
      </c>
      <c r="H314" t="s">
        <v>1742</v>
      </c>
      <c r="L314" s="2">
        <v>45611</v>
      </c>
      <c r="M314">
        <v>954.01800000000003</v>
      </c>
      <c r="R314" t="s">
        <v>1809</v>
      </c>
      <c r="S314">
        <v>954.01800000000003</v>
      </c>
      <c r="W314" s="11" t="s">
        <v>9</v>
      </c>
      <c r="X314" s="11" t="s">
        <v>1527</v>
      </c>
      <c r="Y314">
        <v>954.01800000000003</v>
      </c>
      <c r="AF314">
        <v>954.01800000000003</v>
      </c>
      <c r="AG314" t="s">
        <v>1742</v>
      </c>
    </row>
    <row r="315" spans="1:33" x14ac:dyDescent="0.3">
      <c r="A315" t="s">
        <v>3944</v>
      </c>
      <c r="B315" s="2">
        <v>45389</v>
      </c>
      <c r="C315">
        <v>72.025200000000012</v>
      </c>
      <c r="D315" t="s">
        <v>1809</v>
      </c>
      <c r="E315">
        <v>64</v>
      </c>
      <c r="F315" t="s">
        <v>9</v>
      </c>
      <c r="G315" t="s">
        <v>1549</v>
      </c>
      <c r="H315" t="s">
        <v>1746</v>
      </c>
      <c r="L315" s="2">
        <v>45389</v>
      </c>
      <c r="M315">
        <v>72.025200000000012</v>
      </c>
      <c r="R315" t="s">
        <v>1809</v>
      </c>
      <c r="S315">
        <v>72.025200000000012</v>
      </c>
      <c r="W315" s="12" t="s">
        <v>9</v>
      </c>
      <c r="X315" s="12" t="s">
        <v>1549</v>
      </c>
      <c r="Y315">
        <v>72.025200000000012</v>
      </c>
      <c r="AF315">
        <v>72.025200000000012</v>
      </c>
      <c r="AG315" t="s">
        <v>1746</v>
      </c>
    </row>
    <row r="316" spans="1:33" x14ac:dyDescent="0.3">
      <c r="A316" t="s">
        <v>407</v>
      </c>
      <c r="B316" s="2">
        <v>45339</v>
      </c>
      <c r="C316">
        <v>269.21699999999998</v>
      </c>
      <c r="D316" t="s">
        <v>1812</v>
      </c>
      <c r="E316">
        <v>40</v>
      </c>
      <c r="F316" t="s">
        <v>9</v>
      </c>
      <c r="G316" t="s">
        <v>1549</v>
      </c>
      <c r="H316" t="s">
        <v>1742</v>
      </c>
      <c r="L316" s="2">
        <v>45339</v>
      </c>
      <c r="M316">
        <v>269.21699999999998</v>
      </c>
      <c r="R316" t="s">
        <v>1812</v>
      </c>
      <c r="S316">
        <v>269.21699999999998</v>
      </c>
      <c r="W316" s="11" t="s">
        <v>9</v>
      </c>
      <c r="X316" s="11" t="s">
        <v>1549</v>
      </c>
      <c r="Y316">
        <v>269.21699999999998</v>
      </c>
      <c r="AF316">
        <v>269.21699999999998</v>
      </c>
      <c r="AG316" t="s">
        <v>1742</v>
      </c>
    </row>
    <row r="317" spans="1:33" x14ac:dyDescent="0.3">
      <c r="A317" t="s">
        <v>401</v>
      </c>
      <c r="B317" s="2">
        <v>45433</v>
      </c>
      <c r="C317">
        <v>844.38199999999995</v>
      </c>
      <c r="D317" t="s">
        <v>1807</v>
      </c>
      <c r="E317">
        <v>21</v>
      </c>
      <c r="F317" t="s">
        <v>16</v>
      </c>
      <c r="G317" t="s">
        <v>1546</v>
      </c>
      <c r="H317" t="s">
        <v>1742</v>
      </c>
      <c r="L317" s="2">
        <v>45433</v>
      </c>
      <c r="M317">
        <v>844.38199999999995</v>
      </c>
      <c r="R317" t="s">
        <v>1807</v>
      </c>
      <c r="S317">
        <v>844.38199999999995</v>
      </c>
      <c r="W317" s="12" t="s">
        <v>16</v>
      </c>
      <c r="X317" s="12" t="s">
        <v>1546</v>
      </c>
      <c r="Y317">
        <v>844.38199999999995</v>
      </c>
      <c r="AF317">
        <v>844.38199999999995</v>
      </c>
      <c r="AG317" t="s">
        <v>1742</v>
      </c>
    </row>
    <row r="318" spans="1:33" x14ac:dyDescent="0.3">
      <c r="A318" t="s">
        <v>830</v>
      </c>
      <c r="B318" s="2">
        <v>45435</v>
      </c>
      <c r="C318">
        <v>2873.9969999999989</v>
      </c>
      <c r="D318" t="s">
        <v>1809</v>
      </c>
      <c r="E318">
        <v>50</v>
      </c>
      <c r="F318" t="s">
        <v>9</v>
      </c>
      <c r="G318" t="s">
        <v>1549</v>
      </c>
      <c r="H318" t="s">
        <v>1742</v>
      </c>
      <c r="L318" s="2">
        <v>45435</v>
      </c>
      <c r="M318">
        <v>2873.9969999999989</v>
      </c>
      <c r="R318" t="s">
        <v>1809</v>
      </c>
      <c r="S318">
        <v>2873.9969999999989</v>
      </c>
      <c r="W318" s="11" t="s">
        <v>9</v>
      </c>
      <c r="X318" s="11" t="s">
        <v>1549</v>
      </c>
      <c r="Y318">
        <v>2873.9969999999989</v>
      </c>
      <c r="AF318">
        <v>2873.9969999999989</v>
      </c>
      <c r="AG318" t="s">
        <v>1742</v>
      </c>
    </row>
    <row r="319" spans="1:33" x14ac:dyDescent="0.3">
      <c r="A319" t="s">
        <v>1076</v>
      </c>
      <c r="B319" s="2">
        <v>45823</v>
      </c>
      <c r="C319">
        <v>330.7824</v>
      </c>
      <c r="D319" t="s">
        <v>1812</v>
      </c>
      <c r="E319">
        <v>39</v>
      </c>
      <c r="F319" t="s">
        <v>16</v>
      </c>
      <c r="G319" t="s">
        <v>1549</v>
      </c>
      <c r="H319" t="s">
        <v>1742</v>
      </c>
      <c r="L319" s="2">
        <v>45823</v>
      </c>
      <c r="M319">
        <v>330.7824</v>
      </c>
      <c r="R319" t="s">
        <v>1812</v>
      </c>
      <c r="S319">
        <v>330.7824</v>
      </c>
      <c r="W319" s="12" t="s">
        <v>16</v>
      </c>
      <c r="X319" s="12" t="s">
        <v>1549</v>
      </c>
      <c r="Y319">
        <v>330.7824</v>
      </c>
      <c r="AF319">
        <v>330.7824</v>
      </c>
      <c r="AG319" t="s">
        <v>1742</v>
      </c>
    </row>
    <row r="320" spans="1:33" x14ac:dyDescent="0.3">
      <c r="A320" t="s">
        <v>314</v>
      </c>
      <c r="B320" s="2">
        <v>45663</v>
      </c>
      <c r="C320">
        <v>199.56780000000001</v>
      </c>
      <c r="D320" t="s">
        <v>1807</v>
      </c>
      <c r="E320">
        <v>43</v>
      </c>
      <c r="F320" t="s">
        <v>9</v>
      </c>
      <c r="G320" t="s">
        <v>1549</v>
      </c>
      <c r="H320" t="s">
        <v>1746</v>
      </c>
      <c r="L320" s="2">
        <v>45663</v>
      </c>
      <c r="M320">
        <v>199.56780000000001</v>
      </c>
      <c r="R320" t="s">
        <v>1807</v>
      </c>
      <c r="S320">
        <v>199.56780000000001</v>
      </c>
      <c r="W320" s="11" t="s">
        <v>9</v>
      </c>
      <c r="X320" s="11" t="s">
        <v>1549</v>
      </c>
      <c r="Y320">
        <v>199.56780000000001</v>
      </c>
      <c r="AF320">
        <v>199.56780000000001</v>
      </c>
      <c r="AG320" t="s">
        <v>1746</v>
      </c>
    </row>
    <row r="321" spans="1:33" x14ac:dyDescent="0.3">
      <c r="A321" t="s">
        <v>1110</v>
      </c>
      <c r="B321" s="2">
        <v>45879</v>
      </c>
      <c r="C321">
        <v>218.49100000000001</v>
      </c>
      <c r="D321" t="s">
        <v>1809</v>
      </c>
      <c r="E321">
        <v>32</v>
      </c>
      <c r="F321" t="s">
        <v>9</v>
      </c>
      <c r="G321" t="s">
        <v>1527</v>
      </c>
      <c r="H321" t="s">
        <v>1742</v>
      </c>
      <c r="L321" s="2">
        <v>45879</v>
      </c>
      <c r="M321">
        <v>218.49100000000001</v>
      </c>
      <c r="R321" t="s">
        <v>1809</v>
      </c>
      <c r="S321">
        <v>218.49100000000001</v>
      </c>
      <c r="W321" s="12" t="s">
        <v>9</v>
      </c>
      <c r="X321" s="12" t="s">
        <v>1527</v>
      </c>
      <c r="Y321">
        <v>218.49100000000001</v>
      </c>
      <c r="AF321">
        <v>218.49100000000001</v>
      </c>
      <c r="AG321" t="s">
        <v>1742</v>
      </c>
    </row>
    <row r="322" spans="1:33" x14ac:dyDescent="0.3">
      <c r="A322" t="s">
        <v>1034</v>
      </c>
      <c r="B322" s="2">
        <v>45840</v>
      </c>
      <c r="C322">
        <v>1552.9793999999999</v>
      </c>
      <c r="D322" t="s">
        <v>1807</v>
      </c>
      <c r="E322">
        <v>64</v>
      </c>
      <c r="F322" t="s">
        <v>16</v>
      </c>
      <c r="G322" t="s">
        <v>1541</v>
      </c>
      <c r="H322" t="s">
        <v>1746</v>
      </c>
      <c r="L322" s="2">
        <v>45840</v>
      </c>
      <c r="M322">
        <v>1552.9793999999999</v>
      </c>
      <c r="R322" t="s">
        <v>1807</v>
      </c>
      <c r="S322">
        <v>1552.9793999999999</v>
      </c>
      <c r="W322" s="11" t="s">
        <v>16</v>
      </c>
      <c r="X322" s="11" t="s">
        <v>1541</v>
      </c>
      <c r="Y322">
        <v>1552.9793999999999</v>
      </c>
      <c r="AF322">
        <v>1552.9793999999999</v>
      </c>
      <c r="AG322" t="s">
        <v>1746</v>
      </c>
    </row>
    <row r="323" spans="1:33" x14ac:dyDescent="0.3">
      <c r="A323" t="s">
        <v>931</v>
      </c>
      <c r="B323" s="2">
        <v>45380</v>
      </c>
      <c r="C323">
        <v>547.17700000000002</v>
      </c>
      <c r="D323" t="s">
        <v>1807</v>
      </c>
      <c r="E323">
        <v>64</v>
      </c>
      <c r="F323" t="s">
        <v>9</v>
      </c>
      <c r="G323" t="s">
        <v>1530</v>
      </c>
      <c r="H323" t="s">
        <v>1746</v>
      </c>
      <c r="L323" s="2">
        <v>45380</v>
      </c>
      <c r="M323">
        <v>547.17700000000002</v>
      </c>
      <c r="R323" t="s">
        <v>1807</v>
      </c>
      <c r="S323">
        <v>547.17700000000002</v>
      </c>
      <c r="W323" s="12" t="s">
        <v>9</v>
      </c>
      <c r="X323" s="12" t="s">
        <v>1530</v>
      </c>
      <c r="Y323">
        <v>547.17700000000002</v>
      </c>
      <c r="AF323">
        <v>547.17700000000002</v>
      </c>
      <c r="AG323" t="s">
        <v>1746</v>
      </c>
    </row>
    <row r="324" spans="1:33" x14ac:dyDescent="0.3">
      <c r="A324" t="s">
        <v>337</v>
      </c>
      <c r="B324" s="2">
        <v>45672</v>
      </c>
      <c r="C324">
        <v>423.62840000000011</v>
      </c>
      <c r="D324" t="s">
        <v>1807</v>
      </c>
      <c r="E324">
        <v>30</v>
      </c>
      <c r="F324" t="s">
        <v>16</v>
      </c>
      <c r="G324" t="s">
        <v>1527</v>
      </c>
      <c r="H324" t="s">
        <v>1742</v>
      </c>
      <c r="L324" s="2">
        <v>45672</v>
      </c>
      <c r="M324">
        <v>423.62840000000011</v>
      </c>
      <c r="R324" t="s">
        <v>1807</v>
      </c>
      <c r="S324">
        <v>423.62840000000011</v>
      </c>
      <c r="W324" s="11" t="s">
        <v>16</v>
      </c>
      <c r="X324" s="11" t="s">
        <v>1527</v>
      </c>
      <c r="Y324">
        <v>423.62840000000011</v>
      </c>
      <c r="AF324">
        <v>423.62840000000011</v>
      </c>
      <c r="AG324" t="s">
        <v>1742</v>
      </c>
    </row>
    <row r="325" spans="1:33" x14ac:dyDescent="0.3">
      <c r="A325" t="s">
        <v>1342</v>
      </c>
      <c r="B325" s="2">
        <v>45497</v>
      </c>
      <c r="C325">
        <v>831.92750000000001</v>
      </c>
      <c r="D325" t="s">
        <v>1809</v>
      </c>
      <c r="E325">
        <v>53</v>
      </c>
      <c r="F325" t="s">
        <v>9</v>
      </c>
      <c r="G325" t="s">
        <v>1541</v>
      </c>
      <c r="H325" t="s">
        <v>1742</v>
      </c>
      <c r="L325" s="2">
        <v>45497</v>
      </c>
      <c r="M325">
        <v>831.92750000000001</v>
      </c>
      <c r="R325" t="s">
        <v>1809</v>
      </c>
      <c r="S325">
        <v>831.92750000000001</v>
      </c>
      <c r="W325" s="12" t="s">
        <v>9</v>
      </c>
      <c r="X325" s="12" t="s">
        <v>1541</v>
      </c>
      <c r="Y325">
        <v>831.92750000000001</v>
      </c>
      <c r="AF325">
        <v>831.92750000000001</v>
      </c>
      <c r="AG325" t="s">
        <v>1742</v>
      </c>
    </row>
    <row r="326" spans="1:33" x14ac:dyDescent="0.3">
      <c r="A326" t="s">
        <v>747</v>
      </c>
      <c r="B326" s="2">
        <v>45407</v>
      </c>
      <c r="C326">
        <v>2084.0720000000001</v>
      </c>
      <c r="D326" t="s">
        <v>1809</v>
      </c>
      <c r="E326">
        <v>28</v>
      </c>
      <c r="F326" t="s">
        <v>16</v>
      </c>
      <c r="G326" t="s">
        <v>1546</v>
      </c>
      <c r="H326" t="s">
        <v>1746</v>
      </c>
      <c r="L326" s="2">
        <v>45407</v>
      </c>
      <c r="M326">
        <v>2084.0720000000001</v>
      </c>
      <c r="R326" t="s">
        <v>1809</v>
      </c>
      <c r="S326">
        <v>2084.0720000000001</v>
      </c>
      <c r="W326" s="11" t="s">
        <v>16</v>
      </c>
      <c r="X326" s="11" t="s">
        <v>1546</v>
      </c>
      <c r="Y326">
        <v>2084.0720000000001</v>
      </c>
      <c r="AF326">
        <v>2084.0720000000001</v>
      </c>
      <c r="AG326" t="s">
        <v>1746</v>
      </c>
    </row>
    <row r="327" spans="1:33" x14ac:dyDescent="0.3">
      <c r="A327" t="s">
        <v>64</v>
      </c>
      <c r="B327" s="2">
        <v>45764</v>
      </c>
      <c r="C327">
        <v>1018.3302</v>
      </c>
      <c r="D327" t="s">
        <v>1807</v>
      </c>
      <c r="E327">
        <v>53</v>
      </c>
      <c r="F327" t="s">
        <v>16</v>
      </c>
      <c r="G327" t="s">
        <v>1530</v>
      </c>
      <c r="H327" t="s">
        <v>1742</v>
      </c>
      <c r="L327" s="2">
        <v>45764</v>
      </c>
      <c r="M327">
        <v>1018.3302</v>
      </c>
      <c r="R327" t="s">
        <v>1807</v>
      </c>
      <c r="S327">
        <v>1018.3302</v>
      </c>
      <c r="W327" s="12" t="s">
        <v>16</v>
      </c>
      <c r="X327" s="12" t="s">
        <v>1530</v>
      </c>
      <c r="Y327">
        <v>1018.3302</v>
      </c>
      <c r="AF327">
        <v>1018.3302</v>
      </c>
      <c r="AG327" t="s">
        <v>1742</v>
      </c>
    </row>
    <row r="328" spans="1:33" x14ac:dyDescent="0.3">
      <c r="A328" t="s">
        <v>611</v>
      </c>
      <c r="B328" s="2">
        <v>45924</v>
      </c>
      <c r="C328">
        <v>1098.6659999999999</v>
      </c>
      <c r="D328" t="s">
        <v>1809</v>
      </c>
      <c r="E328">
        <v>42</v>
      </c>
      <c r="F328" t="s">
        <v>9</v>
      </c>
      <c r="G328" t="s">
        <v>1546</v>
      </c>
      <c r="H328" t="s">
        <v>1742</v>
      </c>
      <c r="L328" s="2">
        <v>45924</v>
      </c>
      <c r="M328">
        <v>1098.6659999999999</v>
      </c>
      <c r="R328" t="s">
        <v>1809</v>
      </c>
      <c r="S328">
        <v>1098.6659999999999</v>
      </c>
      <c r="W328" s="11" t="s">
        <v>9</v>
      </c>
      <c r="X328" s="11" t="s">
        <v>1546</v>
      </c>
      <c r="Y328">
        <v>1098.6659999999999</v>
      </c>
      <c r="AF328">
        <v>1098.6659999999999</v>
      </c>
      <c r="AG328" t="s">
        <v>1742</v>
      </c>
    </row>
    <row r="329" spans="1:33" x14ac:dyDescent="0.3">
      <c r="A329" t="s">
        <v>1040</v>
      </c>
      <c r="B329" s="2">
        <v>45240</v>
      </c>
      <c r="C329">
        <v>190.54</v>
      </c>
      <c r="D329" t="s">
        <v>1807</v>
      </c>
      <c r="E329">
        <v>37</v>
      </c>
      <c r="F329" t="s">
        <v>9</v>
      </c>
      <c r="G329" t="s">
        <v>1546</v>
      </c>
      <c r="H329" t="s">
        <v>1742</v>
      </c>
      <c r="L329" s="2">
        <v>45240</v>
      </c>
      <c r="M329">
        <v>190.54</v>
      </c>
      <c r="R329" t="s">
        <v>1807</v>
      </c>
      <c r="S329">
        <v>190.54</v>
      </c>
      <c r="W329" s="12" t="s">
        <v>9</v>
      </c>
      <c r="X329" s="12" t="s">
        <v>1546</v>
      </c>
      <c r="Y329">
        <v>190.54</v>
      </c>
      <c r="AF329">
        <v>190.54</v>
      </c>
      <c r="AG329" t="s">
        <v>1742</v>
      </c>
    </row>
    <row r="330" spans="1:33" x14ac:dyDescent="0.3">
      <c r="A330" t="s">
        <v>1342</v>
      </c>
      <c r="B330" s="2">
        <v>45349</v>
      </c>
      <c r="C330">
        <v>1444.212</v>
      </c>
      <c r="D330" t="s">
        <v>1812</v>
      </c>
      <c r="E330">
        <v>53</v>
      </c>
      <c r="F330" t="s">
        <v>9</v>
      </c>
      <c r="G330" t="s">
        <v>1546</v>
      </c>
      <c r="H330" t="s">
        <v>1737</v>
      </c>
      <c r="L330" s="2">
        <v>45349</v>
      </c>
      <c r="M330">
        <v>1444.212</v>
      </c>
      <c r="R330" t="s">
        <v>1812</v>
      </c>
      <c r="S330">
        <v>1444.212</v>
      </c>
      <c r="W330" s="11" t="s">
        <v>9</v>
      </c>
      <c r="X330" s="11" t="s">
        <v>1546</v>
      </c>
      <c r="Y330">
        <v>1444.212</v>
      </c>
      <c r="AF330">
        <v>1444.212</v>
      </c>
      <c r="AG330" t="s">
        <v>1737</v>
      </c>
    </row>
    <row r="331" spans="1:33" x14ac:dyDescent="0.3">
      <c r="A331" t="s">
        <v>1005</v>
      </c>
      <c r="B331" s="2">
        <v>45756</v>
      </c>
      <c r="C331">
        <v>71.193599999999989</v>
      </c>
      <c r="D331" t="s">
        <v>1807</v>
      </c>
      <c r="E331">
        <v>64</v>
      </c>
      <c r="F331" t="s">
        <v>16</v>
      </c>
      <c r="G331" t="s">
        <v>1541</v>
      </c>
      <c r="H331" t="s">
        <v>1737</v>
      </c>
      <c r="L331" s="2">
        <v>45756</v>
      </c>
      <c r="M331">
        <v>71.193599999999989</v>
      </c>
      <c r="R331" t="s">
        <v>1807</v>
      </c>
      <c r="S331">
        <v>71.193599999999989</v>
      </c>
      <c r="W331" s="12" t="s">
        <v>16</v>
      </c>
      <c r="X331" s="12" t="s">
        <v>1541</v>
      </c>
      <c r="Y331">
        <v>71.193599999999989</v>
      </c>
      <c r="AF331">
        <v>71.193599999999989</v>
      </c>
      <c r="AG331" t="s">
        <v>1737</v>
      </c>
    </row>
    <row r="332" spans="1:33" x14ac:dyDescent="0.3">
      <c r="A332" t="s">
        <v>798</v>
      </c>
      <c r="B332" s="2">
        <v>45478</v>
      </c>
      <c r="C332">
        <v>750.20309999999995</v>
      </c>
      <c r="D332" t="s">
        <v>1812</v>
      </c>
      <c r="E332">
        <v>26</v>
      </c>
      <c r="F332" t="s">
        <v>9</v>
      </c>
      <c r="G332" t="s">
        <v>1541</v>
      </c>
      <c r="H332" t="s">
        <v>1746</v>
      </c>
      <c r="L332" s="2">
        <v>45478</v>
      </c>
      <c r="M332">
        <v>750.20309999999995</v>
      </c>
      <c r="R332" t="s">
        <v>1812</v>
      </c>
      <c r="S332">
        <v>750.20309999999995</v>
      </c>
      <c r="W332" s="11" t="s">
        <v>9</v>
      </c>
      <c r="X332" s="11" t="s">
        <v>1541</v>
      </c>
      <c r="Y332">
        <v>750.20309999999995</v>
      </c>
      <c r="AF332">
        <v>750.20309999999995</v>
      </c>
      <c r="AG332" t="s">
        <v>1746</v>
      </c>
    </row>
    <row r="333" spans="1:33" x14ac:dyDescent="0.3">
      <c r="A333" t="s">
        <v>815</v>
      </c>
      <c r="B333" s="2">
        <v>45890</v>
      </c>
      <c r="C333">
        <v>65.155000000000001</v>
      </c>
      <c r="D333" t="s">
        <v>1812</v>
      </c>
      <c r="E333">
        <v>24</v>
      </c>
      <c r="F333" t="s">
        <v>16</v>
      </c>
      <c r="G333" t="s">
        <v>1527</v>
      </c>
      <c r="H333" t="s">
        <v>1746</v>
      </c>
      <c r="L333" s="2">
        <v>45890</v>
      </c>
      <c r="M333">
        <v>65.155000000000001</v>
      </c>
      <c r="R333" t="s">
        <v>1812</v>
      </c>
      <c r="S333">
        <v>65.155000000000001</v>
      </c>
      <c r="W333" s="12" t="s">
        <v>16</v>
      </c>
      <c r="X333" s="12" t="s">
        <v>1527</v>
      </c>
      <c r="Y333">
        <v>65.155000000000001</v>
      </c>
      <c r="AF333">
        <v>65.155000000000001</v>
      </c>
      <c r="AG333" t="s">
        <v>1746</v>
      </c>
    </row>
    <row r="334" spans="1:33" x14ac:dyDescent="0.3">
      <c r="A334" t="s">
        <v>451</v>
      </c>
      <c r="B334" s="2">
        <v>45815</v>
      </c>
      <c r="C334">
        <v>1174.2947999999999</v>
      </c>
      <c r="D334" t="s">
        <v>1807</v>
      </c>
      <c r="E334">
        <v>54</v>
      </c>
      <c r="F334" t="s">
        <v>9</v>
      </c>
      <c r="G334" t="s">
        <v>1530</v>
      </c>
      <c r="H334" t="s">
        <v>1746</v>
      </c>
      <c r="L334" s="2">
        <v>45815</v>
      </c>
      <c r="M334">
        <v>1174.2947999999999</v>
      </c>
      <c r="R334" t="s">
        <v>1807</v>
      </c>
      <c r="S334">
        <v>1174.2947999999999</v>
      </c>
      <c r="W334" s="11" t="s">
        <v>9</v>
      </c>
      <c r="X334" s="11" t="s">
        <v>1530</v>
      </c>
      <c r="Y334">
        <v>1174.2947999999999</v>
      </c>
      <c r="AF334">
        <v>1174.2947999999999</v>
      </c>
      <c r="AG334" t="s">
        <v>1746</v>
      </c>
    </row>
    <row r="335" spans="1:33" x14ac:dyDescent="0.3">
      <c r="A335" t="s">
        <v>305</v>
      </c>
      <c r="B335" s="2">
        <v>45891</v>
      </c>
      <c r="C335">
        <v>1353.7854</v>
      </c>
      <c r="D335" t="s">
        <v>1809</v>
      </c>
      <c r="E335">
        <v>19</v>
      </c>
      <c r="F335" t="s">
        <v>16</v>
      </c>
      <c r="G335" t="s">
        <v>1549</v>
      </c>
      <c r="H335" t="s">
        <v>1742</v>
      </c>
      <c r="L335" s="2">
        <v>45891</v>
      </c>
      <c r="M335">
        <v>1353.7854</v>
      </c>
      <c r="R335" t="s">
        <v>1809</v>
      </c>
      <c r="S335">
        <v>1353.7854</v>
      </c>
      <c r="W335" s="12" t="s">
        <v>16</v>
      </c>
      <c r="X335" s="12" t="s">
        <v>1549</v>
      </c>
      <c r="Y335">
        <v>1353.7854</v>
      </c>
      <c r="AF335">
        <v>1353.7854</v>
      </c>
      <c r="AG335" t="s">
        <v>1742</v>
      </c>
    </row>
    <row r="336" spans="1:33" x14ac:dyDescent="0.3">
      <c r="A336" t="s">
        <v>1084</v>
      </c>
      <c r="B336" s="2">
        <v>45609</v>
      </c>
      <c r="C336">
        <v>1042.491</v>
      </c>
      <c r="D336" t="s">
        <v>1809</v>
      </c>
      <c r="E336">
        <v>26</v>
      </c>
      <c r="F336" t="s">
        <v>9</v>
      </c>
      <c r="G336" t="s">
        <v>1549</v>
      </c>
      <c r="H336" t="s">
        <v>1742</v>
      </c>
      <c r="L336" s="2">
        <v>45609</v>
      </c>
      <c r="M336">
        <v>1042.491</v>
      </c>
      <c r="R336" t="s">
        <v>1809</v>
      </c>
      <c r="S336">
        <v>1042.491</v>
      </c>
      <c r="W336" s="11" t="s">
        <v>9</v>
      </c>
      <c r="X336" s="11" t="s">
        <v>1549</v>
      </c>
      <c r="Y336">
        <v>1042.491</v>
      </c>
      <c r="AF336">
        <v>1042.491</v>
      </c>
      <c r="AG336" t="s">
        <v>1742</v>
      </c>
    </row>
    <row r="337" spans="1:33" x14ac:dyDescent="0.3">
      <c r="A337" t="s">
        <v>1399</v>
      </c>
      <c r="B337" s="2">
        <v>45309</v>
      </c>
      <c r="C337">
        <v>2799.0720000000001</v>
      </c>
      <c r="D337" t="s">
        <v>1809</v>
      </c>
      <c r="E337">
        <v>29</v>
      </c>
      <c r="F337" t="s">
        <v>16</v>
      </c>
      <c r="G337" t="s">
        <v>1549</v>
      </c>
      <c r="H337" t="s">
        <v>1742</v>
      </c>
      <c r="L337" s="2">
        <v>45309</v>
      </c>
      <c r="M337">
        <v>2799.0720000000001</v>
      </c>
      <c r="R337" t="s">
        <v>1809</v>
      </c>
      <c r="S337">
        <v>2799.0720000000001</v>
      </c>
      <c r="W337" s="12" t="s">
        <v>16</v>
      </c>
      <c r="X337" s="12" t="s">
        <v>1549</v>
      </c>
      <c r="Y337">
        <v>2799.0720000000001</v>
      </c>
      <c r="AF337">
        <v>2799.0720000000001</v>
      </c>
      <c r="AG337" t="s">
        <v>1742</v>
      </c>
    </row>
    <row r="338" spans="1:33" x14ac:dyDescent="0.3">
      <c r="A338" t="s">
        <v>137</v>
      </c>
      <c r="B338" s="2">
        <v>45519</v>
      </c>
      <c r="C338">
        <v>2495.4744000000001</v>
      </c>
      <c r="D338" t="s">
        <v>1809</v>
      </c>
      <c r="E338">
        <v>52</v>
      </c>
      <c r="F338" t="s">
        <v>9</v>
      </c>
      <c r="G338" t="s">
        <v>1549</v>
      </c>
      <c r="H338" t="s">
        <v>1746</v>
      </c>
      <c r="L338" s="2">
        <v>45519</v>
      </c>
      <c r="M338">
        <v>2495.4744000000001</v>
      </c>
      <c r="R338" t="s">
        <v>1809</v>
      </c>
      <c r="S338">
        <v>2495.4744000000001</v>
      </c>
      <c r="W338" s="11" t="s">
        <v>9</v>
      </c>
      <c r="X338" s="11" t="s">
        <v>1549</v>
      </c>
      <c r="Y338">
        <v>2495.4744000000001</v>
      </c>
      <c r="AF338">
        <v>2495.4744000000001</v>
      </c>
      <c r="AG338" t="s">
        <v>1746</v>
      </c>
    </row>
    <row r="339" spans="1:33" x14ac:dyDescent="0.3">
      <c r="A339" t="s">
        <v>3939</v>
      </c>
      <c r="B339" s="2">
        <v>45921</v>
      </c>
      <c r="C339">
        <v>96.25</v>
      </c>
      <c r="D339" t="s">
        <v>1807</v>
      </c>
      <c r="E339">
        <v>58</v>
      </c>
      <c r="F339" t="s">
        <v>9</v>
      </c>
      <c r="G339" t="s">
        <v>1527</v>
      </c>
      <c r="H339" t="s">
        <v>1746</v>
      </c>
      <c r="L339" s="2">
        <v>45921</v>
      </c>
      <c r="M339">
        <v>96.25</v>
      </c>
      <c r="R339" t="s">
        <v>1807</v>
      </c>
      <c r="S339">
        <v>96.25</v>
      </c>
      <c r="W339" s="12" t="s">
        <v>9</v>
      </c>
      <c r="X339" s="12" t="s">
        <v>1527</v>
      </c>
      <c r="Y339">
        <v>96.25</v>
      </c>
      <c r="AF339">
        <v>96.25</v>
      </c>
      <c r="AG339" t="s">
        <v>1746</v>
      </c>
    </row>
    <row r="340" spans="1:33" x14ac:dyDescent="0.3">
      <c r="A340" t="s">
        <v>437</v>
      </c>
      <c r="B340" s="2">
        <v>45465</v>
      </c>
      <c r="C340">
        <v>346.38</v>
      </c>
      <c r="D340" t="s">
        <v>1809</v>
      </c>
      <c r="E340">
        <v>43</v>
      </c>
      <c r="F340" t="s">
        <v>16</v>
      </c>
      <c r="G340" t="s">
        <v>1527</v>
      </c>
      <c r="H340" t="s">
        <v>1742</v>
      </c>
      <c r="L340" s="2">
        <v>45465</v>
      </c>
      <c r="M340">
        <v>346.38</v>
      </c>
      <c r="R340" t="s">
        <v>1809</v>
      </c>
      <c r="S340">
        <v>346.38</v>
      </c>
      <c r="W340" s="11" t="s">
        <v>16</v>
      </c>
      <c r="X340" s="11" t="s">
        <v>1527</v>
      </c>
      <c r="Y340">
        <v>346.38</v>
      </c>
      <c r="AF340">
        <v>346.38</v>
      </c>
      <c r="AG340" t="s">
        <v>1742</v>
      </c>
    </row>
    <row r="341" spans="1:33" x14ac:dyDescent="0.3">
      <c r="A341" t="s">
        <v>714</v>
      </c>
      <c r="B341" s="2">
        <v>45303</v>
      </c>
      <c r="C341">
        <v>1032.3599999999999</v>
      </c>
      <c r="D341" t="s">
        <v>1809</v>
      </c>
      <c r="E341">
        <v>50</v>
      </c>
      <c r="F341" t="s">
        <v>9</v>
      </c>
      <c r="G341" t="s">
        <v>1530</v>
      </c>
      <c r="H341" t="s">
        <v>1737</v>
      </c>
      <c r="L341" s="2">
        <v>45303</v>
      </c>
      <c r="M341">
        <v>1032.3599999999999</v>
      </c>
      <c r="R341" t="s">
        <v>1809</v>
      </c>
      <c r="S341">
        <v>1032.3599999999999</v>
      </c>
      <c r="W341" s="12" t="s">
        <v>9</v>
      </c>
      <c r="X341" s="12" t="s">
        <v>1530</v>
      </c>
      <c r="Y341">
        <v>1032.3599999999999</v>
      </c>
      <c r="AF341">
        <v>1032.3599999999999</v>
      </c>
      <c r="AG341" t="s">
        <v>1737</v>
      </c>
    </row>
    <row r="342" spans="1:33" x14ac:dyDescent="0.3">
      <c r="A342" t="s">
        <v>179</v>
      </c>
      <c r="B342" s="2">
        <v>45218</v>
      </c>
      <c r="C342">
        <v>2724.4034999999999</v>
      </c>
      <c r="D342" t="s">
        <v>1812</v>
      </c>
      <c r="E342">
        <v>54</v>
      </c>
      <c r="F342" t="s">
        <v>9</v>
      </c>
      <c r="G342" t="s">
        <v>1549</v>
      </c>
      <c r="H342" t="s">
        <v>1742</v>
      </c>
      <c r="L342" s="2">
        <v>45218</v>
      </c>
      <c r="M342">
        <v>2724.4034999999999</v>
      </c>
      <c r="R342" t="s">
        <v>1812</v>
      </c>
      <c r="S342">
        <v>2724.4034999999999</v>
      </c>
      <c r="W342" s="11" t="s">
        <v>9</v>
      </c>
      <c r="X342" s="11" t="s">
        <v>1549</v>
      </c>
      <c r="Y342">
        <v>2724.4034999999999</v>
      </c>
      <c r="AF342">
        <v>2724.4034999999999</v>
      </c>
      <c r="AG342" t="s">
        <v>1742</v>
      </c>
    </row>
    <row r="343" spans="1:33" x14ac:dyDescent="0.3">
      <c r="A343" t="s">
        <v>501</v>
      </c>
      <c r="B343" s="2">
        <v>45727</v>
      </c>
      <c r="C343">
        <v>339.37560000000002</v>
      </c>
      <c r="D343" t="s">
        <v>1809</v>
      </c>
      <c r="E343">
        <v>25</v>
      </c>
      <c r="F343" t="s">
        <v>16</v>
      </c>
      <c r="G343" t="s">
        <v>1546</v>
      </c>
      <c r="H343" t="s">
        <v>1742</v>
      </c>
      <c r="L343" s="2">
        <v>45727</v>
      </c>
      <c r="M343">
        <v>339.37560000000002</v>
      </c>
      <c r="R343" t="s">
        <v>1809</v>
      </c>
      <c r="S343">
        <v>339.37560000000002</v>
      </c>
      <c r="W343" s="12" t="s">
        <v>16</v>
      </c>
      <c r="X343" s="12" t="s">
        <v>1546</v>
      </c>
      <c r="Y343">
        <v>339.37560000000002</v>
      </c>
      <c r="AF343">
        <v>339.37560000000002</v>
      </c>
      <c r="AG343" t="s">
        <v>1742</v>
      </c>
    </row>
    <row r="344" spans="1:33" x14ac:dyDescent="0.3">
      <c r="A344" t="s">
        <v>711</v>
      </c>
      <c r="B344" s="2">
        <v>45557</v>
      </c>
      <c r="C344">
        <v>1205.3327999999999</v>
      </c>
      <c r="D344" t="s">
        <v>1809</v>
      </c>
      <c r="E344">
        <v>35</v>
      </c>
      <c r="F344" t="s">
        <v>9</v>
      </c>
      <c r="G344" t="s">
        <v>1527</v>
      </c>
      <c r="H344" t="s">
        <v>1742</v>
      </c>
      <c r="L344" s="2">
        <v>45557</v>
      </c>
      <c r="M344">
        <v>1205.3327999999999</v>
      </c>
      <c r="R344" t="s">
        <v>1809</v>
      </c>
      <c r="S344">
        <v>1205.3327999999999</v>
      </c>
      <c r="W344" s="11" t="s">
        <v>9</v>
      </c>
      <c r="X344" s="11" t="s">
        <v>1527</v>
      </c>
      <c r="Y344">
        <v>1205.3327999999999</v>
      </c>
      <c r="AF344">
        <v>1205.3327999999999</v>
      </c>
      <c r="AG344" t="s">
        <v>1742</v>
      </c>
    </row>
    <row r="345" spans="1:33" x14ac:dyDescent="0.3">
      <c r="A345" t="s">
        <v>115</v>
      </c>
      <c r="B345" s="2">
        <v>45623</v>
      </c>
      <c r="C345">
        <v>2312.2568999999999</v>
      </c>
      <c r="D345" t="s">
        <v>1809</v>
      </c>
      <c r="E345">
        <v>27</v>
      </c>
      <c r="F345" t="s">
        <v>16</v>
      </c>
      <c r="G345" t="s">
        <v>1549</v>
      </c>
      <c r="H345" t="s">
        <v>1742</v>
      </c>
      <c r="L345" s="2">
        <v>45623</v>
      </c>
      <c r="M345">
        <v>2312.2568999999999</v>
      </c>
      <c r="R345" t="s">
        <v>1809</v>
      </c>
      <c r="S345">
        <v>2312.2568999999999</v>
      </c>
      <c r="W345" s="12" t="s">
        <v>16</v>
      </c>
      <c r="X345" s="12" t="s">
        <v>1549</v>
      </c>
      <c r="Y345">
        <v>2312.2568999999999</v>
      </c>
      <c r="AF345">
        <v>2312.2568999999999</v>
      </c>
      <c r="AG345" t="s">
        <v>1742</v>
      </c>
    </row>
    <row r="346" spans="1:33" x14ac:dyDescent="0.3">
      <c r="A346" t="s">
        <v>68</v>
      </c>
      <c r="B346" s="2">
        <v>45224</v>
      </c>
      <c r="C346">
        <v>817.15500000000009</v>
      </c>
      <c r="D346" t="s">
        <v>1809</v>
      </c>
      <c r="E346">
        <v>49</v>
      </c>
      <c r="F346" t="s">
        <v>16</v>
      </c>
      <c r="G346" t="s">
        <v>1546</v>
      </c>
      <c r="H346" t="s">
        <v>1746</v>
      </c>
      <c r="L346" s="2">
        <v>45224</v>
      </c>
      <c r="M346">
        <v>817.15500000000009</v>
      </c>
      <c r="R346" t="s">
        <v>1809</v>
      </c>
      <c r="S346">
        <v>817.15500000000009</v>
      </c>
      <c r="W346" s="11" t="s">
        <v>16</v>
      </c>
      <c r="X346" s="11" t="s">
        <v>1546</v>
      </c>
      <c r="Y346">
        <v>817.15500000000009</v>
      </c>
      <c r="AF346">
        <v>817.15500000000009</v>
      </c>
      <c r="AG346" t="s">
        <v>1746</v>
      </c>
    </row>
    <row r="347" spans="1:33" x14ac:dyDescent="0.3">
      <c r="A347" t="s">
        <v>904</v>
      </c>
      <c r="B347" s="2">
        <v>45940</v>
      </c>
      <c r="C347">
        <v>1083.7284</v>
      </c>
      <c r="D347" t="s">
        <v>1807</v>
      </c>
      <c r="E347">
        <v>58</v>
      </c>
      <c r="F347" t="s">
        <v>9</v>
      </c>
      <c r="G347" t="s">
        <v>1549</v>
      </c>
      <c r="H347" t="s">
        <v>1737</v>
      </c>
      <c r="L347" s="2">
        <v>45940</v>
      </c>
      <c r="M347">
        <v>1083.7284</v>
      </c>
      <c r="R347" t="s">
        <v>1807</v>
      </c>
      <c r="S347">
        <v>1083.7284</v>
      </c>
      <c r="W347" s="12" t="s">
        <v>9</v>
      </c>
      <c r="X347" s="12" t="s">
        <v>1549</v>
      </c>
      <c r="Y347">
        <v>1083.7284</v>
      </c>
      <c r="AF347">
        <v>1083.7284</v>
      </c>
      <c r="AG347" t="s">
        <v>1737</v>
      </c>
    </row>
    <row r="348" spans="1:33" x14ac:dyDescent="0.3">
      <c r="A348" t="s">
        <v>225</v>
      </c>
      <c r="B348" s="2">
        <v>45915</v>
      </c>
      <c r="C348">
        <v>1321.9595999999999</v>
      </c>
      <c r="D348" t="s">
        <v>1812</v>
      </c>
      <c r="E348">
        <v>50</v>
      </c>
      <c r="F348" t="s">
        <v>9</v>
      </c>
      <c r="G348" t="s">
        <v>1546</v>
      </c>
      <c r="H348" t="s">
        <v>1767</v>
      </c>
      <c r="L348" s="2">
        <v>45915</v>
      </c>
      <c r="M348">
        <v>1321.9595999999999</v>
      </c>
      <c r="R348" t="s">
        <v>1812</v>
      </c>
      <c r="S348">
        <v>1321.9595999999999</v>
      </c>
      <c r="W348" s="11" t="s">
        <v>9</v>
      </c>
      <c r="X348" s="11" t="s">
        <v>1546</v>
      </c>
      <c r="Y348">
        <v>1321.9595999999999</v>
      </c>
      <c r="AF348">
        <v>1321.9595999999999</v>
      </c>
      <c r="AG348" t="s">
        <v>1767</v>
      </c>
    </row>
    <row r="349" spans="1:33" x14ac:dyDescent="0.3">
      <c r="A349" t="s">
        <v>203</v>
      </c>
      <c r="B349" s="2">
        <v>45541</v>
      </c>
      <c r="C349">
        <v>437.37720000000002</v>
      </c>
      <c r="D349" t="s">
        <v>1812</v>
      </c>
      <c r="E349">
        <v>56</v>
      </c>
      <c r="F349" t="s">
        <v>16</v>
      </c>
      <c r="G349" t="s">
        <v>1546</v>
      </c>
      <c r="H349" t="s">
        <v>1742</v>
      </c>
      <c r="L349" s="2">
        <v>45541</v>
      </c>
      <c r="M349">
        <v>437.37720000000002</v>
      </c>
      <c r="R349" t="s">
        <v>1812</v>
      </c>
      <c r="S349">
        <v>437.37720000000002</v>
      </c>
      <c r="W349" s="12" t="s">
        <v>16</v>
      </c>
      <c r="X349" s="12" t="s">
        <v>1546</v>
      </c>
      <c r="Y349">
        <v>437.37720000000002</v>
      </c>
      <c r="AF349">
        <v>437.37720000000002</v>
      </c>
      <c r="AG349" t="s">
        <v>1742</v>
      </c>
    </row>
    <row r="350" spans="1:33" x14ac:dyDescent="0.3">
      <c r="A350" t="s">
        <v>1151</v>
      </c>
      <c r="B350" s="2">
        <v>45489</v>
      </c>
      <c r="C350">
        <v>148.30019999999999</v>
      </c>
      <c r="D350" t="s">
        <v>1807</v>
      </c>
      <c r="E350">
        <v>37</v>
      </c>
      <c r="F350" t="s">
        <v>16</v>
      </c>
      <c r="G350" t="s">
        <v>1549</v>
      </c>
      <c r="H350" t="s">
        <v>1742</v>
      </c>
      <c r="L350" s="2">
        <v>45489</v>
      </c>
      <c r="M350">
        <v>148.30019999999999</v>
      </c>
      <c r="R350" t="s">
        <v>1807</v>
      </c>
      <c r="S350">
        <v>148.30019999999999</v>
      </c>
      <c r="W350" s="11" t="s">
        <v>16</v>
      </c>
      <c r="X350" s="11" t="s">
        <v>1549</v>
      </c>
      <c r="Y350">
        <v>148.30019999999999</v>
      </c>
      <c r="AF350">
        <v>148.30019999999999</v>
      </c>
      <c r="AG350" t="s">
        <v>1742</v>
      </c>
    </row>
    <row r="351" spans="1:33" x14ac:dyDescent="0.3">
      <c r="A351" t="s">
        <v>975</v>
      </c>
      <c r="B351" s="2">
        <v>45748</v>
      </c>
      <c r="C351">
        <v>833.68399999999997</v>
      </c>
      <c r="D351" t="s">
        <v>1807</v>
      </c>
      <c r="E351">
        <v>62</v>
      </c>
      <c r="F351" t="s">
        <v>9</v>
      </c>
      <c r="G351" t="s">
        <v>1527</v>
      </c>
      <c r="H351" t="s">
        <v>1742</v>
      </c>
      <c r="L351" s="2">
        <v>45748</v>
      </c>
      <c r="M351">
        <v>833.68399999999997</v>
      </c>
      <c r="R351" t="s">
        <v>1807</v>
      </c>
      <c r="S351">
        <v>833.68399999999997</v>
      </c>
      <c r="W351" s="12" t="s">
        <v>9</v>
      </c>
      <c r="X351" s="12" t="s">
        <v>1527</v>
      </c>
      <c r="Y351">
        <v>833.68399999999997</v>
      </c>
      <c r="AF351">
        <v>833.68399999999997</v>
      </c>
      <c r="AG351" t="s">
        <v>1742</v>
      </c>
    </row>
    <row r="352" spans="1:33" x14ac:dyDescent="0.3">
      <c r="A352" t="s">
        <v>3935</v>
      </c>
      <c r="B352" s="2">
        <v>45309</v>
      </c>
      <c r="C352">
        <v>1589.3951999999999</v>
      </c>
      <c r="D352" t="s">
        <v>1809</v>
      </c>
      <c r="E352">
        <v>27</v>
      </c>
      <c r="F352" t="s">
        <v>16</v>
      </c>
      <c r="G352" t="s">
        <v>1527</v>
      </c>
      <c r="H352" t="s">
        <v>1742</v>
      </c>
      <c r="L352" s="2">
        <v>45309</v>
      </c>
      <c r="M352">
        <v>1589.3951999999999</v>
      </c>
      <c r="R352" t="s">
        <v>1809</v>
      </c>
      <c r="S352">
        <v>1589.3951999999999</v>
      </c>
      <c r="W352" s="11" t="s">
        <v>16</v>
      </c>
      <c r="X352" s="11" t="s">
        <v>1527</v>
      </c>
      <c r="Y352">
        <v>1589.3951999999999</v>
      </c>
      <c r="AF352">
        <v>1589.3951999999999</v>
      </c>
      <c r="AG352" t="s">
        <v>1742</v>
      </c>
    </row>
    <row r="353" spans="1:33" x14ac:dyDescent="0.3">
      <c r="A353" t="s">
        <v>691</v>
      </c>
      <c r="B353" s="2">
        <v>45621</v>
      </c>
      <c r="C353">
        <v>2317.1543999999999</v>
      </c>
      <c r="D353" t="s">
        <v>1809</v>
      </c>
      <c r="E353">
        <v>50</v>
      </c>
      <c r="F353" t="s">
        <v>16</v>
      </c>
      <c r="G353" t="s">
        <v>1541</v>
      </c>
      <c r="H353" t="s">
        <v>1742</v>
      </c>
      <c r="L353" s="2">
        <v>45621</v>
      </c>
      <c r="M353">
        <v>2317.1543999999999</v>
      </c>
      <c r="R353" t="s">
        <v>1809</v>
      </c>
      <c r="S353">
        <v>2317.1543999999999</v>
      </c>
      <c r="W353" s="12" t="s">
        <v>16</v>
      </c>
      <c r="X353" s="12" t="s">
        <v>1541</v>
      </c>
      <c r="Y353">
        <v>2317.1543999999999</v>
      </c>
      <c r="AF353">
        <v>2317.1543999999999</v>
      </c>
      <c r="AG353" t="s">
        <v>1742</v>
      </c>
    </row>
    <row r="354" spans="1:33" x14ac:dyDescent="0.3">
      <c r="A354" t="s">
        <v>815</v>
      </c>
      <c r="B354" s="2">
        <v>45603</v>
      </c>
      <c r="C354">
        <v>1446.1376</v>
      </c>
      <c r="D354" t="s">
        <v>1812</v>
      </c>
      <c r="E354">
        <v>24</v>
      </c>
      <c r="F354" t="s">
        <v>16</v>
      </c>
      <c r="G354" t="s">
        <v>1549</v>
      </c>
      <c r="H354" t="s">
        <v>1746</v>
      </c>
      <c r="L354" s="2">
        <v>45603</v>
      </c>
      <c r="M354">
        <v>1446.1376</v>
      </c>
      <c r="R354" t="s">
        <v>1812</v>
      </c>
      <c r="S354">
        <v>1446.1376</v>
      </c>
      <c r="W354" s="11" t="s">
        <v>16</v>
      </c>
      <c r="X354" s="11" t="s">
        <v>1549</v>
      </c>
      <c r="Y354">
        <v>1446.1376</v>
      </c>
      <c r="AF354">
        <v>1446.1376</v>
      </c>
      <c r="AG354" t="s">
        <v>1746</v>
      </c>
    </row>
    <row r="355" spans="1:33" x14ac:dyDescent="0.3">
      <c r="A355" t="s">
        <v>365</v>
      </c>
      <c r="B355" s="2">
        <v>45501</v>
      </c>
      <c r="C355">
        <v>612.16679999999997</v>
      </c>
      <c r="D355" t="s">
        <v>1809</v>
      </c>
      <c r="E355">
        <v>50</v>
      </c>
      <c r="F355" t="s">
        <v>16</v>
      </c>
      <c r="G355" t="s">
        <v>1530</v>
      </c>
      <c r="H355" t="s">
        <v>1742</v>
      </c>
      <c r="L355" s="2">
        <v>45501</v>
      </c>
      <c r="M355">
        <v>612.16679999999997</v>
      </c>
      <c r="R355" t="s">
        <v>1809</v>
      </c>
      <c r="S355">
        <v>612.16679999999997</v>
      </c>
      <c r="W355" s="12" t="s">
        <v>16</v>
      </c>
      <c r="X355" s="12" t="s">
        <v>1530</v>
      </c>
      <c r="Y355">
        <v>612.16679999999997</v>
      </c>
      <c r="AF355">
        <v>612.16679999999997</v>
      </c>
      <c r="AG355" t="s">
        <v>1742</v>
      </c>
    </row>
    <row r="356" spans="1:33" x14ac:dyDescent="0.3">
      <c r="A356" t="s">
        <v>789</v>
      </c>
      <c r="B356" s="2">
        <v>45398</v>
      </c>
      <c r="C356">
        <v>868.98</v>
      </c>
      <c r="D356" t="s">
        <v>1812</v>
      </c>
      <c r="E356">
        <v>41</v>
      </c>
      <c r="F356" t="s">
        <v>16</v>
      </c>
      <c r="G356" t="s">
        <v>1527</v>
      </c>
      <c r="H356" t="s">
        <v>1767</v>
      </c>
      <c r="L356" s="2">
        <v>45398</v>
      </c>
      <c r="M356">
        <v>868.98</v>
      </c>
      <c r="R356" t="s">
        <v>1812</v>
      </c>
      <c r="S356">
        <v>868.98</v>
      </c>
      <c r="W356" s="11" t="s">
        <v>16</v>
      </c>
      <c r="X356" s="11" t="s">
        <v>1527</v>
      </c>
      <c r="Y356">
        <v>868.98</v>
      </c>
      <c r="AF356">
        <v>868.98</v>
      </c>
      <c r="AG356" t="s">
        <v>1767</v>
      </c>
    </row>
    <row r="357" spans="1:33" x14ac:dyDescent="0.3">
      <c r="A357" t="s">
        <v>768</v>
      </c>
      <c r="B357" s="2">
        <v>45304</v>
      </c>
      <c r="C357">
        <v>1492.7882</v>
      </c>
      <c r="D357" t="s">
        <v>1807</v>
      </c>
      <c r="E357">
        <v>58</v>
      </c>
      <c r="F357" t="s">
        <v>16</v>
      </c>
      <c r="G357" t="s">
        <v>1546</v>
      </c>
      <c r="H357" t="s">
        <v>1742</v>
      </c>
      <c r="L357" s="2">
        <v>45304</v>
      </c>
      <c r="M357">
        <v>1492.7882</v>
      </c>
      <c r="R357" t="s">
        <v>1807</v>
      </c>
      <c r="S357">
        <v>1492.7882</v>
      </c>
      <c r="W357" s="12" t="s">
        <v>16</v>
      </c>
      <c r="X357" s="12" t="s">
        <v>1546</v>
      </c>
      <c r="Y357">
        <v>1492.7882</v>
      </c>
      <c r="AF357">
        <v>1492.7882</v>
      </c>
      <c r="AG357" t="s">
        <v>1742</v>
      </c>
    </row>
    <row r="358" spans="1:33" x14ac:dyDescent="0.3">
      <c r="A358" t="s">
        <v>239</v>
      </c>
      <c r="B358" s="2">
        <v>45299</v>
      </c>
      <c r="C358">
        <v>615.32820000000004</v>
      </c>
      <c r="D358" t="s">
        <v>1812</v>
      </c>
      <c r="E358">
        <v>27</v>
      </c>
      <c r="F358" t="s">
        <v>16</v>
      </c>
      <c r="G358" t="s">
        <v>1530</v>
      </c>
      <c r="H358" t="s">
        <v>1742</v>
      </c>
      <c r="L358" s="2">
        <v>45299</v>
      </c>
      <c r="M358">
        <v>615.32820000000004</v>
      </c>
      <c r="R358" t="s">
        <v>1812</v>
      </c>
      <c r="S358">
        <v>615.32820000000004</v>
      </c>
      <c r="W358" s="11" t="s">
        <v>16</v>
      </c>
      <c r="X358" s="11" t="s">
        <v>1530</v>
      </c>
      <c r="Y358">
        <v>615.32820000000004</v>
      </c>
      <c r="AF358">
        <v>615.32820000000004</v>
      </c>
      <c r="AG358" t="s">
        <v>1742</v>
      </c>
    </row>
    <row r="359" spans="1:33" x14ac:dyDescent="0.3">
      <c r="A359" t="s">
        <v>546</v>
      </c>
      <c r="B359" s="2">
        <v>45564</v>
      </c>
      <c r="C359">
        <v>414.25920000000002</v>
      </c>
      <c r="D359" t="s">
        <v>1807</v>
      </c>
      <c r="E359">
        <v>25</v>
      </c>
      <c r="F359" t="s">
        <v>16</v>
      </c>
      <c r="G359" t="s">
        <v>1527</v>
      </c>
      <c r="H359" t="s">
        <v>1737</v>
      </c>
      <c r="L359" s="2">
        <v>45564</v>
      </c>
      <c r="M359">
        <v>414.25920000000002</v>
      </c>
      <c r="R359" t="s">
        <v>1807</v>
      </c>
      <c r="S359">
        <v>414.25920000000002</v>
      </c>
      <c r="W359" s="12" t="s">
        <v>16</v>
      </c>
      <c r="X359" s="12" t="s">
        <v>1527</v>
      </c>
      <c r="Y359">
        <v>414.25920000000002</v>
      </c>
      <c r="AF359">
        <v>414.25920000000002</v>
      </c>
      <c r="AG359" t="s">
        <v>1737</v>
      </c>
    </row>
    <row r="360" spans="1:33" x14ac:dyDescent="0.3">
      <c r="A360" t="s">
        <v>679</v>
      </c>
      <c r="B360" s="2">
        <v>45413</v>
      </c>
      <c r="C360">
        <v>2019.684</v>
      </c>
      <c r="D360" t="s">
        <v>1812</v>
      </c>
      <c r="E360">
        <v>20</v>
      </c>
      <c r="F360" t="s">
        <v>16</v>
      </c>
      <c r="G360" t="s">
        <v>1541</v>
      </c>
      <c r="H360" t="s">
        <v>1742</v>
      </c>
      <c r="L360" s="2">
        <v>45413</v>
      </c>
      <c r="M360">
        <v>2019.684</v>
      </c>
      <c r="R360" t="s">
        <v>1812</v>
      </c>
      <c r="S360">
        <v>2019.684</v>
      </c>
      <c r="W360" s="11" t="s">
        <v>16</v>
      </c>
      <c r="X360" s="11" t="s">
        <v>1541</v>
      </c>
      <c r="Y360">
        <v>2019.684</v>
      </c>
      <c r="AF360">
        <v>2019.684</v>
      </c>
      <c r="AG360" t="s">
        <v>1742</v>
      </c>
    </row>
    <row r="361" spans="1:33" x14ac:dyDescent="0.3">
      <c r="A361" t="s">
        <v>1282</v>
      </c>
      <c r="B361" s="2">
        <v>45480</v>
      </c>
      <c r="C361">
        <v>2199.3449999999998</v>
      </c>
      <c r="D361" t="s">
        <v>1812</v>
      </c>
      <c r="E361">
        <v>60</v>
      </c>
      <c r="F361" t="s">
        <v>16</v>
      </c>
      <c r="G361" t="s">
        <v>1549</v>
      </c>
      <c r="H361" t="s">
        <v>1746</v>
      </c>
      <c r="L361" s="2">
        <v>45480</v>
      </c>
      <c r="M361">
        <v>2199.3449999999998</v>
      </c>
      <c r="R361" t="s">
        <v>1812</v>
      </c>
      <c r="S361">
        <v>2199.3449999999998</v>
      </c>
      <c r="W361" s="12" t="s">
        <v>16</v>
      </c>
      <c r="X361" s="12" t="s">
        <v>1549</v>
      </c>
      <c r="Y361">
        <v>2199.3449999999998</v>
      </c>
      <c r="AF361">
        <v>2199.3449999999998</v>
      </c>
      <c r="AG361" t="s">
        <v>1746</v>
      </c>
    </row>
    <row r="362" spans="1:33" x14ac:dyDescent="0.3">
      <c r="A362" t="s">
        <v>377</v>
      </c>
      <c r="B362" s="2">
        <v>45610</v>
      </c>
      <c r="C362">
        <v>2329.7399999999998</v>
      </c>
      <c r="D362" t="s">
        <v>1809</v>
      </c>
      <c r="E362">
        <v>27</v>
      </c>
      <c r="F362" t="s">
        <v>9</v>
      </c>
      <c r="G362" t="s">
        <v>1549</v>
      </c>
      <c r="H362" t="s">
        <v>1742</v>
      </c>
      <c r="L362" s="2">
        <v>45610</v>
      </c>
      <c r="M362">
        <v>2329.7399999999998</v>
      </c>
      <c r="R362" t="s">
        <v>1809</v>
      </c>
      <c r="S362">
        <v>2329.7399999999998</v>
      </c>
      <c r="W362" s="11" t="s">
        <v>9</v>
      </c>
      <c r="X362" s="11" t="s">
        <v>1549</v>
      </c>
      <c r="Y362">
        <v>2329.7399999999998</v>
      </c>
      <c r="AF362">
        <v>2329.7399999999998</v>
      </c>
      <c r="AG362" t="s">
        <v>1742</v>
      </c>
    </row>
    <row r="363" spans="1:33" x14ac:dyDescent="0.3">
      <c r="A363" t="s">
        <v>359</v>
      </c>
      <c r="B363" s="2">
        <v>45763</v>
      </c>
      <c r="C363">
        <v>477.65519999999998</v>
      </c>
      <c r="D363" t="s">
        <v>1812</v>
      </c>
      <c r="E363">
        <v>21</v>
      </c>
      <c r="F363" t="s">
        <v>9</v>
      </c>
      <c r="G363" t="s">
        <v>1546</v>
      </c>
      <c r="H363" t="s">
        <v>1742</v>
      </c>
      <c r="L363" s="2">
        <v>45763</v>
      </c>
      <c r="M363">
        <v>477.65519999999998</v>
      </c>
      <c r="R363" t="s">
        <v>1812</v>
      </c>
      <c r="S363">
        <v>477.65519999999998</v>
      </c>
      <c r="W363" s="12" t="s">
        <v>9</v>
      </c>
      <c r="X363" s="12" t="s">
        <v>1546</v>
      </c>
      <c r="Y363">
        <v>477.65519999999998</v>
      </c>
      <c r="AF363">
        <v>477.65519999999998</v>
      </c>
      <c r="AG363" t="s">
        <v>1742</v>
      </c>
    </row>
    <row r="364" spans="1:33" x14ac:dyDescent="0.3">
      <c r="A364" t="s">
        <v>1116</v>
      </c>
      <c r="B364" s="2">
        <v>45856</v>
      </c>
      <c r="C364">
        <v>1307.5999999999999</v>
      </c>
      <c r="D364" t="s">
        <v>1812</v>
      </c>
      <c r="E364">
        <v>64</v>
      </c>
      <c r="F364" t="s">
        <v>9</v>
      </c>
      <c r="G364" t="s">
        <v>1549</v>
      </c>
      <c r="H364" t="s">
        <v>1746</v>
      </c>
      <c r="L364" s="2">
        <v>45856</v>
      </c>
      <c r="M364">
        <v>1307.5999999999999</v>
      </c>
      <c r="R364" t="s">
        <v>1812</v>
      </c>
      <c r="S364">
        <v>1307.5999999999999</v>
      </c>
      <c r="W364" s="11" t="s">
        <v>9</v>
      </c>
      <c r="X364" s="11" t="s">
        <v>1549</v>
      </c>
      <c r="Y364">
        <v>1307.5999999999999</v>
      </c>
      <c r="AF364">
        <v>1307.5999999999999</v>
      </c>
      <c r="AG364" t="s">
        <v>1746</v>
      </c>
    </row>
    <row r="365" spans="1:33" x14ac:dyDescent="0.3">
      <c r="A365" t="s">
        <v>1040</v>
      </c>
      <c r="B365" s="2">
        <v>45712</v>
      </c>
      <c r="C365">
        <v>535.62400000000002</v>
      </c>
      <c r="D365" t="s">
        <v>1807</v>
      </c>
      <c r="E365">
        <v>37</v>
      </c>
      <c r="F365" t="s">
        <v>9</v>
      </c>
      <c r="G365" t="s">
        <v>1530</v>
      </c>
      <c r="H365" t="s">
        <v>1746</v>
      </c>
      <c r="L365" s="2">
        <v>45712</v>
      </c>
      <c r="M365">
        <v>535.62400000000002</v>
      </c>
      <c r="R365" t="s">
        <v>1807</v>
      </c>
      <c r="S365">
        <v>535.62400000000002</v>
      </c>
      <c r="W365" s="12" t="s">
        <v>9</v>
      </c>
      <c r="X365" s="12" t="s">
        <v>1530</v>
      </c>
      <c r="Y365">
        <v>535.62400000000002</v>
      </c>
      <c r="AF365">
        <v>535.62400000000002</v>
      </c>
      <c r="AG365" t="s">
        <v>1746</v>
      </c>
    </row>
    <row r="366" spans="1:33" x14ac:dyDescent="0.3">
      <c r="A366" t="s">
        <v>697</v>
      </c>
      <c r="B366" s="2">
        <v>45723</v>
      </c>
      <c r="C366">
        <v>153.85679999999999</v>
      </c>
      <c r="D366" t="s">
        <v>1812</v>
      </c>
      <c r="E366">
        <v>42</v>
      </c>
      <c r="F366" t="s">
        <v>9</v>
      </c>
      <c r="G366" t="s">
        <v>1527</v>
      </c>
      <c r="H366" t="s">
        <v>1742</v>
      </c>
      <c r="L366" s="2">
        <v>45723</v>
      </c>
      <c r="M366">
        <v>153.85679999999999</v>
      </c>
      <c r="R366" t="s">
        <v>1812</v>
      </c>
      <c r="S366">
        <v>153.85679999999999</v>
      </c>
      <c r="W366" s="11" t="s">
        <v>9</v>
      </c>
      <c r="X366" s="11" t="s">
        <v>1527</v>
      </c>
      <c r="Y366">
        <v>153.85679999999999</v>
      </c>
      <c r="AF366">
        <v>153.85679999999999</v>
      </c>
      <c r="AG366" t="s">
        <v>1742</v>
      </c>
    </row>
    <row r="367" spans="1:33" x14ac:dyDescent="0.3">
      <c r="A367" t="s">
        <v>279</v>
      </c>
      <c r="B367" s="2">
        <v>45706</v>
      </c>
      <c r="C367">
        <v>158.56</v>
      </c>
      <c r="D367" t="s">
        <v>1809</v>
      </c>
      <c r="E367">
        <v>21</v>
      </c>
      <c r="F367" t="s">
        <v>9</v>
      </c>
      <c r="G367" t="s">
        <v>1527</v>
      </c>
      <c r="H367" t="s">
        <v>1742</v>
      </c>
      <c r="L367" s="2">
        <v>45706</v>
      </c>
      <c r="M367">
        <v>158.56</v>
      </c>
      <c r="R367" t="s">
        <v>1809</v>
      </c>
      <c r="S367">
        <v>158.56</v>
      </c>
      <c r="W367" s="12" t="s">
        <v>9</v>
      </c>
      <c r="X367" s="12" t="s">
        <v>1527</v>
      </c>
      <c r="Y367">
        <v>158.56</v>
      </c>
      <c r="AF367">
        <v>158.56</v>
      </c>
      <c r="AG367" t="s">
        <v>1742</v>
      </c>
    </row>
    <row r="368" spans="1:33" x14ac:dyDescent="0.3">
      <c r="A368" t="s">
        <v>1145</v>
      </c>
      <c r="B368" s="2">
        <v>45469</v>
      </c>
      <c r="C368">
        <v>610.11059999999998</v>
      </c>
      <c r="D368" t="s">
        <v>1812</v>
      </c>
      <c r="E368">
        <v>21</v>
      </c>
      <c r="F368" t="s">
        <v>16</v>
      </c>
      <c r="G368" t="s">
        <v>1530</v>
      </c>
      <c r="H368" t="s">
        <v>1742</v>
      </c>
      <c r="L368" s="2">
        <v>45469</v>
      </c>
      <c r="M368">
        <v>610.11059999999998</v>
      </c>
      <c r="R368" t="s">
        <v>1812</v>
      </c>
      <c r="S368">
        <v>610.11059999999998</v>
      </c>
      <c r="W368" s="11" t="s">
        <v>16</v>
      </c>
      <c r="X368" s="11" t="s">
        <v>1530</v>
      </c>
      <c r="Y368">
        <v>610.11059999999998</v>
      </c>
      <c r="AF368">
        <v>610.11059999999998</v>
      </c>
      <c r="AG368" t="s">
        <v>1742</v>
      </c>
    </row>
    <row r="369" spans="1:33" x14ac:dyDescent="0.3">
      <c r="A369" t="s">
        <v>305</v>
      </c>
      <c r="B369" s="2">
        <v>45711</v>
      </c>
      <c r="C369">
        <v>2097.1008000000002</v>
      </c>
      <c r="D369" t="s">
        <v>1807</v>
      </c>
      <c r="E369">
        <v>19</v>
      </c>
      <c r="F369" t="s">
        <v>16</v>
      </c>
      <c r="G369" t="s">
        <v>1527</v>
      </c>
      <c r="H369" t="s">
        <v>1746</v>
      </c>
      <c r="L369" s="2">
        <v>45711</v>
      </c>
      <c r="M369">
        <v>2097.1008000000002</v>
      </c>
      <c r="R369" t="s">
        <v>1807</v>
      </c>
      <c r="S369">
        <v>2097.1008000000002</v>
      </c>
      <c r="W369" s="12" t="s">
        <v>16</v>
      </c>
      <c r="X369" s="12" t="s">
        <v>1527</v>
      </c>
      <c r="Y369">
        <v>2097.1008000000002</v>
      </c>
      <c r="AF369">
        <v>2097.1008000000002</v>
      </c>
      <c r="AG369" t="s">
        <v>1746</v>
      </c>
    </row>
    <row r="370" spans="1:33" x14ac:dyDescent="0.3">
      <c r="A370" t="s">
        <v>1437</v>
      </c>
      <c r="B370" s="2">
        <v>45823</v>
      </c>
      <c r="C370">
        <v>228.79599999999999</v>
      </c>
      <c r="D370" t="s">
        <v>1812</v>
      </c>
      <c r="E370">
        <v>42</v>
      </c>
      <c r="F370" t="s">
        <v>9</v>
      </c>
      <c r="G370" t="s">
        <v>1546</v>
      </c>
      <c r="H370" t="s">
        <v>1742</v>
      </c>
      <c r="L370" s="2">
        <v>45823</v>
      </c>
      <c r="M370">
        <v>228.79599999999999</v>
      </c>
      <c r="R370" t="s">
        <v>1812</v>
      </c>
      <c r="S370">
        <v>228.79599999999999</v>
      </c>
      <c r="W370" s="11" t="s">
        <v>9</v>
      </c>
      <c r="X370" s="11" t="s">
        <v>1546</v>
      </c>
      <c r="Y370">
        <v>228.79599999999999</v>
      </c>
      <c r="AF370">
        <v>228.79599999999999</v>
      </c>
      <c r="AG370" t="s">
        <v>1742</v>
      </c>
    </row>
    <row r="371" spans="1:33" x14ac:dyDescent="0.3">
      <c r="A371" t="s">
        <v>1371</v>
      </c>
      <c r="B371" s="2">
        <v>45217</v>
      </c>
      <c r="C371">
        <v>1002.5028</v>
      </c>
      <c r="D371" t="s">
        <v>1809</v>
      </c>
      <c r="E371">
        <v>29</v>
      </c>
      <c r="F371" t="s">
        <v>9</v>
      </c>
      <c r="G371" t="s">
        <v>1549</v>
      </c>
      <c r="H371" t="s">
        <v>1742</v>
      </c>
      <c r="L371" s="2">
        <v>45217</v>
      </c>
      <c r="M371">
        <v>1002.5028</v>
      </c>
      <c r="R371" t="s">
        <v>1809</v>
      </c>
      <c r="S371">
        <v>1002.5028</v>
      </c>
      <c r="W371" s="12" t="s">
        <v>9</v>
      </c>
      <c r="X371" s="12" t="s">
        <v>1549</v>
      </c>
      <c r="Y371">
        <v>1002.5028</v>
      </c>
      <c r="AF371">
        <v>1002.5028</v>
      </c>
      <c r="AG371" t="s">
        <v>1742</v>
      </c>
    </row>
    <row r="372" spans="1:33" x14ac:dyDescent="0.3">
      <c r="A372" t="s">
        <v>349</v>
      </c>
      <c r="B372" s="2">
        <v>45733</v>
      </c>
      <c r="C372">
        <v>583.25200000000007</v>
      </c>
      <c r="D372" t="s">
        <v>1807</v>
      </c>
      <c r="E372">
        <v>53</v>
      </c>
      <c r="F372" t="s">
        <v>16</v>
      </c>
      <c r="G372" t="s">
        <v>1549</v>
      </c>
      <c r="H372" t="s">
        <v>1742</v>
      </c>
      <c r="L372" s="2">
        <v>45733</v>
      </c>
      <c r="M372">
        <v>583.25200000000007</v>
      </c>
      <c r="R372" t="s">
        <v>1807</v>
      </c>
      <c r="S372">
        <v>583.25200000000007</v>
      </c>
      <c r="W372" s="11" t="s">
        <v>16</v>
      </c>
      <c r="X372" s="11" t="s">
        <v>1549</v>
      </c>
      <c r="Y372">
        <v>583.25200000000007</v>
      </c>
      <c r="AF372">
        <v>583.25200000000007</v>
      </c>
      <c r="AG372" t="s">
        <v>1742</v>
      </c>
    </row>
    <row r="373" spans="1:33" x14ac:dyDescent="0.3">
      <c r="A373" t="s">
        <v>738</v>
      </c>
      <c r="B373" s="2">
        <v>45520</v>
      </c>
      <c r="C373">
        <v>594.43550000000005</v>
      </c>
      <c r="D373" t="s">
        <v>1812</v>
      </c>
      <c r="E373">
        <v>27</v>
      </c>
      <c r="F373" t="s">
        <v>16</v>
      </c>
      <c r="G373" t="s">
        <v>1546</v>
      </c>
      <c r="H373" t="s">
        <v>1742</v>
      </c>
      <c r="L373" s="2">
        <v>45520</v>
      </c>
      <c r="M373">
        <v>594.43550000000005</v>
      </c>
      <c r="R373" t="s">
        <v>1812</v>
      </c>
      <c r="S373">
        <v>594.43550000000005</v>
      </c>
      <c r="W373" s="12" t="s">
        <v>16</v>
      </c>
      <c r="X373" s="12" t="s">
        <v>1546</v>
      </c>
      <c r="Y373">
        <v>594.43550000000005</v>
      </c>
      <c r="AF373">
        <v>594.43550000000005</v>
      </c>
      <c r="AG373" t="s">
        <v>1742</v>
      </c>
    </row>
    <row r="374" spans="1:33" x14ac:dyDescent="0.3">
      <c r="A374" t="s">
        <v>147</v>
      </c>
      <c r="B374" s="2">
        <v>45373</v>
      </c>
      <c r="C374">
        <v>331.26280000000003</v>
      </c>
      <c r="D374" t="s">
        <v>1807</v>
      </c>
      <c r="E374">
        <v>35</v>
      </c>
      <c r="F374" t="s">
        <v>16</v>
      </c>
      <c r="G374" t="s">
        <v>1541</v>
      </c>
      <c r="H374" t="s">
        <v>1742</v>
      </c>
      <c r="L374" s="2">
        <v>45373</v>
      </c>
      <c r="M374">
        <v>331.26280000000003</v>
      </c>
      <c r="R374" t="s">
        <v>1807</v>
      </c>
      <c r="S374">
        <v>331.26280000000003</v>
      </c>
      <c r="W374" s="11" t="s">
        <v>16</v>
      </c>
      <c r="X374" s="11" t="s">
        <v>1541</v>
      </c>
      <c r="Y374">
        <v>331.26280000000003</v>
      </c>
      <c r="AF374">
        <v>331.26280000000003</v>
      </c>
      <c r="AG374" t="s">
        <v>1742</v>
      </c>
    </row>
    <row r="375" spans="1:33" x14ac:dyDescent="0.3">
      <c r="A375" t="s">
        <v>534</v>
      </c>
      <c r="B375" s="2">
        <v>45688</v>
      </c>
      <c r="C375">
        <v>1331.91</v>
      </c>
      <c r="D375" t="s">
        <v>1812</v>
      </c>
      <c r="E375">
        <v>37</v>
      </c>
      <c r="F375" t="s">
        <v>9</v>
      </c>
      <c r="G375" t="s">
        <v>1549</v>
      </c>
      <c r="H375" t="s">
        <v>1742</v>
      </c>
      <c r="L375" s="2">
        <v>45688</v>
      </c>
      <c r="M375">
        <v>1331.91</v>
      </c>
      <c r="R375" t="s">
        <v>1812</v>
      </c>
      <c r="S375">
        <v>1331.91</v>
      </c>
      <c r="W375" s="12" t="s">
        <v>9</v>
      </c>
      <c r="X375" s="12" t="s">
        <v>1549</v>
      </c>
      <c r="Y375">
        <v>1331.91</v>
      </c>
      <c r="AF375">
        <v>1331.91</v>
      </c>
      <c r="AG375" t="s">
        <v>1742</v>
      </c>
    </row>
    <row r="376" spans="1:33" x14ac:dyDescent="0.3">
      <c r="A376" t="s">
        <v>1431</v>
      </c>
      <c r="B376" s="2">
        <v>45276</v>
      </c>
      <c r="C376">
        <v>456.4948</v>
      </c>
      <c r="D376" t="s">
        <v>1812</v>
      </c>
      <c r="E376">
        <v>21</v>
      </c>
      <c r="F376" t="s">
        <v>16</v>
      </c>
      <c r="G376" t="s">
        <v>1549</v>
      </c>
      <c r="H376" t="s">
        <v>1742</v>
      </c>
      <c r="L376" s="2">
        <v>45276</v>
      </c>
      <c r="M376">
        <v>456.4948</v>
      </c>
      <c r="R376" t="s">
        <v>1812</v>
      </c>
      <c r="S376">
        <v>456.4948</v>
      </c>
      <c r="W376" s="11" t="s">
        <v>16</v>
      </c>
      <c r="X376" s="11" t="s">
        <v>1549</v>
      </c>
      <c r="Y376">
        <v>456.4948</v>
      </c>
      <c r="AF376">
        <v>456.4948</v>
      </c>
      <c r="AG376" t="s">
        <v>1742</v>
      </c>
    </row>
    <row r="377" spans="1:33" x14ac:dyDescent="0.3">
      <c r="A377" t="s">
        <v>172</v>
      </c>
      <c r="B377" s="2">
        <v>45756</v>
      </c>
      <c r="C377">
        <v>303.29640000000001</v>
      </c>
      <c r="D377" t="s">
        <v>1809</v>
      </c>
      <c r="E377">
        <v>54</v>
      </c>
      <c r="F377" t="s">
        <v>9</v>
      </c>
      <c r="G377" t="s">
        <v>1541</v>
      </c>
      <c r="H377" t="s">
        <v>1742</v>
      </c>
      <c r="L377" s="2">
        <v>45756</v>
      </c>
      <c r="M377">
        <v>303.29640000000001</v>
      </c>
      <c r="R377" t="s">
        <v>1809</v>
      </c>
      <c r="S377">
        <v>303.29640000000001</v>
      </c>
      <c r="W377" s="12" t="s">
        <v>9</v>
      </c>
      <c r="X377" s="12" t="s">
        <v>1541</v>
      </c>
      <c r="Y377">
        <v>303.29640000000001</v>
      </c>
      <c r="AF377">
        <v>303.29640000000001</v>
      </c>
      <c r="AG377" t="s">
        <v>1742</v>
      </c>
    </row>
    <row r="378" spans="1:33" x14ac:dyDescent="0.3">
      <c r="A378" t="s">
        <v>413</v>
      </c>
      <c r="B378" s="2">
        <v>45309</v>
      </c>
      <c r="C378">
        <v>2634.0079999999998</v>
      </c>
      <c r="D378" t="s">
        <v>1809</v>
      </c>
      <c r="E378">
        <v>62</v>
      </c>
      <c r="F378" t="s">
        <v>9</v>
      </c>
      <c r="G378" t="s">
        <v>1549</v>
      </c>
      <c r="H378" t="s">
        <v>1746</v>
      </c>
      <c r="L378" s="2">
        <v>45309</v>
      </c>
      <c r="M378">
        <v>2634.0079999999998</v>
      </c>
      <c r="R378" t="s">
        <v>1809</v>
      </c>
      <c r="S378">
        <v>2634.0079999999998</v>
      </c>
      <c r="W378" s="11" t="s">
        <v>9</v>
      </c>
      <c r="X378" s="11" t="s">
        <v>1549</v>
      </c>
      <c r="Y378">
        <v>2634.0079999999998</v>
      </c>
      <c r="AF378">
        <v>2634.0079999999998</v>
      </c>
      <c r="AG378" t="s">
        <v>1746</v>
      </c>
    </row>
    <row r="379" spans="1:33" x14ac:dyDescent="0.3">
      <c r="A379" t="s">
        <v>1390</v>
      </c>
      <c r="B379" s="2">
        <v>45744</v>
      </c>
      <c r="C379">
        <v>776.50559999999996</v>
      </c>
      <c r="D379" t="s">
        <v>1809</v>
      </c>
      <c r="E379">
        <v>59</v>
      </c>
      <c r="F379" t="s">
        <v>16</v>
      </c>
      <c r="G379" t="s">
        <v>1541</v>
      </c>
      <c r="H379" t="s">
        <v>1742</v>
      </c>
      <c r="L379" s="2">
        <v>45744</v>
      </c>
      <c r="M379">
        <v>776.50559999999996</v>
      </c>
      <c r="R379" t="s">
        <v>1809</v>
      </c>
      <c r="S379">
        <v>776.50559999999996</v>
      </c>
      <c r="W379" s="12" t="s">
        <v>16</v>
      </c>
      <c r="X379" s="12" t="s">
        <v>1541</v>
      </c>
      <c r="Y379">
        <v>776.50559999999996</v>
      </c>
      <c r="AF379">
        <v>776.50559999999996</v>
      </c>
      <c r="AG379" t="s">
        <v>1742</v>
      </c>
    </row>
    <row r="380" spans="1:33" x14ac:dyDescent="0.3">
      <c r="A380" t="s">
        <v>427</v>
      </c>
      <c r="B380" s="2">
        <v>45535</v>
      </c>
      <c r="C380">
        <v>685.34879999999998</v>
      </c>
      <c r="D380" t="s">
        <v>1812</v>
      </c>
      <c r="E380">
        <v>62</v>
      </c>
      <c r="F380" t="s">
        <v>16</v>
      </c>
      <c r="G380" t="s">
        <v>1530</v>
      </c>
      <c r="H380" t="s">
        <v>1742</v>
      </c>
      <c r="L380" s="2">
        <v>45535</v>
      </c>
      <c r="M380">
        <v>685.34879999999998</v>
      </c>
      <c r="R380" t="s">
        <v>1812</v>
      </c>
      <c r="S380">
        <v>685.34879999999998</v>
      </c>
      <c r="W380" s="11" t="s">
        <v>16</v>
      </c>
      <c r="X380" s="11" t="s">
        <v>1530</v>
      </c>
      <c r="Y380">
        <v>685.34879999999998</v>
      </c>
      <c r="AF380">
        <v>685.34879999999998</v>
      </c>
      <c r="AG380" t="s">
        <v>1742</v>
      </c>
    </row>
    <row r="381" spans="1:33" x14ac:dyDescent="0.3">
      <c r="A381" t="s">
        <v>762</v>
      </c>
      <c r="B381" s="2">
        <v>45240</v>
      </c>
      <c r="C381">
        <v>1793.6045999999999</v>
      </c>
      <c r="D381" t="s">
        <v>1812</v>
      </c>
      <c r="E381">
        <v>59</v>
      </c>
      <c r="F381" t="s">
        <v>16</v>
      </c>
      <c r="G381" t="s">
        <v>1527</v>
      </c>
      <c r="H381" t="s">
        <v>1742</v>
      </c>
      <c r="L381" s="2">
        <v>45240</v>
      </c>
      <c r="M381">
        <v>1793.6045999999999</v>
      </c>
      <c r="R381" t="s">
        <v>1812</v>
      </c>
      <c r="S381">
        <v>1793.6045999999999</v>
      </c>
      <c r="W381" s="12" t="s">
        <v>16</v>
      </c>
      <c r="X381" s="12" t="s">
        <v>1527</v>
      </c>
      <c r="Y381">
        <v>1793.6045999999999</v>
      </c>
      <c r="AF381">
        <v>1793.6045999999999</v>
      </c>
      <c r="AG381" t="s">
        <v>1742</v>
      </c>
    </row>
    <row r="382" spans="1:33" x14ac:dyDescent="0.3">
      <c r="A382" t="s">
        <v>340</v>
      </c>
      <c r="B382" s="2">
        <v>45275</v>
      </c>
      <c r="C382">
        <v>2051.2539999999999</v>
      </c>
      <c r="D382" t="s">
        <v>1807</v>
      </c>
      <c r="E382">
        <v>36</v>
      </c>
      <c r="F382" t="s">
        <v>9</v>
      </c>
      <c r="G382" t="s">
        <v>1546</v>
      </c>
      <c r="H382" t="s">
        <v>1742</v>
      </c>
      <c r="L382" s="2">
        <v>45275</v>
      </c>
      <c r="M382">
        <v>2051.2539999999999</v>
      </c>
      <c r="R382" t="s">
        <v>1807</v>
      </c>
      <c r="S382">
        <v>2051.2539999999999</v>
      </c>
      <c r="W382" s="11" t="s">
        <v>9</v>
      </c>
      <c r="X382" s="11" t="s">
        <v>1546</v>
      </c>
      <c r="Y382">
        <v>2051.2539999999999</v>
      </c>
      <c r="AF382">
        <v>2051.2539999999999</v>
      </c>
      <c r="AG382" t="s">
        <v>1742</v>
      </c>
    </row>
    <row r="383" spans="1:33" x14ac:dyDescent="0.3">
      <c r="A383" t="s">
        <v>273</v>
      </c>
      <c r="B383" s="2">
        <v>45427</v>
      </c>
      <c r="C383">
        <v>959.13239999999985</v>
      </c>
      <c r="D383" t="s">
        <v>1812</v>
      </c>
      <c r="E383">
        <v>37</v>
      </c>
      <c r="F383" t="s">
        <v>9</v>
      </c>
      <c r="G383" t="s">
        <v>1541</v>
      </c>
      <c r="H383" t="s">
        <v>1742</v>
      </c>
      <c r="L383" s="2">
        <v>45427</v>
      </c>
      <c r="M383">
        <v>959.13239999999985</v>
      </c>
      <c r="R383" t="s">
        <v>1812</v>
      </c>
      <c r="S383">
        <v>959.13239999999985</v>
      </c>
      <c r="W383" s="12" t="s">
        <v>9</v>
      </c>
      <c r="X383" s="12" t="s">
        <v>1541</v>
      </c>
      <c r="Y383">
        <v>959.13239999999985</v>
      </c>
      <c r="AF383">
        <v>959.13239999999985</v>
      </c>
      <c r="AG383" t="s">
        <v>1742</v>
      </c>
    </row>
    <row r="384" spans="1:33" x14ac:dyDescent="0.3">
      <c r="A384" t="s">
        <v>673</v>
      </c>
      <c r="B384" s="2">
        <v>45322</v>
      </c>
      <c r="C384">
        <v>104.7144</v>
      </c>
      <c r="D384" t="s">
        <v>1812</v>
      </c>
      <c r="E384">
        <v>50</v>
      </c>
      <c r="F384" t="s">
        <v>16</v>
      </c>
      <c r="G384" t="s">
        <v>1546</v>
      </c>
      <c r="H384" t="s">
        <v>1746</v>
      </c>
      <c r="L384" s="2">
        <v>45322</v>
      </c>
      <c r="M384">
        <v>104.7144</v>
      </c>
      <c r="R384" t="s">
        <v>1812</v>
      </c>
      <c r="S384">
        <v>104.7144</v>
      </c>
      <c r="W384" s="11" t="s">
        <v>16</v>
      </c>
      <c r="X384" s="11" t="s">
        <v>1546</v>
      </c>
      <c r="Y384">
        <v>104.7144</v>
      </c>
      <c r="AF384">
        <v>104.7144</v>
      </c>
      <c r="AG384" t="s">
        <v>1746</v>
      </c>
    </row>
    <row r="385" spans="1:33" x14ac:dyDescent="0.3">
      <c r="A385" t="s">
        <v>1040</v>
      </c>
      <c r="B385" s="2">
        <v>45266</v>
      </c>
      <c r="C385">
        <v>127.611</v>
      </c>
      <c r="D385" t="s">
        <v>1807</v>
      </c>
      <c r="E385">
        <v>37</v>
      </c>
      <c r="F385" t="s">
        <v>9</v>
      </c>
      <c r="G385" t="s">
        <v>1546</v>
      </c>
      <c r="H385" t="s">
        <v>1737</v>
      </c>
      <c r="L385" s="2">
        <v>45266</v>
      </c>
      <c r="M385">
        <v>127.611</v>
      </c>
      <c r="R385" t="s">
        <v>1807</v>
      </c>
      <c r="S385">
        <v>127.611</v>
      </c>
      <c r="W385" s="12" t="s">
        <v>9</v>
      </c>
      <c r="X385" s="12" t="s">
        <v>1546</v>
      </c>
      <c r="Y385">
        <v>127.611</v>
      </c>
      <c r="AF385">
        <v>127.611</v>
      </c>
      <c r="AG385" t="s">
        <v>1737</v>
      </c>
    </row>
    <row r="386" spans="1:33" x14ac:dyDescent="0.3">
      <c r="A386" t="s">
        <v>1259</v>
      </c>
      <c r="B386" s="2">
        <v>45302</v>
      </c>
      <c r="C386">
        <v>1193.2704000000001</v>
      </c>
      <c r="D386" t="s">
        <v>1812</v>
      </c>
      <c r="E386">
        <v>32</v>
      </c>
      <c r="F386" t="s">
        <v>9</v>
      </c>
      <c r="G386" t="s">
        <v>1541</v>
      </c>
      <c r="H386" t="s">
        <v>1742</v>
      </c>
      <c r="L386" s="2">
        <v>45302</v>
      </c>
      <c r="M386">
        <v>1193.2704000000001</v>
      </c>
      <c r="R386" t="s">
        <v>1812</v>
      </c>
      <c r="S386">
        <v>1193.2704000000001</v>
      </c>
      <c r="W386" s="11" t="s">
        <v>9</v>
      </c>
      <c r="X386" s="11" t="s">
        <v>1541</v>
      </c>
      <c r="Y386">
        <v>1193.2704000000001</v>
      </c>
      <c r="AF386">
        <v>1193.2704000000001</v>
      </c>
      <c r="AG386" t="s">
        <v>1742</v>
      </c>
    </row>
    <row r="387" spans="1:33" x14ac:dyDescent="0.3">
      <c r="A387" t="s">
        <v>682</v>
      </c>
      <c r="B387" s="2">
        <v>45907</v>
      </c>
      <c r="C387">
        <v>3265.2919999999999</v>
      </c>
      <c r="D387" t="s">
        <v>1812</v>
      </c>
      <c r="E387">
        <v>63</v>
      </c>
      <c r="F387" t="s">
        <v>16</v>
      </c>
      <c r="G387" t="s">
        <v>1549</v>
      </c>
      <c r="H387" t="s">
        <v>1737</v>
      </c>
      <c r="L387" s="2">
        <v>45907</v>
      </c>
      <c r="M387">
        <v>3265.2919999999999</v>
      </c>
      <c r="R387" t="s">
        <v>1812</v>
      </c>
      <c r="S387">
        <v>3265.2919999999999</v>
      </c>
      <c r="W387" s="12" t="s">
        <v>16</v>
      </c>
      <c r="X387" s="12" t="s">
        <v>1549</v>
      </c>
      <c r="Y387">
        <v>3265.2919999999999</v>
      </c>
      <c r="AF387">
        <v>3265.2919999999999</v>
      </c>
      <c r="AG387" t="s">
        <v>1737</v>
      </c>
    </row>
    <row r="388" spans="1:33" x14ac:dyDescent="0.3">
      <c r="A388" t="s">
        <v>3949</v>
      </c>
      <c r="B388" s="2">
        <v>45433</v>
      </c>
      <c r="C388">
        <v>2389.1322</v>
      </c>
      <c r="D388" t="s">
        <v>1809</v>
      </c>
      <c r="E388">
        <v>45</v>
      </c>
      <c r="F388" t="s">
        <v>16</v>
      </c>
      <c r="G388" t="s">
        <v>1530</v>
      </c>
      <c r="H388" t="s">
        <v>1742</v>
      </c>
      <c r="L388" s="2">
        <v>45433</v>
      </c>
      <c r="M388">
        <v>2389.1322</v>
      </c>
      <c r="R388" t="s">
        <v>1809</v>
      </c>
      <c r="S388">
        <v>2389.1322</v>
      </c>
      <c r="W388" s="11" t="s">
        <v>16</v>
      </c>
      <c r="X388" s="11" t="s">
        <v>1530</v>
      </c>
      <c r="Y388">
        <v>2389.1322</v>
      </c>
      <c r="AF388">
        <v>2389.1322</v>
      </c>
      <c r="AG388" t="s">
        <v>1742</v>
      </c>
    </row>
    <row r="389" spans="1:33" x14ac:dyDescent="0.3">
      <c r="A389" t="s">
        <v>242</v>
      </c>
      <c r="B389" s="2">
        <v>45892</v>
      </c>
      <c r="C389">
        <v>2847.6208000000001</v>
      </c>
      <c r="D389" t="s">
        <v>1812</v>
      </c>
      <c r="E389">
        <v>58</v>
      </c>
      <c r="F389" t="s">
        <v>9</v>
      </c>
      <c r="G389" t="s">
        <v>1527</v>
      </c>
      <c r="H389" t="s">
        <v>1742</v>
      </c>
      <c r="L389" s="2">
        <v>45892</v>
      </c>
      <c r="M389">
        <v>2847.6208000000001</v>
      </c>
      <c r="R389" t="s">
        <v>1812</v>
      </c>
      <c r="S389">
        <v>2847.6208000000001</v>
      </c>
      <c r="W389" s="12" t="s">
        <v>9</v>
      </c>
      <c r="X389" s="12" t="s">
        <v>1527</v>
      </c>
      <c r="Y389">
        <v>2847.6208000000001</v>
      </c>
      <c r="AF389">
        <v>2847.6208000000001</v>
      </c>
      <c r="AG389" t="s">
        <v>1742</v>
      </c>
    </row>
    <row r="390" spans="1:33" x14ac:dyDescent="0.3">
      <c r="A390" t="s">
        <v>3952</v>
      </c>
      <c r="B390" s="2">
        <v>45780</v>
      </c>
      <c r="C390">
        <v>598.23900000000003</v>
      </c>
      <c r="D390" t="s">
        <v>1809</v>
      </c>
      <c r="E390">
        <v>26</v>
      </c>
      <c r="F390" t="s">
        <v>16</v>
      </c>
      <c r="G390" t="s">
        <v>1541</v>
      </c>
      <c r="H390" t="s">
        <v>1742</v>
      </c>
      <c r="L390" s="2">
        <v>45780</v>
      </c>
      <c r="M390">
        <v>598.23900000000003</v>
      </c>
      <c r="R390" t="s">
        <v>1809</v>
      </c>
      <c r="S390">
        <v>598.23900000000003</v>
      </c>
      <c r="W390" s="11" t="s">
        <v>16</v>
      </c>
      <c r="X390" s="11" t="s">
        <v>1541</v>
      </c>
      <c r="Y390">
        <v>598.23900000000003</v>
      </c>
      <c r="AF390">
        <v>598.23900000000003</v>
      </c>
      <c r="AG390" t="s">
        <v>1742</v>
      </c>
    </row>
    <row r="391" spans="1:33" x14ac:dyDescent="0.3">
      <c r="A391" t="s">
        <v>3946</v>
      </c>
      <c r="B391" s="2">
        <v>45233</v>
      </c>
      <c r="C391">
        <v>1793.2632000000001</v>
      </c>
      <c r="D391" t="s">
        <v>1809</v>
      </c>
      <c r="E391">
        <v>55</v>
      </c>
      <c r="F391" t="s">
        <v>9</v>
      </c>
      <c r="G391" t="s">
        <v>1530</v>
      </c>
      <c r="H391" t="s">
        <v>1746</v>
      </c>
      <c r="L391" s="2">
        <v>45233</v>
      </c>
      <c r="M391">
        <v>1793.2632000000001</v>
      </c>
      <c r="R391" t="s">
        <v>1809</v>
      </c>
      <c r="S391">
        <v>1793.2632000000001</v>
      </c>
      <c r="W391" s="12" t="s">
        <v>9</v>
      </c>
      <c r="X391" s="12" t="s">
        <v>1530</v>
      </c>
      <c r="Y391">
        <v>1793.2632000000001</v>
      </c>
      <c r="AF391">
        <v>1793.2632000000001</v>
      </c>
      <c r="AG391" t="s">
        <v>1746</v>
      </c>
    </row>
    <row r="392" spans="1:33" x14ac:dyDescent="0.3">
      <c r="A392" t="s">
        <v>317</v>
      </c>
      <c r="B392" s="2">
        <v>45742</v>
      </c>
      <c r="C392">
        <v>3225.5819999999999</v>
      </c>
      <c r="D392" t="s">
        <v>1809</v>
      </c>
      <c r="E392">
        <v>58</v>
      </c>
      <c r="F392" t="s">
        <v>16</v>
      </c>
      <c r="G392" t="s">
        <v>1549</v>
      </c>
      <c r="H392" t="s">
        <v>1742</v>
      </c>
      <c r="L392" s="2">
        <v>45742</v>
      </c>
      <c r="M392">
        <v>3225.5819999999999</v>
      </c>
      <c r="R392" t="s">
        <v>1809</v>
      </c>
      <c r="S392">
        <v>3225.5819999999999</v>
      </c>
      <c r="W392" s="11" t="s">
        <v>16</v>
      </c>
      <c r="X392" s="11" t="s">
        <v>1549</v>
      </c>
      <c r="Y392">
        <v>3225.5819999999999</v>
      </c>
      <c r="AF392">
        <v>3225.5819999999999</v>
      </c>
      <c r="AG392" t="s">
        <v>1742</v>
      </c>
    </row>
    <row r="393" spans="1:33" x14ac:dyDescent="0.3">
      <c r="A393" t="s">
        <v>474</v>
      </c>
      <c r="B393" s="2">
        <v>45478</v>
      </c>
      <c r="C393">
        <v>224.60640000000001</v>
      </c>
      <c r="D393" t="s">
        <v>1809</v>
      </c>
      <c r="E393">
        <v>37</v>
      </c>
      <c r="F393" t="s">
        <v>9</v>
      </c>
      <c r="G393" t="s">
        <v>1546</v>
      </c>
      <c r="H393" t="s">
        <v>1742</v>
      </c>
      <c r="L393" s="2">
        <v>45478</v>
      </c>
      <c r="M393">
        <v>224.60640000000001</v>
      </c>
      <c r="R393" t="s">
        <v>1809</v>
      </c>
      <c r="S393">
        <v>224.60640000000001</v>
      </c>
      <c r="W393" s="12" t="s">
        <v>9</v>
      </c>
      <c r="X393" s="12" t="s">
        <v>1546</v>
      </c>
      <c r="Y393">
        <v>224.60640000000001</v>
      </c>
      <c r="AF393">
        <v>224.60640000000001</v>
      </c>
      <c r="AG393" t="s">
        <v>1742</v>
      </c>
    </row>
    <row r="394" spans="1:33" x14ac:dyDescent="0.3">
      <c r="A394" t="s">
        <v>510</v>
      </c>
      <c r="B394" s="2">
        <v>45789</v>
      </c>
      <c r="C394">
        <v>836.47409999999991</v>
      </c>
      <c r="D394" t="s">
        <v>1812</v>
      </c>
      <c r="E394">
        <v>35</v>
      </c>
      <c r="F394" t="s">
        <v>16</v>
      </c>
      <c r="G394" t="s">
        <v>1527</v>
      </c>
      <c r="H394" t="s">
        <v>1737</v>
      </c>
      <c r="L394" s="2">
        <v>45789</v>
      </c>
      <c r="M394">
        <v>836.47409999999991</v>
      </c>
      <c r="R394" t="s">
        <v>1812</v>
      </c>
      <c r="S394">
        <v>836.47409999999991</v>
      </c>
      <c r="W394" s="11" t="s">
        <v>16</v>
      </c>
      <c r="X394" s="11" t="s">
        <v>1527</v>
      </c>
      <c r="Y394">
        <v>836.47409999999991</v>
      </c>
      <c r="AF394">
        <v>836.47409999999991</v>
      </c>
      <c r="AG394" t="s">
        <v>1737</v>
      </c>
    </row>
    <row r="395" spans="1:33" x14ac:dyDescent="0.3">
      <c r="A395" t="s">
        <v>1440</v>
      </c>
      <c r="B395" s="2">
        <v>45561</v>
      </c>
      <c r="C395">
        <v>299.73419999999999</v>
      </c>
      <c r="D395" t="s">
        <v>1807</v>
      </c>
      <c r="E395">
        <v>53</v>
      </c>
      <c r="F395" t="s">
        <v>9</v>
      </c>
      <c r="G395" t="s">
        <v>1546</v>
      </c>
      <c r="H395" t="s">
        <v>1767</v>
      </c>
      <c r="L395" s="2">
        <v>45561</v>
      </c>
      <c r="M395">
        <v>299.73419999999999</v>
      </c>
      <c r="R395" t="s">
        <v>1807</v>
      </c>
      <c r="S395">
        <v>299.73419999999999</v>
      </c>
      <c r="W395" s="12" t="s">
        <v>9</v>
      </c>
      <c r="X395" s="12" t="s">
        <v>1546</v>
      </c>
      <c r="Y395">
        <v>299.73419999999999</v>
      </c>
      <c r="AF395">
        <v>299.73419999999999</v>
      </c>
      <c r="AG395" t="s">
        <v>1767</v>
      </c>
    </row>
    <row r="396" spans="1:33" x14ac:dyDescent="0.3">
      <c r="A396" t="s">
        <v>658</v>
      </c>
      <c r="B396" s="2">
        <v>45378</v>
      </c>
      <c r="C396">
        <v>1810.0827999999999</v>
      </c>
      <c r="D396" t="s">
        <v>1812</v>
      </c>
      <c r="E396">
        <v>52</v>
      </c>
      <c r="F396" t="s">
        <v>9</v>
      </c>
      <c r="G396" t="s">
        <v>1541</v>
      </c>
      <c r="H396" t="s">
        <v>1742</v>
      </c>
      <c r="L396" s="2">
        <v>45378</v>
      </c>
      <c r="M396">
        <v>1810.0827999999999</v>
      </c>
      <c r="R396" t="s">
        <v>1812</v>
      </c>
      <c r="S396">
        <v>1810.0827999999999</v>
      </c>
      <c r="W396" s="11" t="s">
        <v>9</v>
      </c>
      <c r="X396" s="11" t="s">
        <v>1541</v>
      </c>
      <c r="Y396">
        <v>1810.0827999999999</v>
      </c>
      <c r="AF396">
        <v>1810.0827999999999</v>
      </c>
      <c r="AG396" t="s">
        <v>1742</v>
      </c>
    </row>
    <row r="397" spans="1:33" x14ac:dyDescent="0.3">
      <c r="A397" t="s">
        <v>688</v>
      </c>
      <c r="B397" s="2">
        <v>45308</v>
      </c>
      <c r="C397">
        <v>972.32960000000003</v>
      </c>
      <c r="D397" t="s">
        <v>1807</v>
      </c>
      <c r="E397">
        <v>61</v>
      </c>
      <c r="F397" t="s">
        <v>9</v>
      </c>
      <c r="G397" t="s">
        <v>1527</v>
      </c>
      <c r="H397" t="s">
        <v>1737</v>
      </c>
      <c r="L397" s="2">
        <v>45308</v>
      </c>
      <c r="M397">
        <v>972.32960000000003</v>
      </c>
      <c r="R397" t="s">
        <v>1807</v>
      </c>
      <c r="S397">
        <v>972.32960000000003</v>
      </c>
      <c r="W397" s="12" t="s">
        <v>9</v>
      </c>
      <c r="X397" s="12" t="s">
        <v>1527</v>
      </c>
      <c r="Y397">
        <v>972.32960000000003</v>
      </c>
      <c r="AF397">
        <v>972.32960000000003</v>
      </c>
      <c r="AG397" t="s">
        <v>1737</v>
      </c>
    </row>
    <row r="398" spans="1:33" x14ac:dyDescent="0.3">
      <c r="A398" t="s">
        <v>72</v>
      </c>
      <c r="B398" s="2">
        <v>45407</v>
      </c>
      <c r="C398">
        <v>2676.6990000000001</v>
      </c>
      <c r="D398" t="s">
        <v>1809</v>
      </c>
      <c r="E398">
        <v>24</v>
      </c>
      <c r="F398" t="s">
        <v>16</v>
      </c>
      <c r="G398" t="s">
        <v>1530</v>
      </c>
      <c r="H398" t="s">
        <v>1742</v>
      </c>
      <c r="L398" s="2">
        <v>45407</v>
      </c>
      <c r="M398">
        <v>2676.6990000000001</v>
      </c>
      <c r="R398" t="s">
        <v>1809</v>
      </c>
      <c r="S398">
        <v>2676.6990000000001</v>
      </c>
      <c r="W398" s="11" t="s">
        <v>16</v>
      </c>
      <c r="X398" s="11" t="s">
        <v>1530</v>
      </c>
      <c r="Y398">
        <v>2676.6990000000001</v>
      </c>
      <c r="AF398">
        <v>2676.6990000000001</v>
      </c>
      <c r="AG398" t="s">
        <v>1742</v>
      </c>
    </row>
    <row r="399" spans="1:33" x14ac:dyDescent="0.3">
      <c r="A399" t="s">
        <v>555</v>
      </c>
      <c r="B399" s="2">
        <v>45929</v>
      </c>
      <c r="C399">
        <v>2785.7894999999999</v>
      </c>
      <c r="D399" t="s">
        <v>1807</v>
      </c>
      <c r="E399">
        <v>64</v>
      </c>
      <c r="F399" t="s">
        <v>9</v>
      </c>
      <c r="G399" t="s">
        <v>1527</v>
      </c>
      <c r="H399" t="s">
        <v>1742</v>
      </c>
      <c r="L399" s="2">
        <v>45929</v>
      </c>
      <c r="M399">
        <v>2785.7894999999999</v>
      </c>
      <c r="R399" t="s">
        <v>1807</v>
      </c>
      <c r="S399">
        <v>2785.7894999999999</v>
      </c>
      <c r="W399" s="12" t="s">
        <v>9</v>
      </c>
      <c r="X399" s="12" t="s">
        <v>1527</v>
      </c>
      <c r="Y399">
        <v>2785.7894999999999</v>
      </c>
      <c r="AF399">
        <v>2785.7894999999999</v>
      </c>
      <c r="AG399" t="s">
        <v>1742</v>
      </c>
    </row>
    <row r="400" spans="1:33" x14ac:dyDescent="0.3">
      <c r="A400" t="s">
        <v>667</v>
      </c>
      <c r="B400" s="2">
        <v>45844</v>
      </c>
      <c r="C400">
        <v>493.92</v>
      </c>
      <c r="D400" t="s">
        <v>1809</v>
      </c>
      <c r="E400">
        <v>28</v>
      </c>
      <c r="F400" t="s">
        <v>16</v>
      </c>
      <c r="G400" t="s">
        <v>1541</v>
      </c>
      <c r="H400" t="s">
        <v>1742</v>
      </c>
      <c r="L400" s="2">
        <v>45844</v>
      </c>
      <c r="M400">
        <v>493.92</v>
      </c>
      <c r="R400" t="s">
        <v>1809</v>
      </c>
      <c r="S400">
        <v>493.92</v>
      </c>
      <c r="W400" s="11" t="s">
        <v>16</v>
      </c>
      <c r="X400" s="11" t="s">
        <v>1541</v>
      </c>
      <c r="Y400">
        <v>493.92</v>
      </c>
      <c r="AF400">
        <v>493.92</v>
      </c>
      <c r="AG400" t="s">
        <v>1742</v>
      </c>
    </row>
    <row r="401" spans="1:33" x14ac:dyDescent="0.3">
      <c r="A401" t="s">
        <v>147</v>
      </c>
      <c r="B401" s="2">
        <v>45579</v>
      </c>
      <c r="C401">
        <v>1320.9659999999999</v>
      </c>
      <c r="D401" t="s">
        <v>1809</v>
      </c>
      <c r="E401">
        <v>35</v>
      </c>
      <c r="F401" t="s">
        <v>16</v>
      </c>
      <c r="G401" t="s">
        <v>1541</v>
      </c>
      <c r="H401" t="s">
        <v>1742</v>
      </c>
      <c r="L401" s="2">
        <v>45579</v>
      </c>
      <c r="M401">
        <v>1320.9659999999999</v>
      </c>
      <c r="R401" t="s">
        <v>1809</v>
      </c>
      <c r="S401">
        <v>1320.9659999999999</v>
      </c>
      <c r="W401" s="12" t="s">
        <v>16</v>
      </c>
      <c r="X401" s="12" t="s">
        <v>1541</v>
      </c>
      <c r="Y401">
        <v>1320.9659999999999</v>
      </c>
      <c r="AF401">
        <v>1320.9659999999999</v>
      </c>
      <c r="AG401" t="s">
        <v>1742</v>
      </c>
    </row>
    <row r="402" spans="1:33" x14ac:dyDescent="0.3">
      <c r="A402" t="s">
        <v>337</v>
      </c>
      <c r="B402" s="2">
        <v>45227</v>
      </c>
      <c r="C402">
        <v>35.053199999999997</v>
      </c>
      <c r="D402" t="s">
        <v>1809</v>
      </c>
      <c r="E402">
        <v>30</v>
      </c>
      <c r="F402" t="s">
        <v>16</v>
      </c>
      <c r="G402" t="s">
        <v>1549</v>
      </c>
      <c r="H402" t="s">
        <v>1742</v>
      </c>
      <c r="L402" s="2">
        <v>45227</v>
      </c>
      <c r="M402">
        <v>35.053199999999997</v>
      </c>
      <c r="R402" t="s">
        <v>1809</v>
      </c>
      <c r="S402">
        <v>35.053199999999997</v>
      </c>
      <c r="W402" s="11" t="s">
        <v>16</v>
      </c>
      <c r="X402" s="11" t="s">
        <v>1549</v>
      </c>
      <c r="Y402">
        <v>35.053199999999997</v>
      </c>
      <c r="AF402">
        <v>35.053199999999997</v>
      </c>
      <c r="AG402" t="s">
        <v>1742</v>
      </c>
    </row>
    <row r="403" spans="1:33" x14ac:dyDescent="0.3">
      <c r="A403" t="s">
        <v>1081</v>
      </c>
      <c r="B403" s="2">
        <v>45380</v>
      </c>
      <c r="C403">
        <v>2266.7328000000002</v>
      </c>
      <c r="D403" t="s">
        <v>1807</v>
      </c>
      <c r="E403">
        <v>31</v>
      </c>
      <c r="F403" t="s">
        <v>9</v>
      </c>
      <c r="G403" t="s">
        <v>1549</v>
      </c>
      <c r="H403" t="s">
        <v>1742</v>
      </c>
      <c r="L403" s="2">
        <v>45380</v>
      </c>
      <c r="M403">
        <v>2266.7328000000002</v>
      </c>
      <c r="R403" t="s">
        <v>1807</v>
      </c>
      <c r="S403">
        <v>2266.7328000000002</v>
      </c>
      <c r="W403" s="12" t="s">
        <v>9</v>
      </c>
      <c r="X403" s="12" t="s">
        <v>1549</v>
      </c>
      <c r="Y403">
        <v>2266.7328000000002</v>
      </c>
      <c r="AF403">
        <v>2266.7328000000002</v>
      </c>
      <c r="AG403" t="s">
        <v>1742</v>
      </c>
    </row>
    <row r="404" spans="1:33" x14ac:dyDescent="0.3">
      <c r="A404" t="s">
        <v>929</v>
      </c>
      <c r="B404" s="2">
        <v>45817</v>
      </c>
      <c r="C404">
        <v>723.25439999999992</v>
      </c>
      <c r="D404" t="s">
        <v>1812</v>
      </c>
      <c r="E404">
        <v>47</v>
      </c>
      <c r="F404" t="s">
        <v>16</v>
      </c>
      <c r="G404" t="s">
        <v>1527</v>
      </c>
      <c r="H404" t="s">
        <v>1742</v>
      </c>
      <c r="L404" s="2">
        <v>45817</v>
      </c>
      <c r="M404">
        <v>723.25439999999992</v>
      </c>
      <c r="R404" t="s">
        <v>1812</v>
      </c>
      <c r="S404">
        <v>723.25439999999992</v>
      </c>
      <c r="W404" s="11" t="s">
        <v>16</v>
      </c>
      <c r="X404" s="11" t="s">
        <v>1527</v>
      </c>
      <c r="Y404">
        <v>723.25439999999992</v>
      </c>
      <c r="AF404">
        <v>723.25439999999992</v>
      </c>
      <c r="AG404" t="s">
        <v>1742</v>
      </c>
    </row>
    <row r="405" spans="1:33" x14ac:dyDescent="0.3">
      <c r="A405" t="s">
        <v>652</v>
      </c>
      <c r="B405" s="2">
        <v>45576</v>
      </c>
      <c r="C405">
        <v>2989.0783999999999</v>
      </c>
      <c r="D405" t="s">
        <v>1812</v>
      </c>
      <c r="E405">
        <v>37</v>
      </c>
      <c r="F405" t="s">
        <v>16</v>
      </c>
      <c r="G405" t="s">
        <v>1541</v>
      </c>
      <c r="H405" t="s">
        <v>1742</v>
      </c>
      <c r="L405" s="2">
        <v>45576</v>
      </c>
      <c r="M405">
        <v>2989.0783999999999</v>
      </c>
      <c r="R405" t="s">
        <v>1812</v>
      </c>
      <c r="S405">
        <v>2989.0783999999999</v>
      </c>
      <c r="W405" s="12" t="s">
        <v>16</v>
      </c>
      <c r="X405" s="12" t="s">
        <v>1541</v>
      </c>
      <c r="Y405">
        <v>2989.0783999999999</v>
      </c>
      <c r="AF405">
        <v>2989.0783999999999</v>
      </c>
      <c r="AG405" t="s">
        <v>1742</v>
      </c>
    </row>
    <row r="406" spans="1:33" x14ac:dyDescent="0.3">
      <c r="A406" t="s">
        <v>1172</v>
      </c>
      <c r="B406" s="2">
        <v>45495</v>
      </c>
      <c r="C406">
        <v>1756.35</v>
      </c>
      <c r="D406" t="s">
        <v>1812</v>
      </c>
      <c r="E406">
        <v>23</v>
      </c>
      <c r="F406" t="s">
        <v>9</v>
      </c>
      <c r="G406" t="s">
        <v>1549</v>
      </c>
      <c r="H406" t="s">
        <v>1737</v>
      </c>
      <c r="L406" s="2">
        <v>45495</v>
      </c>
      <c r="M406">
        <v>1756.35</v>
      </c>
      <c r="R406" t="s">
        <v>1812</v>
      </c>
      <c r="S406">
        <v>1756.35</v>
      </c>
      <c r="W406" s="11" t="s">
        <v>9</v>
      </c>
      <c r="X406" s="11" t="s">
        <v>1549</v>
      </c>
      <c r="Y406">
        <v>1756.35</v>
      </c>
      <c r="AF406">
        <v>1756.35</v>
      </c>
      <c r="AG406" t="s">
        <v>1737</v>
      </c>
    </row>
    <row r="407" spans="1:33" x14ac:dyDescent="0.3">
      <c r="A407" t="s">
        <v>1451</v>
      </c>
      <c r="B407" s="2">
        <v>45628</v>
      </c>
      <c r="C407">
        <v>558.86249999999995</v>
      </c>
      <c r="D407" t="s">
        <v>1812</v>
      </c>
      <c r="E407">
        <v>41</v>
      </c>
      <c r="F407" t="s">
        <v>16</v>
      </c>
      <c r="G407" t="s">
        <v>1530</v>
      </c>
      <c r="H407" t="s">
        <v>1742</v>
      </c>
      <c r="L407" s="2">
        <v>45628</v>
      </c>
      <c r="M407">
        <v>558.86249999999995</v>
      </c>
      <c r="R407" t="s">
        <v>1812</v>
      </c>
      <c r="S407">
        <v>558.86249999999995</v>
      </c>
      <c r="W407" s="12" t="s">
        <v>16</v>
      </c>
      <c r="X407" s="12" t="s">
        <v>1530</v>
      </c>
      <c r="Y407">
        <v>558.86249999999995</v>
      </c>
      <c r="AF407">
        <v>558.86249999999995</v>
      </c>
      <c r="AG407" t="s">
        <v>1742</v>
      </c>
    </row>
    <row r="408" spans="1:33" x14ac:dyDescent="0.3">
      <c r="A408" t="s">
        <v>189</v>
      </c>
      <c r="B408" s="2">
        <v>45244</v>
      </c>
      <c r="C408">
        <v>814.74239999999998</v>
      </c>
      <c r="D408" t="s">
        <v>1812</v>
      </c>
      <c r="E408">
        <v>23</v>
      </c>
      <c r="F408" t="s">
        <v>16</v>
      </c>
      <c r="G408" t="s">
        <v>1527</v>
      </c>
      <c r="H408" t="s">
        <v>1746</v>
      </c>
      <c r="L408" s="2">
        <v>45244</v>
      </c>
      <c r="M408">
        <v>814.74239999999998</v>
      </c>
      <c r="R408" t="s">
        <v>1812</v>
      </c>
      <c r="S408">
        <v>814.74239999999998</v>
      </c>
      <c r="W408" s="11" t="s">
        <v>16</v>
      </c>
      <c r="X408" s="11" t="s">
        <v>1527</v>
      </c>
      <c r="Y408">
        <v>814.74239999999998</v>
      </c>
      <c r="AF408">
        <v>814.74239999999998</v>
      </c>
      <c r="AG408" t="s">
        <v>1746</v>
      </c>
    </row>
    <row r="409" spans="1:33" x14ac:dyDescent="0.3">
      <c r="A409" t="s">
        <v>1270</v>
      </c>
      <c r="B409" s="2">
        <v>45336</v>
      </c>
      <c r="C409">
        <v>445.80599999999998</v>
      </c>
      <c r="D409" t="s">
        <v>1809</v>
      </c>
      <c r="E409">
        <v>35</v>
      </c>
      <c r="F409" t="s">
        <v>16</v>
      </c>
      <c r="G409" t="s">
        <v>1527</v>
      </c>
      <c r="H409" t="s">
        <v>1742</v>
      </c>
      <c r="L409" s="2">
        <v>45336</v>
      </c>
      <c r="M409">
        <v>445.80599999999998</v>
      </c>
      <c r="R409" t="s">
        <v>1809</v>
      </c>
      <c r="S409">
        <v>445.80599999999998</v>
      </c>
      <c r="W409" s="12" t="s">
        <v>16</v>
      </c>
      <c r="X409" s="12" t="s">
        <v>1527</v>
      </c>
      <c r="Y409">
        <v>445.80599999999998</v>
      </c>
      <c r="AF409">
        <v>445.80599999999998</v>
      </c>
      <c r="AG409" t="s">
        <v>1742</v>
      </c>
    </row>
    <row r="410" spans="1:33" x14ac:dyDescent="0.3">
      <c r="A410" t="s">
        <v>153</v>
      </c>
      <c r="B410" s="2">
        <v>45465</v>
      </c>
      <c r="C410">
        <v>648.29939999999999</v>
      </c>
      <c r="D410" t="s">
        <v>1809</v>
      </c>
      <c r="E410">
        <v>50</v>
      </c>
      <c r="F410" t="s">
        <v>9</v>
      </c>
      <c r="G410" t="s">
        <v>1546</v>
      </c>
      <c r="H410" t="s">
        <v>1742</v>
      </c>
      <c r="L410" s="2">
        <v>45465</v>
      </c>
      <c r="M410">
        <v>648.29939999999999</v>
      </c>
      <c r="R410" t="s">
        <v>1809</v>
      </c>
      <c r="S410">
        <v>648.29939999999999</v>
      </c>
      <c r="W410" s="11" t="s">
        <v>9</v>
      </c>
      <c r="X410" s="11" t="s">
        <v>1546</v>
      </c>
      <c r="Y410">
        <v>648.29939999999999</v>
      </c>
      <c r="AF410">
        <v>648.29939999999999</v>
      </c>
      <c r="AG410" t="s">
        <v>1742</v>
      </c>
    </row>
    <row r="411" spans="1:33" x14ac:dyDescent="0.3">
      <c r="A411" t="s">
        <v>1019</v>
      </c>
      <c r="B411" s="2">
        <v>45837</v>
      </c>
      <c r="C411">
        <v>1363.9184</v>
      </c>
      <c r="D411" t="s">
        <v>1807</v>
      </c>
      <c r="E411">
        <v>46</v>
      </c>
      <c r="F411" t="s">
        <v>9</v>
      </c>
      <c r="G411" t="s">
        <v>1546</v>
      </c>
      <c r="H411" t="s">
        <v>1742</v>
      </c>
      <c r="L411" s="2">
        <v>45837</v>
      </c>
      <c r="M411">
        <v>1363.9184</v>
      </c>
      <c r="R411" t="s">
        <v>1807</v>
      </c>
      <c r="S411">
        <v>1363.9184</v>
      </c>
      <c r="W411" s="12" t="s">
        <v>9</v>
      </c>
      <c r="X411" s="12" t="s">
        <v>1546</v>
      </c>
      <c r="Y411">
        <v>1363.9184</v>
      </c>
      <c r="AF411">
        <v>1363.9184</v>
      </c>
      <c r="AG411" t="s">
        <v>1742</v>
      </c>
    </row>
    <row r="412" spans="1:33" x14ac:dyDescent="0.3">
      <c r="A412" t="s">
        <v>1208</v>
      </c>
      <c r="B412" s="2">
        <v>45706</v>
      </c>
      <c r="C412">
        <v>1245.4304</v>
      </c>
      <c r="D412" t="s">
        <v>1807</v>
      </c>
      <c r="E412">
        <v>46</v>
      </c>
      <c r="F412" t="s">
        <v>9</v>
      </c>
      <c r="G412" t="s">
        <v>1527</v>
      </c>
      <c r="H412" t="s">
        <v>1742</v>
      </c>
      <c r="L412" s="2">
        <v>45706</v>
      </c>
      <c r="M412">
        <v>1245.4304</v>
      </c>
      <c r="R412" t="s">
        <v>1807</v>
      </c>
      <c r="S412">
        <v>1245.4304</v>
      </c>
      <c r="W412" s="11" t="s">
        <v>9</v>
      </c>
      <c r="X412" s="11" t="s">
        <v>1527</v>
      </c>
      <c r="Y412">
        <v>1245.4304</v>
      </c>
      <c r="AF412">
        <v>1245.4304</v>
      </c>
      <c r="AG412" t="s">
        <v>1742</v>
      </c>
    </row>
    <row r="413" spans="1:33" x14ac:dyDescent="0.3">
      <c r="A413" t="s">
        <v>168</v>
      </c>
      <c r="B413" s="2">
        <v>45823</v>
      </c>
      <c r="C413">
        <v>693.78300000000002</v>
      </c>
      <c r="D413" t="s">
        <v>1812</v>
      </c>
      <c r="E413">
        <v>34</v>
      </c>
      <c r="F413" t="s">
        <v>9</v>
      </c>
      <c r="G413" t="s">
        <v>1546</v>
      </c>
      <c r="H413" t="s">
        <v>1742</v>
      </c>
      <c r="L413" s="2">
        <v>45823</v>
      </c>
      <c r="M413">
        <v>693.78300000000002</v>
      </c>
      <c r="R413" t="s">
        <v>1812</v>
      </c>
      <c r="S413">
        <v>693.78300000000002</v>
      </c>
      <c r="W413" s="12" t="s">
        <v>9</v>
      </c>
      <c r="X413" s="12" t="s">
        <v>1546</v>
      </c>
      <c r="Y413">
        <v>693.78300000000002</v>
      </c>
      <c r="AF413">
        <v>693.78300000000002</v>
      </c>
      <c r="AG413" t="s">
        <v>1742</v>
      </c>
    </row>
    <row r="414" spans="1:33" x14ac:dyDescent="0.3">
      <c r="A414" t="s">
        <v>1459</v>
      </c>
      <c r="B414" s="2">
        <v>45518</v>
      </c>
      <c r="C414">
        <v>1430.6705999999999</v>
      </c>
      <c r="D414" t="s">
        <v>1809</v>
      </c>
      <c r="E414">
        <v>33</v>
      </c>
      <c r="F414" t="s">
        <v>9</v>
      </c>
      <c r="G414" t="s">
        <v>1527</v>
      </c>
      <c r="H414" t="s">
        <v>1742</v>
      </c>
      <c r="L414" s="2">
        <v>45518</v>
      </c>
      <c r="M414">
        <v>1430.6705999999999</v>
      </c>
      <c r="R414" t="s">
        <v>1809</v>
      </c>
      <c r="S414">
        <v>1430.6705999999999</v>
      </c>
      <c r="W414" s="11" t="s">
        <v>9</v>
      </c>
      <c r="X414" s="11" t="s">
        <v>1527</v>
      </c>
      <c r="Y414">
        <v>1430.6705999999999</v>
      </c>
      <c r="AF414">
        <v>1430.6705999999999</v>
      </c>
      <c r="AG414" t="s">
        <v>1742</v>
      </c>
    </row>
    <row r="415" spans="1:33" x14ac:dyDescent="0.3">
      <c r="A415" t="s">
        <v>605</v>
      </c>
      <c r="B415" s="2">
        <v>45863</v>
      </c>
      <c r="C415">
        <v>82.513199999999998</v>
      </c>
      <c r="D415" t="s">
        <v>1807</v>
      </c>
      <c r="E415">
        <v>53</v>
      </c>
      <c r="F415" t="s">
        <v>9</v>
      </c>
      <c r="G415" t="s">
        <v>1541</v>
      </c>
      <c r="H415" t="s">
        <v>1746</v>
      </c>
      <c r="L415" s="2">
        <v>45863</v>
      </c>
      <c r="M415">
        <v>82.513199999999998</v>
      </c>
      <c r="R415" t="s">
        <v>1807</v>
      </c>
      <c r="S415">
        <v>82.513199999999998</v>
      </c>
      <c r="W415" s="12" t="s">
        <v>9</v>
      </c>
      <c r="X415" s="12" t="s">
        <v>1541</v>
      </c>
      <c r="Y415">
        <v>82.513199999999998</v>
      </c>
      <c r="AF415">
        <v>82.513199999999998</v>
      </c>
      <c r="AG415" t="s">
        <v>1746</v>
      </c>
    </row>
    <row r="416" spans="1:33" x14ac:dyDescent="0.3">
      <c r="A416" t="s">
        <v>37</v>
      </c>
      <c r="B416" s="2">
        <v>45666</v>
      </c>
      <c r="C416">
        <v>1204.6944000000001</v>
      </c>
      <c r="D416" t="s">
        <v>1807</v>
      </c>
      <c r="E416">
        <v>29</v>
      </c>
      <c r="F416" t="s">
        <v>16</v>
      </c>
      <c r="G416" t="s">
        <v>1546</v>
      </c>
      <c r="H416" t="s">
        <v>1746</v>
      </c>
      <c r="L416" s="2">
        <v>45666</v>
      </c>
      <c r="M416">
        <v>1204.6944000000001</v>
      </c>
      <c r="R416" t="s">
        <v>1807</v>
      </c>
      <c r="S416">
        <v>1204.6944000000001</v>
      </c>
      <c r="W416" s="11" t="s">
        <v>16</v>
      </c>
      <c r="X416" s="11" t="s">
        <v>1546</v>
      </c>
      <c r="Y416">
        <v>1204.6944000000001</v>
      </c>
      <c r="AF416">
        <v>1204.6944000000001</v>
      </c>
      <c r="AG416" t="s">
        <v>1746</v>
      </c>
    </row>
    <row r="417" spans="1:33" x14ac:dyDescent="0.3">
      <c r="A417" t="s">
        <v>179</v>
      </c>
      <c r="B417" s="2">
        <v>45813</v>
      </c>
      <c r="C417">
        <v>97.442999999999998</v>
      </c>
      <c r="D417" t="s">
        <v>1812</v>
      </c>
      <c r="E417">
        <v>54</v>
      </c>
      <c r="F417" t="s">
        <v>9</v>
      </c>
      <c r="G417" t="s">
        <v>1527</v>
      </c>
      <c r="H417" t="s">
        <v>1742</v>
      </c>
      <c r="L417" s="2">
        <v>45813</v>
      </c>
      <c r="M417">
        <v>97.442999999999998</v>
      </c>
      <c r="R417" t="s">
        <v>1812</v>
      </c>
      <c r="S417">
        <v>97.442999999999998</v>
      </c>
      <c r="W417" s="12" t="s">
        <v>9</v>
      </c>
      <c r="X417" s="12" t="s">
        <v>1527</v>
      </c>
      <c r="Y417">
        <v>97.442999999999998</v>
      </c>
      <c r="AF417">
        <v>97.442999999999998</v>
      </c>
      <c r="AG417" t="s">
        <v>1742</v>
      </c>
    </row>
    <row r="418" spans="1:33" x14ac:dyDescent="0.3">
      <c r="A418" t="s">
        <v>3946</v>
      </c>
      <c r="B418" s="2">
        <v>45633</v>
      </c>
      <c r="C418">
        <v>1325.9992</v>
      </c>
      <c r="D418" t="s">
        <v>1809</v>
      </c>
      <c r="E418">
        <v>55</v>
      </c>
      <c r="F418" t="s">
        <v>9</v>
      </c>
      <c r="G418" t="s">
        <v>1549</v>
      </c>
      <c r="H418" t="s">
        <v>1742</v>
      </c>
      <c r="L418" s="2">
        <v>45633</v>
      </c>
      <c r="M418">
        <v>1325.9992</v>
      </c>
      <c r="R418" t="s">
        <v>1809</v>
      </c>
      <c r="S418">
        <v>1325.9992</v>
      </c>
      <c r="W418" s="11" t="s">
        <v>9</v>
      </c>
      <c r="X418" s="11" t="s">
        <v>1549</v>
      </c>
      <c r="Y418">
        <v>1325.9992</v>
      </c>
      <c r="AF418">
        <v>1325.9992</v>
      </c>
      <c r="AG418" t="s">
        <v>1742</v>
      </c>
    </row>
    <row r="419" spans="1:33" x14ac:dyDescent="0.3">
      <c r="A419" t="s">
        <v>1184</v>
      </c>
      <c r="B419" s="2">
        <v>45331</v>
      </c>
      <c r="C419">
        <v>829.9606</v>
      </c>
      <c r="D419" t="s">
        <v>1809</v>
      </c>
      <c r="E419">
        <v>52</v>
      </c>
      <c r="F419" t="s">
        <v>16</v>
      </c>
      <c r="G419" t="s">
        <v>1530</v>
      </c>
      <c r="H419" t="s">
        <v>1742</v>
      </c>
      <c r="L419" s="2">
        <v>45331</v>
      </c>
      <c r="M419">
        <v>829.9606</v>
      </c>
      <c r="R419" t="s">
        <v>1809</v>
      </c>
      <c r="S419">
        <v>829.9606</v>
      </c>
      <c r="W419" s="12" t="s">
        <v>16</v>
      </c>
      <c r="X419" s="12" t="s">
        <v>1530</v>
      </c>
      <c r="Y419">
        <v>829.9606</v>
      </c>
      <c r="AF419">
        <v>829.9606</v>
      </c>
      <c r="AG419" t="s">
        <v>1742</v>
      </c>
    </row>
    <row r="420" spans="1:33" x14ac:dyDescent="0.3">
      <c r="A420" t="s">
        <v>1227</v>
      </c>
      <c r="B420" s="2">
        <v>45942</v>
      </c>
      <c r="C420">
        <v>2851.3002000000001</v>
      </c>
      <c r="D420" t="s">
        <v>1807</v>
      </c>
      <c r="E420">
        <v>27</v>
      </c>
      <c r="F420" t="s">
        <v>9</v>
      </c>
      <c r="G420" t="s">
        <v>1546</v>
      </c>
      <c r="H420" t="s">
        <v>1742</v>
      </c>
      <c r="L420" s="2">
        <v>45942</v>
      </c>
      <c r="M420">
        <v>2851.3002000000001</v>
      </c>
      <c r="R420" t="s">
        <v>1807</v>
      </c>
      <c r="S420">
        <v>2851.3002000000001</v>
      </c>
      <c r="W420" s="11" t="s">
        <v>9</v>
      </c>
      <c r="X420" s="11" t="s">
        <v>1546</v>
      </c>
      <c r="Y420">
        <v>2851.3002000000001</v>
      </c>
      <c r="AF420">
        <v>2851.3002000000001</v>
      </c>
      <c r="AG420" t="s">
        <v>1742</v>
      </c>
    </row>
    <row r="421" spans="1:33" x14ac:dyDescent="0.3">
      <c r="A421" t="s">
        <v>1282</v>
      </c>
      <c r="B421" s="2">
        <v>45824</v>
      </c>
      <c r="C421">
        <v>1298.3026</v>
      </c>
      <c r="D421" t="s">
        <v>1809</v>
      </c>
      <c r="E421">
        <v>60</v>
      </c>
      <c r="F421" t="s">
        <v>16</v>
      </c>
      <c r="G421" t="s">
        <v>1530</v>
      </c>
      <c r="H421" t="s">
        <v>1742</v>
      </c>
      <c r="L421" s="2">
        <v>45824</v>
      </c>
      <c r="M421">
        <v>1298.3026</v>
      </c>
      <c r="R421" t="s">
        <v>1809</v>
      </c>
      <c r="S421">
        <v>1298.3026</v>
      </c>
      <c r="W421" s="12" t="s">
        <v>16</v>
      </c>
      <c r="X421" s="12" t="s">
        <v>1530</v>
      </c>
      <c r="Y421">
        <v>1298.3026</v>
      </c>
      <c r="AF421">
        <v>1298.3026</v>
      </c>
      <c r="AG421" t="s">
        <v>1742</v>
      </c>
    </row>
    <row r="422" spans="1:33" x14ac:dyDescent="0.3">
      <c r="A422" t="s">
        <v>1380</v>
      </c>
      <c r="B422" s="2">
        <v>45921</v>
      </c>
      <c r="C422">
        <v>147.76740000000001</v>
      </c>
      <c r="D422" t="s">
        <v>1809</v>
      </c>
      <c r="E422">
        <v>60</v>
      </c>
      <c r="F422" t="s">
        <v>16</v>
      </c>
      <c r="G422" t="s">
        <v>1546</v>
      </c>
      <c r="H422" t="s">
        <v>1742</v>
      </c>
      <c r="L422" s="2">
        <v>45921</v>
      </c>
      <c r="M422">
        <v>147.76740000000001</v>
      </c>
      <c r="R422" t="s">
        <v>1809</v>
      </c>
      <c r="S422">
        <v>147.76740000000001</v>
      </c>
      <c r="W422" s="11" t="s">
        <v>16</v>
      </c>
      <c r="X422" s="11" t="s">
        <v>1546</v>
      </c>
      <c r="Y422">
        <v>147.76740000000001</v>
      </c>
      <c r="AF422">
        <v>147.76740000000001</v>
      </c>
      <c r="AG422" t="s">
        <v>1742</v>
      </c>
    </row>
    <row r="423" spans="1:33" x14ac:dyDescent="0.3">
      <c r="A423" t="s">
        <v>160</v>
      </c>
      <c r="B423" s="2">
        <v>45909</v>
      </c>
      <c r="C423">
        <v>1176.2550000000001</v>
      </c>
      <c r="D423" t="s">
        <v>1809</v>
      </c>
      <c r="E423">
        <v>19</v>
      </c>
      <c r="F423" t="s">
        <v>9</v>
      </c>
      <c r="G423" t="s">
        <v>1530</v>
      </c>
      <c r="H423" t="s">
        <v>1737</v>
      </c>
      <c r="L423" s="2">
        <v>45909</v>
      </c>
      <c r="M423">
        <v>1176.2550000000001</v>
      </c>
      <c r="R423" t="s">
        <v>1809</v>
      </c>
      <c r="S423">
        <v>1176.2550000000001</v>
      </c>
      <c r="W423" s="12" t="s">
        <v>9</v>
      </c>
      <c r="X423" s="12" t="s">
        <v>1530</v>
      </c>
      <c r="Y423">
        <v>1176.2550000000001</v>
      </c>
      <c r="AF423">
        <v>1176.2550000000001</v>
      </c>
      <c r="AG423" t="s">
        <v>1737</v>
      </c>
    </row>
    <row r="424" spans="1:33" x14ac:dyDescent="0.3">
      <c r="A424" t="s">
        <v>1052</v>
      </c>
      <c r="B424" s="2">
        <v>45853</v>
      </c>
      <c r="C424">
        <v>175.48249999999999</v>
      </c>
      <c r="D424" t="s">
        <v>1809</v>
      </c>
      <c r="E424">
        <v>52</v>
      </c>
      <c r="F424" t="s">
        <v>16</v>
      </c>
      <c r="G424" t="s">
        <v>1546</v>
      </c>
      <c r="H424" t="s">
        <v>1742</v>
      </c>
      <c r="L424" s="2">
        <v>45853</v>
      </c>
      <c r="M424">
        <v>175.48249999999999</v>
      </c>
      <c r="R424" t="s">
        <v>1809</v>
      </c>
      <c r="S424">
        <v>175.48249999999999</v>
      </c>
      <c r="W424" s="11" t="s">
        <v>16</v>
      </c>
      <c r="X424" s="11" t="s">
        <v>1546</v>
      </c>
      <c r="Y424">
        <v>175.48249999999999</v>
      </c>
      <c r="AF424">
        <v>175.48249999999999</v>
      </c>
      <c r="AG424" t="s">
        <v>1742</v>
      </c>
    </row>
    <row r="425" spans="1:33" x14ac:dyDescent="0.3">
      <c r="A425" t="s">
        <v>486</v>
      </c>
      <c r="B425" s="2">
        <v>45580</v>
      </c>
      <c r="C425">
        <v>570.87099999999998</v>
      </c>
      <c r="D425" t="s">
        <v>1809</v>
      </c>
      <c r="E425">
        <v>32</v>
      </c>
      <c r="F425" t="s">
        <v>16</v>
      </c>
      <c r="G425" t="s">
        <v>1530</v>
      </c>
      <c r="H425" t="s">
        <v>1742</v>
      </c>
      <c r="L425" s="2">
        <v>45580</v>
      </c>
      <c r="M425">
        <v>570.87099999999998</v>
      </c>
      <c r="R425" t="s">
        <v>1809</v>
      </c>
      <c r="S425">
        <v>570.87099999999998</v>
      </c>
      <c r="W425" s="12" t="s">
        <v>16</v>
      </c>
      <c r="X425" s="12" t="s">
        <v>1530</v>
      </c>
      <c r="Y425">
        <v>570.87099999999998</v>
      </c>
      <c r="AF425">
        <v>570.87099999999998</v>
      </c>
      <c r="AG425" t="s">
        <v>1742</v>
      </c>
    </row>
    <row r="426" spans="1:33" x14ac:dyDescent="0.3">
      <c r="A426" t="s">
        <v>147</v>
      </c>
      <c r="B426" s="2">
        <v>45220</v>
      </c>
      <c r="C426">
        <v>592.99919999999997</v>
      </c>
      <c r="D426" t="s">
        <v>1812</v>
      </c>
      <c r="E426">
        <v>35</v>
      </c>
      <c r="F426" t="s">
        <v>16</v>
      </c>
      <c r="G426" t="s">
        <v>1527</v>
      </c>
      <c r="H426" t="s">
        <v>1742</v>
      </c>
      <c r="L426" s="2">
        <v>45220</v>
      </c>
      <c r="M426">
        <v>592.99919999999997</v>
      </c>
      <c r="R426" t="s">
        <v>1812</v>
      </c>
      <c r="S426">
        <v>592.99919999999997</v>
      </c>
      <c r="W426" s="11" t="s">
        <v>16</v>
      </c>
      <c r="X426" s="11" t="s">
        <v>1527</v>
      </c>
      <c r="Y426">
        <v>592.99919999999997</v>
      </c>
      <c r="AF426">
        <v>592.99919999999997</v>
      </c>
      <c r="AG426" t="s">
        <v>1742</v>
      </c>
    </row>
    <row r="427" spans="1:33" x14ac:dyDescent="0.3">
      <c r="A427" t="s">
        <v>3951</v>
      </c>
      <c r="B427" s="2">
        <v>45807</v>
      </c>
      <c r="C427">
        <v>419.92</v>
      </c>
      <c r="D427" t="s">
        <v>1807</v>
      </c>
      <c r="E427">
        <v>40</v>
      </c>
      <c r="F427" t="s">
        <v>9</v>
      </c>
      <c r="G427" t="s">
        <v>1527</v>
      </c>
      <c r="H427" t="s">
        <v>1746</v>
      </c>
      <c r="L427" s="2">
        <v>45807</v>
      </c>
      <c r="M427">
        <v>419.92</v>
      </c>
      <c r="R427" t="s">
        <v>1807</v>
      </c>
      <c r="S427">
        <v>419.92</v>
      </c>
      <c r="W427" s="12" t="s">
        <v>9</v>
      </c>
      <c r="X427" s="12" t="s">
        <v>1527</v>
      </c>
      <c r="Y427">
        <v>419.92</v>
      </c>
      <c r="AF427">
        <v>419.92</v>
      </c>
      <c r="AG427" t="s">
        <v>1746</v>
      </c>
    </row>
    <row r="428" spans="1:33" x14ac:dyDescent="0.3">
      <c r="A428" t="s">
        <v>574</v>
      </c>
      <c r="B428" s="2">
        <v>45462</v>
      </c>
      <c r="C428">
        <v>3412.134</v>
      </c>
      <c r="D428" t="s">
        <v>1812</v>
      </c>
      <c r="E428">
        <v>48</v>
      </c>
      <c r="F428" t="s">
        <v>9</v>
      </c>
      <c r="G428" t="s">
        <v>1546</v>
      </c>
      <c r="H428" t="s">
        <v>1742</v>
      </c>
      <c r="L428" s="2">
        <v>45462</v>
      </c>
      <c r="M428">
        <v>3412.134</v>
      </c>
      <c r="R428" t="s">
        <v>1812</v>
      </c>
      <c r="S428">
        <v>3412.134</v>
      </c>
      <c r="W428" s="11" t="s">
        <v>9</v>
      </c>
      <c r="X428" s="11" t="s">
        <v>1546</v>
      </c>
      <c r="Y428">
        <v>3412.134</v>
      </c>
      <c r="AF428">
        <v>3412.134</v>
      </c>
      <c r="AG428" t="s">
        <v>1742</v>
      </c>
    </row>
    <row r="429" spans="1:33" x14ac:dyDescent="0.3">
      <c r="A429" t="s">
        <v>593</v>
      </c>
      <c r="B429" s="2">
        <v>45646</v>
      </c>
      <c r="C429">
        <v>3111.192</v>
      </c>
      <c r="D429" t="s">
        <v>1812</v>
      </c>
      <c r="E429">
        <v>23</v>
      </c>
      <c r="F429" t="s">
        <v>16</v>
      </c>
      <c r="G429" t="s">
        <v>1541</v>
      </c>
      <c r="H429" t="s">
        <v>1737</v>
      </c>
      <c r="L429" s="2">
        <v>45646</v>
      </c>
      <c r="M429">
        <v>3111.192</v>
      </c>
      <c r="R429" t="s">
        <v>1812</v>
      </c>
      <c r="S429">
        <v>3111.192</v>
      </c>
      <c r="W429" s="12" t="s">
        <v>16</v>
      </c>
      <c r="X429" s="12" t="s">
        <v>1541</v>
      </c>
      <c r="Y429">
        <v>3111.192</v>
      </c>
      <c r="AF429">
        <v>3111.192</v>
      </c>
      <c r="AG429" t="s">
        <v>1737</v>
      </c>
    </row>
    <row r="430" spans="1:33" x14ac:dyDescent="0.3">
      <c r="A430" t="s">
        <v>302</v>
      </c>
      <c r="B430" s="2">
        <v>45520</v>
      </c>
      <c r="C430">
        <v>1111.7945999999999</v>
      </c>
      <c r="D430" t="s">
        <v>1812</v>
      </c>
      <c r="E430">
        <v>36</v>
      </c>
      <c r="F430" t="s">
        <v>9</v>
      </c>
      <c r="G430" t="s">
        <v>1546</v>
      </c>
      <c r="H430" t="s">
        <v>1737</v>
      </c>
      <c r="L430" s="2">
        <v>45520</v>
      </c>
      <c r="M430">
        <v>1111.7945999999999</v>
      </c>
      <c r="R430" t="s">
        <v>1812</v>
      </c>
      <c r="S430">
        <v>1111.7945999999999</v>
      </c>
      <c r="W430" s="11" t="s">
        <v>9</v>
      </c>
      <c r="X430" s="11" t="s">
        <v>1546</v>
      </c>
      <c r="Y430">
        <v>1111.7945999999999</v>
      </c>
      <c r="AF430">
        <v>1111.7945999999999</v>
      </c>
      <c r="AG430" t="s">
        <v>1737</v>
      </c>
    </row>
    <row r="431" spans="1:33" x14ac:dyDescent="0.3">
      <c r="A431" t="s">
        <v>599</v>
      </c>
      <c r="B431" s="2">
        <v>45731</v>
      </c>
      <c r="C431">
        <v>587.33360000000005</v>
      </c>
      <c r="D431" t="s">
        <v>1807</v>
      </c>
      <c r="E431">
        <v>46</v>
      </c>
      <c r="F431" t="s">
        <v>16</v>
      </c>
      <c r="G431" t="s">
        <v>1530</v>
      </c>
      <c r="H431" t="s">
        <v>1746</v>
      </c>
      <c r="L431" s="2">
        <v>45731</v>
      </c>
      <c r="M431">
        <v>587.33360000000005</v>
      </c>
      <c r="R431" t="s">
        <v>1807</v>
      </c>
      <c r="S431">
        <v>587.33360000000005</v>
      </c>
      <c r="W431" s="12" t="s">
        <v>16</v>
      </c>
      <c r="X431" s="12" t="s">
        <v>1530</v>
      </c>
      <c r="Y431">
        <v>587.33360000000005</v>
      </c>
      <c r="AF431">
        <v>587.33360000000005</v>
      </c>
      <c r="AG431" t="s">
        <v>1746</v>
      </c>
    </row>
    <row r="432" spans="1:33" x14ac:dyDescent="0.3">
      <c r="A432" t="s">
        <v>15</v>
      </c>
      <c r="B432" s="2">
        <v>45445</v>
      </c>
      <c r="C432">
        <v>837.23609999999985</v>
      </c>
      <c r="D432" t="s">
        <v>1812</v>
      </c>
      <c r="E432">
        <v>29</v>
      </c>
      <c r="F432" t="s">
        <v>16</v>
      </c>
      <c r="G432" t="s">
        <v>1546</v>
      </c>
      <c r="H432" t="s">
        <v>1742</v>
      </c>
      <c r="L432" s="2">
        <v>45445</v>
      </c>
      <c r="M432">
        <v>837.23609999999985</v>
      </c>
      <c r="R432" t="s">
        <v>1812</v>
      </c>
      <c r="S432">
        <v>837.23609999999985</v>
      </c>
      <c r="W432" s="11" t="s">
        <v>16</v>
      </c>
      <c r="X432" s="11" t="s">
        <v>1546</v>
      </c>
      <c r="Y432">
        <v>837.23609999999985</v>
      </c>
      <c r="AF432">
        <v>837.23609999999985</v>
      </c>
      <c r="AG432" t="s">
        <v>1742</v>
      </c>
    </row>
    <row r="433" spans="1:33" x14ac:dyDescent="0.3">
      <c r="A433" t="s">
        <v>334</v>
      </c>
      <c r="B433" s="2">
        <v>45860</v>
      </c>
      <c r="C433">
        <v>1597.624</v>
      </c>
      <c r="D433" t="s">
        <v>1812</v>
      </c>
      <c r="E433">
        <v>62</v>
      </c>
      <c r="F433" t="s">
        <v>16</v>
      </c>
      <c r="G433" t="s">
        <v>1546</v>
      </c>
      <c r="H433" t="s">
        <v>1737</v>
      </c>
      <c r="L433" s="2">
        <v>45860</v>
      </c>
      <c r="M433">
        <v>1597.624</v>
      </c>
      <c r="R433" t="s">
        <v>1812</v>
      </c>
      <c r="S433">
        <v>1597.624</v>
      </c>
      <c r="W433" s="12" t="s">
        <v>16</v>
      </c>
      <c r="X433" s="12" t="s">
        <v>1546</v>
      </c>
      <c r="Y433">
        <v>1597.624</v>
      </c>
      <c r="AF433">
        <v>1597.624</v>
      </c>
      <c r="AG433" t="s">
        <v>1737</v>
      </c>
    </row>
    <row r="434" spans="1:33" x14ac:dyDescent="0.3">
      <c r="A434" t="s">
        <v>76</v>
      </c>
      <c r="B434" s="2">
        <v>45725</v>
      </c>
      <c r="C434">
        <v>1042.3728000000001</v>
      </c>
      <c r="D434" t="s">
        <v>1809</v>
      </c>
      <c r="E434">
        <v>60</v>
      </c>
      <c r="F434" t="s">
        <v>16</v>
      </c>
      <c r="G434" t="s">
        <v>1549</v>
      </c>
      <c r="H434" t="s">
        <v>1742</v>
      </c>
      <c r="L434" s="2">
        <v>45725</v>
      </c>
      <c r="M434">
        <v>1042.3728000000001</v>
      </c>
      <c r="R434" t="s">
        <v>1809</v>
      </c>
      <c r="S434">
        <v>1042.3728000000001</v>
      </c>
      <c r="W434" s="11" t="s">
        <v>16</v>
      </c>
      <c r="X434" s="11" t="s">
        <v>1549</v>
      </c>
      <c r="Y434">
        <v>1042.3728000000001</v>
      </c>
      <c r="AF434">
        <v>1042.3728000000001</v>
      </c>
      <c r="AG434" t="s">
        <v>1742</v>
      </c>
    </row>
    <row r="435" spans="1:33" x14ac:dyDescent="0.3">
      <c r="A435" t="s">
        <v>395</v>
      </c>
      <c r="B435" s="2">
        <v>45699</v>
      </c>
      <c r="C435">
        <v>129.4</v>
      </c>
      <c r="D435" t="s">
        <v>1807</v>
      </c>
      <c r="E435">
        <v>53</v>
      </c>
      <c r="F435" t="s">
        <v>16</v>
      </c>
      <c r="G435" t="s">
        <v>1541</v>
      </c>
      <c r="H435" t="s">
        <v>1746</v>
      </c>
      <c r="L435" s="2">
        <v>45699</v>
      </c>
      <c r="M435">
        <v>129.4</v>
      </c>
      <c r="R435" t="s">
        <v>1807</v>
      </c>
      <c r="S435">
        <v>129.4</v>
      </c>
      <c r="W435" s="12" t="s">
        <v>16</v>
      </c>
      <c r="X435" s="12" t="s">
        <v>1541</v>
      </c>
      <c r="Y435">
        <v>129.4</v>
      </c>
      <c r="AF435">
        <v>129.4</v>
      </c>
      <c r="AG435" t="s">
        <v>1746</v>
      </c>
    </row>
    <row r="436" spans="1:33" x14ac:dyDescent="0.3">
      <c r="A436" t="s">
        <v>495</v>
      </c>
      <c r="B436" s="2">
        <v>45266</v>
      </c>
      <c r="C436">
        <v>1309.4226000000001</v>
      </c>
      <c r="D436" t="s">
        <v>1807</v>
      </c>
      <c r="E436">
        <v>33</v>
      </c>
      <c r="F436" t="s">
        <v>9</v>
      </c>
      <c r="G436" t="s">
        <v>1541</v>
      </c>
      <c r="H436" t="s">
        <v>1742</v>
      </c>
      <c r="L436" s="2">
        <v>45266</v>
      </c>
      <c r="M436">
        <v>1309.4226000000001</v>
      </c>
      <c r="R436" t="s">
        <v>1807</v>
      </c>
      <c r="S436">
        <v>1309.4226000000001</v>
      </c>
      <c r="W436" s="11" t="s">
        <v>9</v>
      </c>
      <c r="X436" s="11" t="s">
        <v>1541</v>
      </c>
      <c r="Y436">
        <v>1309.4226000000001</v>
      </c>
      <c r="AF436">
        <v>1309.4226000000001</v>
      </c>
      <c r="AG436" t="s">
        <v>1742</v>
      </c>
    </row>
    <row r="437" spans="1:33" x14ac:dyDescent="0.3">
      <c r="A437" t="s">
        <v>907</v>
      </c>
      <c r="B437" s="2">
        <v>45889</v>
      </c>
      <c r="C437">
        <v>2548.5264000000002</v>
      </c>
      <c r="D437" t="s">
        <v>1812</v>
      </c>
      <c r="E437">
        <v>45</v>
      </c>
      <c r="F437" t="s">
        <v>9</v>
      </c>
      <c r="G437" t="s">
        <v>1527</v>
      </c>
      <c r="H437" t="s">
        <v>1746</v>
      </c>
      <c r="L437" s="2">
        <v>45889</v>
      </c>
      <c r="M437">
        <v>2548.5264000000002</v>
      </c>
      <c r="R437" t="s">
        <v>1812</v>
      </c>
      <c r="S437">
        <v>2548.5264000000002</v>
      </c>
      <c r="W437" s="12" t="s">
        <v>9</v>
      </c>
      <c r="X437" s="12" t="s">
        <v>1527</v>
      </c>
      <c r="Y437">
        <v>2548.5264000000002</v>
      </c>
      <c r="AF437">
        <v>2548.5264000000002</v>
      </c>
      <c r="AG437" t="s">
        <v>1746</v>
      </c>
    </row>
    <row r="438" spans="1:33" x14ac:dyDescent="0.3">
      <c r="A438" t="s">
        <v>200</v>
      </c>
      <c r="B438" s="2">
        <v>45555</v>
      </c>
      <c r="C438">
        <v>2721.1183999999998</v>
      </c>
      <c r="D438" t="s">
        <v>1812</v>
      </c>
      <c r="E438">
        <v>24</v>
      </c>
      <c r="F438" t="s">
        <v>9</v>
      </c>
      <c r="G438" t="s">
        <v>1530</v>
      </c>
      <c r="H438" t="s">
        <v>1742</v>
      </c>
      <c r="L438" s="2">
        <v>45555</v>
      </c>
      <c r="M438">
        <v>2721.1183999999998</v>
      </c>
      <c r="R438" t="s">
        <v>1812</v>
      </c>
      <c r="S438">
        <v>2721.1183999999998</v>
      </c>
      <c r="W438" s="11" t="s">
        <v>9</v>
      </c>
      <c r="X438" s="11" t="s">
        <v>1530</v>
      </c>
      <c r="Y438">
        <v>2721.1183999999998</v>
      </c>
      <c r="AF438">
        <v>2721.1183999999998</v>
      </c>
      <c r="AG438" t="s">
        <v>1742</v>
      </c>
    </row>
    <row r="439" spans="1:33" x14ac:dyDescent="0.3">
      <c r="A439" t="s">
        <v>3941</v>
      </c>
      <c r="B439" s="2">
        <v>45813</v>
      </c>
      <c r="C439">
        <v>1455.2208000000001</v>
      </c>
      <c r="D439" t="s">
        <v>1809</v>
      </c>
      <c r="E439">
        <v>34</v>
      </c>
      <c r="F439" t="s">
        <v>9</v>
      </c>
      <c r="G439" t="s">
        <v>1546</v>
      </c>
      <c r="H439" t="s">
        <v>1742</v>
      </c>
      <c r="L439" s="2">
        <v>45813</v>
      </c>
      <c r="M439">
        <v>1455.2208000000001</v>
      </c>
      <c r="R439" t="s">
        <v>1809</v>
      </c>
      <c r="S439">
        <v>1455.2208000000001</v>
      </c>
      <c r="W439" s="12" t="s">
        <v>9</v>
      </c>
      <c r="X439" s="12" t="s">
        <v>1546</v>
      </c>
      <c r="Y439">
        <v>1455.2208000000001</v>
      </c>
      <c r="AF439">
        <v>1455.2208000000001</v>
      </c>
      <c r="AG439" t="s">
        <v>1742</v>
      </c>
    </row>
    <row r="440" spans="1:33" x14ac:dyDescent="0.3">
      <c r="A440" t="s">
        <v>528</v>
      </c>
      <c r="B440" s="2">
        <v>45811</v>
      </c>
      <c r="C440">
        <v>874.91959999999983</v>
      </c>
      <c r="D440" t="s">
        <v>1809</v>
      </c>
      <c r="E440">
        <v>41</v>
      </c>
      <c r="F440" t="s">
        <v>16</v>
      </c>
      <c r="G440" t="s">
        <v>1530</v>
      </c>
      <c r="H440" t="s">
        <v>1742</v>
      </c>
      <c r="L440" s="2">
        <v>45811</v>
      </c>
      <c r="M440">
        <v>874.91959999999983</v>
      </c>
      <c r="R440" t="s">
        <v>1809</v>
      </c>
      <c r="S440">
        <v>874.91959999999983</v>
      </c>
      <c r="W440" s="11" t="s">
        <v>16</v>
      </c>
      <c r="X440" s="11" t="s">
        <v>1530</v>
      </c>
      <c r="Y440">
        <v>874.91959999999983</v>
      </c>
      <c r="AF440">
        <v>874.91959999999983</v>
      </c>
      <c r="AG440" t="s">
        <v>1742</v>
      </c>
    </row>
    <row r="441" spans="1:33" x14ac:dyDescent="0.3">
      <c r="A441" t="s">
        <v>346</v>
      </c>
      <c r="B441" s="2">
        <v>45670</v>
      </c>
      <c r="C441">
        <v>2556.1972000000001</v>
      </c>
      <c r="D441" t="s">
        <v>1807</v>
      </c>
      <c r="E441">
        <v>35</v>
      </c>
      <c r="F441" t="s">
        <v>9</v>
      </c>
      <c r="G441" t="s">
        <v>1546</v>
      </c>
      <c r="H441" t="s">
        <v>1742</v>
      </c>
      <c r="L441" s="2">
        <v>45670</v>
      </c>
      <c r="M441">
        <v>2556.1972000000001</v>
      </c>
      <c r="R441" t="s">
        <v>1807</v>
      </c>
      <c r="S441">
        <v>2556.1972000000001</v>
      </c>
      <c r="W441" s="12" t="s">
        <v>9</v>
      </c>
      <c r="X441" s="12" t="s">
        <v>1546</v>
      </c>
      <c r="Y441">
        <v>2556.1972000000001</v>
      </c>
      <c r="AF441">
        <v>2556.1972000000001</v>
      </c>
      <c r="AG441" t="s">
        <v>1742</v>
      </c>
    </row>
    <row r="442" spans="1:33" x14ac:dyDescent="0.3">
      <c r="A442" t="s">
        <v>41</v>
      </c>
      <c r="B442" s="2">
        <v>45736</v>
      </c>
      <c r="C442">
        <v>439.27420000000001</v>
      </c>
      <c r="D442" t="s">
        <v>1807</v>
      </c>
      <c r="E442">
        <v>53</v>
      </c>
      <c r="F442" t="s">
        <v>16</v>
      </c>
      <c r="G442" t="s">
        <v>1530</v>
      </c>
      <c r="H442" t="s">
        <v>1737</v>
      </c>
      <c r="L442" s="2">
        <v>45736</v>
      </c>
      <c r="M442">
        <v>439.27420000000001</v>
      </c>
      <c r="R442" t="s">
        <v>1807</v>
      </c>
      <c r="S442">
        <v>439.27420000000001</v>
      </c>
      <c r="W442" s="11" t="s">
        <v>16</v>
      </c>
      <c r="X442" s="11" t="s">
        <v>1530</v>
      </c>
      <c r="Y442">
        <v>439.27420000000001</v>
      </c>
      <c r="AF442">
        <v>439.27420000000001</v>
      </c>
      <c r="AG442" t="s">
        <v>1737</v>
      </c>
    </row>
    <row r="443" spans="1:33" x14ac:dyDescent="0.3">
      <c r="A443" t="s">
        <v>141</v>
      </c>
      <c r="B443" s="2">
        <v>45480</v>
      </c>
      <c r="C443">
        <v>513.702</v>
      </c>
      <c r="D443" t="s">
        <v>1807</v>
      </c>
      <c r="E443">
        <v>20</v>
      </c>
      <c r="F443" t="s">
        <v>16</v>
      </c>
      <c r="G443" t="s">
        <v>1527</v>
      </c>
      <c r="H443" t="s">
        <v>1742</v>
      </c>
      <c r="L443" s="2">
        <v>45480</v>
      </c>
      <c r="M443">
        <v>513.702</v>
      </c>
      <c r="R443" t="s">
        <v>1807</v>
      </c>
      <c r="S443">
        <v>513.702</v>
      </c>
      <c r="W443" s="12" t="s">
        <v>16</v>
      </c>
      <c r="X443" s="12" t="s">
        <v>1527</v>
      </c>
      <c r="Y443">
        <v>513.702</v>
      </c>
      <c r="AF443">
        <v>513.702</v>
      </c>
      <c r="AG443" t="s">
        <v>1742</v>
      </c>
    </row>
    <row r="444" spans="1:33" x14ac:dyDescent="0.3">
      <c r="A444" t="s">
        <v>1040</v>
      </c>
      <c r="B444" s="2">
        <v>45929</v>
      </c>
      <c r="C444">
        <v>566.21899999999994</v>
      </c>
      <c r="D444" t="s">
        <v>1807</v>
      </c>
      <c r="E444">
        <v>37</v>
      </c>
      <c r="F444" t="s">
        <v>9</v>
      </c>
      <c r="G444" t="s">
        <v>1546</v>
      </c>
      <c r="H444" t="s">
        <v>1742</v>
      </c>
      <c r="L444" s="2">
        <v>45929</v>
      </c>
      <c r="M444">
        <v>566.21899999999994</v>
      </c>
      <c r="R444" t="s">
        <v>1807</v>
      </c>
      <c r="S444">
        <v>566.21899999999994</v>
      </c>
      <c r="W444" s="11" t="s">
        <v>9</v>
      </c>
      <c r="X444" s="11" t="s">
        <v>1546</v>
      </c>
      <c r="Y444">
        <v>566.21899999999994</v>
      </c>
      <c r="AF444">
        <v>566.21899999999994</v>
      </c>
      <c r="AG444" t="s">
        <v>1742</v>
      </c>
    </row>
    <row r="445" spans="1:33" x14ac:dyDescent="0.3">
      <c r="A445" t="s">
        <v>528</v>
      </c>
      <c r="B445" s="2">
        <v>45626</v>
      </c>
      <c r="C445">
        <v>2230.3303999999998</v>
      </c>
      <c r="D445" t="s">
        <v>1812</v>
      </c>
      <c r="E445">
        <v>41</v>
      </c>
      <c r="F445" t="s">
        <v>16</v>
      </c>
      <c r="G445" t="s">
        <v>1546</v>
      </c>
      <c r="H445" t="s">
        <v>1746</v>
      </c>
      <c r="L445" s="2">
        <v>45626</v>
      </c>
      <c r="M445">
        <v>2230.3303999999998</v>
      </c>
      <c r="R445" t="s">
        <v>1812</v>
      </c>
      <c r="S445">
        <v>2230.3303999999998</v>
      </c>
      <c r="W445" s="12" t="s">
        <v>16</v>
      </c>
      <c r="X445" s="12" t="s">
        <v>1546</v>
      </c>
      <c r="Y445">
        <v>2230.3303999999998</v>
      </c>
      <c r="AF445">
        <v>2230.3303999999998</v>
      </c>
      <c r="AG445" t="s">
        <v>1746</v>
      </c>
    </row>
    <row r="446" spans="1:33" x14ac:dyDescent="0.3">
      <c r="A446" t="s">
        <v>1485</v>
      </c>
      <c r="B446" s="2">
        <v>45460</v>
      </c>
      <c r="C446">
        <v>216.44739999999999</v>
      </c>
      <c r="D446" t="s">
        <v>1809</v>
      </c>
      <c r="E446">
        <v>42</v>
      </c>
      <c r="F446" t="s">
        <v>16</v>
      </c>
      <c r="G446" t="s">
        <v>1527</v>
      </c>
      <c r="H446" t="s">
        <v>1742</v>
      </c>
      <c r="L446" s="2">
        <v>45460</v>
      </c>
      <c r="M446">
        <v>216.44739999999999</v>
      </c>
      <c r="R446" t="s">
        <v>1809</v>
      </c>
      <c r="S446">
        <v>216.44739999999999</v>
      </c>
      <c r="W446" s="11" t="s">
        <v>16</v>
      </c>
      <c r="X446" s="11" t="s">
        <v>1527</v>
      </c>
      <c r="Y446">
        <v>216.44739999999999</v>
      </c>
      <c r="AF446">
        <v>216.44739999999999</v>
      </c>
      <c r="AG446" t="s">
        <v>1742</v>
      </c>
    </row>
    <row r="447" spans="1:33" x14ac:dyDescent="0.3">
      <c r="A447" t="s">
        <v>1073</v>
      </c>
      <c r="B447" s="2">
        <v>45709</v>
      </c>
      <c r="C447">
        <v>649.51920000000007</v>
      </c>
      <c r="D447" t="s">
        <v>1809</v>
      </c>
      <c r="E447">
        <v>58</v>
      </c>
      <c r="F447" t="s">
        <v>16</v>
      </c>
      <c r="G447" t="s">
        <v>1549</v>
      </c>
      <c r="H447" t="s">
        <v>1746</v>
      </c>
      <c r="L447" s="2">
        <v>45709</v>
      </c>
      <c r="M447">
        <v>649.51920000000007</v>
      </c>
      <c r="R447" t="s">
        <v>1809</v>
      </c>
      <c r="S447">
        <v>649.51920000000007</v>
      </c>
      <c r="W447" s="12" t="s">
        <v>16</v>
      </c>
      <c r="X447" s="12" t="s">
        <v>1549</v>
      </c>
      <c r="Y447">
        <v>649.51920000000007</v>
      </c>
      <c r="AF447">
        <v>649.51920000000007</v>
      </c>
      <c r="AG447" t="s">
        <v>1746</v>
      </c>
    </row>
    <row r="448" spans="1:33" x14ac:dyDescent="0.3">
      <c r="A448" t="s">
        <v>543</v>
      </c>
      <c r="B448" s="2">
        <v>45551</v>
      </c>
      <c r="C448">
        <v>865.1164</v>
      </c>
      <c r="D448" t="s">
        <v>1809</v>
      </c>
      <c r="E448">
        <v>47</v>
      </c>
      <c r="F448" t="s">
        <v>16</v>
      </c>
      <c r="G448" t="s">
        <v>1527</v>
      </c>
      <c r="H448" t="s">
        <v>1746</v>
      </c>
      <c r="L448" s="2">
        <v>45551</v>
      </c>
      <c r="M448">
        <v>865.1164</v>
      </c>
      <c r="R448" t="s">
        <v>1809</v>
      </c>
      <c r="S448">
        <v>865.1164</v>
      </c>
      <c r="W448" s="11" t="s">
        <v>16</v>
      </c>
      <c r="X448" s="11" t="s">
        <v>1527</v>
      </c>
      <c r="Y448">
        <v>865.1164</v>
      </c>
      <c r="AF448">
        <v>865.1164</v>
      </c>
      <c r="AG448" t="s">
        <v>1746</v>
      </c>
    </row>
    <row r="449" spans="1:33" x14ac:dyDescent="0.3">
      <c r="A449" t="s">
        <v>3941</v>
      </c>
      <c r="B449" s="2">
        <v>45939</v>
      </c>
      <c r="C449">
        <v>1394.5596</v>
      </c>
      <c r="D449" t="s">
        <v>1807</v>
      </c>
      <c r="E449">
        <v>34</v>
      </c>
      <c r="F449" t="s">
        <v>9</v>
      </c>
      <c r="G449" t="s">
        <v>1549</v>
      </c>
      <c r="H449" t="s">
        <v>1742</v>
      </c>
      <c r="L449" s="2">
        <v>45939</v>
      </c>
      <c r="M449">
        <v>1394.5596</v>
      </c>
      <c r="R449" t="s">
        <v>1807</v>
      </c>
      <c r="S449">
        <v>1394.5596</v>
      </c>
      <c r="W449" s="12" t="s">
        <v>9</v>
      </c>
      <c r="X449" s="12" t="s">
        <v>1549</v>
      </c>
      <c r="Y449">
        <v>1394.5596</v>
      </c>
      <c r="AF449">
        <v>1394.5596</v>
      </c>
      <c r="AG449" t="s">
        <v>1742</v>
      </c>
    </row>
    <row r="450" spans="1:33" x14ac:dyDescent="0.3">
      <c r="A450" t="s">
        <v>851</v>
      </c>
      <c r="B450" s="2">
        <v>45553</v>
      </c>
      <c r="C450">
        <v>810.57139999999993</v>
      </c>
      <c r="D450" t="s">
        <v>1807</v>
      </c>
      <c r="E450">
        <v>31</v>
      </c>
      <c r="F450" t="s">
        <v>16</v>
      </c>
      <c r="G450" t="s">
        <v>1527</v>
      </c>
      <c r="H450" t="s">
        <v>1742</v>
      </c>
      <c r="L450" s="2">
        <v>45553</v>
      </c>
      <c r="M450">
        <v>810.57139999999993</v>
      </c>
      <c r="R450" t="s">
        <v>1807</v>
      </c>
      <c r="S450">
        <v>810.57139999999993</v>
      </c>
      <c r="W450" s="11" t="s">
        <v>16</v>
      </c>
      <c r="X450" s="11" t="s">
        <v>1527</v>
      </c>
      <c r="Y450">
        <v>810.57139999999993</v>
      </c>
      <c r="AF450">
        <v>810.57139999999993</v>
      </c>
      <c r="AG450" t="s">
        <v>1742</v>
      </c>
    </row>
    <row r="451" spans="1:33" x14ac:dyDescent="0.3">
      <c r="A451" t="s">
        <v>259</v>
      </c>
      <c r="B451" s="2">
        <v>45806</v>
      </c>
      <c r="C451">
        <v>1050.2965999999999</v>
      </c>
      <c r="D451" t="s">
        <v>1812</v>
      </c>
      <c r="E451">
        <v>39</v>
      </c>
      <c r="F451" t="s">
        <v>16</v>
      </c>
      <c r="G451" t="s">
        <v>1541</v>
      </c>
      <c r="H451" t="s">
        <v>1742</v>
      </c>
      <c r="L451" s="2">
        <v>45806</v>
      </c>
      <c r="M451">
        <v>1050.2965999999999</v>
      </c>
      <c r="R451" t="s">
        <v>1812</v>
      </c>
      <c r="S451">
        <v>1050.2965999999999</v>
      </c>
      <c r="W451" s="12" t="s">
        <v>16</v>
      </c>
      <c r="X451" s="12" t="s">
        <v>1541</v>
      </c>
      <c r="Y451">
        <v>1050.2965999999999</v>
      </c>
      <c r="AF451">
        <v>1050.2965999999999</v>
      </c>
      <c r="AG451" t="s">
        <v>1742</v>
      </c>
    </row>
    <row r="452" spans="1:33" x14ac:dyDescent="0.3">
      <c r="A452" t="s">
        <v>1454</v>
      </c>
      <c r="B452" s="2">
        <v>45811</v>
      </c>
      <c r="C452">
        <v>2148.2759999999989</v>
      </c>
      <c r="D452" t="s">
        <v>1812</v>
      </c>
      <c r="E452">
        <v>59</v>
      </c>
      <c r="F452" t="s">
        <v>9</v>
      </c>
      <c r="G452" t="s">
        <v>1546</v>
      </c>
      <c r="H452" t="s">
        <v>1742</v>
      </c>
      <c r="L452" s="2">
        <v>45811</v>
      </c>
      <c r="M452">
        <v>2148.2759999999989</v>
      </c>
      <c r="R452" t="s">
        <v>1812</v>
      </c>
      <c r="S452">
        <v>2148.2759999999989</v>
      </c>
      <c r="W452" s="11" t="s">
        <v>9</v>
      </c>
      <c r="X452" s="11" t="s">
        <v>1546</v>
      </c>
      <c r="Y452">
        <v>2148.2759999999989</v>
      </c>
      <c r="AF452">
        <v>2148.2759999999989</v>
      </c>
      <c r="AG452" t="s">
        <v>1742</v>
      </c>
    </row>
    <row r="453" spans="1:33" x14ac:dyDescent="0.3">
      <c r="A453" t="s">
        <v>3950</v>
      </c>
      <c r="B453" s="2">
        <v>45508</v>
      </c>
      <c r="C453">
        <v>2952.5216</v>
      </c>
      <c r="D453" t="s">
        <v>1809</v>
      </c>
      <c r="E453">
        <v>35</v>
      </c>
      <c r="F453" t="s">
        <v>9</v>
      </c>
      <c r="G453" t="s">
        <v>1541</v>
      </c>
      <c r="H453" t="s">
        <v>1746</v>
      </c>
      <c r="L453" s="2">
        <v>45508</v>
      </c>
      <c r="M453">
        <v>2952.5216</v>
      </c>
      <c r="R453" t="s">
        <v>1809</v>
      </c>
      <c r="S453">
        <v>2952.5216</v>
      </c>
      <c r="W453" s="12" t="s">
        <v>9</v>
      </c>
      <c r="X453" s="12" t="s">
        <v>1541</v>
      </c>
      <c r="Y453">
        <v>2952.5216</v>
      </c>
      <c r="AF453">
        <v>2952.5216</v>
      </c>
      <c r="AG453" t="s">
        <v>1746</v>
      </c>
    </row>
    <row r="454" spans="1:33" x14ac:dyDescent="0.3">
      <c r="A454" t="s">
        <v>1244</v>
      </c>
      <c r="B454" s="2">
        <v>45460</v>
      </c>
      <c r="C454">
        <v>773.60919999999999</v>
      </c>
      <c r="D454" t="s">
        <v>1809</v>
      </c>
      <c r="E454">
        <v>18</v>
      </c>
      <c r="F454" t="s">
        <v>16</v>
      </c>
      <c r="G454" t="s">
        <v>1530</v>
      </c>
      <c r="H454" t="s">
        <v>1742</v>
      </c>
      <c r="L454" s="2">
        <v>45460</v>
      </c>
      <c r="M454">
        <v>773.60919999999999</v>
      </c>
      <c r="R454" t="s">
        <v>1809</v>
      </c>
      <c r="S454">
        <v>773.60919999999999</v>
      </c>
      <c r="W454" s="11" t="s">
        <v>16</v>
      </c>
      <c r="X454" s="11" t="s">
        <v>1530</v>
      </c>
      <c r="Y454">
        <v>773.60919999999999</v>
      </c>
      <c r="AF454">
        <v>773.60919999999999</v>
      </c>
      <c r="AG454" t="s">
        <v>1742</v>
      </c>
    </row>
    <row r="455" spans="1:33" x14ac:dyDescent="0.3">
      <c r="A455" t="s">
        <v>434</v>
      </c>
      <c r="B455" s="2">
        <v>45311</v>
      </c>
      <c r="C455">
        <v>1640.0519999999999</v>
      </c>
      <c r="D455" t="s">
        <v>1807</v>
      </c>
      <c r="E455">
        <v>45</v>
      </c>
      <c r="F455" t="s">
        <v>9</v>
      </c>
      <c r="G455" t="s">
        <v>1527</v>
      </c>
      <c r="H455" t="s">
        <v>1737</v>
      </c>
      <c r="L455" s="2">
        <v>45311</v>
      </c>
      <c r="M455">
        <v>1640.0519999999999</v>
      </c>
      <c r="R455" t="s">
        <v>1807</v>
      </c>
      <c r="S455">
        <v>1640.0519999999999</v>
      </c>
      <c r="W455" s="12" t="s">
        <v>9</v>
      </c>
      <c r="X455" s="12" t="s">
        <v>1527</v>
      </c>
      <c r="Y455">
        <v>1640.0519999999999</v>
      </c>
      <c r="AF455">
        <v>1640.0519999999999</v>
      </c>
      <c r="AG455" t="s">
        <v>1737</v>
      </c>
    </row>
    <row r="456" spans="1:33" x14ac:dyDescent="0.3">
      <c r="A456" t="s">
        <v>302</v>
      </c>
      <c r="B456" s="2">
        <v>45906</v>
      </c>
      <c r="C456">
        <v>1729.4748</v>
      </c>
      <c r="D456" t="s">
        <v>1807</v>
      </c>
      <c r="E456">
        <v>36</v>
      </c>
      <c r="F456" t="s">
        <v>9</v>
      </c>
      <c r="G456" t="s">
        <v>1527</v>
      </c>
      <c r="H456" t="s">
        <v>1767</v>
      </c>
      <c r="L456" s="2">
        <v>45906</v>
      </c>
      <c r="M456">
        <v>1729.4748</v>
      </c>
      <c r="R456" t="s">
        <v>1807</v>
      </c>
      <c r="S456">
        <v>1729.4748</v>
      </c>
      <c r="W456" s="11" t="s">
        <v>9</v>
      </c>
      <c r="X456" s="11" t="s">
        <v>1527</v>
      </c>
      <c r="Y456">
        <v>1729.4748</v>
      </c>
      <c r="AF456">
        <v>1729.4748</v>
      </c>
      <c r="AG456" t="s">
        <v>1767</v>
      </c>
    </row>
    <row r="457" spans="1:33" x14ac:dyDescent="0.3">
      <c r="A457" t="s">
        <v>862</v>
      </c>
      <c r="B457" s="2">
        <v>45380</v>
      </c>
      <c r="C457">
        <v>1372.8879999999999</v>
      </c>
      <c r="D457" t="s">
        <v>1812</v>
      </c>
      <c r="E457">
        <v>38</v>
      </c>
      <c r="F457" t="s">
        <v>9</v>
      </c>
      <c r="G457" t="s">
        <v>1549</v>
      </c>
      <c r="H457" t="s">
        <v>1742</v>
      </c>
      <c r="L457" s="2">
        <v>45380</v>
      </c>
      <c r="M457">
        <v>1372.8879999999999</v>
      </c>
      <c r="R457" t="s">
        <v>1812</v>
      </c>
      <c r="S457">
        <v>1372.8879999999999</v>
      </c>
      <c r="W457" s="12" t="s">
        <v>9</v>
      </c>
      <c r="X457" s="12" t="s">
        <v>1549</v>
      </c>
      <c r="Y457">
        <v>1372.8879999999999</v>
      </c>
      <c r="AF457">
        <v>1372.8879999999999</v>
      </c>
      <c r="AG457" t="s">
        <v>1742</v>
      </c>
    </row>
    <row r="458" spans="1:33" x14ac:dyDescent="0.3">
      <c r="A458" t="s">
        <v>694</v>
      </c>
      <c r="B458" s="2">
        <v>45527</v>
      </c>
      <c r="C458">
        <v>1023.678</v>
      </c>
      <c r="D458" t="s">
        <v>1812</v>
      </c>
      <c r="E458">
        <v>44</v>
      </c>
      <c r="F458" t="s">
        <v>9</v>
      </c>
      <c r="G458" t="s">
        <v>1541</v>
      </c>
      <c r="H458" t="s">
        <v>1746</v>
      </c>
      <c r="L458" s="2">
        <v>45527</v>
      </c>
      <c r="M458">
        <v>1023.678</v>
      </c>
      <c r="R458" t="s">
        <v>1812</v>
      </c>
      <c r="S458">
        <v>1023.678</v>
      </c>
      <c r="W458" s="11" t="s">
        <v>9</v>
      </c>
      <c r="X458" s="11" t="s">
        <v>1541</v>
      </c>
      <c r="Y458">
        <v>1023.678</v>
      </c>
      <c r="AF458">
        <v>1023.678</v>
      </c>
      <c r="AG458" t="s">
        <v>1746</v>
      </c>
    </row>
    <row r="459" spans="1:33" x14ac:dyDescent="0.3">
      <c r="A459" t="s">
        <v>732</v>
      </c>
      <c r="B459" s="2">
        <v>45796</v>
      </c>
      <c r="C459">
        <v>1182.8481999999999</v>
      </c>
      <c r="D459" t="s">
        <v>1807</v>
      </c>
      <c r="E459">
        <v>29</v>
      </c>
      <c r="F459" t="s">
        <v>9</v>
      </c>
      <c r="G459" t="s">
        <v>1549</v>
      </c>
      <c r="H459" t="s">
        <v>1746</v>
      </c>
      <c r="L459" s="2">
        <v>45796</v>
      </c>
      <c r="M459">
        <v>1182.8481999999999</v>
      </c>
      <c r="R459" t="s">
        <v>1807</v>
      </c>
      <c r="S459">
        <v>1182.8481999999999</v>
      </c>
      <c r="W459" s="12" t="s">
        <v>9</v>
      </c>
      <c r="X459" s="12" t="s">
        <v>1549</v>
      </c>
      <c r="Y459">
        <v>1182.8481999999999</v>
      </c>
      <c r="AF459">
        <v>1182.8481999999999</v>
      </c>
      <c r="AG459" t="s">
        <v>1746</v>
      </c>
    </row>
    <row r="460" spans="1:33" x14ac:dyDescent="0.3">
      <c r="A460" t="s">
        <v>664</v>
      </c>
      <c r="B460" s="2">
        <v>45389</v>
      </c>
      <c r="C460">
        <v>1484.7293999999999</v>
      </c>
      <c r="D460" t="s">
        <v>1809</v>
      </c>
      <c r="E460">
        <v>26</v>
      </c>
      <c r="F460" t="s">
        <v>16</v>
      </c>
      <c r="G460" t="s">
        <v>1527</v>
      </c>
      <c r="H460" t="s">
        <v>1746</v>
      </c>
      <c r="L460" s="2">
        <v>45389</v>
      </c>
      <c r="M460">
        <v>1484.7293999999999</v>
      </c>
      <c r="R460" t="s">
        <v>1809</v>
      </c>
      <c r="S460">
        <v>1484.7293999999999</v>
      </c>
      <c r="W460" s="11" t="s">
        <v>16</v>
      </c>
      <c r="X460" s="11" t="s">
        <v>1527</v>
      </c>
      <c r="Y460">
        <v>1484.7293999999999</v>
      </c>
      <c r="AF460">
        <v>1484.7293999999999</v>
      </c>
      <c r="AG460" t="s">
        <v>1746</v>
      </c>
    </row>
    <row r="461" spans="1:33" x14ac:dyDescent="0.3">
      <c r="A461" t="s">
        <v>1425</v>
      </c>
      <c r="B461" s="2">
        <v>45315</v>
      </c>
      <c r="C461">
        <v>1208.27</v>
      </c>
      <c r="D461" t="s">
        <v>1807</v>
      </c>
      <c r="E461">
        <v>45</v>
      </c>
      <c r="F461" t="s">
        <v>9</v>
      </c>
      <c r="G461" t="s">
        <v>1549</v>
      </c>
      <c r="H461" t="s">
        <v>1742</v>
      </c>
      <c r="L461" s="2">
        <v>45315</v>
      </c>
      <c r="M461">
        <v>1208.27</v>
      </c>
      <c r="R461" t="s">
        <v>1807</v>
      </c>
      <c r="S461">
        <v>1208.27</v>
      </c>
      <c r="W461" s="12" t="s">
        <v>9</v>
      </c>
      <c r="X461" s="12" t="s">
        <v>1549</v>
      </c>
      <c r="Y461">
        <v>1208.27</v>
      </c>
      <c r="AF461">
        <v>1208.27</v>
      </c>
      <c r="AG461" t="s">
        <v>1742</v>
      </c>
    </row>
    <row r="462" spans="1:33" x14ac:dyDescent="0.3">
      <c r="A462" t="s">
        <v>115</v>
      </c>
      <c r="B462" s="2">
        <v>45311</v>
      </c>
      <c r="C462">
        <v>2240.9920000000002</v>
      </c>
      <c r="D462" t="s">
        <v>1809</v>
      </c>
      <c r="E462">
        <v>27</v>
      </c>
      <c r="F462" t="s">
        <v>16</v>
      </c>
      <c r="G462" t="s">
        <v>1546</v>
      </c>
      <c r="H462" t="s">
        <v>1746</v>
      </c>
      <c r="L462" s="2">
        <v>45311</v>
      </c>
      <c r="M462">
        <v>2240.9920000000002</v>
      </c>
      <c r="R462" t="s">
        <v>1809</v>
      </c>
      <c r="S462">
        <v>2240.9920000000002</v>
      </c>
      <c r="W462" s="11" t="s">
        <v>16</v>
      </c>
      <c r="X462" s="11" t="s">
        <v>1546</v>
      </c>
      <c r="Y462">
        <v>2240.9920000000002</v>
      </c>
      <c r="AF462">
        <v>2240.9920000000002</v>
      </c>
      <c r="AG462" t="s">
        <v>1746</v>
      </c>
    </row>
    <row r="463" spans="1:33" x14ac:dyDescent="0.3">
      <c r="A463" t="s">
        <v>440</v>
      </c>
      <c r="B463" s="2">
        <v>45270</v>
      </c>
      <c r="C463">
        <v>615.47840000000008</v>
      </c>
      <c r="D463" t="s">
        <v>1807</v>
      </c>
      <c r="E463">
        <v>29</v>
      </c>
      <c r="F463" t="s">
        <v>9</v>
      </c>
      <c r="G463" t="s">
        <v>1530</v>
      </c>
      <c r="H463" t="s">
        <v>1742</v>
      </c>
      <c r="L463" s="2">
        <v>45270</v>
      </c>
      <c r="M463">
        <v>615.47840000000008</v>
      </c>
      <c r="R463" t="s">
        <v>1807</v>
      </c>
      <c r="S463">
        <v>615.47840000000008</v>
      </c>
      <c r="W463" s="12" t="s">
        <v>9</v>
      </c>
      <c r="X463" s="12" t="s">
        <v>1530</v>
      </c>
      <c r="Y463">
        <v>615.47840000000008</v>
      </c>
      <c r="AF463">
        <v>615.47840000000008</v>
      </c>
      <c r="AG463" t="s">
        <v>1742</v>
      </c>
    </row>
    <row r="464" spans="1:33" x14ac:dyDescent="0.3">
      <c r="A464" t="s">
        <v>840</v>
      </c>
      <c r="B464" s="2">
        <v>45279</v>
      </c>
      <c r="C464">
        <v>437.76</v>
      </c>
      <c r="D464" t="s">
        <v>1809</v>
      </c>
      <c r="E464">
        <v>32</v>
      </c>
      <c r="F464" t="s">
        <v>16</v>
      </c>
      <c r="G464" t="s">
        <v>1527</v>
      </c>
      <c r="H464" t="s">
        <v>1742</v>
      </c>
      <c r="L464" s="2">
        <v>45279</v>
      </c>
      <c r="M464">
        <v>437.76</v>
      </c>
      <c r="R464" t="s">
        <v>1809</v>
      </c>
      <c r="S464">
        <v>437.76</v>
      </c>
      <c r="W464" s="11" t="s">
        <v>16</v>
      </c>
      <c r="X464" s="11" t="s">
        <v>1527</v>
      </c>
      <c r="Y464">
        <v>437.76</v>
      </c>
      <c r="AF464">
        <v>437.76</v>
      </c>
      <c r="AG464" t="s">
        <v>1742</v>
      </c>
    </row>
    <row r="465" spans="1:33" x14ac:dyDescent="0.3">
      <c r="A465" t="s">
        <v>540</v>
      </c>
      <c r="B465" s="2">
        <v>45252</v>
      </c>
      <c r="C465">
        <v>434.05680000000001</v>
      </c>
      <c r="D465" t="s">
        <v>1807</v>
      </c>
      <c r="E465">
        <v>39</v>
      </c>
      <c r="F465" t="s">
        <v>16</v>
      </c>
      <c r="G465" t="s">
        <v>1549</v>
      </c>
      <c r="H465" t="s">
        <v>1742</v>
      </c>
      <c r="L465" s="2">
        <v>45252</v>
      </c>
      <c r="M465">
        <v>434.05680000000001</v>
      </c>
      <c r="R465" t="s">
        <v>1807</v>
      </c>
      <c r="S465">
        <v>434.05680000000001</v>
      </c>
      <c r="W465" s="12" t="s">
        <v>16</v>
      </c>
      <c r="X465" s="12" t="s">
        <v>1549</v>
      </c>
      <c r="Y465">
        <v>434.05680000000001</v>
      </c>
      <c r="AF465">
        <v>434.05680000000001</v>
      </c>
      <c r="AG465" t="s">
        <v>1742</v>
      </c>
    </row>
    <row r="466" spans="1:33" x14ac:dyDescent="0.3">
      <c r="A466" t="s">
        <v>940</v>
      </c>
      <c r="B466" s="2">
        <v>45938</v>
      </c>
      <c r="C466">
        <v>612.59760000000006</v>
      </c>
      <c r="D466" t="s">
        <v>1809</v>
      </c>
      <c r="E466">
        <v>50</v>
      </c>
      <c r="F466" t="s">
        <v>9</v>
      </c>
      <c r="G466" t="s">
        <v>1530</v>
      </c>
      <c r="H466" t="s">
        <v>1742</v>
      </c>
      <c r="L466" s="2">
        <v>45938</v>
      </c>
      <c r="M466">
        <v>612.59760000000006</v>
      </c>
      <c r="R466" t="s">
        <v>1809</v>
      </c>
      <c r="S466">
        <v>612.59760000000006</v>
      </c>
      <c r="W466" s="11" t="s">
        <v>9</v>
      </c>
      <c r="X466" s="11" t="s">
        <v>1530</v>
      </c>
      <c r="Y466">
        <v>612.59760000000006</v>
      </c>
      <c r="AF466">
        <v>612.59760000000006</v>
      </c>
      <c r="AG466" t="s">
        <v>1742</v>
      </c>
    </row>
    <row r="467" spans="1:33" x14ac:dyDescent="0.3">
      <c r="A467" t="s">
        <v>1247</v>
      </c>
      <c r="B467" s="2">
        <v>45711</v>
      </c>
      <c r="C467">
        <v>79.638499999999993</v>
      </c>
      <c r="D467" t="s">
        <v>1807</v>
      </c>
      <c r="E467">
        <v>23</v>
      </c>
      <c r="F467" t="s">
        <v>16</v>
      </c>
      <c r="G467" t="s">
        <v>1530</v>
      </c>
      <c r="H467" t="s">
        <v>1746</v>
      </c>
      <c r="L467" s="2">
        <v>45711</v>
      </c>
      <c r="M467">
        <v>79.638499999999993</v>
      </c>
      <c r="R467" t="s">
        <v>1807</v>
      </c>
      <c r="S467">
        <v>79.638499999999993</v>
      </c>
      <c r="W467" s="12" t="s">
        <v>16</v>
      </c>
      <c r="X467" s="12" t="s">
        <v>1530</v>
      </c>
      <c r="Y467">
        <v>79.638499999999993</v>
      </c>
      <c r="AF467">
        <v>79.638499999999993</v>
      </c>
      <c r="AG467" t="s">
        <v>1746</v>
      </c>
    </row>
    <row r="468" spans="1:33" x14ac:dyDescent="0.3">
      <c r="A468" t="s">
        <v>37</v>
      </c>
      <c r="B468" s="2">
        <v>45713</v>
      </c>
      <c r="C468">
        <v>1403.8920000000001</v>
      </c>
      <c r="D468" t="s">
        <v>1812</v>
      </c>
      <c r="E468">
        <v>29</v>
      </c>
      <c r="F468" t="s">
        <v>16</v>
      </c>
      <c r="G468" t="s">
        <v>1549</v>
      </c>
      <c r="H468" t="s">
        <v>1742</v>
      </c>
      <c r="L468" s="2">
        <v>45713</v>
      </c>
      <c r="M468">
        <v>1403.8920000000001</v>
      </c>
      <c r="R468" t="s">
        <v>1812</v>
      </c>
      <c r="S468">
        <v>1403.8920000000001</v>
      </c>
      <c r="W468" s="11" t="s">
        <v>16</v>
      </c>
      <c r="X468" s="11" t="s">
        <v>1549</v>
      </c>
      <c r="Y468">
        <v>1403.8920000000001</v>
      </c>
      <c r="AF468">
        <v>1403.8920000000001</v>
      </c>
      <c r="AG468" t="s">
        <v>1742</v>
      </c>
    </row>
    <row r="469" spans="1:33" x14ac:dyDescent="0.3">
      <c r="A469" t="s">
        <v>1133</v>
      </c>
      <c r="B469" s="2">
        <v>45565</v>
      </c>
      <c r="C469">
        <v>3066.6687999999999</v>
      </c>
      <c r="D469" t="s">
        <v>1809</v>
      </c>
      <c r="E469">
        <v>51</v>
      </c>
      <c r="F469" t="s">
        <v>9</v>
      </c>
      <c r="G469" t="s">
        <v>1549</v>
      </c>
      <c r="H469" t="s">
        <v>1737</v>
      </c>
      <c r="L469" s="2">
        <v>45565</v>
      </c>
      <c r="M469">
        <v>3066.6687999999999</v>
      </c>
      <c r="R469" t="s">
        <v>1809</v>
      </c>
      <c r="S469">
        <v>3066.6687999999999</v>
      </c>
      <c r="W469" s="12" t="s">
        <v>9</v>
      </c>
      <c r="X469" s="12" t="s">
        <v>1549</v>
      </c>
      <c r="Y469">
        <v>3066.6687999999999</v>
      </c>
      <c r="AF469">
        <v>3066.6687999999999</v>
      </c>
      <c r="AG469" t="s">
        <v>1737</v>
      </c>
    </row>
    <row r="470" spans="1:33" x14ac:dyDescent="0.3">
      <c r="A470" t="s">
        <v>667</v>
      </c>
      <c r="B470" s="2">
        <v>45279</v>
      </c>
      <c r="C470">
        <v>766.37429999999995</v>
      </c>
      <c r="D470" t="s">
        <v>1812</v>
      </c>
      <c r="E470">
        <v>28</v>
      </c>
      <c r="F470" t="s">
        <v>16</v>
      </c>
      <c r="G470" t="s">
        <v>1549</v>
      </c>
      <c r="H470" t="s">
        <v>1742</v>
      </c>
      <c r="L470" s="2">
        <v>45279</v>
      </c>
      <c r="M470">
        <v>766.37429999999995</v>
      </c>
      <c r="R470" t="s">
        <v>1812</v>
      </c>
      <c r="S470">
        <v>766.37429999999995</v>
      </c>
      <c r="W470" s="11" t="s">
        <v>16</v>
      </c>
      <c r="X470" s="11" t="s">
        <v>1549</v>
      </c>
      <c r="Y470">
        <v>766.37429999999995</v>
      </c>
      <c r="AF470">
        <v>766.37429999999995</v>
      </c>
      <c r="AG470" t="s">
        <v>1742</v>
      </c>
    </row>
    <row r="471" spans="1:33" x14ac:dyDescent="0.3">
      <c r="A471" t="s">
        <v>1454</v>
      </c>
      <c r="B471" s="2">
        <v>45614</v>
      </c>
      <c r="C471">
        <v>2198.16</v>
      </c>
      <c r="D471" t="s">
        <v>1809</v>
      </c>
      <c r="E471">
        <v>59</v>
      </c>
      <c r="F471" t="s">
        <v>9</v>
      </c>
      <c r="G471" t="s">
        <v>1546</v>
      </c>
      <c r="H471" t="s">
        <v>1767</v>
      </c>
      <c r="L471" s="2">
        <v>45614</v>
      </c>
      <c r="M471">
        <v>2198.16</v>
      </c>
      <c r="R471" t="s">
        <v>1809</v>
      </c>
      <c r="S471">
        <v>2198.16</v>
      </c>
      <c r="W471" s="12" t="s">
        <v>9</v>
      </c>
      <c r="X471" s="12" t="s">
        <v>1546</v>
      </c>
      <c r="Y471">
        <v>2198.16</v>
      </c>
      <c r="AF471">
        <v>2198.16</v>
      </c>
      <c r="AG471" t="s">
        <v>1767</v>
      </c>
    </row>
    <row r="472" spans="1:33" x14ac:dyDescent="0.3">
      <c r="A472" t="s">
        <v>273</v>
      </c>
      <c r="B472" s="2">
        <v>45912</v>
      </c>
      <c r="C472">
        <v>411.35200000000009</v>
      </c>
      <c r="D472" t="s">
        <v>1807</v>
      </c>
      <c r="E472">
        <v>37</v>
      </c>
      <c r="F472" t="s">
        <v>9</v>
      </c>
      <c r="G472" t="s">
        <v>1549</v>
      </c>
      <c r="H472" t="s">
        <v>1742</v>
      </c>
      <c r="L472" s="2">
        <v>45912</v>
      </c>
      <c r="M472">
        <v>411.35200000000009</v>
      </c>
      <c r="R472" t="s">
        <v>1807</v>
      </c>
      <c r="S472">
        <v>411.35200000000009</v>
      </c>
      <c r="W472" s="11" t="s">
        <v>9</v>
      </c>
      <c r="X472" s="11" t="s">
        <v>1549</v>
      </c>
      <c r="Y472">
        <v>411.35200000000009</v>
      </c>
      <c r="AF472">
        <v>411.35200000000009</v>
      </c>
      <c r="AG472" t="s">
        <v>1742</v>
      </c>
    </row>
    <row r="473" spans="1:33" x14ac:dyDescent="0.3">
      <c r="A473" t="s">
        <v>1230</v>
      </c>
      <c r="B473" s="2">
        <v>45688</v>
      </c>
      <c r="C473">
        <v>426.03600000000012</v>
      </c>
      <c r="D473" t="s">
        <v>1809</v>
      </c>
      <c r="E473">
        <v>57</v>
      </c>
      <c r="F473" t="s">
        <v>16</v>
      </c>
      <c r="G473" t="s">
        <v>1530</v>
      </c>
      <c r="H473" t="s">
        <v>1742</v>
      </c>
      <c r="L473" s="2">
        <v>45688</v>
      </c>
      <c r="M473">
        <v>426.03600000000012</v>
      </c>
      <c r="R473" t="s">
        <v>1809</v>
      </c>
      <c r="S473">
        <v>426.03600000000012</v>
      </c>
      <c r="W473" s="12" t="s">
        <v>16</v>
      </c>
      <c r="X473" s="12" t="s">
        <v>1530</v>
      </c>
      <c r="Y473">
        <v>426.03600000000012</v>
      </c>
      <c r="AF473">
        <v>426.03600000000012</v>
      </c>
      <c r="AG473" t="s">
        <v>1742</v>
      </c>
    </row>
    <row r="474" spans="1:33" x14ac:dyDescent="0.3">
      <c r="A474" t="s">
        <v>641</v>
      </c>
      <c r="B474" s="2">
        <v>45591</v>
      </c>
      <c r="C474">
        <v>1223.0694000000001</v>
      </c>
      <c r="D474" t="s">
        <v>1807</v>
      </c>
      <c r="E474">
        <v>54</v>
      </c>
      <c r="F474" t="s">
        <v>9</v>
      </c>
      <c r="G474" t="s">
        <v>1530</v>
      </c>
      <c r="H474" t="s">
        <v>1737</v>
      </c>
      <c r="L474" s="2">
        <v>45591</v>
      </c>
      <c r="M474">
        <v>1223.0694000000001</v>
      </c>
      <c r="R474" t="s">
        <v>1807</v>
      </c>
      <c r="S474">
        <v>1223.0694000000001</v>
      </c>
      <c r="W474" s="11" t="s">
        <v>9</v>
      </c>
      <c r="X474" s="11" t="s">
        <v>1530</v>
      </c>
      <c r="Y474">
        <v>1223.0694000000001</v>
      </c>
      <c r="AF474">
        <v>1223.0694000000001</v>
      </c>
      <c r="AG474" t="s">
        <v>1737</v>
      </c>
    </row>
    <row r="475" spans="1:33" x14ac:dyDescent="0.3">
      <c r="A475" t="s">
        <v>1187</v>
      </c>
      <c r="B475" s="2">
        <v>45864</v>
      </c>
      <c r="C475">
        <v>24.442599999999999</v>
      </c>
      <c r="D475" t="s">
        <v>1812</v>
      </c>
      <c r="E475">
        <v>60</v>
      </c>
      <c r="F475" t="s">
        <v>9</v>
      </c>
      <c r="G475" t="s">
        <v>1546</v>
      </c>
      <c r="H475" t="s">
        <v>1742</v>
      </c>
      <c r="L475" s="2">
        <v>45864</v>
      </c>
      <c r="M475">
        <v>24.442599999999999</v>
      </c>
      <c r="R475" t="s">
        <v>1812</v>
      </c>
      <c r="S475">
        <v>24.442599999999999</v>
      </c>
      <c r="W475" s="12" t="s">
        <v>9</v>
      </c>
      <c r="X475" s="12" t="s">
        <v>1546</v>
      </c>
      <c r="Y475">
        <v>24.442599999999999</v>
      </c>
      <c r="AF475">
        <v>24.442599999999999</v>
      </c>
      <c r="AG475" t="s">
        <v>1742</v>
      </c>
    </row>
    <row r="476" spans="1:33" x14ac:dyDescent="0.3">
      <c r="A476" t="s">
        <v>649</v>
      </c>
      <c r="B476" s="2">
        <v>45875</v>
      </c>
      <c r="C476">
        <v>1579.3443</v>
      </c>
      <c r="D476" t="s">
        <v>1812</v>
      </c>
      <c r="E476">
        <v>25</v>
      </c>
      <c r="F476" t="s">
        <v>16</v>
      </c>
      <c r="G476" t="s">
        <v>1530</v>
      </c>
      <c r="H476" t="s">
        <v>1742</v>
      </c>
      <c r="L476" s="2">
        <v>45875</v>
      </c>
      <c r="M476">
        <v>1579.3443</v>
      </c>
      <c r="R476" t="s">
        <v>1812</v>
      </c>
      <c r="S476">
        <v>1579.3443</v>
      </c>
      <c r="W476" s="11" t="s">
        <v>16</v>
      </c>
      <c r="X476" s="11" t="s">
        <v>1530</v>
      </c>
      <c r="Y476">
        <v>1579.3443</v>
      </c>
      <c r="AF476">
        <v>1579.3443</v>
      </c>
      <c r="AG476" t="s">
        <v>1742</v>
      </c>
    </row>
    <row r="477" spans="1:33" x14ac:dyDescent="0.3">
      <c r="A477" t="s">
        <v>549</v>
      </c>
      <c r="B477" s="2">
        <v>45797</v>
      </c>
      <c r="C477">
        <v>235.3212</v>
      </c>
      <c r="D477" t="s">
        <v>1809</v>
      </c>
      <c r="E477">
        <v>36</v>
      </c>
      <c r="F477" t="s">
        <v>16</v>
      </c>
      <c r="G477" t="s">
        <v>1549</v>
      </c>
      <c r="H477" t="s">
        <v>1742</v>
      </c>
      <c r="L477" s="2">
        <v>45797</v>
      </c>
      <c r="M477">
        <v>235.3212</v>
      </c>
      <c r="R477" t="s">
        <v>1809</v>
      </c>
      <c r="S477">
        <v>235.3212</v>
      </c>
      <c r="W477" s="12" t="s">
        <v>16</v>
      </c>
      <c r="X477" s="12" t="s">
        <v>1549</v>
      </c>
      <c r="Y477">
        <v>235.3212</v>
      </c>
      <c r="AF477">
        <v>235.3212</v>
      </c>
      <c r="AG477" t="s">
        <v>1742</v>
      </c>
    </row>
    <row r="478" spans="1:33" x14ac:dyDescent="0.3">
      <c r="A478" t="s">
        <v>407</v>
      </c>
      <c r="B478" s="2">
        <v>45364</v>
      </c>
      <c r="C478">
        <v>2859.9407999999999</v>
      </c>
      <c r="D478" t="s">
        <v>1812</v>
      </c>
      <c r="E478">
        <v>40</v>
      </c>
      <c r="F478" t="s">
        <v>9</v>
      </c>
      <c r="G478" t="s">
        <v>1530</v>
      </c>
      <c r="H478" t="s">
        <v>1742</v>
      </c>
      <c r="L478" s="2">
        <v>45364</v>
      </c>
      <c r="M478">
        <v>2859.9407999999999</v>
      </c>
      <c r="R478" t="s">
        <v>1812</v>
      </c>
      <c r="S478">
        <v>2859.9407999999999</v>
      </c>
      <c r="W478" s="11" t="s">
        <v>9</v>
      </c>
      <c r="X478" s="11" t="s">
        <v>1530</v>
      </c>
      <c r="Y478">
        <v>2859.9407999999999</v>
      </c>
      <c r="AF478">
        <v>2859.9407999999999</v>
      </c>
      <c r="AG478" t="s">
        <v>1742</v>
      </c>
    </row>
    <row r="479" spans="1:33" x14ac:dyDescent="0.3">
      <c r="A479" t="s">
        <v>1431</v>
      </c>
      <c r="B479" s="2">
        <v>45700</v>
      </c>
      <c r="C479">
        <v>645.08080000000007</v>
      </c>
      <c r="D479" t="s">
        <v>1807</v>
      </c>
      <c r="E479">
        <v>21</v>
      </c>
      <c r="F479" t="s">
        <v>16</v>
      </c>
      <c r="G479" t="s">
        <v>1530</v>
      </c>
      <c r="H479" t="s">
        <v>1742</v>
      </c>
      <c r="L479" s="2">
        <v>45700</v>
      </c>
      <c r="M479">
        <v>645.08080000000007</v>
      </c>
      <c r="R479" t="s">
        <v>1807</v>
      </c>
      <c r="S479">
        <v>645.08080000000007</v>
      </c>
      <c r="W479" s="12" t="s">
        <v>16</v>
      </c>
      <c r="X479" s="12" t="s">
        <v>1530</v>
      </c>
      <c r="Y479">
        <v>645.08080000000007</v>
      </c>
      <c r="AF479">
        <v>645.08080000000007</v>
      </c>
      <c r="AG479" t="s">
        <v>1742</v>
      </c>
    </row>
    <row r="480" spans="1:33" x14ac:dyDescent="0.3">
      <c r="A480" t="s">
        <v>960</v>
      </c>
      <c r="B480" s="2">
        <v>45924</v>
      </c>
      <c r="C480">
        <v>600.95479999999998</v>
      </c>
      <c r="D480" t="s">
        <v>1809</v>
      </c>
      <c r="E480">
        <v>60</v>
      </c>
      <c r="F480" t="s">
        <v>16</v>
      </c>
      <c r="G480" t="s">
        <v>1527</v>
      </c>
      <c r="H480" t="s">
        <v>1746</v>
      </c>
      <c r="L480" s="2">
        <v>45924</v>
      </c>
      <c r="M480">
        <v>600.95479999999998</v>
      </c>
      <c r="R480" t="s">
        <v>1809</v>
      </c>
      <c r="S480">
        <v>600.95479999999998</v>
      </c>
      <c r="W480" s="11" t="s">
        <v>16</v>
      </c>
      <c r="X480" s="11" t="s">
        <v>1527</v>
      </c>
      <c r="Y480">
        <v>600.95479999999998</v>
      </c>
      <c r="AF480">
        <v>600.95479999999998</v>
      </c>
      <c r="AG480" t="s">
        <v>1746</v>
      </c>
    </row>
    <row r="481" spans="1:33" x14ac:dyDescent="0.3">
      <c r="A481" t="s">
        <v>1374</v>
      </c>
      <c r="B481" s="2">
        <v>45574</v>
      </c>
      <c r="C481">
        <v>1733.9049</v>
      </c>
      <c r="D481" t="s">
        <v>1809</v>
      </c>
      <c r="E481">
        <v>59</v>
      </c>
      <c r="F481" t="s">
        <v>9</v>
      </c>
      <c r="G481" t="s">
        <v>1546</v>
      </c>
      <c r="H481" t="s">
        <v>1746</v>
      </c>
      <c r="L481" s="2">
        <v>45574</v>
      </c>
      <c r="M481">
        <v>1733.9049</v>
      </c>
      <c r="R481" t="s">
        <v>1809</v>
      </c>
      <c r="S481">
        <v>1733.9049</v>
      </c>
      <c r="W481" s="12" t="s">
        <v>9</v>
      </c>
      <c r="X481" s="12" t="s">
        <v>1546</v>
      </c>
      <c r="Y481">
        <v>1733.9049</v>
      </c>
      <c r="AF481">
        <v>1733.9049</v>
      </c>
      <c r="AG481" t="s">
        <v>1746</v>
      </c>
    </row>
    <row r="482" spans="1:33" x14ac:dyDescent="0.3">
      <c r="A482" t="s">
        <v>843</v>
      </c>
      <c r="B482" s="2">
        <v>45233</v>
      </c>
      <c r="C482">
        <v>633.14800000000002</v>
      </c>
      <c r="D482" t="s">
        <v>1812</v>
      </c>
      <c r="E482">
        <v>18</v>
      </c>
      <c r="F482" t="s">
        <v>9</v>
      </c>
      <c r="G482" t="s">
        <v>1546</v>
      </c>
      <c r="H482" t="s">
        <v>1742</v>
      </c>
      <c r="L482" s="2">
        <v>45233</v>
      </c>
      <c r="M482">
        <v>633.14800000000002</v>
      </c>
      <c r="R482" t="s">
        <v>1812</v>
      </c>
      <c r="S482">
        <v>633.14800000000002</v>
      </c>
      <c r="W482" s="11" t="s">
        <v>9</v>
      </c>
      <c r="X482" s="11" t="s">
        <v>1546</v>
      </c>
      <c r="Y482">
        <v>633.14800000000002</v>
      </c>
      <c r="AF482">
        <v>633.14800000000002</v>
      </c>
      <c r="AG482" t="s">
        <v>1742</v>
      </c>
    </row>
    <row r="483" spans="1:33" x14ac:dyDescent="0.3">
      <c r="A483" t="s">
        <v>599</v>
      </c>
      <c r="B483" s="2">
        <v>45745</v>
      </c>
      <c r="C483">
        <v>462.01499999999999</v>
      </c>
      <c r="D483" t="s">
        <v>1807</v>
      </c>
      <c r="E483">
        <v>46</v>
      </c>
      <c r="F483" t="s">
        <v>16</v>
      </c>
      <c r="G483" t="s">
        <v>1549</v>
      </c>
      <c r="H483" t="s">
        <v>1742</v>
      </c>
      <c r="L483" s="2">
        <v>45745</v>
      </c>
      <c r="M483">
        <v>462.01499999999999</v>
      </c>
      <c r="R483" t="s">
        <v>1807</v>
      </c>
      <c r="S483">
        <v>462.01499999999999</v>
      </c>
      <c r="W483" s="12" t="s">
        <v>16</v>
      </c>
      <c r="X483" s="12" t="s">
        <v>1549</v>
      </c>
      <c r="Y483">
        <v>462.01499999999999</v>
      </c>
      <c r="AF483">
        <v>462.01499999999999</v>
      </c>
      <c r="AG483" t="s">
        <v>1742</v>
      </c>
    </row>
    <row r="484" spans="1:33" x14ac:dyDescent="0.3">
      <c r="A484" t="s">
        <v>1288</v>
      </c>
      <c r="B484" s="2">
        <v>45851</v>
      </c>
      <c r="C484">
        <v>1286.56</v>
      </c>
      <c r="D484" t="s">
        <v>1807</v>
      </c>
      <c r="E484">
        <v>60</v>
      </c>
      <c r="F484" t="s">
        <v>9</v>
      </c>
      <c r="G484" t="s">
        <v>1527</v>
      </c>
      <c r="H484" t="s">
        <v>1767</v>
      </c>
      <c r="L484" s="2">
        <v>45851</v>
      </c>
      <c r="M484">
        <v>1286.56</v>
      </c>
      <c r="R484" t="s">
        <v>1807</v>
      </c>
      <c r="S484">
        <v>1286.56</v>
      </c>
      <c r="W484" s="11" t="s">
        <v>9</v>
      </c>
      <c r="X484" s="11" t="s">
        <v>1527</v>
      </c>
      <c r="Y484">
        <v>1286.56</v>
      </c>
      <c r="AF484">
        <v>1286.56</v>
      </c>
      <c r="AG484" t="s">
        <v>1767</v>
      </c>
    </row>
    <row r="485" spans="1:33" x14ac:dyDescent="0.3">
      <c r="A485" t="s">
        <v>172</v>
      </c>
      <c r="B485" s="2">
        <v>45308</v>
      </c>
      <c r="C485">
        <v>617.38400000000001</v>
      </c>
      <c r="D485" t="s">
        <v>1807</v>
      </c>
      <c r="E485">
        <v>54</v>
      </c>
      <c r="F485" t="s">
        <v>9</v>
      </c>
      <c r="G485" t="s">
        <v>1527</v>
      </c>
      <c r="H485" t="s">
        <v>1742</v>
      </c>
      <c r="L485" s="2">
        <v>45308</v>
      </c>
      <c r="M485">
        <v>617.38400000000001</v>
      </c>
      <c r="R485" t="s">
        <v>1807</v>
      </c>
      <c r="S485">
        <v>617.38400000000001</v>
      </c>
      <c r="W485" s="12" t="s">
        <v>9</v>
      </c>
      <c r="X485" s="12" t="s">
        <v>1527</v>
      </c>
      <c r="Y485">
        <v>617.38400000000001</v>
      </c>
      <c r="AF485">
        <v>617.38400000000001</v>
      </c>
      <c r="AG485" t="s">
        <v>1742</v>
      </c>
    </row>
    <row r="486" spans="1:33" x14ac:dyDescent="0.3">
      <c r="A486" t="s">
        <v>1459</v>
      </c>
      <c r="B486" s="2">
        <v>45639</v>
      </c>
      <c r="C486">
        <v>426.98430000000002</v>
      </c>
      <c r="D486" t="s">
        <v>1809</v>
      </c>
      <c r="E486">
        <v>33</v>
      </c>
      <c r="F486" t="s">
        <v>9</v>
      </c>
      <c r="G486" t="s">
        <v>1541</v>
      </c>
      <c r="H486" t="s">
        <v>1742</v>
      </c>
      <c r="L486" s="2">
        <v>45639</v>
      </c>
      <c r="M486">
        <v>426.98430000000002</v>
      </c>
      <c r="R486" t="s">
        <v>1809</v>
      </c>
      <c r="S486">
        <v>426.98430000000002</v>
      </c>
      <c r="W486" s="11" t="s">
        <v>9</v>
      </c>
      <c r="X486" s="11" t="s">
        <v>1541</v>
      </c>
      <c r="Y486">
        <v>426.98430000000002</v>
      </c>
      <c r="AF486">
        <v>426.98430000000002</v>
      </c>
      <c r="AG486" t="s">
        <v>1742</v>
      </c>
    </row>
    <row r="487" spans="1:33" x14ac:dyDescent="0.3">
      <c r="A487" t="s">
        <v>179</v>
      </c>
      <c r="B487" s="2">
        <v>45919</v>
      </c>
      <c r="C487">
        <v>678.93999999999994</v>
      </c>
      <c r="D487" t="s">
        <v>1807</v>
      </c>
      <c r="E487">
        <v>54</v>
      </c>
      <c r="F487" t="s">
        <v>9</v>
      </c>
      <c r="G487" t="s">
        <v>1546</v>
      </c>
      <c r="H487" t="s">
        <v>1746</v>
      </c>
      <c r="L487" s="2">
        <v>45919</v>
      </c>
      <c r="M487">
        <v>678.93999999999994</v>
      </c>
      <c r="R487" t="s">
        <v>1807</v>
      </c>
      <c r="S487">
        <v>678.93999999999994</v>
      </c>
      <c r="W487" s="12" t="s">
        <v>9</v>
      </c>
      <c r="X487" s="12" t="s">
        <v>1546</v>
      </c>
      <c r="Y487">
        <v>678.93999999999994</v>
      </c>
      <c r="AF487">
        <v>678.93999999999994</v>
      </c>
      <c r="AG487" t="s">
        <v>1746</v>
      </c>
    </row>
    <row r="488" spans="1:33" x14ac:dyDescent="0.3">
      <c r="A488" t="s">
        <v>1067</v>
      </c>
      <c r="B488" s="2">
        <v>45333</v>
      </c>
      <c r="C488">
        <v>387.59039999999999</v>
      </c>
      <c r="D488" t="s">
        <v>1812</v>
      </c>
      <c r="E488">
        <v>39</v>
      </c>
      <c r="F488" t="s">
        <v>9</v>
      </c>
      <c r="G488" t="s">
        <v>1549</v>
      </c>
      <c r="H488" t="s">
        <v>1742</v>
      </c>
      <c r="L488" s="2">
        <v>45333</v>
      </c>
      <c r="M488">
        <v>387.59039999999999</v>
      </c>
      <c r="R488" t="s">
        <v>1812</v>
      </c>
      <c r="S488">
        <v>387.59039999999999</v>
      </c>
      <c r="W488" s="11" t="s">
        <v>9</v>
      </c>
      <c r="X488" s="11" t="s">
        <v>1549</v>
      </c>
      <c r="Y488">
        <v>387.59039999999999</v>
      </c>
      <c r="AF488">
        <v>387.59039999999999</v>
      </c>
      <c r="AG488" t="s">
        <v>1742</v>
      </c>
    </row>
    <row r="489" spans="1:33" x14ac:dyDescent="0.3">
      <c r="A489" t="s">
        <v>1081</v>
      </c>
      <c r="B489" s="2">
        <v>45811</v>
      </c>
      <c r="C489">
        <v>1115.0047999999999</v>
      </c>
      <c r="D489" t="s">
        <v>1807</v>
      </c>
      <c r="E489">
        <v>31</v>
      </c>
      <c r="F489" t="s">
        <v>9</v>
      </c>
      <c r="G489" t="s">
        <v>1546</v>
      </c>
      <c r="H489" t="s">
        <v>1746</v>
      </c>
      <c r="L489" s="2">
        <v>45811</v>
      </c>
      <c r="M489">
        <v>1115.0047999999999</v>
      </c>
      <c r="R489" t="s">
        <v>1807</v>
      </c>
      <c r="S489">
        <v>1115.0047999999999</v>
      </c>
      <c r="W489" s="12" t="s">
        <v>9</v>
      </c>
      <c r="X489" s="12" t="s">
        <v>1546</v>
      </c>
      <c r="Y489">
        <v>1115.0047999999999</v>
      </c>
      <c r="AF489">
        <v>1115.0047999999999</v>
      </c>
      <c r="AG489" t="s">
        <v>1746</v>
      </c>
    </row>
    <row r="490" spans="1:33" x14ac:dyDescent="0.3">
      <c r="A490" t="s">
        <v>1247</v>
      </c>
      <c r="B490" s="2">
        <v>45726</v>
      </c>
      <c r="C490">
        <v>3100.2384000000002</v>
      </c>
      <c r="D490" t="s">
        <v>1807</v>
      </c>
      <c r="E490">
        <v>23</v>
      </c>
      <c r="F490" t="s">
        <v>16</v>
      </c>
      <c r="G490" t="s">
        <v>1549</v>
      </c>
      <c r="H490" t="s">
        <v>1742</v>
      </c>
      <c r="L490" s="2">
        <v>45726</v>
      </c>
      <c r="M490">
        <v>3100.2384000000002</v>
      </c>
      <c r="R490" t="s">
        <v>1807</v>
      </c>
      <c r="S490">
        <v>3100.2384000000002</v>
      </c>
      <c r="W490" s="11" t="s">
        <v>16</v>
      </c>
      <c r="X490" s="11" t="s">
        <v>1549</v>
      </c>
      <c r="Y490">
        <v>3100.2384000000002</v>
      </c>
      <c r="AF490">
        <v>3100.2384000000002</v>
      </c>
      <c r="AG490" t="s">
        <v>1742</v>
      </c>
    </row>
    <row r="491" spans="1:33" x14ac:dyDescent="0.3">
      <c r="A491" t="s">
        <v>868</v>
      </c>
      <c r="B491" s="2">
        <v>45644</v>
      </c>
      <c r="C491">
        <v>1429.2719999999999</v>
      </c>
      <c r="D491" t="s">
        <v>1807</v>
      </c>
      <c r="E491">
        <v>38</v>
      </c>
      <c r="F491" t="s">
        <v>9</v>
      </c>
      <c r="G491" t="s">
        <v>1530</v>
      </c>
      <c r="H491" t="s">
        <v>1737</v>
      </c>
      <c r="L491" s="2">
        <v>45644</v>
      </c>
      <c r="M491">
        <v>1429.2719999999999</v>
      </c>
      <c r="R491" t="s">
        <v>1807</v>
      </c>
      <c r="S491">
        <v>1429.2719999999999</v>
      </c>
      <c r="W491" s="12" t="s">
        <v>9</v>
      </c>
      <c r="X491" s="12" t="s">
        <v>1530</v>
      </c>
      <c r="Y491">
        <v>1429.2719999999999</v>
      </c>
      <c r="AF491">
        <v>1429.2719999999999</v>
      </c>
      <c r="AG491" t="s">
        <v>1737</v>
      </c>
    </row>
    <row r="492" spans="1:33" x14ac:dyDescent="0.3">
      <c r="A492" t="s">
        <v>1285</v>
      </c>
      <c r="B492" s="2">
        <v>45371</v>
      </c>
      <c r="C492">
        <v>165.31710000000001</v>
      </c>
      <c r="D492" t="s">
        <v>1807</v>
      </c>
      <c r="E492">
        <v>33</v>
      </c>
      <c r="F492" t="s">
        <v>9</v>
      </c>
      <c r="G492" t="s">
        <v>1541</v>
      </c>
      <c r="H492" t="s">
        <v>1742</v>
      </c>
      <c r="L492" s="2">
        <v>45371</v>
      </c>
      <c r="M492">
        <v>165.31710000000001</v>
      </c>
      <c r="R492" t="s">
        <v>1807</v>
      </c>
      <c r="S492">
        <v>165.31710000000001</v>
      </c>
      <c r="W492" s="11" t="s">
        <v>9</v>
      </c>
      <c r="X492" s="11" t="s">
        <v>1541</v>
      </c>
      <c r="Y492">
        <v>165.31710000000001</v>
      </c>
      <c r="AF492">
        <v>165.31710000000001</v>
      </c>
      <c r="AG492" t="s">
        <v>1742</v>
      </c>
    </row>
    <row r="493" spans="1:33" x14ac:dyDescent="0.3">
      <c r="A493" t="s">
        <v>717</v>
      </c>
      <c r="B493" s="2">
        <v>45462</v>
      </c>
      <c r="C493">
        <v>1398.2841000000001</v>
      </c>
      <c r="D493" t="s">
        <v>1807</v>
      </c>
      <c r="E493">
        <v>29</v>
      </c>
      <c r="F493" t="s">
        <v>9</v>
      </c>
      <c r="G493" t="s">
        <v>1549</v>
      </c>
      <c r="H493" t="s">
        <v>1746</v>
      </c>
      <c r="L493" s="2">
        <v>45462</v>
      </c>
      <c r="M493">
        <v>1398.2841000000001</v>
      </c>
      <c r="R493" t="s">
        <v>1807</v>
      </c>
      <c r="S493">
        <v>1398.2841000000001</v>
      </c>
      <c r="W493" s="12" t="s">
        <v>9</v>
      </c>
      <c r="X493" s="12" t="s">
        <v>1549</v>
      </c>
      <c r="Y493">
        <v>1398.2841000000001</v>
      </c>
      <c r="AF493">
        <v>1398.2841000000001</v>
      </c>
      <c r="AG493" t="s">
        <v>1746</v>
      </c>
    </row>
    <row r="494" spans="1:33" x14ac:dyDescent="0.3">
      <c r="A494" t="s">
        <v>519</v>
      </c>
      <c r="B494" s="2">
        <v>45632</v>
      </c>
      <c r="C494">
        <v>1357.0372</v>
      </c>
      <c r="D494" t="s">
        <v>1812</v>
      </c>
      <c r="E494">
        <v>59</v>
      </c>
      <c r="F494" t="s">
        <v>9</v>
      </c>
      <c r="G494" t="s">
        <v>1541</v>
      </c>
      <c r="H494" t="s">
        <v>1746</v>
      </c>
      <c r="L494" s="2">
        <v>45632</v>
      </c>
      <c r="M494">
        <v>1357.0372</v>
      </c>
      <c r="R494" t="s">
        <v>1812</v>
      </c>
      <c r="S494">
        <v>1357.0372</v>
      </c>
      <c r="W494" s="11" t="s">
        <v>9</v>
      </c>
      <c r="X494" s="11" t="s">
        <v>1541</v>
      </c>
      <c r="Y494">
        <v>1357.0372</v>
      </c>
      <c r="AF494">
        <v>1357.0372</v>
      </c>
      <c r="AG494" t="s">
        <v>1746</v>
      </c>
    </row>
    <row r="495" spans="1:33" x14ac:dyDescent="0.3">
      <c r="A495" t="s">
        <v>1380</v>
      </c>
      <c r="B495" s="2">
        <v>45863</v>
      </c>
      <c r="C495">
        <v>712.50919999999996</v>
      </c>
      <c r="D495" t="s">
        <v>1809</v>
      </c>
      <c r="E495">
        <v>60</v>
      </c>
      <c r="F495" t="s">
        <v>16</v>
      </c>
      <c r="G495" t="s">
        <v>1549</v>
      </c>
      <c r="H495" t="s">
        <v>1737</v>
      </c>
      <c r="L495" s="2">
        <v>45863</v>
      </c>
      <c r="M495">
        <v>712.50919999999996</v>
      </c>
      <c r="R495" t="s">
        <v>1809</v>
      </c>
      <c r="S495">
        <v>712.50919999999996</v>
      </c>
      <c r="W495" s="12" t="s">
        <v>16</v>
      </c>
      <c r="X495" s="12" t="s">
        <v>1549</v>
      </c>
      <c r="Y495">
        <v>712.50919999999996</v>
      </c>
      <c r="AF495">
        <v>712.50919999999996</v>
      </c>
      <c r="AG495" t="s">
        <v>1737</v>
      </c>
    </row>
    <row r="496" spans="1:33" x14ac:dyDescent="0.3">
      <c r="A496" t="s">
        <v>765</v>
      </c>
      <c r="B496" s="2">
        <v>45501</v>
      </c>
      <c r="C496">
        <v>797.93790000000001</v>
      </c>
      <c r="D496" t="s">
        <v>1812</v>
      </c>
      <c r="E496">
        <v>31</v>
      </c>
      <c r="F496" t="s">
        <v>9</v>
      </c>
      <c r="G496" t="s">
        <v>1530</v>
      </c>
      <c r="H496" t="s">
        <v>1737</v>
      </c>
      <c r="L496" s="2">
        <v>45501</v>
      </c>
      <c r="M496">
        <v>797.93790000000001</v>
      </c>
      <c r="R496" t="s">
        <v>1812</v>
      </c>
      <c r="S496">
        <v>797.93790000000001</v>
      </c>
      <c r="W496" s="11" t="s">
        <v>9</v>
      </c>
      <c r="X496" s="11" t="s">
        <v>1530</v>
      </c>
      <c r="Y496">
        <v>797.93790000000001</v>
      </c>
      <c r="AF496">
        <v>797.93790000000001</v>
      </c>
      <c r="AG496" t="s">
        <v>1737</v>
      </c>
    </row>
    <row r="497" spans="1:33" x14ac:dyDescent="0.3">
      <c r="A497" t="s">
        <v>3945</v>
      </c>
      <c r="B497" s="2">
        <v>45568</v>
      </c>
      <c r="C497">
        <v>569.04399999999998</v>
      </c>
      <c r="D497" t="s">
        <v>1809</v>
      </c>
      <c r="E497">
        <v>60</v>
      </c>
      <c r="F497" t="s">
        <v>9</v>
      </c>
      <c r="G497" t="s">
        <v>1527</v>
      </c>
      <c r="H497" t="s">
        <v>1742</v>
      </c>
      <c r="L497" s="2">
        <v>45568</v>
      </c>
      <c r="M497">
        <v>569.04399999999998</v>
      </c>
      <c r="R497" t="s">
        <v>1809</v>
      </c>
      <c r="S497">
        <v>569.04399999999998</v>
      </c>
      <c r="W497" s="12" t="s">
        <v>9</v>
      </c>
      <c r="X497" s="12" t="s">
        <v>1527</v>
      </c>
      <c r="Y497">
        <v>569.04399999999998</v>
      </c>
      <c r="AF497">
        <v>569.04399999999998</v>
      </c>
      <c r="AG497" t="s">
        <v>1742</v>
      </c>
    </row>
    <row r="498" spans="1:33" x14ac:dyDescent="0.3">
      <c r="A498" t="s">
        <v>741</v>
      </c>
      <c r="B498" s="2">
        <v>45238</v>
      </c>
      <c r="C498">
        <v>470.61419999999998</v>
      </c>
      <c r="D498" t="s">
        <v>1812</v>
      </c>
      <c r="E498">
        <v>59</v>
      </c>
      <c r="F498" t="s">
        <v>9</v>
      </c>
      <c r="G498" t="s">
        <v>1549</v>
      </c>
      <c r="H498" t="s">
        <v>1737</v>
      </c>
      <c r="L498" s="2">
        <v>45238</v>
      </c>
      <c r="M498">
        <v>470.61419999999998</v>
      </c>
      <c r="R498" t="s">
        <v>1812</v>
      </c>
      <c r="S498">
        <v>470.61419999999998</v>
      </c>
      <c r="W498" s="11" t="s">
        <v>9</v>
      </c>
      <c r="X498" s="11" t="s">
        <v>1549</v>
      </c>
      <c r="Y498">
        <v>470.61419999999998</v>
      </c>
      <c r="AF498">
        <v>470.61419999999998</v>
      </c>
      <c r="AG498" t="s">
        <v>1737</v>
      </c>
    </row>
    <row r="499" spans="1:33" x14ac:dyDescent="0.3">
      <c r="A499" t="s">
        <v>623</v>
      </c>
      <c r="B499" s="2">
        <v>45754</v>
      </c>
      <c r="C499">
        <v>323.67660000000001</v>
      </c>
      <c r="D499" t="s">
        <v>1809</v>
      </c>
      <c r="E499">
        <v>26</v>
      </c>
      <c r="F499" t="s">
        <v>9</v>
      </c>
      <c r="G499" t="s">
        <v>1527</v>
      </c>
      <c r="H499" t="s">
        <v>1742</v>
      </c>
      <c r="L499" s="2">
        <v>45754</v>
      </c>
      <c r="M499">
        <v>323.67660000000001</v>
      </c>
      <c r="R499" t="s">
        <v>1809</v>
      </c>
      <c r="S499">
        <v>323.67660000000001</v>
      </c>
      <c r="W499" s="12" t="s">
        <v>9</v>
      </c>
      <c r="X499" s="12" t="s">
        <v>1527</v>
      </c>
      <c r="Y499">
        <v>323.67660000000001</v>
      </c>
      <c r="AF499">
        <v>323.67660000000001</v>
      </c>
      <c r="AG499" t="s">
        <v>1742</v>
      </c>
    </row>
    <row r="500" spans="1:33" x14ac:dyDescent="0.3">
      <c r="A500" t="s">
        <v>489</v>
      </c>
      <c r="B500" s="2">
        <v>45280</v>
      </c>
      <c r="C500">
        <v>933.61599999999999</v>
      </c>
      <c r="D500" t="s">
        <v>1812</v>
      </c>
      <c r="E500">
        <v>49</v>
      </c>
      <c r="F500" t="s">
        <v>16</v>
      </c>
      <c r="G500" t="s">
        <v>1530</v>
      </c>
      <c r="H500" t="s">
        <v>1742</v>
      </c>
      <c r="L500" s="2">
        <v>45280</v>
      </c>
      <c r="M500">
        <v>933.61599999999999</v>
      </c>
      <c r="R500" t="s">
        <v>1812</v>
      </c>
      <c r="S500">
        <v>933.61599999999999</v>
      </c>
      <c r="W500" s="11" t="s">
        <v>16</v>
      </c>
      <c r="X500" s="11" t="s">
        <v>1530</v>
      </c>
      <c r="Y500">
        <v>933.61599999999999</v>
      </c>
      <c r="AF500">
        <v>933.61599999999999</v>
      </c>
      <c r="AG500" t="s">
        <v>1742</v>
      </c>
    </row>
    <row r="501" spans="1:33" x14ac:dyDescent="0.3">
      <c r="A501" t="s">
        <v>56</v>
      </c>
      <c r="B501" s="2">
        <v>45911</v>
      </c>
      <c r="C501">
        <v>560.37950000000001</v>
      </c>
      <c r="D501" t="s">
        <v>1809</v>
      </c>
      <c r="E501">
        <v>55</v>
      </c>
      <c r="F501" t="s">
        <v>16</v>
      </c>
      <c r="G501" t="s">
        <v>1549</v>
      </c>
      <c r="H501" t="s">
        <v>1742</v>
      </c>
      <c r="L501" s="2">
        <v>45911</v>
      </c>
      <c r="M501">
        <v>560.37950000000001</v>
      </c>
      <c r="R501" t="s">
        <v>1809</v>
      </c>
      <c r="S501">
        <v>560.37950000000001</v>
      </c>
      <c r="W501" s="12" t="s">
        <v>16</v>
      </c>
      <c r="X501" s="12" t="s">
        <v>1549</v>
      </c>
      <c r="Y501">
        <v>560.37950000000001</v>
      </c>
      <c r="AF501">
        <v>560.37950000000001</v>
      </c>
      <c r="AG501" t="s">
        <v>1742</v>
      </c>
    </row>
    <row r="502" spans="1:33" x14ac:dyDescent="0.3">
      <c r="A502" t="s">
        <v>1362</v>
      </c>
      <c r="B502" s="2">
        <v>45627</v>
      </c>
      <c r="C502">
        <v>341.31200000000001</v>
      </c>
      <c r="D502" t="s">
        <v>1812</v>
      </c>
      <c r="E502">
        <v>35</v>
      </c>
      <c r="F502" t="s">
        <v>9</v>
      </c>
      <c r="G502" t="s">
        <v>1549</v>
      </c>
      <c r="H502" t="s">
        <v>1746</v>
      </c>
      <c r="L502" s="2">
        <v>45627</v>
      </c>
      <c r="M502">
        <v>341.31200000000001</v>
      </c>
      <c r="R502" t="s">
        <v>1812</v>
      </c>
      <c r="S502">
        <v>341.31200000000001</v>
      </c>
      <c r="W502" s="11" t="s">
        <v>9</v>
      </c>
      <c r="X502" s="11" t="s">
        <v>1549</v>
      </c>
      <c r="Y502">
        <v>341.31200000000001</v>
      </c>
      <c r="AF502">
        <v>341.31200000000001</v>
      </c>
      <c r="AG502" t="s">
        <v>1746</v>
      </c>
    </row>
    <row r="503" spans="1:33" x14ac:dyDescent="0.3">
      <c r="A503" t="s">
        <v>540</v>
      </c>
      <c r="B503" s="2">
        <v>45617</v>
      </c>
      <c r="C503">
        <v>573.07000000000005</v>
      </c>
      <c r="D503" t="s">
        <v>1809</v>
      </c>
      <c r="E503">
        <v>39</v>
      </c>
      <c r="F503" t="s">
        <v>16</v>
      </c>
      <c r="G503" t="s">
        <v>1527</v>
      </c>
      <c r="H503" t="s">
        <v>1742</v>
      </c>
      <c r="L503" s="2">
        <v>45617</v>
      </c>
      <c r="M503">
        <v>573.07000000000005</v>
      </c>
      <c r="R503" t="s">
        <v>1809</v>
      </c>
      <c r="S503">
        <v>573.07000000000005</v>
      </c>
      <c r="W503" s="12" t="s">
        <v>16</v>
      </c>
      <c r="X503" s="12" t="s">
        <v>1527</v>
      </c>
      <c r="Y503">
        <v>573.07000000000005</v>
      </c>
      <c r="AF503">
        <v>573.07000000000005</v>
      </c>
      <c r="AG503" t="s">
        <v>1742</v>
      </c>
    </row>
    <row r="504" spans="1:33" x14ac:dyDescent="0.3">
      <c r="A504" t="s">
        <v>1485</v>
      </c>
      <c r="B504" s="2">
        <v>45899</v>
      </c>
      <c r="C504">
        <v>216.69820000000001</v>
      </c>
      <c r="D504" t="s">
        <v>1812</v>
      </c>
      <c r="E504">
        <v>42</v>
      </c>
      <c r="F504" t="s">
        <v>16</v>
      </c>
      <c r="G504" t="s">
        <v>1549</v>
      </c>
      <c r="H504" t="s">
        <v>1746</v>
      </c>
      <c r="L504" s="2">
        <v>45899</v>
      </c>
      <c r="M504">
        <v>216.69820000000001</v>
      </c>
      <c r="R504" t="s">
        <v>1812</v>
      </c>
      <c r="S504">
        <v>216.69820000000001</v>
      </c>
      <c r="W504" s="11" t="s">
        <v>16</v>
      </c>
      <c r="X504" s="11" t="s">
        <v>1549</v>
      </c>
      <c r="Y504">
        <v>216.69820000000001</v>
      </c>
      <c r="AF504">
        <v>216.69820000000001</v>
      </c>
      <c r="AG504" t="s">
        <v>1746</v>
      </c>
    </row>
    <row r="505" spans="1:33" x14ac:dyDescent="0.3">
      <c r="A505" t="s">
        <v>41</v>
      </c>
      <c r="B505" s="2">
        <v>45889</v>
      </c>
      <c r="C505">
        <v>618.41340000000002</v>
      </c>
      <c r="D505" t="s">
        <v>1812</v>
      </c>
      <c r="E505">
        <v>53</v>
      </c>
      <c r="F505" t="s">
        <v>16</v>
      </c>
      <c r="G505" t="s">
        <v>1549</v>
      </c>
      <c r="H505" t="s">
        <v>1742</v>
      </c>
      <c r="L505" s="2">
        <v>45889</v>
      </c>
      <c r="M505">
        <v>618.41340000000002</v>
      </c>
      <c r="R505" t="s">
        <v>1812</v>
      </c>
      <c r="S505">
        <v>618.41340000000002</v>
      </c>
      <c r="W505" s="12" t="s">
        <v>16</v>
      </c>
      <c r="X505" s="12" t="s">
        <v>1549</v>
      </c>
      <c r="Y505">
        <v>618.41340000000002</v>
      </c>
      <c r="AF505">
        <v>618.41340000000002</v>
      </c>
      <c r="AG505" t="s">
        <v>1742</v>
      </c>
    </row>
    <row r="506" spans="1:33" x14ac:dyDescent="0.3">
      <c r="A506" t="s">
        <v>552</v>
      </c>
      <c r="B506" s="2">
        <v>45943</v>
      </c>
      <c r="C506">
        <v>1973.6496</v>
      </c>
      <c r="D506" t="s">
        <v>1807</v>
      </c>
      <c r="E506">
        <v>36</v>
      </c>
      <c r="F506" t="s">
        <v>16</v>
      </c>
      <c r="G506" t="s">
        <v>1541</v>
      </c>
      <c r="H506" t="s">
        <v>1746</v>
      </c>
      <c r="L506" s="2">
        <v>45943</v>
      </c>
      <c r="M506">
        <v>1973.6496</v>
      </c>
      <c r="R506" t="s">
        <v>1807</v>
      </c>
      <c r="S506">
        <v>1973.6496</v>
      </c>
      <c r="W506" s="11" t="s">
        <v>16</v>
      </c>
      <c r="X506" s="11" t="s">
        <v>1541</v>
      </c>
      <c r="Y506">
        <v>1973.6496</v>
      </c>
      <c r="AF506">
        <v>1973.6496</v>
      </c>
      <c r="AG506" t="s">
        <v>1746</v>
      </c>
    </row>
    <row r="507" spans="1:33" x14ac:dyDescent="0.3">
      <c r="A507" t="s">
        <v>540</v>
      </c>
      <c r="B507" s="2">
        <v>45306</v>
      </c>
      <c r="C507">
        <v>220.16800000000001</v>
      </c>
      <c r="D507" t="s">
        <v>1807</v>
      </c>
      <c r="E507">
        <v>39</v>
      </c>
      <c r="F507" t="s">
        <v>16</v>
      </c>
      <c r="G507" t="s">
        <v>1549</v>
      </c>
      <c r="H507" t="s">
        <v>1742</v>
      </c>
      <c r="L507" s="2">
        <v>45306</v>
      </c>
      <c r="M507">
        <v>220.16800000000001</v>
      </c>
      <c r="R507" t="s">
        <v>1807</v>
      </c>
      <c r="S507">
        <v>220.16800000000001</v>
      </c>
      <c r="W507" s="12" t="s">
        <v>16</v>
      </c>
      <c r="X507" s="12" t="s">
        <v>1549</v>
      </c>
      <c r="Y507">
        <v>220.16800000000001</v>
      </c>
      <c r="AF507">
        <v>220.16800000000001</v>
      </c>
      <c r="AG507" t="s">
        <v>1742</v>
      </c>
    </row>
    <row r="508" spans="1:33" x14ac:dyDescent="0.3">
      <c r="A508" t="s">
        <v>164</v>
      </c>
      <c r="B508" s="2">
        <v>45772</v>
      </c>
      <c r="C508">
        <v>54.406799999999997</v>
      </c>
      <c r="D508" t="s">
        <v>1812</v>
      </c>
      <c r="E508">
        <v>45</v>
      </c>
      <c r="F508" t="s">
        <v>9</v>
      </c>
      <c r="G508" t="s">
        <v>1541</v>
      </c>
      <c r="H508" t="s">
        <v>1746</v>
      </c>
      <c r="L508" s="2">
        <v>45772</v>
      </c>
      <c r="M508">
        <v>54.406799999999997</v>
      </c>
      <c r="R508" t="s">
        <v>1812</v>
      </c>
      <c r="S508">
        <v>54.406799999999997</v>
      </c>
      <c r="W508" s="11" t="s">
        <v>9</v>
      </c>
      <c r="X508" s="11" t="s">
        <v>1541</v>
      </c>
      <c r="Y508">
        <v>54.406799999999997</v>
      </c>
      <c r="AF508">
        <v>54.406799999999997</v>
      </c>
      <c r="AG508" t="s">
        <v>1746</v>
      </c>
    </row>
    <row r="509" spans="1:33" x14ac:dyDescent="0.3">
      <c r="A509" t="s">
        <v>685</v>
      </c>
      <c r="B509" s="2">
        <v>45346</v>
      </c>
      <c r="C509">
        <v>1034.6335999999999</v>
      </c>
      <c r="D509" t="s">
        <v>1807</v>
      </c>
      <c r="E509">
        <v>42</v>
      </c>
      <c r="F509" t="s">
        <v>16</v>
      </c>
      <c r="G509" t="s">
        <v>1546</v>
      </c>
      <c r="H509" t="s">
        <v>1746</v>
      </c>
      <c r="L509" s="2">
        <v>45346</v>
      </c>
      <c r="M509">
        <v>1034.6335999999999</v>
      </c>
      <c r="R509" t="s">
        <v>1807</v>
      </c>
      <c r="S509">
        <v>1034.6335999999999</v>
      </c>
      <c r="W509" s="12" t="s">
        <v>16</v>
      </c>
      <c r="X509" s="12" t="s">
        <v>1546</v>
      </c>
      <c r="Y509">
        <v>1034.6335999999999</v>
      </c>
      <c r="AF509">
        <v>1034.6335999999999</v>
      </c>
      <c r="AG509" t="s">
        <v>1746</v>
      </c>
    </row>
    <row r="510" spans="1:33" x14ac:dyDescent="0.3">
      <c r="A510" t="s">
        <v>1139</v>
      </c>
      <c r="B510" s="2">
        <v>45656</v>
      </c>
      <c r="C510">
        <v>139.86799999999999</v>
      </c>
      <c r="D510" t="s">
        <v>1809</v>
      </c>
      <c r="E510">
        <v>20</v>
      </c>
      <c r="F510" t="s">
        <v>16</v>
      </c>
      <c r="G510" t="s">
        <v>1541</v>
      </c>
      <c r="H510" t="s">
        <v>1746</v>
      </c>
      <c r="L510" s="2">
        <v>45656</v>
      </c>
      <c r="M510">
        <v>139.86799999999999</v>
      </c>
      <c r="R510" t="s">
        <v>1809</v>
      </c>
      <c r="S510">
        <v>139.86799999999999</v>
      </c>
      <c r="W510" s="11" t="s">
        <v>16</v>
      </c>
      <c r="X510" s="11" t="s">
        <v>1541</v>
      </c>
      <c r="Y510">
        <v>139.86799999999999</v>
      </c>
      <c r="AF510">
        <v>139.86799999999999</v>
      </c>
      <c r="AG510" t="s">
        <v>1746</v>
      </c>
    </row>
    <row r="511" spans="1:33" x14ac:dyDescent="0.3">
      <c r="A511" t="s">
        <v>972</v>
      </c>
      <c r="B511" s="2">
        <v>45762</v>
      </c>
      <c r="C511">
        <v>962.47320000000002</v>
      </c>
      <c r="D511" t="s">
        <v>1807</v>
      </c>
      <c r="E511">
        <v>47</v>
      </c>
      <c r="F511" t="s">
        <v>16</v>
      </c>
      <c r="G511" t="s">
        <v>1527</v>
      </c>
      <c r="H511" t="s">
        <v>1742</v>
      </c>
      <c r="L511" s="2">
        <v>45762</v>
      </c>
      <c r="M511">
        <v>962.47320000000002</v>
      </c>
      <c r="R511" t="s">
        <v>1807</v>
      </c>
      <c r="S511">
        <v>962.47320000000002</v>
      </c>
      <c r="W511" s="12" t="s">
        <v>16</v>
      </c>
      <c r="X511" s="12" t="s">
        <v>1527</v>
      </c>
      <c r="Y511">
        <v>962.47320000000002</v>
      </c>
      <c r="AF511">
        <v>962.47320000000002</v>
      </c>
      <c r="AG511" t="s">
        <v>1742</v>
      </c>
    </row>
    <row r="512" spans="1:33" x14ac:dyDescent="0.3">
      <c r="A512" t="s">
        <v>555</v>
      </c>
      <c r="B512" s="2">
        <v>45580</v>
      </c>
      <c r="C512">
        <v>279.00959999999998</v>
      </c>
      <c r="D512" t="s">
        <v>1812</v>
      </c>
      <c r="E512">
        <v>64</v>
      </c>
      <c r="F512" t="s">
        <v>9</v>
      </c>
      <c r="G512" t="s">
        <v>1549</v>
      </c>
      <c r="H512" t="s">
        <v>1742</v>
      </c>
      <c r="L512" s="2">
        <v>45580</v>
      </c>
      <c r="M512">
        <v>279.00959999999998</v>
      </c>
      <c r="R512" t="s">
        <v>1812</v>
      </c>
      <c r="S512">
        <v>279.00959999999998</v>
      </c>
      <c r="W512" s="11" t="s">
        <v>9</v>
      </c>
      <c r="X512" s="11" t="s">
        <v>1549</v>
      </c>
      <c r="Y512">
        <v>279.00959999999998</v>
      </c>
      <c r="AF512">
        <v>279.00959999999998</v>
      </c>
      <c r="AG512" t="s">
        <v>1742</v>
      </c>
    </row>
    <row r="513" spans="1:33" x14ac:dyDescent="0.3">
      <c r="A513" t="s">
        <v>1093</v>
      </c>
      <c r="B513" s="2">
        <v>45676</v>
      </c>
      <c r="C513">
        <v>701.0544000000001</v>
      </c>
      <c r="D513" t="s">
        <v>1807</v>
      </c>
      <c r="E513">
        <v>56</v>
      </c>
      <c r="F513" t="s">
        <v>16</v>
      </c>
      <c r="G513" t="s">
        <v>1546</v>
      </c>
      <c r="H513" t="s">
        <v>1746</v>
      </c>
      <c r="L513" s="2">
        <v>45676</v>
      </c>
      <c r="M513">
        <v>701.0544000000001</v>
      </c>
      <c r="R513" t="s">
        <v>1807</v>
      </c>
      <c r="S513">
        <v>701.0544000000001</v>
      </c>
      <c r="W513" s="12" t="s">
        <v>16</v>
      </c>
      <c r="X513" s="12" t="s">
        <v>1546</v>
      </c>
      <c r="Y513">
        <v>701.0544000000001</v>
      </c>
      <c r="AF513">
        <v>701.0544000000001</v>
      </c>
      <c r="AG513" t="s">
        <v>1746</v>
      </c>
    </row>
    <row r="514" spans="1:33" x14ac:dyDescent="0.3">
      <c r="A514" t="s">
        <v>934</v>
      </c>
      <c r="B514" s="2">
        <v>45495</v>
      </c>
      <c r="C514">
        <v>449.65469999999999</v>
      </c>
      <c r="D514" t="s">
        <v>1807</v>
      </c>
      <c r="E514">
        <v>48</v>
      </c>
      <c r="F514" t="s">
        <v>16</v>
      </c>
      <c r="G514" t="s">
        <v>1549</v>
      </c>
      <c r="H514" t="s">
        <v>1742</v>
      </c>
      <c r="L514" s="2">
        <v>45495</v>
      </c>
      <c r="M514">
        <v>449.65469999999999</v>
      </c>
      <c r="R514" t="s">
        <v>1807</v>
      </c>
      <c r="S514">
        <v>449.65469999999999</v>
      </c>
      <c r="W514" s="11" t="s">
        <v>16</v>
      </c>
      <c r="X514" s="11" t="s">
        <v>1549</v>
      </c>
      <c r="Y514">
        <v>449.65469999999999</v>
      </c>
      <c r="AF514">
        <v>449.65469999999999</v>
      </c>
      <c r="AG514" t="s">
        <v>1742</v>
      </c>
    </row>
    <row r="515" spans="1:33" x14ac:dyDescent="0.3">
      <c r="A515" t="s">
        <v>1130</v>
      </c>
      <c r="B515" s="2">
        <v>45735</v>
      </c>
      <c r="C515">
        <v>691.02719999999999</v>
      </c>
      <c r="D515" t="s">
        <v>1812</v>
      </c>
      <c r="E515">
        <v>40</v>
      </c>
      <c r="F515" t="s">
        <v>16</v>
      </c>
      <c r="G515" t="s">
        <v>1549</v>
      </c>
      <c r="H515" t="s">
        <v>1742</v>
      </c>
      <c r="L515" s="2">
        <v>45735</v>
      </c>
      <c r="M515">
        <v>691.02719999999999</v>
      </c>
      <c r="R515" t="s">
        <v>1812</v>
      </c>
      <c r="S515">
        <v>691.02719999999999</v>
      </c>
      <c r="W515" s="12" t="s">
        <v>16</v>
      </c>
      <c r="X515" s="12" t="s">
        <v>1549</v>
      </c>
      <c r="Y515">
        <v>691.02719999999999</v>
      </c>
      <c r="AF515">
        <v>691.02719999999999</v>
      </c>
      <c r="AG515" t="s">
        <v>1742</v>
      </c>
    </row>
    <row r="516" spans="1:33" x14ac:dyDescent="0.3">
      <c r="A516" t="s">
        <v>440</v>
      </c>
      <c r="B516" s="2">
        <v>45312</v>
      </c>
      <c r="C516">
        <v>620.94600000000003</v>
      </c>
      <c r="D516" t="s">
        <v>1809</v>
      </c>
      <c r="E516">
        <v>29</v>
      </c>
      <c r="F516" t="s">
        <v>9</v>
      </c>
      <c r="G516" t="s">
        <v>1546</v>
      </c>
      <c r="H516" t="s">
        <v>1746</v>
      </c>
      <c r="L516" s="2">
        <v>45312</v>
      </c>
      <c r="M516">
        <v>620.94600000000003</v>
      </c>
      <c r="R516" t="s">
        <v>1809</v>
      </c>
      <c r="S516">
        <v>620.94600000000003</v>
      </c>
      <c r="W516" s="11" t="s">
        <v>9</v>
      </c>
      <c r="X516" s="11" t="s">
        <v>1546</v>
      </c>
      <c r="Y516">
        <v>620.94600000000003</v>
      </c>
      <c r="AF516">
        <v>620.94600000000003</v>
      </c>
      <c r="AG516" t="s">
        <v>1746</v>
      </c>
    </row>
    <row r="517" spans="1:33" x14ac:dyDescent="0.3">
      <c r="A517" t="s">
        <v>531</v>
      </c>
      <c r="B517" s="2">
        <v>45286</v>
      </c>
      <c r="C517">
        <v>132.35820000000001</v>
      </c>
      <c r="D517" t="s">
        <v>1807</v>
      </c>
      <c r="E517">
        <v>18</v>
      </c>
      <c r="F517" t="s">
        <v>16</v>
      </c>
      <c r="G517" t="s">
        <v>1541</v>
      </c>
      <c r="H517" t="s">
        <v>1742</v>
      </c>
      <c r="L517" s="2">
        <v>45286</v>
      </c>
      <c r="M517">
        <v>132.35820000000001</v>
      </c>
      <c r="R517" t="s">
        <v>1807</v>
      </c>
      <c r="S517">
        <v>132.35820000000001</v>
      </c>
      <c r="W517" s="12" t="s">
        <v>16</v>
      </c>
      <c r="X517" s="12" t="s">
        <v>1541</v>
      </c>
      <c r="Y517">
        <v>132.35820000000001</v>
      </c>
      <c r="AF517">
        <v>132.35820000000001</v>
      </c>
      <c r="AG517" t="s">
        <v>1742</v>
      </c>
    </row>
    <row r="518" spans="1:33" x14ac:dyDescent="0.3">
      <c r="A518" t="s">
        <v>574</v>
      </c>
      <c r="B518" s="2">
        <v>45372</v>
      </c>
      <c r="C518">
        <v>133.79560000000001</v>
      </c>
      <c r="D518" t="s">
        <v>1807</v>
      </c>
      <c r="E518">
        <v>48</v>
      </c>
      <c r="F518" t="s">
        <v>9</v>
      </c>
      <c r="G518" t="s">
        <v>1546</v>
      </c>
      <c r="H518" t="s">
        <v>1742</v>
      </c>
      <c r="L518" s="2">
        <v>45372</v>
      </c>
      <c r="M518">
        <v>133.79560000000001</v>
      </c>
      <c r="R518" t="s">
        <v>1807</v>
      </c>
      <c r="S518">
        <v>133.79560000000001</v>
      </c>
      <c r="W518" s="11" t="s">
        <v>9</v>
      </c>
      <c r="X518" s="11" t="s">
        <v>1546</v>
      </c>
      <c r="Y518">
        <v>133.79560000000001</v>
      </c>
      <c r="AF518">
        <v>133.79560000000001</v>
      </c>
      <c r="AG518" t="s">
        <v>1742</v>
      </c>
    </row>
    <row r="519" spans="1:33" x14ac:dyDescent="0.3">
      <c r="A519" t="s">
        <v>302</v>
      </c>
      <c r="B519" s="2">
        <v>45633</v>
      </c>
      <c r="C519">
        <v>2750.1219999999998</v>
      </c>
      <c r="D519" t="s">
        <v>1807</v>
      </c>
      <c r="E519">
        <v>36</v>
      </c>
      <c r="F519" t="s">
        <v>9</v>
      </c>
      <c r="G519" t="s">
        <v>1546</v>
      </c>
      <c r="H519" t="s">
        <v>1742</v>
      </c>
      <c r="L519" s="2">
        <v>45633</v>
      </c>
      <c r="M519">
        <v>2750.1219999999998</v>
      </c>
      <c r="R519" t="s">
        <v>1807</v>
      </c>
      <c r="S519">
        <v>2750.1219999999998</v>
      </c>
      <c r="W519" s="12" t="s">
        <v>9</v>
      </c>
      <c r="X519" s="12" t="s">
        <v>1546</v>
      </c>
      <c r="Y519">
        <v>2750.1219999999998</v>
      </c>
      <c r="AF519">
        <v>2750.1219999999998</v>
      </c>
      <c r="AG519" t="s">
        <v>1742</v>
      </c>
    </row>
    <row r="520" spans="1:33" x14ac:dyDescent="0.3">
      <c r="A520" t="s">
        <v>3947</v>
      </c>
      <c r="B520" s="2">
        <v>45598</v>
      </c>
      <c r="C520">
        <v>798.21719999999993</v>
      </c>
      <c r="D520" t="s">
        <v>1809</v>
      </c>
      <c r="E520">
        <v>23</v>
      </c>
      <c r="F520" t="s">
        <v>9</v>
      </c>
      <c r="G520" t="s">
        <v>1549</v>
      </c>
      <c r="H520" t="s">
        <v>1746</v>
      </c>
      <c r="L520" s="2">
        <v>45598</v>
      </c>
      <c r="M520">
        <v>798.21719999999993</v>
      </c>
      <c r="R520" t="s">
        <v>1809</v>
      </c>
      <c r="S520">
        <v>798.21719999999993</v>
      </c>
      <c r="W520" s="11" t="s">
        <v>9</v>
      </c>
      <c r="X520" s="11" t="s">
        <v>1549</v>
      </c>
      <c r="Y520">
        <v>798.21719999999993</v>
      </c>
      <c r="AF520">
        <v>798.21719999999993</v>
      </c>
      <c r="AG520" t="s">
        <v>1746</v>
      </c>
    </row>
    <row r="521" spans="1:33" x14ac:dyDescent="0.3">
      <c r="A521" t="s">
        <v>744</v>
      </c>
      <c r="B521" s="2">
        <v>45495</v>
      </c>
      <c r="C521">
        <v>1154.6808000000001</v>
      </c>
      <c r="D521" t="s">
        <v>1812</v>
      </c>
      <c r="E521">
        <v>43</v>
      </c>
      <c r="F521" t="s">
        <v>16</v>
      </c>
      <c r="G521" t="s">
        <v>1549</v>
      </c>
      <c r="H521" t="s">
        <v>1737</v>
      </c>
      <c r="L521" s="2">
        <v>45495</v>
      </c>
      <c r="M521">
        <v>1154.6808000000001</v>
      </c>
      <c r="R521" t="s">
        <v>1812</v>
      </c>
      <c r="S521">
        <v>1154.6808000000001</v>
      </c>
      <c r="W521" s="12" t="s">
        <v>16</v>
      </c>
      <c r="X521" s="12" t="s">
        <v>1549</v>
      </c>
      <c r="Y521">
        <v>1154.6808000000001</v>
      </c>
      <c r="AF521">
        <v>1154.6808000000001</v>
      </c>
      <c r="AG521" t="s">
        <v>1737</v>
      </c>
    </row>
    <row r="522" spans="1:33" x14ac:dyDescent="0.3">
      <c r="A522" t="s">
        <v>3941</v>
      </c>
      <c r="B522" s="2">
        <v>45229</v>
      </c>
      <c r="C522">
        <v>1813.5174</v>
      </c>
      <c r="D522" t="s">
        <v>1809</v>
      </c>
      <c r="E522">
        <v>34</v>
      </c>
      <c r="F522" t="s">
        <v>9</v>
      </c>
      <c r="G522" t="s">
        <v>1527</v>
      </c>
      <c r="H522" t="s">
        <v>1737</v>
      </c>
      <c r="L522" s="2">
        <v>45229</v>
      </c>
      <c r="M522">
        <v>1813.5174</v>
      </c>
      <c r="R522" t="s">
        <v>1809</v>
      </c>
      <c r="S522">
        <v>1813.5174</v>
      </c>
      <c r="W522" s="11" t="s">
        <v>9</v>
      </c>
      <c r="X522" s="11" t="s">
        <v>1527</v>
      </c>
      <c r="Y522">
        <v>1813.5174</v>
      </c>
      <c r="AF522">
        <v>1813.5174</v>
      </c>
      <c r="AG522" t="s">
        <v>1737</v>
      </c>
    </row>
    <row r="523" spans="1:33" x14ac:dyDescent="0.3">
      <c r="A523" t="s">
        <v>1154</v>
      </c>
      <c r="B523" s="2">
        <v>45433</v>
      </c>
      <c r="C523">
        <v>2107.8629999999998</v>
      </c>
      <c r="D523" t="s">
        <v>1812</v>
      </c>
      <c r="E523">
        <v>60</v>
      </c>
      <c r="F523" t="s">
        <v>9</v>
      </c>
      <c r="G523" t="s">
        <v>1549</v>
      </c>
      <c r="H523" t="s">
        <v>1737</v>
      </c>
      <c r="L523" s="2">
        <v>45433</v>
      </c>
      <c r="M523">
        <v>2107.8629999999998</v>
      </c>
      <c r="R523" t="s">
        <v>1812</v>
      </c>
      <c r="S523">
        <v>2107.8629999999998</v>
      </c>
      <c r="W523" s="12" t="s">
        <v>9</v>
      </c>
      <c r="X523" s="12" t="s">
        <v>1549</v>
      </c>
      <c r="Y523">
        <v>2107.8629999999998</v>
      </c>
      <c r="AF523">
        <v>2107.8629999999998</v>
      </c>
      <c r="AG523" t="s">
        <v>1737</v>
      </c>
    </row>
    <row r="524" spans="1:33" x14ac:dyDescent="0.3">
      <c r="A524" t="s">
        <v>827</v>
      </c>
      <c r="B524" s="2">
        <v>45766</v>
      </c>
      <c r="C524">
        <v>70.470799999999997</v>
      </c>
      <c r="D524" t="s">
        <v>1809</v>
      </c>
      <c r="E524">
        <v>60</v>
      </c>
      <c r="F524" t="s">
        <v>16</v>
      </c>
      <c r="G524" t="s">
        <v>1546</v>
      </c>
      <c r="H524" t="s">
        <v>1746</v>
      </c>
      <c r="L524" s="2">
        <v>45766</v>
      </c>
      <c r="M524">
        <v>70.470799999999997</v>
      </c>
      <c r="R524" t="s">
        <v>1809</v>
      </c>
      <c r="S524">
        <v>70.470799999999997</v>
      </c>
      <c r="W524" s="11" t="s">
        <v>16</v>
      </c>
      <c r="X524" s="11" t="s">
        <v>1546</v>
      </c>
      <c r="Y524">
        <v>70.470799999999997</v>
      </c>
      <c r="AF524">
        <v>70.470799999999997</v>
      </c>
      <c r="AG524" t="s">
        <v>1746</v>
      </c>
    </row>
    <row r="525" spans="1:33" x14ac:dyDescent="0.3">
      <c r="A525" t="s">
        <v>901</v>
      </c>
      <c r="B525" s="2">
        <v>45639</v>
      </c>
      <c r="C525">
        <v>3178.2564000000002</v>
      </c>
      <c r="D525" t="s">
        <v>1809</v>
      </c>
      <c r="E525">
        <v>22</v>
      </c>
      <c r="F525" t="s">
        <v>16</v>
      </c>
      <c r="G525" t="s">
        <v>1549</v>
      </c>
      <c r="H525" t="s">
        <v>1737</v>
      </c>
      <c r="L525" s="2">
        <v>45639</v>
      </c>
      <c r="M525">
        <v>3178.2564000000002</v>
      </c>
      <c r="R525" t="s">
        <v>1809</v>
      </c>
      <c r="S525">
        <v>3178.2564000000002</v>
      </c>
      <c r="W525" s="12" t="s">
        <v>16</v>
      </c>
      <c r="X525" s="12" t="s">
        <v>1549</v>
      </c>
      <c r="Y525">
        <v>3178.2564000000002</v>
      </c>
      <c r="AF525">
        <v>3178.2564000000002</v>
      </c>
      <c r="AG525" t="s">
        <v>1737</v>
      </c>
    </row>
    <row r="526" spans="1:33" x14ac:dyDescent="0.3">
      <c r="A526" t="s">
        <v>352</v>
      </c>
      <c r="B526" s="2">
        <v>45774</v>
      </c>
      <c r="C526">
        <v>769.8975999999999</v>
      </c>
      <c r="D526" t="s">
        <v>1812</v>
      </c>
      <c r="E526">
        <v>29</v>
      </c>
      <c r="F526" t="s">
        <v>9</v>
      </c>
      <c r="G526" t="s">
        <v>1549</v>
      </c>
      <c r="H526" t="s">
        <v>1742</v>
      </c>
      <c r="L526" s="2">
        <v>45774</v>
      </c>
      <c r="M526">
        <v>769.8975999999999</v>
      </c>
      <c r="R526" t="s">
        <v>1812</v>
      </c>
      <c r="S526">
        <v>769.8975999999999</v>
      </c>
      <c r="W526" s="11" t="s">
        <v>9</v>
      </c>
      <c r="X526" s="11" t="s">
        <v>1549</v>
      </c>
      <c r="Y526">
        <v>769.8975999999999</v>
      </c>
      <c r="AF526">
        <v>769.8975999999999</v>
      </c>
      <c r="AG526" t="s">
        <v>1742</v>
      </c>
    </row>
    <row r="527" spans="1:33" x14ac:dyDescent="0.3">
      <c r="A527" t="s">
        <v>543</v>
      </c>
      <c r="B527" s="2">
        <v>45569</v>
      </c>
      <c r="C527">
        <v>643.78679999999997</v>
      </c>
      <c r="D527" t="s">
        <v>1807</v>
      </c>
      <c r="E527">
        <v>47</v>
      </c>
      <c r="F527" t="s">
        <v>16</v>
      </c>
      <c r="G527" t="s">
        <v>1546</v>
      </c>
      <c r="H527" t="s">
        <v>1742</v>
      </c>
      <c r="L527" s="2">
        <v>45569</v>
      </c>
      <c r="M527">
        <v>643.78679999999997</v>
      </c>
      <c r="R527" t="s">
        <v>1807</v>
      </c>
      <c r="S527">
        <v>643.78679999999997</v>
      </c>
      <c r="W527" s="12" t="s">
        <v>16</v>
      </c>
      <c r="X527" s="12" t="s">
        <v>1546</v>
      </c>
      <c r="Y527">
        <v>643.78679999999997</v>
      </c>
      <c r="AF527">
        <v>643.78679999999997</v>
      </c>
      <c r="AG527" t="s">
        <v>1742</v>
      </c>
    </row>
    <row r="528" spans="1:33" x14ac:dyDescent="0.3">
      <c r="A528" t="s">
        <v>730</v>
      </c>
      <c r="B528" s="2">
        <v>45856</v>
      </c>
      <c r="C528">
        <v>524.76480000000004</v>
      </c>
      <c r="D528" t="s">
        <v>1809</v>
      </c>
      <c r="E528">
        <v>32</v>
      </c>
      <c r="F528" t="s">
        <v>16</v>
      </c>
      <c r="G528" t="s">
        <v>1546</v>
      </c>
      <c r="H528" t="s">
        <v>1767</v>
      </c>
      <c r="L528" s="2">
        <v>45856</v>
      </c>
      <c r="M528">
        <v>524.76480000000004</v>
      </c>
      <c r="R528" t="s">
        <v>1809</v>
      </c>
      <c r="S528">
        <v>524.76480000000004</v>
      </c>
      <c r="W528" s="11" t="s">
        <v>16</v>
      </c>
      <c r="X528" s="11" t="s">
        <v>1546</v>
      </c>
      <c r="Y528">
        <v>524.76480000000004</v>
      </c>
      <c r="AF528">
        <v>524.76480000000004</v>
      </c>
      <c r="AG528" t="s">
        <v>1767</v>
      </c>
    </row>
    <row r="529" spans="1:33" x14ac:dyDescent="0.3">
      <c r="A529" t="s">
        <v>1385</v>
      </c>
      <c r="B529" s="2">
        <v>45362</v>
      </c>
      <c r="C529">
        <v>1719.4431999999999</v>
      </c>
      <c r="D529" t="s">
        <v>1809</v>
      </c>
      <c r="E529">
        <v>60</v>
      </c>
      <c r="F529" t="s">
        <v>9</v>
      </c>
      <c r="G529" t="s">
        <v>1527</v>
      </c>
      <c r="H529" t="s">
        <v>1737</v>
      </c>
      <c r="L529" s="2">
        <v>45362</v>
      </c>
      <c r="M529">
        <v>1719.4431999999999</v>
      </c>
      <c r="R529" t="s">
        <v>1809</v>
      </c>
      <c r="S529">
        <v>1719.4431999999999</v>
      </c>
      <c r="W529" s="12" t="s">
        <v>9</v>
      </c>
      <c r="X529" s="12" t="s">
        <v>1527</v>
      </c>
      <c r="Y529">
        <v>1719.4431999999999</v>
      </c>
      <c r="AF529">
        <v>1719.4431999999999</v>
      </c>
      <c r="AG529" t="s">
        <v>1737</v>
      </c>
    </row>
    <row r="530" spans="1:33" x14ac:dyDescent="0.3">
      <c r="A530" t="s">
        <v>328</v>
      </c>
      <c r="B530" s="2">
        <v>45457</v>
      </c>
      <c r="C530">
        <v>50.407799999999988</v>
      </c>
      <c r="D530" t="s">
        <v>1809</v>
      </c>
      <c r="E530">
        <v>28</v>
      </c>
      <c r="F530" t="s">
        <v>16</v>
      </c>
      <c r="G530" t="s">
        <v>1527</v>
      </c>
      <c r="H530" t="s">
        <v>1742</v>
      </c>
      <c r="L530" s="2">
        <v>45457</v>
      </c>
      <c r="M530">
        <v>50.407799999999988</v>
      </c>
      <c r="R530" t="s">
        <v>1809</v>
      </c>
      <c r="S530">
        <v>50.407799999999988</v>
      </c>
      <c r="W530" s="11" t="s">
        <v>16</v>
      </c>
      <c r="X530" s="11" t="s">
        <v>1527</v>
      </c>
      <c r="Y530">
        <v>50.407799999999988</v>
      </c>
      <c r="AF530">
        <v>50.407799999999988</v>
      </c>
      <c r="AG530" t="s">
        <v>1742</v>
      </c>
    </row>
    <row r="531" spans="1:33" x14ac:dyDescent="0.3">
      <c r="A531" t="s">
        <v>1070</v>
      </c>
      <c r="B531" s="2">
        <v>45338</v>
      </c>
      <c r="C531">
        <v>421.27800000000002</v>
      </c>
      <c r="D531" t="s">
        <v>1807</v>
      </c>
      <c r="E531">
        <v>33</v>
      </c>
      <c r="F531" t="s">
        <v>9</v>
      </c>
      <c r="G531" t="s">
        <v>1541</v>
      </c>
      <c r="H531" t="s">
        <v>1742</v>
      </c>
      <c r="L531" s="2">
        <v>45338</v>
      </c>
      <c r="M531">
        <v>421.27800000000002</v>
      </c>
      <c r="R531" t="s">
        <v>1807</v>
      </c>
      <c r="S531">
        <v>421.27800000000002</v>
      </c>
      <c r="W531" s="12" t="s">
        <v>9</v>
      </c>
      <c r="X531" s="12" t="s">
        <v>1541</v>
      </c>
      <c r="Y531">
        <v>421.27800000000002</v>
      </c>
      <c r="AF531">
        <v>421.27800000000002</v>
      </c>
      <c r="AG531" t="s">
        <v>1742</v>
      </c>
    </row>
    <row r="532" spans="1:33" x14ac:dyDescent="0.3">
      <c r="A532" t="s">
        <v>279</v>
      </c>
      <c r="B532" s="2">
        <v>45552</v>
      </c>
      <c r="C532">
        <v>2775.3519999999999</v>
      </c>
      <c r="D532" t="s">
        <v>1812</v>
      </c>
      <c r="E532">
        <v>21</v>
      </c>
      <c r="F532" t="s">
        <v>9</v>
      </c>
      <c r="G532" t="s">
        <v>1527</v>
      </c>
      <c r="H532" t="s">
        <v>1742</v>
      </c>
      <c r="L532" s="2">
        <v>45552</v>
      </c>
      <c r="M532">
        <v>2775.3519999999999</v>
      </c>
      <c r="R532" t="s">
        <v>1812</v>
      </c>
      <c r="S532">
        <v>2775.3519999999999</v>
      </c>
      <c r="W532" s="11" t="s">
        <v>9</v>
      </c>
      <c r="X532" s="11" t="s">
        <v>1527</v>
      </c>
      <c r="Y532">
        <v>2775.3519999999999</v>
      </c>
      <c r="AF532">
        <v>2775.3519999999999</v>
      </c>
      <c r="AG532" t="s">
        <v>1742</v>
      </c>
    </row>
    <row r="533" spans="1:33" x14ac:dyDescent="0.3">
      <c r="A533" t="s">
        <v>584</v>
      </c>
      <c r="B533" s="2">
        <v>45895</v>
      </c>
      <c r="C533">
        <v>2589.8643999999999</v>
      </c>
      <c r="D533" t="s">
        <v>1807</v>
      </c>
      <c r="E533">
        <v>43</v>
      </c>
      <c r="F533" t="s">
        <v>16</v>
      </c>
      <c r="G533" t="s">
        <v>1546</v>
      </c>
      <c r="H533" t="s">
        <v>1767</v>
      </c>
      <c r="L533" s="2">
        <v>45895</v>
      </c>
      <c r="M533">
        <v>2589.8643999999999</v>
      </c>
      <c r="R533" t="s">
        <v>1807</v>
      </c>
      <c r="S533">
        <v>2589.8643999999999</v>
      </c>
      <c r="W533" s="12" t="s">
        <v>16</v>
      </c>
      <c r="X533" s="12" t="s">
        <v>1546</v>
      </c>
      <c r="Y533">
        <v>2589.8643999999999</v>
      </c>
      <c r="AF533">
        <v>2589.8643999999999</v>
      </c>
      <c r="AG533" t="s">
        <v>1767</v>
      </c>
    </row>
    <row r="534" spans="1:33" x14ac:dyDescent="0.3">
      <c r="A534" t="s">
        <v>563</v>
      </c>
      <c r="B534" s="2">
        <v>45447</v>
      </c>
      <c r="C534">
        <v>2584.6271999999999</v>
      </c>
      <c r="D534" t="s">
        <v>1807</v>
      </c>
      <c r="E534">
        <v>41</v>
      </c>
      <c r="F534" t="s">
        <v>16</v>
      </c>
      <c r="G534" t="s">
        <v>1527</v>
      </c>
      <c r="H534" t="s">
        <v>1742</v>
      </c>
      <c r="L534" s="2">
        <v>45447</v>
      </c>
      <c r="M534">
        <v>2584.6271999999999</v>
      </c>
      <c r="R534" t="s">
        <v>1807</v>
      </c>
      <c r="S534">
        <v>2584.6271999999999</v>
      </c>
      <c r="W534" s="11" t="s">
        <v>16</v>
      </c>
      <c r="X534" s="11" t="s">
        <v>1527</v>
      </c>
      <c r="Y534">
        <v>2584.6271999999999</v>
      </c>
      <c r="AF534">
        <v>2584.6271999999999</v>
      </c>
      <c r="AG534" t="s">
        <v>1742</v>
      </c>
    </row>
    <row r="535" spans="1:33" x14ac:dyDescent="0.3">
      <c r="A535" t="s">
        <v>1013</v>
      </c>
      <c r="B535" s="2">
        <v>45578</v>
      </c>
      <c r="C535">
        <v>666.71699999999998</v>
      </c>
      <c r="D535" t="s">
        <v>1812</v>
      </c>
      <c r="E535">
        <v>58</v>
      </c>
      <c r="F535" t="s">
        <v>16</v>
      </c>
      <c r="G535" t="s">
        <v>1549</v>
      </c>
      <c r="H535" t="s">
        <v>1746</v>
      </c>
      <c r="L535" s="2">
        <v>45578</v>
      </c>
      <c r="M535">
        <v>666.71699999999998</v>
      </c>
      <c r="R535" t="s">
        <v>1812</v>
      </c>
      <c r="S535">
        <v>666.71699999999998</v>
      </c>
      <c r="W535" s="12" t="s">
        <v>16</v>
      </c>
      <c r="X535" s="12" t="s">
        <v>1549</v>
      </c>
      <c r="Y535">
        <v>666.71699999999998</v>
      </c>
      <c r="AF535">
        <v>666.71699999999998</v>
      </c>
      <c r="AG535" t="s">
        <v>1746</v>
      </c>
    </row>
    <row r="536" spans="1:33" x14ac:dyDescent="0.3">
      <c r="A536" t="s">
        <v>652</v>
      </c>
      <c r="B536" s="2">
        <v>45697</v>
      </c>
      <c r="C536">
        <v>680.44199999999989</v>
      </c>
      <c r="D536" t="s">
        <v>1812</v>
      </c>
      <c r="E536">
        <v>37</v>
      </c>
      <c r="F536" t="s">
        <v>16</v>
      </c>
      <c r="G536" t="s">
        <v>1527</v>
      </c>
      <c r="H536" t="s">
        <v>1746</v>
      </c>
      <c r="L536" s="2">
        <v>45697</v>
      </c>
      <c r="M536">
        <v>680.44199999999989</v>
      </c>
      <c r="R536" t="s">
        <v>1812</v>
      </c>
      <c r="S536">
        <v>680.44199999999989</v>
      </c>
      <c r="W536" s="11" t="s">
        <v>16</v>
      </c>
      <c r="X536" s="11" t="s">
        <v>1527</v>
      </c>
      <c r="Y536">
        <v>680.44199999999989</v>
      </c>
      <c r="AF536">
        <v>680.44199999999989</v>
      </c>
      <c r="AG536" t="s">
        <v>1746</v>
      </c>
    </row>
    <row r="537" spans="1:33" x14ac:dyDescent="0.3">
      <c r="A537" t="s">
        <v>131</v>
      </c>
      <c r="B537" s="2">
        <v>45281</v>
      </c>
      <c r="C537">
        <v>743.87839999999994</v>
      </c>
      <c r="D537" t="s">
        <v>1809</v>
      </c>
      <c r="E537">
        <v>25</v>
      </c>
      <c r="F537" t="s">
        <v>9</v>
      </c>
      <c r="G537" t="s">
        <v>1541</v>
      </c>
      <c r="H537" t="s">
        <v>1737</v>
      </c>
      <c r="L537" s="2">
        <v>45281</v>
      </c>
      <c r="M537">
        <v>743.87839999999994</v>
      </c>
      <c r="R537" t="s">
        <v>1809</v>
      </c>
      <c r="S537">
        <v>743.87839999999994</v>
      </c>
      <c r="W537" s="12" t="s">
        <v>9</v>
      </c>
      <c r="X537" s="12" t="s">
        <v>1541</v>
      </c>
      <c r="Y537">
        <v>743.87839999999994</v>
      </c>
      <c r="AF537">
        <v>743.87839999999994</v>
      </c>
      <c r="AG537" t="s">
        <v>1737</v>
      </c>
    </row>
    <row r="538" spans="1:33" x14ac:dyDescent="0.3">
      <c r="A538" t="s">
        <v>981</v>
      </c>
      <c r="B538" s="2">
        <v>45855</v>
      </c>
      <c r="C538">
        <v>2485.364</v>
      </c>
      <c r="D538" t="s">
        <v>1812</v>
      </c>
      <c r="E538">
        <v>49</v>
      </c>
      <c r="F538" t="s">
        <v>9</v>
      </c>
      <c r="G538" t="s">
        <v>1541</v>
      </c>
      <c r="H538" t="s">
        <v>1742</v>
      </c>
      <c r="L538" s="2">
        <v>45855</v>
      </c>
      <c r="M538">
        <v>2485.364</v>
      </c>
      <c r="R538" t="s">
        <v>1812</v>
      </c>
      <c r="S538">
        <v>2485.364</v>
      </c>
      <c r="W538" s="11" t="s">
        <v>9</v>
      </c>
      <c r="X538" s="11" t="s">
        <v>1541</v>
      </c>
      <c r="Y538">
        <v>2485.364</v>
      </c>
      <c r="AF538">
        <v>2485.364</v>
      </c>
      <c r="AG538" t="s">
        <v>1742</v>
      </c>
    </row>
    <row r="539" spans="1:33" x14ac:dyDescent="0.3">
      <c r="A539" t="s">
        <v>809</v>
      </c>
      <c r="B539" s="2">
        <v>45793</v>
      </c>
      <c r="C539">
        <v>437.0256</v>
      </c>
      <c r="D539" t="s">
        <v>1812</v>
      </c>
      <c r="E539">
        <v>57</v>
      </c>
      <c r="F539" t="s">
        <v>9</v>
      </c>
      <c r="G539" t="s">
        <v>1549</v>
      </c>
      <c r="H539" t="s">
        <v>1746</v>
      </c>
      <c r="L539" s="2">
        <v>45793</v>
      </c>
      <c r="M539">
        <v>437.0256</v>
      </c>
      <c r="R539" t="s">
        <v>1812</v>
      </c>
      <c r="S539">
        <v>437.0256</v>
      </c>
      <c r="W539" s="12" t="s">
        <v>9</v>
      </c>
      <c r="X539" s="12" t="s">
        <v>1549</v>
      </c>
      <c r="Y539">
        <v>437.0256</v>
      </c>
      <c r="AF539">
        <v>437.0256</v>
      </c>
      <c r="AG539" t="s">
        <v>1746</v>
      </c>
    </row>
    <row r="540" spans="1:33" x14ac:dyDescent="0.3">
      <c r="A540" t="s">
        <v>1199</v>
      </c>
      <c r="B540" s="2">
        <v>45881</v>
      </c>
      <c r="C540">
        <v>2221.9061999999999</v>
      </c>
      <c r="D540" t="s">
        <v>1809</v>
      </c>
      <c r="E540">
        <v>50</v>
      </c>
      <c r="F540" t="s">
        <v>9</v>
      </c>
      <c r="G540" t="s">
        <v>1549</v>
      </c>
      <c r="H540" t="s">
        <v>1767</v>
      </c>
      <c r="L540" s="2">
        <v>45881</v>
      </c>
      <c r="M540">
        <v>2221.9061999999999</v>
      </c>
      <c r="R540" t="s">
        <v>1809</v>
      </c>
      <c r="S540">
        <v>2221.9061999999999</v>
      </c>
      <c r="W540" s="11" t="s">
        <v>9</v>
      </c>
      <c r="X540" s="11" t="s">
        <v>1549</v>
      </c>
      <c r="Y540">
        <v>2221.9061999999999</v>
      </c>
      <c r="AF540">
        <v>2221.9061999999999</v>
      </c>
      <c r="AG540" t="s">
        <v>1767</v>
      </c>
    </row>
    <row r="541" spans="1:33" x14ac:dyDescent="0.3">
      <c r="A541" t="s">
        <v>200</v>
      </c>
      <c r="B541" s="2">
        <v>45890</v>
      </c>
      <c r="C541">
        <v>1106.3052</v>
      </c>
      <c r="D541" t="s">
        <v>1807</v>
      </c>
      <c r="E541">
        <v>24</v>
      </c>
      <c r="F541" t="s">
        <v>9</v>
      </c>
      <c r="G541" t="s">
        <v>1530</v>
      </c>
      <c r="H541" t="s">
        <v>1746</v>
      </c>
      <c r="L541" s="2">
        <v>45890</v>
      </c>
      <c r="M541">
        <v>1106.3052</v>
      </c>
      <c r="R541" t="s">
        <v>1807</v>
      </c>
      <c r="S541">
        <v>1106.3052</v>
      </c>
      <c r="W541" s="12" t="s">
        <v>9</v>
      </c>
      <c r="X541" s="12" t="s">
        <v>1530</v>
      </c>
      <c r="Y541">
        <v>1106.3052</v>
      </c>
      <c r="AF541">
        <v>1106.3052</v>
      </c>
      <c r="AG541" t="s">
        <v>1746</v>
      </c>
    </row>
    <row r="542" spans="1:33" x14ac:dyDescent="0.3">
      <c r="A542" t="s">
        <v>750</v>
      </c>
      <c r="B542" s="2">
        <v>45251</v>
      </c>
      <c r="C542">
        <v>929.02079999999989</v>
      </c>
      <c r="D542" t="s">
        <v>1807</v>
      </c>
      <c r="E542">
        <v>42</v>
      </c>
      <c r="F542" t="s">
        <v>16</v>
      </c>
      <c r="G542" t="s">
        <v>1530</v>
      </c>
      <c r="H542" t="s">
        <v>1746</v>
      </c>
      <c r="L542" s="2">
        <v>45251</v>
      </c>
      <c r="M542">
        <v>929.02079999999989</v>
      </c>
      <c r="R542" t="s">
        <v>1807</v>
      </c>
      <c r="S542">
        <v>929.02079999999989</v>
      </c>
      <c r="W542" s="11" t="s">
        <v>16</v>
      </c>
      <c r="X542" s="11" t="s">
        <v>1530</v>
      </c>
      <c r="Y542">
        <v>929.02079999999989</v>
      </c>
      <c r="AF542">
        <v>929.02079999999989</v>
      </c>
      <c r="AG542" t="s">
        <v>1746</v>
      </c>
    </row>
    <row r="543" spans="1:33" x14ac:dyDescent="0.3">
      <c r="A543" t="s">
        <v>1497</v>
      </c>
      <c r="B543" s="2">
        <v>45695</v>
      </c>
      <c r="C543">
        <v>632.76480000000004</v>
      </c>
      <c r="D543" t="s">
        <v>1812</v>
      </c>
      <c r="E543">
        <v>28</v>
      </c>
      <c r="F543" t="s">
        <v>9</v>
      </c>
      <c r="G543" t="s">
        <v>1546</v>
      </c>
      <c r="H543" t="s">
        <v>1737</v>
      </c>
      <c r="L543" s="2">
        <v>45695</v>
      </c>
      <c r="M543">
        <v>632.76480000000004</v>
      </c>
      <c r="R543" t="s">
        <v>1812</v>
      </c>
      <c r="S543">
        <v>632.76480000000004</v>
      </c>
      <c r="W543" s="12" t="s">
        <v>9</v>
      </c>
      <c r="X543" s="12" t="s">
        <v>1546</v>
      </c>
      <c r="Y543">
        <v>632.76480000000004</v>
      </c>
      <c r="AF543">
        <v>632.76480000000004</v>
      </c>
      <c r="AG543" t="s">
        <v>1737</v>
      </c>
    </row>
    <row r="544" spans="1:33" x14ac:dyDescent="0.3">
      <c r="A544" t="s">
        <v>661</v>
      </c>
      <c r="B544" s="2">
        <v>45287</v>
      </c>
      <c r="C544">
        <v>380.42959999999999</v>
      </c>
      <c r="D544" t="s">
        <v>1807</v>
      </c>
      <c r="E544">
        <v>44</v>
      </c>
      <c r="F544" t="s">
        <v>16</v>
      </c>
      <c r="G544" t="s">
        <v>1549</v>
      </c>
      <c r="H544" t="s">
        <v>1742</v>
      </c>
      <c r="L544" s="2">
        <v>45287</v>
      </c>
      <c r="M544">
        <v>380.42959999999999</v>
      </c>
      <c r="R544" t="s">
        <v>1807</v>
      </c>
      <c r="S544">
        <v>380.42959999999999</v>
      </c>
      <c r="W544" s="11" t="s">
        <v>16</v>
      </c>
      <c r="X544" s="11" t="s">
        <v>1549</v>
      </c>
      <c r="Y544">
        <v>380.42959999999999</v>
      </c>
      <c r="AF544">
        <v>380.42959999999999</v>
      </c>
      <c r="AG544" t="s">
        <v>1742</v>
      </c>
    </row>
    <row r="545" spans="1:33" x14ac:dyDescent="0.3">
      <c r="A545" t="s">
        <v>1037</v>
      </c>
      <c r="B545" s="2">
        <v>45711</v>
      </c>
      <c r="C545">
        <v>679.37260000000003</v>
      </c>
      <c r="D545" t="s">
        <v>1812</v>
      </c>
      <c r="E545">
        <v>50</v>
      </c>
      <c r="F545" t="s">
        <v>16</v>
      </c>
      <c r="G545" t="s">
        <v>1527</v>
      </c>
      <c r="H545" t="s">
        <v>1737</v>
      </c>
      <c r="L545" s="2">
        <v>45711</v>
      </c>
      <c r="M545">
        <v>679.37260000000003</v>
      </c>
      <c r="R545" t="s">
        <v>1812</v>
      </c>
      <c r="S545">
        <v>679.37260000000003</v>
      </c>
      <c r="W545" s="12" t="s">
        <v>16</v>
      </c>
      <c r="X545" s="12" t="s">
        <v>1527</v>
      </c>
      <c r="Y545">
        <v>679.37260000000003</v>
      </c>
      <c r="AF545">
        <v>679.37260000000003</v>
      </c>
      <c r="AG545" t="s">
        <v>1737</v>
      </c>
    </row>
    <row r="546" spans="1:33" x14ac:dyDescent="0.3">
      <c r="A546" t="s">
        <v>549</v>
      </c>
      <c r="B546" s="2">
        <v>45842</v>
      </c>
      <c r="C546">
        <v>454.46100000000001</v>
      </c>
      <c r="D546" t="s">
        <v>1812</v>
      </c>
      <c r="E546">
        <v>36</v>
      </c>
      <c r="F546" t="s">
        <v>16</v>
      </c>
      <c r="G546" t="s">
        <v>1541</v>
      </c>
      <c r="H546" t="s">
        <v>1742</v>
      </c>
      <c r="L546" s="2">
        <v>45842</v>
      </c>
      <c r="M546">
        <v>454.46100000000001</v>
      </c>
      <c r="R546" t="s">
        <v>1812</v>
      </c>
      <c r="S546">
        <v>454.46100000000001</v>
      </c>
      <c r="W546" s="11" t="s">
        <v>16</v>
      </c>
      <c r="X546" s="11" t="s">
        <v>1541</v>
      </c>
      <c r="Y546">
        <v>454.46100000000001</v>
      </c>
      <c r="AF546">
        <v>454.46100000000001</v>
      </c>
      <c r="AG546" t="s">
        <v>1742</v>
      </c>
    </row>
    <row r="547" spans="1:33" x14ac:dyDescent="0.3">
      <c r="A547" t="s">
        <v>362</v>
      </c>
      <c r="B547" s="2">
        <v>45255</v>
      </c>
      <c r="C547">
        <v>332.37759999999997</v>
      </c>
      <c r="D547" t="s">
        <v>1809</v>
      </c>
      <c r="E547">
        <v>64</v>
      </c>
      <c r="F547" t="s">
        <v>9</v>
      </c>
      <c r="G547" t="s">
        <v>1546</v>
      </c>
      <c r="H547" t="s">
        <v>1742</v>
      </c>
      <c r="L547" s="2">
        <v>45255</v>
      </c>
      <c r="M547">
        <v>332.37759999999997</v>
      </c>
      <c r="R547" t="s">
        <v>1809</v>
      </c>
      <c r="S547">
        <v>332.37759999999997</v>
      </c>
      <c r="W547" s="12" t="s">
        <v>9</v>
      </c>
      <c r="X547" s="12" t="s">
        <v>1546</v>
      </c>
      <c r="Y547">
        <v>332.37759999999997</v>
      </c>
      <c r="AF547">
        <v>332.37759999999997</v>
      </c>
      <c r="AG547" t="s">
        <v>1742</v>
      </c>
    </row>
    <row r="548" spans="1:33" x14ac:dyDescent="0.3">
      <c r="A548" t="s">
        <v>1169</v>
      </c>
      <c r="B548" s="2">
        <v>45695</v>
      </c>
      <c r="C548">
        <v>1112.79</v>
      </c>
      <c r="D548" t="s">
        <v>1807</v>
      </c>
      <c r="E548">
        <v>34</v>
      </c>
      <c r="F548" t="s">
        <v>16</v>
      </c>
      <c r="G548" t="s">
        <v>1527</v>
      </c>
      <c r="H548" t="s">
        <v>1737</v>
      </c>
      <c r="L548" s="2">
        <v>45695</v>
      </c>
      <c r="M548">
        <v>1112.79</v>
      </c>
      <c r="R548" t="s">
        <v>1807</v>
      </c>
      <c r="S548">
        <v>1112.79</v>
      </c>
      <c r="W548" s="11" t="s">
        <v>16</v>
      </c>
      <c r="X548" s="11" t="s">
        <v>1527</v>
      </c>
      <c r="Y548">
        <v>1112.79</v>
      </c>
      <c r="AF548">
        <v>1112.79</v>
      </c>
      <c r="AG548" t="s">
        <v>1737</v>
      </c>
    </row>
    <row r="549" spans="1:33" x14ac:dyDescent="0.3">
      <c r="A549" t="s">
        <v>3937</v>
      </c>
      <c r="B549" s="2">
        <v>45281</v>
      </c>
      <c r="C549">
        <v>303.08980000000003</v>
      </c>
      <c r="D549" t="s">
        <v>1809</v>
      </c>
      <c r="E549">
        <v>54</v>
      </c>
      <c r="F549" t="s">
        <v>16</v>
      </c>
      <c r="G549" t="s">
        <v>1530</v>
      </c>
      <c r="H549" t="s">
        <v>1742</v>
      </c>
      <c r="L549" s="2">
        <v>45281</v>
      </c>
      <c r="M549">
        <v>303.08980000000003</v>
      </c>
      <c r="R549" t="s">
        <v>1809</v>
      </c>
      <c r="S549">
        <v>303.08980000000003</v>
      </c>
      <c r="W549" s="12" t="s">
        <v>16</v>
      </c>
      <c r="X549" s="12" t="s">
        <v>1530</v>
      </c>
      <c r="Y549">
        <v>303.08980000000003</v>
      </c>
      <c r="AF549">
        <v>303.08980000000003</v>
      </c>
      <c r="AG549" t="s">
        <v>1742</v>
      </c>
    </row>
    <row r="550" spans="1:33" x14ac:dyDescent="0.3">
      <c r="A550" t="s">
        <v>421</v>
      </c>
      <c r="B550" s="2">
        <v>45295</v>
      </c>
      <c r="C550">
        <v>900.75200000000007</v>
      </c>
      <c r="D550" t="s">
        <v>1807</v>
      </c>
      <c r="E550">
        <v>26</v>
      </c>
      <c r="F550" t="s">
        <v>9</v>
      </c>
      <c r="G550" t="s">
        <v>1541</v>
      </c>
      <c r="H550" t="s">
        <v>1742</v>
      </c>
      <c r="L550" s="2">
        <v>45295</v>
      </c>
      <c r="M550">
        <v>900.75200000000007</v>
      </c>
      <c r="R550" t="s">
        <v>1807</v>
      </c>
      <c r="S550">
        <v>900.75200000000007</v>
      </c>
      <c r="W550" s="11" t="s">
        <v>9</v>
      </c>
      <c r="X550" s="11" t="s">
        <v>1541</v>
      </c>
      <c r="Y550">
        <v>900.75200000000007</v>
      </c>
      <c r="AF550">
        <v>900.75200000000007</v>
      </c>
      <c r="AG550" t="s">
        <v>1742</v>
      </c>
    </row>
    <row r="551" spans="1:33" x14ac:dyDescent="0.3">
      <c r="A551" t="s">
        <v>522</v>
      </c>
      <c r="B551" s="2">
        <v>45260</v>
      </c>
      <c r="C551">
        <v>460.108</v>
      </c>
      <c r="D551" t="s">
        <v>1809</v>
      </c>
      <c r="E551">
        <v>43</v>
      </c>
      <c r="F551" t="s">
        <v>9</v>
      </c>
      <c r="G551" t="s">
        <v>1527</v>
      </c>
      <c r="H551" t="s">
        <v>1746</v>
      </c>
      <c r="L551" s="2">
        <v>45260</v>
      </c>
      <c r="M551">
        <v>460.108</v>
      </c>
      <c r="R551" t="s">
        <v>1809</v>
      </c>
      <c r="S551">
        <v>460.108</v>
      </c>
      <c r="W551" s="12" t="s">
        <v>9</v>
      </c>
      <c r="X551" s="12" t="s">
        <v>1527</v>
      </c>
      <c r="Y551">
        <v>460.108</v>
      </c>
      <c r="AF551">
        <v>460.108</v>
      </c>
      <c r="AG551" t="s">
        <v>1746</v>
      </c>
    </row>
    <row r="552" spans="1:33" x14ac:dyDescent="0.3">
      <c r="A552" t="s">
        <v>1084</v>
      </c>
      <c r="B552" s="2">
        <v>45851</v>
      </c>
      <c r="C552">
        <v>2430.6260000000002</v>
      </c>
      <c r="D552" t="s">
        <v>1807</v>
      </c>
      <c r="E552">
        <v>26</v>
      </c>
      <c r="F552" t="s">
        <v>9</v>
      </c>
      <c r="G552" t="s">
        <v>1527</v>
      </c>
      <c r="H552" t="s">
        <v>1742</v>
      </c>
      <c r="L552" s="2">
        <v>45851</v>
      </c>
      <c r="M552">
        <v>2430.6260000000002</v>
      </c>
      <c r="R552" t="s">
        <v>1807</v>
      </c>
      <c r="S552">
        <v>2430.6260000000002</v>
      </c>
      <c r="W552" s="11" t="s">
        <v>9</v>
      </c>
      <c r="X552" s="11" t="s">
        <v>1527</v>
      </c>
      <c r="Y552">
        <v>2430.6260000000002</v>
      </c>
      <c r="AF552">
        <v>2430.6260000000002</v>
      </c>
      <c r="AG552" t="s">
        <v>1742</v>
      </c>
    </row>
    <row r="553" spans="1:33" x14ac:dyDescent="0.3">
      <c r="A553" t="s">
        <v>611</v>
      </c>
      <c r="B553" s="2">
        <v>45222</v>
      </c>
      <c r="C553">
        <v>305.84940000000012</v>
      </c>
      <c r="D553" t="s">
        <v>1809</v>
      </c>
      <c r="E553">
        <v>42</v>
      </c>
      <c r="F553" t="s">
        <v>9</v>
      </c>
      <c r="G553" t="s">
        <v>1546</v>
      </c>
      <c r="H553" t="s">
        <v>1746</v>
      </c>
      <c r="L553" s="2">
        <v>45222</v>
      </c>
      <c r="M553">
        <v>305.84940000000012</v>
      </c>
      <c r="R553" t="s">
        <v>1809</v>
      </c>
      <c r="S553">
        <v>305.84940000000012</v>
      </c>
      <c r="W553" s="12" t="s">
        <v>9</v>
      </c>
      <c r="X553" s="12" t="s">
        <v>1546</v>
      </c>
      <c r="Y553">
        <v>305.84940000000012</v>
      </c>
      <c r="AF553">
        <v>305.84940000000012</v>
      </c>
      <c r="AG553" t="s">
        <v>1746</v>
      </c>
    </row>
    <row r="554" spans="1:33" x14ac:dyDescent="0.3">
      <c r="A554" t="s">
        <v>115</v>
      </c>
      <c r="B554" s="2">
        <v>45940</v>
      </c>
      <c r="C554">
        <v>2017.5011999999999</v>
      </c>
      <c r="D554" t="s">
        <v>1809</v>
      </c>
      <c r="E554">
        <v>27</v>
      </c>
      <c r="F554" t="s">
        <v>16</v>
      </c>
      <c r="G554" t="s">
        <v>1527</v>
      </c>
      <c r="H554" t="s">
        <v>1742</v>
      </c>
      <c r="L554" s="2">
        <v>45940</v>
      </c>
      <c r="M554">
        <v>2017.5011999999999</v>
      </c>
      <c r="R554" t="s">
        <v>1809</v>
      </c>
      <c r="S554">
        <v>2017.5011999999999</v>
      </c>
      <c r="W554" s="11" t="s">
        <v>16</v>
      </c>
      <c r="X554" s="11" t="s">
        <v>1527</v>
      </c>
      <c r="Y554">
        <v>2017.5011999999999</v>
      </c>
      <c r="AF554">
        <v>2017.5011999999999</v>
      </c>
      <c r="AG554" t="s">
        <v>1742</v>
      </c>
    </row>
    <row r="555" spans="1:33" x14ac:dyDescent="0.3">
      <c r="A555" t="s">
        <v>212</v>
      </c>
      <c r="B555" s="2">
        <v>45822</v>
      </c>
      <c r="C555">
        <v>1267.1328000000001</v>
      </c>
      <c r="D555" t="s">
        <v>1809</v>
      </c>
      <c r="E555">
        <v>51</v>
      </c>
      <c r="F555" t="s">
        <v>9</v>
      </c>
      <c r="G555" t="s">
        <v>1549</v>
      </c>
      <c r="H555" t="s">
        <v>1742</v>
      </c>
      <c r="L555" s="2">
        <v>45822</v>
      </c>
      <c r="M555">
        <v>1267.1328000000001</v>
      </c>
      <c r="R555" t="s">
        <v>1809</v>
      </c>
      <c r="S555">
        <v>1267.1328000000001</v>
      </c>
      <c r="W555" s="12" t="s">
        <v>9</v>
      </c>
      <c r="X555" s="12" t="s">
        <v>1549</v>
      </c>
      <c r="Y555">
        <v>1267.1328000000001</v>
      </c>
      <c r="AF555">
        <v>1267.1328000000001</v>
      </c>
      <c r="AG555" t="s">
        <v>1742</v>
      </c>
    </row>
    <row r="556" spans="1:33" x14ac:dyDescent="0.3">
      <c r="A556" t="s">
        <v>854</v>
      </c>
      <c r="B556" s="2">
        <v>45752</v>
      </c>
      <c r="C556">
        <v>1548.1769999999999</v>
      </c>
      <c r="D556" t="s">
        <v>1812</v>
      </c>
      <c r="E556">
        <v>64</v>
      </c>
      <c r="F556" t="s">
        <v>9</v>
      </c>
      <c r="G556" t="s">
        <v>1549</v>
      </c>
      <c r="H556" t="s">
        <v>1742</v>
      </c>
      <c r="L556" s="2">
        <v>45752</v>
      </c>
      <c r="M556">
        <v>1548.1769999999999</v>
      </c>
      <c r="R556" t="s">
        <v>1812</v>
      </c>
      <c r="S556">
        <v>1548.1769999999999</v>
      </c>
      <c r="W556" s="11" t="s">
        <v>9</v>
      </c>
      <c r="X556" s="11" t="s">
        <v>1549</v>
      </c>
      <c r="Y556">
        <v>1548.1769999999999</v>
      </c>
      <c r="AF556">
        <v>1548.1769999999999</v>
      </c>
      <c r="AG556" t="s">
        <v>1742</v>
      </c>
    </row>
    <row r="557" spans="1:33" x14ac:dyDescent="0.3">
      <c r="A557" t="s">
        <v>877</v>
      </c>
      <c r="B557" s="2">
        <v>45677</v>
      </c>
      <c r="C557">
        <v>1824.2927999999999</v>
      </c>
      <c r="D557" t="s">
        <v>1812</v>
      </c>
      <c r="E557">
        <v>21</v>
      </c>
      <c r="F557" t="s">
        <v>16</v>
      </c>
      <c r="G557" t="s">
        <v>1549</v>
      </c>
      <c r="H557" t="s">
        <v>1746</v>
      </c>
      <c r="L557" s="2">
        <v>45677</v>
      </c>
      <c r="M557">
        <v>1824.2927999999999</v>
      </c>
      <c r="R557" t="s">
        <v>1812</v>
      </c>
      <c r="S557">
        <v>1824.2927999999999</v>
      </c>
      <c r="W557" s="12" t="s">
        <v>16</v>
      </c>
      <c r="X557" s="12" t="s">
        <v>1549</v>
      </c>
      <c r="Y557">
        <v>1824.2927999999999</v>
      </c>
      <c r="AF557">
        <v>1824.2927999999999</v>
      </c>
      <c r="AG557" t="s">
        <v>1746</v>
      </c>
    </row>
    <row r="558" spans="1:33" x14ac:dyDescent="0.3">
      <c r="A558" t="s">
        <v>3939</v>
      </c>
      <c r="B558" s="2">
        <v>45253</v>
      </c>
      <c r="C558">
        <v>1111.0344</v>
      </c>
      <c r="D558" t="s">
        <v>1807</v>
      </c>
      <c r="E558">
        <v>58</v>
      </c>
      <c r="F558" t="s">
        <v>9</v>
      </c>
      <c r="G558" t="s">
        <v>1527</v>
      </c>
      <c r="H558" t="s">
        <v>1742</v>
      </c>
      <c r="L558" s="2">
        <v>45253</v>
      </c>
      <c r="M558">
        <v>1111.0344</v>
      </c>
      <c r="R558" t="s">
        <v>1807</v>
      </c>
      <c r="S558">
        <v>1111.0344</v>
      </c>
      <c r="W558" s="11" t="s">
        <v>9</v>
      </c>
      <c r="X558" s="11" t="s">
        <v>1527</v>
      </c>
      <c r="Y558">
        <v>1111.0344</v>
      </c>
      <c r="AF558">
        <v>1111.0344</v>
      </c>
      <c r="AG558" t="s">
        <v>1742</v>
      </c>
    </row>
    <row r="559" spans="1:33" x14ac:dyDescent="0.3">
      <c r="A559" t="s">
        <v>228</v>
      </c>
      <c r="B559" s="2">
        <v>45389</v>
      </c>
      <c r="C559">
        <v>1043.328</v>
      </c>
      <c r="D559" t="s">
        <v>1807</v>
      </c>
      <c r="E559">
        <v>51</v>
      </c>
      <c r="F559" t="s">
        <v>9</v>
      </c>
      <c r="G559" t="s">
        <v>1527</v>
      </c>
      <c r="H559" t="s">
        <v>1742</v>
      </c>
      <c r="L559" s="2">
        <v>45389</v>
      </c>
      <c r="M559">
        <v>1043.328</v>
      </c>
      <c r="R559" t="s">
        <v>1807</v>
      </c>
      <c r="S559">
        <v>1043.328</v>
      </c>
      <c r="W559" s="12" t="s">
        <v>9</v>
      </c>
      <c r="X559" s="12" t="s">
        <v>1527</v>
      </c>
      <c r="Y559">
        <v>1043.328</v>
      </c>
      <c r="AF559">
        <v>1043.328</v>
      </c>
      <c r="AG559" t="s">
        <v>1742</v>
      </c>
    </row>
    <row r="560" spans="1:33" x14ac:dyDescent="0.3">
      <c r="A560" t="s">
        <v>368</v>
      </c>
      <c r="B560" s="2">
        <v>45840</v>
      </c>
      <c r="C560">
        <v>1553.7023999999999</v>
      </c>
      <c r="D560" t="s">
        <v>1812</v>
      </c>
      <c r="E560">
        <v>53</v>
      </c>
      <c r="F560" t="s">
        <v>16</v>
      </c>
      <c r="G560" t="s">
        <v>1546</v>
      </c>
      <c r="H560" t="s">
        <v>1742</v>
      </c>
      <c r="L560" s="2">
        <v>45840</v>
      </c>
      <c r="M560">
        <v>1553.7023999999999</v>
      </c>
      <c r="R560" t="s">
        <v>1812</v>
      </c>
      <c r="S560">
        <v>1553.7023999999999</v>
      </c>
      <c r="W560" s="11" t="s">
        <v>16</v>
      </c>
      <c r="X560" s="11" t="s">
        <v>1546</v>
      </c>
      <c r="Y560">
        <v>1553.7023999999999</v>
      </c>
      <c r="AF560">
        <v>1553.7023999999999</v>
      </c>
      <c r="AG560" t="s">
        <v>1742</v>
      </c>
    </row>
    <row r="561" spans="1:33" x14ac:dyDescent="0.3">
      <c r="A561" t="s">
        <v>1202</v>
      </c>
      <c r="B561" s="2">
        <v>45256</v>
      </c>
      <c r="C561">
        <v>484.60230000000001</v>
      </c>
      <c r="D561" t="s">
        <v>1812</v>
      </c>
      <c r="E561">
        <v>56</v>
      </c>
      <c r="F561" t="s">
        <v>9</v>
      </c>
      <c r="G561" t="s">
        <v>1530</v>
      </c>
      <c r="H561" t="s">
        <v>1742</v>
      </c>
      <c r="L561" s="2">
        <v>45256</v>
      </c>
      <c r="M561">
        <v>484.60230000000001</v>
      </c>
      <c r="R561" t="s">
        <v>1812</v>
      </c>
      <c r="S561">
        <v>484.60230000000001</v>
      </c>
      <c r="W561" s="12" t="s">
        <v>9</v>
      </c>
      <c r="X561" s="12" t="s">
        <v>1530</v>
      </c>
      <c r="Y561">
        <v>484.60230000000001</v>
      </c>
      <c r="AF561">
        <v>484.60230000000001</v>
      </c>
      <c r="AG561" t="s">
        <v>1742</v>
      </c>
    </row>
    <row r="562" spans="1:33" x14ac:dyDescent="0.3">
      <c r="A562" t="s">
        <v>614</v>
      </c>
      <c r="B562" s="2">
        <v>45326</v>
      </c>
      <c r="C562">
        <v>792.09600000000012</v>
      </c>
      <c r="D562" t="s">
        <v>1807</v>
      </c>
      <c r="E562">
        <v>29</v>
      </c>
      <c r="F562" t="s">
        <v>9</v>
      </c>
      <c r="G562" t="s">
        <v>1527</v>
      </c>
      <c r="H562" t="s">
        <v>1767</v>
      </c>
      <c r="L562" s="2">
        <v>45326</v>
      </c>
      <c r="M562">
        <v>792.09600000000012</v>
      </c>
      <c r="R562" t="s">
        <v>1807</v>
      </c>
      <c r="S562">
        <v>792.09600000000012</v>
      </c>
      <c r="W562" s="11" t="s">
        <v>9</v>
      </c>
      <c r="X562" s="11" t="s">
        <v>1527</v>
      </c>
      <c r="Y562">
        <v>792.09600000000012</v>
      </c>
      <c r="AF562">
        <v>792.09600000000012</v>
      </c>
      <c r="AG562" t="s">
        <v>1767</v>
      </c>
    </row>
    <row r="563" spans="1:33" x14ac:dyDescent="0.3">
      <c r="A563" t="s">
        <v>596</v>
      </c>
      <c r="B563" s="2">
        <v>45459</v>
      </c>
      <c r="C563">
        <v>1528.4588000000001</v>
      </c>
      <c r="D563" t="s">
        <v>1809</v>
      </c>
      <c r="E563">
        <v>18</v>
      </c>
      <c r="F563" t="s">
        <v>9</v>
      </c>
      <c r="G563" t="s">
        <v>1546</v>
      </c>
      <c r="H563" t="s">
        <v>1742</v>
      </c>
      <c r="L563" s="2">
        <v>45459</v>
      </c>
      <c r="M563">
        <v>1528.4588000000001</v>
      </c>
      <c r="R563" t="s">
        <v>1809</v>
      </c>
      <c r="S563">
        <v>1528.4588000000001</v>
      </c>
      <c r="W563" s="12" t="s">
        <v>9</v>
      </c>
      <c r="X563" s="12" t="s">
        <v>1546</v>
      </c>
      <c r="Y563">
        <v>1528.4588000000001</v>
      </c>
      <c r="AF563">
        <v>1528.4588000000001</v>
      </c>
      <c r="AG563" t="s">
        <v>1742</v>
      </c>
    </row>
    <row r="564" spans="1:33" x14ac:dyDescent="0.3">
      <c r="A564" t="s">
        <v>111</v>
      </c>
      <c r="B564" s="2">
        <v>45715</v>
      </c>
      <c r="C564">
        <v>794.62400000000002</v>
      </c>
      <c r="D564" t="s">
        <v>1809</v>
      </c>
      <c r="E564">
        <v>31</v>
      </c>
      <c r="F564" t="s">
        <v>9</v>
      </c>
      <c r="G564" t="s">
        <v>1530</v>
      </c>
      <c r="H564" t="s">
        <v>1746</v>
      </c>
      <c r="L564" s="2">
        <v>45715</v>
      </c>
      <c r="M564">
        <v>794.62400000000002</v>
      </c>
      <c r="R564" t="s">
        <v>1809</v>
      </c>
      <c r="S564">
        <v>794.62400000000002</v>
      </c>
      <c r="W564" s="11" t="s">
        <v>9</v>
      </c>
      <c r="X564" s="11" t="s">
        <v>1530</v>
      </c>
      <c r="Y564">
        <v>794.62400000000002</v>
      </c>
      <c r="AF564">
        <v>794.62400000000002</v>
      </c>
      <c r="AG564" t="s">
        <v>1746</v>
      </c>
    </row>
    <row r="565" spans="1:33" x14ac:dyDescent="0.3">
      <c r="A565" t="s">
        <v>56</v>
      </c>
      <c r="B565" s="2">
        <v>45223</v>
      </c>
      <c r="C565">
        <v>2163.1104</v>
      </c>
      <c r="D565" t="s">
        <v>1807</v>
      </c>
      <c r="E565">
        <v>55</v>
      </c>
      <c r="F565" t="s">
        <v>16</v>
      </c>
      <c r="G565" t="s">
        <v>1527</v>
      </c>
      <c r="H565" t="s">
        <v>1742</v>
      </c>
      <c r="L565" s="2">
        <v>45223</v>
      </c>
      <c r="M565">
        <v>2163.1104</v>
      </c>
      <c r="R565" t="s">
        <v>1807</v>
      </c>
      <c r="S565">
        <v>2163.1104</v>
      </c>
      <c r="W565" s="12" t="s">
        <v>16</v>
      </c>
      <c r="X565" s="12" t="s">
        <v>1527</v>
      </c>
      <c r="Y565">
        <v>2163.1104</v>
      </c>
      <c r="AF565">
        <v>2163.1104</v>
      </c>
      <c r="AG565" t="s">
        <v>1742</v>
      </c>
    </row>
    <row r="566" spans="1:33" x14ac:dyDescent="0.3">
      <c r="A566" t="s">
        <v>1382</v>
      </c>
      <c r="B566" s="2">
        <v>45507</v>
      </c>
      <c r="C566">
        <v>2509.1999999999998</v>
      </c>
      <c r="D566" t="s">
        <v>1807</v>
      </c>
      <c r="E566">
        <v>62</v>
      </c>
      <c r="F566" t="s">
        <v>16</v>
      </c>
      <c r="G566" t="s">
        <v>1541</v>
      </c>
      <c r="H566" t="s">
        <v>1746</v>
      </c>
      <c r="L566" s="2">
        <v>45507</v>
      </c>
      <c r="M566">
        <v>2509.1999999999998</v>
      </c>
      <c r="R566" t="s">
        <v>1807</v>
      </c>
      <c r="S566">
        <v>2509.1999999999998</v>
      </c>
      <c r="W566" s="11" t="s">
        <v>16</v>
      </c>
      <c r="X566" s="11" t="s">
        <v>1541</v>
      </c>
      <c r="Y566">
        <v>2509.1999999999998</v>
      </c>
      <c r="AF566">
        <v>2509.1999999999998</v>
      </c>
      <c r="AG566" t="s">
        <v>1746</v>
      </c>
    </row>
    <row r="567" spans="1:33" x14ac:dyDescent="0.3">
      <c r="A567" t="s">
        <v>498</v>
      </c>
      <c r="B567" s="2">
        <v>45843</v>
      </c>
      <c r="C567">
        <v>764.55679999999995</v>
      </c>
      <c r="D567" t="s">
        <v>1812</v>
      </c>
      <c r="E567">
        <v>24</v>
      </c>
      <c r="F567" t="s">
        <v>9</v>
      </c>
      <c r="G567" t="s">
        <v>1546</v>
      </c>
      <c r="H567" t="s">
        <v>1742</v>
      </c>
      <c r="L567" s="2">
        <v>45843</v>
      </c>
      <c r="M567">
        <v>764.55679999999995</v>
      </c>
      <c r="R567" t="s">
        <v>1812</v>
      </c>
      <c r="S567">
        <v>764.55679999999995</v>
      </c>
      <c r="W567" s="12" t="s">
        <v>9</v>
      </c>
      <c r="X567" s="12" t="s">
        <v>1546</v>
      </c>
      <c r="Y567">
        <v>764.55679999999995</v>
      </c>
      <c r="AF567">
        <v>764.55679999999995</v>
      </c>
      <c r="AG567" t="s">
        <v>1742</v>
      </c>
    </row>
    <row r="568" spans="1:33" x14ac:dyDescent="0.3">
      <c r="A568" t="s">
        <v>1434</v>
      </c>
      <c r="B568" s="2">
        <v>45804</v>
      </c>
      <c r="C568">
        <v>1331.4911999999999</v>
      </c>
      <c r="D568" t="s">
        <v>1809</v>
      </c>
      <c r="E568">
        <v>42</v>
      </c>
      <c r="F568" t="s">
        <v>9</v>
      </c>
      <c r="G568" t="s">
        <v>1530</v>
      </c>
      <c r="H568" t="s">
        <v>1742</v>
      </c>
      <c r="L568" s="2">
        <v>45804</v>
      </c>
      <c r="M568">
        <v>1331.4911999999999</v>
      </c>
      <c r="R568" t="s">
        <v>1809</v>
      </c>
      <c r="S568">
        <v>1331.4911999999999</v>
      </c>
      <c r="W568" s="11" t="s">
        <v>9</v>
      </c>
      <c r="X568" s="11" t="s">
        <v>1530</v>
      </c>
      <c r="Y568">
        <v>1331.4911999999999</v>
      </c>
      <c r="AF568">
        <v>1331.4911999999999</v>
      </c>
      <c r="AG568" t="s">
        <v>1742</v>
      </c>
    </row>
    <row r="569" spans="1:33" x14ac:dyDescent="0.3">
      <c r="A569" t="s">
        <v>1382</v>
      </c>
      <c r="B569" s="2">
        <v>45602</v>
      </c>
      <c r="C569">
        <v>1005.6288</v>
      </c>
      <c r="D569" t="s">
        <v>1809</v>
      </c>
      <c r="E569">
        <v>62</v>
      </c>
      <c r="F569" t="s">
        <v>16</v>
      </c>
      <c r="G569" t="s">
        <v>1541</v>
      </c>
      <c r="H569" t="s">
        <v>1746</v>
      </c>
      <c r="L569" s="2">
        <v>45602</v>
      </c>
      <c r="M569">
        <v>1005.6288</v>
      </c>
      <c r="R569" t="s">
        <v>1809</v>
      </c>
      <c r="S569">
        <v>1005.6288</v>
      </c>
      <c r="W569" s="12" t="s">
        <v>16</v>
      </c>
      <c r="X569" s="12" t="s">
        <v>1541</v>
      </c>
      <c r="Y569">
        <v>1005.6288</v>
      </c>
      <c r="AF569">
        <v>1005.6288</v>
      </c>
      <c r="AG569" t="s">
        <v>1746</v>
      </c>
    </row>
    <row r="570" spans="1:33" x14ac:dyDescent="0.3">
      <c r="A570" t="s">
        <v>1022</v>
      </c>
      <c r="B570" s="2">
        <v>45446</v>
      </c>
      <c r="C570">
        <v>1451.7328</v>
      </c>
      <c r="D570" t="s">
        <v>1809</v>
      </c>
      <c r="E570">
        <v>62</v>
      </c>
      <c r="F570" t="s">
        <v>16</v>
      </c>
      <c r="G570" t="s">
        <v>1549</v>
      </c>
      <c r="H570" t="s">
        <v>1737</v>
      </c>
      <c r="L570" s="2">
        <v>45446</v>
      </c>
      <c r="M570">
        <v>1451.7328</v>
      </c>
      <c r="R570" t="s">
        <v>1809</v>
      </c>
      <c r="S570">
        <v>1451.7328</v>
      </c>
      <c r="W570" s="11" t="s">
        <v>16</v>
      </c>
      <c r="X570" s="11" t="s">
        <v>1549</v>
      </c>
      <c r="Y570">
        <v>1451.7328</v>
      </c>
      <c r="AF570">
        <v>1451.7328</v>
      </c>
      <c r="AG570" t="s">
        <v>1737</v>
      </c>
    </row>
    <row r="571" spans="1:33" x14ac:dyDescent="0.3">
      <c r="A571" t="s">
        <v>368</v>
      </c>
      <c r="B571" s="2">
        <v>45384</v>
      </c>
      <c r="C571">
        <v>1279.2354</v>
      </c>
      <c r="D571" t="s">
        <v>1812</v>
      </c>
      <c r="E571">
        <v>53</v>
      </c>
      <c r="F571" t="s">
        <v>16</v>
      </c>
      <c r="G571" t="s">
        <v>1527</v>
      </c>
      <c r="H571" t="s">
        <v>1746</v>
      </c>
      <c r="L571" s="2">
        <v>45384</v>
      </c>
      <c r="M571">
        <v>1279.2354</v>
      </c>
      <c r="R571" t="s">
        <v>1812</v>
      </c>
      <c r="S571">
        <v>1279.2354</v>
      </c>
      <c r="W571" s="12" t="s">
        <v>16</v>
      </c>
      <c r="X571" s="12" t="s">
        <v>1527</v>
      </c>
      <c r="Y571">
        <v>1279.2354</v>
      </c>
      <c r="AF571">
        <v>1279.2354</v>
      </c>
      <c r="AG571" t="s">
        <v>1746</v>
      </c>
    </row>
    <row r="572" spans="1:33" x14ac:dyDescent="0.3">
      <c r="A572" t="s">
        <v>1407</v>
      </c>
      <c r="B572" s="2">
        <v>45348</v>
      </c>
      <c r="C572">
        <v>808.65719999999999</v>
      </c>
      <c r="D572" t="s">
        <v>1807</v>
      </c>
      <c r="E572">
        <v>34</v>
      </c>
      <c r="F572" t="s">
        <v>16</v>
      </c>
      <c r="G572" t="s">
        <v>1549</v>
      </c>
      <c r="H572" t="s">
        <v>1742</v>
      </c>
      <c r="L572" s="2">
        <v>45348</v>
      </c>
      <c r="M572">
        <v>808.65719999999999</v>
      </c>
      <c r="R572" t="s">
        <v>1807</v>
      </c>
      <c r="S572">
        <v>808.65719999999999</v>
      </c>
      <c r="W572" s="11" t="s">
        <v>16</v>
      </c>
      <c r="X572" s="11" t="s">
        <v>1549</v>
      </c>
      <c r="Y572">
        <v>808.65719999999999</v>
      </c>
      <c r="AF572">
        <v>808.65719999999999</v>
      </c>
      <c r="AG572" t="s">
        <v>1742</v>
      </c>
    </row>
    <row r="573" spans="1:33" x14ac:dyDescent="0.3">
      <c r="A573" t="s">
        <v>895</v>
      </c>
      <c r="B573" s="2">
        <v>45688</v>
      </c>
      <c r="C573">
        <v>964.77480000000003</v>
      </c>
      <c r="D573" t="s">
        <v>1809</v>
      </c>
      <c r="E573">
        <v>46</v>
      </c>
      <c r="F573" t="s">
        <v>16</v>
      </c>
      <c r="G573" t="s">
        <v>1530</v>
      </c>
      <c r="H573" t="s">
        <v>1742</v>
      </c>
      <c r="L573" s="2">
        <v>45688</v>
      </c>
      <c r="M573">
        <v>964.77480000000003</v>
      </c>
      <c r="R573" t="s">
        <v>1809</v>
      </c>
      <c r="S573">
        <v>964.77480000000003</v>
      </c>
      <c r="W573" s="12" t="s">
        <v>16</v>
      </c>
      <c r="X573" s="12" t="s">
        <v>1530</v>
      </c>
      <c r="Y573">
        <v>964.77480000000003</v>
      </c>
      <c r="AF573">
        <v>964.77480000000003</v>
      </c>
      <c r="AG573" t="s">
        <v>1742</v>
      </c>
    </row>
    <row r="574" spans="1:33" x14ac:dyDescent="0.3">
      <c r="A574" t="s">
        <v>157</v>
      </c>
      <c r="B574" s="2">
        <v>45249</v>
      </c>
      <c r="C574">
        <v>787.70069999999998</v>
      </c>
      <c r="D574" t="s">
        <v>1807</v>
      </c>
      <c r="E574">
        <v>21</v>
      </c>
      <c r="F574" t="s">
        <v>9</v>
      </c>
      <c r="G574" t="s">
        <v>1549</v>
      </c>
      <c r="H574" t="s">
        <v>1742</v>
      </c>
      <c r="L574" s="2">
        <v>45249</v>
      </c>
      <c r="M574">
        <v>787.70069999999998</v>
      </c>
      <c r="R574" t="s">
        <v>1807</v>
      </c>
      <c r="S574">
        <v>787.70069999999998</v>
      </c>
      <c r="W574" s="11" t="s">
        <v>9</v>
      </c>
      <c r="X574" s="11" t="s">
        <v>1549</v>
      </c>
      <c r="Y574">
        <v>787.70069999999998</v>
      </c>
      <c r="AF574">
        <v>787.70069999999998</v>
      </c>
      <c r="AG574" t="s">
        <v>1742</v>
      </c>
    </row>
    <row r="575" spans="1:33" x14ac:dyDescent="0.3">
      <c r="A575" t="s">
        <v>1181</v>
      </c>
      <c r="B575" s="2">
        <v>45726</v>
      </c>
      <c r="C575">
        <v>576.7944</v>
      </c>
      <c r="D575" t="s">
        <v>1809</v>
      </c>
      <c r="E575">
        <v>27</v>
      </c>
      <c r="F575" t="s">
        <v>16</v>
      </c>
      <c r="G575" t="s">
        <v>1546</v>
      </c>
      <c r="H575" t="s">
        <v>1742</v>
      </c>
      <c r="L575" s="2">
        <v>45726</v>
      </c>
      <c r="M575">
        <v>576.7944</v>
      </c>
      <c r="R575" t="s">
        <v>1809</v>
      </c>
      <c r="S575">
        <v>576.7944</v>
      </c>
      <c r="W575" s="12" t="s">
        <v>16</v>
      </c>
      <c r="X575" s="12" t="s">
        <v>1546</v>
      </c>
      <c r="Y575">
        <v>576.7944</v>
      </c>
      <c r="AF575">
        <v>576.7944</v>
      </c>
      <c r="AG575" t="s">
        <v>1742</v>
      </c>
    </row>
    <row r="576" spans="1:33" x14ac:dyDescent="0.3">
      <c r="A576" t="s">
        <v>1067</v>
      </c>
      <c r="B576" s="2">
        <v>45283</v>
      </c>
      <c r="C576">
        <v>1385.8368</v>
      </c>
      <c r="D576" t="s">
        <v>1812</v>
      </c>
      <c r="E576">
        <v>39</v>
      </c>
      <c r="F576" t="s">
        <v>9</v>
      </c>
      <c r="G576" t="s">
        <v>1527</v>
      </c>
      <c r="H576" t="s">
        <v>1746</v>
      </c>
      <c r="L576" s="2">
        <v>45283</v>
      </c>
      <c r="M576">
        <v>1385.8368</v>
      </c>
      <c r="R576" t="s">
        <v>1812</v>
      </c>
      <c r="S576">
        <v>1385.8368</v>
      </c>
      <c r="W576" s="11" t="s">
        <v>9</v>
      </c>
      <c r="X576" s="11" t="s">
        <v>1527</v>
      </c>
      <c r="Y576">
        <v>1385.8368</v>
      </c>
      <c r="AF576">
        <v>1385.8368</v>
      </c>
      <c r="AG576" t="s">
        <v>1746</v>
      </c>
    </row>
    <row r="577" spans="1:33" x14ac:dyDescent="0.3">
      <c r="A577" t="s">
        <v>756</v>
      </c>
      <c r="B577" s="2">
        <v>45353</v>
      </c>
      <c r="C577">
        <v>918.92480000000012</v>
      </c>
      <c r="D577" t="s">
        <v>1812</v>
      </c>
      <c r="E577">
        <v>40</v>
      </c>
      <c r="F577" t="s">
        <v>9</v>
      </c>
      <c r="G577" t="s">
        <v>1549</v>
      </c>
      <c r="H577" t="s">
        <v>1742</v>
      </c>
      <c r="L577" s="2">
        <v>45353</v>
      </c>
      <c r="M577">
        <v>918.92480000000012</v>
      </c>
      <c r="R577" t="s">
        <v>1812</v>
      </c>
      <c r="S577">
        <v>918.92480000000012</v>
      </c>
      <c r="W577" s="12" t="s">
        <v>9</v>
      </c>
      <c r="X577" s="12" t="s">
        <v>1549</v>
      </c>
      <c r="Y577">
        <v>918.92480000000012</v>
      </c>
      <c r="AF577">
        <v>918.92480000000012</v>
      </c>
      <c r="AG577" t="s">
        <v>1742</v>
      </c>
    </row>
    <row r="578" spans="1:33" x14ac:dyDescent="0.3">
      <c r="A578" t="s">
        <v>904</v>
      </c>
      <c r="B578" s="2">
        <v>45592</v>
      </c>
      <c r="C578">
        <v>922.36099999999988</v>
      </c>
      <c r="D578" t="s">
        <v>1809</v>
      </c>
      <c r="E578">
        <v>58</v>
      </c>
      <c r="F578" t="s">
        <v>9</v>
      </c>
      <c r="G578" t="s">
        <v>1541</v>
      </c>
      <c r="H578" t="s">
        <v>1742</v>
      </c>
      <c r="L578" s="2">
        <v>45592</v>
      </c>
      <c r="M578">
        <v>922.36099999999988</v>
      </c>
      <c r="R578" t="s">
        <v>1809</v>
      </c>
      <c r="S578">
        <v>922.36099999999988</v>
      </c>
      <c r="W578" s="11" t="s">
        <v>9</v>
      </c>
      <c r="X578" s="11" t="s">
        <v>1541</v>
      </c>
      <c r="Y578">
        <v>922.36099999999988</v>
      </c>
      <c r="AF578">
        <v>922.36099999999988</v>
      </c>
      <c r="AG578" t="s">
        <v>1742</v>
      </c>
    </row>
    <row r="579" spans="1:33" x14ac:dyDescent="0.3">
      <c r="A579" t="s">
        <v>41</v>
      </c>
      <c r="B579" s="2">
        <v>45360</v>
      </c>
      <c r="C579">
        <v>1451.7072000000001</v>
      </c>
      <c r="D579" t="s">
        <v>1809</v>
      </c>
      <c r="E579">
        <v>53</v>
      </c>
      <c r="F579" t="s">
        <v>16</v>
      </c>
      <c r="G579" t="s">
        <v>1549</v>
      </c>
      <c r="H579" t="s">
        <v>1746</v>
      </c>
      <c r="L579" s="2">
        <v>45360</v>
      </c>
      <c r="M579">
        <v>1451.7072000000001</v>
      </c>
      <c r="R579" t="s">
        <v>1809</v>
      </c>
      <c r="S579">
        <v>1451.7072000000001</v>
      </c>
      <c r="W579" s="12" t="s">
        <v>16</v>
      </c>
      <c r="X579" s="12" t="s">
        <v>1549</v>
      </c>
      <c r="Y579">
        <v>1451.7072000000001</v>
      </c>
      <c r="AF579">
        <v>1451.7072000000001</v>
      </c>
      <c r="AG579" t="s">
        <v>1746</v>
      </c>
    </row>
    <row r="580" spans="1:33" x14ac:dyDescent="0.3">
      <c r="A580" t="s">
        <v>717</v>
      </c>
      <c r="B580" s="2">
        <v>45649</v>
      </c>
      <c r="C580">
        <v>51.302599999999998</v>
      </c>
      <c r="D580" t="s">
        <v>1809</v>
      </c>
      <c r="E580">
        <v>29</v>
      </c>
      <c r="F580" t="s">
        <v>9</v>
      </c>
      <c r="G580" t="s">
        <v>1549</v>
      </c>
      <c r="H580" t="s">
        <v>1742</v>
      </c>
      <c r="L580" s="2">
        <v>45649</v>
      </c>
      <c r="M580">
        <v>51.302599999999998</v>
      </c>
      <c r="R580" t="s">
        <v>1809</v>
      </c>
      <c r="S580">
        <v>51.302599999999998</v>
      </c>
      <c r="W580" s="11" t="s">
        <v>9</v>
      </c>
      <c r="X580" s="11" t="s">
        <v>1549</v>
      </c>
      <c r="Y580">
        <v>51.302599999999998</v>
      </c>
      <c r="AF580">
        <v>51.302599999999998</v>
      </c>
      <c r="AG580" t="s">
        <v>1742</v>
      </c>
    </row>
    <row r="581" spans="1:33" x14ac:dyDescent="0.3">
      <c r="A581" t="s">
        <v>460</v>
      </c>
      <c r="B581" s="2">
        <v>45709</v>
      </c>
      <c r="C581">
        <v>1015.32</v>
      </c>
      <c r="D581" t="s">
        <v>1812</v>
      </c>
      <c r="E581">
        <v>55</v>
      </c>
      <c r="F581" t="s">
        <v>16</v>
      </c>
      <c r="G581" t="s">
        <v>1546</v>
      </c>
      <c r="H581" t="s">
        <v>1746</v>
      </c>
      <c r="L581" s="2">
        <v>45709</v>
      </c>
      <c r="M581">
        <v>1015.32</v>
      </c>
      <c r="R581" t="s">
        <v>1812</v>
      </c>
      <c r="S581">
        <v>1015.32</v>
      </c>
      <c r="W581" s="12" t="s">
        <v>16</v>
      </c>
      <c r="X581" s="12" t="s">
        <v>1546</v>
      </c>
      <c r="Y581">
        <v>1015.32</v>
      </c>
      <c r="AF581">
        <v>1015.32</v>
      </c>
      <c r="AG581" t="s">
        <v>1746</v>
      </c>
    </row>
    <row r="582" spans="1:33" x14ac:dyDescent="0.3">
      <c r="A582" t="s">
        <v>771</v>
      </c>
      <c r="B582" s="2">
        <v>45273</v>
      </c>
      <c r="C582">
        <v>3756.8876</v>
      </c>
      <c r="D582" t="s">
        <v>1809</v>
      </c>
      <c r="E582">
        <v>56</v>
      </c>
      <c r="F582" t="s">
        <v>16</v>
      </c>
      <c r="G582" t="s">
        <v>1549</v>
      </c>
      <c r="H582" t="s">
        <v>1746</v>
      </c>
      <c r="L582" s="2">
        <v>45273</v>
      </c>
      <c r="M582">
        <v>3756.8876</v>
      </c>
      <c r="R582" t="s">
        <v>1809</v>
      </c>
      <c r="S582">
        <v>3756.8876</v>
      </c>
      <c r="W582" s="11" t="s">
        <v>16</v>
      </c>
      <c r="X582" s="11" t="s">
        <v>1549</v>
      </c>
      <c r="Y582">
        <v>3756.8876</v>
      </c>
      <c r="AF582">
        <v>3756.8876</v>
      </c>
      <c r="AG582" t="s">
        <v>1746</v>
      </c>
    </row>
    <row r="583" spans="1:33" x14ac:dyDescent="0.3">
      <c r="A583" t="s">
        <v>79</v>
      </c>
      <c r="B583" s="2">
        <v>45250</v>
      </c>
      <c r="C583">
        <v>1633.056</v>
      </c>
      <c r="D583" t="s">
        <v>1809</v>
      </c>
      <c r="E583">
        <v>43</v>
      </c>
      <c r="F583" t="s">
        <v>9</v>
      </c>
      <c r="G583" t="s">
        <v>1549</v>
      </c>
      <c r="H583" t="s">
        <v>1742</v>
      </c>
      <c r="L583" s="2">
        <v>45250</v>
      </c>
      <c r="M583">
        <v>1633.056</v>
      </c>
      <c r="R583" t="s">
        <v>1809</v>
      </c>
      <c r="S583">
        <v>1633.056</v>
      </c>
      <c r="W583" s="12" t="s">
        <v>9</v>
      </c>
      <c r="X583" s="12" t="s">
        <v>1549</v>
      </c>
      <c r="Y583">
        <v>1633.056</v>
      </c>
      <c r="AF583">
        <v>1633.056</v>
      </c>
      <c r="AG583" t="s">
        <v>1742</v>
      </c>
    </row>
    <row r="584" spans="1:33" x14ac:dyDescent="0.3">
      <c r="A584" t="s">
        <v>56</v>
      </c>
      <c r="B584" s="2">
        <v>45539</v>
      </c>
      <c r="C584">
        <v>257.03719999999998</v>
      </c>
      <c r="D584" t="s">
        <v>1812</v>
      </c>
      <c r="E584">
        <v>55</v>
      </c>
      <c r="F584" t="s">
        <v>16</v>
      </c>
      <c r="G584" t="s">
        <v>1549</v>
      </c>
      <c r="H584" t="s">
        <v>1742</v>
      </c>
      <c r="L584" s="2">
        <v>45539</v>
      </c>
      <c r="M584">
        <v>257.03719999999998</v>
      </c>
      <c r="R584" t="s">
        <v>1812</v>
      </c>
      <c r="S584">
        <v>257.03719999999998</v>
      </c>
      <c r="W584" s="11" t="s">
        <v>16</v>
      </c>
      <c r="X584" s="11" t="s">
        <v>1549</v>
      </c>
      <c r="Y584">
        <v>257.03719999999998</v>
      </c>
      <c r="AF584">
        <v>257.03719999999998</v>
      </c>
      <c r="AG584" t="s">
        <v>1742</v>
      </c>
    </row>
    <row r="585" spans="1:33" x14ac:dyDescent="0.3">
      <c r="A585" t="s">
        <v>477</v>
      </c>
      <c r="B585" s="2">
        <v>45810</v>
      </c>
      <c r="C585">
        <v>122.7324</v>
      </c>
      <c r="D585" t="s">
        <v>1807</v>
      </c>
      <c r="E585">
        <v>46</v>
      </c>
      <c r="F585" t="s">
        <v>9</v>
      </c>
      <c r="G585" t="s">
        <v>1527</v>
      </c>
      <c r="H585" t="s">
        <v>1742</v>
      </c>
      <c r="L585" s="2">
        <v>45810</v>
      </c>
      <c r="M585">
        <v>122.7324</v>
      </c>
      <c r="R585" t="s">
        <v>1807</v>
      </c>
      <c r="S585">
        <v>122.7324</v>
      </c>
      <c r="W585" s="12" t="s">
        <v>9</v>
      </c>
      <c r="X585" s="12" t="s">
        <v>1527</v>
      </c>
      <c r="Y585">
        <v>122.7324</v>
      </c>
      <c r="AF585">
        <v>122.7324</v>
      </c>
      <c r="AG585" t="s">
        <v>1742</v>
      </c>
    </row>
    <row r="586" spans="1:33" x14ac:dyDescent="0.3">
      <c r="A586" t="s">
        <v>1166</v>
      </c>
      <c r="B586" s="2">
        <v>45350</v>
      </c>
      <c r="C586">
        <v>31.239000000000001</v>
      </c>
      <c r="D586" t="s">
        <v>1812</v>
      </c>
      <c r="E586">
        <v>44</v>
      </c>
      <c r="F586" t="s">
        <v>16</v>
      </c>
      <c r="G586" t="s">
        <v>1527</v>
      </c>
      <c r="H586" t="s">
        <v>1746</v>
      </c>
      <c r="L586" s="2">
        <v>45350</v>
      </c>
      <c r="M586">
        <v>31.239000000000001</v>
      </c>
      <c r="R586" t="s">
        <v>1812</v>
      </c>
      <c r="S586">
        <v>31.239000000000001</v>
      </c>
      <c r="W586" s="11" t="s">
        <v>16</v>
      </c>
      <c r="X586" s="11" t="s">
        <v>1527</v>
      </c>
      <c r="Y586">
        <v>31.239000000000001</v>
      </c>
      <c r="AF586">
        <v>31.239000000000001</v>
      </c>
      <c r="AG586" t="s">
        <v>1746</v>
      </c>
    </row>
    <row r="587" spans="1:33" x14ac:dyDescent="0.3">
      <c r="A587" t="s">
        <v>732</v>
      </c>
      <c r="B587" s="2">
        <v>45633</v>
      </c>
      <c r="C587">
        <v>1475.8869999999999</v>
      </c>
      <c r="D587" t="s">
        <v>1809</v>
      </c>
      <c r="E587">
        <v>29</v>
      </c>
      <c r="F587" t="s">
        <v>9</v>
      </c>
      <c r="G587" t="s">
        <v>1546</v>
      </c>
      <c r="H587" t="s">
        <v>1742</v>
      </c>
      <c r="L587" s="2">
        <v>45633</v>
      </c>
      <c r="M587">
        <v>1475.8869999999999</v>
      </c>
      <c r="R587" t="s">
        <v>1809</v>
      </c>
      <c r="S587">
        <v>1475.8869999999999</v>
      </c>
      <c r="W587" s="12" t="s">
        <v>9</v>
      </c>
      <c r="X587" s="12" t="s">
        <v>1546</v>
      </c>
      <c r="Y587">
        <v>1475.8869999999999</v>
      </c>
      <c r="AF587">
        <v>1475.8869999999999</v>
      </c>
      <c r="AG587" t="s">
        <v>1742</v>
      </c>
    </row>
    <row r="588" spans="1:33" x14ac:dyDescent="0.3">
      <c r="A588" t="s">
        <v>836</v>
      </c>
      <c r="B588" s="2">
        <v>45798</v>
      </c>
      <c r="C588">
        <v>867.34800000000007</v>
      </c>
      <c r="D588" t="s">
        <v>1812</v>
      </c>
      <c r="E588">
        <v>38</v>
      </c>
      <c r="F588" t="s">
        <v>9</v>
      </c>
      <c r="G588" t="s">
        <v>1546</v>
      </c>
      <c r="H588" t="s">
        <v>1742</v>
      </c>
      <c r="L588" s="2">
        <v>45798</v>
      </c>
      <c r="M588">
        <v>867.34800000000007</v>
      </c>
      <c r="R588" t="s">
        <v>1812</v>
      </c>
      <c r="S588">
        <v>867.34800000000007</v>
      </c>
      <c r="W588" s="11" t="s">
        <v>9</v>
      </c>
      <c r="X588" s="11" t="s">
        <v>1546</v>
      </c>
      <c r="Y588">
        <v>867.34800000000007</v>
      </c>
      <c r="AF588">
        <v>867.34800000000007</v>
      </c>
      <c r="AG588" t="s">
        <v>1742</v>
      </c>
    </row>
    <row r="589" spans="1:33" x14ac:dyDescent="0.3">
      <c r="A589" t="s">
        <v>492</v>
      </c>
      <c r="B589" s="2">
        <v>45354</v>
      </c>
      <c r="C589">
        <v>2965.1507999999999</v>
      </c>
      <c r="D589" t="s">
        <v>1812</v>
      </c>
      <c r="E589">
        <v>42</v>
      </c>
      <c r="F589" t="s">
        <v>16</v>
      </c>
      <c r="G589" t="s">
        <v>1549</v>
      </c>
      <c r="H589" t="s">
        <v>1746</v>
      </c>
      <c r="L589" s="2">
        <v>45354</v>
      </c>
      <c r="M589">
        <v>2965.1507999999999</v>
      </c>
      <c r="R589" t="s">
        <v>1812</v>
      </c>
      <c r="S589">
        <v>2965.1507999999999</v>
      </c>
      <c r="W589" s="12" t="s">
        <v>16</v>
      </c>
      <c r="X589" s="12" t="s">
        <v>1549</v>
      </c>
      <c r="Y589">
        <v>2965.1507999999999</v>
      </c>
      <c r="AF589">
        <v>2965.1507999999999</v>
      </c>
      <c r="AG589" t="s">
        <v>1746</v>
      </c>
    </row>
    <row r="590" spans="1:33" x14ac:dyDescent="0.3">
      <c r="A590" t="s">
        <v>691</v>
      </c>
      <c r="B590" s="2">
        <v>45357</v>
      </c>
      <c r="C590">
        <v>243.42150000000001</v>
      </c>
      <c r="D590" t="s">
        <v>1809</v>
      </c>
      <c r="E590">
        <v>50</v>
      </c>
      <c r="F590" t="s">
        <v>16</v>
      </c>
      <c r="G590" t="s">
        <v>1541</v>
      </c>
      <c r="H590" t="s">
        <v>1742</v>
      </c>
      <c r="L590" s="2">
        <v>45357</v>
      </c>
      <c r="M590">
        <v>243.42150000000001</v>
      </c>
      <c r="R590" t="s">
        <v>1809</v>
      </c>
      <c r="S590">
        <v>243.42150000000001</v>
      </c>
      <c r="W590" s="11" t="s">
        <v>16</v>
      </c>
      <c r="X590" s="11" t="s">
        <v>1541</v>
      </c>
      <c r="Y590">
        <v>243.42150000000001</v>
      </c>
      <c r="AF590">
        <v>243.42150000000001</v>
      </c>
      <c r="AG590" t="s">
        <v>1742</v>
      </c>
    </row>
    <row r="591" spans="1:33" x14ac:dyDescent="0.3">
      <c r="A591" t="s">
        <v>1013</v>
      </c>
      <c r="B591" s="2">
        <v>45257</v>
      </c>
      <c r="C591">
        <v>2383.6680000000001</v>
      </c>
      <c r="D591" t="s">
        <v>1807</v>
      </c>
      <c r="E591">
        <v>58</v>
      </c>
      <c r="F591" t="s">
        <v>16</v>
      </c>
      <c r="G591" t="s">
        <v>1530</v>
      </c>
      <c r="H591" t="s">
        <v>1742</v>
      </c>
      <c r="L591" s="2">
        <v>45257</v>
      </c>
      <c r="M591">
        <v>2383.6680000000001</v>
      </c>
      <c r="R591" t="s">
        <v>1807</v>
      </c>
      <c r="S591">
        <v>2383.6680000000001</v>
      </c>
      <c r="W591" s="12" t="s">
        <v>16</v>
      </c>
      <c r="X591" s="12" t="s">
        <v>1530</v>
      </c>
      <c r="Y591">
        <v>2383.6680000000001</v>
      </c>
      <c r="AF591">
        <v>2383.6680000000001</v>
      </c>
      <c r="AG591" t="s">
        <v>1742</v>
      </c>
    </row>
    <row r="592" spans="1:33" x14ac:dyDescent="0.3">
      <c r="A592" t="s">
        <v>466</v>
      </c>
      <c r="B592" s="2">
        <v>45702</v>
      </c>
      <c r="C592">
        <v>2201.7408</v>
      </c>
      <c r="D592" t="s">
        <v>1812</v>
      </c>
      <c r="E592">
        <v>32</v>
      </c>
      <c r="F592" t="s">
        <v>9</v>
      </c>
      <c r="G592" t="s">
        <v>1549</v>
      </c>
      <c r="H592" t="s">
        <v>1742</v>
      </c>
      <c r="L592" s="2">
        <v>45702</v>
      </c>
      <c r="M592">
        <v>2201.7408</v>
      </c>
      <c r="R592" t="s">
        <v>1812</v>
      </c>
      <c r="S592">
        <v>2201.7408</v>
      </c>
      <c r="W592" s="11" t="s">
        <v>9</v>
      </c>
      <c r="X592" s="11" t="s">
        <v>1549</v>
      </c>
      <c r="Y592">
        <v>2201.7408</v>
      </c>
      <c r="AF592">
        <v>2201.7408</v>
      </c>
      <c r="AG592" t="s">
        <v>1742</v>
      </c>
    </row>
    <row r="593" spans="1:33" x14ac:dyDescent="0.3">
      <c r="A593" t="s">
        <v>216</v>
      </c>
      <c r="B593" s="2">
        <v>45318</v>
      </c>
      <c r="C593">
        <v>1793.4336000000001</v>
      </c>
      <c r="D593" t="s">
        <v>1807</v>
      </c>
      <c r="E593">
        <v>53</v>
      </c>
      <c r="F593" t="s">
        <v>9</v>
      </c>
      <c r="G593" t="s">
        <v>1541</v>
      </c>
      <c r="H593" t="s">
        <v>1742</v>
      </c>
      <c r="L593" s="2">
        <v>45318</v>
      </c>
      <c r="M593">
        <v>1793.4336000000001</v>
      </c>
      <c r="R593" t="s">
        <v>1807</v>
      </c>
      <c r="S593">
        <v>1793.4336000000001</v>
      </c>
      <c r="W593" s="12" t="s">
        <v>9</v>
      </c>
      <c r="X593" s="12" t="s">
        <v>1541</v>
      </c>
      <c r="Y593">
        <v>1793.4336000000001</v>
      </c>
      <c r="AF593">
        <v>1793.4336000000001</v>
      </c>
      <c r="AG593" t="s">
        <v>1742</v>
      </c>
    </row>
    <row r="594" spans="1:33" x14ac:dyDescent="0.3">
      <c r="A594" t="s">
        <v>1199</v>
      </c>
      <c r="B594" s="2">
        <v>45943</v>
      </c>
      <c r="C594">
        <v>592.20720000000006</v>
      </c>
      <c r="D594" t="s">
        <v>1807</v>
      </c>
      <c r="E594">
        <v>50</v>
      </c>
      <c r="F594" t="s">
        <v>9</v>
      </c>
      <c r="G594" t="s">
        <v>1527</v>
      </c>
      <c r="H594" t="s">
        <v>1742</v>
      </c>
      <c r="L594" s="2">
        <v>45943</v>
      </c>
      <c r="M594">
        <v>592.20720000000006</v>
      </c>
      <c r="R594" t="s">
        <v>1807</v>
      </c>
      <c r="S594">
        <v>592.20720000000006</v>
      </c>
      <c r="W594" s="11" t="s">
        <v>9</v>
      </c>
      <c r="X594" s="11" t="s">
        <v>1527</v>
      </c>
      <c r="Y594">
        <v>592.20720000000006</v>
      </c>
      <c r="AF594">
        <v>592.20720000000006</v>
      </c>
      <c r="AG594" t="s">
        <v>1742</v>
      </c>
    </row>
    <row r="595" spans="1:33" x14ac:dyDescent="0.3">
      <c r="A595" t="s">
        <v>203</v>
      </c>
      <c r="B595" s="2">
        <v>45769</v>
      </c>
      <c r="C595">
        <v>3271.7496000000001</v>
      </c>
      <c r="D595" t="s">
        <v>1812</v>
      </c>
      <c r="E595">
        <v>56</v>
      </c>
      <c r="F595" t="s">
        <v>16</v>
      </c>
      <c r="G595" t="s">
        <v>1549</v>
      </c>
      <c r="H595" t="s">
        <v>1742</v>
      </c>
      <c r="L595" s="2">
        <v>45769</v>
      </c>
      <c r="M595">
        <v>3271.7496000000001</v>
      </c>
      <c r="R595" t="s">
        <v>1812</v>
      </c>
      <c r="S595">
        <v>3271.7496000000001</v>
      </c>
      <c r="W595" s="12" t="s">
        <v>16</v>
      </c>
      <c r="X595" s="12" t="s">
        <v>1549</v>
      </c>
      <c r="Y595">
        <v>3271.7496000000001</v>
      </c>
      <c r="AF595">
        <v>3271.7496000000001</v>
      </c>
      <c r="AG595" t="s">
        <v>1742</v>
      </c>
    </row>
    <row r="596" spans="1:33" x14ac:dyDescent="0.3">
      <c r="A596" t="s">
        <v>646</v>
      </c>
      <c r="B596" s="2">
        <v>45765</v>
      </c>
      <c r="C596">
        <v>55.216700000000003</v>
      </c>
      <c r="D596" t="s">
        <v>1812</v>
      </c>
      <c r="E596">
        <v>30</v>
      </c>
      <c r="F596" t="s">
        <v>9</v>
      </c>
      <c r="G596" t="s">
        <v>1527</v>
      </c>
      <c r="H596" t="s">
        <v>1746</v>
      </c>
      <c r="L596" s="2">
        <v>45765</v>
      </c>
      <c r="M596">
        <v>55.216700000000003</v>
      </c>
      <c r="R596" t="s">
        <v>1812</v>
      </c>
      <c r="S596">
        <v>55.216700000000003</v>
      </c>
      <c r="W596" s="11" t="s">
        <v>9</v>
      </c>
      <c r="X596" s="11" t="s">
        <v>1527</v>
      </c>
      <c r="Y596">
        <v>55.216700000000003</v>
      </c>
      <c r="AF596">
        <v>55.216700000000003</v>
      </c>
      <c r="AG596" t="s">
        <v>1746</v>
      </c>
    </row>
    <row r="597" spans="1:33" x14ac:dyDescent="0.3">
      <c r="A597" t="s">
        <v>569</v>
      </c>
      <c r="B597" s="2">
        <v>45891</v>
      </c>
      <c r="C597">
        <v>3400.733999999999</v>
      </c>
      <c r="D597" t="s">
        <v>1812</v>
      </c>
      <c r="E597">
        <v>26</v>
      </c>
      <c r="F597" t="s">
        <v>16</v>
      </c>
      <c r="G597" t="s">
        <v>1549</v>
      </c>
      <c r="H597" t="s">
        <v>1746</v>
      </c>
      <c r="L597" s="2">
        <v>45891</v>
      </c>
      <c r="M597">
        <v>3400.733999999999</v>
      </c>
      <c r="R597" t="s">
        <v>1812</v>
      </c>
      <c r="S597">
        <v>3400.733999999999</v>
      </c>
      <c r="W597" s="12" t="s">
        <v>16</v>
      </c>
      <c r="X597" s="12" t="s">
        <v>1549</v>
      </c>
      <c r="Y597">
        <v>3400.733999999999</v>
      </c>
      <c r="AF597">
        <v>3400.733999999999</v>
      </c>
      <c r="AG597" t="s">
        <v>1746</v>
      </c>
    </row>
    <row r="598" spans="1:33" x14ac:dyDescent="0.3">
      <c r="A598" t="s">
        <v>655</v>
      </c>
      <c r="B598" s="2">
        <v>45842</v>
      </c>
      <c r="C598">
        <v>3028.2264</v>
      </c>
      <c r="D598" t="s">
        <v>1812</v>
      </c>
      <c r="E598">
        <v>47</v>
      </c>
      <c r="F598" t="s">
        <v>9</v>
      </c>
      <c r="G598" t="s">
        <v>1527</v>
      </c>
      <c r="H598" t="s">
        <v>1767</v>
      </c>
      <c r="L598" s="2">
        <v>45842</v>
      </c>
      <c r="M598">
        <v>3028.2264</v>
      </c>
      <c r="R598" t="s">
        <v>1812</v>
      </c>
      <c r="S598">
        <v>3028.2264</v>
      </c>
      <c r="W598" s="11" t="s">
        <v>9</v>
      </c>
      <c r="X598" s="11" t="s">
        <v>1527</v>
      </c>
      <c r="Y598">
        <v>3028.2264</v>
      </c>
      <c r="AF598">
        <v>3028.2264</v>
      </c>
      <c r="AG598" t="s">
        <v>1767</v>
      </c>
    </row>
    <row r="599" spans="1:33" x14ac:dyDescent="0.3">
      <c r="A599" t="s">
        <v>877</v>
      </c>
      <c r="B599" s="2">
        <v>45382</v>
      </c>
      <c r="C599">
        <v>1039.1135999999999</v>
      </c>
      <c r="D599" t="s">
        <v>1809</v>
      </c>
      <c r="E599">
        <v>21</v>
      </c>
      <c r="F599" t="s">
        <v>16</v>
      </c>
      <c r="G599" t="s">
        <v>1541</v>
      </c>
      <c r="H599" t="s">
        <v>1746</v>
      </c>
      <c r="L599" s="2">
        <v>45382</v>
      </c>
      <c r="M599">
        <v>1039.1135999999999</v>
      </c>
      <c r="R599" t="s">
        <v>1809</v>
      </c>
      <c r="S599">
        <v>1039.1135999999999</v>
      </c>
      <c r="W599" s="12" t="s">
        <v>16</v>
      </c>
      <c r="X599" s="12" t="s">
        <v>1541</v>
      </c>
      <c r="Y599">
        <v>1039.1135999999999</v>
      </c>
      <c r="AF599">
        <v>1039.1135999999999</v>
      </c>
      <c r="AG599" t="s">
        <v>1746</v>
      </c>
    </row>
    <row r="600" spans="1:33" x14ac:dyDescent="0.3">
      <c r="A600" t="s">
        <v>783</v>
      </c>
      <c r="B600" s="2">
        <v>45236</v>
      </c>
      <c r="C600">
        <v>2080.2770999999998</v>
      </c>
      <c r="D600" t="s">
        <v>1812</v>
      </c>
      <c r="E600">
        <v>32</v>
      </c>
      <c r="F600" t="s">
        <v>9</v>
      </c>
      <c r="G600" t="s">
        <v>1546</v>
      </c>
      <c r="H600" t="s">
        <v>1767</v>
      </c>
      <c r="L600" s="2">
        <v>45236</v>
      </c>
      <c r="M600">
        <v>2080.2770999999998</v>
      </c>
      <c r="R600" t="s">
        <v>1812</v>
      </c>
      <c r="S600">
        <v>2080.2770999999998</v>
      </c>
      <c r="W600" s="11" t="s">
        <v>9</v>
      </c>
      <c r="X600" s="11" t="s">
        <v>1546</v>
      </c>
      <c r="Y600">
        <v>2080.2770999999998</v>
      </c>
      <c r="AF600">
        <v>2080.2770999999998</v>
      </c>
      <c r="AG600" t="s">
        <v>1767</v>
      </c>
    </row>
    <row r="601" spans="1:33" x14ac:dyDescent="0.3">
      <c r="A601" t="s">
        <v>1055</v>
      </c>
      <c r="B601" s="2">
        <v>45806</v>
      </c>
      <c r="C601">
        <v>1349.7692</v>
      </c>
      <c r="D601" t="s">
        <v>1809</v>
      </c>
      <c r="E601">
        <v>27</v>
      </c>
      <c r="F601" t="s">
        <v>9</v>
      </c>
      <c r="G601" t="s">
        <v>1541</v>
      </c>
      <c r="H601" t="s">
        <v>1746</v>
      </c>
      <c r="L601" s="2">
        <v>45806</v>
      </c>
      <c r="M601">
        <v>1349.7692</v>
      </c>
      <c r="R601" t="s">
        <v>1809</v>
      </c>
      <c r="S601">
        <v>1349.7692</v>
      </c>
      <c r="W601" s="12" t="s">
        <v>9</v>
      </c>
      <c r="X601" s="12" t="s">
        <v>1541</v>
      </c>
      <c r="Y601">
        <v>1349.7692</v>
      </c>
      <c r="AF601">
        <v>1349.7692</v>
      </c>
      <c r="AG601" t="s">
        <v>1746</v>
      </c>
    </row>
    <row r="602" spans="1:33" x14ac:dyDescent="0.3">
      <c r="A602" t="s">
        <v>809</v>
      </c>
      <c r="B602" s="2">
        <v>45401</v>
      </c>
      <c r="C602">
        <v>92.722300000000004</v>
      </c>
      <c r="D602" t="s">
        <v>1807</v>
      </c>
      <c r="E602">
        <v>57</v>
      </c>
      <c r="F602" t="s">
        <v>9</v>
      </c>
      <c r="G602" t="s">
        <v>1527</v>
      </c>
      <c r="H602" t="s">
        <v>1737</v>
      </c>
      <c r="L602" s="2">
        <v>45401</v>
      </c>
      <c r="M602">
        <v>92.722300000000004</v>
      </c>
      <c r="R602" t="s">
        <v>1807</v>
      </c>
      <c r="S602">
        <v>92.722300000000004</v>
      </c>
      <c r="W602" s="11" t="s">
        <v>9</v>
      </c>
      <c r="X602" s="11" t="s">
        <v>1527</v>
      </c>
      <c r="Y602">
        <v>92.722300000000004</v>
      </c>
      <c r="AF602">
        <v>92.722300000000004</v>
      </c>
      <c r="AG602" t="s">
        <v>1737</v>
      </c>
    </row>
    <row r="603" spans="1:33" x14ac:dyDescent="0.3">
      <c r="A603" t="s">
        <v>365</v>
      </c>
      <c r="B603" s="2">
        <v>45716</v>
      </c>
      <c r="C603">
        <v>469.6508</v>
      </c>
      <c r="D603" t="s">
        <v>1807</v>
      </c>
      <c r="E603">
        <v>50</v>
      </c>
      <c r="F603" t="s">
        <v>16</v>
      </c>
      <c r="G603" t="s">
        <v>1527</v>
      </c>
      <c r="H603" t="s">
        <v>1742</v>
      </c>
      <c r="L603" s="2">
        <v>45716</v>
      </c>
      <c r="M603">
        <v>469.6508</v>
      </c>
      <c r="R603" t="s">
        <v>1807</v>
      </c>
      <c r="S603">
        <v>469.6508</v>
      </c>
      <c r="W603" s="12" t="s">
        <v>16</v>
      </c>
      <c r="X603" s="12" t="s">
        <v>1527</v>
      </c>
      <c r="Y603">
        <v>469.6508</v>
      </c>
      <c r="AF603">
        <v>469.6508</v>
      </c>
      <c r="AG603" t="s">
        <v>1742</v>
      </c>
    </row>
    <row r="604" spans="1:33" x14ac:dyDescent="0.3">
      <c r="A604" t="s">
        <v>1169</v>
      </c>
      <c r="B604" s="2">
        <v>45718</v>
      </c>
      <c r="C604">
        <v>1376.721</v>
      </c>
      <c r="D604" t="s">
        <v>1807</v>
      </c>
      <c r="E604">
        <v>34</v>
      </c>
      <c r="F604" t="s">
        <v>16</v>
      </c>
      <c r="G604" t="s">
        <v>1541</v>
      </c>
      <c r="H604" t="s">
        <v>1742</v>
      </c>
      <c r="L604" s="2">
        <v>45718</v>
      </c>
      <c r="M604">
        <v>1376.721</v>
      </c>
      <c r="R604" t="s">
        <v>1807</v>
      </c>
      <c r="S604">
        <v>1376.721</v>
      </c>
      <c r="W604" s="11" t="s">
        <v>16</v>
      </c>
      <c r="X604" s="11" t="s">
        <v>1541</v>
      </c>
      <c r="Y604">
        <v>1376.721</v>
      </c>
      <c r="AF604">
        <v>1376.721</v>
      </c>
      <c r="AG604" t="s">
        <v>1742</v>
      </c>
    </row>
    <row r="605" spans="1:33" x14ac:dyDescent="0.3">
      <c r="A605" t="s">
        <v>921</v>
      </c>
      <c r="B605" s="2">
        <v>45379</v>
      </c>
      <c r="C605">
        <v>796.63200000000006</v>
      </c>
      <c r="D605" t="s">
        <v>1809</v>
      </c>
      <c r="E605">
        <v>29</v>
      </c>
      <c r="F605" t="s">
        <v>9</v>
      </c>
      <c r="G605" t="s">
        <v>1549</v>
      </c>
      <c r="H605" t="s">
        <v>1746</v>
      </c>
      <c r="L605" s="2">
        <v>45379</v>
      </c>
      <c r="M605">
        <v>796.63200000000006</v>
      </c>
      <c r="R605" t="s">
        <v>1809</v>
      </c>
      <c r="S605">
        <v>796.63200000000006</v>
      </c>
      <c r="W605" s="12" t="s">
        <v>9</v>
      </c>
      <c r="X605" s="12" t="s">
        <v>1549</v>
      </c>
      <c r="Y605">
        <v>796.63200000000006</v>
      </c>
      <c r="AF605">
        <v>796.63200000000006</v>
      </c>
      <c r="AG605" t="s">
        <v>1746</v>
      </c>
    </row>
    <row r="606" spans="1:33" x14ac:dyDescent="0.3">
      <c r="A606" t="s">
        <v>1413</v>
      </c>
      <c r="B606" s="2">
        <v>45635</v>
      </c>
      <c r="C606">
        <v>2592.2763</v>
      </c>
      <c r="D606" t="s">
        <v>1812</v>
      </c>
      <c r="E606">
        <v>45</v>
      </c>
      <c r="F606" t="s">
        <v>16</v>
      </c>
      <c r="G606" t="s">
        <v>1527</v>
      </c>
      <c r="H606" t="s">
        <v>1742</v>
      </c>
      <c r="L606" s="2">
        <v>45635</v>
      </c>
      <c r="M606">
        <v>2592.2763</v>
      </c>
      <c r="R606" t="s">
        <v>1812</v>
      </c>
      <c r="S606">
        <v>2592.2763</v>
      </c>
      <c r="W606" s="11" t="s">
        <v>16</v>
      </c>
      <c r="X606" s="11" t="s">
        <v>1527</v>
      </c>
      <c r="Y606">
        <v>2592.2763</v>
      </c>
      <c r="AF606">
        <v>2592.2763</v>
      </c>
      <c r="AG606" t="s">
        <v>1742</v>
      </c>
    </row>
    <row r="607" spans="1:33" x14ac:dyDescent="0.3">
      <c r="A607" t="s">
        <v>697</v>
      </c>
      <c r="B607" s="2">
        <v>45222</v>
      </c>
      <c r="C607">
        <v>54.999000000000002</v>
      </c>
      <c r="D607" t="s">
        <v>1809</v>
      </c>
      <c r="E607">
        <v>42</v>
      </c>
      <c r="F607" t="s">
        <v>9</v>
      </c>
      <c r="G607" t="s">
        <v>1549</v>
      </c>
      <c r="H607" t="s">
        <v>1737</v>
      </c>
      <c r="L607" s="2">
        <v>45222</v>
      </c>
      <c r="M607">
        <v>54.999000000000002</v>
      </c>
      <c r="R607" t="s">
        <v>1809</v>
      </c>
      <c r="S607">
        <v>54.999000000000002</v>
      </c>
      <c r="W607" s="12" t="s">
        <v>9</v>
      </c>
      <c r="X607" s="12" t="s">
        <v>1549</v>
      </c>
      <c r="Y607">
        <v>54.999000000000002</v>
      </c>
      <c r="AF607">
        <v>54.999000000000002</v>
      </c>
      <c r="AG607" t="s">
        <v>1737</v>
      </c>
    </row>
    <row r="608" spans="1:33" x14ac:dyDescent="0.3">
      <c r="A608" t="s">
        <v>122</v>
      </c>
      <c r="B608" s="2">
        <v>45555</v>
      </c>
      <c r="C608">
        <v>2011.7483999999999</v>
      </c>
      <c r="D608" t="s">
        <v>1809</v>
      </c>
      <c r="E608">
        <v>64</v>
      </c>
      <c r="F608" t="s">
        <v>16</v>
      </c>
      <c r="G608" t="s">
        <v>1527</v>
      </c>
      <c r="H608" t="s">
        <v>1767</v>
      </c>
      <c r="L608" s="2">
        <v>45555</v>
      </c>
      <c r="M608">
        <v>2011.7483999999999</v>
      </c>
      <c r="R608" t="s">
        <v>1809</v>
      </c>
      <c r="S608">
        <v>2011.7483999999999</v>
      </c>
      <c r="W608" s="11" t="s">
        <v>16</v>
      </c>
      <c r="X608" s="11" t="s">
        <v>1527</v>
      </c>
      <c r="Y608">
        <v>2011.7483999999999</v>
      </c>
      <c r="AF608">
        <v>2011.7483999999999</v>
      </c>
      <c r="AG608" t="s">
        <v>1767</v>
      </c>
    </row>
    <row r="609" spans="1:33" x14ac:dyDescent="0.3">
      <c r="A609" t="s">
        <v>1319</v>
      </c>
      <c r="B609" s="2">
        <v>45583</v>
      </c>
      <c r="C609">
        <v>2280.0509999999999</v>
      </c>
      <c r="D609" t="s">
        <v>1812</v>
      </c>
      <c r="E609">
        <v>27</v>
      </c>
      <c r="F609" t="s">
        <v>9</v>
      </c>
      <c r="G609" t="s">
        <v>1527</v>
      </c>
      <c r="H609" t="s">
        <v>1742</v>
      </c>
      <c r="L609" s="2">
        <v>45583</v>
      </c>
      <c r="M609">
        <v>2280.0509999999999</v>
      </c>
      <c r="R609" t="s">
        <v>1812</v>
      </c>
      <c r="S609">
        <v>2280.0509999999999</v>
      </c>
      <c r="W609" s="12" t="s">
        <v>9</v>
      </c>
      <c r="X609" s="12" t="s">
        <v>1527</v>
      </c>
      <c r="Y609">
        <v>2280.0509999999999</v>
      </c>
      <c r="AF609">
        <v>2280.0509999999999</v>
      </c>
      <c r="AG609" t="s">
        <v>1742</v>
      </c>
    </row>
    <row r="610" spans="1:33" x14ac:dyDescent="0.3">
      <c r="A610" t="s">
        <v>990</v>
      </c>
      <c r="B610" s="2">
        <v>45662</v>
      </c>
      <c r="C610">
        <v>620.95889999999997</v>
      </c>
      <c r="D610" t="s">
        <v>1809</v>
      </c>
      <c r="E610">
        <v>25</v>
      </c>
      <c r="F610" t="s">
        <v>9</v>
      </c>
      <c r="G610" t="s">
        <v>1527</v>
      </c>
      <c r="H610" t="s">
        <v>1742</v>
      </c>
      <c r="L610" s="2">
        <v>45662</v>
      </c>
      <c r="M610">
        <v>620.95889999999997</v>
      </c>
      <c r="R610" t="s">
        <v>1809</v>
      </c>
      <c r="S610">
        <v>620.95889999999997</v>
      </c>
      <c r="W610" s="11" t="s">
        <v>9</v>
      </c>
      <c r="X610" s="11" t="s">
        <v>1527</v>
      </c>
      <c r="Y610">
        <v>620.95889999999997</v>
      </c>
      <c r="AF610">
        <v>620.95889999999997</v>
      </c>
      <c r="AG610" t="s">
        <v>1742</v>
      </c>
    </row>
    <row r="611" spans="1:33" x14ac:dyDescent="0.3">
      <c r="A611" t="s">
        <v>1434</v>
      </c>
      <c r="B611" s="2">
        <v>45921</v>
      </c>
      <c r="C611">
        <v>1456.4944</v>
      </c>
      <c r="D611" t="s">
        <v>1809</v>
      </c>
      <c r="E611">
        <v>42</v>
      </c>
      <c r="F611" t="s">
        <v>9</v>
      </c>
      <c r="G611" t="s">
        <v>1546</v>
      </c>
      <c r="H611" t="s">
        <v>1742</v>
      </c>
      <c r="L611" s="2">
        <v>45921</v>
      </c>
      <c r="M611">
        <v>1456.4944</v>
      </c>
      <c r="R611" t="s">
        <v>1809</v>
      </c>
      <c r="S611">
        <v>1456.4944</v>
      </c>
      <c r="W611" s="12" t="s">
        <v>9</v>
      </c>
      <c r="X611" s="12" t="s">
        <v>1546</v>
      </c>
      <c r="Y611">
        <v>1456.4944</v>
      </c>
      <c r="AF611">
        <v>1456.4944</v>
      </c>
      <c r="AG611" t="s">
        <v>1742</v>
      </c>
    </row>
    <row r="612" spans="1:33" x14ac:dyDescent="0.3">
      <c r="A612" t="s">
        <v>688</v>
      </c>
      <c r="B612" s="2">
        <v>45490</v>
      </c>
      <c r="C612">
        <v>389.59829999999999</v>
      </c>
      <c r="D612" t="s">
        <v>1807</v>
      </c>
      <c r="E612">
        <v>61</v>
      </c>
      <c r="F612" t="s">
        <v>9</v>
      </c>
      <c r="G612" t="s">
        <v>1541</v>
      </c>
      <c r="H612" t="s">
        <v>1742</v>
      </c>
      <c r="L612" s="2">
        <v>45490</v>
      </c>
      <c r="M612">
        <v>389.59829999999999</v>
      </c>
      <c r="R612" t="s">
        <v>1807</v>
      </c>
      <c r="S612">
        <v>389.59829999999999</v>
      </c>
      <c r="W612" s="11" t="s">
        <v>9</v>
      </c>
      <c r="X612" s="11" t="s">
        <v>1541</v>
      </c>
      <c r="Y612">
        <v>389.59829999999999</v>
      </c>
      <c r="AF612">
        <v>389.59829999999999</v>
      </c>
      <c r="AG612" t="s">
        <v>1742</v>
      </c>
    </row>
    <row r="613" spans="1:33" x14ac:dyDescent="0.3">
      <c r="A613" t="s">
        <v>859</v>
      </c>
      <c r="B613" s="2">
        <v>45652</v>
      </c>
      <c r="C613">
        <v>2832.9380000000001</v>
      </c>
      <c r="D613" t="s">
        <v>1807</v>
      </c>
      <c r="E613">
        <v>23</v>
      </c>
      <c r="F613" t="s">
        <v>9</v>
      </c>
      <c r="G613" t="s">
        <v>1546</v>
      </c>
      <c r="H613" t="s">
        <v>1742</v>
      </c>
      <c r="L613" s="2">
        <v>45652</v>
      </c>
      <c r="M613">
        <v>2832.9380000000001</v>
      </c>
      <c r="R613" t="s">
        <v>1807</v>
      </c>
      <c r="S613">
        <v>2832.9380000000001</v>
      </c>
      <c r="W613" s="12" t="s">
        <v>9</v>
      </c>
      <c r="X613" s="12" t="s">
        <v>1546</v>
      </c>
      <c r="Y613">
        <v>2832.9380000000001</v>
      </c>
      <c r="AF613">
        <v>2832.9380000000001</v>
      </c>
      <c r="AG613" t="s">
        <v>1742</v>
      </c>
    </row>
    <row r="614" spans="1:33" x14ac:dyDescent="0.3">
      <c r="A614" t="s">
        <v>1465</v>
      </c>
      <c r="B614" s="2">
        <v>45598</v>
      </c>
      <c r="C614">
        <v>2651.3568</v>
      </c>
      <c r="D614" t="s">
        <v>1807</v>
      </c>
      <c r="E614">
        <v>26</v>
      </c>
      <c r="F614" t="s">
        <v>9</v>
      </c>
      <c r="G614" t="s">
        <v>1549</v>
      </c>
      <c r="H614" t="s">
        <v>1742</v>
      </c>
      <c r="L614" s="2">
        <v>45598</v>
      </c>
      <c r="M614">
        <v>2651.3568</v>
      </c>
      <c r="R614" t="s">
        <v>1807</v>
      </c>
      <c r="S614">
        <v>2651.3568</v>
      </c>
      <c r="W614" s="11" t="s">
        <v>9</v>
      </c>
      <c r="X614" s="11" t="s">
        <v>1549</v>
      </c>
      <c r="Y614">
        <v>2651.3568</v>
      </c>
      <c r="AF614">
        <v>2651.3568</v>
      </c>
      <c r="AG614" t="s">
        <v>1742</v>
      </c>
    </row>
    <row r="615" spans="1:33" x14ac:dyDescent="0.3">
      <c r="A615" t="s">
        <v>1304</v>
      </c>
      <c r="B615" s="2">
        <v>45772</v>
      </c>
      <c r="C615">
        <v>2240.7020000000002</v>
      </c>
      <c r="D615" t="s">
        <v>1807</v>
      </c>
      <c r="E615">
        <v>28</v>
      </c>
      <c r="F615" t="s">
        <v>9</v>
      </c>
      <c r="G615" t="s">
        <v>1530</v>
      </c>
      <c r="H615" t="s">
        <v>1742</v>
      </c>
      <c r="L615" s="2">
        <v>45772</v>
      </c>
      <c r="M615">
        <v>2240.7020000000002</v>
      </c>
      <c r="R615" t="s">
        <v>1807</v>
      </c>
      <c r="S615">
        <v>2240.7020000000002</v>
      </c>
      <c r="W615" s="12" t="s">
        <v>9</v>
      </c>
      <c r="X615" s="12" t="s">
        <v>1530</v>
      </c>
      <c r="Y615">
        <v>2240.7020000000002</v>
      </c>
      <c r="AF615">
        <v>2240.7020000000002</v>
      </c>
      <c r="AG615" t="s">
        <v>1742</v>
      </c>
    </row>
    <row r="616" spans="1:33" x14ac:dyDescent="0.3">
      <c r="A616" t="s">
        <v>1494</v>
      </c>
      <c r="B616" s="2">
        <v>45338</v>
      </c>
      <c r="C616">
        <v>275.36079999999998</v>
      </c>
      <c r="D616" t="s">
        <v>1809</v>
      </c>
      <c r="E616">
        <v>59</v>
      </c>
      <c r="F616" t="s">
        <v>16</v>
      </c>
      <c r="G616" t="s">
        <v>1541</v>
      </c>
      <c r="H616" t="s">
        <v>1746</v>
      </c>
      <c r="L616" s="2">
        <v>45338</v>
      </c>
      <c r="M616">
        <v>275.36079999999998</v>
      </c>
      <c r="R616" t="s">
        <v>1809</v>
      </c>
      <c r="S616">
        <v>275.36079999999998</v>
      </c>
      <c r="W616" s="11" t="s">
        <v>16</v>
      </c>
      <c r="X616" s="11" t="s">
        <v>1541</v>
      </c>
      <c r="Y616">
        <v>275.36079999999998</v>
      </c>
      <c r="AF616">
        <v>275.36079999999998</v>
      </c>
      <c r="AG616" t="s">
        <v>1746</v>
      </c>
    </row>
    <row r="617" spans="1:33" x14ac:dyDescent="0.3">
      <c r="A617" t="s">
        <v>730</v>
      </c>
      <c r="B617" s="2">
        <v>45524</v>
      </c>
      <c r="C617">
        <v>2512.0783999999999</v>
      </c>
      <c r="D617" t="s">
        <v>1809</v>
      </c>
      <c r="E617">
        <v>32</v>
      </c>
      <c r="F617" t="s">
        <v>16</v>
      </c>
      <c r="G617" t="s">
        <v>1541</v>
      </c>
      <c r="H617" t="s">
        <v>1742</v>
      </c>
      <c r="L617" s="2">
        <v>45524</v>
      </c>
      <c r="M617">
        <v>2512.0783999999999</v>
      </c>
      <c r="R617" t="s">
        <v>1809</v>
      </c>
      <c r="S617">
        <v>2512.0783999999999</v>
      </c>
      <c r="W617" s="12" t="s">
        <v>16</v>
      </c>
      <c r="X617" s="12" t="s">
        <v>1541</v>
      </c>
      <c r="Y617">
        <v>2512.0783999999999</v>
      </c>
      <c r="AF617">
        <v>2512.0783999999999</v>
      </c>
      <c r="AG617" t="s">
        <v>1742</v>
      </c>
    </row>
    <row r="618" spans="1:33" x14ac:dyDescent="0.3">
      <c r="A618" t="s">
        <v>483</v>
      </c>
      <c r="B618" s="2">
        <v>45497</v>
      </c>
      <c r="C618">
        <v>1344.7067999999999</v>
      </c>
      <c r="D618" t="s">
        <v>1812</v>
      </c>
      <c r="E618">
        <v>46</v>
      </c>
      <c r="F618" t="s">
        <v>9</v>
      </c>
      <c r="G618" t="s">
        <v>1541</v>
      </c>
      <c r="H618" t="s">
        <v>1742</v>
      </c>
      <c r="L618" s="2">
        <v>45497</v>
      </c>
      <c r="M618">
        <v>1344.7067999999999</v>
      </c>
      <c r="R618" t="s">
        <v>1812</v>
      </c>
      <c r="S618">
        <v>1344.7067999999999</v>
      </c>
      <c r="W618" s="11" t="s">
        <v>9</v>
      </c>
      <c r="X618" s="11" t="s">
        <v>1541</v>
      </c>
      <c r="Y618">
        <v>1344.7067999999999</v>
      </c>
      <c r="AF618">
        <v>1344.7067999999999</v>
      </c>
      <c r="AG618" t="s">
        <v>1742</v>
      </c>
    </row>
    <row r="619" spans="1:33" x14ac:dyDescent="0.3">
      <c r="A619" t="s">
        <v>122</v>
      </c>
      <c r="B619" s="2">
        <v>45534</v>
      </c>
      <c r="C619">
        <v>733.85640000000001</v>
      </c>
      <c r="D619" t="s">
        <v>1812</v>
      </c>
      <c r="E619">
        <v>64</v>
      </c>
      <c r="F619" t="s">
        <v>16</v>
      </c>
      <c r="G619" t="s">
        <v>1541</v>
      </c>
      <c r="H619" t="s">
        <v>1742</v>
      </c>
      <c r="L619" s="2">
        <v>45534</v>
      </c>
      <c r="M619">
        <v>733.85640000000001</v>
      </c>
      <c r="R619" t="s">
        <v>1812</v>
      </c>
      <c r="S619">
        <v>733.85640000000001</v>
      </c>
      <c r="W619" s="12" t="s">
        <v>16</v>
      </c>
      <c r="X619" s="12" t="s">
        <v>1541</v>
      </c>
      <c r="Y619">
        <v>733.85640000000001</v>
      </c>
      <c r="AF619">
        <v>733.85640000000001</v>
      </c>
      <c r="AG619" t="s">
        <v>1742</v>
      </c>
    </row>
    <row r="620" spans="1:33" x14ac:dyDescent="0.3">
      <c r="A620" t="s">
        <v>273</v>
      </c>
      <c r="B620" s="2">
        <v>45925</v>
      </c>
      <c r="C620">
        <v>499.24360000000001</v>
      </c>
      <c r="D620" t="s">
        <v>1807</v>
      </c>
      <c r="E620">
        <v>37</v>
      </c>
      <c r="F620" t="s">
        <v>9</v>
      </c>
      <c r="G620" t="s">
        <v>1527</v>
      </c>
      <c r="H620" t="s">
        <v>1742</v>
      </c>
      <c r="L620" s="2">
        <v>45925</v>
      </c>
      <c r="M620">
        <v>499.24360000000001</v>
      </c>
      <c r="R620" t="s">
        <v>1807</v>
      </c>
      <c r="S620">
        <v>499.24360000000001</v>
      </c>
      <c r="W620" s="11" t="s">
        <v>9</v>
      </c>
      <c r="X620" s="11" t="s">
        <v>1527</v>
      </c>
      <c r="Y620">
        <v>499.24360000000001</v>
      </c>
      <c r="AF620">
        <v>499.24360000000001</v>
      </c>
      <c r="AG620" t="s">
        <v>1742</v>
      </c>
    </row>
    <row r="621" spans="1:33" x14ac:dyDescent="0.3">
      <c r="A621" t="s">
        <v>1437</v>
      </c>
      <c r="B621" s="2">
        <v>45765</v>
      </c>
      <c r="C621">
        <v>560.18999999999994</v>
      </c>
      <c r="D621" t="s">
        <v>1812</v>
      </c>
      <c r="E621">
        <v>42</v>
      </c>
      <c r="F621" t="s">
        <v>9</v>
      </c>
      <c r="G621" t="s">
        <v>1549</v>
      </c>
      <c r="H621" t="s">
        <v>1742</v>
      </c>
      <c r="L621" s="2">
        <v>45765</v>
      </c>
      <c r="M621">
        <v>560.18999999999994</v>
      </c>
      <c r="R621" t="s">
        <v>1812</v>
      </c>
      <c r="S621">
        <v>560.18999999999994</v>
      </c>
      <c r="W621" s="12" t="s">
        <v>9</v>
      </c>
      <c r="X621" s="12" t="s">
        <v>1549</v>
      </c>
      <c r="Y621">
        <v>560.18999999999994</v>
      </c>
      <c r="AF621">
        <v>560.18999999999994</v>
      </c>
      <c r="AG621" t="s">
        <v>1742</v>
      </c>
    </row>
    <row r="622" spans="1:33" x14ac:dyDescent="0.3">
      <c r="A622" t="s">
        <v>404</v>
      </c>
      <c r="B622" s="2">
        <v>45882</v>
      </c>
      <c r="C622">
        <v>1172.0625</v>
      </c>
      <c r="D622" t="s">
        <v>1807</v>
      </c>
      <c r="E622">
        <v>36</v>
      </c>
      <c r="F622" t="s">
        <v>9</v>
      </c>
      <c r="G622" t="s">
        <v>1549</v>
      </c>
      <c r="H622" t="s">
        <v>1746</v>
      </c>
      <c r="L622" s="2">
        <v>45882</v>
      </c>
      <c r="M622">
        <v>1172.0625</v>
      </c>
      <c r="R622" t="s">
        <v>1807</v>
      </c>
      <c r="S622">
        <v>1172.0625</v>
      </c>
      <c r="W622" s="11" t="s">
        <v>9</v>
      </c>
      <c r="X622" s="11" t="s">
        <v>1549</v>
      </c>
      <c r="Y622">
        <v>1172.0625</v>
      </c>
      <c r="AF622">
        <v>1172.0625</v>
      </c>
      <c r="AG622" t="s">
        <v>1746</v>
      </c>
    </row>
    <row r="623" spans="1:33" x14ac:dyDescent="0.3">
      <c r="A623" t="s">
        <v>3954</v>
      </c>
      <c r="B623" s="2">
        <v>45923</v>
      </c>
      <c r="C623">
        <v>1565.982</v>
      </c>
      <c r="D623" t="s">
        <v>1807</v>
      </c>
      <c r="E623">
        <v>38</v>
      </c>
      <c r="F623" t="s">
        <v>9</v>
      </c>
      <c r="G623" t="s">
        <v>1546</v>
      </c>
      <c r="H623" t="s">
        <v>1746</v>
      </c>
      <c r="L623" s="2">
        <v>45923</v>
      </c>
      <c r="M623">
        <v>1565.982</v>
      </c>
      <c r="R623" t="s">
        <v>1807</v>
      </c>
      <c r="S623">
        <v>1565.982</v>
      </c>
      <c r="W623" s="12" t="s">
        <v>9</v>
      </c>
      <c r="X623" s="12" t="s">
        <v>1546</v>
      </c>
      <c r="Y623">
        <v>1565.982</v>
      </c>
      <c r="AF623">
        <v>1565.982</v>
      </c>
      <c r="AG623" t="s">
        <v>1746</v>
      </c>
    </row>
    <row r="624" spans="1:33" x14ac:dyDescent="0.3">
      <c r="A624" t="s">
        <v>144</v>
      </c>
      <c r="B624" s="2">
        <v>45421</v>
      </c>
      <c r="C624">
        <v>1045.6292000000001</v>
      </c>
      <c r="D624" t="s">
        <v>1807</v>
      </c>
      <c r="E624">
        <v>27</v>
      </c>
      <c r="F624" t="s">
        <v>16</v>
      </c>
      <c r="G624" t="s">
        <v>1546</v>
      </c>
      <c r="H624" t="s">
        <v>1742</v>
      </c>
      <c r="L624" s="2">
        <v>45421</v>
      </c>
      <c r="M624">
        <v>1045.6292000000001</v>
      </c>
      <c r="R624" t="s">
        <v>1807</v>
      </c>
      <c r="S624">
        <v>1045.6292000000001</v>
      </c>
      <c r="W624" s="11" t="s">
        <v>16</v>
      </c>
      <c r="X624" s="11" t="s">
        <v>1546</v>
      </c>
      <c r="Y624">
        <v>1045.6292000000001</v>
      </c>
      <c r="AF624">
        <v>1045.6292000000001</v>
      </c>
      <c r="AG624" t="s">
        <v>1742</v>
      </c>
    </row>
    <row r="625" spans="1:33" x14ac:dyDescent="0.3">
      <c r="A625" t="s">
        <v>262</v>
      </c>
      <c r="B625" s="2">
        <v>45608</v>
      </c>
      <c r="C625">
        <v>2242.8216000000002</v>
      </c>
      <c r="D625" t="s">
        <v>1812</v>
      </c>
      <c r="E625">
        <v>56</v>
      </c>
      <c r="F625" t="s">
        <v>16</v>
      </c>
      <c r="G625" t="s">
        <v>1527</v>
      </c>
      <c r="H625" t="s">
        <v>1742</v>
      </c>
      <c r="L625" s="2">
        <v>45608</v>
      </c>
      <c r="M625">
        <v>2242.8216000000002</v>
      </c>
      <c r="R625" t="s">
        <v>1812</v>
      </c>
      <c r="S625">
        <v>2242.8216000000002</v>
      </c>
      <c r="W625" s="12" t="s">
        <v>16</v>
      </c>
      <c r="X625" s="12" t="s">
        <v>1527</v>
      </c>
      <c r="Y625">
        <v>2242.8216000000002</v>
      </c>
      <c r="AF625">
        <v>2242.8216000000002</v>
      </c>
      <c r="AG625" t="s">
        <v>1742</v>
      </c>
    </row>
    <row r="626" spans="1:33" x14ac:dyDescent="0.3">
      <c r="A626" t="s">
        <v>219</v>
      </c>
      <c r="B626" s="2">
        <v>45644</v>
      </c>
      <c r="C626">
        <v>615.46699999999998</v>
      </c>
      <c r="D626" t="s">
        <v>1812</v>
      </c>
      <c r="E626">
        <v>22</v>
      </c>
      <c r="F626" t="s">
        <v>16</v>
      </c>
      <c r="G626" t="s">
        <v>1541</v>
      </c>
      <c r="H626" t="s">
        <v>1746</v>
      </c>
      <c r="L626" s="2">
        <v>45644</v>
      </c>
      <c r="M626">
        <v>615.46699999999998</v>
      </c>
      <c r="R626" t="s">
        <v>1812</v>
      </c>
      <c r="S626">
        <v>615.46699999999998</v>
      </c>
      <c r="W626" s="11" t="s">
        <v>16</v>
      </c>
      <c r="X626" s="11" t="s">
        <v>1541</v>
      </c>
      <c r="Y626">
        <v>615.46699999999998</v>
      </c>
      <c r="AF626">
        <v>615.46699999999998</v>
      </c>
      <c r="AG626" t="s">
        <v>1746</v>
      </c>
    </row>
    <row r="627" spans="1:33" x14ac:dyDescent="0.3">
      <c r="A627" t="s">
        <v>457</v>
      </c>
      <c r="B627" s="2">
        <v>45517</v>
      </c>
      <c r="C627">
        <v>323.35199999999998</v>
      </c>
      <c r="D627" t="s">
        <v>1809</v>
      </c>
      <c r="E627">
        <v>29</v>
      </c>
      <c r="F627" t="s">
        <v>9</v>
      </c>
      <c r="G627" t="s">
        <v>1541</v>
      </c>
      <c r="H627" t="s">
        <v>1737</v>
      </c>
      <c r="L627" s="2">
        <v>45517</v>
      </c>
      <c r="M627">
        <v>323.35199999999998</v>
      </c>
      <c r="R627" t="s">
        <v>1809</v>
      </c>
      <c r="S627">
        <v>323.35199999999998</v>
      </c>
      <c r="W627" s="12" t="s">
        <v>9</v>
      </c>
      <c r="X627" s="12" t="s">
        <v>1541</v>
      </c>
      <c r="Y627">
        <v>323.35199999999998</v>
      </c>
      <c r="AF627">
        <v>323.35199999999998</v>
      </c>
      <c r="AG627" t="s">
        <v>1737</v>
      </c>
    </row>
    <row r="628" spans="1:33" x14ac:dyDescent="0.3">
      <c r="A628" t="s">
        <v>1223</v>
      </c>
      <c r="B628" s="2">
        <v>45545</v>
      </c>
      <c r="C628">
        <v>977.69849999999985</v>
      </c>
      <c r="D628" t="s">
        <v>1809</v>
      </c>
      <c r="E628">
        <v>62</v>
      </c>
      <c r="F628" t="s">
        <v>16</v>
      </c>
      <c r="G628" t="s">
        <v>1546</v>
      </c>
      <c r="H628" t="s">
        <v>1746</v>
      </c>
      <c r="L628" s="2">
        <v>45545</v>
      </c>
      <c r="M628">
        <v>977.69849999999985</v>
      </c>
      <c r="R628" t="s">
        <v>1809</v>
      </c>
      <c r="S628">
        <v>977.69849999999985</v>
      </c>
      <c r="W628" s="11" t="s">
        <v>16</v>
      </c>
      <c r="X628" s="11" t="s">
        <v>1546</v>
      </c>
      <c r="Y628">
        <v>977.69849999999985</v>
      </c>
      <c r="AF628">
        <v>977.69849999999985</v>
      </c>
      <c r="AG628" t="s">
        <v>1746</v>
      </c>
    </row>
    <row r="629" spans="1:33" x14ac:dyDescent="0.3">
      <c r="A629" t="s">
        <v>577</v>
      </c>
      <c r="B629" s="2">
        <v>45547</v>
      </c>
      <c r="C629">
        <v>3529.1619999999998</v>
      </c>
      <c r="D629" t="s">
        <v>1812</v>
      </c>
      <c r="E629">
        <v>55</v>
      </c>
      <c r="F629" t="s">
        <v>9</v>
      </c>
      <c r="G629" t="s">
        <v>1530</v>
      </c>
      <c r="H629" t="s">
        <v>1742</v>
      </c>
      <c r="L629" s="2">
        <v>45547</v>
      </c>
      <c r="M629">
        <v>3529.1619999999998</v>
      </c>
      <c r="R629" t="s">
        <v>1812</v>
      </c>
      <c r="S629">
        <v>3529.1619999999998</v>
      </c>
      <c r="W629" s="12" t="s">
        <v>9</v>
      </c>
      <c r="X629" s="12" t="s">
        <v>1530</v>
      </c>
      <c r="Y629">
        <v>3529.1619999999998</v>
      </c>
      <c r="AF629">
        <v>3529.1619999999998</v>
      </c>
      <c r="AG629" t="s">
        <v>1742</v>
      </c>
    </row>
    <row r="630" spans="1:33" x14ac:dyDescent="0.3">
      <c r="A630" t="s">
        <v>1410</v>
      </c>
      <c r="B630" s="2">
        <v>45433</v>
      </c>
      <c r="C630">
        <v>959.13179999999988</v>
      </c>
      <c r="D630" t="s">
        <v>1807</v>
      </c>
      <c r="E630">
        <v>36</v>
      </c>
      <c r="F630" t="s">
        <v>16</v>
      </c>
      <c r="G630" t="s">
        <v>1546</v>
      </c>
      <c r="H630" t="s">
        <v>1742</v>
      </c>
      <c r="L630" s="2">
        <v>45433</v>
      </c>
      <c r="M630">
        <v>959.13179999999988</v>
      </c>
      <c r="R630" t="s">
        <v>1807</v>
      </c>
      <c r="S630">
        <v>959.13179999999988</v>
      </c>
      <c r="W630" s="11" t="s">
        <v>16</v>
      </c>
      <c r="X630" s="11" t="s">
        <v>1546</v>
      </c>
      <c r="Y630">
        <v>959.13179999999988</v>
      </c>
      <c r="AF630">
        <v>959.13179999999988</v>
      </c>
      <c r="AG630" t="s">
        <v>1742</v>
      </c>
    </row>
    <row r="631" spans="1:33" x14ac:dyDescent="0.3">
      <c r="A631" t="s">
        <v>3947</v>
      </c>
      <c r="B631" s="2">
        <v>45792</v>
      </c>
      <c r="C631">
        <v>68.694199999999995</v>
      </c>
      <c r="D631" t="s">
        <v>1809</v>
      </c>
      <c r="E631">
        <v>23</v>
      </c>
      <c r="F631" t="s">
        <v>9</v>
      </c>
      <c r="G631" t="s">
        <v>1541</v>
      </c>
      <c r="H631" t="s">
        <v>1737</v>
      </c>
      <c r="L631" s="2">
        <v>45792</v>
      </c>
      <c r="M631">
        <v>68.694199999999995</v>
      </c>
      <c r="R631" t="s">
        <v>1809</v>
      </c>
      <c r="S631">
        <v>68.694199999999995</v>
      </c>
      <c r="W631" s="12" t="s">
        <v>9</v>
      </c>
      <c r="X631" s="12" t="s">
        <v>1541</v>
      </c>
      <c r="Y631">
        <v>68.694199999999995</v>
      </c>
      <c r="AF631">
        <v>68.694199999999995</v>
      </c>
      <c r="AG631" t="s">
        <v>1737</v>
      </c>
    </row>
    <row r="632" spans="1:33" x14ac:dyDescent="0.3">
      <c r="A632" t="s">
        <v>3949</v>
      </c>
      <c r="B632" s="2">
        <v>45804</v>
      </c>
      <c r="C632">
        <v>1452.4944</v>
      </c>
      <c r="D632" t="s">
        <v>1812</v>
      </c>
      <c r="E632">
        <v>45</v>
      </c>
      <c r="F632" t="s">
        <v>16</v>
      </c>
      <c r="G632" t="s">
        <v>1527</v>
      </c>
      <c r="H632" t="s">
        <v>1742</v>
      </c>
      <c r="L632" s="2">
        <v>45804</v>
      </c>
      <c r="M632">
        <v>1452.4944</v>
      </c>
      <c r="R632" t="s">
        <v>1812</v>
      </c>
      <c r="S632">
        <v>1452.4944</v>
      </c>
      <c r="W632" s="11" t="s">
        <v>16</v>
      </c>
      <c r="X632" s="11" t="s">
        <v>1527</v>
      </c>
      <c r="Y632">
        <v>1452.4944</v>
      </c>
      <c r="AF632">
        <v>1452.4944</v>
      </c>
      <c r="AG632" t="s">
        <v>1742</v>
      </c>
    </row>
    <row r="633" spans="1:33" x14ac:dyDescent="0.3">
      <c r="A633" t="s">
        <v>290</v>
      </c>
      <c r="B633" s="2">
        <v>45311</v>
      </c>
      <c r="C633">
        <v>1592.3416</v>
      </c>
      <c r="D633" t="s">
        <v>1812</v>
      </c>
      <c r="E633">
        <v>34</v>
      </c>
      <c r="F633" t="s">
        <v>16</v>
      </c>
      <c r="G633" t="s">
        <v>1546</v>
      </c>
      <c r="H633" t="s">
        <v>1742</v>
      </c>
      <c r="L633" s="2">
        <v>45311</v>
      </c>
      <c r="M633">
        <v>1592.3416</v>
      </c>
      <c r="R633" t="s">
        <v>1812</v>
      </c>
      <c r="S633">
        <v>1592.3416</v>
      </c>
      <c r="W633" s="12" t="s">
        <v>16</v>
      </c>
      <c r="X633" s="12" t="s">
        <v>1546</v>
      </c>
      <c r="Y633">
        <v>1592.3416</v>
      </c>
      <c r="AF633">
        <v>1592.3416</v>
      </c>
      <c r="AG633" t="s">
        <v>1742</v>
      </c>
    </row>
    <row r="634" spans="1:33" x14ac:dyDescent="0.3">
      <c r="A634" t="s">
        <v>1454</v>
      </c>
      <c r="B634" s="2">
        <v>45605</v>
      </c>
      <c r="C634">
        <v>239.32259999999999</v>
      </c>
      <c r="D634" t="s">
        <v>1809</v>
      </c>
      <c r="E634">
        <v>59</v>
      </c>
      <c r="F634" t="s">
        <v>9</v>
      </c>
      <c r="G634" t="s">
        <v>1530</v>
      </c>
      <c r="H634" t="s">
        <v>1742</v>
      </c>
      <c r="L634" s="2">
        <v>45605</v>
      </c>
      <c r="M634">
        <v>239.32259999999999</v>
      </c>
      <c r="R634" t="s">
        <v>1809</v>
      </c>
      <c r="S634">
        <v>239.32259999999999</v>
      </c>
      <c r="W634" s="11" t="s">
        <v>9</v>
      </c>
      <c r="X634" s="11" t="s">
        <v>1530</v>
      </c>
      <c r="Y634">
        <v>239.32259999999999</v>
      </c>
      <c r="AF634">
        <v>239.32259999999999</v>
      </c>
      <c r="AG634" t="s">
        <v>1742</v>
      </c>
    </row>
    <row r="635" spans="1:33" x14ac:dyDescent="0.3">
      <c r="A635" t="s">
        <v>1374</v>
      </c>
      <c r="B635" s="2">
        <v>45338</v>
      </c>
      <c r="C635">
        <v>246.99600000000001</v>
      </c>
      <c r="D635" t="s">
        <v>1809</v>
      </c>
      <c r="E635">
        <v>59</v>
      </c>
      <c r="F635" t="s">
        <v>9</v>
      </c>
      <c r="G635" t="s">
        <v>1541</v>
      </c>
      <c r="H635" t="s">
        <v>1742</v>
      </c>
      <c r="L635" s="2">
        <v>45338</v>
      </c>
      <c r="M635">
        <v>246.99600000000001</v>
      </c>
      <c r="R635" t="s">
        <v>1809</v>
      </c>
      <c r="S635">
        <v>246.99600000000001</v>
      </c>
      <c r="W635" s="12" t="s">
        <v>9</v>
      </c>
      <c r="X635" s="12" t="s">
        <v>1541</v>
      </c>
      <c r="Y635">
        <v>246.99600000000001</v>
      </c>
      <c r="AF635">
        <v>246.99600000000001</v>
      </c>
      <c r="AG635" t="s">
        <v>1742</v>
      </c>
    </row>
    <row r="636" spans="1:33" x14ac:dyDescent="0.3">
      <c r="A636" t="s">
        <v>242</v>
      </c>
      <c r="B636" s="2">
        <v>45642</v>
      </c>
      <c r="C636">
        <v>332.02339999999998</v>
      </c>
      <c r="D636" t="s">
        <v>1809</v>
      </c>
      <c r="E636">
        <v>58</v>
      </c>
      <c r="F636" t="s">
        <v>9</v>
      </c>
      <c r="G636" t="s">
        <v>1549</v>
      </c>
      <c r="H636" t="s">
        <v>1746</v>
      </c>
      <c r="L636" s="2">
        <v>45642</v>
      </c>
      <c r="M636">
        <v>332.02339999999998</v>
      </c>
      <c r="R636" t="s">
        <v>1809</v>
      </c>
      <c r="S636">
        <v>332.02339999999998</v>
      </c>
      <c r="W636" s="11" t="s">
        <v>9</v>
      </c>
      <c r="X636" s="11" t="s">
        <v>1549</v>
      </c>
      <c r="Y636">
        <v>332.02339999999998</v>
      </c>
      <c r="AF636">
        <v>332.02339999999998</v>
      </c>
      <c r="AG636" t="s">
        <v>1746</v>
      </c>
    </row>
    <row r="637" spans="1:33" x14ac:dyDescent="0.3">
      <c r="A637" t="s">
        <v>1265</v>
      </c>
      <c r="B637" s="2">
        <v>45693</v>
      </c>
      <c r="C637">
        <v>116.23139999999999</v>
      </c>
      <c r="D637" t="s">
        <v>1812</v>
      </c>
      <c r="E637">
        <v>23</v>
      </c>
      <c r="F637" t="s">
        <v>16</v>
      </c>
      <c r="G637" t="s">
        <v>1530</v>
      </c>
      <c r="H637" t="s">
        <v>1742</v>
      </c>
      <c r="L637" s="2">
        <v>45693</v>
      </c>
      <c r="M637">
        <v>116.23139999999999</v>
      </c>
      <c r="R637" t="s">
        <v>1812</v>
      </c>
      <c r="S637">
        <v>116.23139999999999</v>
      </c>
      <c r="W637" s="12" t="s">
        <v>16</v>
      </c>
      <c r="X637" s="12" t="s">
        <v>1530</v>
      </c>
      <c r="Y637">
        <v>116.23139999999999</v>
      </c>
      <c r="AF637">
        <v>116.23139999999999</v>
      </c>
      <c r="AG637" t="s">
        <v>1742</v>
      </c>
    </row>
    <row r="638" spans="1:33" x14ac:dyDescent="0.3">
      <c r="A638" t="s">
        <v>859</v>
      </c>
      <c r="B638" s="2">
        <v>45763</v>
      </c>
      <c r="C638">
        <v>655.61040000000003</v>
      </c>
      <c r="D638" t="s">
        <v>1809</v>
      </c>
      <c r="E638">
        <v>23</v>
      </c>
      <c r="F638" t="s">
        <v>9</v>
      </c>
      <c r="G638" t="s">
        <v>1549</v>
      </c>
      <c r="H638" t="s">
        <v>1742</v>
      </c>
      <c r="L638" s="2">
        <v>45763</v>
      </c>
      <c r="M638">
        <v>655.61040000000003</v>
      </c>
      <c r="R638" t="s">
        <v>1809</v>
      </c>
      <c r="S638">
        <v>655.61040000000003</v>
      </c>
      <c r="W638" s="11" t="s">
        <v>9</v>
      </c>
      <c r="X638" s="11" t="s">
        <v>1549</v>
      </c>
      <c r="Y638">
        <v>655.61040000000003</v>
      </c>
      <c r="AF638">
        <v>655.61040000000003</v>
      </c>
      <c r="AG638" t="s">
        <v>1742</v>
      </c>
    </row>
    <row r="639" spans="1:33" x14ac:dyDescent="0.3">
      <c r="A639" t="s">
        <v>3940</v>
      </c>
      <c r="B639" s="2">
        <v>45572</v>
      </c>
      <c r="C639">
        <v>557.68680000000006</v>
      </c>
      <c r="D639" t="s">
        <v>1809</v>
      </c>
      <c r="E639">
        <v>44</v>
      </c>
      <c r="F639" t="s">
        <v>16</v>
      </c>
      <c r="G639" t="s">
        <v>1530</v>
      </c>
      <c r="H639" t="s">
        <v>1742</v>
      </c>
      <c r="L639" s="2">
        <v>45572</v>
      </c>
      <c r="M639">
        <v>557.68680000000006</v>
      </c>
      <c r="R639" t="s">
        <v>1809</v>
      </c>
      <c r="S639">
        <v>557.68680000000006</v>
      </c>
      <c r="W639" s="12" t="s">
        <v>16</v>
      </c>
      <c r="X639" s="12" t="s">
        <v>1530</v>
      </c>
      <c r="Y639">
        <v>557.68680000000006</v>
      </c>
      <c r="AF639">
        <v>557.68680000000006</v>
      </c>
      <c r="AG639" t="s">
        <v>1742</v>
      </c>
    </row>
    <row r="640" spans="1:33" x14ac:dyDescent="0.3">
      <c r="A640" t="s">
        <v>1205</v>
      </c>
      <c r="B640" s="2">
        <v>45338</v>
      </c>
      <c r="C640">
        <v>264.93889999999999</v>
      </c>
      <c r="D640" t="s">
        <v>1807</v>
      </c>
      <c r="E640">
        <v>40</v>
      </c>
      <c r="F640" t="s">
        <v>16</v>
      </c>
      <c r="G640" t="s">
        <v>1546</v>
      </c>
      <c r="H640" t="s">
        <v>1737</v>
      </c>
      <c r="L640" s="2">
        <v>45338</v>
      </c>
      <c r="M640">
        <v>264.93889999999999</v>
      </c>
      <c r="R640" t="s">
        <v>1807</v>
      </c>
      <c r="S640">
        <v>264.93889999999999</v>
      </c>
      <c r="W640" s="11" t="s">
        <v>16</v>
      </c>
      <c r="X640" s="11" t="s">
        <v>1546</v>
      </c>
      <c r="Y640">
        <v>264.93889999999999</v>
      </c>
      <c r="AF640">
        <v>264.93889999999999</v>
      </c>
      <c r="AG640" t="s">
        <v>1737</v>
      </c>
    </row>
    <row r="641" spans="1:33" x14ac:dyDescent="0.3">
      <c r="A641" t="s">
        <v>1046</v>
      </c>
      <c r="B641" s="2">
        <v>45373</v>
      </c>
      <c r="C641">
        <v>1211.0416</v>
      </c>
      <c r="D641" t="s">
        <v>1812</v>
      </c>
      <c r="E641">
        <v>40</v>
      </c>
      <c r="F641" t="s">
        <v>16</v>
      </c>
      <c r="G641" t="s">
        <v>1546</v>
      </c>
      <c r="H641" t="s">
        <v>1742</v>
      </c>
      <c r="L641" s="2">
        <v>45373</v>
      </c>
      <c r="M641">
        <v>1211.0416</v>
      </c>
      <c r="R641" t="s">
        <v>1812</v>
      </c>
      <c r="S641">
        <v>1211.0416</v>
      </c>
      <c r="W641" s="12" t="s">
        <v>16</v>
      </c>
      <c r="X641" s="12" t="s">
        <v>1546</v>
      </c>
      <c r="Y641">
        <v>1211.0416</v>
      </c>
      <c r="AF641">
        <v>1211.0416</v>
      </c>
      <c r="AG641" t="s">
        <v>1742</v>
      </c>
    </row>
    <row r="642" spans="1:33" x14ac:dyDescent="0.3">
      <c r="A642" t="s">
        <v>1262</v>
      </c>
      <c r="B642" s="2">
        <v>45590</v>
      </c>
      <c r="C642">
        <v>2681.3406</v>
      </c>
      <c r="D642" t="s">
        <v>1809</v>
      </c>
      <c r="E642">
        <v>63</v>
      </c>
      <c r="F642" t="s">
        <v>9</v>
      </c>
      <c r="G642" t="s">
        <v>1530</v>
      </c>
      <c r="H642" t="s">
        <v>1742</v>
      </c>
      <c r="L642" s="2">
        <v>45590</v>
      </c>
      <c r="M642">
        <v>2681.3406</v>
      </c>
      <c r="R642" t="s">
        <v>1809</v>
      </c>
      <c r="S642">
        <v>2681.3406</v>
      </c>
      <c r="W642" s="11" t="s">
        <v>9</v>
      </c>
      <c r="X642" s="11" t="s">
        <v>1530</v>
      </c>
      <c r="Y642">
        <v>2681.3406</v>
      </c>
      <c r="AF642">
        <v>2681.3406</v>
      </c>
      <c r="AG642" t="s">
        <v>1742</v>
      </c>
    </row>
    <row r="643" spans="1:33" x14ac:dyDescent="0.3">
      <c r="A643" t="s">
        <v>480</v>
      </c>
      <c r="B643" s="2">
        <v>45365</v>
      </c>
      <c r="C643">
        <v>1006.2063000000001</v>
      </c>
      <c r="D643" t="s">
        <v>1807</v>
      </c>
      <c r="E643">
        <v>62</v>
      </c>
      <c r="F643" t="s">
        <v>16</v>
      </c>
      <c r="G643" t="s">
        <v>1530</v>
      </c>
      <c r="H643" t="s">
        <v>1742</v>
      </c>
      <c r="L643" s="2">
        <v>45365</v>
      </c>
      <c r="M643">
        <v>1006.2063000000001</v>
      </c>
      <c r="R643" t="s">
        <v>1807</v>
      </c>
      <c r="S643">
        <v>1006.2063000000001</v>
      </c>
      <c r="W643" s="12" t="s">
        <v>16</v>
      </c>
      <c r="X643" s="12" t="s">
        <v>1530</v>
      </c>
      <c r="Y643">
        <v>1006.2063000000001</v>
      </c>
      <c r="AF643">
        <v>1006.2063000000001</v>
      </c>
      <c r="AG643" t="s">
        <v>1742</v>
      </c>
    </row>
    <row r="644" spans="1:33" x14ac:dyDescent="0.3">
      <c r="A644" t="s">
        <v>489</v>
      </c>
      <c r="B644" s="2">
        <v>45711</v>
      </c>
      <c r="C644">
        <v>2380.7628</v>
      </c>
      <c r="D644" t="s">
        <v>1812</v>
      </c>
      <c r="E644">
        <v>49</v>
      </c>
      <c r="F644" t="s">
        <v>16</v>
      </c>
      <c r="G644" t="s">
        <v>1546</v>
      </c>
      <c r="H644" t="s">
        <v>1742</v>
      </c>
      <c r="L644" s="2">
        <v>45711</v>
      </c>
      <c r="M644">
        <v>2380.7628</v>
      </c>
      <c r="R644" t="s">
        <v>1812</v>
      </c>
      <c r="S644">
        <v>2380.7628</v>
      </c>
      <c r="W644" s="11" t="s">
        <v>16</v>
      </c>
      <c r="X644" s="11" t="s">
        <v>1546</v>
      </c>
      <c r="Y644">
        <v>2380.7628</v>
      </c>
      <c r="AF644">
        <v>2380.7628</v>
      </c>
      <c r="AG644" t="s">
        <v>1742</v>
      </c>
    </row>
    <row r="645" spans="1:33" x14ac:dyDescent="0.3">
      <c r="A645" t="s">
        <v>498</v>
      </c>
      <c r="B645" s="2">
        <v>45586</v>
      </c>
      <c r="C645">
        <v>215.47200000000001</v>
      </c>
      <c r="D645" t="s">
        <v>1812</v>
      </c>
      <c r="E645">
        <v>24</v>
      </c>
      <c r="F645" t="s">
        <v>9</v>
      </c>
      <c r="G645" t="s">
        <v>1546</v>
      </c>
      <c r="H645" t="s">
        <v>1737</v>
      </c>
      <c r="L645" s="2">
        <v>45586</v>
      </c>
      <c r="M645">
        <v>215.47200000000001</v>
      </c>
      <c r="R645" t="s">
        <v>1812</v>
      </c>
      <c r="S645">
        <v>215.47200000000001</v>
      </c>
      <c r="W645" s="12" t="s">
        <v>9</v>
      </c>
      <c r="X645" s="12" t="s">
        <v>1546</v>
      </c>
      <c r="Y645">
        <v>215.47200000000001</v>
      </c>
      <c r="AF645">
        <v>215.47200000000001</v>
      </c>
      <c r="AG645" t="s">
        <v>1737</v>
      </c>
    </row>
    <row r="646" spans="1:33" x14ac:dyDescent="0.3">
      <c r="A646" t="s">
        <v>623</v>
      </c>
      <c r="B646" s="2">
        <v>45334</v>
      </c>
      <c r="C646">
        <v>165.1584</v>
      </c>
      <c r="D646" t="s">
        <v>1809</v>
      </c>
      <c r="E646">
        <v>26</v>
      </c>
      <c r="F646" t="s">
        <v>9</v>
      </c>
      <c r="G646" t="s">
        <v>1527</v>
      </c>
      <c r="H646" t="s">
        <v>1742</v>
      </c>
      <c r="L646" s="2">
        <v>45334</v>
      </c>
      <c r="M646">
        <v>165.1584</v>
      </c>
      <c r="R646" t="s">
        <v>1809</v>
      </c>
      <c r="S646">
        <v>165.1584</v>
      </c>
      <c r="W646" s="11" t="s">
        <v>9</v>
      </c>
      <c r="X646" s="11" t="s">
        <v>1527</v>
      </c>
      <c r="Y646">
        <v>165.1584</v>
      </c>
      <c r="AF646">
        <v>165.1584</v>
      </c>
      <c r="AG646" t="s">
        <v>1742</v>
      </c>
    </row>
    <row r="647" spans="1:33" x14ac:dyDescent="0.3">
      <c r="A647" t="s">
        <v>1425</v>
      </c>
      <c r="B647" s="2">
        <v>45333</v>
      </c>
      <c r="C647">
        <v>369.74</v>
      </c>
      <c r="D647" t="s">
        <v>1807</v>
      </c>
      <c r="E647">
        <v>45</v>
      </c>
      <c r="F647" t="s">
        <v>9</v>
      </c>
      <c r="G647" t="s">
        <v>1549</v>
      </c>
      <c r="H647" t="s">
        <v>1742</v>
      </c>
      <c r="L647" s="2">
        <v>45333</v>
      </c>
      <c r="M647">
        <v>369.74</v>
      </c>
      <c r="R647" t="s">
        <v>1807</v>
      </c>
      <c r="S647">
        <v>369.74</v>
      </c>
      <c r="W647" s="12" t="s">
        <v>9</v>
      </c>
      <c r="X647" s="12" t="s">
        <v>1549</v>
      </c>
      <c r="Y647">
        <v>369.74</v>
      </c>
      <c r="AF647">
        <v>369.74</v>
      </c>
      <c r="AG647" t="s">
        <v>1742</v>
      </c>
    </row>
    <row r="648" spans="1:33" x14ac:dyDescent="0.3">
      <c r="A648" t="s">
        <v>1407</v>
      </c>
      <c r="B648" s="2">
        <v>45778</v>
      </c>
      <c r="C648">
        <v>2286.1343999999999</v>
      </c>
      <c r="D648" t="s">
        <v>1809</v>
      </c>
      <c r="E648">
        <v>34</v>
      </c>
      <c r="F648" t="s">
        <v>16</v>
      </c>
      <c r="G648" t="s">
        <v>1546</v>
      </c>
      <c r="H648" t="s">
        <v>1742</v>
      </c>
      <c r="L648" s="2">
        <v>45778</v>
      </c>
      <c r="M648">
        <v>2286.1343999999999</v>
      </c>
      <c r="R648" t="s">
        <v>1809</v>
      </c>
      <c r="S648">
        <v>2286.1343999999999</v>
      </c>
      <c r="W648" s="11" t="s">
        <v>16</v>
      </c>
      <c r="X648" s="11" t="s">
        <v>1546</v>
      </c>
      <c r="Y648">
        <v>2286.1343999999999</v>
      </c>
      <c r="AF648">
        <v>2286.1343999999999</v>
      </c>
      <c r="AG648" t="s">
        <v>1742</v>
      </c>
    </row>
    <row r="649" spans="1:33" x14ac:dyDescent="0.3">
      <c r="A649" t="s">
        <v>558</v>
      </c>
      <c r="B649" s="2">
        <v>45592</v>
      </c>
      <c r="C649">
        <v>191.88</v>
      </c>
      <c r="D649" t="s">
        <v>1812</v>
      </c>
      <c r="E649">
        <v>18</v>
      </c>
      <c r="F649" t="s">
        <v>9</v>
      </c>
      <c r="G649" t="s">
        <v>1549</v>
      </c>
      <c r="H649" t="s">
        <v>1742</v>
      </c>
      <c r="L649" s="2">
        <v>45592</v>
      </c>
      <c r="M649">
        <v>191.88</v>
      </c>
      <c r="R649" t="s">
        <v>1812</v>
      </c>
      <c r="S649">
        <v>191.88</v>
      </c>
      <c r="W649" s="12" t="s">
        <v>9</v>
      </c>
      <c r="X649" s="12" t="s">
        <v>1549</v>
      </c>
      <c r="Y649">
        <v>191.88</v>
      </c>
      <c r="AF649">
        <v>191.88</v>
      </c>
      <c r="AG649" t="s">
        <v>1742</v>
      </c>
    </row>
    <row r="650" spans="1:33" x14ac:dyDescent="0.3">
      <c r="A650" t="s">
        <v>1178</v>
      </c>
      <c r="B650" s="2">
        <v>45259</v>
      </c>
      <c r="C650">
        <v>424.875</v>
      </c>
      <c r="D650" t="s">
        <v>1812</v>
      </c>
      <c r="E650">
        <v>20</v>
      </c>
      <c r="F650" t="s">
        <v>16</v>
      </c>
      <c r="G650" t="s">
        <v>1546</v>
      </c>
      <c r="H650" t="s">
        <v>1746</v>
      </c>
      <c r="L650" s="2">
        <v>45259</v>
      </c>
      <c r="M650">
        <v>424.875</v>
      </c>
      <c r="R650" t="s">
        <v>1812</v>
      </c>
      <c r="S650">
        <v>424.875</v>
      </c>
      <c r="W650" s="11" t="s">
        <v>16</v>
      </c>
      <c r="X650" s="11" t="s">
        <v>1546</v>
      </c>
      <c r="Y650">
        <v>424.875</v>
      </c>
      <c r="AF650">
        <v>424.875</v>
      </c>
      <c r="AG650" t="s">
        <v>1746</v>
      </c>
    </row>
    <row r="651" spans="1:33" x14ac:dyDescent="0.3">
      <c r="A651" t="s">
        <v>1239</v>
      </c>
      <c r="B651" s="2">
        <v>45801</v>
      </c>
      <c r="C651">
        <v>605.43299999999999</v>
      </c>
      <c r="D651" t="s">
        <v>1812</v>
      </c>
      <c r="E651">
        <v>34</v>
      </c>
      <c r="F651" t="s">
        <v>9</v>
      </c>
      <c r="G651" t="s">
        <v>1527</v>
      </c>
      <c r="H651" t="s">
        <v>1737</v>
      </c>
      <c r="L651" s="2">
        <v>45801</v>
      </c>
      <c r="M651">
        <v>605.43299999999999</v>
      </c>
      <c r="R651" t="s">
        <v>1812</v>
      </c>
      <c r="S651">
        <v>605.43299999999999</v>
      </c>
      <c r="W651" s="12" t="s">
        <v>9</v>
      </c>
      <c r="X651" s="12" t="s">
        <v>1527</v>
      </c>
      <c r="Y651">
        <v>605.43299999999999</v>
      </c>
      <c r="AF651">
        <v>605.43299999999999</v>
      </c>
      <c r="AG651" t="s">
        <v>1737</v>
      </c>
    </row>
    <row r="652" spans="1:33" x14ac:dyDescent="0.3">
      <c r="A652" t="s">
        <v>676</v>
      </c>
      <c r="B652" s="2">
        <v>45347</v>
      </c>
      <c r="C652">
        <v>426.411</v>
      </c>
      <c r="D652" t="s">
        <v>1809</v>
      </c>
      <c r="E652">
        <v>48</v>
      </c>
      <c r="F652" t="s">
        <v>9</v>
      </c>
      <c r="G652" t="s">
        <v>1530</v>
      </c>
      <c r="H652" t="s">
        <v>1742</v>
      </c>
      <c r="L652" s="2">
        <v>45347</v>
      </c>
      <c r="M652">
        <v>426.411</v>
      </c>
      <c r="R652" t="s">
        <v>1809</v>
      </c>
      <c r="S652">
        <v>426.411</v>
      </c>
      <c r="W652" s="11" t="s">
        <v>9</v>
      </c>
      <c r="X652" s="11" t="s">
        <v>1530</v>
      </c>
      <c r="Y652">
        <v>426.411</v>
      </c>
      <c r="AF652">
        <v>426.411</v>
      </c>
      <c r="AG652" t="s">
        <v>1742</v>
      </c>
    </row>
    <row r="653" spans="1:33" x14ac:dyDescent="0.3">
      <c r="A653" t="s">
        <v>498</v>
      </c>
      <c r="B653" s="2">
        <v>45721</v>
      </c>
      <c r="C653">
        <v>710.44</v>
      </c>
      <c r="D653" t="s">
        <v>1809</v>
      </c>
      <c r="E653">
        <v>24</v>
      </c>
      <c r="F653" t="s">
        <v>9</v>
      </c>
      <c r="G653" t="s">
        <v>1541</v>
      </c>
      <c r="H653" t="s">
        <v>1742</v>
      </c>
      <c r="L653" s="2">
        <v>45721</v>
      </c>
      <c r="M653">
        <v>710.44</v>
      </c>
      <c r="R653" t="s">
        <v>1809</v>
      </c>
      <c r="S653">
        <v>710.44</v>
      </c>
      <c r="W653" s="12" t="s">
        <v>9</v>
      </c>
      <c r="X653" s="12" t="s">
        <v>1541</v>
      </c>
      <c r="Y653">
        <v>710.44</v>
      </c>
      <c r="AF653">
        <v>710.44</v>
      </c>
      <c r="AG653" t="s">
        <v>1742</v>
      </c>
    </row>
    <row r="654" spans="1:33" x14ac:dyDescent="0.3">
      <c r="A654" t="s">
        <v>37</v>
      </c>
      <c r="B654" s="2">
        <v>45531</v>
      </c>
      <c r="C654">
        <v>1197.9756</v>
      </c>
      <c r="D654" t="s">
        <v>1809</v>
      </c>
      <c r="E654">
        <v>29</v>
      </c>
      <c r="F654" t="s">
        <v>16</v>
      </c>
      <c r="G654" t="s">
        <v>1546</v>
      </c>
      <c r="H654" t="s">
        <v>1742</v>
      </c>
      <c r="L654" s="2">
        <v>45531</v>
      </c>
      <c r="M654">
        <v>1197.9756</v>
      </c>
      <c r="R654" t="s">
        <v>1809</v>
      </c>
      <c r="S654">
        <v>1197.9756</v>
      </c>
      <c r="W654" s="11" t="s">
        <v>16</v>
      </c>
      <c r="X654" s="11" t="s">
        <v>1546</v>
      </c>
      <c r="Y654">
        <v>1197.9756</v>
      </c>
      <c r="AF654">
        <v>1197.9756</v>
      </c>
      <c r="AG654" t="s">
        <v>1742</v>
      </c>
    </row>
    <row r="655" spans="1:33" x14ac:dyDescent="0.3">
      <c r="A655" t="s">
        <v>1347</v>
      </c>
      <c r="B655" s="2">
        <v>45332</v>
      </c>
      <c r="C655">
        <v>729.07759999999996</v>
      </c>
      <c r="D655" t="s">
        <v>1812</v>
      </c>
      <c r="E655">
        <v>31</v>
      </c>
      <c r="F655" t="s">
        <v>9</v>
      </c>
      <c r="G655" t="s">
        <v>1541</v>
      </c>
      <c r="H655" t="s">
        <v>1742</v>
      </c>
      <c r="L655" s="2">
        <v>45332</v>
      </c>
      <c r="M655">
        <v>729.07759999999996</v>
      </c>
      <c r="R655" t="s">
        <v>1812</v>
      </c>
      <c r="S655">
        <v>729.07759999999996</v>
      </c>
      <c r="W655" s="12" t="s">
        <v>9</v>
      </c>
      <c r="X655" s="12" t="s">
        <v>1541</v>
      </c>
      <c r="Y655">
        <v>729.07759999999996</v>
      </c>
      <c r="AF655">
        <v>729.07759999999996</v>
      </c>
      <c r="AG655" t="s">
        <v>1742</v>
      </c>
    </row>
    <row r="656" spans="1:33" x14ac:dyDescent="0.3">
      <c r="A656" t="s">
        <v>1163</v>
      </c>
      <c r="B656" s="2">
        <v>45344</v>
      </c>
      <c r="C656">
        <v>3908.2428</v>
      </c>
      <c r="D656" t="s">
        <v>1807</v>
      </c>
      <c r="E656">
        <v>39</v>
      </c>
      <c r="F656" t="s">
        <v>16</v>
      </c>
      <c r="G656" t="s">
        <v>1530</v>
      </c>
      <c r="H656" t="s">
        <v>1742</v>
      </c>
      <c r="L656" s="2">
        <v>45344</v>
      </c>
      <c r="M656">
        <v>3908.2428</v>
      </c>
      <c r="R656" t="s">
        <v>1807</v>
      </c>
      <c r="S656">
        <v>3908.2428</v>
      </c>
      <c r="W656" s="11" t="s">
        <v>16</v>
      </c>
      <c r="X656" s="11" t="s">
        <v>1530</v>
      </c>
      <c r="Y656">
        <v>3908.2428</v>
      </c>
      <c r="AF656">
        <v>3908.2428</v>
      </c>
      <c r="AG656" t="s">
        <v>1742</v>
      </c>
    </row>
    <row r="657" spans="1:33" x14ac:dyDescent="0.3">
      <c r="A657" t="s">
        <v>1459</v>
      </c>
      <c r="B657" s="2">
        <v>45388</v>
      </c>
      <c r="C657">
        <v>1547.9168</v>
      </c>
      <c r="D657" t="s">
        <v>1809</v>
      </c>
      <c r="E657">
        <v>33</v>
      </c>
      <c r="F657" t="s">
        <v>9</v>
      </c>
      <c r="G657" t="s">
        <v>1549</v>
      </c>
      <c r="H657" t="s">
        <v>1742</v>
      </c>
      <c r="L657" s="2">
        <v>45388</v>
      </c>
      <c r="M657">
        <v>1547.9168</v>
      </c>
      <c r="R657" t="s">
        <v>1809</v>
      </c>
      <c r="S657">
        <v>1547.9168</v>
      </c>
      <c r="W657" s="12" t="s">
        <v>9</v>
      </c>
      <c r="X657" s="12" t="s">
        <v>1549</v>
      </c>
      <c r="Y657">
        <v>1547.9168</v>
      </c>
      <c r="AF657">
        <v>1547.9168</v>
      </c>
      <c r="AG657" t="s">
        <v>1742</v>
      </c>
    </row>
    <row r="658" spans="1:33" x14ac:dyDescent="0.3">
      <c r="A658" t="s">
        <v>706</v>
      </c>
      <c r="B658" s="2">
        <v>45397</v>
      </c>
      <c r="C658">
        <v>1211.364</v>
      </c>
      <c r="D658" t="s">
        <v>1812</v>
      </c>
      <c r="E658">
        <v>50</v>
      </c>
      <c r="F658" t="s">
        <v>16</v>
      </c>
      <c r="G658" t="s">
        <v>1530</v>
      </c>
      <c r="H658" t="s">
        <v>1742</v>
      </c>
      <c r="L658" s="2">
        <v>45397</v>
      </c>
      <c r="M658">
        <v>1211.364</v>
      </c>
      <c r="R658" t="s">
        <v>1812</v>
      </c>
      <c r="S658">
        <v>1211.364</v>
      </c>
      <c r="W658" s="11" t="s">
        <v>16</v>
      </c>
      <c r="X658" s="11" t="s">
        <v>1530</v>
      </c>
      <c r="Y658">
        <v>1211.364</v>
      </c>
      <c r="AF658">
        <v>1211.364</v>
      </c>
      <c r="AG658" t="s">
        <v>1742</v>
      </c>
    </row>
    <row r="659" spans="1:33" x14ac:dyDescent="0.3">
      <c r="A659" t="s">
        <v>68</v>
      </c>
      <c r="B659" s="2">
        <v>45633</v>
      </c>
      <c r="C659">
        <v>1548.0453</v>
      </c>
      <c r="D659" t="s">
        <v>1807</v>
      </c>
      <c r="E659">
        <v>49</v>
      </c>
      <c r="F659" t="s">
        <v>16</v>
      </c>
      <c r="G659" t="s">
        <v>1546</v>
      </c>
      <c r="H659" t="s">
        <v>1742</v>
      </c>
      <c r="L659" s="2">
        <v>45633</v>
      </c>
      <c r="M659">
        <v>1548.0453</v>
      </c>
      <c r="R659" t="s">
        <v>1807</v>
      </c>
      <c r="S659">
        <v>1548.0453</v>
      </c>
      <c r="W659" s="12" t="s">
        <v>16</v>
      </c>
      <c r="X659" s="12" t="s">
        <v>1546</v>
      </c>
      <c r="Y659">
        <v>1548.0453</v>
      </c>
      <c r="AF659">
        <v>1548.0453</v>
      </c>
      <c r="AG659" t="s">
        <v>1742</v>
      </c>
    </row>
    <row r="660" spans="1:33" x14ac:dyDescent="0.3">
      <c r="A660" t="s">
        <v>206</v>
      </c>
      <c r="B660" s="2">
        <v>45629</v>
      </c>
      <c r="C660">
        <v>1768.96</v>
      </c>
      <c r="D660" t="s">
        <v>1812</v>
      </c>
      <c r="E660">
        <v>49</v>
      </c>
      <c r="F660" t="s">
        <v>16</v>
      </c>
      <c r="G660" t="s">
        <v>1546</v>
      </c>
      <c r="H660" t="s">
        <v>1737</v>
      </c>
      <c r="L660" s="2">
        <v>45629</v>
      </c>
      <c r="M660">
        <v>1768.96</v>
      </c>
      <c r="R660" t="s">
        <v>1812</v>
      </c>
      <c r="S660">
        <v>1768.96</v>
      </c>
      <c r="W660" s="11" t="s">
        <v>16</v>
      </c>
      <c r="X660" s="11" t="s">
        <v>1546</v>
      </c>
      <c r="Y660">
        <v>1768.96</v>
      </c>
      <c r="AF660">
        <v>1768.96</v>
      </c>
      <c r="AG660" t="s">
        <v>1737</v>
      </c>
    </row>
    <row r="661" spans="1:33" x14ac:dyDescent="0.3">
      <c r="A661" t="s">
        <v>179</v>
      </c>
      <c r="B661" s="2">
        <v>45291</v>
      </c>
      <c r="C661">
        <v>1745.2989</v>
      </c>
      <c r="D661" t="s">
        <v>1809</v>
      </c>
      <c r="E661">
        <v>54</v>
      </c>
      <c r="F661" t="s">
        <v>9</v>
      </c>
      <c r="G661" t="s">
        <v>1527</v>
      </c>
      <c r="H661" t="s">
        <v>1746</v>
      </c>
      <c r="L661" s="2">
        <v>45291</v>
      </c>
      <c r="M661">
        <v>1745.2989</v>
      </c>
      <c r="R661" t="s">
        <v>1809</v>
      </c>
      <c r="S661">
        <v>1745.2989</v>
      </c>
      <c r="W661" s="12" t="s">
        <v>9</v>
      </c>
      <c r="X661" s="12" t="s">
        <v>1527</v>
      </c>
      <c r="Y661">
        <v>1745.2989</v>
      </c>
      <c r="AF661">
        <v>1745.2989</v>
      </c>
      <c r="AG661" t="s">
        <v>1746</v>
      </c>
    </row>
    <row r="662" spans="1:33" x14ac:dyDescent="0.3">
      <c r="A662" t="s">
        <v>590</v>
      </c>
      <c r="B662" s="2">
        <v>45914</v>
      </c>
      <c r="C662">
        <v>235.2936</v>
      </c>
      <c r="D662" t="s">
        <v>1809</v>
      </c>
      <c r="E662">
        <v>60</v>
      </c>
      <c r="F662" t="s">
        <v>9</v>
      </c>
      <c r="G662" t="s">
        <v>1546</v>
      </c>
      <c r="H662" t="s">
        <v>1742</v>
      </c>
      <c r="L662" s="2">
        <v>45914</v>
      </c>
      <c r="M662">
        <v>235.2936</v>
      </c>
      <c r="R662" t="s">
        <v>1809</v>
      </c>
      <c r="S662">
        <v>235.2936</v>
      </c>
      <c r="W662" s="11" t="s">
        <v>9</v>
      </c>
      <c r="X662" s="11" t="s">
        <v>1546</v>
      </c>
      <c r="Y662">
        <v>235.2936</v>
      </c>
      <c r="AF662">
        <v>235.2936</v>
      </c>
      <c r="AG662" t="s">
        <v>1742</v>
      </c>
    </row>
    <row r="663" spans="1:33" x14ac:dyDescent="0.3">
      <c r="A663" t="s">
        <v>209</v>
      </c>
      <c r="B663" s="2">
        <v>45673</v>
      </c>
      <c r="C663">
        <v>2094.8568</v>
      </c>
      <c r="D663" t="s">
        <v>1812</v>
      </c>
      <c r="E663">
        <v>43</v>
      </c>
      <c r="F663" t="s">
        <v>16</v>
      </c>
      <c r="G663" t="s">
        <v>1530</v>
      </c>
      <c r="H663" t="s">
        <v>1742</v>
      </c>
      <c r="L663" s="2">
        <v>45673</v>
      </c>
      <c r="M663">
        <v>2094.8568</v>
      </c>
      <c r="R663" t="s">
        <v>1812</v>
      </c>
      <c r="S663">
        <v>2094.8568</v>
      </c>
      <c r="W663" s="12" t="s">
        <v>16</v>
      </c>
      <c r="X663" s="12" t="s">
        <v>1530</v>
      </c>
      <c r="Y663">
        <v>2094.8568</v>
      </c>
      <c r="AF663">
        <v>2094.8568</v>
      </c>
      <c r="AG663" t="s">
        <v>1742</v>
      </c>
    </row>
    <row r="664" spans="1:33" x14ac:dyDescent="0.3">
      <c r="A664" t="s">
        <v>1098</v>
      </c>
      <c r="B664" s="2">
        <v>45689</v>
      </c>
      <c r="C664">
        <v>711.05579999999986</v>
      </c>
      <c r="D664" t="s">
        <v>1807</v>
      </c>
      <c r="E664">
        <v>20</v>
      </c>
      <c r="F664" t="s">
        <v>9</v>
      </c>
      <c r="G664" t="s">
        <v>1549</v>
      </c>
      <c r="H664" t="s">
        <v>1737</v>
      </c>
      <c r="L664" s="2">
        <v>45689</v>
      </c>
      <c r="M664">
        <v>711.05579999999986</v>
      </c>
      <c r="R664" t="s">
        <v>1807</v>
      </c>
      <c r="S664">
        <v>711.05579999999986</v>
      </c>
      <c r="W664" s="11" t="s">
        <v>9</v>
      </c>
      <c r="X664" s="11" t="s">
        <v>1549</v>
      </c>
      <c r="Y664">
        <v>711.05579999999986</v>
      </c>
      <c r="AF664">
        <v>711.05579999999986</v>
      </c>
      <c r="AG664" t="s">
        <v>1737</v>
      </c>
    </row>
    <row r="665" spans="1:33" x14ac:dyDescent="0.3">
      <c r="A665" t="s">
        <v>421</v>
      </c>
      <c r="B665" s="2">
        <v>45646</v>
      </c>
      <c r="C665">
        <v>739.55970000000002</v>
      </c>
      <c r="D665" t="s">
        <v>1807</v>
      </c>
      <c r="E665">
        <v>26</v>
      </c>
      <c r="F665" t="s">
        <v>9</v>
      </c>
      <c r="G665" t="s">
        <v>1549</v>
      </c>
      <c r="H665" t="s">
        <v>1737</v>
      </c>
      <c r="L665" s="2">
        <v>45646</v>
      </c>
      <c r="M665">
        <v>739.55970000000002</v>
      </c>
      <c r="R665" t="s">
        <v>1807</v>
      </c>
      <c r="S665">
        <v>739.55970000000002</v>
      </c>
      <c r="W665" s="12" t="s">
        <v>9</v>
      </c>
      <c r="X665" s="12" t="s">
        <v>1549</v>
      </c>
      <c r="Y665">
        <v>739.55970000000002</v>
      </c>
      <c r="AF665">
        <v>739.55970000000002</v>
      </c>
      <c r="AG665" t="s">
        <v>1737</v>
      </c>
    </row>
    <row r="666" spans="1:33" x14ac:dyDescent="0.3">
      <c r="A666" t="s">
        <v>1244</v>
      </c>
      <c r="B666" s="2">
        <v>45475</v>
      </c>
      <c r="C666">
        <v>2158.7103999999999</v>
      </c>
      <c r="D666" t="s">
        <v>1809</v>
      </c>
      <c r="E666">
        <v>18</v>
      </c>
      <c r="F666" t="s">
        <v>16</v>
      </c>
      <c r="G666" t="s">
        <v>1541</v>
      </c>
      <c r="H666" t="s">
        <v>1767</v>
      </c>
      <c r="L666" s="2">
        <v>45475</v>
      </c>
      <c r="M666">
        <v>2158.7103999999999</v>
      </c>
      <c r="R666" t="s">
        <v>1809</v>
      </c>
      <c r="S666">
        <v>2158.7103999999999</v>
      </c>
      <c r="W666" s="11" t="s">
        <v>16</v>
      </c>
      <c r="X666" s="11" t="s">
        <v>1541</v>
      </c>
      <c r="Y666">
        <v>2158.7103999999999</v>
      </c>
      <c r="AF666">
        <v>2158.7103999999999</v>
      </c>
      <c r="AG666" t="s">
        <v>1767</v>
      </c>
    </row>
    <row r="667" spans="1:33" x14ac:dyDescent="0.3">
      <c r="A667" t="s">
        <v>183</v>
      </c>
      <c r="B667" s="2">
        <v>45781</v>
      </c>
      <c r="C667">
        <v>67.502399999999994</v>
      </c>
      <c r="D667" t="s">
        <v>1809</v>
      </c>
      <c r="E667">
        <v>45</v>
      </c>
      <c r="F667" t="s">
        <v>16</v>
      </c>
      <c r="G667" t="s">
        <v>1549</v>
      </c>
      <c r="H667" t="s">
        <v>1742</v>
      </c>
      <c r="L667" s="2">
        <v>45781</v>
      </c>
      <c r="M667">
        <v>67.502399999999994</v>
      </c>
      <c r="R667" t="s">
        <v>1809</v>
      </c>
      <c r="S667">
        <v>67.502399999999994</v>
      </c>
      <c r="W667" s="12" t="s">
        <v>16</v>
      </c>
      <c r="X667" s="12" t="s">
        <v>1549</v>
      </c>
      <c r="Y667">
        <v>67.502399999999994</v>
      </c>
      <c r="AF667">
        <v>67.502399999999994</v>
      </c>
      <c r="AG667" t="s">
        <v>1742</v>
      </c>
    </row>
    <row r="668" spans="1:33" x14ac:dyDescent="0.3">
      <c r="A668" t="s">
        <v>228</v>
      </c>
      <c r="B668" s="2">
        <v>45654</v>
      </c>
      <c r="C668">
        <v>2092.2192</v>
      </c>
      <c r="D668" t="s">
        <v>1809</v>
      </c>
      <c r="E668">
        <v>51</v>
      </c>
      <c r="F668" t="s">
        <v>9</v>
      </c>
      <c r="G668" t="s">
        <v>1530</v>
      </c>
      <c r="H668" t="s">
        <v>1742</v>
      </c>
      <c r="L668" s="2">
        <v>45654</v>
      </c>
      <c r="M668">
        <v>2092.2192</v>
      </c>
      <c r="R668" t="s">
        <v>1809</v>
      </c>
      <c r="S668">
        <v>2092.2192</v>
      </c>
      <c r="W668" s="11" t="s">
        <v>9</v>
      </c>
      <c r="X668" s="11" t="s">
        <v>1530</v>
      </c>
      <c r="Y668">
        <v>2092.2192</v>
      </c>
      <c r="AF668">
        <v>2092.2192</v>
      </c>
      <c r="AG668" t="s">
        <v>1742</v>
      </c>
    </row>
    <row r="669" spans="1:33" x14ac:dyDescent="0.3">
      <c r="A669" t="s">
        <v>193</v>
      </c>
      <c r="B669" s="2">
        <v>45594</v>
      </c>
      <c r="C669">
        <v>198.50559999999999</v>
      </c>
      <c r="D669" t="s">
        <v>1809</v>
      </c>
      <c r="E669">
        <v>55</v>
      </c>
      <c r="F669" t="s">
        <v>9</v>
      </c>
      <c r="G669" t="s">
        <v>1527</v>
      </c>
      <c r="H669" t="s">
        <v>1737</v>
      </c>
      <c r="L669" s="2">
        <v>45594</v>
      </c>
      <c r="M669">
        <v>198.50559999999999</v>
      </c>
      <c r="R669" t="s">
        <v>1809</v>
      </c>
      <c r="S669">
        <v>198.50559999999999</v>
      </c>
      <c r="W669" s="12" t="s">
        <v>9</v>
      </c>
      <c r="X669" s="12" t="s">
        <v>1527</v>
      </c>
      <c r="Y669">
        <v>198.50559999999999</v>
      </c>
      <c r="AF669">
        <v>198.50559999999999</v>
      </c>
      <c r="AG669" t="s">
        <v>1737</v>
      </c>
    </row>
    <row r="670" spans="1:33" x14ac:dyDescent="0.3">
      <c r="A670" t="s">
        <v>212</v>
      </c>
      <c r="B670" s="2">
        <v>45581</v>
      </c>
      <c r="C670">
        <v>391.77640000000002</v>
      </c>
      <c r="D670" t="s">
        <v>1807</v>
      </c>
      <c r="E670">
        <v>51</v>
      </c>
      <c r="F670" t="s">
        <v>9</v>
      </c>
      <c r="G670" t="s">
        <v>1541</v>
      </c>
      <c r="H670" t="s">
        <v>1746</v>
      </c>
      <c r="L670" s="2">
        <v>45581</v>
      </c>
      <c r="M670">
        <v>391.77640000000002</v>
      </c>
      <c r="R670" t="s">
        <v>1807</v>
      </c>
      <c r="S670">
        <v>391.77640000000002</v>
      </c>
      <c r="W670" s="11" t="s">
        <v>9</v>
      </c>
      <c r="X670" s="11" t="s">
        <v>1541</v>
      </c>
      <c r="Y670">
        <v>391.77640000000002</v>
      </c>
      <c r="AF670">
        <v>391.77640000000002</v>
      </c>
      <c r="AG670" t="s">
        <v>1746</v>
      </c>
    </row>
    <row r="671" spans="1:33" x14ac:dyDescent="0.3">
      <c r="A671" t="s">
        <v>334</v>
      </c>
      <c r="B671" s="2">
        <v>45748</v>
      </c>
      <c r="C671">
        <v>214.8664</v>
      </c>
      <c r="D671" t="s">
        <v>1809</v>
      </c>
      <c r="E671">
        <v>62</v>
      </c>
      <c r="F671" t="s">
        <v>16</v>
      </c>
      <c r="G671" t="s">
        <v>1527</v>
      </c>
      <c r="H671" t="s">
        <v>1746</v>
      </c>
      <c r="L671" s="2">
        <v>45748</v>
      </c>
      <c r="M671">
        <v>214.8664</v>
      </c>
      <c r="R671" t="s">
        <v>1809</v>
      </c>
      <c r="S671">
        <v>214.8664</v>
      </c>
      <c r="W671" s="12" t="s">
        <v>16</v>
      </c>
      <c r="X671" s="12" t="s">
        <v>1527</v>
      </c>
      <c r="Y671">
        <v>214.8664</v>
      </c>
      <c r="AF671">
        <v>214.8664</v>
      </c>
      <c r="AG671" t="s">
        <v>1746</v>
      </c>
    </row>
    <row r="672" spans="1:33" x14ac:dyDescent="0.3">
      <c r="A672" t="s">
        <v>711</v>
      </c>
      <c r="B672" s="2">
        <v>45369</v>
      </c>
      <c r="C672">
        <v>231.0198</v>
      </c>
      <c r="D672" t="s">
        <v>1812</v>
      </c>
      <c r="E672">
        <v>35</v>
      </c>
      <c r="F672" t="s">
        <v>9</v>
      </c>
      <c r="G672" t="s">
        <v>1546</v>
      </c>
      <c r="H672" t="s">
        <v>1746</v>
      </c>
      <c r="L672" s="2">
        <v>45369</v>
      </c>
      <c r="M672">
        <v>231.0198</v>
      </c>
      <c r="R672" t="s">
        <v>1812</v>
      </c>
      <c r="S672">
        <v>231.0198</v>
      </c>
      <c r="W672" s="11" t="s">
        <v>9</v>
      </c>
      <c r="X672" s="11" t="s">
        <v>1546</v>
      </c>
      <c r="Y672">
        <v>231.0198</v>
      </c>
      <c r="AF672">
        <v>231.0198</v>
      </c>
      <c r="AG672" t="s">
        <v>1746</v>
      </c>
    </row>
    <row r="673" spans="1:33" x14ac:dyDescent="0.3">
      <c r="A673" t="s">
        <v>64</v>
      </c>
      <c r="B673" s="2">
        <v>45701</v>
      </c>
      <c r="C673">
        <v>2346.4584</v>
      </c>
      <c r="D673" t="s">
        <v>1807</v>
      </c>
      <c r="E673">
        <v>53</v>
      </c>
      <c r="F673" t="s">
        <v>16</v>
      </c>
      <c r="G673" t="s">
        <v>1549</v>
      </c>
      <c r="H673" t="s">
        <v>1746</v>
      </c>
      <c r="L673" s="2">
        <v>45701</v>
      </c>
      <c r="M673">
        <v>2346.4584</v>
      </c>
      <c r="R673" t="s">
        <v>1807</v>
      </c>
      <c r="S673">
        <v>2346.4584</v>
      </c>
      <c r="W673" s="12" t="s">
        <v>16</v>
      </c>
      <c r="X673" s="12" t="s">
        <v>1549</v>
      </c>
      <c r="Y673">
        <v>2346.4584</v>
      </c>
      <c r="AF673">
        <v>2346.4584</v>
      </c>
      <c r="AG673" t="s">
        <v>1746</v>
      </c>
    </row>
    <row r="674" spans="1:33" x14ac:dyDescent="0.3">
      <c r="A674" t="s">
        <v>1479</v>
      </c>
      <c r="B674" s="2">
        <v>45510</v>
      </c>
      <c r="C674">
        <v>1730.1479999999999</v>
      </c>
      <c r="D674" t="s">
        <v>1812</v>
      </c>
      <c r="E674">
        <v>36</v>
      </c>
      <c r="F674" t="s">
        <v>16</v>
      </c>
      <c r="G674" t="s">
        <v>1546</v>
      </c>
      <c r="H674" t="s">
        <v>1742</v>
      </c>
      <c r="L674" s="2">
        <v>45510</v>
      </c>
      <c r="M674">
        <v>1730.1479999999999</v>
      </c>
      <c r="R674" t="s">
        <v>1812</v>
      </c>
      <c r="S674">
        <v>1730.1479999999999</v>
      </c>
      <c r="W674" s="11" t="s">
        <v>16</v>
      </c>
      <c r="X674" s="11" t="s">
        <v>1546</v>
      </c>
      <c r="Y674">
        <v>1730.1479999999999</v>
      </c>
      <c r="AF674">
        <v>1730.1479999999999</v>
      </c>
      <c r="AG674" t="s">
        <v>1742</v>
      </c>
    </row>
    <row r="675" spans="1:33" x14ac:dyDescent="0.3">
      <c r="A675" t="s">
        <v>747</v>
      </c>
      <c r="B675" s="2">
        <v>45538</v>
      </c>
      <c r="C675">
        <v>878.0687999999999</v>
      </c>
      <c r="D675" t="s">
        <v>1807</v>
      </c>
      <c r="E675">
        <v>28</v>
      </c>
      <c r="F675" t="s">
        <v>16</v>
      </c>
      <c r="G675" t="s">
        <v>1530</v>
      </c>
      <c r="H675" t="s">
        <v>1742</v>
      </c>
      <c r="L675" s="2">
        <v>45538</v>
      </c>
      <c r="M675">
        <v>878.0687999999999</v>
      </c>
      <c r="R675" t="s">
        <v>1807</v>
      </c>
      <c r="S675">
        <v>878.0687999999999</v>
      </c>
      <c r="W675" s="12" t="s">
        <v>16</v>
      </c>
      <c r="X675" s="12" t="s">
        <v>1530</v>
      </c>
      <c r="Y675">
        <v>878.0687999999999</v>
      </c>
      <c r="AF675">
        <v>878.0687999999999</v>
      </c>
      <c r="AG675" t="s">
        <v>1742</v>
      </c>
    </row>
    <row r="676" spans="1:33" x14ac:dyDescent="0.3">
      <c r="A676" t="s">
        <v>1443</v>
      </c>
      <c r="B676" s="2">
        <v>45665</v>
      </c>
      <c r="C676">
        <v>427.49560000000002</v>
      </c>
      <c r="D676" t="s">
        <v>1812</v>
      </c>
      <c r="E676">
        <v>32</v>
      </c>
      <c r="F676" t="s">
        <v>16</v>
      </c>
      <c r="G676" t="s">
        <v>1549</v>
      </c>
      <c r="H676" t="s">
        <v>1742</v>
      </c>
      <c r="L676" s="2">
        <v>45665</v>
      </c>
      <c r="M676">
        <v>427.49560000000002</v>
      </c>
      <c r="R676" t="s">
        <v>1812</v>
      </c>
      <c r="S676">
        <v>427.49560000000002</v>
      </c>
      <c r="W676" s="11" t="s">
        <v>16</v>
      </c>
      <c r="X676" s="11" t="s">
        <v>1549</v>
      </c>
      <c r="Y676">
        <v>427.49560000000002</v>
      </c>
      <c r="AF676">
        <v>427.49560000000002</v>
      </c>
      <c r="AG676" t="s">
        <v>1742</v>
      </c>
    </row>
    <row r="677" spans="1:33" x14ac:dyDescent="0.3">
      <c r="A677" t="s">
        <v>212</v>
      </c>
      <c r="B677" s="2">
        <v>45859</v>
      </c>
      <c r="C677">
        <v>3179.3807999999999</v>
      </c>
      <c r="D677" t="s">
        <v>1809</v>
      </c>
      <c r="E677">
        <v>51</v>
      </c>
      <c r="F677" t="s">
        <v>9</v>
      </c>
      <c r="G677" t="s">
        <v>1530</v>
      </c>
      <c r="H677" t="s">
        <v>1737</v>
      </c>
      <c r="L677" s="2">
        <v>45859</v>
      </c>
      <c r="M677">
        <v>3179.3807999999999</v>
      </c>
      <c r="R677" t="s">
        <v>1809</v>
      </c>
      <c r="S677">
        <v>3179.3807999999999</v>
      </c>
      <c r="W677" s="12" t="s">
        <v>9</v>
      </c>
      <c r="X677" s="12" t="s">
        <v>1530</v>
      </c>
      <c r="Y677">
        <v>3179.3807999999999</v>
      </c>
      <c r="AF677">
        <v>3179.3807999999999</v>
      </c>
      <c r="AG677" t="s">
        <v>1737</v>
      </c>
    </row>
    <row r="678" spans="1:33" x14ac:dyDescent="0.3">
      <c r="A678" t="s">
        <v>437</v>
      </c>
      <c r="B678" s="2">
        <v>45255</v>
      </c>
      <c r="C678">
        <v>191.4016</v>
      </c>
      <c r="D678" t="s">
        <v>1807</v>
      </c>
      <c r="E678">
        <v>43</v>
      </c>
      <c r="F678" t="s">
        <v>16</v>
      </c>
      <c r="G678" t="s">
        <v>1527</v>
      </c>
      <c r="H678" t="s">
        <v>1746</v>
      </c>
      <c r="L678" s="2">
        <v>45255</v>
      </c>
      <c r="M678">
        <v>191.4016</v>
      </c>
      <c r="R678" t="s">
        <v>1807</v>
      </c>
      <c r="S678">
        <v>191.4016</v>
      </c>
      <c r="W678" s="11" t="s">
        <v>16</v>
      </c>
      <c r="X678" s="11" t="s">
        <v>1527</v>
      </c>
      <c r="Y678">
        <v>191.4016</v>
      </c>
      <c r="AF678">
        <v>191.4016</v>
      </c>
      <c r="AG678" t="s">
        <v>1746</v>
      </c>
    </row>
    <row r="679" spans="1:33" x14ac:dyDescent="0.3">
      <c r="A679" t="s">
        <v>580</v>
      </c>
      <c r="B679" s="2">
        <v>45842</v>
      </c>
      <c r="C679">
        <v>60.280200000000008</v>
      </c>
      <c r="D679" t="s">
        <v>1807</v>
      </c>
      <c r="E679">
        <v>33</v>
      </c>
      <c r="F679" t="s">
        <v>16</v>
      </c>
      <c r="G679" t="s">
        <v>1541</v>
      </c>
      <c r="H679" t="s">
        <v>1742</v>
      </c>
      <c r="L679" s="2">
        <v>45842</v>
      </c>
      <c r="M679">
        <v>60.280200000000008</v>
      </c>
      <c r="R679" t="s">
        <v>1807</v>
      </c>
      <c r="S679">
        <v>60.280200000000008</v>
      </c>
      <c r="W679" s="12" t="s">
        <v>16</v>
      </c>
      <c r="X679" s="12" t="s">
        <v>1541</v>
      </c>
      <c r="Y679">
        <v>60.280200000000008</v>
      </c>
      <c r="AF679">
        <v>60.280200000000008</v>
      </c>
      <c r="AG679" t="s">
        <v>1742</v>
      </c>
    </row>
    <row r="680" spans="1:33" x14ac:dyDescent="0.3">
      <c r="A680" t="s">
        <v>1282</v>
      </c>
      <c r="B680" s="2">
        <v>45220</v>
      </c>
      <c r="C680">
        <v>318.46080000000001</v>
      </c>
      <c r="D680" t="s">
        <v>1807</v>
      </c>
      <c r="E680">
        <v>60</v>
      </c>
      <c r="F680" t="s">
        <v>16</v>
      </c>
      <c r="G680" t="s">
        <v>1546</v>
      </c>
      <c r="H680" t="s">
        <v>1742</v>
      </c>
      <c r="L680" s="2">
        <v>45220</v>
      </c>
      <c r="M680">
        <v>318.46080000000001</v>
      </c>
      <c r="R680" t="s">
        <v>1807</v>
      </c>
      <c r="S680">
        <v>318.46080000000001</v>
      </c>
      <c r="W680" s="11" t="s">
        <v>16</v>
      </c>
      <c r="X680" s="11" t="s">
        <v>1546</v>
      </c>
      <c r="Y680">
        <v>318.46080000000001</v>
      </c>
      <c r="AF680">
        <v>318.46080000000001</v>
      </c>
      <c r="AG680" t="s">
        <v>1742</v>
      </c>
    </row>
    <row r="681" spans="1:33" x14ac:dyDescent="0.3">
      <c r="A681" t="s">
        <v>1127</v>
      </c>
      <c r="B681" s="2">
        <v>45273</v>
      </c>
      <c r="C681">
        <v>837.31829999999991</v>
      </c>
      <c r="D681" t="s">
        <v>1809</v>
      </c>
      <c r="E681">
        <v>63</v>
      </c>
      <c r="F681" t="s">
        <v>16</v>
      </c>
      <c r="G681" t="s">
        <v>1527</v>
      </c>
      <c r="H681" t="s">
        <v>1742</v>
      </c>
      <c r="L681" s="2">
        <v>45273</v>
      </c>
      <c r="M681">
        <v>837.31829999999991</v>
      </c>
      <c r="R681" t="s">
        <v>1809</v>
      </c>
      <c r="S681">
        <v>837.31829999999991</v>
      </c>
      <c r="W681" s="12" t="s">
        <v>16</v>
      </c>
      <c r="X681" s="12" t="s">
        <v>1527</v>
      </c>
      <c r="Y681">
        <v>837.31829999999991</v>
      </c>
      <c r="AF681">
        <v>837.31829999999991</v>
      </c>
      <c r="AG681" t="s">
        <v>1742</v>
      </c>
    </row>
    <row r="682" spans="1:33" x14ac:dyDescent="0.3">
      <c r="A682" t="s">
        <v>854</v>
      </c>
      <c r="B682" s="2">
        <v>45456</v>
      </c>
      <c r="C682">
        <v>1396.5696</v>
      </c>
      <c r="D682" t="s">
        <v>1809</v>
      </c>
      <c r="E682">
        <v>64</v>
      </c>
      <c r="F682" t="s">
        <v>9</v>
      </c>
      <c r="G682" t="s">
        <v>1530</v>
      </c>
      <c r="H682" t="s">
        <v>1737</v>
      </c>
      <c r="L682" s="2">
        <v>45456</v>
      </c>
      <c r="M682">
        <v>1396.5696</v>
      </c>
      <c r="R682" t="s">
        <v>1809</v>
      </c>
      <c r="S682">
        <v>1396.5696</v>
      </c>
      <c r="W682" s="11" t="s">
        <v>9</v>
      </c>
      <c r="X682" s="11" t="s">
        <v>1530</v>
      </c>
      <c r="Y682">
        <v>1396.5696</v>
      </c>
      <c r="AF682">
        <v>1396.5696</v>
      </c>
      <c r="AG682" t="s">
        <v>1737</v>
      </c>
    </row>
    <row r="683" spans="1:33" x14ac:dyDescent="0.3">
      <c r="A683" t="s">
        <v>168</v>
      </c>
      <c r="B683" s="2">
        <v>45292</v>
      </c>
      <c r="C683">
        <v>78.194399999999987</v>
      </c>
      <c r="D683" t="s">
        <v>1807</v>
      </c>
      <c r="E683">
        <v>34</v>
      </c>
      <c r="F683" t="s">
        <v>9</v>
      </c>
      <c r="G683" t="s">
        <v>1549</v>
      </c>
      <c r="H683" t="s">
        <v>1742</v>
      </c>
      <c r="L683" s="2">
        <v>45292</v>
      </c>
      <c r="M683">
        <v>78.194399999999987</v>
      </c>
      <c r="R683" t="s">
        <v>1807</v>
      </c>
      <c r="S683">
        <v>78.194399999999987</v>
      </c>
      <c r="W683" s="12" t="s">
        <v>9</v>
      </c>
      <c r="X683" s="12" t="s">
        <v>1549</v>
      </c>
      <c r="Y683">
        <v>78.194399999999987</v>
      </c>
      <c r="AF683">
        <v>78.194399999999987</v>
      </c>
      <c r="AG683" t="s">
        <v>1742</v>
      </c>
    </row>
    <row r="684" spans="1:33" x14ac:dyDescent="0.3">
      <c r="A684" t="s">
        <v>886</v>
      </c>
      <c r="B684" s="2">
        <v>45278</v>
      </c>
      <c r="C684">
        <v>1402.7832000000001</v>
      </c>
      <c r="D684" t="s">
        <v>1809</v>
      </c>
      <c r="E684">
        <v>46</v>
      </c>
      <c r="F684" t="s">
        <v>16</v>
      </c>
      <c r="G684" t="s">
        <v>1527</v>
      </c>
      <c r="H684" t="s">
        <v>1737</v>
      </c>
      <c r="L684" s="2">
        <v>45278</v>
      </c>
      <c r="M684">
        <v>1402.7832000000001</v>
      </c>
      <c r="R684" t="s">
        <v>1809</v>
      </c>
      <c r="S684">
        <v>1402.7832000000001</v>
      </c>
      <c r="W684" s="11" t="s">
        <v>16</v>
      </c>
      <c r="X684" s="11" t="s">
        <v>1527</v>
      </c>
      <c r="Y684">
        <v>1402.7832000000001</v>
      </c>
      <c r="AF684">
        <v>1402.7832000000001</v>
      </c>
      <c r="AG684" t="s">
        <v>1737</v>
      </c>
    </row>
    <row r="685" spans="1:33" x14ac:dyDescent="0.3">
      <c r="A685" t="s">
        <v>1107</v>
      </c>
      <c r="B685" s="2">
        <v>45232</v>
      </c>
      <c r="C685">
        <v>1192.2174</v>
      </c>
      <c r="D685" t="s">
        <v>1812</v>
      </c>
      <c r="E685">
        <v>60</v>
      </c>
      <c r="F685" t="s">
        <v>16</v>
      </c>
      <c r="G685" t="s">
        <v>1549</v>
      </c>
      <c r="H685" t="s">
        <v>1742</v>
      </c>
      <c r="L685" s="2">
        <v>45232</v>
      </c>
      <c r="M685">
        <v>1192.2174</v>
      </c>
      <c r="R685" t="s">
        <v>1812</v>
      </c>
      <c r="S685">
        <v>1192.2174</v>
      </c>
      <c r="W685" s="12" t="s">
        <v>16</v>
      </c>
      <c r="X685" s="12" t="s">
        <v>1549</v>
      </c>
      <c r="Y685">
        <v>1192.2174</v>
      </c>
      <c r="AF685">
        <v>1192.2174</v>
      </c>
      <c r="AG685" t="s">
        <v>1742</v>
      </c>
    </row>
    <row r="686" spans="1:33" x14ac:dyDescent="0.3">
      <c r="A686" t="s">
        <v>626</v>
      </c>
      <c r="B686" s="2">
        <v>45907</v>
      </c>
      <c r="C686">
        <v>1663.9503999999999</v>
      </c>
      <c r="D686" t="s">
        <v>1807</v>
      </c>
      <c r="E686">
        <v>38</v>
      </c>
      <c r="F686" t="s">
        <v>9</v>
      </c>
      <c r="G686" t="s">
        <v>1530</v>
      </c>
      <c r="H686" t="s">
        <v>1767</v>
      </c>
      <c r="L686" s="2">
        <v>45907</v>
      </c>
      <c r="M686">
        <v>1663.9503999999999</v>
      </c>
      <c r="R686" t="s">
        <v>1807</v>
      </c>
      <c r="S686">
        <v>1663.9503999999999</v>
      </c>
      <c r="W686" s="11" t="s">
        <v>9</v>
      </c>
      <c r="X686" s="11" t="s">
        <v>1530</v>
      </c>
      <c r="Y686">
        <v>1663.9503999999999</v>
      </c>
      <c r="AF686">
        <v>1663.9503999999999</v>
      </c>
      <c r="AG686" t="s">
        <v>1767</v>
      </c>
    </row>
    <row r="687" spans="1:33" x14ac:dyDescent="0.3">
      <c r="A687" t="s">
        <v>1393</v>
      </c>
      <c r="B687" s="2">
        <v>45270</v>
      </c>
      <c r="C687">
        <v>1697.3016</v>
      </c>
      <c r="D687" t="s">
        <v>1809</v>
      </c>
      <c r="E687">
        <v>59</v>
      </c>
      <c r="F687" t="s">
        <v>9</v>
      </c>
      <c r="G687" t="s">
        <v>1549</v>
      </c>
      <c r="H687" t="s">
        <v>1742</v>
      </c>
      <c r="L687" s="2">
        <v>45270</v>
      </c>
      <c r="M687">
        <v>1697.3016</v>
      </c>
      <c r="R687" t="s">
        <v>1809</v>
      </c>
      <c r="S687">
        <v>1697.3016</v>
      </c>
      <c r="W687" s="12" t="s">
        <v>9</v>
      </c>
      <c r="X687" s="12" t="s">
        <v>1549</v>
      </c>
      <c r="Y687">
        <v>1697.3016</v>
      </c>
      <c r="AF687">
        <v>1697.3016</v>
      </c>
      <c r="AG687" t="s">
        <v>1742</v>
      </c>
    </row>
    <row r="688" spans="1:33" x14ac:dyDescent="0.3">
      <c r="A688" t="s">
        <v>840</v>
      </c>
      <c r="B688" s="2">
        <v>45942</v>
      </c>
      <c r="C688">
        <v>1641.63</v>
      </c>
      <c r="D688" t="s">
        <v>1807</v>
      </c>
      <c r="E688">
        <v>32</v>
      </c>
      <c r="F688" t="s">
        <v>16</v>
      </c>
      <c r="G688" t="s">
        <v>1530</v>
      </c>
      <c r="H688" t="s">
        <v>1746</v>
      </c>
      <c r="L688" s="2">
        <v>45942</v>
      </c>
      <c r="M688">
        <v>1641.63</v>
      </c>
      <c r="R688" t="s">
        <v>1807</v>
      </c>
      <c r="S688">
        <v>1641.63</v>
      </c>
      <c r="W688" s="11" t="s">
        <v>16</v>
      </c>
      <c r="X688" s="11" t="s">
        <v>1530</v>
      </c>
      <c r="Y688">
        <v>1641.63</v>
      </c>
      <c r="AF688">
        <v>1641.63</v>
      </c>
      <c r="AG688" t="s">
        <v>1746</v>
      </c>
    </row>
    <row r="689" spans="1:33" x14ac:dyDescent="0.3">
      <c r="A689" t="s">
        <v>658</v>
      </c>
      <c r="B689" s="2">
        <v>45750</v>
      </c>
      <c r="C689">
        <v>783.42399999999998</v>
      </c>
      <c r="D689" t="s">
        <v>1809</v>
      </c>
      <c r="E689">
        <v>52</v>
      </c>
      <c r="F689" t="s">
        <v>9</v>
      </c>
      <c r="G689" t="s">
        <v>1527</v>
      </c>
      <c r="H689" t="s">
        <v>1746</v>
      </c>
      <c r="L689" s="2">
        <v>45750</v>
      </c>
      <c r="M689">
        <v>783.42399999999998</v>
      </c>
      <c r="R689" t="s">
        <v>1809</v>
      </c>
      <c r="S689">
        <v>783.42399999999998</v>
      </c>
      <c r="W689" s="12" t="s">
        <v>9</v>
      </c>
      <c r="X689" s="12" t="s">
        <v>1527</v>
      </c>
      <c r="Y689">
        <v>783.42399999999998</v>
      </c>
      <c r="AF689">
        <v>783.42399999999998</v>
      </c>
      <c r="AG689" t="s">
        <v>1746</v>
      </c>
    </row>
    <row r="690" spans="1:33" x14ac:dyDescent="0.3">
      <c r="A690" t="s">
        <v>1416</v>
      </c>
      <c r="B690" s="2">
        <v>45300</v>
      </c>
      <c r="C690">
        <v>1012.1856</v>
      </c>
      <c r="D690" t="s">
        <v>1807</v>
      </c>
      <c r="E690">
        <v>28</v>
      </c>
      <c r="F690" t="s">
        <v>16</v>
      </c>
      <c r="G690" t="s">
        <v>1527</v>
      </c>
      <c r="H690" t="s">
        <v>1746</v>
      </c>
      <c r="L690" s="2">
        <v>45300</v>
      </c>
      <c r="M690">
        <v>1012.1856</v>
      </c>
      <c r="R690" t="s">
        <v>1807</v>
      </c>
      <c r="S690">
        <v>1012.1856</v>
      </c>
      <c r="W690" s="11" t="s">
        <v>16</v>
      </c>
      <c r="X690" s="11" t="s">
        <v>1527</v>
      </c>
      <c r="Y690">
        <v>1012.1856</v>
      </c>
      <c r="AF690">
        <v>1012.1856</v>
      </c>
      <c r="AG690" t="s">
        <v>1746</v>
      </c>
    </row>
    <row r="691" spans="1:33" x14ac:dyDescent="0.3">
      <c r="A691" t="s">
        <v>3933</v>
      </c>
      <c r="B691" s="2">
        <v>45876</v>
      </c>
      <c r="C691">
        <v>616.54750000000001</v>
      </c>
      <c r="D691" t="s">
        <v>1812</v>
      </c>
      <c r="E691">
        <v>59</v>
      </c>
      <c r="F691" t="s">
        <v>16</v>
      </c>
      <c r="G691" t="s">
        <v>1549</v>
      </c>
      <c r="H691" t="s">
        <v>1742</v>
      </c>
      <c r="L691" s="2">
        <v>45876</v>
      </c>
      <c r="M691">
        <v>616.54750000000001</v>
      </c>
      <c r="R691" t="s">
        <v>1812</v>
      </c>
      <c r="S691">
        <v>616.54750000000001</v>
      </c>
      <c r="W691" s="12" t="s">
        <v>16</v>
      </c>
      <c r="X691" s="12" t="s">
        <v>1549</v>
      </c>
      <c r="Y691">
        <v>616.54750000000001</v>
      </c>
      <c r="AF691">
        <v>616.54750000000001</v>
      </c>
      <c r="AG691" t="s">
        <v>1742</v>
      </c>
    </row>
    <row r="692" spans="1:33" x14ac:dyDescent="0.3">
      <c r="A692" t="s">
        <v>540</v>
      </c>
      <c r="B692" s="2">
        <v>45301</v>
      </c>
      <c r="C692">
        <v>424.20510000000002</v>
      </c>
      <c r="D692" t="s">
        <v>1807</v>
      </c>
      <c r="E692">
        <v>39</v>
      </c>
      <c r="F692" t="s">
        <v>16</v>
      </c>
      <c r="G692" t="s">
        <v>1541</v>
      </c>
      <c r="H692" t="s">
        <v>1742</v>
      </c>
      <c r="L692" s="2">
        <v>45301</v>
      </c>
      <c r="M692">
        <v>424.20510000000002</v>
      </c>
      <c r="R692" t="s">
        <v>1807</v>
      </c>
      <c r="S692">
        <v>424.20510000000002</v>
      </c>
      <c r="W692" s="11" t="s">
        <v>16</v>
      </c>
      <c r="X692" s="11" t="s">
        <v>1541</v>
      </c>
      <c r="Y692">
        <v>424.20510000000002</v>
      </c>
      <c r="AF692">
        <v>424.20510000000002</v>
      </c>
      <c r="AG692" t="s">
        <v>1742</v>
      </c>
    </row>
    <row r="693" spans="1:33" x14ac:dyDescent="0.3">
      <c r="A693" t="s">
        <v>424</v>
      </c>
      <c r="B693" s="2">
        <v>45857</v>
      </c>
      <c r="C693">
        <v>695.95499999999993</v>
      </c>
      <c r="D693" t="s">
        <v>1809</v>
      </c>
      <c r="E693">
        <v>64</v>
      </c>
      <c r="F693" t="s">
        <v>16</v>
      </c>
      <c r="G693" t="s">
        <v>1549</v>
      </c>
      <c r="H693" t="s">
        <v>1746</v>
      </c>
      <c r="L693" s="2">
        <v>45857</v>
      </c>
      <c r="M693">
        <v>695.95499999999993</v>
      </c>
      <c r="R693" t="s">
        <v>1809</v>
      </c>
      <c r="S693">
        <v>695.95499999999993</v>
      </c>
      <c r="W693" s="12" t="s">
        <v>16</v>
      </c>
      <c r="X693" s="12" t="s">
        <v>1549</v>
      </c>
      <c r="Y693">
        <v>695.95499999999993</v>
      </c>
      <c r="AF693">
        <v>695.95499999999993</v>
      </c>
      <c r="AG693" t="s">
        <v>1746</v>
      </c>
    </row>
    <row r="694" spans="1:33" x14ac:dyDescent="0.3">
      <c r="A694" t="s">
        <v>765</v>
      </c>
      <c r="B694" s="2">
        <v>45650</v>
      </c>
      <c r="C694">
        <v>1169.2264</v>
      </c>
      <c r="D694" t="s">
        <v>1812</v>
      </c>
      <c r="E694">
        <v>31</v>
      </c>
      <c r="F694" t="s">
        <v>9</v>
      </c>
      <c r="G694" t="s">
        <v>1546</v>
      </c>
      <c r="H694" t="s">
        <v>1742</v>
      </c>
      <c r="L694" s="2">
        <v>45650</v>
      </c>
      <c r="M694">
        <v>1169.2264</v>
      </c>
      <c r="R694" t="s">
        <v>1812</v>
      </c>
      <c r="S694">
        <v>1169.2264</v>
      </c>
      <c r="W694" s="11" t="s">
        <v>9</v>
      </c>
      <c r="X694" s="11" t="s">
        <v>1546</v>
      </c>
      <c r="Y694">
        <v>1169.2264</v>
      </c>
      <c r="AF694">
        <v>1169.2264</v>
      </c>
      <c r="AG694" t="s">
        <v>1742</v>
      </c>
    </row>
    <row r="695" spans="1:33" x14ac:dyDescent="0.3">
      <c r="A695" t="s">
        <v>15</v>
      </c>
      <c r="B695" s="2">
        <v>45520</v>
      </c>
      <c r="C695">
        <v>268.10359999999997</v>
      </c>
      <c r="D695" t="s">
        <v>1809</v>
      </c>
      <c r="E695">
        <v>29</v>
      </c>
      <c r="F695" t="s">
        <v>16</v>
      </c>
      <c r="G695" t="s">
        <v>1546</v>
      </c>
      <c r="H695" t="s">
        <v>1746</v>
      </c>
      <c r="L695" s="2">
        <v>45520</v>
      </c>
      <c r="M695">
        <v>268.10359999999997</v>
      </c>
      <c r="R695" t="s">
        <v>1809</v>
      </c>
      <c r="S695">
        <v>268.10359999999997</v>
      </c>
      <c r="W695" s="12" t="s">
        <v>16</v>
      </c>
      <c r="X695" s="12" t="s">
        <v>1546</v>
      </c>
      <c r="Y695">
        <v>268.10359999999997</v>
      </c>
      <c r="AF695">
        <v>268.10359999999997</v>
      </c>
      <c r="AG695" t="s">
        <v>1746</v>
      </c>
    </row>
    <row r="696" spans="1:33" x14ac:dyDescent="0.3">
      <c r="A696" t="s">
        <v>907</v>
      </c>
      <c r="B696" s="2">
        <v>45497</v>
      </c>
      <c r="C696">
        <v>1276.7118</v>
      </c>
      <c r="D696" t="s">
        <v>1809</v>
      </c>
      <c r="E696">
        <v>45</v>
      </c>
      <c r="F696" t="s">
        <v>9</v>
      </c>
      <c r="G696" t="s">
        <v>1530</v>
      </c>
      <c r="H696" t="s">
        <v>1742</v>
      </c>
      <c r="L696" s="2">
        <v>45497</v>
      </c>
      <c r="M696">
        <v>1276.7118</v>
      </c>
      <c r="R696" t="s">
        <v>1809</v>
      </c>
      <c r="S696">
        <v>1276.7118</v>
      </c>
      <c r="W696" s="11" t="s">
        <v>9</v>
      </c>
      <c r="X696" s="11" t="s">
        <v>1530</v>
      </c>
      <c r="Y696">
        <v>1276.7118</v>
      </c>
      <c r="AF696">
        <v>1276.7118</v>
      </c>
      <c r="AG696" t="s">
        <v>1742</v>
      </c>
    </row>
    <row r="697" spans="1:33" x14ac:dyDescent="0.3">
      <c r="A697" t="s">
        <v>1090</v>
      </c>
      <c r="B697" s="2">
        <v>45615</v>
      </c>
      <c r="C697">
        <v>1620.8416</v>
      </c>
      <c r="D697" t="s">
        <v>1809</v>
      </c>
      <c r="E697">
        <v>52</v>
      </c>
      <c r="F697" t="s">
        <v>16</v>
      </c>
      <c r="G697" t="s">
        <v>1546</v>
      </c>
      <c r="H697" t="s">
        <v>1742</v>
      </c>
      <c r="L697" s="2">
        <v>45615</v>
      </c>
      <c r="M697">
        <v>1620.8416</v>
      </c>
      <c r="R697" t="s">
        <v>1809</v>
      </c>
      <c r="S697">
        <v>1620.8416</v>
      </c>
      <c r="W697" s="12" t="s">
        <v>16</v>
      </c>
      <c r="X697" s="12" t="s">
        <v>1546</v>
      </c>
      <c r="Y697">
        <v>1620.8416</v>
      </c>
      <c r="AF697">
        <v>1620.8416</v>
      </c>
      <c r="AG697" t="s">
        <v>1742</v>
      </c>
    </row>
    <row r="698" spans="1:33" x14ac:dyDescent="0.3">
      <c r="A698" t="s">
        <v>641</v>
      </c>
      <c r="B698" s="2">
        <v>45365</v>
      </c>
      <c r="C698">
        <v>570.62200000000007</v>
      </c>
      <c r="D698" t="s">
        <v>1807</v>
      </c>
      <c r="E698">
        <v>54</v>
      </c>
      <c r="F698" t="s">
        <v>9</v>
      </c>
      <c r="G698" t="s">
        <v>1527</v>
      </c>
      <c r="H698" t="s">
        <v>1742</v>
      </c>
      <c r="L698" s="2">
        <v>45365</v>
      </c>
      <c r="M698">
        <v>570.62200000000007</v>
      </c>
      <c r="R698" t="s">
        <v>1807</v>
      </c>
      <c r="S698">
        <v>570.62200000000007</v>
      </c>
      <c r="W698" s="11" t="s">
        <v>9</v>
      </c>
      <c r="X698" s="11" t="s">
        <v>1527</v>
      </c>
      <c r="Y698">
        <v>570.62200000000007</v>
      </c>
      <c r="AF698">
        <v>570.62200000000007</v>
      </c>
      <c r="AG698" t="s">
        <v>1742</v>
      </c>
    </row>
    <row r="699" spans="1:33" x14ac:dyDescent="0.3">
      <c r="A699" t="s">
        <v>468</v>
      </c>
      <c r="B699" s="2">
        <v>45832</v>
      </c>
      <c r="C699">
        <v>1043.8271999999999</v>
      </c>
      <c r="D699" t="s">
        <v>1807</v>
      </c>
      <c r="E699">
        <v>63</v>
      </c>
      <c r="F699" t="s">
        <v>16</v>
      </c>
      <c r="G699" t="s">
        <v>1546</v>
      </c>
      <c r="H699" t="s">
        <v>1742</v>
      </c>
      <c r="L699" s="2">
        <v>45832</v>
      </c>
      <c r="M699">
        <v>1043.8271999999999</v>
      </c>
      <c r="R699" t="s">
        <v>1807</v>
      </c>
      <c r="S699">
        <v>1043.8271999999999</v>
      </c>
      <c r="W699" s="12" t="s">
        <v>16</v>
      </c>
      <c r="X699" s="12" t="s">
        <v>1546</v>
      </c>
      <c r="Y699">
        <v>1043.8271999999999</v>
      </c>
      <c r="AF699">
        <v>1043.8271999999999</v>
      </c>
      <c r="AG699" t="s">
        <v>1742</v>
      </c>
    </row>
    <row r="700" spans="1:33" x14ac:dyDescent="0.3">
      <c r="A700" t="s">
        <v>153</v>
      </c>
      <c r="B700" s="2">
        <v>45530</v>
      </c>
      <c r="C700">
        <v>853.05420000000004</v>
      </c>
      <c r="D700" t="s">
        <v>1809</v>
      </c>
      <c r="E700">
        <v>50</v>
      </c>
      <c r="F700" t="s">
        <v>9</v>
      </c>
      <c r="G700" t="s">
        <v>1530</v>
      </c>
      <c r="H700" t="s">
        <v>1746</v>
      </c>
      <c r="L700" s="2">
        <v>45530</v>
      </c>
      <c r="M700">
        <v>853.05420000000004</v>
      </c>
      <c r="R700" t="s">
        <v>1809</v>
      </c>
      <c r="S700">
        <v>853.05420000000004</v>
      </c>
      <c r="W700" s="11" t="s">
        <v>9</v>
      </c>
      <c r="X700" s="11" t="s">
        <v>1530</v>
      </c>
      <c r="Y700">
        <v>853.05420000000004</v>
      </c>
      <c r="AF700">
        <v>853.05420000000004</v>
      </c>
      <c r="AG700" t="s">
        <v>1746</v>
      </c>
    </row>
    <row r="701" spans="1:33" x14ac:dyDescent="0.3">
      <c r="A701" t="s">
        <v>219</v>
      </c>
      <c r="B701" s="2">
        <v>45939</v>
      </c>
      <c r="C701">
        <v>1555.992</v>
      </c>
      <c r="D701" t="s">
        <v>1812</v>
      </c>
      <c r="E701">
        <v>22</v>
      </c>
      <c r="F701" t="s">
        <v>16</v>
      </c>
      <c r="G701" t="s">
        <v>1530</v>
      </c>
      <c r="H701" t="s">
        <v>1742</v>
      </c>
      <c r="L701" s="2">
        <v>45939</v>
      </c>
      <c r="M701">
        <v>1555.992</v>
      </c>
      <c r="R701" t="s">
        <v>1812</v>
      </c>
      <c r="S701">
        <v>1555.992</v>
      </c>
      <c r="W701" s="12" t="s">
        <v>16</v>
      </c>
      <c r="X701" s="12" t="s">
        <v>1530</v>
      </c>
      <c r="Y701">
        <v>1555.992</v>
      </c>
      <c r="AF701">
        <v>1555.992</v>
      </c>
      <c r="AG701" t="s">
        <v>1742</v>
      </c>
    </row>
    <row r="702" spans="1:33" x14ac:dyDescent="0.3">
      <c r="A702" t="s">
        <v>898</v>
      </c>
      <c r="B702" s="2">
        <v>45401</v>
      </c>
      <c r="C702">
        <v>958.57439999999997</v>
      </c>
      <c r="D702" t="s">
        <v>1809</v>
      </c>
      <c r="E702">
        <v>22</v>
      </c>
      <c r="F702" t="s">
        <v>9</v>
      </c>
      <c r="G702" t="s">
        <v>1541</v>
      </c>
      <c r="H702" t="s">
        <v>1746</v>
      </c>
      <c r="L702" s="2">
        <v>45401</v>
      </c>
      <c r="M702">
        <v>958.57439999999997</v>
      </c>
      <c r="R702" t="s">
        <v>1809</v>
      </c>
      <c r="S702">
        <v>958.57439999999997</v>
      </c>
      <c r="W702" s="11" t="s">
        <v>9</v>
      </c>
      <c r="X702" s="11" t="s">
        <v>1541</v>
      </c>
      <c r="Y702">
        <v>958.57439999999997</v>
      </c>
      <c r="AF702">
        <v>958.57439999999997</v>
      </c>
      <c r="AG702" t="s">
        <v>1746</v>
      </c>
    </row>
    <row r="703" spans="1:33" x14ac:dyDescent="0.3">
      <c r="A703" t="s">
        <v>1052</v>
      </c>
      <c r="B703" s="2">
        <v>45420</v>
      </c>
      <c r="C703">
        <v>320.76</v>
      </c>
      <c r="D703" t="s">
        <v>1807</v>
      </c>
      <c r="E703">
        <v>52</v>
      </c>
      <c r="F703" t="s">
        <v>16</v>
      </c>
      <c r="G703" t="s">
        <v>1549</v>
      </c>
      <c r="H703" t="s">
        <v>1746</v>
      </c>
      <c r="L703" s="2">
        <v>45420</v>
      </c>
      <c r="M703">
        <v>320.76</v>
      </c>
      <c r="R703" t="s">
        <v>1807</v>
      </c>
      <c r="S703">
        <v>320.76</v>
      </c>
      <c r="W703" s="12" t="s">
        <v>16</v>
      </c>
      <c r="X703" s="12" t="s">
        <v>1549</v>
      </c>
      <c r="Y703">
        <v>320.76</v>
      </c>
      <c r="AF703">
        <v>320.76</v>
      </c>
      <c r="AG703" t="s">
        <v>1746</v>
      </c>
    </row>
    <row r="704" spans="1:33" x14ac:dyDescent="0.3">
      <c r="A704" t="s">
        <v>711</v>
      </c>
      <c r="B704" s="2">
        <v>45459</v>
      </c>
      <c r="C704">
        <v>810.84600000000012</v>
      </c>
      <c r="D704" t="s">
        <v>1807</v>
      </c>
      <c r="E704">
        <v>35</v>
      </c>
      <c r="F704" t="s">
        <v>9</v>
      </c>
      <c r="G704" t="s">
        <v>1546</v>
      </c>
      <c r="H704" t="s">
        <v>1746</v>
      </c>
      <c r="L704" s="2">
        <v>45459</v>
      </c>
      <c r="M704">
        <v>810.84600000000012</v>
      </c>
      <c r="R704" t="s">
        <v>1807</v>
      </c>
      <c r="S704">
        <v>810.84600000000012</v>
      </c>
      <c r="W704" s="11" t="s">
        <v>9</v>
      </c>
      <c r="X704" s="11" t="s">
        <v>1546</v>
      </c>
      <c r="Y704">
        <v>810.84600000000012</v>
      </c>
      <c r="AF704">
        <v>810.84600000000012</v>
      </c>
      <c r="AG704" t="s">
        <v>1746</v>
      </c>
    </row>
    <row r="705" spans="1:33" x14ac:dyDescent="0.3">
      <c r="A705" t="s">
        <v>638</v>
      </c>
      <c r="B705" s="2">
        <v>45429</v>
      </c>
      <c r="C705">
        <v>756.54719999999986</v>
      </c>
      <c r="D705" t="s">
        <v>1809</v>
      </c>
      <c r="E705">
        <v>45</v>
      </c>
      <c r="F705" t="s">
        <v>16</v>
      </c>
      <c r="G705" t="s">
        <v>1546</v>
      </c>
      <c r="H705" t="s">
        <v>1742</v>
      </c>
      <c r="L705" s="2">
        <v>45429</v>
      </c>
      <c r="M705">
        <v>756.54719999999986</v>
      </c>
      <c r="R705" t="s">
        <v>1809</v>
      </c>
      <c r="S705">
        <v>756.54719999999986</v>
      </c>
      <c r="W705" s="12" t="s">
        <v>16</v>
      </c>
      <c r="X705" s="12" t="s">
        <v>1546</v>
      </c>
      <c r="Y705">
        <v>756.54719999999986</v>
      </c>
      <c r="AF705">
        <v>756.54719999999986</v>
      </c>
      <c r="AG705" t="s">
        <v>1742</v>
      </c>
    </row>
    <row r="706" spans="1:33" x14ac:dyDescent="0.3">
      <c r="A706" t="s">
        <v>1468</v>
      </c>
      <c r="B706" s="2">
        <v>45386</v>
      </c>
      <c r="C706">
        <v>497.76479999999998</v>
      </c>
      <c r="D706" t="s">
        <v>1809</v>
      </c>
      <c r="E706">
        <v>48</v>
      </c>
      <c r="F706" t="s">
        <v>9</v>
      </c>
      <c r="G706" t="s">
        <v>1527</v>
      </c>
      <c r="H706" t="s">
        <v>1746</v>
      </c>
      <c r="L706" s="2">
        <v>45386</v>
      </c>
      <c r="M706">
        <v>497.76479999999998</v>
      </c>
      <c r="R706" t="s">
        <v>1809</v>
      </c>
      <c r="S706">
        <v>497.76479999999998</v>
      </c>
      <c r="W706" s="11" t="s">
        <v>9</v>
      </c>
      <c r="X706" s="11" t="s">
        <v>1527</v>
      </c>
      <c r="Y706">
        <v>497.76479999999998</v>
      </c>
      <c r="AF706">
        <v>497.76479999999998</v>
      </c>
      <c r="AG706" t="s">
        <v>1746</v>
      </c>
    </row>
    <row r="707" spans="1:33" x14ac:dyDescent="0.3">
      <c r="A707" t="s">
        <v>504</v>
      </c>
      <c r="B707" s="2">
        <v>45803</v>
      </c>
      <c r="C707">
        <v>2364.6480000000001</v>
      </c>
      <c r="D707" t="s">
        <v>1809</v>
      </c>
      <c r="E707">
        <v>41</v>
      </c>
      <c r="F707" t="s">
        <v>16</v>
      </c>
      <c r="G707" t="s">
        <v>1549</v>
      </c>
      <c r="H707" t="s">
        <v>1742</v>
      </c>
      <c r="L707" s="2">
        <v>45803</v>
      </c>
      <c r="M707">
        <v>2364.6480000000001</v>
      </c>
      <c r="R707" t="s">
        <v>1809</v>
      </c>
      <c r="S707">
        <v>2364.6480000000001</v>
      </c>
      <c r="W707" s="12" t="s">
        <v>16</v>
      </c>
      <c r="X707" s="12" t="s">
        <v>1549</v>
      </c>
      <c r="Y707">
        <v>2364.6480000000001</v>
      </c>
      <c r="AF707">
        <v>2364.6480000000001</v>
      </c>
      <c r="AG707" t="s">
        <v>1742</v>
      </c>
    </row>
    <row r="708" spans="1:33" x14ac:dyDescent="0.3">
      <c r="A708" t="s">
        <v>79</v>
      </c>
      <c r="B708" s="2">
        <v>45346</v>
      </c>
      <c r="C708">
        <v>778.35680000000002</v>
      </c>
      <c r="D708" t="s">
        <v>1809</v>
      </c>
      <c r="E708">
        <v>43</v>
      </c>
      <c r="F708" t="s">
        <v>9</v>
      </c>
      <c r="G708" t="s">
        <v>1527</v>
      </c>
      <c r="H708" t="s">
        <v>1742</v>
      </c>
      <c r="L708" s="2">
        <v>45346</v>
      </c>
      <c r="M708">
        <v>778.35680000000002</v>
      </c>
      <c r="R708" t="s">
        <v>1809</v>
      </c>
      <c r="S708">
        <v>778.35680000000002</v>
      </c>
      <c r="W708" s="11" t="s">
        <v>9</v>
      </c>
      <c r="X708" s="11" t="s">
        <v>1527</v>
      </c>
      <c r="Y708">
        <v>778.35680000000002</v>
      </c>
      <c r="AF708">
        <v>778.35680000000002</v>
      </c>
      <c r="AG708" t="s">
        <v>1742</v>
      </c>
    </row>
    <row r="709" spans="1:33" x14ac:dyDescent="0.3">
      <c r="A709" t="s">
        <v>528</v>
      </c>
      <c r="B709" s="2">
        <v>45267</v>
      </c>
      <c r="C709">
        <v>447.45299999999992</v>
      </c>
      <c r="D709" t="s">
        <v>1812</v>
      </c>
      <c r="E709">
        <v>41</v>
      </c>
      <c r="F709" t="s">
        <v>16</v>
      </c>
      <c r="G709" t="s">
        <v>1549</v>
      </c>
      <c r="H709" t="s">
        <v>1746</v>
      </c>
      <c r="L709" s="2">
        <v>45267</v>
      </c>
      <c r="M709">
        <v>447.45299999999992</v>
      </c>
      <c r="R709" t="s">
        <v>1812</v>
      </c>
      <c r="S709">
        <v>447.45299999999992</v>
      </c>
      <c r="W709" s="12" t="s">
        <v>16</v>
      </c>
      <c r="X709" s="12" t="s">
        <v>1549</v>
      </c>
      <c r="Y709">
        <v>447.45299999999992</v>
      </c>
      <c r="AF709">
        <v>447.45299999999992</v>
      </c>
      <c r="AG709" t="s">
        <v>1746</v>
      </c>
    </row>
    <row r="710" spans="1:33" x14ac:dyDescent="0.3">
      <c r="A710" t="s">
        <v>1365</v>
      </c>
      <c r="B710" s="2">
        <v>45572</v>
      </c>
      <c r="C710">
        <v>2724.32</v>
      </c>
      <c r="D710" t="s">
        <v>1809</v>
      </c>
      <c r="E710">
        <v>45</v>
      </c>
      <c r="F710" t="s">
        <v>9</v>
      </c>
      <c r="G710" t="s">
        <v>1549</v>
      </c>
      <c r="H710" t="s">
        <v>1746</v>
      </c>
      <c r="L710" s="2">
        <v>45572</v>
      </c>
      <c r="M710">
        <v>2724.32</v>
      </c>
      <c r="R710" t="s">
        <v>1809</v>
      </c>
      <c r="S710">
        <v>2724.32</v>
      </c>
      <c r="W710" s="11" t="s">
        <v>9</v>
      </c>
      <c r="X710" s="11" t="s">
        <v>1549</v>
      </c>
      <c r="Y710">
        <v>2724.32</v>
      </c>
      <c r="AF710">
        <v>2724.32</v>
      </c>
      <c r="AG710" t="s">
        <v>1746</v>
      </c>
    </row>
    <row r="711" spans="1:33" x14ac:dyDescent="0.3">
      <c r="A711" t="s">
        <v>1241</v>
      </c>
      <c r="B711" s="2">
        <v>45252</v>
      </c>
      <c r="C711">
        <v>2488.6336000000001</v>
      </c>
      <c r="D711" t="s">
        <v>1809</v>
      </c>
      <c r="E711">
        <v>22</v>
      </c>
      <c r="F711" t="s">
        <v>16</v>
      </c>
      <c r="G711" t="s">
        <v>1546</v>
      </c>
      <c r="H711" t="s">
        <v>1746</v>
      </c>
      <c r="L711" s="2">
        <v>45252</v>
      </c>
      <c r="M711">
        <v>2488.6336000000001</v>
      </c>
      <c r="R711" t="s">
        <v>1809</v>
      </c>
      <c r="S711">
        <v>2488.6336000000001</v>
      </c>
      <c r="W711" s="12" t="s">
        <v>16</v>
      </c>
      <c r="X711" s="12" t="s">
        <v>1546</v>
      </c>
      <c r="Y711">
        <v>2488.6336000000001</v>
      </c>
      <c r="AF711">
        <v>2488.6336000000001</v>
      </c>
      <c r="AG711" t="s">
        <v>1746</v>
      </c>
    </row>
    <row r="712" spans="1:33" x14ac:dyDescent="0.3">
      <c r="A712" t="s">
        <v>431</v>
      </c>
      <c r="B712" s="2">
        <v>45939</v>
      </c>
      <c r="C712">
        <v>1661.0527999999999</v>
      </c>
      <c r="D712" t="s">
        <v>1812</v>
      </c>
      <c r="E712">
        <v>39</v>
      </c>
      <c r="F712" t="s">
        <v>9</v>
      </c>
      <c r="G712" t="s">
        <v>1549</v>
      </c>
      <c r="H712" t="s">
        <v>1742</v>
      </c>
      <c r="L712" s="2">
        <v>45939</v>
      </c>
      <c r="M712">
        <v>1661.0527999999999</v>
      </c>
      <c r="R712" t="s">
        <v>1812</v>
      </c>
      <c r="S712">
        <v>1661.0527999999999</v>
      </c>
      <c r="W712" s="11" t="s">
        <v>9</v>
      </c>
      <c r="X712" s="11" t="s">
        <v>1549</v>
      </c>
      <c r="Y712">
        <v>1661.0527999999999</v>
      </c>
      <c r="AF712">
        <v>1661.0527999999999</v>
      </c>
      <c r="AG712" t="s">
        <v>1742</v>
      </c>
    </row>
    <row r="713" spans="1:33" x14ac:dyDescent="0.3">
      <c r="A713" t="s">
        <v>1133</v>
      </c>
      <c r="B713" s="2">
        <v>45559</v>
      </c>
      <c r="C713">
        <v>527.33479999999997</v>
      </c>
      <c r="D713" t="s">
        <v>1812</v>
      </c>
      <c r="E713">
        <v>51</v>
      </c>
      <c r="F713" t="s">
        <v>9</v>
      </c>
      <c r="G713" t="s">
        <v>1541</v>
      </c>
      <c r="H713" t="s">
        <v>1742</v>
      </c>
      <c r="L713" s="2">
        <v>45559</v>
      </c>
      <c r="M713">
        <v>527.33479999999997</v>
      </c>
      <c r="R713" t="s">
        <v>1812</v>
      </c>
      <c r="S713">
        <v>527.33479999999997</v>
      </c>
      <c r="W713" s="12" t="s">
        <v>9</v>
      </c>
      <c r="X713" s="12" t="s">
        <v>1541</v>
      </c>
      <c r="Y713">
        <v>527.33479999999997</v>
      </c>
      <c r="AF713">
        <v>527.33479999999997</v>
      </c>
      <c r="AG713" t="s">
        <v>1742</v>
      </c>
    </row>
    <row r="714" spans="1:33" x14ac:dyDescent="0.3">
      <c r="A714" t="s">
        <v>193</v>
      </c>
      <c r="B714" s="2">
        <v>45229</v>
      </c>
      <c r="C714">
        <v>494.99560000000002</v>
      </c>
      <c r="D714" t="s">
        <v>1809</v>
      </c>
      <c r="E714">
        <v>55</v>
      </c>
      <c r="F714" t="s">
        <v>9</v>
      </c>
      <c r="G714" t="s">
        <v>1546</v>
      </c>
      <c r="H714" t="s">
        <v>1746</v>
      </c>
      <c r="L714" s="2">
        <v>45229</v>
      </c>
      <c r="M714">
        <v>494.99560000000002</v>
      </c>
      <c r="R714" t="s">
        <v>1809</v>
      </c>
      <c r="S714">
        <v>494.99560000000002</v>
      </c>
      <c r="W714" s="11" t="s">
        <v>9</v>
      </c>
      <c r="X714" s="11" t="s">
        <v>1546</v>
      </c>
      <c r="Y714">
        <v>494.99560000000002</v>
      </c>
      <c r="AF714">
        <v>494.99560000000002</v>
      </c>
      <c r="AG714" t="s">
        <v>1746</v>
      </c>
    </row>
    <row r="715" spans="1:33" x14ac:dyDescent="0.3">
      <c r="A715" t="s">
        <v>104</v>
      </c>
      <c r="B715" s="2">
        <v>45333</v>
      </c>
      <c r="C715">
        <v>1143.252</v>
      </c>
      <c r="D715" t="s">
        <v>1812</v>
      </c>
      <c r="E715">
        <v>59</v>
      </c>
      <c r="F715" t="s">
        <v>16</v>
      </c>
      <c r="G715" t="s">
        <v>1527</v>
      </c>
      <c r="H715" t="s">
        <v>1737</v>
      </c>
      <c r="L715" s="2">
        <v>45333</v>
      </c>
      <c r="M715">
        <v>1143.252</v>
      </c>
      <c r="R715" t="s">
        <v>1812</v>
      </c>
      <c r="S715">
        <v>1143.252</v>
      </c>
      <c r="W715" s="12" t="s">
        <v>16</v>
      </c>
      <c r="X715" s="12" t="s">
        <v>1527</v>
      </c>
      <c r="Y715">
        <v>1143.252</v>
      </c>
      <c r="AF715">
        <v>1143.252</v>
      </c>
      <c r="AG715" t="s">
        <v>1737</v>
      </c>
    </row>
    <row r="716" spans="1:33" x14ac:dyDescent="0.3">
      <c r="A716" t="s">
        <v>1175</v>
      </c>
      <c r="B716" s="2">
        <v>45752</v>
      </c>
      <c r="C716">
        <v>3139.3784000000001</v>
      </c>
      <c r="D716" t="s">
        <v>1807</v>
      </c>
      <c r="E716">
        <v>50</v>
      </c>
      <c r="F716" t="s">
        <v>9</v>
      </c>
      <c r="G716" t="s">
        <v>1546</v>
      </c>
      <c r="H716" t="s">
        <v>1742</v>
      </c>
      <c r="L716" s="2">
        <v>45752</v>
      </c>
      <c r="M716">
        <v>3139.3784000000001</v>
      </c>
      <c r="R716" t="s">
        <v>1807</v>
      </c>
      <c r="S716">
        <v>3139.3784000000001</v>
      </c>
      <c r="W716" s="11" t="s">
        <v>9</v>
      </c>
      <c r="X716" s="11" t="s">
        <v>1546</v>
      </c>
      <c r="Y716">
        <v>3139.3784000000001</v>
      </c>
      <c r="AF716">
        <v>3139.3784000000001</v>
      </c>
      <c r="AG716" t="s">
        <v>1742</v>
      </c>
    </row>
    <row r="717" spans="1:33" x14ac:dyDescent="0.3">
      <c r="A717" t="s">
        <v>865</v>
      </c>
      <c r="B717" s="2">
        <v>45795</v>
      </c>
      <c r="C717">
        <v>217.77209999999999</v>
      </c>
      <c r="D717" t="s">
        <v>1807</v>
      </c>
      <c r="E717">
        <v>22</v>
      </c>
      <c r="F717" t="s">
        <v>9</v>
      </c>
      <c r="G717" t="s">
        <v>1541</v>
      </c>
      <c r="H717" t="s">
        <v>1746</v>
      </c>
      <c r="L717" s="2">
        <v>45795</v>
      </c>
      <c r="M717">
        <v>217.77209999999999</v>
      </c>
      <c r="R717" t="s">
        <v>1807</v>
      </c>
      <c r="S717">
        <v>217.77209999999999</v>
      </c>
      <c r="W717" s="12" t="s">
        <v>9</v>
      </c>
      <c r="X717" s="12" t="s">
        <v>1541</v>
      </c>
      <c r="Y717">
        <v>217.77209999999999</v>
      </c>
      <c r="AF717">
        <v>217.77209999999999</v>
      </c>
      <c r="AG717" t="s">
        <v>1746</v>
      </c>
    </row>
    <row r="718" spans="1:33" x14ac:dyDescent="0.3">
      <c r="A718" t="s">
        <v>874</v>
      </c>
      <c r="B718" s="2">
        <v>45755</v>
      </c>
      <c r="C718">
        <v>1810.56</v>
      </c>
      <c r="D718" t="s">
        <v>1807</v>
      </c>
      <c r="E718">
        <v>42</v>
      </c>
      <c r="F718" t="s">
        <v>16</v>
      </c>
      <c r="G718" t="s">
        <v>1541</v>
      </c>
      <c r="H718" t="s">
        <v>1742</v>
      </c>
      <c r="L718" s="2">
        <v>45755</v>
      </c>
      <c r="M718">
        <v>1810.56</v>
      </c>
      <c r="R718" t="s">
        <v>1807</v>
      </c>
      <c r="S718">
        <v>1810.56</v>
      </c>
      <c r="W718" s="11" t="s">
        <v>16</v>
      </c>
      <c r="X718" s="11" t="s">
        <v>1541</v>
      </c>
      <c r="Y718">
        <v>1810.56</v>
      </c>
      <c r="AF718">
        <v>1810.56</v>
      </c>
      <c r="AG718" t="s">
        <v>1742</v>
      </c>
    </row>
    <row r="719" spans="1:33" x14ac:dyDescent="0.3">
      <c r="A719" t="s">
        <v>279</v>
      </c>
      <c r="B719" s="2">
        <v>45625</v>
      </c>
      <c r="C719">
        <v>1395.6096</v>
      </c>
      <c r="D719" t="s">
        <v>1812</v>
      </c>
      <c r="E719">
        <v>21</v>
      </c>
      <c r="F719" t="s">
        <v>9</v>
      </c>
      <c r="G719" t="s">
        <v>1546</v>
      </c>
      <c r="H719" t="s">
        <v>1742</v>
      </c>
      <c r="L719" s="2">
        <v>45625</v>
      </c>
      <c r="M719">
        <v>1395.6096</v>
      </c>
      <c r="R719" t="s">
        <v>1812</v>
      </c>
      <c r="S719">
        <v>1395.6096</v>
      </c>
      <c r="W719" s="12" t="s">
        <v>9</v>
      </c>
      <c r="X719" s="12" t="s">
        <v>1546</v>
      </c>
      <c r="Y719">
        <v>1395.6096</v>
      </c>
      <c r="AF719">
        <v>1395.6096</v>
      </c>
      <c r="AG719" t="s">
        <v>1742</v>
      </c>
    </row>
    <row r="720" spans="1:33" x14ac:dyDescent="0.3">
      <c r="A720" t="s">
        <v>1511</v>
      </c>
      <c r="B720" s="2">
        <v>45656</v>
      </c>
      <c r="C720">
        <v>1656.395</v>
      </c>
      <c r="D720" t="s">
        <v>1807</v>
      </c>
      <c r="E720">
        <v>35</v>
      </c>
      <c r="F720" t="s">
        <v>9</v>
      </c>
      <c r="G720" t="s">
        <v>1527</v>
      </c>
      <c r="H720" t="s">
        <v>1746</v>
      </c>
      <c r="L720" s="2">
        <v>45656</v>
      </c>
      <c r="M720">
        <v>1656.395</v>
      </c>
      <c r="R720" t="s">
        <v>1807</v>
      </c>
      <c r="S720">
        <v>1656.395</v>
      </c>
      <c r="W720" s="11" t="s">
        <v>9</v>
      </c>
      <c r="X720" s="11" t="s">
        <v>1527</v>
      </c>
      <c r="Y720">
        <v>1656.395</v>
      </c>
      <c r="AF720">
        <v>1656.395</v>
      </c>
      <c r="AG720" t="s">
        <v>1746</v>
      </c>
    </row>
    <row r="721" spans="1:33" x14ac:dyDescent="0.3">
      <c r="A721" t="s">
        <v>1451</v>
      </c>
      <c r="B721" s="2">
        <v>45824</v>
      </c>
      <c r="C721">
        <v>161.238</v>
      </c>
      <c r="D721" t="s">
        <v>1812</v>
      </c>
      <c r="E721">
        <v>41</v>
      </c>
      <c r="F721" t="s">
        <v>16</v>
      </c>
      <c r="G721" t="s">
        <v>1549</v>
      </c>
      <c r="H721" t="s">
        <v>1742</v>
      </c>
      <c r="L721" s="2">
        <v>45824</v>
      </c>
      <c r="M721">
        <v>161.238</v>
      </c>
      <c r="R721" t="s">
        <v>1812</v>
      </c>
      <c r="S721">
        <v>161.238</v>
      </c>
      <c r="W721" s="12" t="s">
        <v>16</v>
      </c>
      <c r="X721" s="12" t="s">
        <v>1549</v>
      </c>
      <c r="Y721">
        <v>161.238</v>
      </c>
      <c r="AF721">
        <v>161.238</v>
      </c>
      <c r="AG721" t="s">
        <v>1742</v>
      </c>
    </row>
    <row r="722" spans="1:33" x14ac:dyDescent="0.3">
      <c r="A722" t="s">
        <v>1145</v>
      </c>
      <c r="B722" s="2">
        <v>45824</v>
      </c>
      <c r="C722">
        <v>1574.4498000000001</v>
      </c>
      <c r="D722" t="s">
        <v>1807</v>
      </c>
      <c r="E722">
        <v>21</v>
      </c>
      <c r="F722" t="s">
        <v>16</v>
      </c>
      <c r="G722" t="s">
        <v>1549</v>
      </c>
      <c r="H722" t="s">
        <v>1742</v>
      </c>
      <c r="L722" s="2">
        <v>45824</v>
      </c>
      <c r="M722">
        <v>1574.4498000000001</v>
      </c>
      <c r="R722" t="s">
        <v>1807</v>
      </c>
      <c r="S722">
        <v>1574.4498000000001</v>
      </c>
      <c r="W722" s="11" t="s">
        <v>16</v>
      </c>
      <c r="X722" s="11" t="s">
        <v>1549</v>
      </c>
      <c r="Y722">
        <v>1574.4498000000001</v>
      </c>
      <c r="AF722">
        <v>1574.4498000000001</v>
      </c>
      <c r="AG722" t="s">
        <v>1742</v>
      </c>
    </row>
    <row r="723" spans="1:33" x14ac:dyDescent="0.3">
      <c r="A723" t="s">
        <v>580</v>
      </c>
      <c r="B723" s="2">
        <v>45384</v>
      </c>
      <c r="C723">
        <v>207.27930000000001</v>
      </c>
      <c r="D723" t="s">
        <v>1807</v>
      </c>
      <c r="E723">
        <v>33</v>
      </c>
      <c r="F723" t="s">
        <v>16</v>
      </c>
      <c r="G723" t="s">
        <v>1541</v>
      </c>
      <c r="H723" t="s">
        <v>1742</v>
      </c>
      <c r="L723" s="2">
        <v>45384</v>
      </c>
      <c r="M723">
        <v>207.27930000000001</v>
      </c>
      <c r="R723" t="s">
        <v>1807</v>
      </c>
      <c r="S723">
        <v>207.27930000000001</v>
      </c>
      <c r="W723" s="12" t="s">
        <v>16</v>
      </c>
      <c r="X723" s="12" t="s">
        <v>1541</v>
      </c>
      <c r="Y723">
        <v>207.27930000000001</v>
      </c>
      <c r="AF723">
        <v>207.27930000000001</v>
      </c>
      <c r="AG723" t="s">
        <v>1742</v>
      </c>
    </row>
    <row r="724" spans="1:33" x14ac:dyDescent="0.3">
      <c r="A724" t="s">
        <v>768</v>
      </c>
      <c r="B724" s="2">
        <v>45379</v>
      </c>
      <c r="C724">
        <v>24.7744</v>
      </c>
      <c r="D724" t="s">
        <v>1812</v>
      </c>
      <c r="E724">
        <v>58</v>
      </c>
      <c r="F724" t="s">
        <v>16</v>
      </c>
      <c r="G724" t="s">
        <v>1546</v>
      </c>
      <c r="H724" t="s">
        <v>1742</v>
      </c>
      <c r="L724" s="2">
        <v>45379</v>
      </c>
      <c r="M724">
        <v>24.7744</v>
      </c>
      <c r="R724" t="s">
        <v>1812</v>
      </c>
      <c r="S724">
        <v>24.7744</v>
      </c>
      <c r="W724" s="11" t="s">
        <v>16</v>
      </c>
      <c r="X724" s="11" t="s">
        <v>1546</v>
      </c>
      <c r="Y724">
        <v>24.7744</v>
      </c>
      <c r="AF724">
        <v>24.7744</v>
      </c>
      <c r="AG724" t="s">
        <v>1742</v>
      </c>
    </row>
    <row r="725" spans="1:33" x14ac:dyDescent="0.3">
      <c r="A725" t="s">
        <v>1061</v>
      </c>
      <c r="B725" s="2">
        <v>45674</v>
      </c>
      <c r="C725">
        <v>955.54599999999994</v>
      </c>
      <c r="D725" t="s">
        <v>1807</v>
      </c>
      <c r="E725">
        <v>30</v>
      </c>
      <c r="F725" t="s">
        <v>16</v>
      </c>
      <c r="G725" t="s">
        <v>1549</v>
      </c>
      <c r="H725" t="s">
        <v>1742</v>
      </c>
      <c r="L725" s="2">
        <v>45674</v>
      </c>
      <c r="M725">
        <v>955.54599999999994</v>
      </c>
      <c r="R725" t="s">
        <v>1807</v>
      </c>
      <c r="S725">
        <v>955.54599999999994</v>
      </c>
      <c r="W725" s="12" t="s">
        <v>16</v>
      </c>
      <c r="X725" s="12" t="s">
        <v>1549</v>
      </c>
      <c r="Y725">
        <v>955.54599999999994</v>
      </c>
      <c r="AF725">
        <v>955.54599999999994</v>
      </c>
      <c r="AG725" t="s">
        <v>1742</v>
      </c>
    </row>
    <row r="726" spans="1:33" x14ac:dyDescent="0.3">
      <c r="A726" t="s">
        <v>798</v>
      </c>
      <c r="B726" s="2">
        <v>45760</v>
      </c>
      <c r="C726">
        <v>3030.5223999999998</v>
      </c>
      <c r="D726" t="s">
        <v>1807</v>
      </c>
      <c r="E726">
        <v>26</v>
      </c>
      <c r="F726" t="s">
        <v>9</v>
      </c>
      <c r="G726" t="s">
        <v>1541</v>
      </c>
      <c r="H726" t="s">
        <v>1742</v>
      </c>
      <c r="L726" s="2">
        <v>45760</v>
      </c>
      <c r="M726">
        <v>3030.5223999999998</v>
      </c>
      <c r="R726" t="s">
        <v>1807</v>
      </c>
      <c r="S726">
        <v>3030.5223999999998</v>
      </c>
      <c r="W726" s="11" t="s">
        <v>9</v>
      </c>
      <c r="X726" s="11" t="s">
        <v>1541</v>
      </c>
      <c r="Y726">
        <v>3030.5223999999998</v>
      </c>
      <c r="AF726">
        <v>3030.5223999999998</v>
      </c>
      <c r="AG726" t="s">
        <v>1742</v>
      </c>
    </row>
    <row r="727" spans="1:33" x14ac:dyDescent="0.3">
      <c r="A727" t="s">
        <v>1199</v>
      </c>
      <c r="B727" s="2">
        <v>45474</v>
      </c>
      <c r="C727">
        <v>364.71600000000001</v>
      </c>
      <c r="D727" t="s">
        <v>1807</v>
      </c>
      <c r="E727">
        <v>50</v>
      </c>
      <c r="F727" t="s">
        <v>9</v>
      </c>
      <c r="G727" t="s">
        <v>1541</v>
      </c>
      <c r="H727" t="s">
        <v>1742</v>
      </c>
      <c r="L727" s="2">
        <v>45474</v>
      </c>
      <c r="M727">
        <v>364.71600000000001</v>
      </c>
      <c r="R727" t="s">
        <v>1807</v>
      </c>
      <c r="S727">
        <v>364.71600000000001</v>
      </c>
      <c r="W727" s="12" t="s">
        <v>9</v>
      </c>
      <c r="X727" s="12" t="s">
        <v>1541</v>
      </c>
      <c r="Y727">
        <v>364.71600000000001</v>
      </c>
      <c r="AF727">
        <v>364.71600000000001</v>
      </c>
      <c r="AG727" t="s">
        <v>1742</v>
      </c>
    </row>
    <row r="728" spans="1:33" x14ac:dyDescent="0.3">
      <c r="A728" t="s">
        <v>443</v>
      </c>
      <c r="B728" s="2">
        <v>45640</v>
      </c>
      <c r="C728">
        <v>84.348600000000005</v>
      </c>
      <c r="D728" t="s">
        <v>1807</v>
      </c>
      <c r="E728">
        <v>34</v>
      </c>
      <c r="F728" t="s">
        <v>16</v>
      </c>
      <c r="G728" t="s">
        <v>1549</v>
      </c>
      <c r="H728" t="s">
        <v>1742</v>
      </c>
      <c r="L728" s="2">
        <v>45640</v>
      </c>
      <c r="M728">
        <v>84.348600000000005</v>
      </c>
      <c r="R728" t="s">
        <v>1807</v>
      </c>
      <c r="S728">
        <v>84.348600000000005</v>
      </c>
      <c r="W728" s="11" t="s">
        <v>16</v>
      </c>
      <c r="X728" s="11" t="s">
        <v>1549</v>
      </c>
      <c r="Y728">
        <v>84.348600000000005</v>
      </c>
      <c r="AF728">
        <v>84.348600000000005</v>
      </c>
      <c r="AG728" t="s">
        <v>1742</v>
      </c>
    </row>
    <row r="729" spans="1:33" x14ac:dyDescent="0.3">
      <c r="A729" t="s">
        <v>1196</v>
      </c>
      <c r="B729" s="2">
        <v>45253</v>
      </c>
      <c r="C729">
        <v>81.673900000000003</v>
      </c>
      <c r="D729" t="s">
        <v>1812</v>
      </c>
      <c r="E729">
        <v>53</v>
      </c>
      <c r="F729" t="s">
        <v>9</v>
      </c>
      <c r="G729" t="s">
        <v>1546</v>
      </c>
      <c r="H729" t="s">
        <v>1746</v>
      </c>
      <c r="L729" s="2">
        <v>45253</v>
      </c>
      <c r="M729">
        <v>81.673900000000003</v>
      </c>
      <c r="R729" t="s">
        <v>1812</v>
      </c>
      <c r="S729">
        <v>81.673900000000003</v>
      </c>
      <c r="W729" s="12" t="s">
        <v>9</v>
      </c>
      <c r="X729" s="12" t="s">
        <v>1546</v>
      </c>
      <c r="Y729">
        <v>81.673900000000003</v>
      </c>
      <c r="AF729">
        <v>81.673900000000003</v>
      </c>
      <c r="AG729" t="s">
        <v>1746</v>
      </c>
    </row>
    <row r="730" spans="1:33" x14ac:dyDescent="0.3">
      <c r="A730" t="s">
        <v>824</v>
      </c>
      <c r="B730" s="2">
        <v>45225</v>
      </c>
      <c r="C730">
        <v>1089.5352</v>
      </c>
      <c r="D730" t="s">
        <v>1809</v>
      </c>
      <c r="E730">
        <v>27</v>
      </c>
      <c r="F730" t="s">
        <v>16</v>
      </c>
      <c r="G730" t="s">
        <v>1530</v>
      </c>
      <c r="H730" t="s">
        <v>1737</v>
      </c>
      <c r="L730" s="2">
        <v>45225</v>
      </c>
      <c r="M730">
        <v>1089.5352</v>
      </c>
      <c r="R730" t="s">
        <v>1809</v>
      </c>
      <c r="S730">
        <v>1089.5352</v>
      </c>
      <c r="W730" s="11" t="s">
        <v>16</v>
      </c>
      <c r="X730" s="11" t="s">
        <v>1530</v>
      </c>
      <c r="Y730">
        <v>1089.5352</v>
      </c>
      <c r="AF730">
        <v>1089.5352</v>
      </c>
      <c r="AG730" t="s">
        <v>1737</v>
      </c>
    </row>
    <row r="731" spans="1:33" x14ac:dyDescent="0.3">
      <c r="A731" t="s">
        <v>519</v>
      </c>
      <c r="B731" s="2">
        <v>45263</v>
      </c>
      <c r="C731">
        <v>701.4348</v>
      </c>
      <c r="D731" t="s">
        <v>1812</v>
      </c>
      <c r="E731">
        <v>59</v>
      </c>
      <c r="F731" t="s">
        <v>9</v>
      </c>
      <c r="G731" t="s">
        <v>1541</v>
      </c>
      <c r="H731" t="s">
        <v>1742</v>
      </c>
      <c r="L731" s="2">
        <v>45263</v>
      </c>
      <c r="M731">
        <v>701.4348</v>
      </c>
      <c r="R731" t="s">
        <v>1812</v>
      </c>
      <c r="S731">
        <v>701.4348</v>
      </c>
      <c r="W731" s="12" t="s">
        <v>9</v>
      </c>
      <c r="X731" s="12" t="s">
        <v>1541</v>
      </c>
      <c r="Y731">
        <v>701.4348</v>
      </c>
      <c r="AF731">
        <v>701.4348</v>
      </c>
      <c r="AG731" t="s">
        <v>1742</v>
      </c>
    </row>
    <row r="732" spans="1:33" x14ac:dyDescent="0.3">
      <c r="A732" t="s">
        <v>1190</v>
      </c>
      <c r="B732" s="2">
        <v>45554</v>
      </c>
      <c r="C732">
        <v>392.04</v>
      </c>
      <c r="D732" t="s">
        <v>1809</v>
      </c>
      <c r="E732">
        <v>18</v>
      </c>
      <c r="F732" t="s">
        <v>16</v>
      </c>
      <c r="G732" t="s">
        <v>1527</v>
      </c>
      <c r="H732" t="s">
        <v>1742</v>
      </c>
      <c r="L732" s="2">
        <v>45554</v>
      </c>
      <c r="M732">
        <v>392.04</v>
      </c>
      <c r="R732" t="s">
        <v>1809</v>
      </c>
      <c r="S732">
        <v>392.04</v>
      </c>
      <c r="W732" s="11" t="s">
        <v>16</v>
      </c>
      <c r="X732" s="11" t="s">
        <v>1527</v>
      </c>
      <c r="Y732">
        <v>392.04</v>
      </c>
      <c r="AF732">
        <v>392.04</v>
      </c>
      <c r="AG732" t="s">
        <v>1742</v>
      </c>
    </row>
    <row r="733" spans="1:33" x14ac:dyDescent="0.3">
      <c r="A733" t="s">
        <v>212</v>
      </c>
      <c r="B733" s="2">
        <v>45569</v>
      </c>
      <c r="C733">
        <v>2811.1181999999999</v>
      </c>
      <c r="D733" t="s">
        <v>1812</v>
      </c>
      <c r="E733">
        <v>51</v>
      </c>
      <c r="F733" t="s">
        <v>9</v>
      </c>
      <c r="G733" t="s">
        <v>1541</v>
      </c>
      <c r="H733" t="s">
        <v>1746</v>
      </c>
      <c r="L733" s="2">
        <v>45569</v>
      </c>
      <c r="M733">
        <v>2811.1181999999999</v>
      </c>
      <c r="R733" t="s">
        <v>1812</v>
      </c>
      <c r="S733">
        <v>2811.1181999999999</v>
      </c>
      <c r="W733" s="12" t="s">
        <v>9</v>
      </c>
      <c r="X733" s="12" t="s">
        <v>1541</v>
      </c>
      <c r="Y733">
        <v>2811.1181999999999</v>
      </c>
      <c r="AF733">
        <v>2811.1181999999999</v>
      </c>
      <c r="AG733" t="s">
        <v>1746</v>
      </c>
    </row>
    <row r="734" spans="1:33" x14ac:dyDescent="0.3">
      <c r="A734" t="s">
        <v>719</v>
      </c>
      <c r="B734" s="2">
        <v>45217</v>
      </c>
      <c r="C734">
        <v>478.66559999999998</v>
      </c>
      <c r="D734" t="s">
        <v>1809</v>
      </c>
      <c r="E734">
        <v>46</v>
      </c>
      <c r="F734" t="s">
        <v>16</v>
      </c>
      <c r="G734" t="s">
        <v>1549</v>
      </c>
      <c r="H734" t="s">
        <v>1742</v>
      </c>
      <c r="L734" s="2">
        <v>45217</v>
      </c>
      <c r="M734">
        <v>478.66559999999998</v>
      </c>
      <c r="R734" t="s">
        <v>1809</v>
      </c>
      <c r="S734">
        <v>478.66559999999998</v>
      </c>
      <c r="W734" s="11" t="s">
        <v>16</v>
      </c>
      <c r="X734" s="11" t="s">
        <v>1549</v>
      </c>
      <c r="Y734">
        <v>478.66559999999998</v>
      </c>
      <c r="AF734">
        <v>478.66559999999998</v>
      </c>
      <c r="AG734" t="s">
        <v>1742</v>
      </c>
    </row>
    <row r="735" spans="1:33" x14ac:dyDescent="0.3">
      <c r="A735" t="s">
        <v>1028</v>
      </c>
      <c r="B735" s="2">
        <v>45783</v>
      </c>
      <c r="C735">
        <v>2881.4259999999999</v>
      </c>
      <c r="D735" t="s">
        <v>1809</v>
      </c>
      <c r="E735">
        <v>38</v>
      </c>
      <c r="F735" t="s">
        <v>16</v>
      </c>
      <c r="G735" t="s">
        <v>1546</v>
      </c>
      <c r="H735" t="s">
        <v>1737</v>
      </c>
      <c r="L735" s="2">
        <v>45783</v>
      </c>
      <c r="M735">
        <v>2881.4259999999999</v>
      </c>
      <c r="R735" t="s">
        <v>1809</v>
      </c>
      <c r="S735">
        <v>2881.4259999999999</v>
      </c>
      <c r="W735" s="12" t="s">
        <v>16</v>
      </c>
      <c r="X735" s="12" t="s">
        <v>1546</v>
      </c>
      <c r="Y735">
        <v>2881.4259999999999</v>
      </c>
      <c r="AF735">
        <v>2881.4259999999999</v>
      </c>
      <c r="AG735" t="s">
        <v>1737</v>
      </c>
    </row>
    <row r="736" spans="1:33" x14ac:dyDescent="0.3">
      <c r="A736" t="s">
        <v>643</v>
      </c>
      <c r="B736" s="2">
        <v>45371</v>
      </c>
      <c r="C736">
        <v>571.38619999999992</v>
      </c>
      <c r="D736" t="s">
        <v>1809</v>
      </c>
      <c r="E736">
        <v>46</v>
      </c>
      <c r="F736" t="s">
        <v>9</v>
      </c>
      <c r="G736" t="s">
        <v>1527</v>
      </c>
      <c r="H736" t="s">
        <v>1746</v>
      </c>
      <c r="L736" s="2">
        <v>45371</v>
      </c>
      <c r="M736">
        <v>571.38619999999992</v>
      </c>
      <c r="R736" t="s">
        <v>1809</v>
      </c>
      <c r="S736">
        <v>571.38619999999992</v>
      </c>
      <c r="W736" s="11" t="s">
        <v>9</v>
      </c>
      <c r="X736" s="11" t="s">
        <v>1527</v>
      </c>
      <c r="Y736">
        <v>571.38619999999992</v>
      </c>
      <c r="AF736">
        <v>571.38619999999992</v>
      </c>
      <c r="AG736" t="s">
        <v>1746</v>
      </c>
    </row>
    <row r="737" spans="1:33" x14ac:dyDescent="0.3">
      <c r="A737" t="s">
        <v>1101</v>
      </c>
      <c r="B737" s="2">
        <v>45453</v>
      </c>
      <c r="C737">
        <v>218.804</v>
      </c>
      <c r="D737" t="s">
        <v>1812</v>
      </c>
      <c r="E737">
        <v>54</v>
      </c>
      <c r="F737" t="s">
        <v>9</v>
      </c>
      <c r="G737" t="s">
        <v>1530</v>
      </c>
      <c r="H737" t="s">
        <v>1742</v>
      </c>
      <c r="L737" s="2">
        <v>45453</v>
      </c>
      <c r="M737">
        <v>218.804</v>
      </c>
      <c r="R737" t="s">
        <v>1812</v>
      </c>
      <c r="S737">
        <v>218.804</v>
      </c>
      <c r="W737" s="12" t="s">
        <v>9</v>
      </c>
      <c r="X737" s="12" t="s">
        <v>1530</v>
      </c>
      <c r="Y737">
        <v>218.804</v>
      </c>
      <c r="AF737">
        <v>218.804</v>
      </c>
      <c r="AG737" t="s">
        <v>1742</v>
      </c>
    </row>
    <row r="738" spans="1:33" x14ac:dyDescent="0.3">
      <c r="A738" t="s">
        <v>1064</v>
      </c>
      <c r="B738" s="2">
        <v>45526</v>
      </c>
      <c r="C738">
        <v>1419.0192</v>
      </c>
      <c r="D738" t="s">
        <v>1812</v>
      </c>
      <c r="E738">
        <v>38</v>
      </c>
      <c r="F738" t="s">
        <v>9</v>
      </c>
      <c r="G738" t="s">
        <v>1549</v>
      </c>
      <c r="H738" t="s">
        <v>1737</v>
      </c>
      <c r="L738" s="2">
        <v>45526</v>
      </c>
      <c r="M738">
        <v>1419.0192</v>
      </c>
      <c r="R738" t="s">
        <v>1812</v>
      </c>
      <c r="S738">
        <v>1419.0192</v>
      </c>
      <c r="W738" s="11" t="s">
        <v>9</v>
      </c>
      <c r="X738" s="11" t="s">
        <v>1549</v>
      </c>
      <c r="Y738">
        <v>1419.0192</v>
      </c>
      <c r="AF738">
        <v>1419.0192</v>
      </c>
      <c r="AG738" t="s">
        <v>1737</v>
      </c>
    </row>
    <row r="739" spans="1:33" x14ac:dyDescent="0.3">
      <c r="A739" t="s">
        <v>3950</v>
      </c>
      <c r="B739" s="2">
        <v>45756</v>
      </c>
      <c r="C739">
        <v>689.5</v>
      </c>
      <c r="D739" t="s">
        <v>1809</v>
      </c>
      <c r="E739">
        <v>35</v>
      </c>
      <c r="F739" t="s">
        <v>9</v>
      </c>
      <c r="G739" t="s">
        <v>1541</v>
      </c>
      <c r="H739" t="s">
        <v>1746</v>
      </c>
      <c r="L739" s="2">
        <v>45756</v>
      </c>
      <c r="M739">
        <v>689.5</v>
      </c>
      <c r="R739" t="s">
        <v>1809</v>
      </c>
      <c r="S739">
        <v>689.5</v>
      </c>
      <c r="W739" s="12" t="s">
        <v>9</v>
      </c>
      <c r="X739" s="12" t="s">
        <v>1541</v>
      </c>
      <c r="Y739">
        <v>689.5</v>
      </c>
      <c r="AF739">
        <v>689.5</v>
      </c>
      <c r="AG739" t="s">
        <v>1746</v>
      </c>
    </row>
    <row r="740" spans="1:33" x14ac:dyDescent="0.3">
      <c r="A740" t="s">
        <v>1127</v>
      </c>
      <c r="B740" s="2">
        <v>45657</v>
      </c>
      <c r="C740">
        <v>307.71359999999999</v>
      </c>
      <c r="D740" t="s">
        <v>1809</v>
      </c>
      <c r="E740">
        <v>63</v>
      </c>
      <c r="F740" t="s">
        <v>16</v>
      </c>
      <c r="G740" t="s">
        <v>1530</v>
      </c>
      <c r="H740" t="s">
        <v>1742</v>
      </c>
      <c r="L740" s="2">
        <v>45657</v>
      </c>
      <c r="M740">
        <v>307.71359999999999</v>
      </c>
      <c r="R740" t="s">
        <v>1809</v>
      </c>
      <c r="S740">
        <v>307.71359999999999</v>
      </c>
      <c r="W740" s="11" t="s">
        <v>16</v>
      </c>
      <c r="X740" s="11" t="s">
        <v>1530</v>
      </c>
      <c r="Y740">
        <v>307.71359999999999</v>
      </c>
      <c r="AF740">
        <v>307.71359999999999</v>
      </c>
      <c r="AG740" t="s">
        <v>1742</v>
      </c>
    </row>
    <row r="741" spans="1:33" x14ac:dyDescent="0.3">
      <c r="A741" t="s">
        <v>239</v>
      </c>
      <c r="B741" s="2">
        <v>45716</v>
      </c>
      <c r="C741">
        <v>2277.2944000000002</v>
      </c>
      <c r="D741" t="s">
        <v>1809</v>
      </c>
      <c r="E741">
        <v>27</v>
      </c>
      <c r="F741" t="s">
        <v>16</v>
      </c>
      <c r="G741" t="s">
        <v>1549</v>
      </c>
      <c r="H741" t="s">
        <v>1767</v>
      </c>
      <c r="L741" s="2">
        <v>45716</v>
      </c>
      <c r="M741">
        <v>2277.2944000000002</v>
      </c>
      <c r="R741" t="s">
        <v>1809</v>
      </c>
      <c r="S741">
        <v>2277.2944000000002</v>
      </c>
      <c r="W741" s="12" t="s">
        <v>16</v>
      </c>
      <c r="X741" s="12" t="s">
        <v>1549</v>
      </c>
      <c r="Y741">
        <v>2277.2944000000002</v>
      </c>
      <c r="AF741">
        <v>2277.2944000000002</v>
      </c>
      <c r="AG741" t="s">
        <v>1767</v>
      </c>
    </row>
    <row r="742" spans="1:33" x14ac:dyDescent="0.3">
      <c r="A742" t="s">
        <v>331</v>
      </c>
      <c r="B742" s="2">
        <v>45313</v>
      </c>
      <c r="C742">
        <v>136.34880000000001</v>
      </c>
      <c r="D742" t="s">
        <v>1809</v>
      </c>
      <c r="E742">
        <v>43</v>
      </c>
      <c r="F742" t="s">
        <v>16</v>
      </c>
      <c r="G742" t="s">
        <v>1541</v>
      </c>
      <c r="H742" t="s">
        <v>1742</v>
      </c>
      <c r="L742" s="2">
        <v>45313</v>
      </c>
      <c r="M742">
        <v>136.34880000000001</v>
      </c>
      <c r="R742" t="s">
        <v>1809</v>
      </c>
      <c r="S742">
        <v>136.34880000000001</v>
      </c>
      <c r="W742" s="11" t="s">
        <v>16</v>
      </c>
      <c r="X742" s="11" t="s">
        <v>1541</v>
      </c>
      <c r="Y742">
        <v>136.34880000000001</v>
      </c>
      <c r="AF742">
        <v>136.34880000000001</v>
      </c>
      <c r="AG742" t="s">
        <v>1742</v>
      </c>
    </row>
    <row r="743" spans="1:33" x14ac:dyDescent="0.3">
      <c r="A743" t="s">
        <v>3933</v>
      </c>
      <c r="B743" s="2">
        <v>45372</v>
      </c>
      <c r="C743">
        <v>392.83789999999999</v>
      </c>
      <c r="D743" t="s">
        <v>1807</v>
      </c>
      <c r="E743">
        <v>59</v>
      </c>
      <c r="F743" t="s">
        <v>16</v>
      </c>
      <c r="G743" t="s">
        <v>1527</v>
      </c>
      <c r="H743" t="s">
        <v>1746</v>
      </c>
      <c r="L743" s="2">
        <v>45372</v>
      </c>
      <c r="M743">
        <v>392.83789999999999</v>
      </c>
      <c r="R743" t="s">
        <v>1807</v>
      </c>
      <c r="S743">
        <v>392.83789999999999</v>
      </c>
      <c r="W743" s="12" t="s">
        <v>16</v>
      </c>
      <c r="X743" s="12" t="s">
        <v>1527</v>
      </c>
      <c r="Y743">
        <v>392.83789999999999</v>
      </c>
      <c r="AF743">
        <v>392.83789999999999</v>
      </c>
      <c r="AG743" t="s">
        <v>1746</v>
      </c>
    </row>
    <row r="744" spans="1:33" x14ac:dyDescent="0.3">
      <c r="A744" t="s">
        <v>1247</v>
      </c>
      <c r="B744" s="2">
        <v>45648</v>
      </c>
      <c r="C744">
        <v>934.32449999999983</v>
      </c>
      <c r="D744" t="s">
        <v>1809</v>
      </c>
      <c r="E744">
        <v>23</v>
      </c>
      <c r="F744" t="s">
        <v>16</v>
      </c>
      <c r="G744" t="s">
        <v>1530</v>
      </c>
      <c r="H744" t="s">
        <v>1742</v>
      </c>
      <c r="L744" s="2">
        <v>45648</v>
      </c>
      <c r="M744">
        <v>934.32449999999983</v>
      </c>
      <c r="R744" t="s">
        <v>1809</v>
      </c>
      <c r="S744">
        <v>934.32449999999983</v>
      </c>
      <c r="W744" s="11" t="s">
        <v>16</v>
      </c>
      <c r="X744" s="11" t="s">
        <v>1530</v>
      </c>
      <c r="Y744">
        <v>934.32449999999983</v>
      </c>
      <c r="AF744">
        <v>934.32449999999983</v>
      </c>
      <c r="AG744" t="s">
        <v>1742</v>
      </c>
    </row>
    <row r="745" spans="1:33" x14ac:dyDescent="0.3">
      <c r="A745" t="s">
        <v>566</v>
      </c>
      <c r="B745" s="2">
        <v>45384</v>
      </c>
      <c r="C745">
        <v>753.49019999999996</v>
      </c>
      <c r="D745" t="s">
        <v>1807</v>
      </c>
      <c r="E745">
        <v>41</v>
      </c>
      <c r="F745" t="s">
        <v>16</v>
      </c>
      <c r="G745" t="s">
        <v>1527</v>
      </c>
      <c r="H745" t="s">
        <v>1742</v>
      </c>
      <c r="L745" s="2">
        <v>45384</v>
      </c>
      <c r="M745">
        <v>753.49019999999996</v>
      </c>
      <c r="R745" t="s">
        <v>1807</v>
      </c>
      <c r="S745">
        <v>753.49019999999996</v>
      </c>
      <c r="W745" s="12" t="s">
        <v>16</v>
      </c>
      <c r="X745" s="12" t="s">
        <v>1527</v>
      </c>
      <c r="Y745">
        <v>753.49019999999996</v>
      </c>
      <c r="AF745">
        <v>753.49019999999996</v>
      </c>
      <c r="AG745" t="s">
        <v>1742</v>
      </c>
    </row>
    <row r="746" spans="1:33" x14ac:dyDescent="0.3">
      <c r="A746" t="s">
        <v>1434</v>
      </c>
      <c r="B746" s="2">
        <v>45687</v>
      </c>
      <c r="C746">
        <v>2681.1651999999999</v>
      </c>
      <c r="D746" t="s">
        <v>1812</v>
      </c>
      <c r="E746">
        <v>42</v>
      </c>
      <c r="F746" t="s">
        <v>9</v>
      </c>
      <c r="G746" t="s">
        <v>1527</v>
      </c>
      <c r="H746" t="s">
        <v>1746</v>
      </c>
      <c r="L746" s="2">
        <v>45687</v>
      </c>
      <c r="M746">
        <v>2681.1651999999999</v>
      </c>
      <c r="R746" t="s">
        <v>1812</v>
      </c>
      <c r="S746">
        <v>2681.1651999999999</v>
      </c>
      <c r="W746" s="11" t="s">
        <v>9</v>
      </c>
      <c r="X746" s="11" t="s">
        <v>1527</v>
      </c>
      <c r="Y746">
        <v>2681.1651999999999</v>
      </c>
      <c r="AF746">
        <v>2681.1651999999999</v>
      </c>
      <c r="AG746" t="s">
        <v>1746</v>
      </c>
    </row>
    <row r="747" spans="1:33" x14ac:dyDescent="0.3">
      <c r="A747" t="s">
        <v>626</v>
      </c>
      <c r="B747" s="2">
        <v>45747</v>
      </c>
      <c r="C747">
        <v>611.68040000000008</v>
      </c>
      <c r="D747" t="s">
        <v>1809</v>
      </c>
      <c r="E747">
        <v>38</v>
      </c>
      <c r="F747" t="s">
        <v>9</v>
      </c>
      <c r="G747" t="s">
        <v>1546</v>
      </c>
      <c r="H747" t="s">
        <v>1767</v>
      </c>
      <c r="L747" s="2">
        <v>45747</v>
      </c>
      <c r="M747">
        <v>611.68040000000008</v>
      </c>
      <c r="R747" t="s">
        <v>1809</v>
      </c>
      <c r="S747">
        <v>611.68040000000008</v>
      </c>
      <c r="W747" s="12" t="s">
        <v>9</v>
      </c>
      <c r="X747" s="12" t="s">
        <v>1546</v>
      </c>
      <c r="Y747">
        <v>611.68040000000008</v>
      </c>
      <c r="AF747">
        <v>611.68040000000008</v>
      </c>
      <c r="AG747" t="s">
        <v>1767</v>
      </c>
    </row>
    <row r="748" spans="1:33" x14ac:dyDescent="0.3">
      <c r="A748" t="s">
        <v>349</v>
      </c>
      <c r="B748" s="2">
        <v>45687</v>
      </c>
      <c r="C748">
        <v>317.32470000000001</v>
      </c>
      <c r="D748" t="s">
        <v>1809</v>
      </c>
      <c r="E748">
        <v>53</v>
      </c>
      <c r="F748" t="s">
        <v>16</v>
      </c>
      <c r="G748" t="s">
        <v>1549</v>
      </c>
      <c r="H748" t="s">
        <v>1746</v>
      </c>
      <c r="L748" s="2">
        <v>45687</v>
      </c>
      <c r="M748">
        <v>317.32470000000001</v>
      </c>
      <c r="R748" t="s">
        <v>1809</v>
      </c>
      <c r="S748">
        <v>317.32470000000001</v>
      </c>
      <c r="W748" s="11" t="s">
        <v>16</v>
      </c>
      <c r="X748" s="11" t="s">
        <v>1549</v>
      </c>
      <c r="Y748">
        <v>317.32470000000001</v>
      </c>
      <c r="AF748">
        <v>317.32470000000001</v>
      </c>
      <c r="AG748" t="s">
        <v>1746</v>
      </c>
    </row>
    <row r="749" spans="1:33" x14ac:dyDescent="0.3">
      <c r="A749" t="s">
        <v>418</v>
      </c>
      <c r="B749" s="2">
        <v>45916</v>
      </c>
      <c r="C749">
        <v>119.7855</v>
      </c>
      <c r="D749" t="s">
        <v>1812</v>
      </c>
      <c r="E749">
        <v>40</v>
      </c>
      <c r="F749" t="s">
        <v>9</v>
      </c>
      <c r="G749" t="s">
        <v>1541</v>
      </c>
      <c r="H749" t="s">
        <v>1742</v>
      </c>
      <c r="L749" s="2">
        <v>45916</v>
      </c>
      <c r="M749">
        <v>119.7855</v>
      </c>
      <c r="R749" t="s">
        <v>1812</v>
      </c>
      <c r="S749">
        <v>119.7855</v>
      </c>
      <c r="W749" s="12" t="s">
        <v>9</v>
      </c>
      <c r="X749" s="12" t="s">
        <v>1541</v>
      </c>
      <c r="Y749">
        <v>119.7855</v>
      </c>
      <c r="AF749">
        <v>119.7855</v>
      </c>
      <c r="AG749" t="s">
        <v>1742</v>
      </c>
    </row>
    <row r="750" spans="1:33" x14ac:dyDescent="0.3">
      <c r="A750" t="s">
        <v>643</v>
      </c>
      <c r="B750" s="2">
        <v>45917</v>
      </c>
      <c r="C750">
        <v>1951.7436</v>
      </c>
      <c r="D750" t="s">
        <v>1812</v>
      </c>
      <c r="E750">
        <v>46</v>
      </c>
      <c r="F750" t="s">
        <v>9</v>
      </c>
      <c r="G750" t="s">
        <v>1546</v>
      </c>
      <c r="H750" t="s">
        <v>1742</v>
      </c>
      <c r="L750" s="2">
        <v>45917</v>
      </c>
      <c r="M750">
        <v>1951.7436</v>
      </c>
      <c r="R750" t="s">
        <v>1812</v>
      </c>
      <c r="S750">
        <v>1951.7436</v>
      </c>
      <c r="W750" s="11" t="s">
        <v>9</v>
      </c>
      <c r="X750" s="11" t="s">
        <v>1546</v>
      </c>
      <c r="Y750">
        <v>1951.7436</v>
      </c>
      <c r="AF750">
        <v>1951.7436</v>
      </c>
      <c r="AG750" t="s">
        <v>1742</v>
      </c>
    </row>
    <row r="751" spans="1:33" x14ac:dyDescent="0.3">
      <c r="A751" t="s">
        <v>1013</v>
      </c>
      <c r="B751" s="2">
        <v>45941</v>
      </c>
      <c r="C751">
        <v>1316.2085999999999</v>
      </c>
      <c r="D751" t="s">
        <v>1812</v>
      </c>
      <c r="E751">
        <v>58</v>
      </c>
      <c r="F751" t="s">
        <v>16</v>
      </c>
      <c r="G751" t="s">
        <v>1549</v>
      </c>
      <c r="H751" t="s">
        <v>1742</v>
      </c>
      <c r="L751" s="2">
        <v>45941</v>
      </c>
      <c r="M751">
        <v>1316.2085999999999</v>
      </c>
      <c r="R751" t="s">
        <v>1812</v>
      </c>
      <c r="S751">
        <v>1316.2085999999999</v>
      </c>
      <c r="W751" s="12" t="s">
        <v>16</v>
      </c>
      <c r="X751" s="12" t="s">
        <v>1549</v>
      </c>
      <c r="Y751">
        <v>1316.2085999999999</v>
      </c>
      <c r="AF751">
        <v>1316.2085999999999</v>
      </c>
      <c r="AG751" t="s">
        <v>1742</v>
      </c>
    </row>
    <row r="752" spans="1:33" x14ac:dyDescent="0.3">
      <c r="A752" t="s">
        <v>789</v>
      </c>
      <c r="B752" s="2">
        <v>45778</v>
      </c>
      <c r="C752">
        <v>101.2608</v>
      </c>
      <c r="D752" t="s">
        <v>1812</v>
      </c>
      <c r="E752">
        <v>41</v>
      </c>
      <c r="F752" t="s">
        <v>16</v>
      </c>
      <c r="G752" t="s">
        <v>1546</v>
      </c>
      <c r="H752" t="s">
        <v>1742</v>
      </c>
      <c r="L752" s="2">
        <v>45778</v>
      </c>
      <c r="M752">
        <v>101.2608</v>
      </c>
      <c r="R752" t="s">
        <v>1812</v>
      </c>
      <c r="S752">
        <v>101.2608</v>
      </c>
      <c r="W752" s="11" t="s">
        <v>16</v>
      </c>
      <c r="X752" s="11" t="s">
        <v>1546</v>
      </c>
      <c r="Y752">
        <v>101.2608</v>
      </c>
      <c r="AF752">
        <v>101.2608</v>
      </c>
      <c r="AG752" t="s">
        <v>1742</v>
      </c>
    </row>
    <row r="753" spans="1:33" x14ac:dyDescent="0.3">
      <c r="A753" t="s">
        <v>1028</v>
      </c>
      <c r="B753" s="2">
        <v>45740</v>
      </c>
      <c r="C753">
        <v>1375.2876000000001</v>
      </c>
      <c r="D753" t="s">
        <v>1812</v>
      </c>
      <c r="E753">
        <v>38</v>
      </c>
      <c r="F753" t="s">
        <v>16</v>
      </c>
      <c r="G753" t="s">
        <v>1549</v>
      </c>
      <c r="H753" t="s">
        <v>1742</v>
      </c>
      <c r="L753" s="2">
        <v>45740</v>
      </c>
      <c r="M753">
        <v>1375.2876000000001</v>
      </c>
      <c r="R753" t="s">
        <v>1812</v>
      </c>
      <c r="S753">
        <v>1375.2876000000001</v>
      </c>
      <c r="W753" s="12" t="s">
        <v>16</v>
      </c>
      <c r="X753" s="12" t="s">
        <v>1549</v>
      </c>
      <c r="Y753">
        <v>1375.2876000000001</v>
      </c>
      <c r="AF753">
        <v>1375.2876000000001</v>
      </c>
      <c r="AG753" t="s">
        <v>1742</v>
      </c>
    </row>
    <row r="754" spans="1:33" x14ac:dyDescent="0.3">
      <c r="A754" t="s">
        <v>317</v>
      </c>
      <c r="B754" s="2">
        <v>45598</v>
      </c>
      <c r="C754">
        <v>2569.1024000000002</v>
      </c>
      <c r="D754" t="s">
        <v>1809</v>
      </c>
      <c r="E754">
        <v>58</v>
      </c>
      <c r="F754" t="s">
        <v>16</v>
      </c>
      <c r="G754" t="s">
        <v>1541</v>
      </c>
      <c r="H754" t="s">
        <v>1737</v>
      </c>
      <c r="L754" s="2">
        <v>45598</v>
      </c>
      <c r="M754">
        <v>2569.1024000000002</v>
      </c>
      <c r="R754" t="s">
        <v>1809</v>
      </c>
      <c r="S754">
        <v>2569.1024000000002</v>
      </c>
      <c r="W754" s="11" t="s">
        <v>16</v>
      </c>
      <c r="X754" s="11" t="s">
        <v>1541</v>
      </c>
      <c r="Y754">
        <v>2569.1024000000002</v>
      </c>
      <c r="AF754">
        <v>2569.1024000000002</v>
      </c>
      <c r="AG754" t="s">
        <v>1737</v>
      </c>
    </row>
    <row r="755" spans="1:33" x14ac:dyDescent="0.3">
      <c r="A755" t="s">
        <v>638</v>
      </c>
      <c r="B755" s="2">
        <v>45591</v>
      </c>
      <c r="C755">
        <v>467.91</v>
      </c>
      <c r="D755" t="s">
        <v>1807</v>
      </c>
      <c r="E755">
        <v>45</v>
      </c>
      <c r="F755" t="s">
        <v>16</v>
      </c>
      <c r="G755" t="s">
        <v>1546</v>
      </c>
      <c r="H755" t="s">
        <v>1742</v>
      </c>
      <c r="L755" s="2">
        <v>45591</v>
      </c>
      <c r="M755">
        <v>467.91</v>
      </c>
      <c r="R755" t="s">
        <v>1807</v>
      </c>
      <c r="S755">
        <v>467.91</v>
      </c>
      <c r="W755" s="12" t="s">
        <v>16</v>
      </c>
      <c r="X755" s="12" t="s">
        <v>1546</v>
      </c>
      <c r="Y755">
        <v>467.91</v>
      </c>
      <c r="AF755">
        <v>467.91</v>
      </c>
      <c r="AG755" t="s">
        <v>1742</v>
      </c>
    </row>
    <row r="756" spans="1:33" x14ac:dyDescent="0.3">
      <c r="A756" t="s">
        <v>580</v>
      </c>
      <c r="B756" s="2">
        <v>45546</v>
      </c>
      <c r="C756">
        <v>999.5920000000001</v>
      </c>
      <c r="D756" t="s">
        <v>1809</v>
      </c>
      <c r="E756">
        <v>33</v>
      </c>
      <c r="F756" t="s">
        <v>16</v>
      </c>
      <c r="G756" t="s">
        <v>1546</v>
      </c>
      <c r="H756" t="s">
        <v>1742</v>
      </c>
      <c r="L756" s="2">
        <v>45546</v>
      </c>
      <c r="M756">
        <v>999.5920000000001</v>
      </c>
      <c r="R756" t="s">
        <v>1809</v>
      </c>
      <c r="S756">
        <v>999.5920000000001</v>
      </c>
      <c r="W756" s="11" t="s">
        <v>16</v>
      </c>
      <c r="X756" s="11" t="s">
        <v>1546</v>
      </c>
      <c r="Y756">
        <v>999.5920000000001</v>
      </c>
      <c r="AF756">
        <v>999.5920000000001</v>
      </c>
      <c r="AG756" t="s">
        <v>1742</v>
      </c>
    </row>
    <row r="757" spans="1:33" x14ac:dyDescent="0.3">
      <c r="A757" t="s">
        <v>1008</v>
      </c>
      <c r="B757" s="2">
        <v>45483</v>
      </c>
      <c r="C757">
        <v>1088.1378</v>
      </c>
      <c r="D757" t="s">
        <v>1807</v>
      </c>
      <c r="E757">
        <v>58</v>
      </c>
      <c r="F757" t="s">
        <v>9</v>
      </c>
      <c r="G757" t="s">
        <v>1549</v>
      </c>
      <c r="H757" t="s">
        <v>1742</v>
      </c>
      <c r="L757" s="2">
        <v>45483</v>
      </c>
      <c r="M757">
        <v>1088.1378</v>
      </c>
      <c r="R757" t="s">
        <v>1807</v>
      </c>
      <c r="S757">
        <v>1088.1378</v>
      </c>
      <c r="W757" s="12" t="s">
        <v>9</v>
      </c>
      <c r="X757" s="12" t="s">
        <v>1549</v>
      </c>
      <c r="Y757">
        <v>1088.1378</v>
      </c>
      <c r="AF757">
        <v>1088.1378</v>
      </c>
      <c r="AG757" t="s">
        <v>1742</v>
      </c>
    </row>
    <row r="758" spans="1:33" x14ac:dyDescent="0.3">
      <c r="A758" t="s">
        <v>667</v>
      </c>
      <c r="B758" s="2">
        <v>45786</v>
      </c>
      <c r="C758">
        <v>407.57679999999999</v>
      </c>
      <c r="D758" t="s">
        <v>1809</v>
      </c>
      <c r="E758">
        <v>28</v>
      </c>
      <c r="F758" t="s">
        <v>16</v>
      </c>
      <c r="G758" t="s">
        <v>1541</v>
      </c>
      <c r="H758" t="s">
        <v>1746</v>
      </c>
      <c r="L758" s="2">
        <v>45786</v>
      </c>
      <c r="M758">
        <v>407.57679999999999</v>
      </c>
      <c r="R758" t="s">
        <v>1809</v>
      </c>
      <c r="S758">
        <v>407.57679999999999</v>
      </c>
      <c r="W758" s="11" t="s">
        <v>16</v>
      </c>
      <c r="X758" s="11" t="s">
        <v>1541</v>
      </c>
      <c r="Y758">
        <v>407.57679999999999</v>
      </c>
      <c r="AF758">
        <v>407.57679999999999</v>
      </c>
      <c r="AG758" t="s">
        <v>1746</v>
      </c>
    </row>
    <row r="759" spans="1:33" x14ac:dyDescent="0.3">
      <c r="A759" t="s">
        <v>661</v>
      </c>
      <c r="B759" s="2">
        <v>45475</v>
      </c>
      <c r="C759">
        <v>821.92160000000001</v>
      </c>
      <c r="D759" t="s">
        <v>1809</v>
      </c>
      <c r="E759">
        <v>44</v>
      </c>
      <c r="F759" t="s">
        <v>16</v>
      </c>
      <c r="G759" t="s">
        <v>1546</v>
      </c>
      <c r="H759" t="s">
        <v>1742</v>
      </c>
      <c r="L759" s="2">
        <v>45475</v>
      </c>
      <c r="M759">
        <v>821.92160000000001</v>
      </c>
      <c r="R759" t="s">
        <v>1809</v>
      </c>
      <c r="S759">
        <v>821.92160000000001</v>
      </c>
      <c r="W759" s="12" t="s">
        <v>16</v>
      </c>
      <c r="X759" s="12" t="s">
        <v>1546</v>
      </c>
      <c r="Y759">
        <v>821.92160000000001</v>
      </c>
      <c r="AF759">
        <v>821.92160000000001</v>
      </c>
      <c r="AG759" t="s">
        <v>1742</v>
      </c>
    </row>
    <row r="760" spans="1:33" x14ac:dyDescent="0.3">
      <c r="A760" t="s">
        <v>987</v>
      </c>
      <c r="B760" s="2">
        <v>45470</v>
      </c>
      <c r="C760">
        <v>175.85310000000001</v>
      </c>
      <c r="D760" t="s">
        <v>1812</v>
      </c>
      <c r="E760">
        <v>64</v>
      </c>
      <c r="F760" t="s">
        <v>16</v>
      </c>
      <c r="G760" t="s">
        <v>1549</v>
      </c>
      <c r="H760" t="s">
        <v>1742</v>
      </c>
      <c r="L760" s="2">
        <v>45470</v>
      </c>
      <c r="M760">
        <v>175.85310000000001</v>
      </c>
      <c r="R760" t="s">
        <v>1812</v>
      </c>
      <c r="S760">
        <v>175.85310000000001</v>
      </c>
      <c r="W760" s="11" t="s">
        <v>16</v>
      </c>
      <c r="X760" s="11" t="s">
        <v>1549</v>
      </c>
      <c r="Y760">
        <v>175.85310000000001</v>
      </c>
      <c r="AF760">
        <v>175.85310000000001</v>
      </c>
      <c r="AG760" t="s">
        <v>1742</v>
      </c>
    </row>
    <row r="761" spans="1:33" x14ac:dyDescent="0.3">
      <c r="A761" t="s">
        <v>3942</v>
      </c>
      <c r="B761" s="2">
        <v>45243</v>
      </c>
      <c r="C761">
        <v>366.95339999999999</v>
      </c>
      <c r="D761" t="s">
        <v>1809</v>
      </c>
      <c r="E761">
        <v>48</v>
      </c>
      <c r="F761" t="s">
        <v>16</v>
      </c>
      <c r="G761" t="s">
        <v>1546</v>
      </c>
      <c r="H761" t="s">
        <v>1742</v>
      </c>
      <c r="L761" s="2">
        <v>45243</v>
      </c>
      <c r="M761">
        <v>366.95339999999999</v>
      </c>
      <c r="R761" t="s">
        <v>1809</v>
      </c>
      <c r="S761">
        <v>366.95339999999999</v>
      </c>
      <c r="W761" s="12" t="s">
        <v>16</v>
      </c>
      <c r="X761" s="12" t="s">
        <v>1546</v>
      </c>
      <c r="Y761">
        <v>366.95339999999999</v>
      </c>
      <c r="AF761">
        <v>366.95339999999999</v>
      </c>
      <c r="AG761" t="s">
        <v>1742</v>
      </c>
    </row>
    <row r="762" spans="1:33" x14ac:dyDescent="0.3">
      <c r="A762" t="s">
        <v>33</v>
      </c>
      <c r="B762" s="2">
        <v>45341</v>
      </c>
      <c r="C762">
        <v>2574.9856</v>
      </c>
      <c r="D762" t="s">
        <v>1807</v>
      </c>
      <c r="E762">
        <v>29</v>
      </c>
      <c r="F762" t="s">
        <v>16</v>
      </c>
      <c r="G762" t="s">
        <v>1549</v>
      </c>
      <c r="H762" t="s">
        <v>1742</v>
      </c>
      <c r="L762" s="2">
        <v>45341</v>
      </c>
      <c r="M762">
        <v>2574.9856</v>
      </c>
      <c r="R762" t="s">
        <v>1807</v>
      </c>
      <c r="S762">
        <v>2574.9856</v>
      </c>
      <c r="W762" s="11" t="s">
        <v>16</v>
      </c>
      <c r="X762" s="11" t="s">
        <v>1549</v>
      </c>
      <c r="Y762">
        <v>2574.9856</v>
      </c>
      <c r="AF762">
        <v>2574.9856</v>
      </c>
      <c r="AG762" t="s">
        <v>1742</v>
      </c>
    </row>
    <row r="763" spans="1:33" x14ac:dyDescent="0.3">
      <c r="A763" t="s">
        <v>546</v>
      </c>
      <c r="B763" s="2">
        <v>45371</v>
      </c>
      <c r="C763">
        <v>1306.4175</v>
      </c>
      <c r="D763" t="s">
        <v>1809</v>
      </c>
      <c r="E763">
        <v>25</v>
      </c>
      <c r="F763" t="s">
        <v>16</v>
      </c>
      <c r="G763" t="s">
        <v>1527</v>
      </c>
      <c r="H763" t="s">
        <v>1742</v>
      </c>
      <c r="L763" s="2">
        <v>45371</v>
      </c>
      <c r="M763">
        <v>1306.4175</v>
      </c>
      <c r="R763" t="s">
        <v>1809</v>
      </c>
      <c r="S763">
        <v>1306.4175</v>
      </c>
      <c r="W763" s="12" t="s">
        <v>16</v>
      </c>
      <c r="X763" s="12" t="s">
        <v>1527</v>
      </c>
      <c r="Y763">
        <v>1306.4175</v>
      </c>
      <c r="AF763">
        <v>1306.4175</v>
      </c>
      <c r="AG763" t="s">
        <v>1742</v>
      </c>
    </row>
    <row r="764" spans="1:33" x14ac:dyDescent="0.3">
      <c r="A764" t="s">
        <v>15</v>
      </c>
      <c r="B764" s="2">
        <v>45360</v>
      </c>
      <c r="C764">
        <v>835.84800000000007</v>
      </c>
      <c r="D764" t="s">
        <v>1812</v>
      </c>
      <c r="E764">
        <v>29</v>
      </c>
      <c r="F764" t="s">
        <v>16</v>
      </c>
      <c r="G764" t="s">
        <v>1546</v>
      </c>
      <c r="H764" t="s">
        <v>1737</v>
      </c>
      <c r="L764" s="2">
        <v>45360</v>
      </c>
      <c r="M764">
        <v>835.84800000000007</v>
      </c>
      <c r="R764" t="s">
        <v>1812</v>
      </c>
      <c r="S764">
        <v>835.84800000000007</v>
      </c>
      <c r="W764" s="11" t="s">
        <v>16</v>
      </c>
      <c r="X764" s="11" t="s">
        <v>1546</v>
      </c>
      <c r="Y764">
        <v>835.84800000000007</v>
      </c>
      <c r="AF764">
        <v>835.84800000000007</v>
      </c>
      <c r="AG764" t="s">
        <v>1737</v>
      </c>
    </row>
    <row r="765" spans="1:33" x14ac:dyDescent="0.3">
      <c r="A765" t="s">
        <v>356</v>
      </c>
      <c r="B765" s="2">
        <v>45499</v>
      </c>
      <c r="C765">
        <v>612.56039999999996</v>
      </c>
      <c r="D765" t="s">
        <v>1809</v>
      </c>
      <c r="E765">
        <v>34</v>
      </c>
      <c r="F765" t="s">
        <v>16</v>
      </c>
      <c r="G765" t="s">
        <v>1546</v>
      </c>
      <c r="H765" t="s">
        <v>1742</v>
      </c>
      <c r="L765" s="2">
        <v>45499</v>
      </c>
      <c r="M765">
        <v>612.56039999999996</v>
      </c>
      <c r="R765" t="s">
        <v>1809</v>
      </c>
      <c r="S765">
        <v>612.56039999999996</v>
      </c>
      <c r="W765" s="12" t="s">
        <v>16</v>
      </c>
      <c r="X765" s="12" t="s">
        <v>1546</v>
      </c>
      <c r="Y765">
        <v>612.56039999999996</v>
      </c>
      <c r="AF765">
        <v>612.56039999999996</v>
      </c>
      <c r="AG765" t="s">
        <v>1742</v>
      </c>
    </row>
    <row r="766" spans="1:33" x14ac:dyDescent="0.3">
      <c r="A766" t="s">
        <v>1247</v>
      </c>
      <c r="B766" s="2">
        <v>45745</v>
      </c>
      <c r="C766">
        <v>271.59300000000002</v>
      </c>
      <c r="D766" t="s">
        <v>1807</v>
      </c>
      <c r="E766">
        <v>23</v>
      </c>
      <c r="F766" t="s">
        <v>16</v>
      </c>
      <c r="G766" t="s">
        <v>1549</v>
      </c>
      <c r="H766" t="s">
        <v>1742</v>
      </c>
      <c r="L766" s="2">
        <v>45745</v>
      </c>
      <c r="M766">
        <v>271.59300000000002</v>
      </c>
      <c r="R766" t="s">
        <v>1807</v>
      </c>
      <c r="S766">
        <v>271.59300000000002</v>
      </c>
      <c r="W766" s="11" t="s">
        <v>16</v>
      </c>
      <c r="X766" s="11" t="s">
        <v>1549</v>
      </c>
      <c r="Y766">
        <v>271.59300000000002</v>
      </c>
      <c r="AF766">
        <v>271.59300000000002</v>
      </c>
      <c r="AG766" t="s">
        <v>1742</v>
      </c>
    </row>
    <row r="767" spans="1:33" x14ac:dyDescent="0.3">
      <c r="A767" t="s">
        <v>1451</v>
      </c>
      <c r="B767" s="2">
        <v>45718</v>
      </c>
      <c r="C767">
        <v>573.61920000000009</v>
      </c>
      <c r="D767" t="s">
        <v>1807</v>
      </c>
      <c r="E767">
        <v>41</v>
      </c>
      <c r="F767" t="s">
        <v>16</v>
      </c>
      <c r="G767" t="s">
        <v>1530</v>
      </c>
      <c r="H767" t="s">
        <v>1737</v>
      </c>
      <c r="L767" s="2">
        <v>45718</v>
      </c>
      <c r="M767">
        <v>573.61920000000009</v>
      </c>
      <c r="R767" t="s">
        <v>1807</v>
      </c>
      <c r="S767">
        <v>573.61920000000009</v>
      </c>
      <c r="W767" s="12" t="s">
        <v>16</v>
      </c>
      <c r="X767" s="12" t="s">
        <v>1530</v>
      </c>
      <c r="Y767">
        <v>573.61920000000009</v>
      </c>
      <c r="AF767">
        <v>573.61920000000009</v>
      </c>
      <c r="AG767" t="s">
        <v>1737</v>
      </c>
    </row>
    <row r="768" spans="1:33" x14ac:dyDescent="0.3">
      <c r="A768" t="s">
        <v>929</v>
      </c>
      <c r="B768" s="2">
        <v>45454</v>
      </c>
      <c r="C768">
        <v>1900.2672</v>
      </c>
      <c r="D768" t="s">
        <v>1812</v>
      </c>
      <c r="E768">
        <v>47</v>
      </c>
      <c r="F768" t="s">
        <v>16</v>
      </c>
      <c r="G768" t="s">
        <v>1546</v>
      </c>
      <c r="H768" t="s">
        <v>1767</v>
      </c>
      <c r="L768" s="2">
        <v>45454</v>
      </c>
      <c r="M768">
        <v>1900.2672</v>
      </c>
      <c r="R768" t="s">
        <v>1812</v>
      </c>
      <c r="S768">
        <v>1900.2672</v>
      </c>
      <c r="W768" s="11" t="s">
        <v>16</v>
      </c>
      <c r="X768" s="11" t="s">
        <v>1546</v>
      </c>
      <c r="Y768">
        <v>1900.2672</v>
      </c>
      <c r="AF768">
        <v>1900.2672</v>
      </c>
      <c r="AG768" t="s">
        <v>1767</v>
      </c>
    </row>
    <row r="769" spans="1:33" x14ac:dyDescent="0.3">
      <c r="A769" t="s">
        <v>1340</v>
      </c>
      <c r="B769" s="2">
        <v>45434</v>
      </c>
      <c r="C769">
        <v>654.0489</v>
      </c>
      <c r="D769" t="s">
        <v>1809</v>
      </c>
      <c r="E769">
        <v>59</v>
      </c>
      <c r="F769" t="s">
        <v>16</v>
      </c>
      <c r="G769" t="s">
        <v>1527</v>
      </c>
      <c r="H769" t="s">
        <v>1742</v>
      </c>
      <c r="L769" s="2">
        <v>45434</v>
      </c>
      <c r="M769">
        <v>654.0489</v>
      </c>
      <c r="R769" t="s">
        <v>1809</v>
      </c>
      <c r="S769">
        <v>654.0489</v>
      </c>
      <c r="W769" s="12" t="s">
        <v>16</v>
      </c>
      <c r="X769" s="12" t="s">
        <v>1527</v>
      </c>
      <c r="Y769">
        <v>654.0489</v>
      </c>
      <c r="AF769">
        <v>654.0489</v>
      </c>
      <c r="AG769" t="s">
        <v>1742</v>
      </c>
    </row>
    <row r="770" spans="1:33" x14ac:dyDescent="0.3">
      <c r="A770" t="s">
        <v>577</v>
      </c>
      <c r="B770" s="2">
        <v>45486</v>
      </c>
      <c r="C770">
        <v>230.88040000000001</v>
      </c>
      <c r="D770" t="s">
        <v>1809</v>
      </c>
      <c r="E770">
        <v>55</v>
      </c>
      <c r="F770" t="s">
        <v>9</v>
      </c>
      <c r="G770" t="s">
        <v>1541</v>
      </c>
      <c r="H770" t="s">
        <v>1737</v>
      </c>
      <c r="L770" s="2">
        <v>45486</v>
      </c>
      <c r="M770">
        <v>230.88040000000001</v>
      </c>
      <c r="R770" t="s">
        <v>1809</v>
      </c>
      <c r="S770">
        <v>230.88040000000001</v>
      </c>
      <c r="W770" s="11" t="s">
        <v>9</v>
      </c>
      <c r="X770" s="11" t="s">
        <v>1541</v>
      </c>
      <c r="Y770">
        <v>230.88040000000001</v>
      </c>
      <c r="AF770">
        <v>230.88040000000001</v>
      </c>
      <c r="AG770" t="s">
        <v>1737</v>
      </c>
    </row>
    <row r="771" spans="1:33" x14ac:dyDescent="0.3">
      <c r="A771" t="s">
        <v>365</v>
      </c>
      <c r="B771" s="2">
        <v>45902</v>
      </c>
      <c r="C771">
        <v>629.36520000000007</v>
      </c>
      <c r="D771" t="s">
        <v>1812</v>
      </c>
      <c r="E771">
        <v>50</v>
      </c>
      <c r="F771" t="s">
        <v>16</v>
      </c>
      <c r="G771" t="s">
        <v>1530</v>
      </c>
      <c r="H771" t="s">
        <v>1737</v>
      </c>
      <c r="L771" s="2">
        <v>45902</v>
      </c>
      <c r="M771">
        <v>629.36520000000007</v>
      </c>
      <c r="R771" t="s">
        <v>1812</v>
      </c>
      <c r="S771">
        <v>629.36520000000007</v>
      </c>
      <c r="W771" s="12" t="s">
        <v>16</v>
      </c>
      <c r="X771" s="12" t="s">
        <v>1530</v>
      </c>
      <c r="Y771">
        <v>629.36520000000007</v>
      </c>
      <c r="AF771">
        <v>629.36520000000007</v>
      </c>
      <c r="AG771" t="s">
        <v>1737</v>
      </c>
    </row>
    <row r="772" spans="1:33" x14ac:dyDescent="0.3">
      <c r="A772" t="s">
        <v>253</v>
      </c>
      <c r="B772" s="2">
        <v>45762</v>
      </c>
      <c r="C772">
        <v>2148.8544000000002</v>
      </c>
      <c r="D772" t="s">
        <v>1807</v>
      </c>
      <c r="E772">
        <v>29</v>
      </c>
      <c r="F772" t="s">
        <v>16</v>
      </c>
      <c r="G772" t="s">
        <v>1530</v>
      </c>
      <c r="H772" t="s">
        <v>1742</v>
      </c>
      <c r="L772" s="2">
        <v>45762</v>
      </c>
      <c r="M772">
        <v>2148.8544000000002</v>
      </c>
      <c r="R772" t="s">
        <v>1807</v>
      </c>
      <c r="S772">
        <v>2148.8544000000002</v>
      </c>
      <c r="W772" s="11" t="s">
        <v>16</v>
      </c>
      <c r="X772" s="11" t="s">
        <v>1530</v>
      </c>
      <c r="Y772">
        <v>2148.8544000000002</v>
      </c>
      <c r="AF772">
        <v>2148.8544000000002</v>
      </c>
      <c r="AG772" t="s">
        <v>1742</v>
      </c>
    </row>
    <row r="773" spans="1:33" x14ac:dyDescent="0.3">
      <c r="A773" t="s">
        <v>786</v>
      </c>
      <c r="B773" s="2">
        <v>45752</v>
      </c>
      <c r="C773">
        <v>629.96500000000003</v>
      </c>
      <c r="D773" t="s">
        <v>1807</v>
      </c>
      <c r="E773">
        <v>19</v>
      </c>
      <c r="F773" t="s">
        <v>9</v>
      </c>
      <c r="G773" t="s">
        <v>1527</v>
      </c>
      <c r="H773" t="s">
        <v>1746</v>
      </c>
      <c r="L773" s="2">
        <v>45752</v>
      </c>
      <c r="M773">
        <v>629.96500000000003</v>
      </c>
      <c r="R773" t="s">
        <v>1807</v>
      </c>
      <c r="S773">
        <v>629.96500000000003</v>
      </c>
      <c r="W773" s="12" t="s">
        <v>9</v>
      </c>
      <c r="X773" s="12" t="s">
        <v>1527</v>
      </c>
      <c r="Y773">
        <v>629.96500000000003</v>
      </c>
      <c r="AF773">
        <v>629.96500000000003</v>
      </c>
      <c r="AG773" t="s">
        <v>1746</v>
      </c>
    </row>
    <row r="774" spans="1:33" x14ac:dyDescent="0.3">
      <c r="A774" t="s">
        <v>1087</v>
      </c>
      <c r="B774" s="2">
        <v>45254</v>
      </c>
      <c r="C774">
        <v>624.49519999999995</v>
      </c>
      <c r="D774" t="s">
        <v>1812</v>
      </c>
      <c r="E774">
        <v>25</v>
      </c>
      <c r="F774" t="s">
        <v>16</v>
      </c>
      <c r="G774" t="s">
        <v>1527</v>
      </c>
      <c r="H774" t="s">
        <v>1742</v>
      </c>
      <c r="L774" s="2">
        <v>45254</v>
      </c>
      <c r="M774">
        <v>624.49519999999995</v>
      </c>
      <c r="R774" t="s">
        <v>1812</v>
      </c>
      <c r="S774">
        <v>624.49519999999995</v>
      </c>
      <c r="W774" s="11" t="s">
        <v>16</v>
      </c>
      <c r="X774" s="11" t="s">
        <v>1527</v>
      </c>
      <c r="Y774">
        <v>624.49519999999995</v>
      </c>
      <c r="AF774">
        <v>624.49519999999995</v>
      </c>
      <c r="AG774" t="s">
        <v>1742</v>
      </c>
    </row>
    <row r="775" spans="1:33" x14ac:dyDescent="0.3">
      <c r="A775" t="s">
        <v>186</v>
      </c>
      <c r="B775" s="2">
        <v>45683</v>
      </c>
      <c r="C775">
        <v>1383.2583999999999</v>
      </c>
      <c r="D775" t="s">
        <v>1809</v>
      </c>
      <c r="E775">
        <v>61</v>
      </c>
      <c r="F775" t="s">
        <v>16</v>
      </c>
      <c r="G775" t="s">
        <v>1546</v>
      </c>
      <c r="H775" t="s">
        <v>1746</v>
      </c>
      <c r="L775" s="2">
        <v>45683</v>
      </c>
      <c r="M775">
        <v>1383.2583999999999</v>
      </c>
      <c r="R775" t="s">
        <v>1809</v>
      </c>
      <c r="S775">
        <v>1383.2583999999999</v>
      </c>
      <c r="W775" s="12" t="s">
        <v>16</v>
      </c>
      <c r="X775" s="12" t="s">
        <v>1546</v>
      </c>
      <c r="Y775">
        <v>1383.2583999999999</v>
      </c>
      <c r="AF775">
        <v>1383.2583999999999</v>
      </c>
      <c r="AG775" t="s">
        <v>1746</v>
      </c>
    </row>
    <row r="776" spans="1:33" x14ac:dyDescent="0.3">
      <c r="A776" t="s">
        <v>1256</v>
      </c>
      <c r="B776" s="2">
        <v>45804</v>
      </c>
      <c r="C776">
        <v>2081.9225999999999</v>
      </c>
      <c r="D776" t="s">
        <v>1812</v>
      </c>
      <c r="E776">
        <v>55</v>
      </c>
      <c r="F776" t="s">
        <v>9</v>
      </c>
      <c r="G776" t="s">
        <v>1527</v>
      </c>
      <c r="H776" t="s">
        <v>1742</v>
      </c>
      <c r="L776" s="2">
        <v>45804</v>
      </c>
      <c r="M776">
        <v>2081.9225999999999</v>
      </c>
      <c r="R776" t="s">
        <v>1812</v>
      </c>
      <c r="S776">
        <v>2081.9225999999999</v>
      </c>
      <c r="W776" s="11" t="s">
        <v>9</v>
      </c>
      <c r="X776" s="11" t="s">
        <v>1527</v>
      </c>
      <c r="Y776">
        <v>2081.9225999999999</v>
      </c>
      <c r="AF776">
        <v>2081.9225999999999</v>
      </c>
      <c r="AG776" t="s">
        <v>1742</v>
      </c>
    </row>
    <row r="777" spans="1:33" x14ac:dyDescent="0.3">
      <c r="A777" t="s">
        <v>555</v>
      </c>
      <c r="B777" s="2">
        <v>45821</v>
      </c>
      <c r="C777">
        <v>251.04419999999999</v>
      </c>
      <c r="D777" t="s">
        <v>1812</v>
      </c>
      <c r="E777">
        <v>64</v>
      </c>
      <c r="F777" t="s">
        <v>9</v>
      </c>
      <c r="G777" t="s">
        <v>1541</v>
      </c>
      <c r="H777" t="s">
        <v>1742</v>
      </c>
      <c r="L777" s="2">
        <v>45821</v>
      </c>
      <c r="M777">
        <v>251.04419999999999</v>
      </c>
      <c r="R777" t="s">
        <v>1812</v>
      </c>
      <c r="S777">
        <v>251.04419999999999</v>
      </c>
      <c r="W777" s="12" t="s">
        <v>9</v>
      </c>
      <c r="X777" s="12" t="s">
        <v>1541</v>
      </c>
      <c r="Y777">
        <v>251.04419999999999</v>
      </c>
      <c r="AF777">
        <v>251.04419999999999</v>
      </c>
      <c r="AG777" t="s">
        <v>1742</v>
      </c>
    </row>
    <row r="778" spans="1:33" x14ac:dyDescent="0.3">
      <c r="A778" t="s">
        <v>768</v>
      </c>
      <c r="B778" s="2">
        <v>45472</v>
      </c>
      <c r="C778">
        <v>1936.7025000000001</v>
      </c>
      <c r="D778" t="s">
        <v>1812</v>
      </c>
      <c r="E778">
        <v>58</v>
      </c>
      <c r="F778" t="s">
        <v>16</v>
      </c>
      <c r="G778" t="s">
        <v>1549</v>
      </c>
      <c r="H778" t="s">
        <v>1746</v>
      </c>
      <c r="L778" s="2">
        <v>45472</v>
      </c>
      <c r="M778">
        <v>1936.7025000000001</v>
      </c>
      <c r="R778" t="s">
        <v>1812</v>
      </c>
      <c r="S778">
        <v>1936.7025000000001</v>
      </c>
      <c r="W778" s="11" t="s">
        <v>16</v>
      </c>
      <c r="X778" s="11" t="s">
        <v>1549</v>
      </c>
      <c r="Y778">
        <v>1936.7025000000001</v>
      </c>
      <c r="AF778">
        <v>1936.7025000000001</v>
      </c>
      <c r="AG778" t="s">
        <v>1746</v>
      </c>
    </row>
    <row r="779" spans="1:33" x14ac:dyDescent="0.3">
      <c r="A779" t="s">
        <v>1124</v>
      </c>
      <c r="B779" s="2">
        <v>45331</v>
      </c>
      <c r="C779">
        <v>363.09980000000002</v>
      </c>
      <c r="D779" t="s">
        <v>1812</v>
      </c>
      <c r="E779">
        <v>58</v>
      </c>
      <c r="F779" t="s">
        <v>9</v>
      </c>
      <c r="G779" t="s">
        <v>1530</v>
      </c>
      <c r="H779" t="s">
        <v>1742</v>
      </c>
      <c r="L779" s="2">
        <v>45331</v>
      </c>
      <c r="M779">
        <v>363.09980000000002</v>
      </c>
      <c r="R779" t="s">
        <v>1812</v>
      </c>
      <c r="S779">
        <v>363.09980000000002</v>
      </c>
      <c r="W779" s="12" t="s">
        <v>9</v>
      </c>
      <c r="X779" s="12" t="s">
        <v>1530</v>
      </c>
      <c r="Y779">
        <v>363.09980000000002</v>
      </c>
      <c r="AF779">
        <v>363.09980000000002</v>
      </c>
      <c r="AG779" t="s">
        <v>1742</v>
      </c>
    </row>
    <row r="780" spans="1:33" x14ac:dyDescent="0.3">
      <c r="A780" t="s">
        <v>147</v>
      </c>
      <c r="B780" s="2">
        <v>45451</v>
      </c>
      <c r="C780">
        <v>1247.4552000000001</v>
      </c>
      <c r="D780" t="s">
        <v>1809</v>
      </c>
      <c r="E780">
        <v>35</v>
      </c>
      <c r="F780" t="s">
        <v>16</v>
      </c>
      <c r="G780" t="s">
        <v>1527</v>
      </c>
      <c r="H780" t="s">
        <v>1742</v>
      </c>
      <c r="L780" s="2">
        <v>45451</v>
      </c>
      <c r="M780">
        <v>1247.4552000000001</v>
      </c>
      <c r="R780" t="s">
        <v>1809</v>
      </c>
      <c r="S780">
        <v>1247.4552000000001</v>
      </c>
      <c r="W780" s="11" t="s">
        <v>16</v>
      </c>
      <c r="X780" s="11" t="s">
        <v>1527</v>
      </c>
      <c r="Y780">
        <v>1247.4552000000001</v>
      </c>
      <c r="AF780">
        <v>1247.4552000000001</v>
      </c>
      <c r="AG780" t="s">
        <v>1742</v>
      </c>
    </row>
    <row r="781" spans="1:33" x14ac:dyDescent="0.3">
      <c r="A781" t="s">
        <v>762</v>
      </c>
      <c r="B781" s="2">
        <v>45386</v>
      </c>
      <c r="C781">
        <v>1228.8078</v>
      </c>
      <c r="D781" t="s">
        <v>1807</v>
      </c>
      <c r="E781">
        <v>59</v>
      </c>
      <c r="F781" t="s">
        <v>16</v>
      </c>
      <c r="G781" t="s">
        <v>1527</v>
      </c>
      <c r="H781" t="s">
        <v>1742</v>
      </c>
      <c r="L781" s="2">
        <v>45386</v>
      </c>
      <c r="M781">
        <v>1228.8078</v>
      </c>
      <c r="R781" t="s">
        <v>1807</v>
      </c>
      <c r="S781">
        <v>1228.8078</v>
      </c>
      <c r="W781" s="12" t="s">
        <v>16</v>
      </c>
      <c r="X781" s="12" t="s">
        <v>1527</v>
      </c>
      <c r="Y781">
        <v>1228.8078</v>
      </c>
      <c r="AF781">
        <v>1228.8078</v>
      </c>
      <c r="AG781" t="s">
        <v>1742</v>
      </c>
    </row>
    <row r="782" spans="1:33" x14ac:dyDescent="0.3">
      <c r="A782" t="s">
        <v>1508</v>
      </c>
      <c r="B782" s="2">
        <v>45477</v>
      </c>
      <c r="C782">
        <v>261.58</v>
      </c>
      <c r="D782" t="s">
        <v>1809</v>
      </c>
      <c r="E782">
        <v>47</v>
      </c>
      <c r="F782" t="s">
        <v>16</v>
      </c>
      <c r="G782" t="s">
        <v>1541</v>
      </c>
      <c r="H782" t="s">
        <v>1742</v>
      </c>
      <c r="L782" s="2">
        <v>45477</v>
      </c>
      <c r="M782">
        <v>261.58</v>
      </c>
      <c r="R782" t="s">
        <v>1809</v>
      </c>
      <c r="S782">
        <v>261.58</v>
      </c>
      <c r="W782" s="11" t="s">
        <v>16</v>
      </c>
      <c r="X782" s="11" t="s">
        <v>1541</v>
      </c>
      <c r="Y782">
        <v>261.58</v>
      </c>
      <c r="AF782">
        <v>261.58</v>
      </c>
      <c r="AG782" t="s">
        <v>1742</v>
      </c>
    </row>
    <row r="783" spans="1:33" x14ac:dyDescent="0.3">
      <c r="A783" t="s">
        <v>1505</v>
      </c>
      <c r="B783" s="2">
        <v>45433</v>
      </c>
      <c r="C783">
        <v>368.83280000000002</v>
      </c>
      <c r="D783" t="s">
        <v>1807</v>
      </c>
      <c r="E783">
        <v>56</v>
      </c>
      <c r="F783" t="s">
        <v>9</v>
      </c>
      <c r="G783" t="s">
        <v>1546</v>
      </c>
      <c r="H783" t="s">
        <v>1742</v>
      </c>
      <c r="L783" s="2">
        <v>45433</v>
      </c>
      <c r="M783">
        <v>368.83280000000002</v>
      </c>
      <c r="R783" t="s">
        <v>1807</v>
      </c>
      <c r="S783">
        <v>368.83280000000002</v>
      </c>
      <c r="W783" s="12" t="s">
        <v>9</v>
      </c>
      <c r="X783" s="12" t="s">
        <v>1546</v>
      </c>
      <c r="Y783">
        <v>368.83280000000002</v>
      </c>
      <c r="AF783">
        <v>368.83280000000002</v>
      </c>
      <c r="AG783" t="s">
        <v>1742</v>
      </c>
    </row>
    <row r="784" spans="1:33" x14ac:dyDescent="0.3">
      <c r="A784" t="s">
        <v>1279</v>
      </c>
      <c r="B784" s="2">
        <v>45759</v>
      </c>
      <c r="C784">
        <v>312.67360000000002</v>
      </c>
      <c r="D784" t="s">
        <v>1812</v>
      </c>
      <c r="E784">
        <v>64</v>
      </c>
      <c r="F784" t="s">
        <v>16</v>
      </c>
      <c r="G784" t="s">
        <v>1546</v>
      </c>
      <c r="H784" t="s">
        <v>1746</v>
      </c>
      <c r="L784" s="2">
        <v>45759</v>
      </c>
      <c r="M784">
        <v>312.67360000000002</v>
      </c>
      <c r="R784" t="s">
        <v>1812</v>
      </c>
      <c r="S784">
        <v>312.67360000000002</v>
      </c>
      <c r="W784" s="11" t="s">
        <v>16</v>
      </c>
      <c r="X784" s="11" t="s">
        <v>1546</v>
      </c>
      <c r="Y784">
        <v>312.67360000000002</v>
      </c>
      <c r="AF784">
        <v>312.67360000000002</v>
      </c>
      <c r="AG784" t="s">
        <v>1746</v>
      </c>
    </row>
    <row r="785" spans="1:33" x14ac:dyDescent="0.3">
      <c r="A785" t="s">
        <v>1446</v>
      </c>
      <c r="B785" s="2">
        <v>45794</v>
      </c>
      <c r="C785">
        <v>846.98459999999989</v>
      </c>
      <c r="D785" t="s">
        <v>1812</v>
      </c>
      <c r="E785">
        <v>18</v>
      </c>
      <c r="F785" t="s">
        <v>16</v>
      </c>
      <c r="G785" t="s">
        <v>1527</v>
      </c>
      <c r="H785" t="s">
        <v>1742</v>
      </c>
      <c r="L785" s="2">
        <v>45794</v>
      </c>
      <c r="M785">
        <v>846.98459999999989</v>
      </c>
      <c r="R785" t="s">
        <v>1812</v>
      </c>
      <c r="S785">
        <v>846.98459999999989</v>
      </c>
      <c r="W785" s="12" t="s">
        <v>16</v>
      </c>
      <c r="X785" s="12" t="s">
        <v>1527</v>
      </c>
      <c r="Y785">
        <v>846.98459999999989</v>
      </c>
      <c r="AF785">
        <v>846.98459999999989</v>
      </c>
      <c r="AG785" t="s">
        <v>1742</v>
      </c>
    </row>
    <row r="786" spans="1:33" x14ac:dyDescent="0.3">
      <c r="A786" t="s">
        <v>1166</v>
      </c>
      <c r="B786" s="2">
        <v>45764</v>
      </c>
      <c r="C786">
        <v>823.27499999999998</v>
      </c>
      <c r="D786" t="s">
        <v>1812</v>
      </c>
      <c r="E786">
        <v>44</v>
      </c>
      <c r="F786" t="s">
        <v>16</v>
      </c>
      <c r="G786" t="s">
        <v>1527</v>
      </c>
      <c r="H786" t="s">
        <v>1742</v>
      </c>
      <c r="L786" s="2">
        <v>45764</v>
      </c>
      <c r="M786">
        <v>823.27499999999998</v>
      </c>
      <c r="R786" t="s">
        <v>1812</v>
      </c>
      <c r="S786">
        <v>823.27499999999998</v>
      </c>
      <c r="W786" s="11" t="s">
        <v>16</v>
      </c>
      <c r="X786" s="11" t="s">
        <v>1527</v>
      </c>
      <c r="Y786">
        <v>823.27499999999998</v>
      </c>
      <c r="AF786">
        <v>823.27499999999998</v>
      </c>
      <c r="AG786" t="s">
        <v>1742</v>
      </c>
    </row>
    <row r="787" spans="1:33" x14ac:dyDescent="0.3">
      <c r="A787" t="s">
        <v>186</v>
      </c>
      <c r="B787" s="2">
        <v>45279</v>
      </c>
      <c r="C787">
        <v>1646.3879999999999</v>
      </c>
      <c r="D787" t="s">
        <v>1807</v>
      </c>
      <c r="E787">
        <v>61</v>
      </c>
      <c r="F787" t="s">
        <v>16</v>
      </c>
      <c r="G787" t="s">
        <v>1549</v>
      </c>
      <c r="H787" t="s">
        <v>1742</v>
      </c>
      <c r="L787" s="2">
        <v>45279</v>
      </c>
      <c r="M787">
        <v>1646.3879999999999</v>
      </c>
      <c r="R787" t="s">
        <v>1807</v>
      </c>
      <c r="S787">
        <v>1646.3879999999999</v>
      </c>
      <c r="W787" s="12" t="s">
        <v>16</v>
      </c>
      <c r="X787" s="12" t="s">
        <v>1549</v>
      </c>
      <c r="Y787">
        <v>1646.3879999999999</v>
      </c>
      <c r="AF787">
        <v>1646.3879999999999</v>
      </c>
      <c r="AG787" t="s">
        <v>1742</v>
      </c>
    </row>
    <row r="788" spans="1:33" x14ac:dyDescent="0.3">
      <c r="A788" t="s">
        <v>918</v>
      </c>
      <c r="B788" s="2">
        <v>45602</v>
      </c>
      <c r="C788">
        <v>1759.9428</v>
      </c>
      <c r="D788" t="s">
        <v>1809</v>
      </c>
      <c r="E788">
        <v>56</v>
      </c>
      <c r="F788" t="s">
        <v>16</v>
      </c>
      <c r="G788" t="s">
        <v>1527</v>
      </c>
      <c r="H788" t="s">
        <v>1742</v>
      </c>
      <c r="L788" s="2">
        <v>45602</v>
      </c>
      <c r="M788">
        <v>1759.9428</v>
      </c>
      <c r="R788" t="s">
        <v>1809</v>
      </c>
      <c r="S788">
        <v>1759.9428</v>
      </c>
      <c r="W788" s="11" t="s">
        <v>16</v>
      </c>
      <c r="X788" s="11" t="s">
        <v>1527</v>
      </c>
      <c r="Y788">
        <v>1759.9428</v>
      </c>
      <c r="AF788">
        <v>1759.9428</v>
      </c>
      <c r="AG788" t="s">
        <v>1742</v>
      </c>
    </row>
    <row r="789" spans="1:33" x14ac:dyDescent="0.3">
      <c r="A789" t="s">
        <v>580</v>
      </c>
      <c r="B789" s="2">
        <v>45793</v>
      </c>
      <c r="C789">
        <v>427.58760000000001</v>
      </c>
      <c r="D789" t="s">
        <v>1807</v>
      </c>
      <c r="E789">
        <v>33</v>
      </c>
      <c r="F789" t="s">
        <v>16</v>
      </c>
      <c r="G789" t="s">
        <v>1530</v>
      </c>
      <c r="H789" t="s">
        <v>1742</v>
      </c>
      <c r="L789" s="2">
        <v>45793</v>
      </c>
      <c r="M789">
        <v>427.58760000000001</v>
      </c>
      <c r="R789" t="s">
        <v>1807</v>
      </c>
      <c r="S789">
        <v>427.58760000000001</v>
      </c>
      <c r="W789" s="12" t="s">
        <v>16</v>
      </c>
      <c r="X789" s="12" t="s">
        <v>1530</v>
      </c>
      <c r="Y789">
        <v>427.58760000000001</v>
      </c>
      <c r="AF789">
        <v>427.58760000000001</v>
      </c>
      <c r="AG789" t="s">
        <v>1742</v>
      </c>
    </row>
    <row r="790" spans="1:33" x14ac:dyDescent="0.3">
      <c r="A790" t="s">
        <v>1449</v>
      </c>
      <c r="B790" s="2">
        <v>45778</v>
      </c>
      <c r="C790">
        <v>2168.64</v>
      </c>
      <c r="D790" t="s">
        <v>1812</v>
      </c>
      <c r="E790">
        <v>33</v>
      </c>
      <c r="F790" t="s">
        <v>16</v>
      </c>
      <c r="G790" t="s">
        <v>1549</v>
      </c>
      <c r="H790" t="s">
        <v>1746</v>
      </c>
      <c r="L790" s="2">
        <v>45778</v>
      </c>
      <c r="M790">
        <v>2168.64</v>
      </c>
      <c r="R790" t="s">
        <v>1812</v>
      </c>
      <c r="S790">
        <v>2168.64</v>
      </c>
      <c r="W790" s="11" t="s">
        <v>16</v>
      </c>
      <c r="X790" s="11" t="s">
        <v>1549</v>
      </c>
      <c r="Y790">
        <v>2168.64</v>
      </c>
      <c r="AF790">
        <v>2168.64</v>
      </c>
      <c r="AG790" t="s">
        <v>1746</v>
      </c>
    </row>
    <row r="791" spans="1:33" x14ac:dyDescent="0.3">
      <c r="A791" t="s">
        <v>1145</v>
      </c>
      <c r="B791" s="2">
        <v>45325</v>
      </c>
      <c r="C791">
        <v>1245.1189999999999</v>
      </c>
      <c r="D791" t="s">
        <v>1807</v>
      </c>
      <c r="E791">
        <v>21</v>
      </c>
      <c r="F791" t="s">
        <v>16</v>
      </c>
      <c r="G791" t="s">
        <v>1541</v>
      </c>
      <c r="H791" t="s">
        <v>1742</v>
      </c>
      <c r="L791" s="2">
        <v>45325</v>
      </c>
      <c r="M791">
        <v>1245.1189999999999</v>
      </c>
      <c r="R791" t="s">
        <v>1807</v>
      </c>
      <c r="S791">
        <v>1245.1189999999999</v>
      </c>
      <c r="W791" s="12" t="s">
        <v>16</v>
      </c>
      <c r="X791" s="12" t="s">
        <v>1541</v>
      </c>
      <c r="Y791">
        <v>1245.1189999999999</v>
      </c>
      <c r="AF791">
        <v>1245.1189999999999</v>
      </c>
      <c r="AG791" t="s">
        <v>1742</v>
      </c>
    </row>
    <row r="792" spans="1:33" x14ac:dyDescent="0.3">
      <c r="A792" t="s">
        <v>1410</v>
      </c>
      <c r="B792" s="2">
        <v>45875</v>
      </c>
      <c r="C792">
        <v>1146.0820000000001</v>
      </c>
      <c r="D792" t="s">
        <v>1807</v>
      </c>
      <c r="E792">
        <v>36</v>
      </c>
      <c r="F792" t="s">
        <v>16</v>
      </c>
      <c r="G792" t="s">
        <v>1549</v>
      </c>
      <c r="H792" t="s">
        <v>1742</v>
      </c>
      <c r="L792" s="2">
        <v>45875</v>
      </c>
      <c r="M792">
        <v>1146.0820000000001</v>
      </c>
      <c r="R792" t="s">
        <v>1807</v>
      </c>
      <c r="S792">
        <v>1146.0820000000001</v>
      </c>
      <c r="W792" s="11" t="s">
        <v>16</v>
      </c>
      <c r="X792" s="11" t="s">
        <v>1549</v>
      </c>
      <c r="Y792">
        <v>1146.0820000000001</v>
      </c>
      <c r="AF792">
        <v>1146.0820000000001</v>
      </c>
      <c r="AG792" t="s">
        <v>1742</v>
      </c>
    </row>
    <row r="793" spans="1:33" x14ac:dyDescent="0.3">
      <c r="A793" t="s">
        <v>454</v>
      </c>
      <c r="B793" s="2">
        <v>45320</v>
      </c>
      <c r="C793">
        <v>868.45639999999992</v>
      </c>
      <c r="D793" t="s">
        <v>1809</v>
      </c>
      <c r="E793">
        <v>33</v>
      </c>
      <c r="F793" t="s">
        <v>16</v>
      </c>
      <c r="G793" t="s">
        <v>1527</v>
      </c>
      <c r="H793" t="s">
        <v>1742</v>
      </c>
      <c r="L793" s="2">
        <v>45320</v>
      </c>
      <c r="M793">
        <v>868.45639999999992</v>
      </c>
      <c r="R793" t="s">
        <v>1809</v>
      </c>
      <c r="S793">
        <v>868.45639999999992</v>
      </c>
      <c r="W793" s="12" t="s">
        <v>16</v>
      </c>
      <c r="X793" s="12" t="s">
        <v>1527</v>
      </c>
      <c r="Y793">
        <v>868.45639999999992</v>
      </c>
      <c r="AF793">
        <v>868.45639999999992</v>
      </c>
      <c r="AG793" t="s">
        <v>1742</v>
      </c>
    </row>
    <row r="794" spans="1:33" x14ac:dyDescent="0.3">
      <c r="A794" t="s">
        <v>1428</v>
      </c>
      <c r="B794" s="2">
        <v>45870</v>
      </c>
      <c r="C794">
        <v>501.91680000000002</v>
      </c>
      <c r="D794" t="s">
        <v>1812</v>
      </c>
      <c r="E794">
        <v>19</v>
      </c>
      <c r="F794" t="s">
        <v>9</v>
      </c>
      <c r="G794" t="s">
        <v>1549</v>
      </c>
      <c r="H794" t="s">
        <v>1742</v>
      </c>
      <c r="L794" s="2">
        <v>45870</v>
      </c>
      <c r="M794">
        <v>501.91680000000002</v>
      </c>
      <c r="R794" t="s">
        <v>1812</v>
      </c>
      <c r="S794">
        <v>501.91680000000002</v>
      </c>
      <c r="W794" s="11" t="s">
        <v>9</v>
      </c>
      <c r="X794" s="11" t="s">
        <v>1549</v>
      </c>
      <c r="Y794">
        <v>501.91680000000002</v>
      </c>
      <c r="AF794">
        <v>501.91680000000002</v>
      </c>
      <c r="AG794" t="s">
        <v>1742</v>
      </c>
    </row>
    <row r="795" spans="1:33" x14ac:dyDescent="0.3">
      <c r="A795" t="s">
        <v>673</v>
      </c>
      <c r="B795" s="2">
        <v>45577</v>
      </c>
      <c r="C795">
        <v>927.92699999999991</v>
      </c>
      <c r="D795" t="s">
        <v>1812</v>
      </c>
      <c r="E795">
        <v>50</v>
      </c>
      <c r="F795" t="s">
        <v>16</v>
      </c>
      <c r="G795" t="s">
        <v>1549</v>
      </c>
      <c r="H795" t="s">
        <v>1742</v>
      </c>
      <c r="L795" s="2">
        <v>45577</v>
      </c>
      <c r="M795">
        <v>927.92699999999991</v>
      </c>
      <c r="R795" t="s">
        <v>1812</v>
      </c>
      <c r="S795">
        <v>927.92699999999991</v>
      </c>
      <c r="W795" s="12" t="s">
        <v>16</v>
      </c>
      <c r="X795" s="12" t="s">
        <v>1549</v>
      </c>
      <c r="Y795">
        <v>927.92699999999991</v>
      </c>
      <c r="AF795">
        <v>927.92699999999991</v>
      </c>
      <c r="AG795" t="s">
        <v>1742</v>
      </c>
    </row>
    <row r="796" spans="1:33" x14ac:dyDescent="0.3">
      <c r="A796" t="s">
        <v>543</v>
      </c>
      <c r="B796" s="2">
        <v>45745</v>
      </c>
      <c r="C796">
        <v>2310.0987</v>
      </c>
      <c r="D796" t="s">
        <v>1812</v>
      </c>
      <c r="E796">
        <v>47</v>
      </c>
      <c r="F796" t="s">
        <v>16</v>
      </c>
      <c r="G796" t="s">
        <v>1546</v>
      </c>
      <c r="H796" t="s">
        <v>1737</v>
      </c>
      <c r="L796" s="2">
        <v>45745</v>
      </c>
      <c r="M796">
        <v>2310.0987</v>
      </c>
      <c r="R796" t="s">
        <v>1812</v>
      </c>
      <c r="S796">
        <v>2310.0987</v>
      </c>
      <c r="W796" s="11" t="s">
        <v>16</v>
      </c>
      <c r="X796" s="11" t="s">
        <v>1546</v>
      </c>
      <c r="Y796">
        <v>2310.0987</v>
      </c>
      <c r="AF796">
        <v>2310.0987</v>
      </c>
      <c r="AG796" t="s">
        <v>1737</v>
      </c>
    </row>
    <row r="797" spans="1:33" x14ac:dyDescent="0.3">
      <c r="A797" t="s">
        <v>1016</v>
      </c>
      <c r="B797" s="2">
        <v>45772</v>
      </c>
      <c r="C797">
        <v>359.7783</v>
      </c>
      <c r="D797" t="s">
        <v>1807</v>
      </c>
      <c r="E797">
        <v>62</v>
      </c>
      <c r="F797" t="s">
        <v>16</v>
      </c>
      <c r="G797" t="s">
        <v>1530</v>
      </c>
      <c r="H797" t="s">
        <v>1767</v>
      </c>
      <c r="L797" s="2">
        <v>45772</v>
      </c>
      <c r="M797">
        <v>359.7783</v>
      </c>
      <c r="R797" t="s">
        <v>1807</v>
      </c>
      <c r="S797">
        <v>359.7783</v>
      </c>
      <c r="W797" s="12" t="s">
        <v>16</v>
      </c>
      <c r="X797" s="12" t="s">
        <v>1530</v>
      </c>
      <c r="Y797">
        <v>359.7783</v>
      </c>
      <c r="AF797">
        <v>359.7783</v>
      </c>
      <c r="AG797" t="s">
        <v>1767</v>
      </c>
    </row>
    <row r="798" spans="1:33" x14ac:dyDescent="0.3">
      <c r="A798" t="s">
        <v>196</v>
      </c>
      <c r="B798" s="2">
        <v>45299</v>
      </c>
      <c r="C798">
        <v>355.5342</v>
      </c>
      <c r="D798" t="s">
        <v>1812</v>
      </c>
      <c r="E798">
        <v>37</v>
      </c>
      <c r="F798" t="s">
        <v>16</v>
      </c>
      <c r="G798" t="s">
        <v>1546</v>
      </c>
      <c r="H798" t="s">
        <v>1742</v>
      </c>
      <c r="L798" s="2">
        <v>45299</v>
      </c>
      <c r="M798">
        <v>355.5342</v>
      </c>
      <c r="R798" t="s">
        <v>1812</v>
      </c>
      <c r="S798">
        <v>355.5342</v>
      </c>
      <c r="W798" s="11" t="s">
        <v>16</v>
      </c>
      <c r="X798" s="11" t="s">
        <v>1546</v>
      </c>
      <c r="Y798">
        <v>355.5342</v>
      </c>
      <c r="AF798">
        <v>355.5342</v>
      </c>
      <c r="AG798" t="s">
        <v>1742</v>
      </c>
    </row>
    <row r="799" spans="1:33" x14ac:dyDescent="0.3">
      <c r="A799" t="s">
        <v>383</v>
      </c>
      <c r="B799" s="2">
        <v>45447</v>
      </c>
      <c r="C799">
        <v>480.75359999999989</v>
      </c>
      <c r="D799" t="s">
        <v>1812</v>
      </c>
      <c r="E799">
        <v>18</v>
      </c>
      <c r="F799" t="s">
        <v>16</v>
      </c>
      <c r="G799" t="s">
        <v>1527</v>
      </c>
      <c r="H799" t="s">
        <v>1742</v>
      </c>
      <c r="L799" s="2">
        <v>45447</v>
      </c>
      <c r="M799">
        <v>480.75359999999989</v>
      </c>
      <c r="R799" t="s">
        <v>1812</v>
      </c>
      <c r="S799">
        <v>480.75359999999989</v>
      </c>
      <c r="W799" s="12" t="s">
        <v>16</v>
      </c>
      <c r="X799" s="12" t="s">
        <v>1527</v>
      </c>
      <c r="Y799">
        <v>480.75359999999989</v>
      </c>
      <c r="AF799">
        <v>480.75359999999989</v>
      </c>
      <c r="AG799" t="s">
        <v>1742</v>
      </c>
    </row>
    <row r="800" spans="1:33" x14ac:dyDescent="0.3">
      <c r="A800" t="s">
        <v>343</v>
      </c>
      <c r="B800" s="2">
        <v>45717</v>
      </c>
      <c r="C800">
        <v>347.25360000000012</v>
      </c>
      <c r="D800" t="s">
        <v>1809</v>
      </c>
      <c r="E800">
        <v>24</v>
      </c>
      <c r="F800" t="s">
        <v>9</v>
      </c>
      <c r="G800" t="s">
        <v>1530</v>
      </c>
      <c r="H800" t="s">
        <v>1746</v>
      </c>
      <c r="L800" s="2">
        <v>45717</v>
      </c>
      <c r="M800">
        <v>347.25360000000012</v>
      </c>
      <c r="R800" t="s">
        <v>1809</v>
      </c>
      <c r="S800">
        <v>347.25360000000012</v>
      </c>
      <c r="W800" s="11" t="s">
        <v>9</v>
      </c>
      <c r="X800" s="11" t="s">
        <v>1530</v>
      </c>
      <c r="Y800">
        <v>347.25360000000012</v>
      </c>
      <c r="AF800">
        <v>347.25360000000012</v>
      </c>
      <c r="AG800" t="s">
        <v>1746</v>
      </c>
    </row>
    <row r="801" spans="1:33" x14ac:dyDescent="0.3">
      <c r="A801" t="s">
        <v>750</v>
      </c>
      <c r="B801" s="2">
        <v>45213</v>
      </c>
      <c r="C801">
        <v>84.852000000000004</v>
      </c>
      <c r="D801" t="s">
        <v>1807</v>
      </c>
      <c r="E801">
        <v>42</v>
      </c>
      <c r="F801" t="s">
        <v>16</v>
      </c>
      <c r="G801" t="s">
        <v>1527</v>
      </c>
      <c r="H801" t="s">
        <v>1742</v>
      </c>
      <c r="L801" s="2">
        <v>45213</v>
      </c>
      <c r="M801">
        <v>84.852000000000004</v>
      </c>
      <c r="R801" t="s">
        <v>1807</v>
      </c>
      <c r="S801">
        <v>84.852000000000004</v>
      </c>
      <c r="W801" s="12" t="s">
        <v>16</v>
      </c>
      <c r="X801" s="12" t="s">
        <v>1527</v>
      </c>
      <c r="Y801">
        <v>84.852000000000004</v>
      </c>
      <c r="AF801">
        <v>84.852000000000004</v>
      </c>
      <c r="AG801" t="s">
        <v>1742</v>
      </c>
    </row>
    <row r="802" spans="1:33" x14ac:dyDescent="0.3">
      <c r="A802" t="s">
        <v>1178</v>
      </c>
      <c r="B802" s="2">
        <v>45837</v>
      </c>
      <c r="C802">
        <v>1715.8679999999999</v>
      </c>
      <c r="D802" t="s">
        <v>1812</v>
      </c>
      <c r="E802">
        <v>20</v>
      </c>
      <c r="F802" t="s">
        <v>16</v>
      </c>
      <c r="G802" t="s">
        <v>1546</v>
      </c>
      <c r="H802" t="s">
        <v>1742</v>
      </c>
      <c r="L802" s="2">
        <v>45837</v>
      </c>
      <c r="M802">
        <v>1715.8679999999999</v>
      </c>
      <c r="R802" t="s">
        <v>1812</v>
      </c>
      <c r="S802">
        <v>1715.8679999999999</v>
      </c>
      <c r="W802" s="11" t="s">
        <v>16</v>
      </c>
      <c r="X802" s="11" t="s">
        <v>1546</v>
      </c>
      <c r="Y802">
        <v>1715.8679999999999</v>
      </c>
      <c r="AF802">
        <v>1715.8679999999999</v>
      </c>
      <c r="AG802" t="s">
        <v>1742</v>
      </c>
    </row>
    <row r="803" spans="1:33" x14ac:dyDescent="0.3">
      <c r="A803" t="s">
        <v>3946</v>
      </c>
      <c r="B803" s="2">
        <v>45277</v>
      </c>
      <c r="C803">
        <v>1045.2354</v>
      </c>
      <c r="D803" t="s">
        <v>1812</v>
      </c>
      <c r="E803">
        <v>55</v>
      </c>
      <c r="F803" t="s">
        <v>9</v>
      </c>
      <c r="G803" t="s">
        <v>1549</v>
      </c>
      <c r="H803" t="s">
        <v>1746</v>
      </c>
      <c r="L803" s="2">
        <v>45277</v>
      </c>
      <c r="M803">
        <v>1045.2354</v>
      </c>
      <c r="R803" t="s">
        <v>1812</v>
      </c>
      <c r="S803">
        <v>1045.2354</v>
      </c>
      <c r="W803" s="12" t="s">
        <v>9</v>
      </c>
      <c r="X803" s="12" t="s">
        <v>1549</v>
      </c>
      <c r="Y803">
        <v>1045.2354</v>
      </c>
      <c r="AF803">
        <v>1045.2354</v>
      </c>
      <c r="AG803" t="s">
        <v>1746</v>
      </c>
    </row>
    <row r="804" spans="1:33" x14ac:dyDescent="0.3">
      <c r="A804" t="s">
        <v>1055</v>
      </c>
      <c r="B804" s="2">
        <v>45248</v>
      </c>
      <c r="C804">
        <v>494.0684</v>
      </c>
      <c r="D804" t="s">
        <v>1809</v>
      </c>
      <c r="E804">
        <v>27</v>
      </c>
      <c r="F804" t="s">
        <v>9</v>
      </c>
      <c r="G804" t="s">
        <v>1549</v>
      </c>
      <c r="H804" t="s">
        <v>1746</v>
      </c>
      <c r="L804" s="2">
        <v>45248</v>
      </c>
      <c r="M804">
        <v>494.0684</v>
      </c>
      <c r="R804" t="s">
        <v>1809</v>
      </c>
      <c r="S804">
        <v>494.0684</v>
      </c>
      <c r="W804" s="11" t="s">
        <v>9</v>
      </c>
      <c r="X804" s="11" t="s">
        <v>1549</v>
      </c>
      <c r="Y804">
        <v>494.0684</v>
      </c>
      <c r="AF804">
        <v>494.0684</v>
      </c>
      <c r="AG804" t="s">
        <v>1746</v>
      </c>
    </row>
    <row r="805" spans="1:33" x14ac:dyDescent="0.3">
      <c r="A805" t="s">
        <v>1037</v>
      </c>
      <c r="B805" s="2">
        <v>45741</v>
      </c>
      <c r="C805">
        <v>1134.4007999999999</v>
      </c>
      <c r="D805" t="s">
        <v>1809</v>
      </c>
      <c r="E805">
        <v>50</v>
      </c>
      <c r="F805" t="s">
        <v>16</v>
      </c>
      <c r="G805" t="s">
        <v>1530</v>
      </c>
      <c r="H805" t="s">
        <v>1742</v>
      </c>
      <c r="L805" s="2">
        <v>45741</v>
      </c>
      <c r="M805">
        <v>1134.4007999999999</v>
      </c>
      <c r="R805" t="s">
        <v>1809</v>
      </c>
      <c r="S805">
        <v>1134.4007999999999</v>
      </c>
      <c r="W805" s="12" t="s">
        <v>16</v>
      </c>
      <c r="X805" s="12" t="s">
        <v>1530</v>
      </c>
      <c r="Y805">
        <v>1134.4007999999999</v>
      </c>
      <c r="AF805">
        <v>1134.4007999999999</v>
      </c>
      <c r="AG805" t="s">
        <v>1742</v>
      </c>
    </row>
    <row r="806" spans="1:33" x14ac:dyDescent="0.3">
      <c r="A806" t="s">
        <v>957</v>
      </c>
      <c r="B806" s="2">
        <v>45778</v>
      </c>
      <c r="C806">
        <v>835.95240000000001</v>
      </c>
      <c r="D806" t="s">
        <v>1812</v>
      </c>
      <c r="E806">
        <v>56</v>
      </c>
      <c r="F806" t="s">
        <v>16</v>
      </c>
      <c r="G806" t="s">
        <v>1541</v>
      </c>
      <c r="H806" t="s">
        <v>1742</v>
      </c>
      <c r="L806" s="2">
        <v>45778</v>
      </c>
      <c r="M806">
        <v>835.95240000000001</v>
      </c>
      <c r="R806" t="s">
        <v>1812</v>
      </c>
      <c r="S806">
        <v>835.95240000000001</v>
      </c>
      <c r="W806" s="11" t="s">
        <v>16</v>
      </c>
      <c r="X806" s="11" t="s">
        <v>1541</v>
      </c>
      <c r="Y806">
        <v>835.95240000000001</v>
      </c>
      <c r="AF806">
        <v>835.95240000000001</v>
      </c>
      <c r="AG806" t="s">
        <v>1742</v>
      </c>
    </row>
    <row r="807" spans="1:33" x14ac:dyDescent="0.3">
      <c r="A807" t="s">
        <v>924</v>
      </c>
      <c r="B807" s="2">
        <v>45361</v>
      </c>
      <c r="C807">
        <v>1016.0784</v>
      </c>
      <c r="D807" t="s">
        <v>1807</v>
      </c>
      <c r="E807">
        <v>19</v>
      </c>
      <c r="F807" t="s">
        <v>16</v>
      </c>
      <c r="G807" t="s">
        <v>1546</v>
      </c>
      <c r="H807" t="s">
        <v>1742</v>
      </c>
      <c r="L807" s="2">
        <v>45361</v>
      </c>
      <c r="M807">
        <v>1016.0784</v>
      </c>
      <c r="R807" t="s">
        <v>1807</v>
      </c>
      <c r="S807">
        <v>1016.0784</v>
      </c>
      <c r="W807" s="12" t="s">
        <v>16</v>
      </c>
      <c r="X807" s="12" t="s">
        <v>1546</v>
      </c>
      <c r="Y807">
        <v>1016.0784</v>
      </c>
      <c r="AF807">
        <v>1016.0784</v>
      </c>
      <c r="AG807" t="s">
        <v>1742</v>
      </c>
    </row>
    <row r="808" spans="1:33" x14ac:dyDescent="0.3">
      <c r="A808" t="s">
        <v>868</v>
      </c>
      <c r="B808" s="2">
        <v>45414</v>
      </c>
      <c r="C808">
        <v>1609.9962</v>
      </c>
      <c r="D808" t="s">
        <v>1812</v>
      </c>
      <c r="E808">
        <v>38</v>
      </c>
      <c r="F808" t="s">
        <v>9</v>
      </c>
      <c r="G808" t="s">
        <v>1527</v>
      </c>
      <c r="H808" t="s">
        <v>1767</v>
      </c>
      <c r="L808" s="2">
        <v>45414</v>
      </c>
      <c r="M808">
        <v>1609.9962</v>
      </c>
      <c r="R808" t="s">
        <v>1812</v>
      </c>
      <c r="S808">
        <v>1609.9962</v>
      </c>
      <c r="W808" s="11" t="s">
        <v>9</v>
      </c>
      <c r="X808" s="11" t="s">
        <v>1527</v>
      </c>
      <c r="Y808">
        <v>1609.9962</v>
      </c>
      <c r="AF808">
        <v>1609.9962</v>
      </c>
      <c r="AG808" t="s">
        <v>1767</v>
      </c>
    </row>
    <row r="809" spans="1:33" x14ac:dyDescent="0.3">
      <c r="A809" t="s">
        <v>563</v>
      </c>
      <c r="B809" s="2">
        <v>45734</v>
      </c>
      <c r="C809">
        <v>485.51580000000001</v>
      </c>
      <c r="D809" t="s">
        <v>1807</v>
      </c>
      <c r="E809">
        <v>41</v>
      </c>
      <c r="F809" t="s">
        <v>16</v>
      </c>
      <c r="G809" t="s">
        <v>1549</v>
      </c>
      <c r="H809" t="s">
        <v>1742</v>
      </c>
      <c r="L809" s="2">
        <v>45734</v>
      </c>
      <c r="M809">
        <v>485.51580000000001</v>
      </c>
      <c r="R809" t="s">
        <v>1807</v>
      </c>
      <c r="S809">
        <v>485.51580000000001</v>
      </c>
      <c r="W809" s="12" t="s">
        <v>16</v>
      </c>
      <c r="X809" s="12" t="s">
        <v>1549</v>
      </c>
      <c r="Y809">
        <v>485.51580000000001</v>
      </c>
      <c r="AF809">
        <v>485.51580000000001</v>
      </c>
      <c r="AG809" t="s">
        <v>1742</v>
      </c>
    </row>
    <row r="810" spans="1:33" x14ac:dyDescent="0.3">
      <c r="A810" t="s">
        <v>714</v>
      </c>
      <c r="B810" s="2">
        <v>45623</v>
      </c>
      <c r="C810">
        <v>925.74649999999997</v>
      </c>
      <c r="D810" t="s">
        <v>1807</v>
      </c>
      <c r="E810">
        <v>50</v>
      </c>
      <c r="F810" t="s">
        <v>9</v>
      </c>
      <c r="G810" t="s">
        <v>1549</v>
      </c>
      <c r="H810" t="s">
        <v>1746</v>
      </c>
      <c r="L810" s="2">
        <v>45623</v>
      </c>
      <c r="M810">
        <v>925.74649999999997</v>
      </c>
      <c r="R810" t="s">
        <v>1807</v>
      </c>
      <c r="S810">
        <v>925.74649999999997</v>
      </c>
      <c r="W810" s="11" t="s">
        <v>9</v>
      </c>
      <c r="X810" s="11" t="s">
        <v>1549</v>
      </c>
      <c r="Y810">
        <v>925.74649999999997</v>
      </c>
      <c r="AF810">
        <v>925.74649999999997</v>
      </c>
      <c r="AG810" t="s">
        <v>1746</v>
      </c>
    </row>
    <row r="811" spans="1:33" x14ac:dyDescent="0.3">
      <c r="A811" t="s">
        <v>245</v>
      </c>
      <c r="B811" s="2">
        <v>45340</v>
      </c>
      <c r="C811">
        <v>1333.4780000000001</v>
      </c>
      <c r="D811" t="s">
        <v>1807</v>
      </c>
      <c r="E811">
        <v>24</v>
      </c>
      <c r="F811" t="s">
        <v>16</v>
      </c>
      <c r="G811" t="s">
        <v>1549</v>
      </c>
      <c r="H811" t="s">
        <v>1746</v>
      </c>
      <c r="L811" s="2">
        <v>45340</v>
      </c>
      <c r="M811">
        <v>1333.4780000000001</v>
      </c>
      <c r="R811" t="s">
        <v>1807</v>
      </c>
      <c r="S811">
        <v>1333.4780000000001</v>
      </c>
      <c r="W811" s="12" t="s">
        <v>16</v>
      </c>
      <c r="X811" s="12" t="s">
        <v>1549</v>
      </c>
      <c r="Y811">
        <v>1333.4780000000001</v>
      </c>
      <c r="AF811">
        <v>1333.4780000000001</v>
      </c>
      <c r="AG811" t="s">
        <v>1746</v>
      </c>
    </row>
    <row r="812" spans="1:33" x14ac:dyDescent="0.3">
      <c r="A812" t="s">
        <v>64</v>
      </c>
      <c r="B812" s="2">
        <v>45447</v>
      </c>
      <c r="C812">
        <v>2729.8292000000001</v>
      </c>
      <c r="D812" t="s">
        <v>1812</v>
      </c>
      <c r="E812">
        <v>53</v>
      </c>
      <c r="F812" t="s">
        <v>16</v>
      </c>
      <c r="G812" t="s">
        <v>1549</v>
      </c>
      <c r="H812" t="s">
        <v>1742</v>
      </c>
      <c r="L812" s="2">
        <v>45447</v>
      </c>
      <c r="M812">
        <v>2729.8292000000001</v>
      </c>
      <c r="R812" t="s">
        <v>1812</v>
      </c>
      <c r="S812">
        <v>2729.8292000000001</v>
      </c>
      <c r="W812" s="11" t="s">
        <v>16</v>
      </c>
      <c r="X812" s="11" t="s">
        <v>1549</v>
      </c>
      <c r="Y812">
        <v>2729.8292000000001</v>
      </c>
      <c r="AF812">
        <v>2729.8292000000001</v>
      </c>
      <c r="AG812" t="s">
        <v>1742</v>
      </c>
    </row>
    <row r="813" spans="1:33" x14ac:dyDescent="0.3">
      <c r="A813" t="s">
        <v>1431</v>
      </c>
      <c r="B813" s="2">
        <v>45513</v>
      </c>
      <c r="C813">
        <v>373.59129999999999</v>
      </c>
      <c r="D813" t="s">
        <v>1807</v>
      </c>
      <c r="E813">
        <v>21</v>
      </c>
      <c r="F813" t="s">
        <v>16</v>
      </c>
      <c r="G813" t="s">
        <v>1527</v>
      </c>
      <c r="H813" t="s">
        <v>1742</v>
      </c>
      <c r="L813" s="2">
        <v>45513</v>
      </c>
      <c r="M813">
        <v>373.59129999999999</v>
      </c>
      <c r="R813" t="s">
        <v>1807</v>
      </c>
      <c r="S813">
        <v>373.59129999999999</v>
      </c>
      <c r="W813" s="12" t="s">
        <v>16</v>
      </c>
      <c r="X813" s="12" t="s">
        <v>1527</v>
      </c>
      <c r="Y813">
        <v>373.59129999999999</v>
      </c>
      <c r="AF813">
        <v>373.59129999999999</v>
      </c>
      <c r="AG813" t="s">
        <v>1742</v>
      </c>
    </row>
    <row r="814" spans="1:33" x14ac:dyDescent="0.3">
      <c r="A814" t="s">
        <v>735</v>
      </c>
      <c r="B814" s="2">
        <v>45486</v>
      </c>
      <c r="C814">
        <v>237.6524</v>
      </c>
      <c r="D814" t="s">
        <v>1812</v>
      </c>
      <c r="E814">
        <v>22</v>
      </c>
      <c r="F814" t="s">
        <v>16</v>
      </c>
      <c r="G814" t="s">
        <v>1527</v>
      </c>
      <c r="H814" t="s">
        <v>1742</v>
      </c>
      <c r="L814" s="2">
        <v>45486</v>
      </c>
      <c r="M814">
        <v>237.6524</v>
      </c>
      <c r="R814" t="s">
        <v>1812</v>
      </c>
      <c r="S814">
        <v>237.6524</v>
      </c>
      <c r="W814" s="11" t="s">
        <v>16</v>
      </c>
      <c r="X814" s="11" t="s">
        <v>1527</v>
      </c>
      <c r="Y814">
        <v>237.6524</v>
      </c>
      <c r="AF814">
        <v>237.6524</v>
      </c>
      <c r="AG814" t="s">
        <v>1742</v>
      </c>
    </row>
    <row r="815" spans="1:33" x14ac:dyDescent="0.3">
      <c r="A815" t="s">
        <v>1040</v>
      </c>
      <c r="B815" s="2">
        <v>45890</v>
      </c>
      <c r="C815">
        <v>902.30399999999997</v>
      </c>
      <c r="D815" t="s">
        <v>1809</v>
      </c>
      <c r="E815">
        <v>37</v>
      </c>
      <c r="F815" t="s">
        <v>9</v>
      </c>
      <c r="G815" t="s">
        <v>1549</v>
      </c>
      <c r="H815" t="s">
        <v>1742</v>
      </c>
      <c r="L815" s="2">
        <v>45890</v>
      </c>
      <c r="M815">
        <v>902.30399999999997</v>
      </c>
      <c r="R815" t="s">
        <v>1809</v>
      </c>
      <c r="S815">
        <v>902.30399999999997</v>
      </c>
      <c r="W815" s="12" t="s">
        <v>9</v>
      </c>
      <c r="X815" s="12" t="s">
        <v>1549</v>
      </c>
      <c r="Y815">
        <v>902.30399999999997</v>
      </c>
      <c r="AF815">
        <v>902.30399999999997</v>
      </c>
      <c r="AG815" t="s">
        <v>1742</v>
      </c>
    </row>
    <row r="816" spans="1:33" x14ac:dyDescent="0.3">
      <c r="A816" t="s">
        <v>904</v>
      </c>
      <c r="B816" s="2">
        <v>45876</v>
      </c>
      <c r="C816">
        <v>1254.9264000000001</v>
      </c>
      <c r="D816" t="s">
        <v>1812</v>
      </c>
      <c r="E816">
        <v>58</v>
      </c>
      <c r="F816" t="s">
        <v>9</v>
      </c>
      <c r="G816" t="s">
        <v>1530</v>
      </c>
      <c r="H816" t="s">
        <v>1742</v>
      </c>
      <c r="L816" s="2">
        <v>45876</v>
      </c>
      <c r="M816">
        <v>1254.9264000000001</v>
      </c>
      <c r="R816" t="s">
        <v>1812</v>
      </c>
      <c r="S816">
        <v>1254.9264000000001</v>
      </c>
      <c r="W816" s="11" t="s">
        <v>9</v>
      </c>
      <c r="X816" s="11" t="s">
        <v>1530</v>
      </c>
      <c r="Y816">
        <v>1254.9264000000001</v>
      </c>
      <c r="AF816">
        <v>1254.9264000000001</v>
      </c>
      <c r="AG816" t="s">
        <v>1742</v>
      </c>
    </row>
    <row r="817" spans="1:33" x14ac:dyDescent="0.3">
      <c r="A817" t="s">
        <v>242</v>
      </c>
      <c r="B817" s="2">
        <v>45398</v>
      </c>
      <c r="C817">
        <v>1144.4248</v>
      </c>
      <c r="D817" t="s">
        <v>1809</v>
      </c>
      <c r="E817">
        <v>58</v>
      </c>
      <c r="F817" t="s">
        <v>9</v>
      </c>
      <c r="G817" t="s">
        <v>1527</v>
      </c>
      <c r="H817" t="s">
        <v>1746</v>
      </c>
      <c r="L817" s="2">
        <v>45398</v>
      </c>
      <c r="M817">
        <v>1144.4248</v>
      </c>
      <c r="R817" t="s">
        <v>1809</v>
      </c>
      <c r="S817">
        <v>1144.4248</v>
      </c>
      <c r="W817" s="12" t="s">
        <v>9</v>
      </c>
      <c r="X817" s="12" t="s">
        <v>1527</v>
      </c>
      <c r="Y817">
        <v>1144.4248</v>
      </c>
      <c r="AF817">
        <v>1144.4248</v>
      </c>
      <c r="AG817" t="s">
        <v>1746</v>
      </c>
    </row>
    <row r="818" spans="1:33" x14ac:dyDescent="0.3">
      <c r="A818" t="s">
        <v>383</v>
      </c>
      <c r="B818" s="2">
        <v>45390</v>
      </c>
      <c r="C818">
        <v>707.02719999999999</v>
      </c>
      <c r="D818" t="s">
        <v>1807</v>
      </c>
      <c r="E818">
        <v>18</v>
      </c>
      <c r="F818" t="s">
        <v>16</v>
      </c>
      <c r="G818" t="s">
        <v>1541</v>
      </c>
      <c r="H818" t="s">
        <v>1742</v>
      </c>
      <c r="L818" s="2">
        <v>45390</v>
      </c>
      <c r="M818">
        <v>707.02719999999999</v>
      </c>
      <c r="R818" t="s">
        <v>1807</v>
      </c>
      <c r="S818">
        <v>707.02719999999999</v>
      </c>
      <c r="W818" s="11" t="s">
        <v>16</v>
      </c>
      <c r="X818" s="11" t="s">
        <v>1541</v>
      </c>
      <c r="Y818">
        <v>707.02719999999999</v>
      </c>
      <c r="AF818">
        <v>707.02719999999999</v>
      </c>
      <c r="AG818" t="s">
        <v>1742</v>
      </c>
    </row>
    <row r="819" spans="1:33" x14ac:dyDescent="0.3">
      <c r="A819" t="s">
        <v>620</v>
      </c>
      <c r="B819" s="2">
        <v>45406</v>
      </c>
      <c r="C819">
        <v>2326.4778000000001</v>
      </c>
      <c r="D819" t="s">
        <v>1812</v>
      </c>
      <c r="E819">
        <v>29</v>
      </c>
      <c r="F819" t="s">
        <v>16</v>
      </c>
      <c r="G819" t="s">
        <v>1527</v>
      </c>
      <c r="H819" t="s">
        <v>1742</v>
      </c>
      <c r="L819" s="2">
        <v>45406</v>
      </c>
      <c r="M819">
        <v>2326.4778000000001</v>
      </c>
      <c r="R819" t="s">
        <v>1812</v>
      </c>
      <c r="S819">
        <v>2326.4778000000001</v>
      </c>
      <c r="W819" s="12" t="s">
        <v>16</v>
      </c>
      <c r="X819" s="12" t="s">
        <v>1527</v>
      </c>
      <c r="Y819">
        <v>2326.4778000000001</v>
      </c>
      <c r="AF819">
        <v>2326.4778000000001</v>
      </c>
      <c r="AG819" t="s">
        <v>1742</v>
      </c>
    </row>
    <row r="820" spans="1:33" x14ac:dyDescent="0.3">
      <c r="A820" t="s">
        <v>352</v>
      </c>
      <c r="B820" s="2">
        <v>45844</v>
      </c>
      <c r="C820">
        <v>1314.0072</v>
      </c>
      <c r="D820" t="s">
        <v>1807</v>
      </c>
      <c r="E820">
        <v>29</v>
      </c>
      <c r="F820" t="s">
        <v>9</v>
      </c>
      <c r="G820" t="s">
        <v>1541</v>
      </c>
      <c r="H820" t="s">
        <v>1737</v>
      </c>
      <c r="L820" s="2">
        <v>45844</v>
      </c>
      <c r="M820">
        <v>1314.0072</v>
      </c>
      <c r="R820" t="s">
        <v>1807</v>
      </c>
      <c r="S820">
        <v>1314.0072</v>
      </c>
      <c r="W820" s="11" t="s">
        <v>9</v>
      </c>
      <c r="X820" s="11" t="s">
        <v>1541</v>
      </c>
      <c r="Y820">
        <v>1314.0072</v>
      </c>
      <c r="AF820">
        <v>1314.0072</v>
      </c>
      <c r="AG820" t="s">
        <v>1737</v>
      </c>
    </row>
    <row r="821" spans="1:33" x14ac:dyDescent="0.3">
      <c r="A821" t="s">
        <v>987</v>
      </c>
      <c r="B821" s="2">
        <v>45697</v>
      </c>
      <c r="C821">
        <v>554.35380000000009</v>
      </c>
      <c r="D821" t="s">
        <v>1812</v>
      </c>
      <c r="E821">
        <v>64</v>
      </c>
      <c r="F821" t="s">
        <v>16</v>
      </c>
      <c r="G821" t="s">
        <v>1546</v>
      </c>
      <c r="H821" t="s">
        <v>1737</v>
      </c>
      <c r="L821" s="2">
        <v>45697</v>
      </c>
      <c r="M821">
        <v>554.35380000000009</v>
      </c>
      <c r="R821" t="s">
        <v>1812</v>
      </c>
      <c r="S821">
        <v>554.35380000000009</v>
      </c>
      <c r="W821" s="12" t="s">
        <v>16</v>
      </c>
      <c r="X821" s="12" t="s">
        <v>1546</v>
      </c>
      <c r="Y821">
        <v>554.35380000000009</v>
      </c>
      <c r="AF821">
        <v>554.35380000000009</v>
      </c>
      <c r="AG821" t="s">
        <v>1737</v>
      </c>
    </row>
    <row r="822" spans="1:33" x14ac:dyDescent="0.3">
      <c r="A822" t="s">
        <v>37</v>
      </c>
      <c r="B822" s="2">
        <v>45607</v>
      </c>
      <c r="C822">
        <v>433.92960000000011</v>
      </c>
      <c r="D822" t="s">
        <v>1809</v>
      </c>
      <c r="E822">
        <v>29</v>
      </c>
      <c r="F822" t="s">
        <v>16</v>
      </c>
      <c r="G822" t="s">
        <v>1549</v>
      </c>
      <c r="H822" t="s">
        <v>1746</v>
      </c>
      <c r="L822" s="2">
        <v>45607</v>
      </c>
      <c r="M822">
        <v>433.92960000000011</v>
      </c>
      <c r="R822" t="s">
        <v>1809</v>
      </c>
      <c r="S822">
        <v>433.92960000000011</v>
      </c>
      <c r="W822" s="11" t="s">
        <v>16</v>
      </c>
      <c r="X822" s="11" t="s">
        <v>1549</v>
      </c>
      <c r="Y822">
        <v>433.92960000000011</v>
      </c>
      <c r="AF822">
        <v>433.92960000000011</v>
      </c>
      <c r="AG822" t="s">
        <v>1746</v>
      </c>
    </row>
    <row r="823" spans="1:33" x14ac:dyDescent="0.3">
      <c r="A823" t="s">
        <v>200</v>
      </c>
      <c r="B823" s="2">
        <v>45307</v>
      </c>
      <c r="C823">
        <v>563.48699999999997</v>
      </c>
      <c r="D823" t="s">
        <v>1807</v>
      </c>
      <c r="E823">
        <v>24</v>
      </c>
      <c r="F823" t="s">
        <v>9</v>
      </c>
      <c r="G823" t="s">
        <v>1541</v>
      </c>
      <c r="H823" t="s">
        <v>1742</v>
      </c>
      <c r="L823" s="2">
        <v>45307</v>
      </c>
      <c r="M823">
        <v>563.48699999999997</v>
      </c>
      <c r="R823" t="s">
        <v>1807</v>
      </c>
      <c r="S823">
        <v>563.48699999999997</v>
      </c>
      <c r="W823" s="12" t="s">
        <v>9</v>
      </c>
      <c r="X823" s="12" t="s">
        <v>1541</v>
      </c>
      <c r="Y823">
        <v>563.48699999999997</v>
      </c>
      <c r="AF823">
        <v>563.48699999999997</v>
      </c>
      <c r="AG823" t="s">
        <v>1742</v>
      </c>
    </row>
    <row r="824" spans="1:33" x14ac:dyDescent="0.3">
      <c r="A824" t="s">
        <v>72</v>
      </c>
      <c r="B824" s="2">
        <v>45520</v>
      </c>
      <c r="C824">
        <v>320.04199999999997</v>
      </c>
      <c r="D824" t="s">
        <v>1807</v>
      </c>
      <c r="E824">
        <v>24</v>
      </c>
      <c r="F824" t="s">
        <v>16</v>
      </c>
      <c r="G824" t="s">
        <v>1530</v>
      </c>
      <c r="H824" t="s">
        <v>1742</v>
      </c>
      <c r="L824" s="2">
        <v>45520</v>
      </c>
      <c r="M824">
        <v>320.04199999999997</v>
      </c>
      <c r="R824" t="s">
        <v>1807</v>
      </c>
      <c r="S824">
        <v>320.04199999999997</v>
      </c>
      <c r="W824" s="11" t="s">
        <v>16</v>
      </c>
      <c r="X824" s="11" t="s">
        <v>1530</v>
      </c>
      <c r="Y824">
        <v>320.04199999999997</v>
      </c>
      <c r="AF824">
        <v>320.04199999999997</v>
      </c>
      <c r="AG824" t="s">
        <v>1742</v>
      </c>
    </row>
    <row r="825" spans="1:33" x14ac:dyDescent="0.3">
      <c r="A825" t="s">
        <v>1350</v>
      </c>
      <c r="B825" s="2">
        <v>45933</v>
      </c>
      <c r="C825">
        <v>1643.4792</v>
      </c>
      <c r="D825" t="s">
        <v>1809</v>
      </c>
      <c r="E825">
        <v>42</v>
      </c>
      <c r="F825" t="s">
        <v>16</v>
      </c>
      <c r="G825" t="s">
        <v>1549</v>
      </c>
      <c r="H825" t="s">
        <v>1742</v>
      </c>
      <c r="L825" s="2">
        <v>45933</v>
      </c>
      <c r="M825">
        <v>1643.4792</v>
      </c>
      <c r="R825" t="s">
        <v>1809</v>
      </c>
      <c r="S825">
        <v>1643.4792</v>
      </c>
      <c r="W825" s="12" t="s">
        <v>16</v>
      </c>
      <c r="X825" s="12" t="s">
        <v>1549</v>
      </c>
      <c r="Y825">
        <v>1643.4792</v>
      </c>
      <c r="AF825">
        <v>1643.4792</v>
      </c>
      <c r="AG825" t="s">
        <v>1742</v>
      </c>
    </row>
    <row r="826" spans="1:33" x14ac:dyDescent="0.3">
      <c r="A826" t="s">
        <v>193</v>
      </c>
      <c r="B826" s="2">
        <v>45841</v>
      </c>
      <c r="C826">
        <v>3026.6716000000001</v>
      </c>
      <c r="D826" t="s">
        <v>1807</v>
      </c>
      <c r="E826">
        <v>55</v>
      </c>
      <c r="F826" t="s">
        <v>9</v>
      </c>
      <c r="G826" t="s">
        <v>1546</v>
      </c>
      <c r="H826" t="s">
        <v>1746</v>
      </c>
      <c r="L826" s="2">
        <v>45841</v>
      </c>
      <c r="M826">
        <v>3026.6716000000001</v>
      </c>
      <c r="R826" t="s">
        <v>1807</v>
      </c>
      <c r="S826">
        <v>3026.6716000000001</v>
      </c>
      <c r="W826" s="11" t="s">
        <v>9</v>
      </c>
      <c r="X826" s="11" t="s">
        <v>1546</v>
      </c>
      <c r="Y826">
        <v>3026.6716000000001</v>
      </c>
      <c r="AF826">
        <v>3026.6716000000001</v>
      </c>
      <c r="AG826" t="s">
        <v>1746</v>
      </c>
    </row>
    <row r="827" spans="1:33" x14ac:dyDescent="0.3">
      <c r="A827" t="s">
        <v>1313</v>
      </c>
      <c r="B827" s="2">
        <v>45877</v>
      </c>
      <c r="C827">
        <v>531.5616</v>
      </c>
      <c r="D827" t="s">
        <v>1807</v>
      </c>
      <c r="E827">
        <v>43</v>
      </c>
      <c r="F827" t="s">
        <v>9</v>
      </c>
      <c r="G827" t="s">
        <v>1530</v>
      </c>
      <c r="H827" t="s">
        <v>1742</v>
      </c>
      <c r="L827" s="2">
        <v>45877</v>
      </c>
      <c r="M827">
        <v>531.5616</v>
      </c>
      <c r="R827" t="s">
        <v>1807</v>
      </c>
      <c r="S827">
        <v>531.5616</v>
      </c>
      <c r="W827" s="12" t="s">
        <v>9</v>
      </c>
      <c r="X827" s="12" t="s">
        <v>1530</v>
      </c>
      <c r="Y827">
        <v>531.5616</v>
      </c>
      <c r="AF827">
        <v>531.5616</v>
      </c>
      <c r="AG827" t="s">
        <v>1742</v>
      </c>
    </row>
    <row r="828" spans="1:33" x14ac:dyDescent="0.3">
      <c r="A828" t="s">
        <v>904</v>
      </c>
      <c r="B828" s="2">
        <v>45532</v>
      </c>
      <c r="C828">
        <v>866.04959999999994</v>
      </c>
      <c r="D828" t="s">
        <v>1809</v>
      </c>
      <c r="E828">
        <v>58</v>
      </c>
      <c r="F828" t="s">
        <v>9</v>
      </c>
      <c r="G828" t="s">
        <v>1549</v>
      </c>
      <c r="H828" t="s">
        <v>1746</v>
      </c>
      <c r="L828" s="2">
        <v>45532</v>
      </c>
      <c r="M828">
        <v>866.04959999999994</v>
      </c>
      <c r="R828" t="s">
        <v>1809</v>
      </c>
      <c r="S828">
        <v>866.04959999999994</v>
      </c>
      <c r="W828" s="11" t="s">
        <v>9</v>
      </c>
      <c r="X828" s="11" t="s">
        <v>1549</v>
      </c>
      <c r="Y828">
        <v>866.04959999999994</v>
      </c>
      <c r="AF828">
        <v>866.04959999999994</v>
      </c>
      <c r="AG828" t="s">
        <v>1746</v>
      </c>
    </row>
    <row r="829" spans="1:33" x14ac:dyDescent="0.3">
      <c r="A829" t="s">
        <v>365</v>
      </c>
      <c r="B829" s="2">
        <v>45734</v>
      </c>
      <c r="C829">
        <v>30.175999999999998</v>
      </c>
      <c r="D829" t="s">
        <v>1807</v>
      </c>
      <c r="E829">
        <v>50</v>
      </c>
      <c r="F829" t="s">
        <v>16</v>
      </c>
      <c r="G829" t="s">
        <v>1549</v>
      </c>
      <c r="H829" t="s">
        <v>1742</v>
      </c>
      <c r="L829" s="2">
        <v>45734</v>
      </c>
      <c r="M829">
        <v>30.175999999999998</v>
      </c>
      <c r="R829" t="s">
        <v>1807</v>
      </c>
      <c r="S829">
        <v>30.175999999999998</v>
      </c>
      <c r="W829" s="12" t="s">
        <v>16</v>
      </c>
      <c r="X829" s="12" t="s">
        <v>1549</v>
      </c>
      <c r="Y829">
        <v>30.175999999999998</v>
      </c>
      <c r="AF829">
        <v>30.175999999999998</v>
      </c>
      <c r="AG829" t="s">
        <v>1742</v>
      </c>
    </row>
    <row r="830" spans="1:33" x14ac:dyDescent="0.3">
      <c r="A830" t="s">
        <v>1104</v>
      </c>
      <c r="B830" s="2">
        <v>45809</v>
      </c>
      <c r="C830">
        <v>463.85820000000001</v>
      </c>
      <c r="D830" t="s">
        <v>1807</v>
      </c>
      <c r="E830">
        <v>41</v>
      </c>
      <c r="F830" t="s">
        <v>9</v>
      </c>
      <c r="G830" t="s">
        <v>1549</v>
      </c>
      <c r="H830" t="s">
        <v>1737</v>
      </c>
      <c r="L830" s="2">
        <v>45809</v>
      </c>
      <c r="M830">
        <v>463.85820000000001</v>
      </c>
      <c r="R830" t="s">
        <v>1807</v>
      </c>
      <c r="S830">
        <v>463.85820000000001</v>
      </c>
      <c r="W830" s="11" t="s">
        <v>9</v>
      </c>
      <c r="X830" s="11" t="s">
        <v>1549</v>
      </c>
      <c r="Y830">
        <v>463.85820000000001</v>
      </c>
      <c r="AF830">
        <v>463.85820000000001</v>
      </c>
      <c r="AG830" t="s">
        <v>1737</v>
      </c>
    </row>
    <row r="831" spans="1:33" x14ac:dyDescent="0.3">
      <c r="A831" t="s">
        <v>317</v>
      </c>
      <c r="B831" s="2">
        <v>45760</v>
      </c>
      <c r="C831">
        <v>19.481000000000002</v>
      </c>
      <c r="D831" t="s">
        <v>1809</v>
      </c>
      <c r="E831">
        <v>58</v>
      </c>
      <c r="F831" t="s">
        <v>16</v>
      </c>
      <c r="G831" t="s">
        <v>1549</v>
      </c>
      <c r="H831" t="s">
        <v>1742</v>
      </c>
      <c r="L831" s="2">
        <v>45760</v>
      </c>
      <c r="M831">
        <v>19.481000000000002</v>
      </c>
      <c r="R831" t="s">
        <v>1809</v>
      </c>
      <c r="S831">
        <v>19.481000000000002</v>
      </c>
      <c r="W831" s="12" t="s">
        <v>16</v>
      </c>
      <c r="X831" s="12" t="s">
        <v>1549</v>
      </c>
      <c r="Y831">
        <v>19.481000000000002</v>
      </c>
      <c r="AF831">
        <v>19.481000000000002</v>
      </c>
      <c r="AG831" t="s">
        <v>1742</v>
      </c>
    </row>
    <row r="832" spans="1:33" x14ac:dyDescent="0.3">
      <c r="A832" t="s">
        <v>892</v>
      </c>
      <c r="B832" s="2">
        <v>45456</v>
      </c>
      <c r="C832">
        <v>1509.2352000000001</v>
      </c>
      <c r="D832" t="s">
        <v>1812</v>
      </c>
      <c r="E832">
        <v>54</v>
      </c>
      <c r="F832" t="s">
        <v>9</v>
      </c>
      <c r="G832" t="s">
        <v>1527</v>
      </c>
      <c r="H832" t="s">
        <v>1746</v>
      </c>
      <c r="L832" s="2">
        <v>45456</v>
      </c>
      <c r="M832">
        <v>1509.2352000000001</v>
      </c>
      <c r="R832" t="s">
        <v>1812</v>
      </c>
      <c r="S832">
        <v>1509.2352000000001</v>
      </c>
      <c r="W832" s="11" t="s">
        <v>9</v>
      </c>
      <c r="X832" s="11" t="s">
        <v>1527</v>
      </c>
      <c r="Y832">
        <v>1509.2352000000001</v>
      </c>
      <c r="AF832">
        <v>1509.2352000000001</v>
      </c>
      <c r="AG832" t="s">
        <v>1746</v>
      </c>
    </row>
    <row r="833" spans="1:33" x14ac:dyDescent="0.3">
      <c r="A833" t="s">
        <v>60</v>
      </c>
      <c r="B833" s="2">
        <v>45698</v>
      </c>
      <c r="C833">
        <v>1795.982</v>
      </c>
      <c r="D833" t="s">
        <v>1812</v>
      </c>
      <c r="E833">
        <v>32</v>
      </c>
      <c r="F833" t="s">
        <v>16</v>
      </c>
      <c r="G833" t="s">
        <v>1546</v>
      </c>
      <c r="H833" t="s">
        <v>1742</v>
      </c>
      <c r="L833" s="2">
        <v>45698</v>
      </c>
      <c r="M833">
        <v>1795.982</v>
      </c>
      <c r="R833" t="s">
        <v>1812</v>
      </c>
      <c r="S833">
        <v>1795.982</v>
      </c>
      <c r="W833" s="12" t="s">
        <v>16</v>
      </c>
      <c r="X833" s="12" t="s">
        <v>1546</v>
      </c>
      <c r="Y833">
        <v>1795.982</v>
      </c>
      <c r="AF833">
        <v>1795.982</v>
      </c>
      <c r="AG833" t="s">
        <v>1742</v>
      </c>
    </row>
    <row r="834" spans="1:33" x14ac:dyDescent="0.3">
      <c r="A834" t="s">
        <v>1497</v>
      </c>
      <c r="B834" s="2">
        <v>45548</v>
      </c>
      <c r="C834">
        <v>1186.9680000000001</v>
      </c>
      <c r="D834" t="s">
        <v>1809</v>
      </c>
      <c r="E834">
        <v>28</v>
      </c>
      <c r="F834" t="s">
        <v>9</v>
      </c>
      <c r="G834" t="s">
        <v>1530</v>
      </c>
      <c r="H834" t="s">
        <v>1742</v>
      </c>
      <c r="L834" s="2">
        <v>45548</v>
      </c>
      <c r="M834">
        <v>1186.9680000000001</v>
      </c>
      <c r="R834" t="s">
        <v>1809</v>
      </c>
      <c r="S834">
        <v>1186.9680000000001</v>
      </c>
      <c r="W834" s="11" t="s">
        <v>9</v>
      </c>
      <c r="X834" s="11" t="s">
        <v>1530</v>
      </c>
      <c r="Y834">
        <v>1186.9680000000001</v>
      </c>
      <c r="AF834">
        <v>1186.9680000000001</v>
      </c>
      <c r="AG834" t="s">
        <v>1742</v>
      </c>
    </row>
    <row r="835" spans="1:33" x14ac:dyDescent="0.3">
      <c r="A835" t="s">
        <v>590</v>
      </c>
      <c r="B835" s="2">
        <v>45236</v>
      </c>
      <c r="C835">
        <v>919.29179999999997</v>
      </c>
      <c r="D835" t="s">
        <v>1812</v>
      </c>
      <c r="E835">
        <v>60</v>
      </c>
      <c r="F835" t="s">
        <v>9</v>
      </c>
      <c r="G835" t="s">
        <v>1527</v>
      </c>
      <c r="H835" t="s">
        <v>1742</v>
      </c>
      <c r="L835" s="2">
        <v>45236</v>
      </c>
      <c r="M835">
        <v>919.29179999999997</v>
      </c>
      <c r="R835" t="s">
        <v>1812</v>
      </c>
      <c r="S835">
        <v>919.29179999999997</v>
      </c>
      <c r="W835" s="12" t="s">
        <v>9</v>
      </c>
      <c r="X835" s="12" t="s">
        <v>1527</v>
      </c>
      <c r="Y835">
        <v>919.29179999999997</v>
      </c>
      <c r="AF835">
        <v>919.29179999999997</v>
      </c>
      <c r="AG835" t="s">
        <v>1742</v>
      </c>
    </row>
    <row r="836" spans="1:33" x14ac:dyDescent="0.3">
      <c r="A836" t="s">
        <v>1142</v>
      </c>
      <c r="B836" s="2">
        <v>45310</v>
      </c>
      <c r="C836">
        <v>1149.066</v>
      </c>
      <c r="D836" t="s">
        <v>1807</v>
      </c>
      <c r="E836">
        <v>45</v>
      </c>
      <c r="F836" t="s">
        <v>9</v>
      </c>
      <c r="G836" t="s">
        <v>1541</v>
      </c>
      <c r="H836" t="s">
        <v>1742</v>
      </c>
      <c r="L836" s="2">
        <v>45310</v>
      </c>
      <c r="M836">
        <v>1149.066</v>
      </c>
      <c r="R836" t="s">
        <v>1807</v>
      </c>
      <c r="S836">
        <v>1149.066</v>
      </c>
      <c r="W836" s="11" t="s">
        <v>9</v>
      </c>
      <c r="X836" s="11" t="s">
        <v>1541</v>
      </c>
      <c r="Y836">
        <v>1149.066</v>
      </c>
      <c r="AF836">
        <v>1149.066</v>
      </c>
      <c r="AG836" t="s">
        <v>1742</v>
      </c>
    </row>
    <row r="837" spans="1:33" x14ac:dyDescent="0.3">
      <c r="A837" t="s">
        <v>892</v>
      </c>
      <c r="B837" s="2">
        <v>45376</v>
      </c>
      <c r="C837">
        <v>611.17420000000004</v>
      </c>
      <c r="D837" t="s">
        <v>1812</v>
      </c>
      <c r="E837">
        <v>54</v>
      </c>
      <c r="F837" t="s">
        <v>9</v>
      </c>
      <c r="G837" t="s">
        <v>1527</v>
      </c>
      <c r="H837" t="s">
        <v>1742</v>
      </c>
      <c r="L837" s="2">
        <v>45376</v>
      </c>
      <c r="M837">
        <v>611.17420000000004</v>
      </c>
      <c r="R837" t="s">
        <v>1812</v>
      </c>
      <c r="S837">
        <v>611.17420000000004</v>
      </c>
      <c r="W837" s="12" t="s">
        <v>9</v>
      </c>
      <c r="X837" s="12" t="s">
        <v>1527</v>
      </c>
      <c r="Y837">
        <v>611.17420000000004</v>
      </c>
      <c r="AF837">
        <v>611.17420000000004</v>
      </c>
      <c r="AG837" t="s">
        <v>1742</v>
      </c>
    </row>
    <row r="838" spans="1:33" x14ac:dyDescent="0.3">
      <c r="A838" t="s">
        <v>990</v>
      </c>
      <c r="B838" s="2">
        <v>45914</v>
      </c>
      <c r="C838">
        <v>615.79719999999998</v>
      </c>
      <c r="D838" t="s">
        <v>1809</v>
      </c>
      <c r="E838">
        <v>25</v>
      </c>
      <c r="F838" t="s">
        <v>9</v>
      </c>
      <c r="G838" t="s">
        <v>1549</v>
      </c>
      <c r="H838" t="s">
        <v>1742</v>
      </c>
      <c r="L838" s="2">
        <v>45914</v>
      </c>
      <c r="M838">
        <v>615.79719999999998</v>
      </c>
      <c r="R838" t="s">
        <v>1809</v>
      </c>
      <c r="S838">
        <v>615.79719999999998</v>
      </c>
      <c r="W838" s="11" t="s">
        <v>9</v>
      </c>
      <c r="X838" s="11" t="s">
        <v>1549</v>
      </c>
      <c r="Y838">
        <v>615.79719999999998</v>
      </c>
      <c r="AF838">
        <v>615.79719999999998</v>
      </c>
      <c r="AG838" t="s">
        <v>1742</v>
      </c>
    </row>
    <row r="839" spans="1:33" x14ac:dyDescent="0.3">
      <c r="A839" t="s">
        <v>293</v>
      </c>
      <c r="B839" s="2">
        <v>45336</v>
      </c>
      <c r="C839">
        <v>612.68850000000009</v>
      </c>
      <c r="D839" t="s">
        <v>1809</v>
      </c>
      <c r="E839">
        <v>53</v>
      </c>
      <c r="F839" t="s">
        <v>9</v>
      </c>
      <c r="G839" t="s">
        <v>1527</v>
      </c>
      <c r="H839" t="s">
        <v>1742</v>
      </c>
      <c r="L839" s="2">
        <v>45336</v>
      </c>
      <c r="M839">
        <v>612.68850000000009</v>
      </c>
      <c r="R839" t="s">
        <v>1809</v>
      </c>
      <c r="S839">
        <v>612.68850000000009</v>
      </c>
      <c r="W839" s="12" t="s">
        <v>9</v>
      </c>
      <c r="X839" s="12" t="s">
        <v>1527</v>
      </c>
      <c r="Y839">
        <v>612.68850000000009</v>
      </c>
      <c r="AF839">
        <v>612.68850000000009</v>
      </c>
      <c r="AG839" t="s">
        <v>1742</v>
      </c>
    </row>
    <row r="840" spans="1:33" x14ac:dyDescent="0.3">
      <c r="A840" t="s">
        <v>273</v>
      </c>
      <c r="B840" s="2">
        <v>45728</v>
      </c>
      <c r="C840">
        <v>891.53279999999995</v>
      </c>
      <c r="D840" t="s">
        <v>1812</v>
      </c>
      <c r="E840">
        <v>37</v>
      </c>
      <c r="F840" t="s">
        <v>9</v>
      </c>
      <c r="G840" t="s">
        <v>1549</v>
      </c>
      <c r="H840" t="s">
        <v>1742</v>
      </c>
      <c r="L840" s="2">
        <v>45728</v>
      </c>
      <c r="M840">
        <v>891.53279999999995</v>
      </c>
      <c r="R840" t="s">
        <v>1812</v>
      </c>
      <c r="S840">
        <v>891.53279999999995</v>
      </c>
      <c r="W840" s="11" t="s">
        <v>9</v>
      </c>
      <c r="X840" s="11" t="s">
        <v>1549</v>
      </c>
      <c r="Y840">
        <v>891.53279999999995</v>
      </c>
      <c r="AF840">
        <v>891.53279999999995</v>
      </c>
      <c r="AG840" t="s">
        <v>1742</v>
      </c>
    </row>
    <row r="841" spans="1:33" x14ac:dyDescent="0.3">
      <c r="A841" t="s">
        <v>688</v>
      </c>
      <c r="B841" s="2">
        <v>45755</v>
      </c>
      <c r="C841">
        <v>1913.8391999999999</v>
      </c>
      <c r="D841" t="s">
        <v>1809</v>
      </c>
      <c r="E841">
        <v>61</v>
      </c>
      <c r="F841" t="s">
        <v>9</v>
      </c>
      <c r="G841" t="s">
        <v>1527</v>
      </c>
      <c r="H841" t="s">
        <v>1737</v>
      </c>
      <c r="L841" s="2">
        <v>45755</v>
      </c>
      <c r="M841">
        <v>1913.8391999999999</v>
      </c>
      <c r="R841" t="s">
        <v>1809</v>
      </c>
      <c r="S841">
        <v>1913.8391999999999</v>
      </c>
      <c r="W841" s="12" t="s">
        <v>9</v>
      </c>
      <c r="X841" s="12" t="s">
        <v>1527</v>
      </c>
      <c r="Y841">
        <v>1913.8391999999999</v>
      </c>
      <c r="AF841">
        <v>1913.8391999999999</v>
      </c>
      <c r="AG841" t="s">
        <v>1737</v>
      </c>
    </row>
    <row r="842" spans="1:33" x14ac:dyDescent="0.3">
      <c r="A842" t="s">
        <v>377</v>
      </c>
      <c r="B842" s="2">
        <v>45695</v>
      </c>
      <c r="C842">
        <v>2164.6943999999999</v>
      </c>
      <c r="D842" t="s">
        <v>1812</v>
      </c>
      <c r="E842">
        <v>27</v>
      </c>
      <c r="F842" t="s">
        <v>9</v>
      </c>
      <c r="G842" t="s">
        <v>1546</v>
      </c>
      <c r="H842" t="s">
        <v>1742</v>
      </c>
      <c r="L842" s="2">
        <v>45695</v>
      </c>
      <c r="M842">
        <v>2164.6943999999999</v>
      </c>
      <c r="R842" t="s">
        <v>1812</v>
      </c>
      <c r="S842">
        <v>2164.6943999999999</v>
      </c>
      <c r="W842" s="11" t="s">
        <v>9</v>
      </c>
      <c r="X842" s="11" t="s">
        <v>1546</v>
      </c>
      <c r="Y842">
        <v>2164.6943999999999</v>
      </c>
      <c r="AF842">
        <v>2164.6943999999999</v>
      </c>
      <c r="AG842" t="s">
        <v>1742</v>
      </c>
    </row>
    <row r="843" spans="1:33" x14ac:dyDescent="0.3">
      <c r="A843" t="s">
        <v>383</v>
      </c>
      <c r="B843" s="2">
        <v>45380</v>
      </c>
      <c r="C843">
        <v>262.78019999999998</v>
      </c>
      <c r="D843" t="s">
        <v>1812</v>
      </c>
      <c r="E843">
        <v>18</v>
      </c>
      <c r="F843" t="s">
        <v>16</v>
      </c>
      <c r="G843" t="s">
        <v>1549</v>
      </c>
      <c r="H843" t="s">
        <v>1742</v>
      </c>
      <c r="L843" s="2">
        <v>45380</v>
      </c>
      <c r="M843">
        <v>262.78019999999998</v>
      </c>
      <c r="R843" t="s">
        <v>1812</v>
      </c>
      <c r="S843">
        <v>262.78019999999998</v>
      </c>
      <c r="W843" s="12" t="s">
        <v>16</v>
      </c>
      <c r="X843" s="12" t="s">
        <v>1549</v>
      </c>
      <c r="Y843">
        <v>262.78019999999998</v>
      </c>
      <c r="AF843">
        <v>262.78019999999998</v>
      </c>
      <c r="AG843" t="s">
        <v>1742</v>
      </c>
    </row>
    <row r="844" spans="1:33" x14ac:dyDescent="0.3">
      <c r="A844" t="s">
        <v>812</v>
      </c>
      <c r="B844" s="2">
        <v>45446</v>
      </c>
      <c r="C844">
        <v>800.21129999999994</v>
      </c>
      <c r="D844" t="s">
        <v>1812</v>
      </c>
      <c r="E844">
        <v>42</v>
      </c>
      <c r="F844" t="s">
        <v>9</v>
      </c>
      <c r="G844" t="s">
        <v>1527</v>
      </c>
      <c r="H844" t="s">
        <v>1746</v>
      </c>
      <c r="L844" s="2">
        <v>45446</v>
      </c>
      <c r="M844">
        <v>800.21129999999994</v>
      </c>
      <c r="R844" t="s">
        <v>1812</v>
      </c>
      <c r="S844">
        <v>800.21129999999994</v>
      </c>
      <c r="W844" s="11" t="s">
        <v>9</v>
      </c>
      <c r="X844" s="11" t="s">
        <v>1527</v>
      </c>
      <c r="Y844">
        <v>800.21129999999994</v>
      </c>
      <c r="AF844">
        <v>800.21129999999994</v>
      </c>
      <c r="AG844" t="s">
        <v>1746</v>
      </c>
    </row>
    <row r="845" spans="1:33" x14ac:dyDescent="0.3">
      <c r="A845" t="s">
        <v>445</v>
      </c>
      <c r="B845" s="2">
        <v>45525</v>
      </c>
      <c r="C845">
        <v>245.80199999999999</v>
      </c>
      <c r="D845" t="s">
        <v>1807</v>
      </c>
      <c r="E845">
        <v>57</v>
      </c>
      <c r="F845" t="s">
        <v>16</v>
      </c>
      <c r="G845" t="s">
        <v>1549</v>
      </c>
      <c r="H845" t="s">
        <v>1737</v>
      </c>
      <c r="L845" s="2">
        <v>45525</v>
      </c>
      <c r="M845">
        <v>245.80199999999999</v>
      </c>
      <c r="R845" t="s">
        <v>1807</v>
      </c>
      <c r="S845">
        <v>245.80199999999999</v>
      </c>
      <c r="W845" s="12" t="s">
        <v>16</v>
      </c>
      <c r="X845" s="12" t="s">
        <v>1549</v>
      </c>
      <c r="Y845">
        <v>245.80199999999999</v>
      </c>
      <c r="AF845">
        <v>245.80199999999999</v>
      </c>
      <c r="AG845" t="s">
        <v>1737</v>
      </c>
    </row>
    <row r="846" spans="1:33" x14ac:dyDescent="0.3">
      <c r="A846" t="s">
        <v>1396</v>
      </c>
      <c r="B846" s="2">
        <v>45527</v>
      </c>
      <c r="C846">
        <v>1686.4275</v>
      </c>
      <c r="D846" t="s">
        <v>1807</v>
      </c>
      <c r="E846">
        <v>62</v>
      </c>
      <c r="F846" t="s">
        <v>16</v>
      </c>
      <c r="G846" t="s">
        <v>1546</v>
      </c>
      <c r="H846" t="s">
        <v>1742</v>
      </c>
      <c r="L846" s="2">
        <v>45527</v>
      </c>
      <c r="M846">
        <v>1686.4275</v>
      </c>
      <c r="R846" t="s">
        <v>1807</v>
      </c>
      <c r="S846">
        <v>1686.4275</v>
      </c>
      <c r="W846" s="11" t="s">
        <v>16</v>
      </c>
      <c r="X846" s="11" t="s">
        <v>1546</v>
      </c>
      <c r="Y846">
        <v>1686.4275</v>
      </c>
      <c r="AF846">
        <v>1686.4275</v>
      </c>
      <c r="AG846" t="s">
        <v>1742</v>
      </c>
    </row>
    <row r="847" spans="1:33" x14ac:dyDescent="0.3">
      <c r="A847" t="s">
        <v>996</v>
      </c>
      <c r="B847" s="2">
        <v>45265</v>
      </c>
      <c r="C847">
        <v>460.96080000000001</v>
      </c>
      <c r="D847" t="s">
        <v>1809</v>
      </c>
      <c r="E847">
        <v>34</v>
      </c>
      <c r="F847" t="s">
        <v>16</v>
      </c>
      <c r="G847" t="s">
        <v>1546</v>
      </c>
      <c r="H847" t="s">
        <v>1742</v>
      </c>
      <c r="L847" s="2">
        <v>45265</v>
      </c>
      <c r="M847">
        <v>460.96080000000001</v>
      </c>
      <c r="R847" t="s">
        <v>1809</v>
      </c>
      <c r="S847">
        <v>460.96080000000001</v>
      </c>
      <c r="W847" s="12" t="s">
        <v>16</v>
      </c>
      <c r="X847" s="12" t="s">
        <v>1546</v>
      </c>
      <c r="Y847">
        <v>460.96080000000001</v>
      </c>
      <c r="AF847">
        <v>460.96080000000001</v>
      </c>
      <c r="AG847" t="s">
        <v>1742</v>
      </c>
    </row>
    <row r="848" spans="1:33" x14ac:dyDescent="0.3">
      <c r="A848" t="s">
        <v>1437</v>
      </c>
      <c r="B848" s="2">
        <v>45936</v>
      </c>
      <c r="C848">
        <v>1555.4619</v>
      </c>
      <c r="D848" t="s">
        <v>1809</v>
      </c>
      <c r="E848">
        <v>42</v>
      </c>
      <c r="F848" t="s">
        <v>9</v>
      </c>
      <c r="G848" t="s">
        <v>1549</v>
      </c>
      <c r="H848" t="s">
        <v>1742</v>
      </c>
      <c r="L848" s="2">
        <v>45936</v>
      </c>
      <c r="M848">
        <v>1555.4619</v>
      </c>
      <c r="R848" t="s">
        <v>1809</v>
      </c>
      <c r="S848">
        <v>1555.4619</v>
      </c>
      <c r="W848" s="11" t="s">
        <v>9</v>
      </c>
      <c r="X848" s="11" t="s">
        <v>1549</v>
      </c>
      <c r="Y848">
        <v>1555.4619</v>
      </c>
      <c r="AF848">
        <v>1555.4619</v>
      </c>
      <c r="AG848" t="s">
        <v>1742</v>
      </c>
    </row>
    <row r="849" spans="1:33" x14ac:dyDescent="0.3">
      <c r="A849" t="s">
        <v>682</v>
      </c>
      <c r="B849" s="2">
        <v>45242</v>
      </c>
      <c r="C849">
        <v>171.45179999999999</v>
      </c>
      <c r="D849" t="s">
        <v>1812</v>
      </c>
      <c r="E849">
        <v>63</v>
      </c>
      <c r="F849" t="s">
        <v>16</v>
      </c>
      <c r="G849" t="s">
        <v>1549</v>
      </c>
      <c r="H849" t="s">
        <v>1742</v>
      </c>
      <c r="L849" s="2">
        <v>45242</v>
      </c>
      <c r="M849">
        <v>171.45179999999999</v>
      </c>
      <c r="R849" t="s">
        <v>1812</v>
      </c>
      <c r="S849">
        <v>171.45179999999999</v>
      </c>
      <c r="W849" s="12" t="s">
        <v>16</v>
      </c>
      <c r="X849" s="12" t="s">
        <v>1549</v>
      </c>
      <c r="Y849">
        <v>171.45179999999999</v>
      </c>
      <c r="AF849">
        <v>171.45179999999999</v>
      </c>
      <c r="AG849" t="s">
        <v>1742</v>
      </c>
    </row>
    <row r="850" spans="1:33" x14ac:dyDescent="0.3">
      <c r="A850" t="s">
        <v>1511</v>
      </c>
      <c r="B850" s="2">
        <v>45437</v>
      </c>
      <c r="C850">
        <v>2579.2651999999998</v>
      </c>
      <c r="D850" t="s">
        <v>1807</v>
      </c>
      <c r="E850">
        <v>35</v>
      </c>
      <c r="F850" t="s">
        <v>9</v>
      </c>
      <c r="G850" t="s">
        <v>1527</v>
      </c>
      <c r="H850" t="s">
        <v>1742</v>
      </c>
      <c r="L850" s="2">
        <v>45437</v>
      </c>
      <c r="M850">
        <v>2579.2651999999998</v>
      </c>
      <c r="R850" t="s">
        <v>1807</v>
      </c>
      <c r="S850">
        <v>2579.2651999999998</v>
      </c>
      <c r="W850" s="11" t="s">
        <v>9</v>
      </c>
      <c r="X850" s="11" t="s">
        <v>1527</v>
      </c>
      <c r="Y850">
        <v>2579.2651999999998</v>
      </c>
      <c r="AF850">
        <v>2579.2651999999998</v>
      </c>
      <c r="AG850" t="s">
        <v>1742</v>
      </c>
    </row>
    <row r="851" spans="1:33" x14ac:dyDescent="0.3">
      <c r="A851" t="s">
        <v>747</v>
      </c>
      <c r="B851" s="2">
        <v>45627</v>
      </c>
      <c r="C851">
        <v>1263.5904</v>
      </c>
      <c r="D851" t="s">
        <v>1812</v>
      </c>
      <c r="E851">
        <v>28</v>
      </c>
      <c r="F851" t="s">
        <v>16</v>
      </c>
      <c r="G851" t="s">
        <v>1549</v>
      </c>
      <c r="H851" t="s">
        <v>1742</v>
      </c>
      <c r="L851" s="2">
        <v>45627</v>
      </c>
      <c r="M851">
        <v>1263.5904</v>
      </c>
      <c r="R851" t="s">
        <v>1812</v>
      </c>
      <c r="S851">
        <v>1263.5904</v>
      </c>
      <c r="W851" s="12" t="s">
        <v>16</v>
      </c>
      <c r="X851" s="12" t="s">
        <v>1549</v>
      </c>
      <c r="Y851">
        <v>1263.5904</v>
      </c>
      <c r="AF851">
        <v>1263.5904</v>
      </c>
      <c r="AG851" t="s">
        <v>1742</v>
      </c>
    </row>
    <row r="852" spans="1:33" x14ac:dyDescent="0.3">
      <c r="A852" t="s">
        <v>368</v>
      </c>
      <c r="B852" s="2">
        <v>45678</v>
      </c>
      <c r="C852">
        <v>907.70659999999998</v>
      </c>
      <c r="D852" t="s">
        <v>1809</v>
      </c>
      <c r="E852">
        <v>53</v>
      </c>
      <c r="F852" t="s">
        <v>16</v>
      </c>
      <c r="G852" t="s">
        <v>1527</v>
      </c>
      <c r="H852" t="s">
        <v>1742</v>
      </c>
      <c r="L852" s="2">
        <v>45678</v>
      </c>
      <c r="M852">
        <v>907.70659999999998</v>
      </c>
      <c r="R852" t="s">
        <v>1809</v>
      </c>
      <c r="S852">
        <v>907.70659999999998</v>
      </c>
      <c r="W852" s="11" t="s">
        <v>16</v>
      </c>
      <c r="X852" s="11" t="s">
        <v>1527</v>
      </c>
      <c r="Y852">
        <v>907.70659999999998</v>
      </c>
      <c r="AF852">
        <v>907.70659999999998</v>
      </c>
      <c r="AG852" t="s">
        <v>1742</v>
      </c>
    </row>
    <row r="853" spans="1:33" x14ac:dyDescent="0.3">
      <c r="A853" t="s">
        <v>999</v>
      </c>
      <c r="B853" s="2">
        <v>45484</v>
      </c>
      <c r="C853">
        <v>1912.96</v>
      </c>
      <c r="D853" t="s">
        <v>1807</v>
      </c>
      <c r="E853">
        <v>21</v>
      </c>
      <c r="F853" t="s">
        <v>16</v>
      </c>
      <c r="G853" t="s">
        <v>1541</v>
      </c>
      <c r="H853" t="s">
        <v>1742</v>
      </c>
      <c r="L853" s="2">
        <v>45484</v>
      </c>
      <c r="M853">
        <v>1912.96</v>
      </c>
      <c r="R853" t="s">
        <v>1807</v>
      </c>
      <c r="S853">
        <v>1912.96</v>
      </c>
      <c r="W853" s="12" t="s">
        <v>16</v>
      </c>
      <c r="X853" s="12" t="s">
        <v>1541</v>
      </c>
      <c r="Y853">
        <v>1912.96</v>
      </c>
      <c r="AF853">
        <v>1912.96</v>
      </c>
      <c r="AG853" t="s">
        <v>1742</v>
      </c>
    </row>
    <row r="854" spans="1:33" x14ac:dyDescent="0.3">
      <c r="A854" t="s">
        <v>821</v>
      </c>
      <c r="B854" s="2">
        <v>45700</v>
      </c>
      <c r="C854">
        <v>897.05280000000005</v>
      </c>
      <c r="D854" t="s">
        <v>1807</v>
      </c>
      <c r="E854">
        <v>63</v>
      </c>
      <c r="F854" t="s">
        <v>16</v>
      </c>
      <c r="G854" t="s">
        <v>1546</v>
      </c>
      <c r="H854" t="s">
        <v>1742</v>
      </c>
      <c r="L854" s="2">
        <v>45700</v>
      </c>
      <c r="M854">
        <v>897.05280000000005</v>
      </c>
      <c r="R854" t="s">
        <v>1807</v>
      </c>
      <c r="S854">
        <v>897.05280000000005</v>
      </c>
      <c r="W854" s="11" t="s">
        <v>16</v>
      </c>
      <c r="X854" s="11" t="s">
        <v>1546</v>
      </c>
      <c r="Y854">
        <v>897.05280000000005</v>
      </c>
      <c r="AF854">
        <v>897.05280000000005</v>
      </c>
      <c r="AG854" t="s">
        <v>1742</v>
      </c>
    </row>
    <row r="855" spans="1:33" x14ac:dyDescent="0.3">
      <c r="A855" t="s">
        <v>1253</v>
      </c>
      <c r="B855" s="2">
        <v>45873</v>
      </c>
      <c r="C855">
        <v>1048.1238000000001</v>
      </c>
      <c r="D855" t="s">
        <v>1807</v>
      </c>
      <c r="E855">
        <v>36</v>
      </c>
      <c r="F855" t="s">
        <v>9</v>
      </c>
      <c r="G855" t="s">
        <v>1527</v>
      </c>
      <c r="H855" t="s">
        <v>1742</v>
      </c>
      <c r="L855" s="2">
        <v>45873</v>
      </c>
      <c r="M855">
        <v>1048.1238000000001</v>
      </c>
      <c r="R855" t="s">
        <v>1807</v>
      </c>
      <c r="S855">
        <v>1048.1238000000001</v>
      </c>
      <c r="W855" s="12" t="s">
        <v>9</v>
      </c>
      <c r="X855" s="12" t="s">
        <v>1527</v>
      </c>
      <c r="Y855">
        <v>1048.1238000000001</v>
      </c>
      <c r="AF855">
        <v>1048.1238000000001</v>
      </c>
      <c r="AG855" t="s">
        <v>1742</v>
      </c>
    </row>
    <row r="856" spans="1:33" x14ac:dyDescent="0.3">
      <c r="A856" t="s">
        <v>1124</v>
      </c>
      <c r="B856" s="2">
        <v>45860</v>
      </c>
      <c r="C856">
        <v>705.11850000000004</v>
      </c>
      <c r="D856" t="s">
        <v>1812</v>
      </c>
      <c r="E856">
        <v>58</v>
      </c>
      <c r="F856" t="s">
        <v>9</v>
      </c>
      <c r="G856" t="s">
        <v>1527</v>
      </c>
      <c r="H856" t="s">
        <v>1737</v>
      </c>
      <c r="L856" s="2">
        <v>45860</v>
      </c>
      <c r="M856">
        <v>705.11850000000004</v>
      </c>
      <c r="R856" t="s">
        <v>1812</v>
      </c>
      <c r="S856">
        <v>705.11850000000004</v>
      </c>
      <c r="W856" s="11" t="s">
        <v>9</v>
      </c>
      <c r="X856" s="11" t="s">
        <v>1527</v>
      </c>
      <c r="Y856">
        <v>705.11850000000004</v>
      </c>
      <c r="AF856">
        <v>705.11850000000004</v>
      </c>
      <c r="AG856" t="s">
        <v>1737</v>
      </c>
    </row>
    <row r="857" spans="1:33" x14ac:dyDescent="0.3">
      <c r="A857" t="s">
        <v>282</v>
      </c>
      <c r="B857" s="2">
        <v>45235</v>
      </c>
      <c r="C857">
        <v>1558.4646</v>
      </c>
      <c r="D857" t="s">
        <v>1807</v>
      </c>
      <c r="E857">
        <v>22</v>
      </c>
      <c r="F857" t="s">
        <v>16</v>
      </c>
      <c r="G857" t="s">
        <v>1549</v>
      </c>
      <c r="H857" t="s">
        <v>1742</v>
      </c>
      <c r="L857" s="2">
        <v>45235</v>
      </c>
      <c r="M857">
        <v>1558.4646</v>
      </c>
      <c r="R857" t="s">
        <v>1807</v>
      </c>
      <c r="S857">
        <v>1558.4646</v>
      </c>
      <c r="W857" s="12" t="s">
        <v>16</v>
      </c>
      <c r="X857" s="12" t="s">
        <v>1549</v>
      </c>
      <c r="Y857">
        <v>1558.4646</v>
      </c>
      <c r="AF857">
        <v>1558.4646</v>
      </c>
      <c r="AG857" t="s">
        <v>1742</v>
      </c>
    </row>
    <row r="858" spans="1:33" x14ac:dyDescent="0.3">
      <c r="A858" t="s">
        <v>1276</v>
      </c>
      <c r="B858" s="2">
        <v>45874</v>
      </c>
      <c r="C858">
        <v>667.20539999999994</v>
      </c>
      <c r="D858" t="s">
        <v>1809</v>
      </c>
      <c r="E858">
        <v>46</v>
      </c>
      <c r="F858" t="s">
        <v>9</v>
      </c>
      <c r="G858" t="s">
        <v>1546</v>
      </c>
      <c r="H858" t="s">
        <v>1746</v>
      </c>
      <c r="L858" s="2">
        <v>45874</v>
      </c>
      <c r="M858">
        <v>667.20539999999994</v>
      </c>
      <c r="R858" t="s">
        <v>1809</v>
      </c>
      <c r="S858">
        <v>667.20539999999994</v>
      </c>
      <c r="W858" s="11" t="s">
        <v>9</v>
      </c>
      <c r="X858" s="11" t="s">
        <v>1546</v>
      </c>
      <c r="Y858">
        <v>667.20539999999994</v>
      </c>
      <c r="AF858">
        <v>667.20539999999994</v>
      </c>
      <c r="AG858" t="s">
        <v>1746</v>
      </c>
    </row>
    <row r="859" spans="1:33" x14ac:dyDescent="0.3">
      <c r="A859" t="s">
        <v>981</v>
      </c>
      <c r="B859" s="2">
        <v>45769</v>
      </c>
      <c r="C859">
        <v>1289.3399999999999</v>
      </c>
      <c r="D859" t="s">
        <v>1809</v>
      </c>
      <c r="E859">
        <v>49</v>
      </c>
      <c r="F859" t="s">
        <v>9</v>
      </c>
      <c r="G859" t="s">
        <v>1546</v>
      </c>
      <c r="H859" t="s">
        <v>1742</v>
      </c>
      <c r="L859" s="2">
        <v>45769</v>
      </c>
      <c r="M859">
        <v>1289.3399999999999</v>
      </c>
      <c r="R859" t="s">
        <v>1809</v>
      </c>
      <c r="S859">
        <v>1289.3399999999999</v>
      </c>
      <c r="W859" s="12" t="s">
        <v>9</v>
      </c>
      <c r="X859" s="12" t="s">
        <v>1546</v>
      </c>
      <c r="Y859">
        <v>1289.3399999999999</v>
      </c>
      <c r="AF859">
        <v>1289.3399999999999</v>
      </c>
      <c r="AG859" t="s">
        <v>1742</v>
      </c>
    </row>
    <row r="860" spans="1:33" x14ac:dyDescent="0.3">
      <c r="A860" t="s">
        <v>1110</v>
      </c>
      <c r="B860" s="2">
        <v>45619</v>
      </c>
      <c r="C860">
        <v>661.59</v>
      </c>
      <c r="D860" t="s">
        <v>1809</v>
      </c>
      <c r="E860">
        <v>32</v>
      </c>
      <c r="F860" t="s">
        <v>9</v>
      </c>
      <c r="G860" t="s">
        <v>1549</v>
      </c>
      <c r="H860" t="s">
        <v>1742</v>
      </c>
      <c r="L860" s="2">
        <v>45619</v>
      </c>
      <c r="M860">
        <v>661.59</v>
      </c>
      <c r="R860" t="s">
        <v>1809</v>
      </c>
      <c r="S860">
        <v>661.59</v>
      </c>
      <c r="W860" s="11" t="s">
        <v>9</v>
      </c>
      <c r="X860" s="11" t="s">
        <v>1549</v>
      </c>
      <c r="Y860">
        <v>661.59</v>
      </c>
      <c r="AF860">
        <v>661.59</v>
      </c>
      <c r="AG860" t="s">
        <v>1742</v>
      </c>
    </row>
    <row r="861" spans="1:33" x14ac:dyDescent="0.3">
      <c r="A861" t="s">
        <v>457</v>
      </c>
      <c r="B861" s="2">
        <v>45614</v>
      </c>
      <c r="C861">
        <v>1278.3675000000001</v>
      </c>
      <c r="D861" t="s">
        <v>1807</v>
      </c>
      <c r="E861">
        <v>29</v>
      </c>
      <c r="F861" t="s">
        <v>9</v>
      </c>
      <c r="G861" t="s">
        <v>1527</v>
      </c>
      <c r="H861" t="s">
        <v>1746</v>
      </c>
      <c r="L861" s="2">
        <v>45614</v>
      </c>
      <c r="M861">
        <v>1278.3675000000001</v>
      </c>
      <c r="R861" t="s">
        <v>1807</v>
      </c>
      <c r="S861">
        <v>1278.3675000000001</v>
      </c>
      <c r="W861" s="12" t="s">
        <v>9</v>
      </c>
      <c r="X861" s="12" t="s">
        <v>1527</v>
      </c>
      <c r="Y861">
        <v>1278.3675000000001</v>
      </c>
      <c r="AF861">
        <v>1278.3675000000001</v>
      </c>
      <c r="AG861" t="s">
        <v>1746</v>
      </c>
    </row>
    <row r="862" spans="1:33" x14ac:dyDescent="0.3">
      <c r="A862" t="s">
        <v>219</v>
      </c>
      <c r="B862" s="2">
        <v>45691</v>
      </c>
      <c r="C862">
        <v>2524.8384000000001</v>
      </c>
      <c r="D862" t="s">
        <v>1812</v>
      </c>
      <c r="E862">
        <v>22</v>
      </c>
      <c r="F862" t="s">
        <v>16</v>
      </c>
      <c r="G862" t="s">
        <v>1527</v>
      </c>
      <c r="H862" t="s">
        <v>1742</v>
      </c>
      <c r="L862" s="2">
        <v>45691</v>
      </c>
      <c r="M862">
        <v>2524.8384000000001</v>
      </c>
      <c r="R862" t="s">
        <v>1812</v>
      </c>
      <c r="S862">
        <v>2524.8384000000001</v>
      </c>
      <c r="W862" s="11" t="s">
        <v>16</v>
      </c>
      <c r="X862" s="11" t="s">
        <v>1527</v>
      </c>
      <c r="Y862">
        <v>2524.8384000000001</v>
      </c>
      <c r="AF862">
        <v>2524.8384000000001</v>
      </c>
      <c r="AG862" t="s">
        <v>1742</v>
      </c>
    </row>
    <row r="863" spans="1:33" x14ac:dyDescent="0.3">
      <c r="A863" t="s">
        <v>1175</v>
      </c>
      <c r="B863" s="2">
        <v>45608</v>
      </c>
      <c r="C863">
        <v>1373.2991999999999</v>
      </c>
      <c r="D863" t="s">
        <v>1812</v>
      </c>
      <c r="E863">
        <v>50</v>
      </c>
      <c r="F863" t="s">
        <v>9</v>
      </c>
      <c r="G863" t="s">
        <v>1527</v>
      </c>
      <c r="H863" t="s">
        <v>1742</v>
      </c>
      <c r="L863" s="2">
        <v>45608</v>
      </c>
      <c r="M863">
        <v>1373.2991999999999</v>
      </c>
      <c r="R863" t="s">
        <v>1812</v>
      </c>
      <c r="S863">
        <v>1373.2991999999999</v>
      </c>
      <c r="W863" s="12" t="s">
        <v>9</v>
      </c>
      <c r="X863" s="12" t="s">
        <v>1527</v>
      </c>
      <c r="Y863">
        <v>1373.2991999999999</v>
      </c>
      <c r="AF863">
        <v>1373.2991999999999</v>
      </c>
      <c r="AG863" t="s">
        <v>1742</v>
      </c>
    </row>
    <row r="864" spans="1:33" x14ac:dyDescent="0.3">
      <c r="A864" t="s">
        <v>889</v>
      </c>
      <c r="B864" s="2">
        <v>45412</v>
      </c>
      <c r="C864">
        <v>2250.2979999999998</v>
      </c>
      <c r="D864" t="s">
        <v>1807</v>
      </c>
      <c r="E864">
        <v>54</v>
      </c>
      <c r="F864" t="s">
        <v>16</v>
      </c>
      <c r="G864" t="s">
        <v>1541</v>
      </c>
      <c r="H864" t="s">
        <v>1742</v>
      </c>
      <c r="L864" s="2">
        <v>45412</v>
      </c>
      <c r="M864">
        <v>2250.2979999999998</v>
      </c>
      <c r="R864" t="s">
        <v>1807</v>
      </c>
      <c r="S864">
        <v>2250.2979999999998</v>
      </c>
      <c r="W864" s="11" t="s">
        <v>16</v>
      </c>
      <c r="X864" s="11" t="s">
        <v>1541</v>
      </c>
      <c r="Y864">
        <v>2250.2979999999998</v>
      </c>
      <c r="AF864">
        <v>2250.2979999999998</v>
      </c>
      <c r="AG864" t="s">
        <v>1742</v>
      </c>
    </row>
    <row r="865" spans="1:33" x14ac:dyDescent="0.3">
      <c r="A865" t="s">
        <v>658</v>
      </c>
      <c r="B865" s="2">
        <v>45767</v>
      </c>
      <c r="C865">
        <v>629.74340000000007</v>
      </c>
      <c r="D865" t="s">
        <v>1812</v>
      </c>
      <c r="E865">
        <v>52</v>
      </c>
      <c r="F865" t="s">
        <v>9</v>
      </c>
      <c r="G865" t="s">
        <v>1527</v>
      </c>
      <c r="H865" t="s">
        <v>1737</v>
      </c>
      <c r="L865" s="2">
        <v>45767</v>
      </c>
      <c r="M865">
        <v>629.74340000000007</v>
      </c>
      <c r="R865" t="s">
        <v>1812</v>
      </c>
      <c r="S865">
        <v>629.74340000000007</v>
      </c>
      <c r="W865" s="12" t="s">
        <v>9</v>
      </c>
      <c r="X865" s="12" t="s">
        <v>1527</v>
      </c>
      <c r="Y865">
        <v>629.74340000000007</v>
      </c>
      <c r="AF865">
        <v>629.74340000000007</v>
      </c>
      <c r="AG865" t="s">
        <v>1737</v>
      </c>
    </row>
    <row r="866" spans="1:33" x14ac:dyDescent="0.3">
      <c r="A866" t="s">
        <v>1081</v>
      </c>
      <c r="B866" s="2">
        <v>45428</v>
      </c>
      <c r="C866">
        <v>607.64800000000002</v>
      </c>
      <c r="D866" t="s">
        <v>1807</v>
      </c>
      <c r="E866">
        <v>31</v>
      </c>
      <c r="F866" t="s">
        <v>9</v>
      </c>
      <c r="G866" t="s">
        <v>1527</v>
      </c>
      <c r="H866" t="s">
        <v>1742</v>
      </c>
      <c r="L866" s="2">
        <v>45428</v>
      </c>
      <c r="M866">
        <v>607.64800000000002</v>
      </c>
      <c r="R866" t="s">
        <v>1807</v>
      </c>
      <c r="S866">
        <v>607.64800000000002</v>
      </c>
      <c r="W866" s="11" t="s">
        <v>9</v>
      </c>
      <c r="X866" s="11" t="s">
        <v>1527</v>
      </c>
      <c r="Y866">
        <v>607.64800000000002</v>
      </c>
      <c r="AF866">
        <v>607.64800000000002</v>
      </c>
      <c r="AG866" t="s">
        <v>1742</v>
      </c>
    </row>
    <row r="867" spans="1:33" x14ac:dyDescent="0.3">
      <c r="A867" t="s">
        <v>789</v>
      </c>
      <c r="B867" s="2">
        <v>45770</v>
      </c>
      <c r="C867">
        <v>2495.2049999999999</v>
      </c>
      <c r="D867" t="s">
        <v>1809</v>
      </c>
      <c r="E867">
        <v>41</v>
      </c>
      <c r="F867" t="s">
        <v>16</v>
      </c>
      <c r="G867" t="s">
        <v>1546</v>
      </c>
      <c r="H867" t="s">
        <v>1767</v>
      </c>
      <c r="L867" s="2">
        <v>45770</v>
      </c>
      <c r="M867">
        <v>2495.2049999999999</v>
      </c>
      <c r="R867" t="s">
        <v>1809</v>
      </c>
      <c r="S867">
        <v>2495.2049999999999</v>
      </c>
      <c r="W867" s="12" t="s">
        <v>16</v>
      </c>
      <c r="X867" s="12" t="s">
        <v>1546</v>
      </c>
      <c r="Y867">
        <v>2495.2049999999999</v>
      </c>
      <c r="AF867">
        <v>2495.2049999999999</v>
      </c>
      <c r="AG867" t="s">
        <v>1767</v>
      </c>
    </row>
    <row r="868" spans="1:33" x14ac:dyDescent="0.3">
      <c r="A868" t="s">
        <v>1431</v>
      </c>
      <c r="B868" s="2">
        <v>45571</v>
      </c>
      <c r="C868">
        <v>308.14710000000002</v>
      </c>
      <c r="D868" t="s">
        <v>1812</v>
      </c>
      <c r="E868">
        <v>21</v>
      </c>
      <c r="F868" t="s">
        <v>16</v>
      </c>
      <c r="G868" t="s">
        <v>1549</v>
      </c>
      <c r="H868" t="s">
        <v>1742</v>
      </c>
      <c r="L868" s="2">
        <v>45571</v>
      </c>
      <c r="M868">
        <v>308.14710000000002</v>
      </c>
      <c r="R868" t="s">
        <v>1812</v>
      </c>
      <c r="S868">
        <v>308.14710000000002</v>
      </c>
      <c r="W868" s="11" t="s">
        <v>16</v>
      </c>
      <c r="X868" s="11" t="s">
        <v>1549</v>
      </c>
      <c r="Y868">
        <v>308.14710000000002</v>
      </c>
      <c r="AF868">
        <v>308.14710000000002</v>
      </c>
      <c r="AG868" t="s">
        <v>1742</v>
      </c>
    </row>
    <row r="869" spans="1:33" x14ac:dyDescent="0.3">
      <c r="A869" t="s">
        <v>415</v>
      </c>
      <c r="B869" s="2">
        <v>45700</v>
      </c>
      <c r="C869">
        <v>1200.9059999999999</v>
      </c>
      <c r="D869" t="s">
        <v>1809</v>
      </c>
      <c r="E869">
        <v>50</v>
      </c>
      <c r="F869" t="s">
        <v>9</v>
      </c>
      <c r="G869" t="s">
        <v>1527</v>
      </c>
      <c r="H869" t="s">
        <v>1742</v>
      </c>
      <c r="L869" s="2">
        <v>45700</v>
      </c>
      <c r="M869">
        <v>1200.9059999999999</v>
      </c>
      <c r="R869" t="s">
        <v>1809</v>
      </c>
      <c r="S869">
        <v>1200.9059999999999</v>
      </c>
      <c r="W869" s="12" t="s">
        <v>9</v>
      </c>
      <c r="X869" s="12" t="s">
        <v>1527</v>
      </c>
      <c r="Y869">
        <v>1200.9059999999999</v>
      </c>
      <c r="AF869">
        <v>1200.9059999999999</v>
      </c>
      <c r="AG869" t="s">
        <v>1742</v>
      </c>
    </row>
    <row r="870" spans="1:33" x14ac:dyDescent="0.3">
      <c r="A870" t="s">
        <v>1239</v>
      </c>
      <c r="B870" s="2">
        <v>45382</v>
      </c>
      <c r="C870">
        <v>767.98800000000006</v>
      </c>
      <c r="D870" t="s">
        <v>1807</v>
      </c>
      <c r="E870">
        <v>34</v>
      </c>
      <c r="F870" t="s">
        <v>9</v>
      </c>
      <c r="G870" t="s">
        <v>1541</v>
      </c>
      <c r="H870" t="s">
        <v>1742</v>
      </c>
      <c r="L870" s="2">
        <v>45382</v>
      </c>
      <c r="M870">
        <v>767.98800000000006</v>
      </c>
      <c r="R870" t="s">
        <v>1807</v>
      </c>
      <c r="S870">
        <v>767.98800000000006</v>
      </c>
      <c r="W870" s="11" t="s">
        <v>9</v>
      </c>
      <c r="X870" s="11" t="s">
        <v>1541</v>
      </c>
      <c r="Y870">
        <v>767.98800000000006</v>
      </c>
      <c r="AF870">
        <v>767.98800000000006</v>
      </c>
      <c r="AG870" t="s">
        <v>1742</v>
      </c>
    </row>
    <row r="871" spans="1:33" x14ac:dyDescent="0.3">
      <c r="A871" t="s">
        <v>880</v>
      </c>
      <c r="B871" s="2">
        <v>45260</v>
      </c>
      <c r="C871">
        <v>139.29</v>
      </c>
      <c r="D871" t="s">
        <v>1807</v>
      </c>
      <c r="E871">
        <v>48</v>
      </c>
      <c r="F871" t="s">
        <v>9</v>
      </c>
      <c r="G871" t="s">
        <v>1546</v>
      </c>
      <c r="H871" t="s">
        <v>1767</v>
      </c>
      <c r="L871" s="2">
        <v>45260</v>
      </c>
      <c r="M871">
        <v>139.29</v>
      </c>
      <c r="R871" t="s">
        <v>1807</v>
      </c>
      <c r="S871">
        <v>139.29</v>
      </c>
      <c r="W871" s="12" t="s">
        <v>9</v>
      </c>
      <c r="X871" s="12" t="s">
        <v>1546</v>
      </c>
      <c r="Y871">
        <v>139.29</v>
      </c>
      <c r="AF871">
        <v>139.29</v>
      </c>
      <c r="AG871" t="s">
        <v>1767</v>
      </c>
    </row>
    <row r="872" spans="1:33" x14ac:dyDescent="0.3">
      <c r="A872" t="s">
        <v>3935</v>
      </c>
      <c r="B872" s="2">
        <v>45702</v>
      </c>
      <c r="C872">
        <v>1240.8389999999999</v>
      </c>
      <c r="D872" t="s">
        <v>1812</v>
      </c>
      <c r="E872">
        <v>27</v>
      </c>
      <c r="F872" t="s">
        <v>16</v>
      </c>
      <c r="G872" t="s">
        <v>1541</v>
      </c>
      <c r="H872" t="s">
        <v>1767</v>
      </c>
      <c r="L872" s="2">
        <v>45702</v>
      </c>
      <c r="M872">
        <v>1240.8389999999999</v>
      </c>
      <c r="R872" t="s">
        <v>1812</v>
      </c>
      <c r="S872">
        <v>1240.8389999999999</v>
      </c>
      <c r="W872" s="11" t="s">
        <v>16</v>
      </c>
      <c r="X872" s="11" t="s">
        <v>1541</v>
      </c>
      <c r="Y872">
        <v>1240.8389999999999</v>
      </c>
      <c r="AF872">
        <v>1240.8389999999999</v>
      </c>
      <c r="AG872" t="s">
        <v>1767</v>
      </c>
    </row>
    <row r="873" spans="1:33" x14ac:dyDescent="0.3">
      <c r="A873" t="s">
        <v>242</v>
      </c>
      <c r="B873" s="2">
        <v>45302</v>
      </c>
      <c r="C873">
        <v>367.65219999999999</v>
      </c>
      <c r="D873" t="s">
        <v>1807</v>
      </c>
      <c r="E873">
        <v>58</v>
      </c>
      <c r="F873" t="s">
        <v>9</v>
      </c>
      <c r="G873" t="s">
        <v>1546</v>
      </c>
      <c r="H873" t="s">
        <v>1742</v>
      </c>
      <c r="L873" s="2">
        <v>45302</v>
      </c>
      <c r="M873">
        <v>367.65219999999999</v>
      </c>
      <c r="R873" t="s">
        <v>1807</v>
      </c>
      <c r="S873">
        <v>367.65219999999999</v>
      </c>
      <c r="W873" s="12" t="s">
        <v>9</v>
      </c>
      <c r="X873" s="12" t="s">
        <v>1546</v>
      </c>
      <c r="Y873">
        <v>367.65219999999999</v>
      </c>
      <c r="AF873">
        <v>367.65219999999999</v>
      </c>
      <c r="AG873" t="s">
        <v>1742</v>
      </c>
    </row>
    <row r="874" spans="1:33" x14ac:dyDescent="0.3">
      <c r="A874" t="s">
        <v>1172</v>
      </c>
      <c r="B874" s="2">
        <v>45653</v>
      </c>
      <c r="C874">
        <v>802.1579999999999</v>
      </c>
      <c r="D874" t="s">
        <v>1812</v>
      </c>
      <c r="E874">
        <v>23</v>
      </c>
      <c r="F874" t="s">
        <v>9</v>
      </c>
      <c r="G874" t="s">
        <v>1546</v>
      </c>
      <c r="H874" t="s">
        <v>1737</v>
      </c>
      <c r="L874" s="2">
        <v>45653</v>
      </c>
      <c r="M874">
        <v>802.1579999999999</v>
      </c>
      <c r="R874" t="s">
        <v>1812</v>
      </c>
      <c r="S874">
        <v>802.1579999999999</v>
      </c>
      <c r="W874" s="11" t="s">
        <v>9</v>
      </c>
      <c r="X874" s="11" t="s">
        <v>1546</v>
      </c>
      <c r="Y874">
        <v>802.1579999999999</v>
      </c>
      <c r="AF874">
        <v>802.1579999999999</v>
      </c>
      <c r="AG874" t="s">
        <v>1737</v>
      </c>
    </row>
    <row r="875" spans="1:33" x14ac:dyDescent="0.3">
      <c r="A875" t="s">
        <v>1390</v>
      </c>
      <c r="B875" s="2">
        <v>45250</v>
      </c>
      <c r="C875">
        <v>595.14840000000004</v>
      </c>
      <c r="D875" t="s">
        <v>1812</v>
      </c>
      <c r="E875">
        <v>59</v>
      </c>
      <c r="F875" t="s">
        <v>16</v>
      </c>
      <c r="G875" t="s">
        <v>1527</v>
      </c>
      <c r="H875" t="s">
        <v>1746</v>
      </c>
      <c r="L875" s="2">
        <v>45250</v>
      </c>
      <c r="M875">
        <v>595.14840000000004</v>
      </c>
      <c r="R875" t="s">
        <v>1812</v>
      </c>
      <c r="S875">
        <v>595.14840000000004</v>
      </c>
      <c r="W875" s="12" t="s">
        <v>16</v>
      </c>
      <c r="X875" s="12" t="s">
        <v>1527</v>
      </c>
      <c r="Y875">
        <v>595.14840000000004</v>
      </c>
      <c r="AF875">
        <v>595.14840000000004</v>
      </c>
      <c r="AG875" t="s">
        <v>1746</v>
      </c>
    </row>
    <row r="876" spans="1:33" x14ac:dyDescent="0.3">
      <c r="A876" t="s">
        <v>635</v>
      </c>
      <c r="B876" s="2">
        <v>45661</v>
      </c>
      <c r="C876">
        <v>229.88249999999999</v>
      </c>
      <c r="D876" t="s">
        <v>1812</v>
      </c>
      <c r="E876">
        <v>18</v>
      </c>
      <c r="F876" t="s">
        <v>16</v>
      </c>
      <c r="G876" t="s">
        <v>1549</v>
      </c>
      <c r="H876" t="s">
        <v>1742</v>
      </c>
      <c r="L876" s="2">
        <v>45661</v>
      </c>
      <c r="M876">
        <v>229.88249999999999</v>
      </c>
      <c r="R876" t="s">
        <v>1812</v>
      </c>
      <c r="S876">
        <v>229.88249999999999</v>
      </c>
      <c r="W876" s="11" t="s">
        <v>16</v>
      </c>
      <c r="X876" s="11" t="s">
        <v>1549</v>
      </c>
      <c r="Y876">
        <v>229.88249999999999</v>
      </c>
      <c r="AF876">
        <v>229.88249999999999</v>
      </c>
      <c r="AG876" t="s">
        <v>1742</v>
      </c>
    </row>
    <row r="877" spans="1:33" x14ac:dyDescent="0.3">
      <c r="A877" t="s">
        <v>160</v>
      </c>
      <c r="B877" s="2">
        <v>45493</v>
      </c>
      <c r="C877">
        <v>2777.1016</v>
      </c>
      <c r="D877" t="s">
        <v>1812</v>
      </c>
      <c r="E877">
        <v>19</v>
      </c>
      <c r="F877" t="s">
        <v>9</v>
      </c>
      <c r="G877" t="s">
        <v>1546</v>
      </c>
      <c r="H877" t="s">
        <v>1742</v>
      </c>
      <c r="L877" s="2">
        <v>45493</v>
      </c>
      <c r="M877">
        <v>2777.1016</v>
      </c>
      <c r="R877" t="s">
        <v>1812</v>
      </c>
      <c r="S877">
        <v>2777.1016</v>
      </c>
      <c r="W877" s="12" t="s">
        <v>9</v>
      </c>
      <c r="X877" s="12" t="s">
        <v>1546</v>
      </c>
      <c r="Y877">
        <v>2777.1016</v>
      </c>
      <c r="AF877">
        <v>2777.1016</v>
      </c>
      <c r="AG877" t="s">
        <v>1742</v>
      </c>
    </row>
    <row r="878" spans="1:33" x14ac:dyDescent="0.3">
      <c r="A878" t="s">
        <v>1502</v>
      </c>
      <c r="B878" s="2">
        <v>45242</v>
      </c>
      <c r="C878">
        <v>306.77249999999998</v>
      </c>
      <c r="D878" t="s">
        <v>1812</v>
      </c>
      <c r="E878">
        <v>23</v>
      </c>
      <c r="F878" t="s">
        <v>16</v>
      </c>
      <c r="G878" t="s">
        <v>1549</v>
      </c>
      <c r="H878" t="s">
        <v>1742</v>
      </c>
      <c r="L878" s="2">
        <v>45242</v>
      </c>
      <c r="M878">
        <v>306.77249999999998</v>
      </c>
      <c r="R878" t="s">
        <v>1812</v>
      </c>
      <c r="S878">
        <v>306.77249999999998</v>
      </c>
      <c r="W878" s="11" t="s">
        <v>16</v>
      </c>
      <c r="X878" s="11" t="s">
        <v>1549</v>
      </c>
      <c r="Y878">
        <v>306.77249999999998</v>
      </c>
      <c r="AF878">
        <v>306.77249999999998</v>
      </c>
      <c r="AG878" t="s">
        <v>1742</v>
      </c>
    </row>
    <row r="879" spans="1:33" x14ac:dyDescent="0.3">
      <c r="A879" t="s">
        <v>706</v>
      </c>
      <c r="B879" s="2">
        <v>45411</v>
      </c>
      <c r="C879">
        <v>1550.5662</v>
      </c>
      <c r="D879" t="s">
        <v>1807</v>
      </c>
      <c r="E879">
        <v>50</v>
      </c>
      <c r="F879" t="s">
        <v>16</v>
      </c>
      <c r="G879" t="s">
        <v>1530</v>
      </c>
      <c r="H879" t="s">
        <v>1742</v>
      </c>
      <c r="L879" s="2">
        <v>45411</v>
      </c>
      <c r="M879">
        <v>1550.5662</v>
      </c>
      <c r="R879" t="s">
        <v>1807</v>
      </c>
      <c r="S879">
        <v>1550.5662</v>
      </c>
      <c r="W879" s="12" t="s">
        <v>16</v>
      </c>
      <c r="X879" s="12" t="s">
        <v>1530</v>
      </c>
      <c r="Y879">
        <v>1550.5662</v>
      </c>
      <c r="AF879">
        <v>1550.5662</v>
      </c>
      <c r="AG879" t="s">
        <v>1742</v>
      </c>
    </row>
    <row r="880" spans="1:33" x14ac:dyDescent="0.3">
      <c r="A880" t="s">
        <v>131</v>
      </c>
      <c r="B880" s="2">
        <v>45593</v>
      </c>
      <c r="C880">
        <v>437.17020000000002</v>
      </c>
      <c r="D880" t="s">
        <v>1809</v>
      </c>
      <c r="E880">
        <v>25</v>
      </c>
      <c r="F880" t="s">
        <v>9</v>
      </c>
      <c r="G880" t="s">
        <v>1527</v>
      </c>
      <c r="H880" t="s">
        <v>1742</v>
      </c>
      <c r="L880" s="2">
        <v>45593</v>
      </c>
      <c r="M880">
        <v>437.17020000000002</v>
      </c>
      <c r="R880" t="s">
        <v>1809</v>
      </c>
      <c r="S880">
        <v>437.17020000000002</v>
      </c>
      <c r="W880" s="11" t="s">
        <v>9</v>
      </c>
      <c r="X880" s="11" t="s">
        <v>1527</v>
      </c>
      <c r="Y880">
        <v>437.17020000000002</v>
      </c>
      <c r="AF880">
        <v>437.17020000000002</v>
      </c>
      <c r="AG880" t="s">
        <v>1742</v>
      </c>
    </row>
    <row r="881" spans="1:33" x14ac:dyDescent="0.3">
      <c r="A881" t="s">
        <v>531</v>
      </c>
      <c r="B881" s="2">
        <v>45281</v>
      </c>
      <c r="C881">
        <v>1095.864</v>
      </c>
      <c r="D881" t="s">
        <v>1812</v>
      </c>
      <c r="E881">
        <v>18</v>
      </c>
      <c r="F881" t="s">
        <v>16</v>
      </c>
      <c r="G881" t="s">
        <v>1530</v>
      </c>
      <c r="H881" t="s">
        <v>1742</v>
      </c>
      <c r="L881" s="2">
        <v>45281</v>
      </c>
      <c r="M881">
        <v>1095.864</v>
      </c>
      <c r="R881" t="s">
        <v>1812</v>
      </c>
      <c r="S881">
        <v>1095.864</v>
      </c>
      <c r="W881" s="12" t="s">
        <v>16</v>
      </c>
      <c r="X881" s="12" t="s">
        <v>1530</v>
      </c>
      <c r="Y881">
        <v>1095.864</v>
      </c>
      <c r="AF881">
        <v>1095.864</v>
      </c>
      <c r="AG881" t="s">
        <v>1742</v>
      </c>
    </row>
    <row r="882" spans="1:33" x14ac:dyDescent="0.3">
      <c r="A882" t="s">
        <v>418</v>
      </c>
      <c r="B882" s="2">
        <v>45575</v>
      </c>
      <c r="C882">
        <v>637.50080000000014</v>
      </c>
      <c r="D882" t="s">
        <v>1812</v>
      </c>
      <c r="E882">
        <v>40</v>
      </c>
      <c r="F882" t="s">
        <v>9</v>
      </c>
      <c r="G882" t="s">
        <v>1546</v>
      </c>
      <c r="H882" t="s">
        <v>1746</v>
      </c>
      <c r="L882" s="2">
        <v>45575</v>
      </c>
      <c r="M882">
        <v>637.50080000000014</v>
      </c>
      <c r="R882" t="s">
        <v>1812</v>
      </c>
      <c r="S882">
        <v>637.50080000000014</v>
      </c>
      <c r="W882" s="11" t="s">
        <v>9</v>
      </c>
      <c r="X882" s="11" t="s">
        <v>1546</v>
      </c>
      <c r="Y882">
        <v>637.50080000000014</v>
      </c>
      <c r="AF882">
        <v>637.50080000000014</v>
      </c>
      <c r="AG882" t="s">
        <v>1746</v>
      </c>
    </row>
    <row r="883" spans="1:33" x14ac:dyDescent="0.3">
      <c r="A883" t="s">
        <v>510</v>
      </c>
      <c r="B883" s="2">
        <v>45660</v>
      </c>
      <c r="C883">
        <v>1128.9969000000001</v>
      </c>
      <c r="D883" t="s">
        <v>1812</v>
      </c>
      <c r="E883">
        <v>35</v>
      </c>
      <c r="F883" t="s">
        <v>16</v>
      </c>
      <c r="G883" t="s">
        <v>1527</v>
      </c>
      <c r="H883" t="s">
        <v>1742</v>
      </c>
      <c r="L883" s="2">
        <v>45660</v>
      </c>
      <c r="M883">
        <v>1128.9969000000001</v>
      </c>
      <c r="R883" t="s">
        <v>1812</v>
      </c>
      <c r="S883">
        <v>1128.9969000000001</v>
      </c>
      <c r="W883" s="12" t="s">
        <v>16</v>
      </c>
      <c r="X883" s="12" t="s">
        <v>1527</v>
      </c>
      <c r="Y883">
        <v>1128.9969000000001</v>
      </c>
      <c r="AF883">
        <v>1128.9969000000001</v>
      </c>
      <c r="AG883" t="s">
        <v>1742</v>
      </c>
    </row>
    <row r="884" spans="1:33" x14ac:dyDescent="0.3">
      <c r="A884" t="s">
        <v>1130</v>
      </c>
      <c r="B884" s="2">
        <v>45360</v>
      </c>
      <c r="C884">
        <v>523.71</v>
      </c>
      <c r="D884" t="s">
        <v>1809</v>
      </c>
      <c r="E884">
        <v>40</v>
      </c>
      <c r="F884" t="s">
        <v>16</v>
      </c>
      <c r="G884" t="s">
        <v>1546</v>
      </c>
      <c r="H884" t="s">
        <v>1742</v>
      </c>
      <c r="L884" s="2">
        <v>45360</v>
      </c>
      <c r="M884">
        <v>523.71</v>
      </c>
      <c r="R884" t="s">
        <v>1809</v>
      </c>
      <c r="S884">
        <v>523.71</v>
      </c>
      <c r="W884" s="11" t="s">
        <v>16</v>
      </c>
      <c r="X884" s="11" t="s">
        <v>1546</v>
      </c>
      <c r="Y884">
        <v>523.71</v>
      </c>
      <c r="AF884">
        <v>523.71</v>
      </c>
      <c r="AG884" t="s">
        <v>1742</v>
      </c>
    </row>
    <row r="885" spans="1:33" x14ac:dyDescent="0.3">
      <c r="A885" t="s">
        <v>410</v>
      </c>
      <c r="B885" s="2">
        <v>45526</v>
      </c>
      <c r="C885">
        <v>2240.2800000000002</v>
      </c>
      <c r="D885" t="s">
        <v>1809</v>
      </c>
      <c r="E885">
        <v>44</v>
      </c>
      <c r="F885" t="s">
        <v>16</v>
      </c>
      <c r="G885" t="s">
        <v>1530</v>
      </c>
      <c r="H885" t="s">
        <v>1737</v>
      </c>
      <c r="L885" s="2">
        <v>45526</v>
      </c>
      <c r="M885">
        <v>2240.2800000000002</v>
      </c>
      <c r="R885" t="s">
        <v>1809</v>
      </c>
      <c r="S885">
        <v>2240.2800000000002</v>
      </c>
      <c r="W885" s="12" t="s">
        <v>16</v>
      </c>
      <c r="X885" s="12" t="s">
        <v>1530</v>
      </c>
      <c r="Y885">
        <v>2240.2800000000002</v>
      </c>
      <c r="AF885">
        <v>2240.2800000000002</v>
      </c>
      <c r="AG885" t="s">
        <v>1737</v>
      </c>
    </row>
    <row r="886" spans="1:33" x14ac:dyDescent="0.3">
      <c r="A886" t="s">
        <v>1304</v>
      </c>
      <c r="B886" s="2">
        <v>45395</v>
      </c>
      <c r="C886">
        <v>41.875999999999998</v>
      </c>
      <c r="D886" t="s">
        <v>1807</v>
      </c>
      <c r="E886">
        <v>28</v>
      </c>
      <c r="F886" t="s">
        <v>9</v>
      </c>
      <c r="G886" t="s">
        <v>1549</v>
      </c>
      <c r="H886" t="s">
        <v>1742</v>
      </c>
      <c r="L886" s="2">
        <v>45395</v>
      </c>
      <c r="M886">
        <v>41.875999999999998</v>
      </c>
      <c r="R886" t="s">
        <v>1807</v>
      </c>
      <c r="S886">
        <v>41.875999999999998</v>
      </c>
      <c r="W886" s="11" t="s">
        <v>9</v>
      </c>
      <c r="X886" s="11" t="s">
        <v>1549</v>
      </c>
      <c r="Y886">
        <v>41.875999999999998</v>
      </c>
      <c r="AF886">
        <v>41.875999999999998</v>
      </c>
      <c r="AG886" t="s">
        <v>1742</v>
      </c>
    </row>
    <row r="887" spans="1:33" x14ac:dyDescent="0.3">
      <c r="A887" t="s">
        <v>1505</v>
      </c>
      <c r="B887" s="2">
        <v>45466</v>
      </c>
      <c r="C887">
        <v>754.20119999999997</v>
      </c>
      <c r="D887" t="s">
        <v>1812</v>
      </c>
      <c r="E887">
        <v>56</v>
      </c>
      <c r="F887" t="s">
        <v>9</v>
      </c>
      <c r="G887" t="s">
        <v>1541</v>
      </c>
      <c r="H887" t="s">
        <v>1742</v>
      </c>
      <c r="L887" s="2">
        <v>45466</v>
      </c>
      <c r="M887">
        <v>754.20119999999997</v>
      </c>
      <c r="R887" t="s">
        <v>1812</v>
      </c>
      <c r="S887">
        <v>754.20119999999997</v>
      </c>
      <c r="W887" s="12" t="s">
        <v>9</v>
      </c>
      <c r="X887" s="12" t="s">
        <v>1541</v>
      </c>
      <c r="Y887">
        <v>754.20119999999997</v>
      </c>
      <c r="AF887">
        <v>754.20119999999997</v>
      </c>
      <c r="AG887" t="s">
        <v>1742</v>
      </c>
    </row>
    <row r="888" spans="1:33" x14ac:dyDescent="0.3">
      <c r="A888" t="s">
        <v>652</v>
      </c>
      <c r="B888" s="2">
        <v>45876</v>
      </c>
      <c r="C888">
        <v>991.30199999999979</v>
      </c>
      <c r="D888" t="s">
        <v>1812</v>
      </c>
      <c r="E888">
        <v>37</v>
      </c>
      <c r="F888" t="s">
        <v>16</v>
      </c>
      <c r="G888" t="s">
        <v>1549</v>
      </c>
      <c r="H888" t="s">
        <v>1742</v>
      </c>
      <c r="L888" s="2">
        <v>45876</v>
      </c>
      <c r="M888">
        <v>991.30199999999979</v>
      </c>
      <c r="R888" t="s">
        <v>1812</v>
      </c>
      <c r="S888">
        <v>991.30199999999979</v>
      </c>
      <c r="W888" s="11" t="s">
        <v>16</v>
      </c>
      <c r="X888" s="11" t="s">
        <v>1549</v>
      </c>
      <c r="Y888">
        <v>991.30199999999979</v>
      </c>
      <c r="AF888">
        <v>991.30199999999979</v>
      </c>
      <c r="AG888" t="s">
        <v>1742</v>
      </c>
    </row>
    <row r="889" spans="1:33" x14ac:dyDescent="0.3">
      <c r="A889" t="s">
        <v>1049</v>
      </c>
      <c r="B889" s="2">
        <v>45724</v>
      </c>
      <c r="C889">
        <v>1179.1369999999999</v>
      </c>
      <c r="D889" t="s">
        <v>1809</v>
      </c>
      <c r="E889">
        <v>46</v>
      </c>
      <c r="F889" t="s">
        <v>16</v>
      </c>
      <c r="G889" t="s">
        <v>1541</v>
      </c>
      <c r="H889" t="s">
        <v>1742</v>
      </c>
      <c r="L889" s="2">
        <v>45724</v>
      </c>
      <c r="M889">
        <v>1179.1369999999999</v>
      </c>
      <c r="R889" t="s">
        <v>1809</v>
      </c>
      <c r="S889">
        <v>1179.1369999999999</v>
      </c>
      <c r="W889" s="12" t="s">
        <v>16</v>
      </c>
      <c r="X889" s="12" t="s">
        <v>1541</v>
      </c>
      <c r="Y889">
        <v>1179.1369999999999</v>
      </c>
      <c r="AF889">
        <v>1179.1369999999999</v>
      </c>
      <c r="AG889" t="s">
        <v>1742</v>
      </c>
    </row>
    <row r="890" spans="1:33" x14ac:dyDescent="0.3">
      <c r="A890" t="s">
        <v>1419</v>
      </c>
      <c r="B890" s="2">
        <v>45801</v>
      </c>
      <c r="C890">
        <v>1731.4914000000001</v>
      </c>
      <c r="D890" t="s">
        <v>1809</v>
      </c>
      <c r="E890">
        <v>18</v>
      </c>
      <c r="F890" t="s">
        <v>9</v>
      </c>
      <c r="G890" t="s">
        <v>1546</v>
      </c>
      <c r="H890" t="s">
        <v>1767</v>
      </c>
      <c r="L890" s="2">
        <v>45801</v>
      </c>
      <c r="M890">
        <v>1731.4914000000001</v>
      </c>
      <c r="R890" t="s">
        <v>1809</v>
      </c>
      <c r="S890">
        <v>1731.4914000000001</v>
      </c>
      <c r="W890" s="11" t="s">
        <v>9</v>
      </c>
      <c r="X890" s="11" t="s">
        <v>1546</v>
      </c>
      <c r="Y890">
        <v>1731.4914000000001</v>
      </c>
      <c r="AF890">
        <v>1731.4914000000001</v>
      </c>
      <c r="AG890" t="s">
        <v>1767</v>
      </c>
    </row>
    <row r="891" spans="1:33" x14ac:dyDescent="0.3">
      <c r="A891" t="s">
        <v>1178</v>
      </c>
      <c r="B891" s="2">
        <v>45749</v>
      </c>
      <c r="C891">
        <v>200.1354</v>
      </c>
      <c r="D891" t="s">
        <v>1812</v>
      </c>
      <c r="E891">
        <v>20</v>
      </c>
      <c r="F891" t="s">
        <v>16</v>
      </c>
      <c r="G891" t="s">
        <v>1530</v>
      </c>
      <c r="H891" t="s">
        <v>1746</v>
      </c>
      <c r="L891" s="2">
        <v>45749</v>
      </c>
      <c r="M891">
        <v>200.1354</v>
      </c>
      <c r="R891" t="s">
        <v>1812</v>
      </c>
      <c r="S891">
        <v>200.1354</v>
      </c>
      <c r="W891" s="12" t="s">
        <v>16</v>
      </c>
      <c r="X891" s="12" t="s">
        <v>1530</v>
      </c>
      <c r="Y891">
        <v>200.1354</v>
      </c>
      <c r="AF891">
        <v>200.1354</v>
      </c>
      <c r="AG891" t="s">
        <v>1746</v>
      </c>
    </row>
    <row r="892" spans="1:33" x14ac:dyDescent="0.3">
      <c r="A892" t="s">
        <v>392</v>
      </c>
      <c r="B892" s="2">
        <v>45325</v>
      </c>
      <c r="C892">
        <v>1185.4584</v>
      </c>
      <c r="D892" t="s">
        <v>1807</v>
      </c>
      <c r="E892">
        <v>30</v>
      </c>
      <c r="F892" t="s">
        <v>9</v>
      </c>
      <c r="G892" t="s">
        <v>1541</v>
      </c>
      <c r="H892" t="s">
        <v>1746</v>
      </c>
      <c r="L892" s="2">
        <v>45325</v>
      </c>
      <c r="M892">
        <v>1185.4584</v>
      </c>
      <c r="R892" t="s">
        <v>1807</v>
      </c>
      <c r="S892">
        <v>1185.4584</v>
      </c>
      <c r="W892" s="11" t="s">
        <v>9</v>
      </c>
      <c r="X892" s="11" t="s">
        <v>1541</v>
      </c>
      <c r="Y892">
        <v>1185.4584</v>
      </c>
      <c r="AF892">
        <v>1185.4584</v>
      </c>
      <c r="AG892" t="s">
        <v>1746</v>
      </c>
    </row>
    <row r="893" spans="1:33" x14ac:dyDescent="0.3">
      <c r="A893" t="s">
        <v>981</v>
      </c>
      <c r="B893" s="2">
        <v>45932</v>
      </c>
      <c r="C893">
        <v>353.56760000000003</v>
      </c>
      <c r="D893" t="s">
        <v>1807</v>
      </c>
      <c r="E893">
        <v>49</v>
      </c>
      <c r="F893" t="s">
        <v>9</v>
      </c>
      <c r="G893" t="s">
        <v>1527</v>
      </c>
      <c r="H893" t="s">
        <v>1742</v>
      </c>
      <c r="L893" s="2">
        <v>45932</v>
      </c>
      <c r="M893">
        <v>353.56760000000003</v>
      </c>
      <c r="R893" t="s">
        <v>1807</v>
      </c>
      <c r="S893">
        <v>353.56760000000003</v>
      </c>
      <c r="W893" s="12" t="s">
        <v>9</v>
      </c>
      <c r="X893" s="12" t="s">
        <v>1527</v>
      </c>
      <c r="Y893">
        <v>353.56760000000003</v>
      </c>
      <c r="AF893">
        <v>353.56760000000003</v>
      </c>
      <c r="AG893" t="s">
        <v>1742</v>
      </c>
    </row>
    <row r="894" spans="1:33" x14ac:dyDescent="0.3">
      <c r="A894" t="s">
        <v>762</v>
      </c>
      <c r="B894" s="2">
        <v>45895</v>
      </c>
      <c r="C894">
        <v>389.67399999999998</v>
      </c>
      <c r="D894" t="s">
        <v>1812</v>
      </c>
      <c r="E894">
        <v>59</v>
      </c>
      <c r="F894" t="s">
        <v>16</v>
      </c>
      <c r="G894" t="s">
        <v>1527</v>
      </c>
      <c r="H894" t="s">
        <v>1737</v>
      </c>
      <c r="L894" s="2">
        <v>45895</v>
      </c>
      <c r="M894">
        <v>389.67399999999998</v>
      </c>
      <c r="R894" t="s">
        <v>1812</v>
      </c>
      <c r="S894">
        <v>389.67399999999998</v>
      </c>
      <c r="W894" s="11" t="s">
        <v>16</v>
      </c>
      <c r="X894" s="11" t="s">
        <v>1527</v>
      </c>
      <c r="Y894">
        <v>389.67399999999998</v>
      </c>
      <c r="AF894">
        <v>389.67399999999998</v>
      </c>
      <c r="AG894" t="s">
        <v>1737</v>
      </c>
    </row>
    <row r="895" spans="1:33" x14ac:dyDescent="0.3">
      <c r="A895" t="s">
        <v>331</v>
      </c>
      <c r="B895" s="2">
        <v>45614</v>
      </c>
      <c r="C895">
        <v>1113.6584</v>
      </c>
      <c r="D895" t="s">
        <v>1809</v>
      </c>
      <c r="E895">
        <v>43</v>
      </c>
      <c r="F895" t="s">
        <v>16</v>
      </c>
      <c r="G895" t="s">
        <v>1541</v>
      </c>
      <c r="H895" t="s">
        <v>1742</v>
      </c>
      <c r="L895" s="2">
        <v>45614</v>
      </c>
      <c r="M895">
        <v>1113.6584</v>
      </c>
      <c r="R895" t="s">
        <v>1809</v>
      </c>
      <c r="S895">
        <v>1113.6584</v>
      </c>
      <c r="W895" s="12" t="s">
        <v>16</v>
      </c>
      <c r="X895" s="12" t="s">
        <v>1541</v>
      </c>
      <c r="Y895">
        <v>1113.6584</v>
      </c>
      <c r="AF895">
        <v>1113.6584</v>
      </c>
      <c r="AG895" t="s">
        <v>1742</v>
      </c>
    </row>
    <row r="896" spans="1:33" x14ac:dyDescent="0.3">
      <c r="A896" t="s">
        <v>1488</v>
      </c>
      <c r="B896" s="2">
        <v>45247</v>
      </c>
      <c r="C896">
        <v>383.32799999999997</v>
      </c>
      <c r="D896" t="s">
        <v>1812</v>
      </c>
      <c r="E896">
        <v>23</v>
      </c>
      <c r="F896" t="s">
        <v>9</v>
      </c>
      <c r="G896" t="s">
        <v>1541</v>
      </c>
      <c r="H896" t="s">
        <v>1742</v>
      </c>
      <c r="L896" s="2">
        <v>45247</v>
      </c>
      <c r="M896">
        <v>383.32799999999997</v>
      </c>
      <c r="R896" t="s">
        <v>1812</v>
      </c>
      <c r="S896">
        <v>383.32799999999997</v>
      </c>
      <c r="W896" s="11" t="s">
        <v>9</v>
      </c>
      <c r="X896" s="11" t="s">
        <v>1541</v>
      </c>
      <c r="Y896">
        <v>383.32799999999997</v>
      </c>
      <c r="AF896">
        <v>383.32799999999997</v>
      </c>
      <c r="AG896" t="s">
        <v>1742</v>
      </c>
    </row>
    <row r="897" spans="1:33" x14ac:dyDescent="0.3">
      <c r="A897" t="s">
        <v>368</v>
      </c>
      <c r="B897" s="2">
        <v>45696</v>
      </c>
      <c r="C897">
        <v>28.044</v>
      </c>
      <c r="D897" t="s">
        <v>1807</v>
      </c>
      <c r="E897">
        <v>53</v>
      </c>
      <c r="F897" t="s">
        <v>16</v>
      </c>
      <c r="G897" t="s">
        <v>1549</v>
      </c>
      <c r="H897" t="s">
        <v>1742</v>
      </c>
      <c r="L897" s="2">
        <v>45696</v>
      </c>
      <c r="M897">
        <v>28.044</v>
      </c>
      <c r="R897" t="s">
        <v>1807</v>
      </c>
      <c r="S897">
        <v>28.044</v>
      </c>
      <c r="W897" s="12" t="s">
        <v>16</v>
      </c>
      <c r="X897" s="12" t="s">
        <v>1549</v>
      </c>
      <c r="Y897">
        <v>28.044</v>
      </c>
      <c r="AF897">
        <v>28.044</v>
      </c>
      <c r="AG897" t="s">
        <v>1742</v>
      </c>
    </row>
    <row r="898" spans="1:33" x14ac:dyDescent="0.3">
      <c r="A898" t="s">
        <v>1322</v>
      </c>
      <c r="B898" s="2">
        <v>45294</v>
      </c>
      <c r="C898">
        <v>818.46659999999997</v>
      </c>
      <c r="D898" t="s">
        <v>1812</v>
      </c>
      <c r="E898">
        <v>37</v>
      </c>
      <c r="F898" t="s">
        <v>9</v>
      </c>
      <c r="G898" t="s">
        <v>1530</v>
      </c>
      <c r="H898" t="s">
        <v>1742</v>
      </c>
      <c r="L898" s="2">
        <v>45294</v>
      </c>
      <c r="M898">
        <v>818.46659999999997</v>
      </c>
      <c r="R898" t="s">
        <v>1812</v>
      </c>
      <c r="S898">
        <v>818.46659999999997</v>
      </c>
      <c r="W898" s="11" t="s">
        <v>9</v>
      </c>
      <c r="X898" s="11" t="s">
        <v>1530</v>
      </c>
      <c r="Y898">
        <v>818.46659999999997</v>
      </c>
      <c r="AF898">
        <v>818.46659999999997</v>
      </c>
      <c r="AG898" t="s">
        <v>1742</v>
      </c>
    </row>
    <row r="899" spans="1:33" x14ac:dyDescent="0.3">
      <c r="A899" t="s">
        <v>454</v>
      </c>
      <c r="B899" s="2">
        <v>45389</v>
      </c>
      <c r="C899">
        <v>85.933199999999999</v>
      </c>
      <c r="D899" t="s">
        <v>1807</v>
      </c>
      <c r="E899">
        <v>33</v>
      </c>
      <c r="F899" t="s">
        <v>16</v>
      </c>
      <c r="G899" t="s">
        <v>1541</v>
      </c>
      <c r="H899" t="s">
        <v>1742</v>
      </c>
      <c r="L899" s="2">
        <v>45389</v>
      </c>
      <c r="M899">
        <v>85.933199999999999</v>
      </c>
      <c r="R899" t="s">
        <v>1807</v>
      </c>
      <c r="S899">
        <v>85.933199999999999</v>
      </c>
      <c r="W899" s="12" t="s">
        <v>16</v>
      </c>
      <c r="X899" s="12" t="s">
        <v>1541</v>
      </c>
      <c r="Y899">
        <v>85.933199999999999</v>
      </c>
      <c r="AF899">
        <v>85.933199999999999</v>
      </c>
      <c r="AG899" t="s">
        <v>1742</v>
      </c>
    </row>
    <row r="900" spans="1:33" x14ac:dyDescent="0.3">
      <c r="A900" t="s">
        <v>1422</v>
      </c>
      <c r="B900" s="2">
        <v>45930</v>
      </c>
      <c r="C900">
        <v>695.04819999999995</v>
      </c>
      <c r="D900" t="s">
        <v>1812</v>
      </c>
      <c r="E900">
        <v>63</v>
      </c>
      <c r="F900" t="s">
        <v>16</v>
      </c>
      <c r="G900" t="s">
        <v>1541</v>
      </c>
      <c r="H900" t="s">
        <v>1742</v>
      </c>
      <c r="L900" s="2">
        <v>45930</v>
      </c>
      <c r="M900">
        <v>695.04819999999995</v>
      </c>
      <c r="R900" t="s">
        <v>1812</v>
      </c>
      <c r="S900">
        <v>695.04819999999995</v>
      </c>
      <c r="W900" s="11" t="s">
        <v>16</v>
      </c>
      <c r="X900" s="11" t="s">
        <v>1541</v>
      </c>
      <c r="Y900">
        <v>695.04819999999995</v>
      </c>
      <c r="AF900">
        <v>695.04819999999995</v>
      </c>
      <c r="AG900" t="s">
        <v>1742</v>
      </c>
    </row>
    <row r="901" spans="1:33" x14ac:dyDescent="0.3">
      <c r="A901" t="s">
        <v>1151</v>
      </c>
      <c r="B901" s="2">
        <v>45456</v>
      </c>
      <c r="C901">
        <v>1561.9212</v>
      </c>
      <c r="D901" t="s">
        <v>1812</v>
      </c>
      <c r="E901">
        <v>37</v>
      </c>
      <c r="F901" t="s">
        <v>16</v>
      </c>
      <c r="G901" t="s">
        <v>1527</v>
      </c>
      <c r="H901" t="s">
        <v>1737</v>
      </c>
      <c r="L901" s="2">
        <v>45456</v>
      </c>
      <c r="M901">
        <v>1561.9212</v>
      </c>
      <c r="R901" t="s">
        <v>1812</v>
      </c>
      <c r="S901">
        <v>1561.9212</v>
      </c>
      <c r="W901" s="12" t="s">
        <v>16</v>
      </c>
      <c r="X901" s="12" t="s">
        <v>1527</v>
      </c>
      <c r="Y901">
        <v>1561.9212</v>
      </c>
      <c r="AF901">
        <v>1561.9212</v>
      </c>
      <c r="AG901" t="s">
        <v>1737</v>
      </c>
    </row>
    <row r="902" spans="1:33" x14ac:dyDescent="0.3">
      <c r="A902" t="s">
        <v>377</v>
      </c>
      <c r="B902" s="2">
        <v>45713</v>
      </c>
      <c r="C902">
        <v>139.03120000000001</v>
      </c>
      <c r="D902" t="s">
        <v>1809</v>
      </c>
      <c r="E902">
        <v>27</v>
      </c>
      <c r="F902" t="s">
        <v>9</v>
      </c>
      <c r="G902" t="s">
        <v>1546</v>
      </c>
      <c r="H902" t="s">
        <v>1746</v>
      </c>
      <c r="L902" s="2">
        <v>45713</v>
      </c>
      <c r="M902">
        <v>139.03120000000001</v>
      </c>
      <c r="R902" t="s">
        <v>1809</v>
      </c>
      <c r="S902">
        <v>139.03120000000001</v>
      </c>
      <c r="W902" s="11" t="s">
        <v>9</v>
      </c>
      <c r="X902" s="11" t="s">
        <v>1546</v>
      </c>
      <c r="Y902">
        <v>139.03120000000001</v>
      </c>
      <c r="AF902">
        <v>139.03120000000001</v>
      </c>
      <c r="AG902" t="s">
        <v>1746</v>
      </c>
    </row>
    <row r="903" spans="1:33" x14ac:dyDescent="0.3">
      <c r="A903" t="s">
        <v>602</v>
      </c>
      <c r="B903" s="2">
        <v>45784</v>
      </c>
      <c r="C903">
        <v>122.9456</v>
      </c>
      <c r="D903" t="s">
        <v>1812</v>
      </c>
      <c r="E903">
        <v>54</v>
      </c>
      <c r="F903" t="s">
        <v>16</v>
      </c>
      <c r="G903" t="s">
        <v>1530</v>
      </c>
      <c r="H903" t="s">
        <v>1746</v>
      </c>
      <c r="L903" s="2">
        <v>45784</v>
      </c>
      <c r="M903">
        <v>122.9456</v>
      </c>
      <c r="R903" t="s">
        <v>1812</v>
      </c>
      <c r="S903">
        <v>122.9456</v>
      </c>
      <c r="W903" s="12" t="s">
        <v>16</v>
      </c>
      <c r="X903" s="12" t="s">
        <v>1530</v>
      </c>
      <c r="Y903">
        <v>122.9456</v>
      </c>
      <c r="AF903">
        <v>122.9456</v>
      </c>
      <c r="AG903" t="s">
        <v>1746</v>
      </c>
    </row>
    <row r="904" spans="1:33" x14ac:dyDescent="0.3">
      <c r="A904" t="s">
        <v>3952</v>
      </c>
      <c r="B904" s="2">
        <v>45812</v>
      </c>
      <c r="C904">
        <v>751.58879999999988</v>
      </c>
      <c r="D904" t="s">
        <v>1807</v>
      </c>
      <c r="E904">
        <v>26</v>
      </c>
      <c r="F904" t="s">
        <v>16</v>
      </c>
      <c r="G904" t="s">
        <v>1527</v>
      </c>
      <c r="H904" t="s">
        <v>1742</v>
      </c>
      <c r="L904" s="2">
        <v>45812</v>
      </c>
      <c r="M904">
        <v>751.58879999999988</v>
      </c>
      <c r="R904" t="s">
        <v>1807</v>
      </c>
      <c r="S904">
        <v>751.58879999999988</v>
      </c>
      <c r="W904" s="11" t="s">
        <v>16</v>
      </c>
      <c r="X904" s="11" t="s">
        <v>1527</v>
      </c>
      <c r="Y904">
        <v>751.58879999999988</v>
      </c>
      <c r="AF904">
        <v>751.58879999999988</v>
      </c>
      <c r="AG904" t="s">
        <v>1742</v>
      </c>
    </row>
    <row r="905" spans="1:33" x14ac:dyDescent="0.3">
      <c r="A905" t="s">
        <v>836</v>
      </c>
      <c r="B905" s="2">
        <v>45653</v>
      </c>
      <c r="C905">
        <v>493.91449999999992</v>
      </c>
      <c r="D905" t="s">
        <v>1812</v>
      </c>
      <c r="E905">
        <v>38</v>
      </c>
      <c r="F905" t="s">
        <v>9</v>
      </c>
      <c r="G905" t="s">
        <v>1549</v>
      </c>
      <c r="H905" t="s">
        <v>1742</v>
      </c>
      <c r="L905" s="2">
        <v>45653</v>
      </c>
      <c r="M905">
        <v>493.91449999999992</v>
      </c>
      <c r="R905" t="s">
        <v>1812</v>
      </c>
      <c r="S905">
        <v>493.91449999999992</v>
      </c>
      <c r="W905" s="12" t="s">
        <v>9</v>
      </c>
      <c r="X905" s="12" t="s">
        <v>1549</v>
      </c>
      <c r="Y905">
        <v>493.91449999999992</v>
      </c>
      <c r="AF905">
        <v>493.91449999999992</v>
      </c>
      <c r="AG905" t="s">
        <v>1742</v>
      </c>
    </row>
    <row r="906" spans="1:33" x14ac:dyDescent="0.3">
      <c r="A906" t="s">
        <v>486</v>
      </c>
      <c r="B906" s="2">
        <v>45672</v>
      </c>
      <c r="C906">
        <v>1613.556</v>
      </c>
      <c r="D906" t="s">
        <v>1809</v>
      </c>
      <c r="E906">
        <v>32</v>
      </c>
      <c r="F906" t="s">
        <v>16</v>
      </c>
      <c r="G906" t="s">
        <v>1546</v>
      </c>
      <c r="H906" t="s">
        <v>1742</v>
      </c>
      <c r="L906" s="2">
        <v>45672</v>
      </c>
      <c r="M906">
        <v>1613.556</v>
      </c>
      <c r="R906" t="s">
        <v>1809</v>
      </c>
      <c r="S906">
        <v>1613.556</v>
      </c>
      <c r="W906" s="11" t="s">
        <v>16</v>
      </c>
      <c r="X906" s="11" t="s">
        <v>1546</v>
      </c>
      <c r="Y906">
        <v>1613.556</v>
      </c>
      <c r="AF906">
        <v>1613.556</v>
      </c>
      <c r="AG906" t="s">
        <v>1742</v>
      </c>
    </row>
    <row r="907" spans="1:33" x14ac:dyDescent="0.3">
      <c r="A907" t="s">
        <v>1211</v>
      </c>
      <c r="B907" s="2">
        <v>45799</v>
      </c>
      <c r="C907">
        <v>537.11840000000007</v>
      </c>
      <c r="D907" t="s">
        <v>1812</v>
      </c>
      <c r="E907">
        <v>46</v>
      </c>
      <c r="F907" t="s">
        <v>9</v>
      </c>
      <c r="G907" t="s">
        <v>1549</v>
      </c>
      <c r="H907" t="s">
        <v>1742</v>
      </c>
      <c r="L907" s="2">
        <v>45799</v>
      </c>
      <c r="M907">
        <v>537.11840000000007</v>
      </c>
      <c r="R907" t="s">
        <v>1812</v>
      </c>
      <c r="S907">
        <v>537.11840000000007</v>
      </c>
      <c r="W907" s="12" t="s">
        <v>9</v>
      </c>
      <c r="X907" s="12" t="s">
        <v>1549</v>
      </c>
      <c r="Y907">
        <v>537.11840000000007</v>
      </c>
      <c r="AF907">
        <v>537.11840000000007</v>
      </c>
      <c r="AG907" t="s">
        <v>1742</v>
      </c>
    </row>
    <row r="908" spans="1:33" x14ac:dyDescent="0.3">
      <c r="A908" t="s">
        <v>380</v>
      </c>
      <c r="B908" s="2">
        <v>45848</v>
      </c>
      <c r="C908">
        <v>621.27</v>
      </c>
      <c r="D908" t="s">
        <v>1809</v>
      </c>
      <c r="E908">
        <v>40</v>
      </c>
      <c r="F908" t="s">
        <v>16</v>
      </c>
      <c r="G908" t="s">
        <v>1546</v>
      </c>
      <c r="H908" t="s">
        <v>1742</v>
      </c>
      <c r="L908" s="2">
        <v>45848</v>
      </c>
      <c r="M908">
        <v>621.27</v>
      </c>
      <c r="R908" t="s">
        <v>1809</v>
      </c>
      <c r="S908">
        <v>621.27</v>
      </c>
      <c r="W908" s="11" t="s">
        <v>16</v>
      </c>
      <c r="X908" s="11" t="s">
        <v>1546</v>
      </c>
      <c r="Y908">
        <v>621.27</v>
      </c>
      <c r="AF908">
        <v>621.27</v>
      </c>
      <c r="AG908" t="s">
        <v>1742</v>
      </c>
    </row>
    <row r="909" spans="1:33" x14ac:dyDescent="0.3">
      <c r="A909" t="s">
        <v>848</v>
      </c>
      <c r="B909" s="2">
        <v>45918</v>
      </c>
      <c r="C909">
        <v>867.5</v>
      </c>
      <c r="D909" t="s">
        <v>1807</v>
      </c>
      <c r="E909">
        <v>45</v>
      </c>
      <c r="F909" t="s">
        <v>16</v>
      </c>
      <c r="G909" t="s">
        <v>1530</v>
      </c>
      <c r="H909" t="s">
        <v>1767</v>
      </c>
      <c r="L909" s="2">
        <v>45918</v>
      </c>
      <c r="M909">
        <v>867.5</v>
      </c>
      <c r="R909" t="s">
        <v>1807</v>
      </c>
      <c r="S909">
        <v>867.5</v>
      </c>
      <c r="W909" s="12" t="s">
        <v>16</v>
      </c>
      <c r="X909" s="12" t="s">
        <v>1530</v>
      </c>
      <c r="Y909">
        <v>867.5</v>
      </c>
      <c r="AF909">
        <v>867.5</v>
      </c>
      <c r="AG909" t="s">
        <v>1767</v>
      </c>
    </row>
    <row r="910" spans="1:33" x14ac:dyDescent="0.3">
      <c r="A910" t="s">
        <v>886</v>
      </c>
      <c r="B910" s="2">
        <v>45288</v>
      </c>
      <c r="C910">
        <v>272.30130000000003</v>
      </c>
      <c r="D910" t="s">
        <v>1812</v>
      </c>
      <c r="E910">
        <v>46</v>
      </c>
      <c r="F910" t="s">
        <v>16</v>
      </c>
      <c r="G910" t="s">
        <v>1530</v>
      </c>
      <c r="H910" t="s">
        <v>1742</v>
      </c>
      <c r="L910" s="2">
        <v>45288</v>
      </c>
      <c r="M910">
        <v>272.30130000000003</v>
      </c>
      <c r="R910" t="s">
        <v>1812</v>
      </c>
      <c r="S910">
        <v>272.30130000000003</v>
      </c>
      <c r="W910" s="11" t="s">
        <v>16</v>
      </c>
      <c r="X910" s="11" t="s">
        <v>1530</v>
      </c>
      <c r="Y910">
        <v>272.30130000000003</v>
      </c>
      <c r="AF910">
        <v>272.30130000000003</v>
      </c>
      <c r="AG910" t="s">
        <v>1742</v>
      </c>
    </row>
    <row r="911" spans="1:33" x14ac:dyDescent="0.3">
      <c r="A911" t="s">
        <v>1416</v>
      </c>
      <c r="B911" s="2">
        <v>45477</v>
      </c>
      <c r="C911">
        <v>212.83199999999999</v>
      </c>
      <c r="D911" t="s">
        <v>1807</v>
      </c>
      <c r="E911">
        <v>28</v>
      </c>
      <c r="F911" t="s">
        <v>16</v>
      </c>
      <c r="G911" t="s">
        <v>1546</v>
      </c>
      <c r="H911" t="s">
        <v>1742</v>
      </c>
      <c r="L911" s="2">
        <v>45477</v>
      </c>
      <c r="M911">
        <v>212.83199999999999</v>
      </c>
      <c r="R911" t="s">
        <v>1807</v>
      </c>
      <c r="S911">
        <v>212.83199999999999</v>
      </c>
      <c r="W911" s="12" t="s">
        <v>16</v>
      </c>
      <c r="X911" s="12" t="s">
        <v>1546</v>
      </c>
      <c r="Y911">
        <v>212.83199999999999</v>
      </c>
      <c r="AF911">
        <v>212.83199999999999</v>
      </c>
      <c r="AG911" t="s">
        <v>1742</v>
      </c>
    </row>
    <row r="912" spans="1:33" x14ac:dyDescent="0.3">
      <c r="A912" t="s">
        <v>682</v>
      </c>
      <c r="B912" s="2">
        <v>45796</v>
      </c>
      <c r="C912">
        <v>844.96719999999993</v>
      </c>
      <c r="D912" t="s">
        <v>1812</v>
      </c>
      <c r="E912">
        <v>63</v>
      </c>
      <c r="F912" t="s">
        <v>16</v>
      </c>
      <c r="G912" t="s">
        <v>1546</v>
      </c>
      <c r="H912" t="s">
        <v>1742</v>
      </c>
      <c r="L912" s="2">
        <v>45796</v>
      </c>
      <c r="M912">
        <v>844.96719999999993</v>
      </c>
      <c r="R912" t="s">
        <v>1812</v>
      </c>
      <c r="S912">
        <v>844.96719999999993</v>
      </c>
      <c r="W912" s="11" t="s">
        <v>16</v>
      </c>
      <c r="X912" s="11" t="s">
        <v>1546</v>
      </c>
      <c r="Y912">
        <v>844.96719999999993</v>
      </c>
      <c r="AF912">
        <v>844.96719999999993</v>
      </c>
      <c r="AG912" t="s">
        <v>1742</v>
      </c>
    </row>
    <row r="913" spans="1:33" x14ac:dyDescent="0.3">
      <c r="A913" t="s">
        <v>593</v>
      </c>
      <c r="B913" s="2">
        <v>45630</v>
      </c>
      <c r="C913">
        <v>3138.6759999999999</v>
      </c>
      <c r="D913" t="s">
        <v>1807</v>
      </c>
      <c r="E913">
        <v>23</v>
      </c>
      <c r="F913" t="s">
        <v>16</v>
      </c>
      <c r="G913" t="s">
        <v>1530</v>
      </c>
      <c r="H913" t="s">
        <v>1767</v>
      </c>
      <c r="L913" s="2">
        <v>45630</v>
      </c>
      <c r="M913">
        <v>3138.6759999999999</v>
      </c>
      <c r="R913" t="s">
        <v>1807</v>
      </c>
      <c r="S913">
        <v>3138.6759999999999</v>
      </c>
      <c r="W913" s="12" t="s">
        <v>16</v>
      </c>
      <c r="X913" s="12" t="s">
        <v>1530</v>
      </c>
      <c r="Y913">
        <v>3138.6759999999999</v>
      </c>
      <c r="AF913">
        <v>3138.6759999999999</v>
      </c>
      <c r="AG913" t="s">
        <v>1767</v>
      </c>
    </row>
    <row r="914" spans="1:33" x14ac:dyDescent="0.3">
      <c r="A914" t="s">
        <v>629</v>
      </c>
      <c r="B914" s="2">
        <v>45625</v>
      </c>
      <c r="C914">
        <v>1375.6759999999999</v>
      </c>
      <c r="D914" t="s">
        <v>1807</v>
      </c>
      <c r="E914">
        <v>46</v>
      </c>
      <c r="F914" t="s">
        <v>9</v>
      </c>
      <c r="G914" t="s">
        <v>1541</v>
      </c>
      <c r="H914" t="s">
        <v>1746</v>
      </c>
      <c r="L914" s="2">
        <v>45625</v>
      </c>
      <c r="M914">
        <v>1375.6759999999999</v>
      </c>
      <c r="R914" t="s">
        <v>1807</v>
      </c>
      <c r="S914">
        <v>1375.6759999999999</v>
      </c>
      <c r="W914" s="11" t="s">
        <v>9</v>
      </c>
      <c r="X914" s="11" t="s">
        <v>1541</v>
      </c>
      <c r="Y914">
        <v>1375.6759999999999</v>
      </c>
      <c r="AF914">
        <v>1375.6759999999999</v>
      </c>
      <c r="AG914" t="s">
        <v>1746</v>
      </c>
    </row>
    <row r="915" spans="1:33" x14ac:dyDescent="0.3">
      <c r="A915" t="s">
        <v>380</v>
      </c>
      <c r="B915" s="2">
        <v>45773</v>
      </c>
      <c r="C915">
        <v>246.77549999999999</v>
      </c>
      <c r="D915" t="s">
        <v>1812</v>
      </c>
      <c r="E915">
        <v>40</v>
      </c>
      <c r="F915" t="s">
        <v>16</v>
      </c>
      <c r="G915" t="s">
        <v>1546</v>
      </c>
      <c r="H915" t="s">
        <v>1746</v>
      </c>
      <c r="L915" s="2">
        <v>45773</v>
      </c>
      <c r="M915">
        <v>246.77549999999999</v>
      </c>
      <c r="R915" t="s">
        <v>1812</v>
      </c>
      <c r="S915">
        <v>246.77549999999999</v>
      </c>
      <c r="W915" s="12" t="s">
        <v>16</v>
      </c>
      <c r="X915" s="12" t="s">
        <v>1546</v>
      </c>
      <c r="Y915">
        <v>246.77549999999999</v>
      </c>
      <c r="AF915">
        <v>246.77549999999999</v>
      </c>
      <c r="AG915" t="s">
        <v>1746</v>
      </c>
    </row>
    <row r="916" spans="1:33" x14ac:dyDescent="0.3">
      <c r="A916" t="s">
        <v>153</v>
      </c>
      <c r="B916" s="2">
        <v>45308</v>
      </c>
      <c r="C916">
        <v>1748.7384</v>
      </c>
      <c r="D916" t="s">
        <v>1807</v>
      </c>
      <c r="E916">
        <v>50</v>
      </c>
      <c r="F916" t="s">
        <v>9</v>
      </c>
      <c r="G916" t="s">
        <v>1546</v>
      </c>
      <c r="H916" t="s">
        <v>1742</v>
      </c>
      <c r="L916" s="2">
        <v>45308</v>
      </c>
      <c r="M916">
        <v>1748.7384</v>
      </c>
      <c r="R916" t="s">
        <v>1807</v>
      </c>
      <c r="S916">
        <v>1748.7384</v>
      </c>
      <c r="W916" s="11" t="s">
        <v>9</v>
      </c>
      <c r="X916" s="11" t="s">
        <v>1546</v>
      </c>
      <c r="Y916">
        <v>1748.7384</v>
      </c>
      <c r="AF916">
        <v>1748.7384</v>
      </c>
      <c r="AG916" t="s">
        <v>1742</v>
      </c>
    </row>
    <row r="917" spans="1:33" x14ac:dyDescent="0.3">
      <c r="A917" t="s">
        <v>1479</v>
      </c>
      <c r="B917" s="2">
        <v>45869</v>
      </c>
      <c r="C917">
        <v>623.19839999999999</v>
      </c>
      <c r="D917" t="s">
        <v>1812</v>
      </c>
      <c r="E917">
        <v>36</v>
      </c>
      <c r="F917" t="s">
        <v>16</v>
      </c>
      <c r="G917" t="s">
        <v>1530</v>
      </c>
      <c r="H917" t="s">
        <v>1737</v>
      </c>
      <c r="L917" s="2">
        <v>45869</v>
      </c>
      <c r="M917">
        <v>623.19839999999999</v>
      </c>
      <c r="R917" t="s">
        <v>1812</v>
      </c>
      <c r="S917">
        <v>623.19839999999999</v>
      </c>
      <c r="W917" s="12" t="s">
        <v>16</v>
      </c>
      <c r="X917" s="12" t="s">
        <v>1530</v>
      </c>
      <c r="Y917">
        <v>623.19839999999999</v>
      </c>
      <c r="AF917">
        <v>623.19839999999999</v>
      </c>
      <c r="AG917" t="s">
        <v>1737</v>
      </c>
    </row>
    <row r="918" spans="1:33" x14ac:dyDescent="0.3">
      <c r="A918" t="s">
        <v>443</v>
      </c>
      <c r="B918" s="2">
        <v>45621</v>
      </c>
      <c r="C918">
        <v>502.95960000000002</v>
      </c>
      <c r="D918" t="s">
        <v>1812</v>
      </c>
      <c r="E918">
        <v>34</v>
      </c>
      <c r="F918" t="s">
        <v>16</v>
      </c>
      <c r="G918" t="s">
        <v>1530</v>
      </c>
      <c r="H918" t="s">
        <v>1742</v>
      </c>
      <c r="L918" s="2">
        <v>45621</v>
      </c>
      <c r="M918">
        <v>502.95960000000002</v>
      </c>
      <c r="R918" t="s">
        <v>1812</v>
      </c>
      <c r="S918">
        <v>502.95960000000002</v>
      </c>
      <c r="W918" s="11" t="s">
        <v>16</v>
      </c>
      <c r="X918" s="11" t="s">
        <v>1530</v>
      </c>
      <c r="Y918">
        <v>502.95960000000002</v>
      </c>
      <c r="AF918">
        <v>502.95960000000002</v>
      </c>
      <c r="AG918" t="s">
        <v>1742</v>
      </c>
    </row>
    <row r="919" spans="1:33" x14ac:dyDescent="0.3">
      <c r="A919" t="s">
        <v>646</v>
      </c>
      <c r="B919" s="2">
        <v>45428</v>
      </c>
      <c r="C919">
        <v>520.43039999999996</v>
      </c>
      <c r="D919" t="s">
        <v>1807</v>
      </c>
      <c r="E919">
        <v>30</v>
      </c>
      <c r="F919" t="s">
        <v>9</v>
      </c>
      <c r="G919" t="s">
        <v>1541</v>
      </c>
      <c r="H919" t="s">
        <v>1742</v>
      </c>
      <c r="L919" s="2">
        <v>45428</v>
      </c>
      <c r="M919">
        <v>520.43039999999996</v>
      </c>
      <c r="R919" t="s">
        <v>1807</v>
      </c>
      <c r="S919">
        <v>520.43039999999996</v>
      </c>
      <c r="W919" s="12" t="s">
        <v>9</v>
      </c>
      <c r="X919" s="12" t="s">
        <v>1541</v>
      </c>
      <c r="Y919">
        <v>520.43039999999996</v>
      </c>
      <c r="AF919">
        <v>520.43039999999996</v>
      </c>
      <c r="AG919" t="s">
        <v>1742</v>
      </c>
    </row>
    <row r="920" spans="1:33" x14ac:dyDescent="0.3">
      <c r="A920" t="s">
        <v>253</v>
      </c>
      <c r="B920" s="2">
        <v>45807</v>
      </c>
      <c r="C920">
        <v>316.22199999999998</v>
      </c>
      <c r="D920" t="s">
        <v>1809</v>
      </c>
      <c r="E920">
        <v>29</v>
      </c>
      <c r="F920" t="s">
        <v>16</v>
      </c>
      <c r="G920" t="s">
        <v>1546</v>
      </c>
      <c r="H920" t="s">
        <v>1742</v>
      </c>
      <c r="L920" s="2">
        <v>45807</v>
      </c>
      <c r="M920">
        <v>316.22199999999998</v>
      </c>
      <c r="R920" t="s">
        <v>1809</v>
      </c>
      <c r="S920">
        <v>316.22199999999998</v>
      </c>
      <c r="W920" s="11" t="s">
        <v>16</v>
      </c>
      <c r="X920" s="11" t="s">
        <v>1546</v>
      </c>
      <c r="Y920">
        <v>316.22199999999998</v>
      </c>
      <c r="AF920">
        <v>316.22199999999998</v>
      </c>
      <c r="AG920" t="s">
        <v>1742</v>
      </c>
    </row>
    <row r="921" spans="1:33" x14ac:dyDescent="0.3">
      <c r="A921" t="s">
        <v>1259</v>
      </c>
      <c r="B921" s="2">
        <v>45238</v>
      </c>
      <c r="C921">
        <v>544.55939999999998</v>
      </c>
      <c r="D921" t="s">
        <v>1807</v>
      </c>
      <c r="E921">
        <v>48</v>
      </c>
      <c r="F921" t="s">
        <v>16</v>
      </c>
      <c r="G921" t="s">
        <v>1527</v>
      </c>
      <c r="H921" t="s">
        <v>1737</v>
      </c>
      <c r="L921" s="2">
        <v>45238</v>
      </c>
      <c r="M921">
        <v>544.55939999999998</v>
      </c>
      <c r="R921" t="s">
        <v>1807</v>
      </c>
      <c r="S921">
        <v>544.55939999999998</v>
      </c>
      <c r="W921" s="12" t="s">
        <v>16</v>
      </c>
      <c r="X921" s="12" t="s">
        <v>1527</v>
      </c>
      <c r="Y921">
        <v>544.55939999999998</v>
      </c>
      <c r="AF921">
        <v>544.55939999999998</v>
      </c>
      <c r="AG921" t="s">
        <v>1737</v>
      </c>
    </row>
    <row r="922" spans="1:33" x14ac:dyDescent="0.3">
      <c r="A922" t="s">
        <v>122</v>
      </c>
      <c r="B922" s="2">
        <v>45253</v>
      </c>
      <c r="C922">
        <v>56.010599999999997</v>
      </c>
      <c r="D922" t="s">
        <v>1812</v>
      </c>
      <c r="E922">
        <v>64</v>
      </c>
      <c r="F922" t="s">
        <v>16</v>
      </c>
      <c r="G922" t="s">
        <v>1527</v>
      </c>
      <c r="H922" t="s">
        <v>1746</v>
      </c>
      <c r="L922" s="2">
        <v>45253</v>
      </c>
      <c r="M922">
        <v>56.010599999999997</v>
      </c>
      <c r="R922" t="s">
        <v>1812</v>
      </c>
      <c r="S922">
        <v>56.010599999999997</v>
      </c>
      <c r="W922" s="11" t="s">
        <v>16</v>
      </c>
      <c r="X922" s="11" t="s">
        <v>1527</v>
      </c>
      <c r="Y922">
        <v>56.010599999999997</v>
      </c>
      <c r="AF922">
        <v>56.010599999999997</v>
      </c>
      <c r="AG922" t="s">
        <v>1746</v>
      </c>
    </row>
    <row r="923" spans="1:33" x14ac:dyDescent="0.3">
      <c r="A923" t="s">
        <v>466</v>
      </c>
      <c r="B923" s="2">
        <v>45460</v>
      </c>
      <c r="C923">
        <v>1641.3904</v>
      </c>
      <c r="D923" t="s">
        <v>1807</v>
      </c>
      <c r="E923">
        <v>32</v>
      </c>
      <c r="F923" t="s">
        <v>9</v>
      </c>
      <c r="G923" t="s">
        <v>1527</v>
      </c>
      <c r="H923" t="s">
        <v>1742</v>
      </c>
      <c r="L923" s="2">
        <v>45460</v>
      </c>
      <c r="M923">
        <v>1641.3904</v>
      </c>
      <c r="R923" t="s">
        <v>1807</v>
      </c>
      <c r="S923">
        <v>1641.3904</v>
      </c>
      <c r="W923" s="12" t="s">
        <v>9</v>
      </c>
      <c r="X923" s="12" t="s">
        <v>1527</v>
      </c>
      <c r="Y923">
        <v>1641.3904</v>
      </c>
      <c r="AF923">
        <v>1641.3904</v>
      </c>
      <c r="AG923" t="s">
        <v>1742</v>
      </c>
    </row>
    <row r="924" spans="1:33" x14ac:dyDescent="0.3">
      <c r="A924" t="s">
        <v>1440</v>
      </c>
      <c r="B924" s="2">
        <v>45628</v>
      </c>
      <c r="C924">
        <v>107.0748</v>
      </c>
      <c r="D924" t="s">
        <v>1812</v>
      </c>
      <c r="E924">
        <v>53</v>
      </c>
      <c r="F924" t="s">
        <v>9</v>
      </c>
      <c r="G924" t="s">
        <v>1530</v>
      </c>
      <c r="H924" t="s">
        <v>1737</v>
      </c>
      <c r="L924" s="2">
        <v>45628</v>
      </c>
      <c r="M924">
        <v>107.0748</v>
      </c>
      <c r="R924" t="s">
        <v>1812</v>
      </c>
      <c r="S924">
        <v>107.0748</v>
      </c>
      <c r="W924" s="11" t="s">
        <v>9</v>
      </c>
      <c r="X924" s="11" t="s">
        <v>1530</v>
      </c>
      <c r="Y924">
        <v>107.0748</v>
      </c>
      <c r="AF924">
        <v>107.0748</v>
      </c>
      <c r="AG924" t="s">
        <v>1737</v>
      </c>
    </row>
    <row r="925" spans="1:33" x14ac:dyDescent="0.3">
      <c r="A925" t="s">
        <v>1199</v>
      </c>
      <c r="B925" s="2">
        <v>45778</v>
      </c>
      <c r="C925">
        <v>523.66020000000003</v>
      </c>
      <c r="D925" t="s">
        <v>1807</v>
      </c>
      <c r="E925">
        <v>50</v>
      </c>
      <c r="F925" t="s">
        <v>9</v>
      </c>
      <c r="G925" t="s">
        <v>1546</v>
      </c>
      <c r="H925" t="s">
        <v>1742</v>
      </c>
      <c r="L925" s="2">
        <v>45778</v>
      </c>
      <c r="M925">
        <v>523.66020000000003</v>
      </c>
      <c r="R925" t="s">
        <v>1807</v>
      </c>
      <c r="S925">
        <v>523.66020000000003</v>
      </c>
      <c r="W925" s="12" t="s">
        <v>9</v>
      </c>
      <c r="X925" s="12" t="s">
        <v>1546</v>
      </c>
      <c r="Y925">
        <v>523.66020000000003</v>
      </c>
      <c r="AF925">
        <v>523.66020000000003</v>
      </c>
      <c r="AG925" t="s">
        <v>1742</v>
      </c>
    </row>
    <row r="926" spans="1:33" x14ac:dyDescent="0.3">
      <c r="A926" t="s">
        <v>593</v>
      </c>
      <c r="B926" s="2">
        <v>45471</v>
      </c>
      <c r="C926">
        <v>18.459</v>
      </c>
      <c r="D926" t="s">
        <v>1812</v>
      </c>
      <c r="E926">
        <v>23</v>
      </c>
      <c r="F926" t="s">
        <v>16</v>
      </c>
      <c r="G926" t="s">
        <v>1549</v>
      </c>
      <c r="H926" t="s">
        <v>1746</v>
      </c>
      <c r="L926" s="2">
        <v>45471</v>
      </c>
      <c r="M926">
        <v>18.459</v>
      </c>
      <c r="R926" t="s">
        <v>1812</v>
      </c>
      <c r="S926">
        <v>18.459</v>
      </c>
      <c r="W926" s="11" t="s">
        <v>16</v>
      </c>
      <c r="X926" s="11" t="s">
        <v>1549</v>
      </c>
      <c r="Y926">
        <v>18.459</v>
      </c>
      <c r="AF926">
        <v>18.459</v>
      </c>
      <c r="AG926" t="s">
        <v>1746</v>
      </c>
    </row>
    <row r="927" spans="1:33" x14ac:dyDescent="0.3">
      <c r="A927" t="s">
        <v>1422</v>
      </c>
      <c r="B927" s="2">
        <v>45770</v>
      </c>
      <c r="C927">
        <v>3205.3728000000001</v>
      </c>
      <c r="D927" t="s">
        <v>1807</v>
      </c>
      <c r="E927">
        <v>63</v>
      </c>
      <c r="F927" t="s">
        <v>16</v>
      </c>
      <c r="G927" t="s">
        <v>1546</v>
      </c>
      <c r="H927" t="s">
        <v>1742</v>
      </c>
      <c r="L927" s="2">
        <v>45770</v>
      </c>
      <c r="M927">
        <v>3205.3728000000001</v>
      </c>
      <c r="R927" t="s">
        <v>1807</v>
      </c>
      <c r="S927">
        <v>3205.3728000000001</v>
      </c>
      <c r="W927" s="12" t="s">
        <v>16</v>
      </c>
      <c r="X927" s="12" t="s">
        <v>1546</v>
      </c>
      <c r="Y927">
        <v>3205.3728000000001</v>
      </c>
      <c r="AF927">
        <v>3205.3728000000001</v>
      </c>
      <c r="AG927" t="s">
        <v>1742</v>
      </c>
    </row>
    <row r="928" spans="1:33" x14ac:dyDescent="0.3">
      <c r="A928" t="s">
        <v>694</v>
      </c>
      <c r="B928" s="2">
        <v>45369</v>
      </c>
      <c r="C928">
        <v>2470.6439999999998</v>
      </c>
      <c r="D928" t="s">
        <v>1807</v>
      </c>
      <c r="E928">
        <v>44</v>
      </c>
      <c r="F928" t="s">
        <v>9</v>
      </c>
      <c r="G928" t="s">
        <v>1546</v>
      </c>
      <c r="H928" t="s">
        <v>1742</v>
      </c>
      <c r="L928" s="2">
        <v>45369</v>
      </c>
      <c r="M928">
        <v>2470.6439999999998</v>
      </c>
      <c r="R928" t="s">
        <v>1807</v>
      </c>
      <c r="S928">
        <v>2470.6439999999998</v>
      </c>
      <c r="W928" s="11" t="s">
        <v>9</v>
      </c>
      <c r="X928" s="11" t="s">
        <v>1546</v>
      </c>
      <c r="Y928">
        <v>2470.6439999999998</v>
      </c>
      <c r="AF928">
        <v>2470.6439999999998</v>
      </c>
      <c r="AG928" t="s">
        <v>1742</v>
      </c>
    </row>
    <row r="929" spans="1:33" x14ac:dyDescent="0.3">
      <c r="A929" t="s">
        <v>611</v>
      </c>
      <c r="B929" s="2">
        <v>45910</v>
      </c>
      <c r="C929">
        <v>474.41449999999998</v>
      </c>
      <c r="D929" t="s">
        <v>1809</v>
      </c>
      <c r="E929">
        <v>42</v>
      </c>
      <c r="F929" t="s">
        <v>9</v>
      </c>
      <c r="G929" t="s">
        <v>1546</v>
      </c>
      <c r="H929" t="s">
        <v>1742</v>
      </c>
      <c r="L929" s="2">
        <v>45910</v>
      </c>
      <c r="M929">
        <v>474.41449999999998</v>
      </c>
      <c r="R929" t="s">
        <v>1809</v>
      </c>
      <c r="S929">
        <v>474.41449999999998</v>
      </c>
      <c r="W929" s="12" t="s">
        <v>9</v>
      </c>
      <c r="X929" s="12" t="s">
        <v>1546</v>
      </c>
      <c r="Y929">
        <v>474.41449999999998</v>
      </c>
      <c r="AF929">
        <v>474.41449999999998</v>
      </c>
      <c r="AG929" t="s">
        <v>1742</v>
      </c>
    </row>
    <row r="930" spans="1:33" x14ac:dyDescent="0.3">
      <c r="A930" t="s">
        <v>1178</v>
      </c>
      <c r="B930" s="2">
        <v>45637</v>
      </c>
      <c r="C930">
        <v>370.75619999999998</v>
      </c>
      <c r="D930" t="s">
        <v>1809</v>
      </c>
      <c r="E930">
        <v>20</v>
      </c>
      <c r="F930" t="s">
        <v>16</v>
      </c>
      <c r="G930" t="s">
        <v>1549</v>
      </c>
      <c r="H930" t="s">
        <v>1742</v>
      </c>
      <c r="L930" s="2">
        <v>45637</v>
      </c>
      <c r="M930">
        <v>370.75619999999998</v>
      </c>
      <c r="R930" t="s">
        <v>1809</v>
      </c>
      <c r="S930">
        <v>370.75619999999998</v>
      </c>
      <c r="W930" s="11" t="s">
        <v>16</v>
      </c>
      <c r="X930" s="11" t="s">
        <v>1549</v>
      </c>
      <c r="Y930">
        <v>370.75619999999998</v>
      </c>
      <c r="AF930">
        <v>370.75619999999998</v>
      </c>
      <c r="AG930" t="s">
        <v>1742</v>
      </c>
    </row>
    <row r="931" spans="1:33" x14ac:dyDescent="0.3">
      <c r="A931" t="s">
        <v>528</v>
      </c>
      <c r="B931" s="2">
        <v>45706</v>
      </c>
      <c r="C931">
        <v>571.26209999999992</v>
      </c>
      <c r="D931" t="s">
        <v>1812</v>
      </c>
      <c r="E931">
        <v>41</v>
      </c>
      <c r="F931" t="s">
        <v>16</v>
      </c>
      <c r="G931" t="s">
        <v>1549</v>
      </c>
      <c r="H931" t="s">
        <v>1737</v>
      </c>
      <c r="L931" s="2">
        <v>45706</v>
      </c>
      <c r="M931">
        <v>571.26209999999992</v>
      </c>
      <c r="R931" t="s">
        <v>1812</v>
      </c>
      <c r="S931">
        <v>571.26209999999992</v>
      </c>
      <c r="W931" s="12" t="s">
        <v>16</v>
      </c>
      <c r="X931" s="12" t="s">
        <v>1549</v>
      </c>
      <c r="Y931">
        <v>571.26209999999992</v>
      </c>
      <c r="AF931">
        <v>571.26209999999992</v>
      </c>
      <c r="AG931" t="s">
        <v>1737</v>
      </c>
    </row>
    <row r="932" spans="1:33" x14ac:dyDescent="0.3">
      <c r="A932" t="s">
        <v>1241</v>
      </c>
      <c r="B932" s="2">
        <v>45557</v>
      </c>
      <c r="C932">
        <v>934.46460000000013</v>
      </c>
      <c r="D932" t="s">
        <v>1809</v>
      </c>
      <c r="E932">
        <v>22</v>
      </c>
      <c r="F932" t="s">
        <v>16</v>
      </c>
      <c r="G932" t="s">
        <v>1549</v>
      </c>
      <c r="H932" t="s">
        <v>1742</v>
      </c>
      <c r="L932" s="2">
        <v>45557</v>
      </c>
      <c r="M932">
        <v>934.46460000000013</v>
      </c>
      <c r="R932" t="s">
        <v>1809</v>
      </c>
      <c r="S932">
        <v>934.46460000000013</v>
      </c>
      <c r="W932" s="11" t="s">
        <v>16</v>
      </c>
      <c r="X932" s="11" t="s">
        <v>1549</v>
      </c>
      <c r="Y932">
        <v>934.46460000000013</v>
      </c>
      <c r="AF932">
        <v>934.46460000000013</v>
      </c>
      <c r="AG932" t="s">
        <v>1742</v>
      </c>
    </row>
    <row r="933" spans="1:33" x14ac:dyDescent="0.3">
      <c r="A933" t="s">
        <v>1008</v>
      </c>
      <c r="B933" s="2">
        <v>45338</v>
      </c>
      <c r="C933">
        <v>647.2349999999999</v>
      </c>
      <c r="D933" t="s">
        <v>1807</v>
      </c>
      <c r="E933">
        <v>58</v>
      </c>
      <c r="F933" t="s">
        <v>9</v>
      </c>
      <c r="G933" t="s">
        <v>1549</v>
      </c>
      <c r="H933" t="s">
        <v>1742</v>
      </c>
      <c r="L933" s="2">
        <v>45338</v>
      </c>
      <c r="M933">
        <v>647.2349999999999</v>
      </c>
      <c r="R933" t="s">
        <v>1807</v>
      </c>
      <c r="S933">
        <v>647.2349999999999</v>
      </c>
      <c r="W933" s="12" t="s">
        <v>9</v>
      </c>
      <c r="X933" s="12" t="s">
        <v>1549</v>
      </c>
      <c r="Y933">
        <v>647.2349999999999</v>
      </c>
      <c r="AF933">
        <v>647.2349999999999</v>
      </c>
      <c r="AG933" t="s">
        <v>1742</v>
      </c>
    </row>
    <row r="934" spans="1:33" x14ac:dyDescent="0.3">
      <c r="A934" t="s">
        <v>1396</v>
      </c>
      <c r="B934" s="2">
        <v>45441</v>
      </c>
      <c r="C934">
        <v>1060.4369999999999</v>
      </c>
      <c r="D934" t="s">
        <v>1807</v>
      </c>
      <c r="E934">
        <v>62</v>
      </c>
      <c r="F934" t="s">
        <v>16</v>
      </c>
      <c r="G934" t="s">
        <v>1530</v>
      </c>
      <c r="H934" t="s">
        <v>1742</v>
      </c>
      <c r="L934" s="2">
        <v>45441</v>
      </c>
      <c r="M934">
        <v>1060.4369999999999</v>
      </c>
      <c r="R934" t="s">
        <v>1807</v>
      </c>
      <c r="S934">
        <v>1060.4369999999999</v>
      </c>
      <c r="W934" s="11" t="s">
        <v>16</v>
      </c>
      <c r="X934" s="11" t="s">
        <v>1530</v>
      </c>
      <c r="Y934">
        <v>1060.4369999999999</v>
      </c>
      <c r="AF934">
        <v>1060.4369999999999</v>
      </c>
      <c r="AG934" t="s">
        <v>1742</v>
      </c>
    </row>
    <row r="935" spans="1:33" x14ac:dyDescent="0.3">
      <c r="A935" t="s">
        <v>222</v>
      </c>
      <c r="B935" s="2">
        <v>45396</v>
      </c>
      <c r="C935">
        <v>1754.4059999999999</v>
      </c>
      <c r="D935" t="s">
        <v>1809</v>
      </c>
      <c r="E935">
        <v>23</v>
      </c>
      <c r="F935" t="s">
        <v>9</v>
      </c>
      <c r="G935" t="s">
        <v>1549</v>
      </c>
      <c r="H935" t="s">
        <v>1742</v>
      </c>
      <c r="L935" s="2">
        <v>45396</v>
      </c>
      <c r="M935">
        <v>1754.4059999999999</v>
      </c>
      <c r="R935" t="s">
        <v>1809</v>
      </c>
      <c r="S935">
        <v>1754.4059999999999</v>
      </c>
      <c r="W935" s="12" t="s">
        <v>9</v>
      </c>
      <c r="X935" s="12" t="s">
        <v>1549</v>
      </c>
      <c r="Y935">
        <v>1754.4059999999999</v>
      </c>
      <c r="AF935">
        <v>1754.4059999999999</v>
      </c>
      <c r="AG935" t="s">
        <v>1742</v>
      </c>
    </row>
    <row r="936" spans="1:33" x14ac:dyDescent="0.3">
      <c r="A936" t="s">
        <v>780</v>
      </c>
      <c r="B936" s="2">
        <v>45317</v>
      </c>
      <c r="C936">
        <v>1874.787</v>
      </c>
      <c r="D936" t="s">
        <v>1809</v>
      </c>
      <c r="E936">
        <v>58</v>
      </c>
      <c r="F936" t="s">
        <v>9</v>
      </c>
      <c r="G936" t="s">
        <v>1546</v>
      </c>
      <c r="H936" t="s">
        <v>1746</v>
      </c>
      <c r="L936" s="2">
        <v>45317</v>
      </c>
      <c r="M936">
        <v>1874.787</v>
      </c>
      <c r="R936" t="s">
        <v>1809</v>
      </c>
      <c r="S936">
        <v>1874.787</v>
      </c>
      <c r="W936" s="11" t="s">
        <v>9</v>
      </c>
      <c r="X936" s="11" t="s">
        <v>1546</v>
      </c>
      <c r="Y936">
        <v>1874.787</v>
      </c>
      <c r="AF936">
        <v>1874.787</v>
      </c>
      <c r="AG936" t="s">
        <v>1746</v>
      </c>
    </row>
    <row r="937" spans="1:33" x14ac:dyDescent="0.3">
      <c r="A937" t="s">
        <v>410</v>
      </c>
      <c r="B937" s="2">
        <v>45235</v>
      </c>
      <c r="C937">
        <v>124.336</v>
      </c>
      <c r="D937" t="s">
        <v>1809</v>
      </c>
      <c r="E937">
        <v>44</v>
      </c>
      <c r="F937" t="s">
        <v>16</v>
      </c>
      <c r="G937" t="s">
        <v>1546</v>
      </c>
      <c r="H937" t="s">
        <v>1742</v>
      </c>
      <c r="L937" s="2">
        <v>45235</v>
      </c>
      <c r="M937">
        <v>124.336</v>
      </c>
      <c r="R937" t="s">
        <v>1809</v>
      </c>
      <c r="S937">
        <v>124.336</v>
      </c>
      <c r="W937" s="12" t="s">
        <v>16</v>
      </c>
      <c r="X937" s="12" t="s">
        <v>1546</v>
      </c>
      <c r="Y937">
        <v>124.336</v>
      </c>
      <c r="AF937">
        <v>124.336</v>
      </c>
      <c r="AG937" t="s">
        <v>1742</v>
      </c>
    </row>
    <row r="938" spans="1:33" x14ac:dyDescent="0.3">
      <c r="A938" t="s">
        <v>1184</v>
      </c>
      <c r="B938" s="2">
        <v>45824</v>
      </c>
      <c r="C938">
        <v>2746.7712000000001</v>
      </c>
      <c r="D938" t="s">
        <v>1807</v>
      </c>
      <c r="E938">
        <v>52</v>
      </c>
      <c r="F938" t="s">
        <v>16</v>
      </c>
      <c r="G938" t="s">
        <v>1541</v>
      </c>
      <c r="H938" t="s">
        <v>1742</v>
      </c>
      <c r="L938" s="2">
        <v>45824</v>
      </c>
      <c r="M938">
        <v>2746.7712000000001</v>
      </c>
      <c r="R938" t="s">
        <v>1807</v>
      </c>
      <c r="S938">
        <v>2746.7712000000001</v>
      </c>
      <c r="W938" s="11" t="s">
        <v>16</v>
      </c>
      <c r="X938" s="11" t="s">
        <v>1541</v>
      </c>
      <c r="Y938">
        <v>2746.7712000000001</v>
      </c>
      <c r="AF938">
        <v>2746.7712000000001</v>
      </c>
      <c r="AG938" t="s">
        <v>1742</v>
      </c>
    </row>
    <row r="939" spans="1:33" x14ac:dyDescent="0.3">
      <c r="A939" t="s">
        <v>245</v>
      </c>
      <c r="B939" s="2">
        <v>45543</v>
      </c>
      <c r="C939">
        <v>2143.6176</v>
      </c>
      <c r="D939" t="s">
        <v>1809</v>
      </c>
      <c r="E939">
        <v>24</v>
      </c>
      <c r="F939" t="s">
        <v>16</v>
      </c>
      <c r="G939" t="s">
        <v>1546</v>
      </c>
      <c r="H939" t="s">
        <v>1742</v>
      </c>
      <c r="L939" s="2">
        <v>45543</v>
      </c>
      <c r="M939">
        <v>2143.6176</v>
      </c>
      <c r="R939" t="s">
        <v>1809</v>
      </c>
      <c r="S939">
        <v>2143.6176</v>
      </c>
      <c r="W939" s="12" t="s">
        <v>16</v>
      </c>
      <c r="X939" s="12" t="s">
        <v>1546</v>
      </c>
      <c r="Y939">
        <v>2143.6176</v>
      </c>
      <c r="AF939">
        <v>2143.6176</v>
      </c>
      <c r="AG939" t="s">
        <v>1742</v>
      </c>
    </row>
    <row r="940" spans="1:33" x14ac:dyDescent="0.3">
      <c r="A940" t="s">
        <v>1497</v>
      </c>
      <c r="B940" s="2">
        <v>45595</v>
      </c>
      <c r="C940">
        <v>2486.2139999999999</v>
      </c>
      <c r="D940" t="s">
        <v>1809</v>
      </c>
      <c r="E940">
        <v>28</v>
      </c>
      <c r="F940" t="s">
        <v>9</v>
      </c>
      <c r="G940" t="s">
        <v>1546</v>
      </c>
      <c r="H940" t="s">
        <v>1742</v>
      </c>
      <c r="L940" s="2">
        <v>45595</v>
      </c>
      <c r="M940">
        <v>2486.2139999999999</v>
      </c>
      <c r="R940" t="s">
        <v>1809</v>
      </c>
      <c r="S940">
        <v>2486.2139999999999</v>
      </c>
      <c r="W940" s="11" t="s">
        <v>9</v>
      </c>
      <c r="X940" s="11" t="s">
        <v>1546</v>
      </c>
      <c r="Y940">
        <v>2486.2139999999999</v>
      </c>
      <c r="AF940">
        <v>2486.2139999999999</v>
      </c>
      <c r="AG940" t="s">
        <v>1742</v>
      </c>
    </row>
    <row r="941" spans="1:33" x14ac:dyDescent="0.3">
      <c r="A941" t="s">
        <v>954</v>
      </c>
      <c r="B941" s="2">
        <v>45803</v>
      </c>
      <c r="C941">
        <v>154.93799999999999</v>
      </c>
      <c r="D941" t="s">
        <v>1812</v>
      </c>
      <c r="E941">
        <v>44</v>
      </c>
      <c r="F941" t="s">
        <v>9</v>
      </c>
      <c r="G941" t="s">
        <v>1549</v>
      </c>
      <c r="H941" t="s">
        <v>1742</v>
      </c>
      <c r="L941" s="2">
        <v>45803</v>
      </c>
      <c r="M941">
        <v>154.93799999999999</v>
      </c>
      <c r="R941" t="s">
        <v>1812</v>
      </c>
      <c r="S941">
        <v>154.93799999999999</v>
      </c>
      <c r="W941" s="12" t="s">
        <v>9</v>
      </c>
      <c r="X941" s="12" t="s">
        <v>1549</v>
      </c>
      <c r="Y941">
        <v>154.93799999999999</v>
      </c>
      <c r="AF941">
        <v>154.93799999999999</v>
      </c>
      <c r="AG941" t="s">
        <v>1742</v>
      </c>
    </row>
    <row r="942" spans="1:33" x14ac:dyDescent="0.3">
      <c r="A942" t="s">
        <v>1362</v>
      </c>
      <c r="B942" s="2">
        <v>45880</v>
      </c>
      <c r="C942">
        <v>2421.7944000000002</v>
      </c>
      <c r="D942" t="s">
        <v>1807</v>
      </c>
      <c r="E942">
        <v>35</v>
      </c>
      <c r="F942" t="s">
        <v>9</v>
      </c>
      <c r="G942" t="s">
        <v>1549</v>
      </c>
      <c r="H942" t="s">
        <v>1742</v>
      </c>
      <c r="L942" s="2">
        <v>45880</v>
      </c>
      <c r="M942">
        <v>2421.7944000000002</v>
      </c>
      <c r="R942" t="s">
        <v>1807</v>
      </c>
      <c r="S942">
        <v>2421.7944000000002</v>
      </c>
      <c r="W942" s="11" t="s">
        <v>9</v>
      </c>
      <c r="X942" s="11" t="s">
        <v>1549</v>
      </c>
      <c r="Y942">
        <v>2421.7944000000002</v>
      </c>
      <c r="AF942">
        <v>2421.7944000000002</v>
      </c>
      <c r="AG942" t="s">
        <v>1742</v>
      </c>
    </row>
    <row r="943" spans="1:33" x14ac:dyDescent="0.3">
      <c r="A943" t="s">
        <v>293</v>
      </c>
      <c r="B943" s="2">
        <v>45690</v>
      </c>
      <c r="C943">
        <v>541.10160000000008</v>
      </c>
      <c r="D943" t="s">
        <v>1809</v>
      </c>
      <c r="E943">
        <v>53</v>
      </c>
      <c r="F943" t="s">
        <v>9</v>
      </c>
      <c r="G943" t="s">
        <v>1530</v>
      </c>
      <c r="H943" t="s">
        <v>1742</v>
      </c>
      <c r="L943" s="2">
        <v>45690</v>
      </c>
      <c r="M943">
        <v>541.10160000000008</v>
      </c>
      <c r="R943" t="s">
        <v>1809</v>
      </c>
      <c r="S943">
        <v>541.10160000000008</v>
      </c>
      <c r="W943" s="12" t="s">
        <v>9</v>
      </c>
      <c r="X943" s="12" t="s">
        <v>1530</v>
      </c>
      <c r="Y943">
        <v>541.10160000000008</v>
      </c>
      <c r="AF943">
        <v>541.10160000000008</v>
      </c>
      <c r="AG943" t="s">
        <v>1742</v>
      </c>
    </row>
    <row r="944" spans="1:33" x14ac:dyDescent="0.3">
      <c r="A944" t="s">
        <v>1443</v>
      </c>
      <c r="B944" s="2">
        <v>45841</v>
      </c>
      <c r="C944">
        <v>844.77059999999994</v>
      </c>
      <c r="D944" t="s">
        <v>1807</v>
      </c>
      <c r="E944">
        <v>32</v>
      </c>
      <c r="F944" t="s">
        <v>16</v>
      </c>
      <c r="G944" t="s">
        <v>1541</v>
      </c>
      <c r="H944" t="s">
        <v>1742</v>
      </c>
      <c r="L944" s="2">
        <v>45841</v>
      </c>
      <c r="M944">
        <v>844.77059999999994</v>
      </c>
      <c r="R944" t="s">
        <v>1807</v>
      </c>
      <c r="S944">
        <v>844.77059999999994</v>
      </c>
      <c r="W944" s="11" t="s">
        <v>16</v>
      </c>
      <c r="X944" s="11" t="s">
        <v>1541</v>
      </c>
      <c r="Y944">
        <v>844.77059999999994</v>
      </c>
      <c r="AF944">
        <v>844.77059999999994</v>
      </c>
      <c r="AG944" t="s">
        <v>1742</v>
      </c>
    </row>
    <row r="945" spans="1:33" x14ac:dyDescent="0.3">
      <c r="A945" t="s">
        <v>1385</v>
      </c>
      <c r="B945" s="2">
        <v>45380</v>
      </c>
      <c r="C945">
        <v>1196.5536</v>
      </c>
      <c r="D945" t="s">
        <v>1809</v>
      </c>
      <c r="E945">
        <v>60</v>
      </c>
      <c r="F945" t="s">
        <v>9</v>
      </c>
      <c r="G945" t="s">
        <v>1549</v>
      </c>
      <c r="H945" t="s">
        <v>1742</v>
      </c>
      <c r="L945" s="2">
        <v>45380</v>
      </c>
      <c r="M945">
        <v>1196.5536</v>
      </c>
      <c r="R945" t="s">
        <v>1809</v>
      </c>
      <c r="S945">
        <v>1196.5536</v>
      </c>
      <c r="W945" s="12" t="s">
        <v>9</v>
      </c>
      <c r="X945" s="12" t="s">
        <v>1549</v>
      </c>
      <c r="Y945">
        <v>1196.5536</v>
      </c>
      <c r="AF945">
        <v>1196.5536</v>
      </c>
      <c r="AG945" t="s">
        <v>1742</v>
      </c>
    </row>
    <row r="946" spans="1:33" x14ac:dyDescent="0.3">
      <c r="A946" t="s">
        <v>1184</v>
      </c>
      <c r="B946" s="2">
        <v>45503</v>
      </c>
      <c r="C946">
        <v>1082.835</v>
      </c>
      <c r="D946" t="s">
        <v>1809</v>
      </c>
      <c r="E946">
        <v>52</v>
      </c>
      <c r="F946" t="s">
        <v>16</v>
      </c>
      <c r="G946" t="s">
        <v>1527</v>
      </c>
      <c r="H946" t="s">
        <v>1746</v>
      </c>
      <c r="L946" s="2">
        <v>45503</v>
      </c>
      <c r="M946">
        <v>1082.835</v>
      </c>
      <c r="R946" t="s">
        <v>1809</v>
      </c>
      <c r="S946">
        <v>1082.835</v>
      </c>
      <c r="W946" s="11" t="s">
        <v>16</v>
      </c>
      <c r="X946" s="11" t="s">
        <v>1527</v>
      </c>
      <c r="Y946">
        <v>1082.835</v>
      </c>
      <c r="AF946">
        <v>1082.835</v>
      </c>
      <c r="AG946" t="s">
        <v>1746</v>
      </c>
    </row>
    <row r="947" spans="1:33" x14ac:dyDescent="0.3">
      <c r="A947" t="s">
        <v>245</v>
      </c>
      <c r="B947" s="2">
        <v>45567</v>
      </c>
      <c r="C947">
        <v>3817.6880000000001</v>
      </c>
      <c r="D947" t="s">
        <v>1812</v>
      </c>
      <c r="E947">
        <v>24</v>
      </c>
      <c r="F947" t="s">
        <v>16</v>
      </c>
      <c r="G947" t="s">
        <v>1527</v>
      </c>
      <c r="H947" t="s">
        <v>1742</v>
      </c>
      <c r="L947" s="2">
        <v>45567</v>
      </c>
      <c r="M947">
        <v>3817.6880000000001</v>
      </c>
      <c r="R947" t="s">
        <v>1812</v>
      </c>
      <c r="S947">
        <v>3817.6880000000001</v>
      </c>
      <c r="W947" s="12" t="s">
        <v>16</v>
      </c>
      <c r="X947" s="12" t="s">
        <v>1527</v>
      </c>
      <c r="Y947">
        <v>3817.6880000000001</v>
      </c>
      <c r="AF947">
        <v>3817.6880000000001</v>
      </c>
      <c r="AG947" t="s">
        <v>1742</v>
      </c>
    </row>
    <row r="948" spans="1:33" x14ac:dyDescent="0.3">
      <c r="A948" t="s">
        <v>471</v>
      </c>
      <c r="B948" s="2">
        <v>45600</v>
      </c>
      <c r="C948">
        <v>267.20600000000002</v>
      </c>
      <c r="D948" t="s">
        <v>1807</v>
      </c>
      <c r="E948">
        <v>30</v>
      </c>
      <c r="F948" t="s">
        <v>9</v>
      </c>
      <c r="G948" t="s">
        <v>1527</v>
      </c>
      <c r="H948" t="s">
        <v>1742</v>
      </c>
      <c r="L948" s="2">
        <v>45600</v>
      </c>
      <c r="M948">
        <v>267.20600000000002</v>
      </c>
      <c r="R948" t="s">
        <v>1807</v>
      </c>
      <c r="S948">
        <v>267.20600000000002</v>
      </c>
      <c r="W948" s="11" t="s">
        <v>9</v>
      </c>
      <c r="X948" s="11" t="s">
        <v>1527</v>
      </c>
      <c r="Y948">
        <v>267.20600000000002</v>
      </c>
      <c r="AF948">
        <v>267.20600000000002</v>
      </c>
      <c r="AG948" t="s">
        <v>1742</v>
      </c>
    </row>
    <row r="949" spans="1:33" x14ac:dyDescent="0.3">
      <c r="A949" t="s">
        <v>64</v>
      </c>
      <c r="B949" s="2">
        <v>45415</v>
      </c>
      <c r="C949">
        <v>603.71640000000002</v>
      </c>
      <c r="D949" t="s">
        <v>1807</v>
      </c>
      <c r="E949">
        <v>53</v>
      </c>
      <c r="F949" t="s">
        <v>16</v>
      </c>
      <c r="G949" t="s">
        <v>1549</v>
      </c>
      <c r="H949" t="s">
        <v>1742</v>
      </c>
      <c r="L949" s="2">
        <v>45415</v>
      </c>
      <c r="M949">
        <v>603.71640000000002</v>
      </c>
      <c r="R949" t="s">
        <v>1807</v>
      </c>
      <c r="S949">
        <v>603.71640000000002</v>
      </c>
      <c r="W949" s="12" t="s">
        <v>16</v>
      </c>
      <c r="X949" s="12" t="s">
        <v>1549</v>
      </c>
      <c r="Y949">
        <v>603.71640000000002</v>
      </c>
      <c r="AF949">
        <v>603.71640000000002</v>
      </c>
      <c r="AG949" t="s">
        <v>1742</v>
      </c>
    </row>
    <row r="950" spans="1:33" x14ac:dyDescent="0.3">
      <c r="A950" t="s">
        <v>1019</v>
      </c>
      <c r="B950" s="2">
        <v>45343</v>
      </c>
      <c r="C950">
        <v>1866.2719999999999</v>
      </c>
      <c r="D950" t="s">
        <v>1807</v>
      </c>
      <c r="E950">
        <v>46</v>
      </c>
      <c r="F950" t="s">
        <v>9</v>
      </c>
      <c r="G950" t="s">
        <v>1541</v>
      </c>
      <c r="H950" t="s">
        <v>1742</v>
      </c>
      <c r="L950" s="2">
        <v>45343</v>
      </c>
      <c r="M950">
        <v>1866.2719999999999</v>
      </c>
      <c r="R950" t="s">
        <v>1807</v>
      </c>
      <c r="S950">
        <v>1866.2719999999999</v>
      </c>
      <c r="W950" s="11" t="s">
        <v>9</v>
      </c>
      <c r="X950" s="11" t="s">
        <v>1541</v>
      </c>
      <c r="Y950">
        <v>1866.2719999999999</v>
      </c>
      <c r="AF950">
        <v>1866.2719999999999</v>
      </c>
      <c r="AG950" t="s">
        <v>1742</v>
      </c>
    </row>
    <row r="951" spans="1:33" x14ac:dyDescent="0.3">
      <c r="A951" t="s">
        <v>1270</v>
      </c>
      <c r="B951" s="2">
        <v>45399</v>
      </c>
      <c r="C951">
        <v>1661.6624999999999</v>
      </c>
      <c r="D951" t="s">
        <v>1809</v>
      </c>
      <c r="E951">
        <v>35</v>
      </c>
      <c r="F951" t="s">
        <v>16</v>
      </c>
      <c r="G951" t="s">
        <v>1549</v>
      </c>
      <c r="H951" t="s">
        <v>1767</v>
      </c>
      <c r="L951" s="2">
        <v>45399</v>
      </c>
      <c r="M951">
        <v>1661.6624999999999</v>
      </c>
      <c r="R951" t="s">
        <v>1809</v>
      </c>
      <c r="S951">
        <v>1661.6624999999999</v>
      </c>
      <c r="W951" s="12" t="s">
        <v>16</v>
      </c>
      <c r="X951" s="12" t="s">
        <v>1549</v>
      </c>
      <c r="Y951">
        <v>1661.6624999999999</v>
      </c>
      <c r="AF951">
        <v>1661.6624999999999</v>
      </c>
      <c r="AG951" t="s">
        <v>1767</v>
      </c>
    </row>
    <row r="952" spans="1:33" x14ac:dyDescent="0.3">
      <c r="A952" t="s">
        <v>966</v>
      </c>
      <c r="B952" s="2">
        <v>45689</v>
      </c>
      <c r="C952">
        <v>1206.6407999999999</v>
      </c>
      <c r="D952" t="s">
        <v>1807</v>
      </c>
      <c r="E952">
        <v>20</v>
      </c>
      <c r="F952" t="s">
        <v>9</v>
      </c>
      <c r="G952" t="s">
        <v>1549</v>
      </c>
      <c r="H952" t="s">
        <v>1742</v>
      </c>
      <c r="L952" s="2">
        <v>45689</v>
      </c>
      <c r="M952">
        <v>1206.6407999999999</v>
      </c>
      <c r="R952" t="s">
        <v>1807</v>
      </c>
      <c r="S952">
        <v>1206.6407999999999</v>
      </c>
      <c r="W952" s="11" t="s">
        <v>9</v>
      </c>
      <c r="X952" s="11" t="s">
        <v>1549</v>
      </c>
      <c r="Y952">
        <v>1206.6407999999999</v>
      </c>
      <c r="AF952">
        <v>1206.6407999999999</v>
      </c>
      <c r="AG952" t="s">
        <v>1742</v>
      </c>
    </row>
    <row r="953" spans="1:33" x14ac:dyDescent="0.3">
      <c r="A953" t="s">
        <v>513</v>
      </c>
      <c r="B953" s="2">
        <v>45699</v>
      </c>
      <c r="C953">
        <v>824.48639999999989</v>
      </c>
      <c r="D953" t="s">
        <v>1809</v>
      </c>
      <c r="E953">
        <v>60</v>
      </c>
      <c r="F953" t="s">
        <v>16</v>
      </c>
      <c r="G953" t="s">
        <v>1541</v>
      </c>
      <c r="H953" t="s">
        <v>1742</v>
      </c>
      <c r="L953" s="2">
        <v>45699</v>
      </c>
      <c r="M953">
        <v>824.48639999999989</v>
      </c>
      <c r="R953" t="s">
        <v>1809</v>
      </c>
      <c r="S953">
        <v>824.48639999999989</v>
      </c>
      <c r="W953" s="12" t="s">
        <v>16</v>
      </c>
      <c r="X953" s="12" t="s">
        <v>1541</v>
      </c>
      <c r="Y953">
        <v>824.48639999999989</v>
      </c>
      <c r="AF953">
        <v>824.48639999999989</v>
      </c>
      <c r="AG953" t="s">
        <v>1742</v>
      </c>
    </row>
    <row r="954" spans="1:33" x14ac:dyDescent="0.3">
      <c r="A954" t="s">
        <v>880</v>
      </c>
      <c r="B954" s="2">
        <v>45663</v>
      </c>
      <c r="C954">
        <v>1069.5302999999999</v>
      </c>
      <c r="D954" t="s">
        <v>1812</v>
      </c>
      <c r="E954">
        <v>48</v>
      </c>
      <c r="F954" t="s">
        <v>9</v>
      </c>
      <c r="G954" t="s">
        <v>1549</v>
      </c>
      <c r="H954" t="s">
        <v>1742</v>
      </c>
      <c r="L954" s="2">
        <v>45663</v>
      </c>
      <c r="M954">
        <v>1069.5302999999999</v>
      </c>
      <c r="R954" t="s">
        <v>1812</v>
      </c>
      <c r="S954">
        <v>1069.5302999999999</v>
      </c>
      <c r="W954" s="11" t="s">
        <v>9</v>
      </c>
      <c r="X954" s="11" t="s">
        <v>1549</v>
      </c>
      <c r="Y954">
        <v>1069.5302999999999</v>
      </c>
      <c r="AF954">
        <v>1069.5302999999999</v>
      </c>
      <c r="AG954" t="s">
        <v>1742</v>
      </c>
    </row>
    <row r="955" spans="1:33" x14ac:dyDescent="0.3">
      <c r="A955" t="s">
        <v>1431</v>
      </c>
      <c r="B955" s="2">
        <v>45377</v>
      </c>
      <c r="C955">
        <v>1968.5753999999999</v>
      </c>
      <c r="D955" t="s">
        <v>1812</v>
      </c>
      <c r="E955">
        <v>21</v>
      </c>
      <c r="F955" t="s">
        <v>16</v>
      </c>
      <c r="G955" t="s">
        <v>1527</v>
      </c>
      <c r="H955" t="s">
        <v>1767</v>
      </c>
      <c r="L955" s="2">
        <v>45377</v>
      </c>
      <c r="M955">
        <v>1968.5753999999999</v>
      </c>
      <c r="R955" t="s">
        <v>1812</v>
      </c>
      <c r="S955">
        <v>1968.5753999999999</v>
      </c>
      <c r="W955" s="12" t="s">
        <v>16</v>
      </c>
      <c r="X955" s="12" t="s">
        <v>1527</v>
      </c>
      <c r="Y955">
        <v>1968.5753999999999</v>
      </c>
      <c r="AF955">
        <v>1968.5753999999999</v>
      </c>
      <c r="AG955" t="s">
        <v>1767</v>
      </c>
    </row>
    <row r="956" spans="1:33" x14ac:dyDescent="0.3">
      <c r="A956" t="s">
        <v>1511</v>
      </c>
      <c r="B956" s="2">
        <v>45412</v>
      </c>
      <c r="C956">
        <v>1483.8119999999999</v>
      </c>
      <c r="D956" t="s">
        <v>1812</v>
      </c>
      <c r="E956">
        <v>35</v>
      </c>
      <c r="F956" t="s">
        <v>9</v>
      </c>
      <c r="G956" t="s">
        <v>1541</v>
      </c>
      <c r="H956" t="s">
        <v>1742</v>
      </c>
      <c r="L956" s="2">
        <v>45412</v>
      </c>
      <c r="M956">
        <v>1483.8119999999999</v>
      </c>
      <c r="R956" t="s">
        <v>1812</v>
      </c>
      <c r="S956">
        <v>1483.8119999999999</v>
      </c>
      <c r="W956" s="11" t="s">
        <v>9</v>
      </c>
      <c r="X956" s="11" t="s">
        <v>1541</v>
      </c>
      <c r="Y956">
        <v>1483.8119999999999</v>
      </c>
      <c r="AF956">
        <v>1483.8119999999999</v>
      </c>
      <c r="AG956" t="s">
        <v>1742</v>
      </c>
    </row>
    <row r="957" spans="1:33" x14ac:dyDescent="0.3">
      <c r="A957" t="s">
        <v>392</v>
      </c>
      <c r="B957" s="2">
        <v>45349</v>
      </c>
      <c r="C957">
        <v>345.32479999999998</v>
      </c>
      <c r="D957" t="s">
        <v>1807</v>
      </c>
      <c r="E957">
        <v>30</v>
      </c>
      <c r="F957" t="s">
        <v>9</v>
      </c>
      <c r="G957" t="s">
        <v>1541</v>
      </c>
      <c r="H957" t="s">
        <v>1767</v>
      </c>
      <c r="L957" s="2">
        <v>45349</v>
      </c>
      <c r="M957">
        <v>345.32479999999998</v>
      </c>
      <c r="R957" t="s">
        <v>1807</v>
      </c>
      <c r="S957">
        <v>345.32479999999998</v>
      </c>
      <c r="W957" s="12" t="s">
        <v>9</v>
      </c>
      <c r="X957" s="12" t="s">
        <v>1541</v>
      </c>
      <c r="Y957">
        <v>345.32479999999998</v>
      </c>
      <c r="AF957">
        <v>345.32479999999998</v>
      </c>
      <c r="AG957" t="s">
        <v>1767</v>
      </c>
    </row>
    <row r="958" spans="1:33" x14ac:dyDescent="0.3">
      <c r="A958" t="s">
        <v>1107</v>
      </c>
      <c r="B958" s="2">
        <v>45486</v>
      </c>
      <c r="C958">
        <v>59.593499999999999</v>
      </c>
      <c r="D958" t="s">
        <v>1809</v>
      </c>
      <c r="E958">
        <v>60</v>
      </c>
      <c r="F958" t="s">
        <v>16</v>
      </c>
      <c r="G958" t="s">
        <v>1549</v>
      </c>
      <c r="H958" t="s">
        <v>1737</v>
      </c>
      <c r="L958" s="2">
        <v>45486</v>
      </c>
      <c r="M958">
        <v>59.593499999999999</v>
      </c>
      <c r="R958" t="s">
        <v>1809</v>
      </c>
      <c r="S958">
        <v>59.593499999999999</v>
      </c>
      <c r="W958" s="11" t="s">
        <v>16</v>
      </c>
      <c r="X958" s="11" t="s">
        <v>1549</v>
      </c>
      <c r="Y958">
        <v>59.593499999999999</v>
      </c>
      <c r="AF958">
        <v>59.593499999999999</v>
      </c>
      <c r="AG958" t="s">
        <v>1737</v>
      </c>
    </row>
    <row r="959" spans="1:33" x14ac:dyDescent="0.3">
      <c r="A959" t="s">
        <v>611</v>
      </c>
      <c r="B959" s="2">
        <v>45761</v>
      </c>
      <c r="C959">
        <v>568.09620000000007</v>
      </c>
      <c r="D959" t="s">
        <v>1807</v>
      </c>
      <c r="E959">
        <v>42</v>
      </c>
      <c r="F959" t="s">
        <v>9</v>
      </c>
      <c r="G959" t="s">
        <v>1530</v>
      </c>
      <c r="H959" t="s">
        <v>1767</v>
      </c>
      <c r="L959" s="2">
        <v>45761</v>
      </c>
      <c r="M959">
        <v>568.09620000000007</v>
      </c>
      <c r="R959" t="s">
        <v>1807</v>
      </c>
      <c r="S959">
        <v>568.09620000000007</v>
      </c>
      <c r="W959" s="12" t="s">
        <v>9</v>
      </c>
      <c r="X959" s="12" t="s">
        <v>1530</v>
      </c>
      <c r="Y959">
        <v>568.09620000000007</v>
      </c>
      <c r="AF959">
        <v>568.09620000000007</v>
      </c>
      <c r="AG959" t="s">
        <v>1767</v>
      </c>
    </row>
    <row r="960" spans="1:33" x14ac:dyDescent="0.3">
      <c r="A960" t="s">
        <v>1319</v>
      </c>
      <c r="B960" s="2">
        <v>45639</v>
      </c>
      <c r="C960">
        <v>671.02289999999994</v>
      </c>
      <c r="D960" t="s">
        <v>1807</v>
      </c>
      <c r="E960">
        <v>27</v>
      </c>
      <c r="F960" t="s">
        <v>9</v>
      </c>
      <c r="G960" t="s">
        <v>1527</v>
      </c>
      <c r="H960" t="s">
        <v>1742</v>
      </c>
      <c r="L960" s="2">
        <v>45639</v>
      </c>
      <c r="M960">
        <v>671.02289999999994</v>
      </c>
      <c r="R960" t="s">
        <v>1807</v>
      </c>
      <c r="S960">
        <v>671.02289999999994</v>
      </c>
      <c r="W960" s="11" t="s">
        <v>9</v>
      </c>
      <c r="X960" s="11" t="s">
        <v>1527</v>
      </c>
      <c r="Y960">
        <v>671.02289999999994</v>
      </c>
      <c r="AF960">
        <v>671.02289999999994</v>
      </c>
      <c r="AG960" t="s">
        <v>1742</v>
      </c>
    </row>
    <row r="961" spans="1:33" x14ac:dyDescent="0.3">
      <c r="A961" t="s">
        <v>1181</v>
      </c>
      <c r="B961" s="2">
        <v>45893</v>
      </c>
      <c r="C961">
        <v>1573.9359999999999</v>
      </c>
      <c r="D961" t="s">
        <v>1812</v>
      </c>
      <c r="E961">
        <v>27</v>
      </c>
      <c r="F961" t="s">
        <v>16</v>
      </c>
      <c r="G961" t="s">
        <v>1530</v>
      </c>
      <c r="H961" t="s">
        <v>1742</v>
      </c>
      <c r="L961" s="2">
        <v>45893</v>
      </c>
      <c r="M961">
        <v>1573.9359999999999</v>
      </c>
      <c r="R961" t="s">
        <v>1812</v>
      </c>
      <c r="S961">
        <v>1573.9359999999999</v>
      </c>
      <c r="W961" s="12" t="s">
        <v>16</v>
      </c>
      <c r="X961" s="12" t="s">
        <v>1530</v>
      </c>
      <c r="Y961">
        <v>1573.9359999999999</v>
      </c>
      <c r="AF961">
        <v>1573.9359999999999</v>
      </c>
      <c r="AG961" t="s">
        <v>1742</v>
      </c>
    </row>
    <row r="962" spans="1:33" x14ac:dyDescent="0.3">
      <c r="A962" t="s">
        <v>41</v>
      </c>
      <c r="B962" s="2">
        <v>45227</v>
      </c>
      <c r="C962">
        <v>488.90660000000003</v>
      </c>
      <c r="D962" t="s">
        <v>1807</v>
      </c>
      <c r="E962">
        <v>53</v>
      </c>
      <c r="F962" t="s">
        <v>16</v>
      </c>
      <c r="G962" t="s">
        <v>1546</v>
      </c>
      <c r="H962" t="s">
        <v>1746</v>
      </c>
      <c r="L962" s="2">
        <v>45227</v>
      </c>
      <c r="M962">
        <v>488.90660000000003</v>
      </c>
      <c r="R962" t="s">
        <v>1807</v>
      </c>
      <c r="S962">
        <v>488.90660000000003</v>
      </c>
      <c r="W962" s="11" t="s">
        <v>16</v>
      </c>
      <c r="X962" s="11" t="s">
        <v>1546</v>
      </c>
      <c r="Y962">
        <v>488.90660000000003</v>
      </c>
      <c r="AF962">
        <v>488.90660000000003</v>
      </c>
      <c r="AG962" t="s">
        <v>1746</v>
      </c>
    </row>
    <row r="963" spans="1:33" x14ac:dyDescent="0.3">
      <c r="A963" t="s">
        <v>1187</v>
      </c>
      <c r="B963" s="2">
        <v>45637</v>
      </c>
      <c r="C963">
        <v>2286.4674</v>
      </c>
      <c r="D963" t="s">
        <v>1812</v>
      </c>
      <c r="E963">
        <v>60</v>
      </c>
      <c r="F963" t="s">
        <v>9</v>
      </c>
      <c r="G963" t="s">
        <v>1546</v>
      </c>
      <c r="H963" t="s">
        <v>1742</v>
      </c>
      <c r="L963" s="2">
        <v>45637</v>
      </c>
      <c r="M963">
        <v>2286.4674</v>
      </c>
      <c r="R963" t="s">
        <v>1812</v>
      </c>
      <c r="S963">
        <v>2286.4674</v>
      </c>
      <c r="W963" s="12" t="s">
        <v>9</v>
      </c>
      <c r="X963" s="12" t="s">
        <v>1546</v>
      </c>
      <c r="Y963">
        <v>2286.4674</v>
      </c>
      <c r="AF963">
        <v>2286.4674</v>
      </c>
      <c r="AG963" t="s">
        <v>1742</v>
      </c>
    </row>
    <row r="964" spans="1:33" x14ac:dyDescent="0.3">
      <c r="A964" t="s">
        <v>337</v>
      </c>
      <c r="B964" s="2">
        <v>45472</v>
      </c>
      <c r="C964">
        <v>1901.4159999999999</v>
      </c>
      <c r="D964" t="s">
        <v>1809</v>
      </c>
      <c r="E964">
        <v>30</v>
      </c>
      <c r="F964" t="s">
        <v>16</v>
      </c>
      <c r="G964" t="s">
        <v>1541</v>
      </c>
      <c r="H964" t="s">
        <v>1746</v>
      </c>
      <c r="L964" s="2">
        <v>45472</v>
      </c>
      <c r="M964">
        <v>1901.4159999999999</v>
      </c>
      <c r="R964" t="s">
        <v>1809</v>
      </c>
      <c r="S964">
        <v>1901.4159999999999</v>
      </c>
      <c r="W964" s="11" t="s">
        <v>16</v>
      </c>
      <c r="X964" s="11" t="s">
        <v>1541</v>
      </c>
      <c r="Y964">
        <v>1901.4159999999999</v>
      </c>
      <c r="AF964">
        <v>1901.4159999999999</v>
      </c>
      <c r="AG964" t="s">
        <v>1746</v>
      </c>
    </row>
    <row r="965" spans="1:33" x14ac:dyDescent="0.3">
      <c r="A965" t="s">
        <v>486</v>
      </c>
      <c r="B965" s="2">
        <v>45710</v>
      </c>
      <c r="C965">
        <v>675.94240000000013</v>
      </c>
      <c r="D965" t="s">
        <v>1807</v>
      </c>
      <c r="E965">
        <v>32</v>
      </c>
      <c r="F965" t="s">
        <v>16</v>
      </c>
      <c r="G965" t="s">
        <v>1546</v>
      </c>
      <c r="H965" t="s">
        <v>1737</v>
      </c>
      <c r="L965" s="2">
        <v>45710</v>
      </c>
      <c r="M965">
        <v>675.94240000000013</v>
      </c>
      <c r="R965" t="s">
        <v>1807</v>
      </c>
      <c r="S965">
        <v>675.94240000000013</v>
      </c>
      <c r="W965" s="12" t="s">
        <v>16</v>
      </c>
      <c r="X965" s="12" t="s">
        <v>1546</v>
      </c>
      <c r="Y965">
        <v>675.94240000000013</v>
      </c>
      <c r="AF965">
        <v>675.94240000000013</v>
      </c>
      <c r="AG965" t="s">
        <v>1737</v>
      </c>
    </row>
    <row r="966" spans="1:33" x14ac:dyDescent="0.3">
      <c r="A966" t="s">
        <v>380</v>
      </c>
      <c r="B966" s="2">
        <v>45682</v>
      </c>
      <c r="C966">
        <v>2066.3663999999999</v>
      </c>
      <c r="D966" t="s">
        <v>1809</v>
      </c>
      <c r="E966">
        <v>40</v>
      </c>
      <c r="F966" t="s">
        <v>16</v>
      </c>
      <c r="G966" t="s">
        <v>1530</v>
      </c>
      <c r="H966" t="s">
        <v>1742</v>
      </c>
      <c r="L966" s="2">
        <v>45682</v>
      </c>
      <c r="M966">
        <v>2066.3663999999999</v>
      </c>
      <c r="R966" t="s">
        <v>1809</v>
      </c>
      <c r="S966">
        <v>2066.3663999999999</v>
      </c>
      <c r="W966" s="11" t="s">
        <v>16</v>
      </c>
      <c r="X966" s="11" t="s">
        <v>1530</v>
      </c>
      <c r="Y966">
        <v>2066.3663999999999</v>
      </c>
      <c r="AF966">
        <v>2066.3663999999999</v>
      </c>
      <c r="AG966" t="s">
        <v>1742</v>
      </c>
    </row>
    <row r="967" spans="1:33" x14ac:dyDescent="0.3">
      <c r="A967" t="s">
        <v>437</v>
      </c>
      <c r="B967" s="2">
        <v>45730</v>
      </c>
      <c r="C967">
        <v>711.42959999999994</v>
      </c>
      <c r="D967" t="s">
        <v>1812</v>
      </c>
      <c r="E967">
        <v>43</v>
      </c>
      <c r="F967" t="s">
        <v>16</v>
      </c>
      <c r="G967" t="s">
        <v>1546</v>
      </c>
      <c r="H967" t="s">
        <v>1737</v>
      </c>
      <c r="L967" s="2">
        <v>45730</v>
      </c>
      <c r="M967">
        <v>711.42959999999994</v>
      </c>
      <c r="R967" t="s">
        <v>1812</v>
      </c>
      <c r="S967">
        <v>711.42959999999994</v>
      </c>
      <c r="W967" s="12" t="s">
        <v>16</v>
      </c>
      <c r="X967" s="12" t="s">
        <v>1546</v>
      </c>
      <c r="Y967">
        <v>711.42959999999994</v>
      </c>
      <c r="AF967">
        <v>711.42959999999994</v>
      </c>
      <c r="AG967" t="s">
        <v>1737</v>
      </c>
    </row>
    <row r="968" spans="1:33" x14ac:dyDescent="0.3">
      <c r="A968" t="s">
        <v>513</v>
      </c>
      <c r="B968" s="2">
        <v>45629</v>
      </c>
      <c r="C968">
        <v>443.327</v>
      </c>
      <c r="D968" t="s">
        <v>1807</v>
      </c>
      <c r="E968">
        <v>60</v>
      </c>
      <c r="F968" t="s">
        <v>16</v>
      </c>
      <c r="G968" t="s">
        <v>1546</v>
      </c>
      <c r="H968" t="s">
        <v>1742</v>
      </c>
      <c r="L968" s="2">
        <v>45629</v>
      </c>
      <c r="M968">
        <v>443.327</v>
      </c>
      <c r="R968" t="s">
        <v>1807</v>
      </c>
      <c r="S968">
        <v>443.327</v>
      </c>
      <c r="W968" s="11" t="s">
        <v>16</v>
      </c>
      <c r="X968" s="11" t="s">
        <v>1546</v>
      </c>
      <c r="Y968">
        <v>443.327</v>
      </c>
      <c r="AF968">
        <v>443.327</v>
      </c>
      <c r="AG968" t="s">
        <v>1742</v>
      </c>
    </row>
    <row r="969" spans="1:33" x14ac:dyDescent="0.3">
      <c r="A969" t="s">
        <v>789</v>
      </c>
      <c r="B969" s="2">
        <v>45783</v>
      </c>
      <c r="C969">
        <v>1255.8393000000001</v>
      </c>
      <c r="D969" t="s">
        <v>1807</v>
      </c>
      <c r="E969">
        <v>41</v>
      </c>
      <c r="F969" t="s">
        <v>16</v>
      </c>
      <c r="G969" t="s">
        <v>1546</v>
      </c>
      <c r="H969" t="s">
        <v>1742</v>
      </c>
      <c r="L969" s="2">
        <v>45783</v>
      </c>
      <c r="M969">
        <v>1255.8393000000001</v>
      </c>
      <c r="R969" t="s">
        <v>1807</v>
      </c>
      <c r="S969">
        <v>1255.8393000000001</v>
      </c>
      <c r="W969" s="12" t="s">
        <v>16</v>
      </c>
      <c r="X969" s="12" t="s">
        <v>1546</v>
      </c>
      <c r="Y969">
        <v>1255.8393000000001</v>
      </c>
      <c r="AF969">
        <v>1255.8393000000001</v>
      </c>
      <c r="AG969" t="s">
        <v>1742</v>
      </c>
    </row>
    <row r="970" spans="1:33" x14ac:dyDescent="0.3">
      <c r="A970" t="s">
        <v>1488</v>
      </c>
      <c r="B970" s="2">
        <v>45518</v>
      </c>
      <c r="C970">
        <v>1583.806</v>
      </c>
      <c r="D970" t="s">
        <v>1809</v>
      </c>
      <c r="E970">
        <v>23</v>
      </c>
      <c r="F970" t="s">
        <v>9</v>
      </c>
      <c r="G970" t="s">
        <v>1527</v>
      </c>
      <c r="H970" t="s">
        <v>1742</v>
      </c>
      <c r="L970" s="2">
        <v>45518</v>
      </c>
      <c r="M970">
        <v>1583.806</v>
      </c>
      <c r="R970" t="s">
        <v>1809</v>
      </c>
      <c r="S970">
        <v>1583.806</v>
      </c>
      <c r="W970" s="11" t="s">
        <v>9</v>
      </c>
      <c r="X970" s="11" t="s">
        <v>1527</v>
      </c>
      <c r="Y970">
        <v>1583.806</v>
      </c>
      <c r="AF970">
        <v>1583.806</v>
      </c>
      <c r="AG970" t="s">
        <v>1742</v>
      </c>
    </row>
    <row r="971" spans="1:33" x14ac:dyDescent="0.3">
      <c r="A971" t="s">
        <v>1008</v>
      </c>
      <c r="B971" s="2">
        <v>45274</v>
      </c>
      <c r="C971">
        <v>355.23840000000001</v>
      </c>
      <c r="D971" t="s">
        <v>1812</v>
      </c>
      <c r="E971">
        <v>58</v>
      </c>
      <c r="F971" t="s">
        <v>9</v>
      </c>
      <c r="G971" t="s">
        <v>1549</v>
      </c>
      <c r="H971" t="s">
        <v>1746</v>
      </c>
      <c r="L971" s="2">
        <v>45274</v>
      </c>
      <c r="M971">
        <v>355.23840000000001</v>
      </c>
      <c r="R971" t="s">
        <v>1812</v>
      </c>
      <c r="S971">
        <v>355.23840000000001</v>
      </c>
      <c r="W971" s="12" t="s">
        <v>9</v>
      </c>
      <c r="X971" s="12" t="s">
        <v>1549</v>
      </c>
      <c r="Y971">
        <v>355.23840000000001</v>
      </c>
      <c r="AF971">
        <v>355.23840000000001</v>
      </c>
      <c r="AG971" t="s">
        <v>1746</v>
      </c>
    </row>
    <row r="972" spans="1:33" x14ac:dyDescent="0.3">
      <c r="A972" t="s">
        <v>225</v>
      </c>
      <c r="B972" s="2">
        <v>45297</v>
      </c>
      <c r="C972">
        <v>1813.1728000000001</v>
      </c>
      <c r="D972" t="s">
        <v>1807</v>
      </c>
      <c r="E972">
        <v>50</v>
      </c>
      <c r="F972" t="s">
        <v>9</v>
      </c>
      <c r="G972" t="s">
        <v>1530</v>
      </c>
      <c r="H972" t="s">
        <v>1742</v>
      </c>
      <c r="L972" s="2">
        <v>45297</v>
      </c>
      <c r="M972">
        <v>1813.1728000000001</v>
      </c>
      <c r="R972" t="s">
        <v>1807</v>
      </c>
      <c r="S972">
        <v>1813.1728000000001</v>
      </c>
      <c r="W972" s="11" t="s">
        <v>9</v>
      </c>
      <c r="X972" s="11" t="s">
        <v>1530</v>
      </c>
      <c r="Y972">
        <v>1813.1728000000001</v>
      </c>
      <c r="AF972">
        <v>1813.1728000000001</v>
      </c>
      <c r="AG972" t="s">
        <v>1742</v>
      </c>
    </row>
    <row r="973" spans="1:33" x14ac:dyDescent="0.3">
      <c r="A973" t="s">
        <v>883</v>
      </c>
      <c r="B973" s="2">
        <v>45530</v>
      </c>
      <c r="C973">
        <v>2593.9104000000002</v>
      </c>
      <c r="D973" t="s">
        <v>1812</v>
      </c>
      <c r="E973">
        <v>59</v>
      </c>
      <c r="F973" t="s">
        <v>9</v>
      </c>
      <c r="G973" t="s">
        <v>1530</v>
      </c>
      <c r="H973" t="s">
        <v>1742</v>
      </c>
      <c r="L973" s="2">
        <v>45530</v>
      </c>
      <c r="M973">
        <v>2593.9104000000002</v>
      </c>
      <c r="R973" t="s">
        <v>1812</v>
      </c>
      <c r="S973">
        <v>2593.9104000000002</v>
      </c>
      <c r="W973" s="12" t="s">
        <v>9</v>
      </c>
      <c r="X973" s="12" t="s">
        <v>1530</v>
      </c>
      <c r="Y973">
        <v>2593.9104000000002</v>
      </c>
      <c r="AF973">
        <v>2593.9104000000002</v>
      </c>
      <c r="AG973" t="s">
        <v>1742</v>
      </c>
    </row>
    <row r="974" spans="1:33" x14ac:dyDescent="0.3">
      <c r="A974" t="s">
        <v>1250</v>
      </c>
      <c r="B974" s="2">
        <v>45740</v>
      </c>
      <c r="C974">
        <v>326.00070000000011</v>
      </c>
      <c r="D974" t="s">
        <v>1809</v>
      </c>
      <c r="E974">
        <v>33</v>
      </c>
      <c r="F974" t="s">
        <v>9</v>
      </c>
      <c r="G974" t="s">
        <v>1527</v>
      </c>
      <c r="H974" t="s">
        <v>1742</v>
      </c>
      <c r="L974" s="2">
        <v>45740</v>
      </c>
      <c r="M974">
        <v>326.00070000000011</v>
      </c>
      <c r="R974" t="s">
        <v>1809</v>
      </c>
      <c r="S974">
        <v>326.00070000000011</v>
      </c>
      <c r="W974" s="11" t="s">
        <v>9</v>
      </c>
      <c r="X974" s="11" t="s">
        <v>1527</v>
      </c>
      <c r="Y974">
        <v>326.00070000000011</v>
      </c>
      <c r="AF974">
        <v>326.00070000000011</v>
      </c>
      <c r="AG974" t="s">
        <v>1742</v>
      </c>
    </row>
    <row r="975" spans="1:33" x14ac:dyDescent="0.3">
      <c r="A975" t="s">
        <v>1239</v>
      </c>
      <c r="B975" s="2">
        <v>45311</v>
      </c>
      <c r="C975">
        <v>803.01599999999996</v>
      </c>
      <c r="D975" t="s">
        <v>1807</v>
      </c>
      <c r="E975">
        <v>34</v>
      </c>
      <c r="F975" t="s">
        <v>9</v>
      </c>
      <c r="G975" t="s">
        <v>1549</v>
      </c>
      <c r="H975" t="s">
        <v>1742</v>
      </c>
      <c r="L975" s="2">
        <v>45311</v>
      </c>
      <c r="M975">
        <v>803.01599999999996</v>
      </c>
      <c r="R975" t="s">
        <v>1807</v>
      </c>
      <c r="S975">
        <v>803.01599999999996</v>
      </c>
      <c r="W975" s="12" t="s">
        <v>9</v>
      </c>
      <c r="X975" s="12" t="s">
        <v>1549</v>
      </c>
      <c r="Y975">
        <v>803.01599999999996</v>
      </c>
      <c r="AF975">
        <v>803.01599999999996</v>
      </c>
      <c r="AG975" t="s">
        <v>1742</v>
      </c>
    </row>
    <row r="976" spans="1:33" x14ac:dyDescent="0.3">
      <c r="A976" t="s">
        <v>1359</v>
      </c>
      <c r="B976" s="2">
        <v>45667</v>
      </c>
      <c r="C976">
        <v>1799.55</v>
      </c>
      <c r="D976" t="s">
        <v>1807</v>
      </c>
      <c r="E976">
        <v>41</v>
      </c>
      <c r="F976" t="s">
        <v>16</v>
      </c>
      <c r="G976" t="s">
        <v>1527</v>
      </c>
      <c r="H976" t="s">
        <v>1737</v>
      </c>
      <c r="L976" s="2">
        <v>45667</v>
      </c>
      <c r="M976">
        <v>1799.55</v>
      </c>
      <c r="R976" t="s">
        <v>1807</v>
      </c>
      <c r="S976">
        <v>1799.55</v>
      </c>
      <c r="W976" s="11" t="s">
        <v>16</v>
      </c>
      <c r="X976" s="11" t="s">
        <v>1527</v>
      </c>
      <c r="Y976">
        <v>1799.55</v>
      </c>
      <c r="AF976">
        <v>1799.55</v>
      </c>
      <c r="AG976" t="s">
        <v>1737</v>
      </c>
    </row>
    <row r="977" spans="1:33" x14ac:dyDescent="0.3">
      <c r="A977" t="s">
        <v>949</v>
      </c>
      <c r="B977" s="2">
        <v>45281</v>
      </c>
      <c r="C977">
        <v>113.0128</v>
      </c>
      <c r="D977" t="s">
        <v>1809</v>
      </c>
      <c r="E977">
        <v>41</v>
      </c>
      <c r="F977" t="s">
        <v>9</v>
      </c>
      <c r="G977" t="s">
        <v>1541</v>
      </c>
      <c r="H977" t="s">
        <v>1746</v>
      </c>
      <c r="L977" s="2">
        <v>45281</v>
      </c>
      <c r="M977">
        <v>113.0128</v>
      </c>
      <c r="R977" t="s">
        <v>1809</v>
      </c>
      <c r="S977">
        <v>113.0128</v>
      </c>
      <c r="W977" s="12" t="s">
        <v>9</v>
      </c>
      <c r="X977" s="12" t="s">
        <v>1541</v>
      </c>
      <c r="Y977">
        <v>113.0128</v>
      </c>
      <c r="AF977">
        <v>113.0128</v>
      </c>
      <c r="AG977" t="s">
        <v>1746</v>
      </c>
    </row>
    <row r="978" spans="1:33" x14ac:dyDescent="0.3">
      <c r="A978" t="s">
        <v>792</v>
      </c>
      <c r="B978" s="2">
        <v>45693</v>
      </c>
      <c r="C978">
        <v>820.89920000000006</v>
      </c>
      <c r="D978" t="s">
        <v>1809</v>
      </c>
      <c r="E978">
        <v>48</v>
      </c>
      <c r="F978" t="s">
        <v>9</v>
      </c>
      <c r="G978" t="s">
        <v>1549</v>
      </c>
      <c r="H978" t="s">
        <v>1742</v>
      </c>
      <c r="L978" s="2">
        <v>45693</v>
      </c>
      <c r="M978">
        <v>820.89920000000006</v>
      </c>
      <c r="R978" t="s">
        <v>1809</v>
      </c>
      <c r="S978">
        <v>820.89920000000006</v>
      </c>
      <c r="W978" s="11" t="s">
        <v>9</v>
      </c>
      <c r="X978" s="11" t="s">
        <v>1549</v>
      </c>
      <c r="Y978">
        <v>820.89920000000006</v>
      </c>
      <c r="AF978">
        <v>820.89920000000006</v>
      </c>
      <c r="AG978" t="s">
        <v>1742</v>
      </c>
    </row>
    <row r="979" spans="1:33" x14ac:dyDescent="0.3">
      <c r="A979" t="s">
        <v>349</v>
      </c>
      <c r="B979" s="2">
        <v>45857</v>
      </c>
      <c r="C979">
        <v>1968.1116</v>
      </c>
      <c r="D979" t="s">
        <v>1812</v>
      </c>
      <c r="E979">
        <v>53</v>
      </c>
      <c r="F979" t="s">
        <v>16</v>
      </c>
      <c r="G979" t="s">
        <v>1549</v>
      </c>
      <c r="H979" t="s">
        <v>1742</v>
      </c>
      <c r="L979" s="2">
        <v>45857</v>
      </c>
      <c r="M979">
        <v>1968.1116</v>
      </c>
      <c r="R979" t="s">
        <v>1812</v>
      </c>
      <c r="S979">
        <v>1968.1116</v>
      </c>
      <c r="W979" s="12" t="s">
        <v>16</v>
      </c>
      <c r="X979" s="12" t="s">
        <v>1549</v>
      </c>
      <c r="Y979">
        <v>1968.1116</v>
      </c>
      <c r="AF979">
        <v>1968.1116</v>
      </c>
      <c r="AG979" t="s">
        <v>1742</v>
      </c>
    </row>
    <row r="980" spans="1:33" x14ac:dyDescent="0.3">
      <c r="A980" t="s">
        <v>934</v>
      </c>
      <c r="B980" s="2">
        <v>45737</v>
      </c>
      <c r="C980">
        <v>1930.761</v>
      </c>
      <c r="D980" t="s">
        <v>1807</v>
      </c>
      <c r="E980">
        <v>48</v>
      </c>
      <c r="F980" t="s">
        <v>16</v>
      </c>
      <c r="G980" t="s">
        <v>1549</v>
      </c>
      <c r="H980" t="s">
        <v>1742</v>
      </c>
      <c r="L980" s="2">
        <v>45737</v>
      </c>
      <c r="M980">
        <v>1930.761</v>
      </c>
      <c r="R980" t="s">
        <v>1807</v>
      </c>
      <c r="S980">
        <v>1930.761</v>
      </c>
      <c r="W980" s="11" t="s">
        <v>16</v>
      </c>
      <c r="X980" s="11" t="s">
        <v>1549</v>
      </c>
      <c r="Y980">
        <v>1930.761</v>
      </c>
      <c r="AF980">
        <v>1930.761</v>
      </c>
      <c r="AG980" t="s">
        <v>1742</v>
      </c>
    </row>
    <row r="981" spans="1:33" x14ac:dyDescent="0.3">
      <c r="A981" t="s">
        <v>1022</v>
      </c>
      <c r="B981" s="2">
        <v>45771</v>
      </c>
      <c r="C981">
        <v>1733.2565999999999</v>
      </c>
      <c r="D981" t="s">
        <v>1809</v>
      </c>
      <c r="E981">
        <v>62</v>
      </c>
      <c r="F981" t="s">
        <v>16</v>
      </c>
      <c r="G981" t="s">
        <v>1527</v>
      </c>
      <c r="H981" t="s">
        <v>1742</v>
      </c>
      <c r="L981" s="2">
        <v>45771</v>
      </c>
      <c r="M981">
        <v>1733.2565999999999</v>
      </c>
      <c r="R981" t="s">
        <v>1809</v>
      </c>
      <c r="S981">
        <v>1733.2565999999999</v>
      </c>
      <c r="W981" s="12" t="s">
        <v>16</v>
      </c>
      <c r="X981" s="12" t="s">
        <v>1527</v>
      </c>
      <c r="Y981">
        <v>1733.2565999999999</v>
      </c>
      <c r="AF981">
        <v>1733.2565999999999</v>
      </c>
      <c r="AG981" t="s">
        <v>1742</v>
      </c>
    </row>
    <row r="982" spans="1:33" x14ac:dyDescent="0.3">
      <c r="A982" t="s">
        <v>741</v>
      </c>
      <c r="B982" s="2">
        <v>45272</v>
      </c>
      <c r="C982">
        <v>2312.2912000000001</v>
      </c>
      <c r="D982" t="s">
        <v>1807</v>
      </c>
      <c r="E982">
        <v>59</v>
      </c>
      <c r="F982" t="s">
        <v>9</v>
      </c>
      <c r="G982" t="s">
        <v>1541</v>
      </c>
      <c r="H982" t="s">
        <v>1767</v>
      </c>
      <c r="L982" s="2">
        <v>45272</v>
      </c>
      <c r="M982">
        <v>2312.2912000000001</v>
      </c>
      <c r="R982" t="s">
        <v>1807</v>
      </c>
      <c r="S982">
        <v>2312.2912000000001</v>
      </c>
      <c r="W982" s="11" t="s">
        <v>9</v>
      </c>
      <c r="X982" s="11" t="s">
        <v>1541</v>
      </c>
      <c r="Y982">
        <v>2312.2912000000001</v>
      </c>
      <c r="AF982">
        <v>2312.2912000000001</v>
      </c>
      <c r="AG982" t="s">
        <v>1767</v>
      </c>
    </row>
    <row r="983" spans="1:33" x14ac:dyDescent="0.3">
      <c r="A983" t="s">
        <v>1362</v>
      </c>
      <c r="B983" s="2">
        <v>45481</v>
      </c>
      <c r="C983">
        <v>1472.5308</v>
      </c>
      <c r="D983" t="s">
        <v>1809</v>
      </c>
      <c r="E983">
        <v>35</v>
      </c>
      <c r="F983" t="s">
        <v>9</v>
      </c>
      <c r="G983" t="s">
        <v>1530</v>
      </c>
      <c r="H983" t="s">
        <v>1767</v>
      </c>
      <c r="L983" s="2">
        <v>45481</v>
      </c>
      <c r="M983">
        <v>1472.5308</v>
      </c>
      <c r="R983" t="s">
        <v>1809</v>
      </c>
      <c r="S983">
        <v>1472.5308</v>
      </c>
      <c r="W983" s="12" t="s">
        <v>9</v>
      </c>
      <c r="X983" s="12" t="s">
        <v>1530</v>
      </c>
      <c r="Y983">
        <v>1472.5308</v>
      </c>
      <c r="AF983">
        <v>1472.5308</v>
      </c>
      <c r="AG983" t="s">
        <v>1767</v>
      </c>
    </row>
    <row r="984" spans="1:33" x14ac:dyDescent="0.3">
      <c r="A984" t="s">
        <v>546</v>
      </c>
      <c r="B984" s="2">
        <v>45228</v>
      </c>
      <c r="C984">
        <v>2090.2723999999998</v>
      </c>
      <c r="D984" t="s">
        <v>1807</v>
      </c>
      <c r="E984">
        <v>25</v>
      </c>
      <c r="F984" t="s">
        <v>16</v>
      </c>
      <c r="G984" t="s">
        <v>1549</v>
      </c>
      <c r="H984" t="s">
        <v>1767</v>
      </c>
      <c r="L984" s="2">
        <v>45228</v>
      </c>
      <c r="M984">
        <v>2090.2723999999998</v>
      </c>
      <c r="R984" t="s">
        <v>1807</v>
      </c>
      <c r="S984">
        <v>2090.2723999999998</v>
      </c>
      <c r="W984" s="11" t="s">
        <v>16</v>
      </c>
      <c r="X984" s="11" t="s">
        <v>1549</v>
      </c>
      <c r="Y984">
        <v>2090.2723999999998</v>
      </c>
      <c r="AF984">
        <v>2090.2723999999998</v>
      </c>
      <c r="AG984" t="s">
        <v>1767</v>
      </c>
    </row>
    <row r="985" spans="1:33" x14ac:dyDescent="0.3">
      <c r="A985" t="s">
        <v>314</v>
      </c>
      <c r="B985" s="2">
        <v>45432</v>
      </c>
      <c r="C985">
        <v>1690.7814000000001</v>
      </c>
      <c r="D985" t="s">
        <v>1809</v>
      </c>
      <c r="E985">
        <v>43</v>
      </c>
      <c r="F985" t="s">
        <v>9</v>
      </c>
      <c r="G985" t="s">
        <v>1541</v>
      </c>
      <c r="H985" t="s">
        <v>1767</v>
      </c>
      <c r="L985" s="2">
        <v>45432</v>
      </c>
      <c r="M985">
        <v>1690.7814000000001</v>
      </c>
      <c r="R985" t="s">
        <v>1809</v>
      </c>
      <c r="S985">
        <v>1690.7814000000001</v>
      </c>
      <c r="W985" s="12" t="s">
        <v>9</v>
      </c>
      <c r="X985" s="12" t="s">
        <v>1541</v>
      </c>
      <c r="Y985">
        <v>1690.7814000000001</v>
      </c>
      <c r="AF985">
        <v>1690.7814000000001</v>
      </c>
      <c r="AG985" t="s">
        <v>1767</v>
      </c>
    </row>
    <row r="986" spans="1:33" x14ac:dyDescent="0.3">
      <c r="A986" t="s">
        <v>1494</v>
      </c>
      <c r="B986" s="2">
        <v>45914</v>
      </c>
      <c r="C986">
        <v>1377.6432</v>
      </c>
      <c r="D986" t="s">
        <v>1812</v>
      </c>
      <c r="E986">
        <v>59</v>
      </c>
      <c r="F986" t="s">
        <v>16</v>
      </c>
      <c r="G986" t="s">
        <v>1527</v>
      </c>
      <c r="H986" t="s">
        <v>1746</v>
      </c>
      <c r="L986" s="2">
        <v>45914</v>
      </c>
      <c r="M986">
        <v>1377.6432</v>
      </c>
      <c r="R986" t="s">
        <v>1812</v>
      </c>
      <c r="S986">
        <v>1377.6432</v>
      </c>
      <c r="W986" s="11" t="s">
        <v>16</v>
      </c>
      <c r="X986" s="11" t="s">
        <v>1527</v>
      </c>
      <c r="Y986">
        <v>1377.6432</v>
      </c>
      <c r="AF986">
        <v>1377.6432</v>
      </c>
      <c r="AG986" t="s">
        <v>1746</v>
      </c>
    </row>
    <row r="987" spans="1:33" x14ac:dyDescent="0.3">
      <c r="A987" t="s">
        <v>206</v>
      </c>
      <c r="B987" s="2">
        <v>45758</v>
      </c>
      <c r="C987">
        <v>3133.7256000000002</v>
      </c>
      <c r="D987" t="s">
        <v>1812</v>
      </c>
      <c r="E987">
        <v>49</v>
      </c>
      <c r="F987" t="s">
        <v>16</v>
      </c>
      <c r="G987" t="s">
        <v>1530</v>
      </c>
      <c r="H987" t="s">
        <v>1742</v>
      </c>
      <c r="L987" s="2">
        <v>45758</v>
      </c>
      <c r="M987">
        <v>3133.7256000000002</v>
      </c>
      <c r="R987" t="s">
        <v>1812</v>
      </c>
      <c r="S987">
        <v>3133.7256000000002</v>
      </c>
      <c r="W987" s="12" t="s">
        <v>16</v>
      </c>
      <c r="X987" s="12" t="s">
        <v>1530</v>
      </c>
      <c r="Y987">
        <v>3133.7256000000002</v>
      </c>
      <c r="AF987">
        <v>3133.7256000000002</v>
      </c>
      <c r="AG987" t="s">
        <v>1742</v>
      </c>
    </row>
    <row r="988" spans="1:33" x14ac:dyDescent="0.3">
      <c r="A988" t="s">
        <v>1259</v>
      </c>
      <c r="B988" s="2">
        <v>45429</v>
      </c>
      <c r="C988">
        <v>981.97259999999994</v>
      </c>
      <c r="D988" t="s">
        <v>1809</v>
      </c>
      <c r="E988">
        <v>32</v>
      </c>
      <c r="F988" t="s">
        <v>9</v>
      </c>
      <c r="G988" t="s">
        <v>1546</v>
      </c>
      <c r="H988" t="s">
        <v>1742</v>
      </c>
      <c r="L988" s="2">
        <v>45429</v>
      </c>
      <c r="M988">
        <v>981.97259999999994</v>
      </c>
      <c r="R988" t="s">
        <v>1809</v>
      </c>
      <c r="S988">
        <v>981.97259999999994</v>
      </c>
      <c r="W988" s="11" t="s">
        <v>9</v>
      </c>
      <c r="X988" s="11" t="s">
        <v>1546</v>
      </c>
      <c r="Y988">
        <v>981.97259999999994</v>
      </c>
      <c r="AF988">
        <v>981.97259999999994</v>
      </c>
      <c r="AG988" t="s">
        <v>1742</v>
      </c>
    </row>
    <row r="989" spans="1:33" x14ac:dyDescent="0.3">
      <c r="A989" t="s">
        <v>111</v>
      </c>
      <c r="B989" s="2">
        <v>45578</v>
      </c>
      <c r="C989">
        <v>441.55169999999998</v>
      </c>
      <c r="D989" t="s">
        <v>1809</v>
      </c>
      <c r="E989">
        <v>31</v>
      </c>
      <c r="F989" t="s">
        <v>9</v>
      </c>
      <c r="G989" t="s">
        <v>1530</v>
      </c>
      <c r="H989" t="s">
        <v>1742</v>
      </c>
      <c r="L989" s="2">
        <v>45578</v>
      </c>
      <c r="M989">
        <v>441.55169999999998</v>
      </c>
      <c r="R989" t="s">
        <v>1809</v>
      </c>
      <c r="S989">
        <v>441.55169999999998</v>
      </c>
      <c r="W989" s="12" t="s">
        <v>9</v>
      </c>
      <c r="X989" s="12" t="s">
        <v>1530</v>
      </c>
      <c r="Y989">
        <v>441.55169999999998</v>
      </c>
      <c r="AF989">
        <v>441.55169999999998</v>
      </c>
      <c r="AG989" t="s">
        <v>1742</v>
      </c>
    </row>
    <row r="990" spans="1:33" x14ac:dyDescent="0.3">
      <c r="A990" t="s">
        <v>28</v>
      </c>
      <c r="B990" s="2">
        <v>45486</v>
      </c>
      <c r="C990">
        <v>476.91660000000002</v>
      </c>
      <c r="D990" t="s">
        <v>1809</v>
      </c>
      <c r="E990">
        <v>24</v>
      </c>
      <c r="F990" t="s">
        <v>9</v>
      </c>
      <c r="G990" t="s">
        <v>1541</v>
      </c>
      <c r="H990" t="s">
        <v>1742</v>
      </c>
      <c r="L990" s="2">
        <v>45486</v>
      </c>
      <c r="M990">
        <v>476.91660000000002</v>
      </c>
      <c r="R990" t="s">
        <v>1809</v>
      </c>
      <c r="S990">
        <v>476.91660000000002</v>
      </c>
      <c r="W990" s="11" t="s">
        <v>9</v>
      </c>
      <c r="X990" s="11" t="s">
        <v>1541</v>
      </c>
      <c r="Y990">
        <v>476.91660000000002</v>
      </c>
      <c r="AF990">
        <v>476.91660000000002</v>
      </c>
      <c r="AG990" t="s">
        <v>1742</v>
      </c>
    </row>
    <row r="991" spans="1:33" x14ac:dyDescent="0.3">
      <c r="A991" t="s">
        <v>1356</v>
      </c>
      <c r="B991" s="2">
        <v>45694</v>
      </c>
      <c r="C991">
        <v>56.880400000000002</v>
      </c>
      <c r="D991" t="s">
        <v>1812</v>
      </c>
      <c r="E991">
        <v>19</v>
      </c>
      <c r="F991" t="s">
        <v>9</v>
      </c>
      <c r="G991" t="s">
        <v>1549</v>
      </c>
      <c r="H991" t="s">
        <v>1742</v>
      </c>
      <c r="L991" s="2">
        <v>45694</v>
      </c>
      <c r="M991">
        <v>56.880400000000002</v>
      </c>
      <c r="R991" t="s">
        <v>1812</v>
      </c>
      <c r="S991">
        <v>56.880400000000002</v>
      </c>
      <c r="W991" s="12" t="s">
        <v>9</v>
      </c>
      <c r="X991" s="12" t="s">
        <v>1549</v>
      </c>
      <c r="Y991">
        <v>56.880400000000002</v>
      </c>
      <c r="AF991">
        <v>56.880400000000002</v>
      </c>
      <c r="AG991" t="s">
        <v>1742</v>
      </c>
    </row>
    <row r="992" spans="1:33" x14ac:dyDescent="0.3">
      <c r="A992" t="s">
        <v>279</v>
      </c>
      <c r="B992" s="2">
        <v>45875</v>
      </c>
      <c r="C992">
        <v>2408.6664000000001</v>
      </c>
      <c r="D992" t="s">
        <v>1812</v>
      </c>
      <c r="E992">
        <v>21</v>
      </c>
      <c r="F992" t="s">
        <v>9</v>
      </c>
      <c r="G992" t="s">
        <v>1549</v>
      </c>
      <c r="H992" t="s">
        <v>1746</v>
      </c>
      <c r="L992" s="2">
        <v>45875</v>
      </c>
      <c r="M992">
        <v>2408.6664000000001</v>
      </c>
      <c r="R992" t="s">
        <v>1812</v>
      </c>
      <c r="S992">
        <v>2408.6664000000001</v>
      </c>
      <c r="W992" s="11" t="s">
        <v>9</v>
      </c>
      <c r="X992" s="11" t="s">
        <v>1549</v>
      </c>
      <c r="Y992">
        <v>2408.6664000000001</v>
      </c>
      <c r="AF992">
        <v>2408.6664000000001</v>
      </c>
      <c r="AG992" t="s">
        <v>1746</v>
      </c>
    </row>
    <row r="993" spans="1:33" x14ac:dyDescent="0.3">
      <c r="A993" t="s">
        <v>996</v>
      </c>
      <c r="B993" s="2">
        <v>45432</v>
      </c>
      <c r="C993">
        <v>787.28039999999999</v>
      </c>
      <c r="D993" t="s">
        <v>1807</v>
      </c>
      <c r="E993">
        <v>34</v>
      </c>
      <c r="F993" t="s">
        <v>16</v>
      </c>
      <c r="G993" t="s">
        <v>1549</v>
      </c>
      <c r="H993" t="s">
        <v>1742</v>
      </c>
      <c r="L993" s="2">
        <v>45432</v>
      </c>
      <c r="M993">
        <v>787.28039999999999</v>
      </c>
      <c r="R993" t="s">
        <v>1807</v>
      </c>
      <c r="S993">
        <v>787.28039999999999</v>
      </c>
      <c r="W993" s="12" t="s">
        <v>16</v>
      </c>
      <c r="X993" s="12" t="s">
        <v>1549</v>
      </c>
      <c r="Y993">
        <v>787.28039999999999</v>
      </c>
      <c r="AF993">
        <v>787.28039999999999</v>
      </c>
      <c r="AG993" t="s">
        <v>1742</v>
      </c>
    </row>
    <row r="994" spans="1:33" x14ac:dyDescent="0.3">
      <c r="A994" t="s">
        <v>3952</v>
      </c>
      <c r="B994" s="2">
        <v>45575</v>
      </c>
      <c r="C994">
        <v>1087.8444</v>
      </c>
      <c r="D994" t="s">
        <v>1807</v>
      </c>
      <c r="E994">
        <v>26</v>
      </c>
      <c r="F994" t="s">
        <v>16</v>
      </c>
      <c r="G994" t="s">
        <v>1546</v>
      </c>
      <c r="H994" t="s">
        <v>1746</v>
      </c>
      <c r="L994" s="2">
        <v>45575</v>
      </c>
      <c r="M994">
        <v>1087.8444</v>
      </c>
      <c r="R994" t="s">
        <v>1807</v>
      </c>
      <c r="S994">
        <v>1087.8444</v>
      </c>
      <c r="W994" s="11" t="s">
        <v>16</v>
      </c>
      <c r="X994" s="11" t="s">
        <v>1546</v>
      </c>
      <c r="Y994">
        <v>1087.8444</v>
      </c>
      <c r="AF994">
        <v>1087.8444</v>
      </c>
      <c r="AG994" t="s">
        <v>1746</v>
      </c>
    </row>
    <row r="995" spans="1:33" x14ac:dyDescent="0.3">
      <c r="A995" t="s">
        <v>1124</v>
      </c>
      <c r="B995" s="2">
        <v>45340</v>
      </c>
      <c r="C995">
        <v>1723.5719999999999</v>
      </c>
      <c r="D995" t="s">
        <v>1812</v>
      </c>
      <c r="E995">
        <v>58</v>
      </c>
      <c r="F995" t="s">
        <v>9</v>
      </c>
      <c r="G995" t="s">
        <v>1549</v>
      </c>
      <c r="H995" t="s">
        <v>1737</v>
      </c>
      <c r="L995" s="2">
        <v>45340</v>
      </c>
      <c r="M995">
        <v>1723.5719999999999</v>
      </c>
      <c r="R995" t="s">
        <v>1812</v>
      </c>
      <c r="S995">
        <v>1723.5719999999999</v>
      </c>
      <c r="W995" s="12" t="s">
        <v>9</v>
      </c>
      <c r="X995" s="12" t="s">
        <v>1549</v>
      </c>
      <c r="Y995">
        <v>1723.5719999999999</v>
      </c>
      <c r="AF995">
        <v>1723.5719999999999</v>
      </c>
      <c r="AG995" t="s">
        <v>1737</v>
      </c>
    </row>
    <row r="996" spans="1:33" x14ac:dyDescent="0.3">
      <c r="A996" t="s">
        <v>1025</v>
      </c>
      <c r="B996" s="2">
        <v>45926</v>
      </c>
      <c r="C996">
        <v>584.78399999999988</v>
      </c>
      <c r="D996" t="s">
        <v>1809</v>
      </c>
      <c r="E996">
        <v>54</v>
      </c>
      <c r="F996" t="s">
        <v>9</v>
      </c>
      <c r="G996" t="s">
        <v>1527</v>
      </c>
      <c r="H996" t="s">
        <v>1742</v>
      </c>
      <c r="L996" s="2">
        <v>45926</v>
      </c>
      <c r="M996">
        <v>584.78399999999988</v>
      </c>
      <c r="R996" t="s">
        <v>1809</v>
      </c>
      <c r="S996">
        <v>584.78399999999988</v>
      </c>
      <c r="W996" s="11" t="s">
        <v>9</v>
      </c>
      <c r="X996" s="11" t="s">
        <v>1527</v>
      </c>
      <c r="Y996">
        <v>584.78399999999988</v>
      </c>
      <c r="AF996">
        <v>584.78399999999988</v>
      </c>
      <c r="AG996" t="s">
        <v>1742</v>
      </c>
    </row>
    <row r="997" spans="1:33" x14ac:dyDescent="0.3">
      <c r="A997" t="s">
        <v>1217</v>
      </c>
      <c r="B997" s="2">
        <v>45373</v>
      </c>
      <c r="C997">
        <v>1281.8937000000001</v>
      </c>
      <c r="D997" t="s">
        <v>1809</v>
      </c>
      <c r="E997">
        <v>50</v>
      </c>
      <c r="F997" t="s">
        <v>9</v>
      </c>
      <c r="G997" t="s">
        <v>1549</v>
      </c>
      <c r="H997" t="s">
        <v>1737</v>
      </c>
      <c r="L997" s="2">
        <v>45373</v>
      </c>
      <c r="M997">
        <v>1281.8937000000001</v>
      </c>
      <c r="R997" t="s">
        <v>1809</v>
      </c>
      <c r="S997">
        <v>1281.8937000000001</v>
      </c>
      <c r="W997" s="12" t="s">
        <v>9</v>
      </c>
      <c r="X997" s="12" t="s">
        <v>1549</v>
      </c>
      <c r="Y997">
        <v>1281.8937000000001</v>
      </c>
      <c r="AF997">
        <v>1281.8937000000001</v>
      </c>
      <c r="AG997" t="s">
        <v>1737</v>
      </c>
    </row>
    <row r="998" spans="1:33" x14ac:dyDescent="0.3">
      <c r="A998" t="s">
        <v>1199</v>
      </c>
      <c r="B998" s="2">
        <v>45579</v>
      </c>
      <c r="C998">
        <v>2380.4639999999999</v>
      </c>
      <c r="D998" t="s">
        <v>1807</v>
      </c>
      <c r="E998">
        <v>50</v>
      </c>
      <c r="F998" t="s">
        <v>9</v>
      </c>
      <c r="G998" t="s">
        <v>1546</v>
      </c>
      <c r="H998" t="s">
        <v>1737</v>
      </c>
      <c r="L998" s="2">
        <v>45579</v>
      </c>
      <c r="M998">
        <v>2380.4639999999999</v>
      </c>
      <c r="R998" t="s">
        <v>1807</v>
      </c>
      <c r="S998">
        <v>2380.4639999999999</v>
      </c>
      <c r="W998" s="11" t="s">
        <v>9</v>
      </c>
      <c r="X998" s="11" t="s">
        <v>1546</v>
      </c>
      <c r="Y998">
        <v>2380.4639999999999</v>
      </c>
      <c r="AF998">
        <v>2380.4639999999999</v>
      </c>
      <c r="AG998" t="s">
        <v>1737</v>
      </c>
    </row>
    <row r="999" spans="1:33" x14ac:dyDescent="0.3">
      <c r="A999" t="s">
        <v>620</v>
      </c>
      <c r="B999" s="2">
        <v>45805</v>
      </c>
      <c r="C999">
        <v>1304.2182</v>
      </c>
      <c r="D999" t="s">
        <v>1809</v>
      </c>
      <c r="E999">
        <v>29</v>
      </c>
      <c r="F999" t="s">
        <v>16</v>
      </c>
      <c r="G999" t="s">
        <v>1527</v>
      </c>
      <c r="H999" t="s">
        <v>1742</v>
      </c>
      <c r="L999" s="2">
        <v>45805</v>
      </c>
      <c r="M999">
        <v>1304.2182</v>
      </c>
      <c r="R999" t="s">
        <v>1809</v>
      </c>
      <c r="S999">
        <v>1304.2182</v>
      </c>
      <c r="W999" s="12" t="s">
        <v>16</v>
      </c>
      <c r="X999" s="12" t="s">
        <v>1527</v>
      </c>
      <c r="Y999">
        <v>1304.2182</v>
      </c>
      <c r="AF999">
        <v>1304.2182</v>
      </c>
      <c r="AG999" t="s">
        <v>1742</v>
      </c>
    </row>
    <row r="1000" spans="1:33" x14ac:dyDescent="0.3">
      <c r="A1000" t="s">
        <v>1253</v>
      </c>
      <c r="B1000" s="2">
        <v>45522</v>
      </c>
      <c r="C1000">
        <v>968.16959999999995</v>
      </c>
      <c r="D1000" t="s">
        <v>1812</v>
      </c>
      <c r="E1000">
        <v>36</v>
      </c>
      <c r="F1000" t="s">
        <v>9</v>
      </c>
      <c r="G1000" t="s">
        <v>1546</v>
      </c>
      <c r="H1000" t="s">
        <v>1742</v>
      </c>
      <c r="L1000" s="2">
        <v>45522</v>
      </c>
      <c r="M1000">
        <v>968.16959999999995</v>
      </c>
      <c r="R1000" t="s">
        <v>1812</v>
      </c>
      <c r="S1000">
        <v>968.16959999999995</v>
      </c>
      <c r="W1000" s="11" t="s">
        <v>9</v>
      </c>
      <c r="X1000" s="11" t="s">
        <v>1546</v>
      </c>
      <c r="Y1000">
        <v>968.16959999999995</v>
      </c>
      <c r="AF1000">
        <v>968.16959999999995</v>
      </c>
      <c r="AG1000" t="s">
        <v>1742</v>
      </c>
    </row>
    <row r="1001" spans="1:33" x14ac:dyDescent="0.3">
      <c r="A1001" t="s">
        <v>1293</v>
      </c>
      <c r="B1001" s="2">
        <v>45304</v>
      </c>
      <c r="C1001">
        <v>65.729200000000006</v>
      </c>
      <c r="D1001" t="s">
        <v>1809</v>
      </c>
      <c r="E1001">
        <v>42</v>
      </c>
      <c r="F1001" t="s">
        <v>16</v>
      </c>
      <c r="G1001" t="s">
        <v>1549</v>
      </c>
      <c r="H1001" t="s">
        <v>1767</v>
      </c>
      <c r="L1001" s="2">
        <v>45304</v>
      </c>
      <c r="M1001">
        <v>65.729200000000006</v>
      </c>
      <c r="R1001" t="s">
        <v>1809</v>
      </c>
      <c r="S1001">
        <v>65.729200000000006</v>
      </c>
      <c r="W1001" s="12" t="s">
        <v>16</v>
      </c>
      <c r="X1001" s="12" t="s">
        <v>1549</v>
      </c>
      <c r="Y1001">
        <v>65.729200000000006</v>
      </c>
      <c r="AF1001">
        <v>65.729200000000006</v>
      </c>
      <c r="AG1001" t="s">
        <v>1767</v>
      </c>
    </row>
    <row r="1002" spans="1:33" x14ac:dyDescent="0.3">
      <c r="A1002" t="s">
        <v>620</v>
      </c>
      <c r="B1002" s="2">
        <v>45456</v>
      </c>
      <c r="C1002">
        <v>1327.8846000000001</v>
      </c>
      <c r="D1002" t="s">
        <v>1807</v>
      </c>
      <c r="E1002">
        <v>29</v>
      </c>
      <c r="F1002" t="s">
        <v>16</v>
      </c>
      <c r="G1002" t="s">
        <v>1541</v>
      </c>
      <c r="H1002" t="s">
        <v>1746</v>
      </c>
      <c r="L1002" s="2">
        <v>45456</v>
      </c>
      <c r="M1002">
        <v>1327.8846000000001</v>
      </c>
      <c r="R1002" t="s">
        <v>1807</v>
      </c>
      <c r="S1002">
        <v>1327.8846000000001</v>
      </c>
      <c r="W1002" s="11" t="s">
        <v>16</v>
      </c>
      <c r="X1002" s="11" t="s">
        <v>1541</v>
      </c>
      <c r="Y1002">
        <v>1327.8846000000001</v>
      </c>
      <c r="AF1002">
        <v>1327.8846000000001</v>
      </c>
      <c r="AG1002" t="s">
        <v>1746</v>
      </c>
    </row>
    <row r="1003" spans="1:33" x14ac:dyDescent="0.3">
      <c r="A1003" t="s">
        <v>196</v>
      </c>
      <c r="B1003" s="2">
        <v>45776</v>
      </c>
      <c r="C1003">
        <v>1805.2736</v>
      </c>
      <c r="D1003" t="s">
        <v>1809</v>
      </c>
      <c r="E1003">
        <v>37</v>
      </c>
      <c r="F1003" t="s">
        <v>16</v>
      </c>
      <c r="G1003" t="s">
        <v>1530</v>
      </c>
      <c r="H1003" t="s">
        <v>1742</v>
      </c>
      <c r="L1003" s="2">
        <v>45776</v>
      </c>
      <c r="M1003">
        <v>1805.2736</v>
      </c>
      <c r="R1003" t="s">
        <v>1809</v>
      </c>
      <c r="S1003">
        <v>1805.2736</v>
      </c>
      <c r="W1003" s="12" t="s">
        <v>16</v>
      </c>
      <c r="X1003" s="12" t="s">
        <v>1530</v>
      </c>
      <c r="Y1003">
        <v>1805.2736</v>
      </c>
      <c r="AF1003">
        <v>1805.2736</v>
      </c>
      <c r="AG1003" t="s">
        <v>1742</v>
      </c>
    </row>
    <row r="1004" spans="1:33" x14ac:dyDescent="0.3">
      <c r="A1004" t="s">
        <v>380</v>
      </c>
      <c r="B1004" s="2">
        <v>45566</v>
      </c>
      <c r="C1004">
        <v>2100.0441000000001</v>
      </c>
      <c r="D1004" t="s">
        <v>1812</v>
      </c>
      <c r="E1004">
        <v>40</v>
      </c>
      <c r="F1004" t="s">
        <v>16</v>
      </c>
      <c r="G1004" t="s">
        <v>1549</v>
      </c>
      <c r="H1004" t="s">
        <v>1742</v>
      </c>
      <c r="L1004" s="2">
        <v>45566</v>
      </c>
      <c r="M1004">
        <v>2100.0441000000001</v>
      </c>
      <c r="R1004" t="s">
        <v>1812</v>
      </c>
      <c r="S1004">
        <v>2100.0441000000001</v>
      </c>
      <c r="W1004" s="11" t="s">
        <v>16</v>
      </c>
      <c r="X1004" s="11" t="s">
        <v>1549</v>
      </c>
      <c r="Y1004">
        <v>2100.0441000000001</v>
      </c>
      <c r="AF1004">
        <v>2100.0441000000001</v>
      </c>
      <c r="AG1004" t="s">
        <v>1742</v>
      </c>
    </row>
    <row r="1005" spans="1:33" x14ac:dyDescent="0.3">
      <c r="A1005" t="s">
        <v>1230</v>
      </c>
      <c r="B1005" s="2">
        <v>45542</v>
      </c>
      <c r="C1005">
        <v>3030.424</v>
      </c>
      <c r="D1005" t="s">
        <v>1809</v>
      </c>
      <c r="E1005">
        <v>57</v>
      </c>
      <c r="F1005" t="s">
        <v>16</v>
      </c>
      <c r="G1005" t="s">
        <v>1549</v>
      </c>
      <c r="H1005" t="s">
        <v>1742</v>
      </c>
      <c r="L1005" s="2">
        <v>45542</v>
      </c>
      <c r="M1005">
        <v>3030.424</v>
      </c>
      <c r="R1005" t="s">
        <v>1809</v>
      </c>
      <c r="S1005">
        <v>3030.424</v>
      </c>
      <c r="W1005" s="12" t="s">
        <v>16</v>
      </c>
      <c r="X1005" s="12" t="s">
        <v>1549</v>
      </c>
      <c r="Y1005">
        <v>3030.424</v>
      </c>
      <c r="AF1005">
        <v>3030.424</v>
      </c>
      <c r="AG1005" t="s">
        <v>1742</v>
      </c>
    </row>
    <row r="1006" spans="1:33" x14ac:dyDescent="0.3">
      <c r="A1006" t="s">
        <v>940</v>
      </c>
      <c r="B1006" s="2">
        <v>45834</v>
      </c>
      <c r="C1006">
        <v>491.32860000000011</v>
      </c>
      <c r="D1006" t="s">
        <v>1812</v>
      </c>
      <c r="E1006">
        <v>50</v>
      </c>
      <c r="F1006" t="s">
        <v>9</v>
      </c>
      <c r="G1006" t="s">
        <v>1546</v>
      </c>
      <c r="H1006" t="s">
        <v>1742</v>
      </c>
      <c r="L1006" s="2">
        <v>45834</v>
      </c>
      <c r="M1006">
        <v>491.32860000000011</v>
      </c>
      <c r="R1006" t="s">
        <v>1812</v>
      </c>
      <c r="S1006">
        <v>491.32860000000011</v>
      </c>
      <c r="W1006" s="11" t="s">
        <v>9</v>
      </c>
      <c r="X1006" s="11" t="s">
        <v>1546</v>
      </c>
      <c r="Y1006">
        <v>491.32860000000011</v>
      </c>
      <c r="AF1006">
        <v>491.32860000000011</v>
      </c>
      <c r="AG1006" t="s">
        <v>1742</v>
      </c>
    </row>
    <row r="1007" spans="1:33" x14ac:dyDescent="0.3">
      <c r="A1007" t="s">
        <v>632</v>
      </c>
      <c r="B1007" s="2">
        <v>45405</v>
      </c>
      <c r="C1007">
        <v>689.17200000000014</v>
      </c>
      <c r="D1007" t="s">
        <v>1809</v>
      </c>
      <c r="E1007">
        <v>60</v>
      </c>
      <c r="F1007" t="s">
        <v>9</v>
      </c>
      <c r="G1007" t="s">
        <v>1549</v>
      </c>
      <c r="H1007" t="s">
        <v>1742</v>
      </c>
      <c r="L1007" s="2">
        <v>45405</v>
      </c>
      <c r="M1007">
        <v>689.17200000000014</v>
      </c>
      <c r="R1007" t="s">
        <v>1809</v>
      </c>
      <c r="S1007">
        <v>689.17200000000014</v>
      </c>
      <c r="W1007" s="12" t="s">
        <v>9</v>
      </c>
      <c r="X1007" s="12" t="s">
        <v>1549</v>
      </c>
      <c r="Y1007">
        <v>689.17200000000014</v>
      </c>
      <c r="AF1007">
        <v>689.17200000000014</v>
      </c>
      <c r="AG1007" t="s">
        <v>1742</v>
      </c>
    </row>
    <row r="1008" spans="1:33" x14ac:dyDescent="0.3">
      <c r="A1008" t="s">
        <v>3939</v>
      </c>
      <c r="B1008" s="2">
        <v>45918</v>
      </c>
      <c r="C1008">
        <v>1914.8480999999999</v>
      </c>
      <c r="D1008" t="s">
        <v>1812</v>
      </c>
      <c r="E1008">
        <v>58</v>
      </c>
      <c r="F1008" t="s">
        <v>9</v>
      </c>
      <c r="G1008" t="s">
        <v>1530</v>
      </c>
      <c r="H1008" t="s">
        <v>1742</v>
      </c>
      <c r="L1008" s="2">
        <v>45918</v>
      </c>
      <c r="M1008">
        <v>1914.8480999999999</v>
      </c>
      <c r="R1008" t="s">
        <v>1812</v>
      </c>
      <c r="S1008">
        <v>1914.8480999999999</v>
      </c>
      <c r="W1008" s="11" t="s">
        <v>9</v>
      </c>
      <c r="X1008" s="11" t="s">
        <v>1530</v>
      </c>
      <c r="Y1008">
        <v>1914.8480999999999</v>
      </c>
      <c r="AF1008">
        <v>1914.8480999999999</v>
      </c>
      <c r="AG1008" t="s">
        <v>1742</v>
      </c>
    </row>
    <row r="1009" spans="1:33" x14ac:dyDescent="0.3">
      <c r="A1009" t="s">
        <v>643</v>
      </c>
      <c r="B1009" s="2">
        <v>45217</v>
      </c>
      <c r="C1009">
        <v>801.44959999999992</v>
      </c>
      <c r="D1009" t="s">
        <v>1809</v>
      </c>
      <c r="E1009">
        <v>46</v>
      </c>
      <c r="F1009" t="s">
        <v>9</v>
      </c>
      <c r="G1009" t="s">
        <v>1530</v>
      </c>
      <c r="H1009" t="s">
        <v>1746</v>
      </c>
      <c r="L1009" s="2">
        <v>45217</v>
      </c>
      <c r="M1009">
        <v>801.44959999999992</v>
      </c>
      <c r="R1009" t="s">
        <v>1809</v>
      </c>
      <c r="S1009">
        <v>801.44959999999992</v>
      </c>
      <c r="W1009" s="12" t="s">
        <v>9</v>
      </c>
      <c r="X1009" s="12" t="s">
        <v>1530</v>
      </c>
      <c r="Y1009">
        <v>801.44959999999992</v>
      </c>
      <c r="AF1009">
        <v>801.44959999999992</v>
      </c>
      <c r="AG1009" t="s">
        <v>1746</v>
      </c>
    </row>
    <row r="1010" spans="1:33" x14ac:dyDescent="0.3">
      <c r="A1010" t="s">
        <v>1307</v>
      </c>
      <c r="B1010" s="2">
        <v>45259</v>
      </c>
      <c r="C1010">
        <v>359.61380000000003</v>
      </c>
      <c r="D1010" t="s">
        <v>1809</v>
      </c>
      <c r="E1010">
        <v>18</v>
      </c>
      <c r="F1010" t="s">
        <v>16</v>
      </c>
      <c r="G1010" t="s">
        <v>1541</v>
      </c>
      <c r="H1010" t="s">
        <v>1742</v>
      </c>
      <c r="L1010" s="2">
        <v>45259</v>
      </c>
      <c r="M1010">
        <v>359.61380000000003</v>
      </c>
      <c r="R1010" t="s">
        <v>1809</v>
      </c>
      <c r="S1010">
        <v>359.61380000000003</v>
      </c>
      <c r="W1010" s="11" t="s">
        <v>16</v>
      </c>
      <c r="X1010" s="11" t="s">
        <v>1541</v>
      </c>
      <c r="Y1010">
        <v>359.61380000000003</v>
      </c>
      <c r="AF1010">
        <v>359.61380000000003</v>
      </c>
      <c r="AG1010" t="s">
        <v>1742</v>
      </c>
    </row>
    <row r="1011" spans="1:33" x14ac:dyDescent="0.3">
      <c r="A1011" t="s">
        <v>352</v>
      </c>
      <c r="B1011" s="2">
        <v>45740</v>
      </c>
      <c r="C1011">
        <v>187.14840000000001</v>
      </c>
      <c r="D1011" t="s">
        <v>1807</v>
      </c>
      <c r="E1011">
        <v>29</v>
      </c>
      <c r="F1011" t="s">
        <v>9</v>
      </c>
      <c r="G1011" t="s">
        <v>1527</v>
      </c>
      <c r="H1011" t="s">
        <v>1767</v>
      </c>
      <c r="L1011" s="2">
        <v>45740</v>
      </c>
      <c r="M1011">
        <v>187.14840000000001</v>
      </c>
      <c r="R1011" t="s">
        <v>1807</v>
      </c>
      <c r="S1011">
        <v>187.14840000000001</v>
      </c>
      <c r="W1011" s="12" t="s">
        <v>9</v>
      </c>
      <c r="X1011" s="12" t="s">
        <v>1527</v>
      </c>
      <c r="Y1011">
        <v>187.14840000000001</v>
      </c>
      <c r="AF1011">
        <v>187.14840000000001</v>
      </c>
      <c r="AG1011" t="s">
        <v>1767</v>
      </c>
    </row>
    <row r="1012" spans="1:33" x14ac:dyDescent="0.3">
      <c r="A1012" t="s">
        <v>676</v>
      </c>
      <c r="B1012" s="2">
        <v>45908</v>
      </c>
      <c r="C1012">
        <v>761.73839999999996</v>
      </c>
      <c r="D1012" t="s">
        <v>1812</v>
      </c>
      <c r="E1012">
        <v>48</v>
      </c>
      <c r="F1012" t="s">
        <v>9</v>
      </c>
      <c r="G1012" t="s">
        <v>1527</v>
      </c>
      <c r="H1012" t="s">
        <v>1746</v>
      </c>
      <c r="L1012" s="2">
        <v>45908</v>
      </c>
      <c r="M1012">
        <v>761.73839999999996</v>
      </c>
      <c r="R1012" t="s">
        <v>1812</v>
      </c>
      <c r="S1012">
        <v>761.73839999999996</v>
      </c>
      <c r="W1012" s="11" t="s">
        <v>9</v>
      </c>
      <c r="X1012" s="11" t="s">
        <v>1527</v>
      </c>
      <c r="Y1012">
        <v>761.73839999999996</v>
      </c>
      <c r="AF1012">
        <v>761.73839999999996</v>
      </c>
      <c r="AG1012" t="s">
        <v>1746</v>
      </c>
    </row>
    <row r="1013" spans="1:33" x14ac:dyDescent="0.3">
      <c r="A1013" t="s">
        <v>28</v>
      </c>
      <c r="B1013" s="2">
        <v>45601</v>
      </c>
      <c r="C1013">
        <v>680.88400000000001</v>
      </c>
      <c r="D1013" t="s">
        <v>1809</v>
      </c>
      <c r="E1013">
        <v>24</v>
      </c>
      <c r="F1013" t="s">
        <v>9</v>
      </c>
      <c r="G1013" t="s">
        <v>1549</v>
      </c>
      <c r="H1013" t="s">
        <v>1742</v>
      </c>
      <c r="L1013" s="2">
        <v>45601</v>
      </c>
      <c r="M1013">
        <v>680.88400000000001</v>
      </c>
      <c r="R1013" t="s">
        <v>1809</v>
      </c>
      <c r="S1013">
        <v>680.88400000000001</v>
      </c>
      <c r="W1013" s="12" t="s">
        <v>9</v>
      </c>
      <c r="X1013" s="12" t="s">
        <v>1549</v>
      </c>
      <c r="Y1013">
        <v>680.88400000000001</v>
      </c>
      <c r="AF1013">
        <v>680.88400000000001</v>
      </c>
      <c r="AG1013" t="s">
        <v>1742</v>
      </c>
    </row>
    <row r="1014" spans="1:33" x14ac:dyDescent="0.3">
      <c r="A1014" t="s">
        <v>262</v>
      </c>
      <c r="B1014" s="2">
        <v>45535</v>
      </c>
      <c r="C1014">
        <v>246.5856</v>
      </c>
      <c r="D1014" t="s">
        <v>1812</v>
      </c>
      <c r="E1014">
        <v>56</v>
      </c>
      <c r="F1014" t="s">
        <v>16</v>
      </c>
      <c r="G1014" t="s">
        <v>1530</v>
      </c>
      <c r="H1014" t="s">
        <v>1742</v>
      </c>
      <c r="L1014" s="2">
        <v>45535</v>
      </c>
      <c r="M1014">
        <v>246.5856</v>
      </c>
      <c r="R1014" t="s">
        <v>1812</v>
      </c>
      <c r="S1014">
        <v>246.5856</v>
      </c>
      <c r="W1014" s="11" t="s">
        <v>16</v>
      </c>
      <c r="X1014" s="11" t="s">
        <v>1530</v>
      </c>
      <c r="Y1014">
        <v>246.5856</v>
      </c>
      <c r="AF1014">
        <v>246.5856</v>
      </c>
      <c r="AG1014" t="s">
        <v>1742</v>
      </c>
    </row>
    <row r="1015" spans="1:33" x14ac:dyDescent="0.3">
      <c r="A1015" t="s">
        <v>605</v>
      </c>
      <c r="B1015" s="2">
        <v>45459</v>
      </c>
      <c r="C1015">
        <v>2862.1208000000001</v>
      </c>
      <c r="D1015" t="s">
        <v>1809</v>
      </c>
      <c r="E1015">
        <v>53</v>
      </c>
      <c r="F1015" t="s">
        <v>9</v>
      </c>
      <c r="G1015" t="s">
        <v>1530</v>
      </c>
      <c r="H1015" t="s">
        <v>1742</v>
      </c>
      <c r="L1015" s="2">
        <v>45459</v>
      </c>
      <c r="M1015">
        <v>2862.1208000000001</v>
      </c>
      <c r="R1015" t="s">
        <v>1809</v>
      </c>
      <c r="S1015">
        <v>2862.1208000000001</v>
      </c>
      <c r="W1015" s="12" t="s">
        <v>9</v>
      </c>
      <c r="X1015" s="12" t="s">
        <v>1530</v>
      </c>
      <c r="Y1015">
        <v>2862.1208000000001</v>
      </c>
      <c r="AF1015">
        <v>2862.1208000000001</v>
      </c>
      <c r="AG1015" t="s">
        <v>1742</v>
      </c>
    </row>
    <row r="1016" spans="1:33" x14ac:dyDescent="0.3">
      <c r="A1016" t="s">
        <v>966</v>
      </c>
      <c r="B1016" s="2">
        <v>45681</v>
      </c>
      <c r="C1016">
        <v>159.3408</v>
      </c>
      <c r="D1016" t="s">
        <v>1812</v>
      </c>
      <c r="E1016">
        <v>20</v>
      </c>
      <c r="F1016" t="s">
        <v>9</v>
      </c>
      <c r="G1016" t="s">
        <v>1541</v>
      </c>
      <c r="H1016" t="s">
        <v>1742</v>
      </c>
      <c r="L1016" s="2">
        <v>45681</v>
      </c>
      <c r="M1016">
        <v>159.3408</v>
      </c>
      <c r="R1016" t="s">
        <v>1812</v>
      </c>
      <c r="S1016">
        <v>159.3408</v>
      </c>
      <c r="W1016" s="11" t="s">
        <v>9</v>
      </c>
      <c r="X1016" s="11" t="s">
        <v>1541</v>
      </c>
      <c r="Y1016">
        <v>159.3408</v>
      </c>
      <c r="AF1016">
        <v>159.3408</v>
      </c>
      <c r="AG1016" t="s">
        <v>1742</v>
      </c>
    </row>
    <row r="1017" spans="1:33" x14ac:dyDescent="0.3">
      <c r="A1017" t="s">
        <v>789</v>
      </c>
      <c r="B1017" s="2">
        <v>45725</v>
      </c>
      <c r="C1017">
        <v>394.90199999999999</v>
      </c>
      <c r="D1017" t="s">
        <v>1812</v>
      </c>
      <c r="E1017">
        <v>41</v>
      </c>
      <c r="F1017" t="s">
        <v>16</v>
      </c>
      <c r="G1017" t="s">
        <v>1546</v>
      </c>
      <c r="H1017" t="s">
        <v>1746</v>
      </c>
      <c r="L1017" s="2">
        <v>45725</v>
      </c>
      <c r="M1017">
        <v>394.90199999999999</v>
      </c>
      <c r="R1017" t="s">
        <v>1812</v>
      </c>
      <c r="S1017">
        <v>394.90199999999999</v>
      </c>
      <c r="W1017" s="12" t="s">
        <v>16</v>
      </c>
      <c r="X1017" s="12" t="s">
        <v>1546</v>
      </c>
      <c r="Y1017">
        <v>394.90199999999999</v>
      </c>
      <c r="AF1017">
        <v>394.90199999999999</v>
      </c>
      <c r="AG1017" t="s">
        <v>1746</v>
      </c>
    </row>
    <row r="1018" spans="1:33" x14ac:dyDescent="0.3">
      <c r="A1018" t="s">
        <v>471</v>
      </c>
      <c r="B1018" s="2">
        <v>45461</v>
      </c>
      <c r="C1018">
        <v>453.58170000000001</v>
      </c>
      <c r="D1018" t="s">
        <v>1812</v>
      </c>
      <c r="E1018">
        <v>30</v>
      </c>
      <c r="F1018" t="s">
        <v>9</v>
      </c>
      <c r="G1018" t="s">
        <v>1530</v>
      </c>
      <c r="H1018" t="s">
        <v>1746</v>
      </c>
      <c r="L1018" s="2">
        <v>45461</v>
      </c>
      <c r="M1018">
        <v>453.58170000000001</v>
      </c>
      <c r="R1018" t="s">
        <v>1812</v>
      </c>
      <c r="S1018">
        <v>453.58170000000001</v>
      </c>
      <c r="W1018" s="11" t="s">
        <v>9</v>
      </c>
      <c r="X1018" s="11" t="s">
        <v>1530</v>
      </c>
      <c r="Y1018">
        <v>453.58170000000001</v>
      </c>
      <c r="AF1018">
        <v>453.58170000000001</v>
      </c>
      <c r="AG1018" t="s">
        <v>1746</v>
      </c>
    </row>
    <row r="1019" spans="1:33" x14ac:dyDescent="0.3">
      <c r="A1019" t="s">
        <v>1353</v>
      </c>
      <c r="B1019" s="2">
        <v>45837</v>
      </c>
      <c r="C1019">
        <v>447.82960000000003</v>
      </c>
      <c r="D1019" t="s">
        <v>1812</v>
      </c>
      <c r="E1019">
        <v>51</v>
      </c>
      <c r="F1019" t="s">
        <v>9</v>
      </c>
      <c r="G1019" t="s">
        <v>1546</v>
      </c>
      <c r="H1019" t="s">
        <v>1742</v>
      </c>
      <c r="L1019" s="2">
        <v>45837</v>
      </c>
      <c r="M1019">
        <v>447.82960000000003</v>
      </c>
      <c r="R1019" t="s">
        <v>1812</v>
      </c>
      <c r="S1019">
        <v>447.82960000000003</v>
      </c>
      <c r="W1019" s="12" t="s">
        <v>9</v>
      </c>
      <c r="X1019" s="12" t="s">
        <v>1546</v>
      </c>
      <c r="Y1019">
        <v>447.82960000000003</v>
      </c>
      <c r="AF1019">
        <v>447.82960000000003</v>
      </c>
      <c r="AG1019" t="s">
        <v>1742</v>
      </c>
    </row>
    <row r="1020" spans="1:33" x14ac:dyDescent="0.3">
      <c r="A1020" t="s">
        <v>418</v>
      </c>
      <c r="B1020" s="2">
        <v>45823</v>
      </c>
      <c r="C1020">
        <v>1638.3912</v>
      </c>
      <c r="D1020" t="s">
        <v>1807</v>
      </c>
      <c r="E1020">
        <v>40</v>
      </c>
      <c r="F1020" t="s">
        <v>9</v>
      </c>
      <c r="G1020" t="s">
        <v>1549</v>
      </c>
      <c r="H1020" t="s">
        <v>1737</v>
      </c>
      <c r="L1020" s="2">
        <v>45823</v>
      </c>
      <c r="M1020">
        <v>1638.3912</v>
      </c>
      <c r="R1020" t="s">
        <v>1807</v>
      </c>
      <c r="S1020">
        <v>1638.3912</v>
      </c>
      <c r="W1020" s="11" t="s">
        <v>9</v>
      </c>
      <c r="X1020" s="11" t="s">
        <v>1549</v>
      </c>
      <c r="Y1020">
        <v>1638.3912</v>
      </c>
      <c r="AF1020">
        <v>1638.3912</v>
      </c>
      <c r="AG1020" t="s">
        <v>1737</v>
      </c>
    </row>
    <row r="1021" spans="1:33" x14ac:dyDescent="0.3">
      <c r="A1021" t="s">
        <v>3954</v>
      </c>
      <c r="B1021" s="2">
        <v>45733</v>
      </c>
      <c r="C1021">
        <v>1320.0640000000001</v>
      </c>
      <c r="D1021" t="s">
        <v>1807</v>
      </c>
      <c r="E1021">
        <v>38</v>
      </c>
      <c r="F1021" t="s">
        <v>9</v>
      </c>
      <c r="G1021" t="s">
        <v>1549</v>
      </c>
      <c r="H1021" t="s">
        <v>1746</v>
      </c>
      <c r="L1021" s="2">
        <v>45733</v>
      </c>
      <c r="M1021">
        <v>1320.0640000000001</v>
      </c>
      <c r="R1021" t="s">
        <v>1807</v>
      </c>
      <c r="S1021">
        <v>1320.0640000000001</v>
      </c>
      <c r="W1021" s="12" t="s">
        <v>9</v>
      </c>
      <c r="X1021" s="12" t="s">
        <v>1549</v>
      </c>
      <c r="Y1021">
        <v>1320.0640000000001</v>
      </c>
      <c r="AF1021">
        <v>1320.0640000000001</v>
      </c>
      <c r="AG1021" t="s">
        <v>1746</v>
      </c>
    </row>
    <row r="1022" spans="1:33" x14ac:dyDescent="0.3">
      <c r="A1022" t="s">
        <v>1416</v>
      </c>
      <c r="B1022" s="2">
        <v>45322</v>
      </c>
      <c r="C1022">
        <v>828.83359999999993</v>
      </c>
      <c r="D1022" t="s">
        <v>1809</v>
      </c>
      <c r="E1022">
        <v>28</v>
      </c>
      <c r="F1022" t="s">
        <v>16</v>
      </c>
      <c r="G1022" t="s">
        <v>1530</v>
      </c>
      <c r="H1022" t="s">
        <v>1742</v>
      </c>
      <c r="L1022" s="2">
        <v>45322</v>
      </c>
      <c r="M1022">
        <v>828.83359999999993</v>
      </c>
      <c r="R1022" t="s">
        <v>1809</v>
      </c>
      <c r="S1022">
        <v>828.83359999999993</v>
      </c>
      <c r="W1022" s="11" t="s">
        <v>16</v>
      </c>
      <c r="X1022" s="11" t="s">
        <v>1530</v>
      </c>
      <c r="Y1022">
        <v>828.83359999999993</v>
      </c>
      <c r="AF1022">
        <v>828.83359999999993</v>
      </c>
      <c r="AG1022" t="s">
        <v>1742</v>
      </c>
    </row>
    <row r="1023" spans="1:33" x14ac:dyDescent="0.3">
      <c r="A1023" t="s">
        <v>918</v>
      </c>
      <c r="B1023" s="2">
        <v>45415</v>
      </c>
      <c r="C1023">
        <v>209.65119999999999</v>
      </c>
      <c r="D1023" t="s">
        <v>1809</v>
      </c>
      <c r="E1023">
        <v>56</v>
      </c>
      <c r="F1023" t="s">
        <v>16</v>
      </c>
      <c r="G1023" t="s">
        <v>1527</v>
      </c>
      <c r="H1023" t="s">
        <v>1737</v>
      </c>
      <c r="L1023" s="2">
        <v>45415</v>
      </c>
      <c r="M1023">
        <v>209.65119999999999</v>
      </c>
      <c r="R1023" t="s">
        <v>1809</v>
      </c>
      <c r="S1023">
        <v>209.65119999999999</v>
      </c>
      <c r="W1023" s="12" t="s">
        <v>16</v>
      </c>
      <c r="X1023" s="12" t="s">
        <v>1527</v>
      </c>
      <c r="Y1023">
        <v>209.65119999999999</v>
      </c>
      <c r="AF1023">
        <v>209.65119999999999</v>
      </c>
      <c r="AG1023" t="s">
        <v>1737</v>
      </c>
    </row>
    <row r="1024" spans="1:33" x14ac:dyDescent="0.3">
      <c r="A1024" t="s">
        <v>1396</v>
      </c>
      <c r="B1024" s="2">
        <v>45644</v>
      </c>
      <c r="C1024">
        <v>726.36479999999995</v>
      </c>
      <c r="D1024" t="s">
        <v>1809</v>
      </c>
      <c r="E1024">
        <v>62</v>
      </c>
      <c r="F1024" t="s">
        <v>16</v>
      </c>
      <c r="G1024" t="s">
        <v>1549</v>
      </c>
      <c r="H1024" t="s">
        <v>1742</v>
      </c>
      <c r="L1024" s="2">
        <v>45644</v>
      </c>
      <c r="M1024">
        <v>726.36479999999995</v>
      </c>
      <c r="R1024" t="s">
        <v>1809</v>
      </c>
      <c r="S1024">
        <v>726.36479999999995</v>
      </c>
      <c r="W1024" s="11" t="s">
        <v>16</v>
      </c>
      <c r="X1024" s="11" t="s">
        <v>1549</v>
      </c>
      <c r="Y1024">
        <v>726.36479999999995</v>
      </c>
      <c r="AF1024">
        <v>726.36479999999995</v>
      </c>
      <c r="AG1024" t="s">
        <v>1742</v>
      </c>
    </row>
    <row r="1025" spans="1:33" x14ac:dyDescent="0.3">
      <c r="A1025" t="s">
        <v>86</v>
      </c>
      <c r="B1025" s="2">
        <v>45845</v>
      </c>
      <c r="C1025">
        <v>373.83839999999998</v>
      </c>
      <c r="D1025" t="s">
        <v>1807</v>
      </c>
      <c r="E1025">
        <v>59</v>
      </c>
      <c r="F1025" t="s">
        <v>9</v>
      </c>
      <c r="G1025" t="s">
        <v>1546</v>
      </c>
      <c r="H1025" t="s">
        <v>1746</v>
      </c>
      <c r="L1025" s="2">
        <v>45845</v>
      </c>
      <c r="M1025">
        <v>373.83839999999998</v>
      </c>
      <c r="R1025" t="s">
        <v>1807</v>
      </c>
      <c r="S1025">
        <v>373.83839999999998</v>
      </c>
      <c r="W1025" s="12" t="s">
        <v>9</v>
      </c>
      <c r="X1025" s="12" t="s">
        <v>1546</v>
      </c>
      <c r="Y1025">
        <v>373.83839999999998</v>
      </c>
      <c r="AF1025">
        <v>373.83839999999998</v>
      </c>
      <c r="AG1025" t="s">
        <v>1746</v>
      </c>
    </row>
    <row r="1026" spans="1:33" x14ac:dyDescent="0.3">
      <c r="A1026" t="s">
        <v>1139</v>
      </c>
      <c r="B1026" s="2">
        <v>45354</v>
      </c>
      <c r="C1026">
        <v>283.7484</v>
      </c>
      <c r="D1026" t="s">
        <v>1812</v>
      </c>
      <c r="E1026">
        <v>20</v>
      </c>
      <c r="F1026" t="s">
        <v>16</v>
      </c>
      <c r="G1026" t="s">
        <v>1549</v>
      </c>
      <c r="H1026" t="s">
        <v>1767</v>
      </c>
      <c r="L1026" s="2">
        <v>45354</v>
      </c>
      <c r="M1026">
        <v>283.7484</v>
      </c>
      <c r="R1026" t="s">
        <v>1812</v>
      </c>
      <c r="S1026">
        <v>283.7484</v>
      </c>
      <c r="W1026" s="11" t="s">
        <v>16</v>
      </c>
      <c r="X1026" s="11" t="s">
        <v>1549</v>
      </c>
      <c r="Y1026">
        <v>283.7484</v>
      </c>
      <c r="AF1026">
        <v>283.7484</v>
      </c>
      <c r="AG1026" t="s">
        <v>1767</v>
      </c>
    </row>
    <row r="1027" spans="1:33" x14ac:dyDescent="0.3">
      <c r="A1027" t="s">
        <v>222</v>
      </c>
      <c r="B1027" s="2">
        <v>45720</v>
      </c>
      <c r="C1027">
        <v>208.3134</v>
      </c>
      <c r="D1027" t="s">
        <v>1809</v>
      </c>
      <c r="E1027">
        <v>23</v>
      </c>
      <c r="F1027" t="s">
        <v>9</v>
      </c>
      <c r="G1027" t="s">
        <v>1549</v>
      </c>
      <c r="H1027" t="s">
        <v>1767</v>
      </c>
      <c r="L1027" s="2">
        <v>45720</v>
      </c>
      <c r="M1027">
        <v>208.3134</v>
      </c>
      <c r="R1027" t="s">
        <v>1809</v>
      </c>
      <c r="S1027">
        <v>208.3134</v>
      </c>
      <c r="W1027" s="12" t="s">
        <v>9</v>
      </c>
      <c r="X1027" s="12" t="s">
        <v>1549</v>
      </c>
      <c r="Y1027">
        <v>208.3134</v>
      </c>
      <c r="AF1027">
        <v>208.3134</v>
      </c>
      <c r="AG1027" t="s">
        <v>1767</v>
      </c>
    </row>
    <row r="1028" spans="1:33" x14ac:dyDescent="0.3">
      <c r="A1028" t="s">
        <v>990</v>
      </c>
      <c r="B1028" s="2">
        <v>45278</v>
      </c>
      <c r="C1028">
        <v>1299.9000000000001</v>
      </c>
      <c r="D1028" t="s">
        <v>1809</v>
      </c>
      <c r="E1028">
        <v>25</v>
      </c>
      <c r="F1028" t="s">
        <v>9</v>
      </c>
      <c r="G1028" t="s">
        <v>1549</v>
      </c>
      <c r="H1028" t="s">
        <v>1737</v>
      </c>
      <c r="L1028" s="2">
        <v>45278</v>
      </c>
      <c r="M1028">
        <v>1299.9000000000001</v>
      </c>
      <c r="R1028" t="s">
        <v>1809</v>
      </c>
      <c r="S1028">
        <v>1299.9000000000001</v>
      </c>
      <c r="W1028" s="11" t="s">
        <v>9</v>
      </c>
      <c r="X1028" s="11" t="s">
        <v>1549</v>
      </c>
      <c r="Y1028">
        <v>1299.9000000000001</v>
      </c>
      <c r="AF1028">
        <v>1299.9000000000001</v>
      </c>
      <c r="AG1028" t="s">
        <v>1737</v>
      </c>
    </row>
    <row r="1029" spans="1:33" x14ac:dyDescent="0.3">
      <c r="A1029" t="s">
        <v>1337</v>
      </c>
      <c r="B1029" s="2">
        <v>45422</v>
      </c>
      <c r="C1029">
        <v>70.924799999999991</v>
      </c>
      <c r="D1029" t="s">
        <v>1807</v>
      </c>
      <c r="E1029">
        <v>47</v>
      </c>
      <c r="F1029" t="s">
        <v>16</v>
      </c>
      <c r="G1029" t="s">
        <v>1549</v>
      </c>
      <c r="H1029" t="s">
        <v>1742</v>
      </c>
      <c r="L1029" s="2">
        <v>45422</v>
      </c>
      <c r="M1029">
        <v>70.924799999999991</v>
      </c>
      <c r="R1029" t="s">
        <v>1807</v>
      </c>
      <c r="S1029">
        <v>70.924799999999991</v>
      </c>
      <c r="W1029" s="12" t="s">
        <v>16</v>
      </c>
      <c r="X1029" s="12" t="s">
        <v>1549</v>
      </c>
      <c r="Y1029">
        <v>70.924799999999991</v>
      </c>
      <c r="AF1029">
        <v>70.924799999999991</v>
      </c>
      <c r="AG1029" t="s">
        <v>1742</v>
      </c>
    </row>
    <row r="1030" spans="1:33" x14ac:dyDescent="0.3">
      <c r="A1030" t="s">
        <v>33</v>
      </c>
      <c r="B1030" s="2">
        <v>45337</v>
      </c>
      <c r="C1030">
        <v>721.8119999999999</v>
      </c>
      <c r="D1030" t="s">
        <v>1809</v>
      </c>
      <c r="E1030">
        <v>29</v>
      </c>
      <c r="F1030" t="s">
        <v>16</v>
      </c>
      <c r="G1030" t="s">
        <v>1527</v>
      </c>
      <c r="H1030" t="s">
        <v>1742</v>
      </c>
      <c r="L1030" s="2">
        <v>45337</v>
      </c>
      <c r="M1030">
        <v>721.8119999999999</v>
      </c>
      <c r="R1030" t="s">
        <v>1809</v>
      </c>
      <c r="S1030">
        <v>721.8119999999999</v>
      </c>
      <c r="W1030" s="11" t="s">
        <v>16</v>
      </c>
      <c r="X1030" s="11" t="s">
        <v>1527</v>
      </c>
      <c r="Y1030">
        <v>721.8119999999999</v>
      </c>
      <c r="AF1030">
        <v>721.8119999999999</v>
      </c>
      <c r="AG1030" t="s">
        <v>1742</v>
      </c>
    </row>
    <row r="1031" spans="1:33" x14ac:dyDescent="0.3">
      <c r="A1031" t="s">
        <v>440</v>
      </c>
      <c r="B1031" s="2">
        <v>45564</v>
      </c>
      <c r="C1031">
        <v>2897.233999999999</v>
      </c>
      <c r="D1031" t="s">
        <v>1807</v>
      </c>
      <c r="E1031">
        <v>29</v>
      </c>
      <c r="F1031" t="s">
        <v>9</v>
      </c>
      <c r="G1031" t="s">
        <v>1549</v>
      </c>
      <c r="H1031" t="s">
        <v>1737</v>
      </c>
      <c r="L1031" s="2">
        <v>45564</v>
      </c>
      <c r="M1031">
        <v>2897.233999999999</v>
      </c>
      <c r="R1031" t="s">
        <v>1807</v>
      </c>
      <c r="S1031">
        <v>2897.233999999999</v>
      </c>
      <c r="W1031" s="12" t="s">
        <v>9</v>
      </c>
      <c r="X1031" s="12" t="s">
        <v>1549</v>
      </c>
      <c r="Y1031">
        <v>2897.233999999999</v>
      </c>
      <c r="AF1031">
        <v>2897.233999999999</v>
      </c>
      <c r="AG1031" t="s">
        <v>1737</v>
      </c>
    </row>
    <row r="1032" spans="1:33" x14ac:dyDescent="0.3">
      <c r="A1032" t="s">
        <v>424</v>
      </c>
      <c r="B1032" s="2">
        <v>45424</v>
      </c>
      <c r="C1032">
        <v>262.80799999999999</v>
      </c>
      <c r="D1032" t="s">
        <v>1812</v>
      </c>
      <c r="E1032">
        <v>64</v>
      </c>
      <c r="F1032" t="s">
        <v>16</v>
      </c>
      <c r="G1032" t="s">
        <v>1549</v>
      </c>
      <c r="H1032" t="s">
        <v>1737</v>
      </c>
      <c r="L1032" s="2">
        <v>45424</v>
      </c>
      <c r="M1032">
        <v>262.80799999999999</v>
      </c>
      <c r="R1032" t="s">
        <v>1812</v>
      </c>
      <c r="S1032">
        <v>262.80799999999999</v>
      </c>
      <c r="W1032" s="11" t="s">
        <v>16</v>
      </c>
      <c r="X1032" s="11" t="s">
        <v>1549</v>
      </c>
      <c r="Y1032">
        <v>262.80799999999999</v>
      </c>
      <c r="AF1032">
        <v>262.80799999999999</v>
      </c>
      <c r="AG1032" t="s">
        <v>1737</v>
      </c>
    </row>
    <row r="1033" spans="1:33" x14ac:dyDescent="0.3">
      <c r="A1033" t="s">
        <v>865</v>
      </c>
      <c r="B1033" s="2">
        <v>45719</v>
      </c>
      <c r="C1033">
        <v>33.129600000000003</v>
      </c>
      <c r="D1033" t="s">
        <v>1812</v>
      </c>
      <c r="E1033">
        <v>22</v>
      </c>
      <c r="F1033" t="s">
        <v>9</v>
      </c>
      <c r="G1033" t="s">
        <v>1549</v>
      </c>
      <c r="H1033" t="s">
        <v>1746</v>
      </c>
      <c r="L1033" s="2">
        <v>45719</v>
      </c>
      <c r="M1033">
        <v>33.129600000000003</v>
      </c>
      <c r="R1033" t="s">
        <v>1812</v>
      </c>
      <c r="S1033">
        <v>33.129600000000003</v>
      </c>
      <c r="W1033" s="12" t="s">
        <v>9</v>
      </c>
      <c r="X1033" s="12" t="s">
        <v>1549</v>
      </c>
      <c r="Y1033">
        <v>33.129600000000003</v>
      </c>
      <c r="AF1033">
        <v>33.129600000000003</v>
      </c>
      <c r="AG1033" t="s">
        <v>1746</v>
      </c>
    </row>
    <row r="1034" spans="1:33" x14ac:dyDescent="0.3">
      <c r="A1034" t="s">
        <v>368</v>
      </c>
      <c r="B1034" s="2">
        <v>45250</v>
      </c>
      <c r="C1034">
        <v>1871.7185999999999</v>
      </c>
      <c r="D1034" t="s">
        <v>1812</v>
      </c>
      <c r="E1034">
        <v>53</v>
      </c>
      <c r="F1034" t="s">
        <v>16</v>
      </c>
      <c r="G1034" t="s">
        <v>1549</v>
      </c>
      <c r="H1034" t="s">
        <v>1742</v>
      </c>
      <c r="L1034" s="2">
        <v>45250</v>
      </c>
      <c r="M1034">
        <v>1871.7185999999999</v>
      </c>
      <c r="R1034" t="s">
        <v>1812</v>
      </c>
      <c r="S1034">
        <v>1871.7185999999999</v>
      </c>
      <c r="W1034" s="11" t="s">
        <v>16</v>
      </c>
      <c r="X1034" s="11" t="s">
        <v>1549</v>
      </c>
      <c r="Y1034">
        <v>1871.7185999999999</v>
      </c>
      <c r="AF1034">
        <v>1871.7185999999999</v>
      </c>
      <c r="AG1034" t="s">
        <v>1742</v>
      </c>
    </row>
    <row r="1035" spans="1:33" x14ac:dyDescent="0.3">
      <c r="A1035" t="s">
        <v>783</v>
      </c>
      <c r="B1035" s="2">
        <v>45479</v>
      </c>
      <c r="C1035">
        <v>356.18669999999997</v>
      </c>
      <c r="D1035" t="s">
        <v>1809</v>
      </c>
      <c r="E1035">
        <v>32</v>
      </c>
      <c r="F1035" t="s">
        <v>9</v>
      </c>
      <c r="G1035" t="s">
        <v>1527</v>
      </c>
      <c r="H1035" t="s">
        <v>1746</v>
      </c>
      <c r="L1035" s="2">
        <v>45479</v>
      </c>
      <c r="M1035">
        <v>356.18669999999997</v>
      </c>
      <c r="R1035" t="s">
        <v>1809</v>
      </c>
      <c r="S1035">
        <v>356.18669999999997</v>
      </c>
      <c r="W1035" s="12" t="s">
        <v>9</v>
      </c>
      <c r="X1035" s="12" t="s">
        <v>1527</v>
      </c>
      <c r="Y1035">
        <v>356.18669999999997</v>
      </c>
      <c r="AF1035">
        <v>356.18669999999997</v>
      </c>
      <c r="AG1035" t="s">
        <v>1746</v>
      </c>
    </row>
    <row r="1036" spans="1:33" x14ac:dyDescent="0.3">
      <c r="A1036" t="s">
        <v>328</v>
      </c>
      <c r="B1036" s="2">
        <v>45727</v>
      </c>
      <c r="C1036">
        <v>1230.9501</v>
      </c>
      <c r="D1036" t="s">
        <v>1809</v>
      </c>
      <c r="E1036">
        <v>28</v>
      </c>
      <c r="F1036" t="s">
        <v>16</v>
      </c>
      <c r="G1036" t="s">
        <v>1527</v>
      </c>
      <c r="H1036" t="s">
        <v>1742</v>
      </c>
      <c r="L1036" s="2">
        <v>45727</v>
      </c>
      <c r="M1036">
        <v>1230.9501</v>
      </c>
      <c r="R1036" t="s">
        <v>1809</v>
      </c>
      <c r="S1036">
        <v>1230.9501</v>
      </c>
      <c r="W1036" s="11" t="s">
        <v>16</v>
      </c>
      <c r="X1036" s="11" t="s">
        <v>1527</v>
      </c>
      <c r="Y1036">
        <v>1230.9501</v>
      </c>
      <c r="AF1036">
        <v>1230.9501</v>
      </c>
      <c r="AG1036" t="s">
        <v>1742</v>
      </c>
    </row>
    <row r="1037" spans="1:33" x14ac:dyDescent="0.3">
      <c r="A1037" t="s">
        <v>1139</v>
      </c>
      <c r="B1037" s="2">
        <v>45394</v>
      </c>
      <c r="C1037">
        <v>1489.8743999999999</v>
      </c>
      <c r="D1037" t="s">
        <v>1812</v>
      </c>
      <c r="E1037">
        <v>20</v>
      </c>
      <c r="F1037" t="s">
        <v>16</v>
      </c>
      <c r="G1037" t="s">
        <v>1549</v>
      </c>
      <c r="H1037" t="s">
        <v>1742</v>
      </c>
      <c r="L1037" s="2">
        <v>45394</v>
      </c>
      <c r="M1037">
        <v>1489.8743999999999</v>
      </c>
      <c r="R1037" t="s">
        <v>1812</v>
      </c>
      <c r="S1037">
        <v>1489.8743999999999</v>
      </c>
      <c r="W1037" s="12" t="s">
        <v>16</v>
      </c>
      <c r="X1037" s="12" t="s">
        <v>1549</v>
      </c>
      <c r="Y1037">
        <v>1489.8743999999999</v>
      </c>
      <c r="AF1037">
        <v>1489.8743999999999</v>
      </c>
      <c r="AG1037" t="s">
        <v>1742</v>
      </c>
    </row>
    <row r="1038" spans="1:33" x14ac:dyDescent="0.3">
      <c r="A1038" t="s">
        <v>877</v>
      </c>
      <c r="B1038" s="2">
        <v>45773</v>
      </c>
      <c r="C1038">
        <v>1818.3263999999999</v>
      </c>
      <c r="D1038" t="s">
        <v>1809</v>
      </c>
      <c r="E1038">
        <v>21</v>
      </c>
      <c r="F1038" t="s">
        <v>16</v>
      </c>
      <c r="G1038" t="s">
        <v>1530</v>
      </c>
      <c r="H1038" t="s">
        <v>1742</v>
      </c>
      <c r="L1038" s="2">
        <v>45773</v>
      </c>
      <c r="M1038">
        <v>1818.3263999999999</v>
      </c>
      <c r="R1038" t="s">
        <v>1809</v>
      </c>
      <c r="S1038">
        <v>1818.3263999999999</v>
      </c>
      <c r="W1038" s="11" t="s">
        <v>16</v>
      </c>
      <c r="X1038" s="11" t="s">
        <v>1530</v>
      </c>
      <c r="Y1038">
        <v>1818.3263999999999</v>
      </c>
      <c r="AF1038">
        <v>1818.3263999999999</v>
      </c>
      <c r="AG1038" t="s">
        <v>1742</v>
      </c>
    </row>
    <row r="1039" spans="1:33" x14ac:dyDescent="0.3">
      <c r="A1039" t="s">
        <v>528</v>
      </c>
      <c r="B1039" s="2">
        <v>45779</v>
      </c>
      <c r="C1039">
        <v>489.78199999999993</v>
      </c>
      <c r="D1039" t="s">
        <v>1807</v>
      </c>
      <c r="E1039">
        <v>41</v>
      </c>
      <c r="F1039" t="s">
        <v>16</v>
      </c>
      <c r="G1039" t="s">
        <v>1546</v>
      </c>
      <c r="H1039" t="s">
        <v>1746</v>
      </c>
      <c r="L1039" s="2">
        <v>45779</v>
      </c>
      <c r="M1039">
        <v>489.78199999999993</v>
      </c>
      <c r="R1039" t="s">
        <v>1807</v>
      </c>
      <c r="S1039">
        <v>489.78199999999993</v>
      </c>
      <c r="W1039" s="12" t="s">
        <v>16</v>
      </c>
      <c r="X1039" s="12" t="s">
        <v>1546</v>
      </c>
      <c r="Y1039">
        <v>489.78199999999993</v>
      </c>
      <c r="AF1039">
        <v>489.78199999999993</v>
      </c>
      <c r="AG1039" t="s">
        <v>1746</v>
      </c>
    </row>
    <row r="1040" spans="1:33" x14ac:dyDescent="0.3">
      <c r="A1040" t="s">
        <v>196</v>
      </c>
      <c r="B1040" s="2">
        <v>45400</v>
      </c>
      <c r="C1040">
        <v>509.14980000000008</v>
      </c>
      <c r="D1040" t="s">
        <v>1812</v>
      </c>
      <c r="E1040">
        <v>37</v>
      </c>
      <c r="F1040" t="s">
        <v>16</v>
      </c>
      <c r="G1040" t="s">
        <v>1530</v>
      </c>
      <c r="H1040" t="s">
        <v>1746</v>
      </c>
      <c r="L1040" s="2">
        <v>45400</v>
      </c>
      <c r="M1040">
        <v>509.14980000000008</v>
      </c>
      <c r="R1040" t="s">
        <v>1812</v>
      </c>
      <c r="S1040">
        <v>509.14980000000008</v>
      </c>
      <c r="W1040" s="11" t="s">
        <v>16</v>
      </c>
      <c r="X1040" s="11" t="s">
        <v>1530</v>
      </c>
      <c r="Y1040">
        <v>509.14980000000008</v>
      </c>
      <c r="AF1040">
        <v>509.14980000000008</v>
      </c>
      <c r="AG1040" t="s">
        <v>1746</v>
      </c>
    </row>
    <row r="1041" spans="1:33" x14ac:dyDescent="0.3">
      <c r="A1041" t="s">
        <v>516</v>
      </c>
      <c r="B1041" s="2">
        <v>45520</v>
      </c>
      <c r="C1041">
        <v>998.18729999999994</v>
      </c>
      <c r="D1041" t="s">
        <v>1809</v>
      </c>
      <c r="E1041">
        <v>46</v>
      </c>
      <c r="F1041" t="s">
        <v>9</v>
      </c>
      <c r="G1041" t="s">
        <v>1549</v>
      </c>
      <c r="H1041" t="s">
        <v>1742</v>
      </c>
      <c r="L1041" s="2">
        <v>45520</v>
      </c>
      <c r="M1041">
        <v>998.18729999999994</v>
      </c>
      <c r="R1041" t="s">
        <v>1809</v>
      </c>
      <c r="S1041">
        <v>998.18729999999994</v>
      </c>
      <c r="W1041" s="12" t="s">
        <v>9</v>
      </c>
      <c r="X1041" s="12" t="s">
        <v>1549</v>
      </c>
      <c r="Y1041">
        <v>998.18729999999994</v>
      </c>
      <c r="AF1041">
        <v>998.18729999999994</v>
      </c>
      <c r="AG1041" t="s">
        <v>1742</v>
      </c>
    </row>
    <row r="1042" spans="1:33" x14ac:dyDescent="0.3">
      <c r="A1042" t="s">
        <v>3933</v>
      </c>
      <c r="B1042" s="2">
        <v>45861</v>
      </c>
      <c r="C1042">
        <v>466.78170000000011</v>
      </c>
      <c r="D1042" t="s">
        <v>1809</v>
      </c>
      <c r="E1042">
        <v>59</v>
      </c>
      <c r="F1042" t="s">
        <v>16</v>
      </c>
      <c r="G1042" t="s">
        <v>1530</v>
      </c>
      <c r="H1042" t="s">
        <v>1742</v>
      </c>
      <c r="L1042" s="2">
        <v>45861</v>
      </c>
      <c r="M1042">
        <v>466.78170000000011</v>
      </c>
      <c r="R1042" t="s">
        <v>1809</v>
      </c>
      <c r="S1042">
        <v>466.78170000000011</v>
      </c>
      <c r="W1042" s="11" t="s">
        <v>16</v>
      </c>
      <c r="X1042" s="11" t="s">
        <v>1530</v>
      </c>
      <c r="Y1042">
        <v>466.78170000000011</v>
      </c>
      <c r="AF1042">
        <v>466.78170000000011</v>
      </c>
      <c r="AG1042" t="s">
        <v>1742</v>
      </c>
    </row>
    <row r="1043" spans="1:33" x14ac:dyDescent="0.3">
      <c r="A1043" t="s">
        <v>969</v>
      </c>
      <c r="B1043" s="2">
        <v>45781</v>
      </c>
      <c r="C1043">
        <v>698.76</v>
      </c>
      <c r="D1043" t="s">
        <v>1807</v>
      </c>
      <c r="E1043">
        <v>35</v>
      </c>
      <c r="F1043" t="s">
        <v>9</v>
      </c>
      <c r="G1043" t="s">
        <v>1549</v>
      </c>
      <c r="H1043" t="s">
        <v>1767</v>
      </c>
      <c r="L1043" s="2">
        <v>45781</v>
      </c>
      <c r="M1043">
        <v>698.76</v>
      </c>
      <c r="R1043" t="s">
        <v>1807</v>
      </c>
      <c r="S1043">
        <v>698.76</v>
      </c>
      <c r="W1043" s="12" t="s">
        <v>9</v>
      </c>
      <c r="X1043" s="12" t="s">
        <v>1549</v>
      </c>
      <c r="Y1043">
        <v>698.76</v>
      </c>
      <c r="AF1043">
        <v>698.76</v>
      </c>
      <c r="AG1043" t="s">
        <v>1767</v>
      </c>
    </row>
    <row r="1044" spans="1:33" x14ac:dyDescent="0.3">
      <c r="A1044" t="s">
        <v>563</v>
      </c>
      <c r="B1044" s="2">
        <v>45906</v>
      </c>
      <c r="C1044">
        <v>1988.568</v>
      </c>
      <c r="D1044" t="s">
        <v>1809</v>
      </c>
      <c r="E1044">
        <v>41</v>
      </c>
      <c r="F1044" t="s">
        <v>16</v>
      </c>
      <c r="G1044" t="s">
        <v>1530</v>
      </c>
      <c r="H1044" t="s">
        <v>1742</v>
      </c>
      <c r="L1044" s="2">
        <v>45906</v>
      </c>
      <c r="M1044">
        <v>1988.568</v>
      </c>
      <c r="R1044" t="s">
        <v>1809</v>
      </c>
      <c r="S1044">
        <v>1988.568</v>
      </c>
      <c r="W1044" s="11" t="s">
        <v>16</v>
      </c>
      <c r="X1044" s="11" t="s">
        <v>1530</v>
      </c>
      <c r="Y1044">
        <v>1988.568</v>
      </c>
      <c r="AF1044">
        <v>1988.568</v>
      </c>
      <c r="AG1044" t="s">
        <v>1742</v>
      </c>
    </row>
    <row r="1045" spans="1:33" x14ac:dyDescent="0.3">
      <c r="A1045" t="s">
        <v>374</v>
      </c>
      <c r="B1045" s="2">
        <v>45251</v>
      </c>
      <c r="C1045">
        <v>1177.0512000000001</v>
      </c>
      <c r="D1045" t="s">
        <v>1812</v>
      </c>
      <c r="E1045">
        <v>38</v>
      </c>
      <c r="F1045" t="s">
        <v>9</v>
      </c>
      <c r="G1045" t="s">
        <v>1530</v>
      </c>
      <c r="H1045" t="s">
        <v>1742</v>
      </c>
      <c r="L1045" s="2">
        <v>45251</v>
      </c>
      <c r="M1045">
        <v>1177.0512000000001</v>
      </c>
      <c r="R1045" t="s">
        <v>1812</v>
      </c>
      <c r="S1045">
        <v>1177.0512000000001</v>
      </c>
      <c r="W1045" s="12" t="s">
        <v>9</v>
      </c>
      <c r="X1045" s="12" t="s">
        <v>1530</v>
      </c>
      <c r="Y1045">
        <v>1177.0512000000001</v>
      </c>
      <c r="AF1045">
        <v>1177.0512000000001</v>
      </c>
      <c r="AG1045" t="s">
        <v>1742</v>
      </c>
    </row>
    <row r="1046" spans="1:33" x14ac:dyDescent="0.3">
      <c r="A1046" t="s">
        <v>200</v>
      </c>
      <c r="B1046" s="2">
        <v>45257</v>
      </c>
      <c r="C1046">
        <v>680.65200000000004</v>
      </c>
      <c r="D1046" t="s">
        <v>1812</v>
      </c>
      <c r="E1046">
        <v>24</v>
      </c>
      <c r="F1046" t="s">
        <v>9</v>
      </c>
      <c r="G1046" t="s">
        <v>1541</v>
      </c>
      <c r="H1046" t="s">
        <v>1742</v>
      </c>
      <c r="L1046" s="2">
        <v>45257</v>
      </c>
      <c r="M1046">
        <v>680.65200000000004</v>
      </c>
      <c r="R1046" t="s">
        <v>1812</v>
      </c>
      <c r="S1046">
        <v>680.65200000000004</v>
      </c>
      <c r="W1046" s="11" t="s">
        <v>9</v>
      </c>
      <c r="X1046" s="11" t="s">
        <v>1541</v>
      </c>
      <c r="Y1046">
        <v>680.65200000000004</v>
      </c>
      <c r="AF1046">
        <v>680.65200000000004</v>
      </c>
      <c r="AG1046" t="s">
        <v>1742</v>
      </c>
    </row>
    <row r="1047" spans="1:33" x14ac:dyDescent="0.3">
      <c r="A1047" t="s">
        <v>1517</v>
      </c>
      <c r="B1047" s="2">
        <v>45818</v>
      </c>
      <c r="C1047">
        <v>808.64189999999996</v>
      </c>
      <c r="D1047" t="s">
        <v>1807</v>
      </c>
      <c r="E1047" s="7">
        <v>27</v>
      </c>
      <c r="F1047" s="7" t="s">
        <v>16</v>
      </c>
      <c r="G1047" t="s">
        <v>1527</v>
      </c>
      <c r="H1047" t="s">
        <v>1746</v>
      </c>
      <c r="L1047" s="2">
        <v>45818</v>
      </c>
      <c r="M1047">
        <v>808.64189999999996</v>
      </c>
      <c r="R1047" t="s">
        <v>1807</v>
      </c>
      <c r="S1047">
        <v>808.64189999999996</v>
      </c>
      <c r="W1047" s="17" t="s">
        <v>16</v>
      </c>
      <c r="X1047" s="12" t="s">
        <v>1527</v>
      </c>
      <c r="Y1047">
        <v>808.64189999999996</v>
      </c>
      <c r="AF1047">
        <v>808.64189999999996</v>
      </c>
      <c r="AG1047" t="s">
        <v>1746</v>
      </c>
    </row>
    <row r="1048" spans="1:33" x14ac:dyDescent="0.3">
      <c r="A1048" t="s">
        <v>836</v>
      </c>
      <c r="B1048" s="2">
        <v>45806</v>
      </c>
      <c r="C1048">
        <v>150.76079999999999</v>
      </c>
      <c r="D1048" t="s">
        <v>1809</v>
      </c>
      <c r="E1048">
        <v>38</v>
      </c>
      <c r="F1048" t="s">
        <v>9</v>
      </c>
      <c r="G1048" t="s">
        <v>1527</v>
      </c>
      <c r="H1048" t="s">
        <v>1742</v>
      </c>
      <c r="L1048" s="2">
        <v>45806</v>
      </c>
      <c r="M1048">
        <v>150.76079999999999</v>
      </c>
      <c r="R1048" t="s">
        <v>1809</v>
      </c>
      <c r="S1048">
        <v>150.76079999999999</v>
      </c>
      <c r="W1048" s="11" t="s">
        <v>9</v>
      </c>
      <c r="X1048" s="11" t="s">
        <v>1527</v>
      </c>
      <c r="Y1048">
        <v>150.76079999999999</v>
      </c>
      <c r="AF1048">
        <v>150.76079999999999</v>
      </c>
      <c r="AG1048" t="s">
        <v>1742</v>
      </c>
    </row>
    <row r="1049" spans="1:33" x14ac:dyDescent="0.3">
      <c r="A1049" t="s">
        <v>200</v>
      </c>
      <c r="B1049" s="2">
        <v>45288</v>
      </c>
      <c r="C1049">
        <v>626.67989999999998</v>
      </c>
      <c r="D1049" t="s">
        <v>1807</v>
      </c>
      <c r="E1049">
        <v>24</v>
      </c>
      <c r="F1049" t="s">
        <v>9</v>
      </c>
      <c r="G1049" t="s">
        <v>1527</v>
      </c>
      <c r="H1049" t="s">
        <v>1746</v>
      </c>
      <c r="L1049" s="2">
        <v>45288</v>
      </c>
      <c r="M1049">
        <v>626.67989999999998</v>
      </c>
      <c r="R1049" t="s">
        <v>1807</v>
      </c>
      <c r="S1049">
        <v>626.67989999999998</v>
      </c>
      <c r="W1049" s="12" t="s">
        <v>9</v>
      </c>
      <c r="X1049" s="12" t="s">
        <v>1527</v>
      </c>
      <c r="Y1049">
        <v>626.67989999999998</v>
      </c>
      <c r="AF1049">
        <v>626.67989999999998</v>
      </c>
      <c r="AG1049" t="s">
        <v>1746</v>
      </c>
    </row>
    <row r="1050" spans="1:33" x14ac:dyDescent="0.3">
      <c r="A1050" t="s">
        <v>815</v>
      </c>
      <c r="B1050" s="2">
        <v>45783</v>
      </c>
      <c r="C1050">
        <v>116.39700000000001</v>
      </c>
      <c r="D1050" t="s">
        <v>1809</v>
      </c>
      <c r="E1050">
        <v>24</v>
      </c>
      <c r="F1050" t="s">
        <v>16</v>
      </c>
      <c r="G1050" t="s">
        <v>1549</v>
      </c>
      <c r="H1050" t="s">
        <v>1737</v>
      </c>
      <c r="L1050" s="2">
        <v>45783</v>
      </c>
      <c r="M1050">
        <v>116.39700000000001</v>
      </c>
      <c r="R1050" t="s">
        <v>1809</v>
      </c>
      <c r="S1050">
        <v>116.39700000000001</v>
      </c>
      <c r="W1050" s="11" t="s">
        <v>16</v>
      </c>
      <c r="X1050" s="11" t="s">
        <v>1549</v>
      </c>
      <c r="Y1050">
        <v>116.39700000000001</v>
      </c>
      <c r="AF1050">
        <v>116.39700000000001</v>
      </c>
      <c r="AG1050" t="s">
        <v>1737</v>
      </c>
    </row>
    <row r="1051" spans="1:33" x14ac:dyDescent="0.3">
      <c r="A1051" t="s">
        <v>1434</v>
      </c>
      <c r="B1051" s="2">
        <v>45385</v>
      </c>
      <c r="C1051">
        <v>3181.8919999999998</v>
      </c>
      <c r="D1051" t="s">
        <v>1809</v>
      </c>
      <c r="E1051">
        <v>42</v>
      </c>
      <c r="F1051" t="s">
        <v>9</v>
      </c>
      <c r="G1051" t="s">
        <v>1530</v>
      </c>
      <c r="H1051" t="s">
        <v>1742</v>
      </c>
      <c r="L1051" s="2">
        <v>45385</v>
      </c>
      <c r="M1051">
        <v>3181.8919999999998</v>
      </c>
      <c r="R1051" t="s">
        <v>1809</v>
      </c>
      <c r="S1051">
        <v>3181.8919999999998</v>
      </c>
      <c r="W1051" s="12" t="s">
        <v>9</v>
      </c>
      <c r="X1051" s="12" t="s">
        <v>1530</v>
      </c>
      <c r="Y1051">
        <v>3181.8919999999998</v>
      </c>
      <c r="AF1051">
        <v>3181.8919999999998</v>
      </c>
      <c r="AG1051" t="s">
        <v>1742</v>
      </c>
    </row>
    <row r="1052" spans="1:33" x14ac:dyDescent="0.3">
      <c r="A1052" t="s">
        <v>413</v>
      </c>
      <c r="B1052" s="2">
        <v>45878</v>
      </c>
      <c r="C1052">
        <v>127.3944</v>
      </c>
      <c r="D1052" t="s">
        <v>1812</v>
      </c>
      <c r="E1052">
        <v>62</v>
      </c>
      <c r="F1052" t="s">
        <v>9</v>
      </c>
      <c r="G1052" t="s">
        <v>1546</v>
      </c>
      <c r="H1052" t="s">
        <v>1742</v>
      </c>
      <c r="L1052" s="2">
        <v>45878</v>
      </c>
      <c r="M1052">
        <v>127.3944</v>
      </c>
      <c r="R1052" t="s">
        <v>1812</v>
      </c>
      <c r="S1052">
        <v>127.3944</v>
      </c>
      <c r="W1052" s="11" t="s">
        <v>9</v>
      </c>
      <c r="X1052" s="11" t="s">
        <v>1546</v>
      </c>
      <c r="Y1052">
        <v>127.3944</v>
      </c>
      <c r="AF1052">
        <v>127.3944</v>
      </c>
      <c r="AG1052" t="s">
        <v>1742</v>
      </c>
    </row>
    <row r="1053" spans="1:33" x14ac:dyDescent="0.3">
      <c r="A1053" t="s">
        <v>1517</v>
      </c>
      <c r="B1053" s="2">
        <v>45720</v>
      </c>
      <c r="C1053">
        <v>2826.5160000000001</v>
      </c>
      <c r="D1053" t="s">
        <v>1809</v>
      </c>
      <c r="E1053" s="7">
        <v>27</v>
      </c>
      <c r="F1053" s="7" t="s">
        <v>16</v>
      </c>
      <c r="G1053" t="s">
        <v>1549</v>
      </c>
      <c r="H1053" t="s">
        <v>1767</v>
      </c>
      <c r="L1053" s="2">
        <v>45720</v>
      </c>
      <c r="M1053">
        <v>2826.5160000000001</v>
      </c>
      <c r="R1053" t="s">
        <v>1809</v>
      </c>
      <c r="S1053">
        <v>2826.5160000000001</v>
      </c>
      <c r="W1053" s="17" t="s">
        <v>16</v>
      </c>
      <c r="X1053" s="12" t="s">
        <v>1549</v>
      </c>
      <c r="Y1053">
        <v>2826.5160000000001</v>
      </c>
      <c r="AF1053">
        <v>2826.5160000000001</v>
      </c>
      <c r="AG1053" t="s">
        <v>1767</v>
      </c>
    </row>
    <row r="1054" spans="1:33" x14ac:dyDescent="0.3">
      <c r="A1054" t="s">
        <v>1145</v>
      </c>
      <c r="B1054" s="2">
        <v>45503</v>
      </c>
      <c r="C1054">
        <v>1542.1751999999999</v>
      </c>
      <c r="D1054" t="s">
        <v>1809</v>
      </c>
      <c r="E1054">
        <v>21</v>
      </c>
      <c r="F1054" t="s">
        <v>16</v>
      </c>
      <c r="G1054" t="s">
        <v>1546</v>
      </c>
      <c r="H1054" t="s">
        <v>1742</v>
      </c>
      <c r="L1054" s="2">
        <v>45503</v>
      </c>
      <c r="M1054">
        <v>1542.1751999999999</v>
      </c>
      <c r="R1054" t="s">
        <v>1809</v>
      </c>
      <c r="S1054">
        <v>1542.1751999999999</v>
      </c>
      <c r="W1054" s="11" t="s">
        <v>16</v>
      </c>
      <c r="X1054" s="11" t="s">
        <v>1546</v>
      </c>
      <c r="Y1054">
        <v>1542.1751999999999</v>
      </c>
      <c r="AF1054">
        <v>1542.1751999999999</v>
      </c>
      <c r="AG1054" t="s">
        <v>1742</v>
      </c>
    </row>
    <row r="1055" spans="1:33" x14ac:dyDescent="0.3">
      <c r="A1055" t="s">
        <v>1175</v>
      </c>
      <c r="B1055" s="2">
        <v>45551</v>
      </c>
      <c r="C1055">
        <v>467.77280000000002</v>
      </c>
      <c r="D1055" t="s">
        <v>1807</v>
      </c>
      <c r="E1055">
        <v>50</v>
      </c>
      <c r="F1055" t="s">
        <v>9</v>
      </c>
      <c r="G1055" t="s">
        <v>1549</v>
      </c>
      <c r="H1055" t="s">
        <v>1742</v>
      </c>
      <c r="L1055" s="2">
        <v>45551</v>
      </c>
      <c r="M1055">
        <v>467.77280000000002</v>
      </c>
      <c r="R1055" t="s">
        <v>1807</v>
      </c>
      <c r="S1055">
        <v>467.77280000000002</v>
      </c>
      <c r="W1055" s="12" t="s">
        <v>9</v>
      </c>
      <c r="X1055" s="12" t="s">
        <v>1549</v>
      </c>
      <c r="Y1055">
        <v>467.77280000000002</v>
      </c>
      <c r="AF1055">
        <v>467.77280000000002</v>
      </c>
      <c r="AG1055" t="s">
        <v>1742</v>
      </c>
    </row>
    <row r="1056" spans="1:33" x14ac:dyDescent="0.3">
      <c r="A1056" t="s">
        <v>1340</v>
      </c>
      <c r="B1056" s="2">
        <v>45850</v>
      </c>
      <c r="C1056">
        <v>1413.93</v>
      </c>
      <c r="D1056" t="s">
        <v>1809</v>
      </c>
      <c r="E1056">
        <v>59</v>
      </c>
      <c r="F1056" t="s">
        <v>16</v>
      </c>
      <c r="G1056" t="s">
        <v>1527</v>
      </c>
      <c r="H1056" t="s">
        <v>1742</v>
      </c>
      <c r="L1056" s="2">
        <v>45850</v>
      </c>
      <c r="M1056">
        <v>1413.93</v>
      </c>
      <c r="R1056" t="s">
        <v>1809</v>
      </c>
      <c r="S1056">
        <v>1413.93</v>
      </c>
      <c r="W1056" s="11" t="s">
        <v>16</v>
      </c>
      <c r="X1056" s="11" t="s">
        <v>1527</v>
      </c>
      <c r="Y1056">
        <v>1413.93</v>
      </c>
      <c r="AF1056">
        <v>1413.93</v>
      </c>
      <c r="AG1056" t="s">
        <v>1742</v>
      </c>
    </row>
    <row r="1057" spans="1:33" x14ac:dyDescent="0.3">
      <c r="A1057" t="s">
        <v>1416</v>
      </c>
      <c r="B1057" s="2">
        <v>45441</v>
      </c>
      <c r="C1057">
        <v>1066.0735999999999</v>
      </c>
      <c r="D1057" t="s">
        <v>1807</v>
      </c>
      <c r="E1057">
        <v>28</v>
      </c>
      <c r="F1057" t="s">
        <v>16</v>
      </c>
      <c r="G1057" t="s">
        <v>1546</v>
      </c>
      <c r="H1057" t="s">
        <v>1742</v>
      </c>
      <c r="L1057" s="2">
        <v>45441</v>
      </c>
      <c r="M1057">
        <v>1066.0735999999999</v>
      </c>
      <c r="R1057" t="s">
        <v>1807</v>
      </c>
      <c r="S1057">
        <v>1066.0735999999999</v>
      </c>
      <c r="W1057" s="12" t="s">
        <v>16</v>
      </c>
      <c r="X1057" s="12" t="s">
        <v>1546</v>
      </c>
      <c r="Y1057">
        <v>1066.0735999999999</v>
      </c>
      <c r="AF1057">
        <v>1066.0735999999999</v>
      </c>
      <c r="AG1057" t="s">
        <v>1742</v>
      </c>
    </row>
    <row r="1058" spans="1:33" x14ac:dyDescent="0.3">
      <c r="A1058" t="s">
        <v>273</v>
      </c>
      <c r="B1058" s="2">
        <v>45431</v>
      </c>
      <c r="C1058">
        <v>355.71519999999998</v>
      </c>
      <c r="D1058" t="s">
        <v>1812</v>
      </c>
      <c r="E1058">
        <v>37</v>
      </c>
      <c r="F1058" t="s">
        <v>9</v>
      </c>
      <c r="G1058" t="s">
        <v>1541</v>
      </c>
      <c r="H1058" t="s">
        <v>1742</v>
      </c>
      <c r="L1058" s="2">
        <v>45431</v>
      </c>
      <c r="M1058">
        <v>355.71519999999998</v>
      </c>
      <c r="R1058" t="s">
        <v>1812</v>
      </c>
      <c r="S1058">
        <v>355.71519999999998</v>
      </c>
      <c r="W1058" s="11" t="s">
        <v>9</v>
      </c>
      <c r="X1058" s="11" t="s">
        <v>1541</v>
      </c>
      <c r="Y1058">
        <v>355.71519999999998</v>
      </c>
      <c r="AF1058">
        <v>355.71519999999998</v>
      </c>
      <c r="AG1058" t="s">
        <v>1742</v>
      </c>
    </row>
    <row r="1059" spans="1:33" x14ac:dyDescent="0.3">
      <c r="A1059" t="s">
        <v>245</v>
      </c>
      <c r="B1059" s="2">
        <v>45873</v>
      </c>
      <c r="C1059">
        <v>2404.6821</v>
      </c>
      <c r="D1059" t="s">
        <v>1812</v>
      </c>
      <c r="E1059">
        <v>24</v>
      </c>
      <c r="F1059" t="s">
        <v>16</v>
      </c>
      <c r="G1059" t="s">
        <v>1527</v>
      </c>
      <c r="H1059" t="s">
        <v>1742</v>
      </c>
      <c r="L1059" s="2">
        <v>45873</v>
      </c>
      <c r="M1059">
        <v>2404.6821</v>
      </c>
      <c r="R1059" t="s">
        <v>1812</v>
      </c>
      <c r="S1059">
        <v>2404.6821</v>
      </c>
      <c r="W1059" s="12" t="s">
        <v>16</v>
      </c>
      <c r="X1059" s="12" t="s">
        <v>1527</v>
      </c>
      <c r="Y1059">
        <v>2404.6821</v>
      </c>
      <c r="AF1059">
        <v>2404.6821</v>
      </c>
      <c r="AG1059" t="s">
        <v>1742</v>
      </c>
    </row>
    <row r="1060" spans="1:33" x14ac:dyDescent="0.3">
      <c r="A1060" t="s">
        <v>1353</v>
      </c>
      <c r="B1060" s="2">
        <v>45629</v>
      </c>
      <c r="C1060">
        <v>606.73080000000004</v>
      </c>
      <c r="D1060" t="s">
        <v>1809</v>
      </c>
      <c r="E1060">
        <v>51</v>
      </c>
      <c r="F1060" t="s">
        <v>9</v>
      </c>
      <c r="G1060" t="s">
        <v>1530</v>
      </c>
      <c r="H1060" t="s">
        <v>1767</v>
      </c>
      <c r="L1060" s="2">
        <v>45629</v>
      </c>
      <c r="M1060">
        <v>606.73080000000004</v>
      </c>
      <c r="R1060" t="s">
        <v>1809</v>
      </c>
      <c r="S1060">
        <v>606.73080000000004</v>
      </c>
      <c r="W1060" s="11" t="s">
        <v>9</v>
      </c>
      <c r="X1060" s="11" t="s">
        <v>1530</v>
      </c>
      <c r="Y1060">
        <v>606.73080000000004</v>
      </c>
      <c r="AF1060">
        <v>606.73080000000004</v>
      </c>
      <c r="AG1060" t="s">
        <v>1767</v>
      </c>
    </row>
    <row r="1061" spans="1:33" x14ac:dyDescent="0.3">
      <c r="A1061" t="s">
        <v>49</v>
      </c>
      <c r="B1061" s="2">
        <v>45222</v>
      </c>
      <c r="C1061">
        <v>1173.508</v>
      </c>
      <c r="D1061" t="s">
        <v>1807</v>
      </c>
      <c r="E1061">
        <v>53</v>
      </c>
      <c r="F1061" t="s">
        <v>9</v>
      </c>
      <c r="G1061" t="s">
        <v>1527</v>
      </c>
      <c r="H1061" t="s">
        <v>1742</v>
      </c>
      <c r="L1061" s="2">
        <v>45222</v>
      </c>
      <c r="M1061">
        <v>1173.508</v>
      </c>
      <c r="R1061" t="s">
        <v>1807</v>
      </c>
      <c r="S1061">
        <v>1173.508</v>
      </c>
      <c r="W1061" s="12" t="s">
        <v>9</v>
      </c>
      <c r="X1061" s="12" t="s">
        <v>1527</v>
      </c>
      <c r="Y1061">
        <v>1173.508</v>
      </c>
      <c r="AF1061">
        <v>1173.508</v>
      </c>
      <c r="AG1061" t="s">
        <v>1742</v>
      </c>
    </row>
    <row r="1062" spans="1:33" x14ac:dyDescent="0.3">
      <c r="A1062" t="s">
        <v>632</v>
      </c>
      <c r="B1062" s="2">
        <v>45797</v>
      </c>
      <c r="C1062">
        <v>1191.6812</v>
      </c>
      <c r="D1062" t="s">
        <v>1807</v>
      </c>
      <c r="E1062">
        <v>60</v>
      </c>
      <c r="F1062" t="s">
        <v>9</v>
      </c>
      <c r="G1062" t="s">
        <v>1527</v>
      </c>
      <c r="H1062" t="s">
        <v>1742</v>
      </c>
      <c r="L1062" s="2">
        <v>45797</v>
      </c>
      <c r="M1062">
        <v>1191.6812</v>
      </c>
      <c r="R1062" t="s">
        <v>1807</v>
      </c>
      <c r="S1062">
        <v>1191.6812</v>
      </c>
      <c r="W1062" s="11" t="s">
        <v>9</v>
      </c>
      <c r="X1062" s="11" t="s">
        <v>1527</v>
      </c>
      <c r="Y1062">
        <v>1191.6812</v>
      </c>
      <c r="AF1062">
        <v>1191.6812</v>
      </c>
      <c r="AG1062" t="s">
        <v>1742</v>
      </c>
    </row>
    <row r="1063" spans="1:33" x14ac:dyDescent="0.3">
      <c r="A1063" t="s">
        <v>1175</v>
      </c>
      <c r="B1063" s="2">
        <v>45554</v>
      </c>
      <c r="C1063">
        <v>955.01519999999994</v>
      </c>
      <c r="D1063" t="s">
        <v>1809</v>
      </c>
      <c r="E1063">
        <v>50</v>
      </c>
      <c r="F1063" t="s">
        <v>9</v>
      </c>
      <c r="G1063" t="s">
        <v>1549</v>
      </c>
      <c r="H1063" t="s">
        <v>1746</v>
      </c>
      <c r="L1063" s="2">
        <v>45554</v>
      </c>
      <c r="M1063">
        <v>955.01519999999994</v>
      </c>
      <c r="R1063" t="s">
        <v>1809</v>
      </c>
      <c r="S1063">
        <v>955.01519999999994</v>
      </c>
      <c r="W1063" s="12" t="s">
        <v>9</v>
      </c>
      <c r="X1063" s="12" t="s">
        <v>1549</v>
      </c>
      <c r="Y1063">
        <v>955.01519999999994</v>
      </c>
      <c r="AF1063">
        <v>955.01519999999994</v>
      </c>
      <c r="AG1063" t="s">
        <v>1746</v>
      </c>
    </row>
    <row r="1064" spans="1:33" x14ac:dyDescent="0.3">
      <c r="A1064" t="s">
        <v>368</v>
      </c>
      <c r="B1064" s="2">
        <v>45385</v>
      </c>
      <c r="C1064">
        <v>1690.3040000000001</v>
      </c>
      <c r="D1064" t="s">
        <v>1809</v>
      </c>
      <c r="E1064">
        <v>53</v>
      </c>
      <c r="F1064" t="s">
        <v>16</v>
      </c>
      <c r="G1064" t="s">
        <v>1549</v>
      </c>
      <c r="H1064" t="s">
        <v>1742</v>
      </c>
      <c r="L1064" s="2">
        <v>45385</v>
      </c>
      <c r="M1064">
        <v>1690.3040000000001</v>
      </c>
      <c r="R1064" t="s">
        <v>1809</v>
      </c>
      <c r="S1064">
        <v>1690.3040000000001</v>
      </c>
      <c r="W1064" s="11" t="s">
        <v>16</v>
      </c>
      <c r="X1064" s="11" t="s">
        <v>1549</v>
      </c>
      <c r="Y1064">
        <v>1690.3040000000001</v>
      </c>
      <c r="AF1064">
        <v>1690.3040000000001</v>
      </c>
      <c r="AG1064" t="s">
        <v>1742</v>
      </c>
    </row>
    <row r="1065" spans="1:33" x14ac:dyDescent="0.3">
      <c r="A1065" t="s">
        <v>711</v>
      </c>
      <c r="B1065" s="2">
        <v>45704</v>
      </c>
      <c r="C1065">
        <v>136.5984</v>
      </c>
      <c r="D1065" t="s">
        <v>1812</v>
      </c>
      <c r="E1065">
        <v>35</v>
      </c>
      <c r="F1065" t="s">
        <v>9</v>
      </c>
      <c r="G1065" t="s">
        <v>1546</v>
      </c>
      <c r="H1065" t="s">
        <v>1746</v>
      </c>
      <c r="L1065" s="2">
        <v>45704</v>
      </c>
      <c r="M1065">
        <v>136.5984</v>
      </c>
      <c r="R1065" t="s">
        <v>1812</v>
      </c>
      <c r="S1065">
        <v>136.5984</v>
      </c>
      <c r="W1065" s="12" t="s">
        <v>9</v>
      </c>
      <c r="X1065" s="12" t="s">
        <v>1546</v>
      </c>
      <c r="Y1065">
        <v>136.5984</v>
      </c>
      <c r="AF1065">
        <v>136.5984</v>
      </c>
      <c r="AG1065" t="s">
        <v>1746</v>
      </c>
    </row>
    <row r="1066" spans="1:33" x14ac:dyDescent="0.3">
      <c r="A1066" t="s">
        <v>1145</v>
      </c>
      <c r="B1066" s="2">
        <v>45545</v>
      </c>
      <c r="C1066">
        <v>1270.7460000000001</v>
      </c>
      <c r="D1066" t="s">
        <v>1809</v>
      </c>
      <c r="E1066">
        <v>21</v>
      </c>
      <c r="F1066" t="s">
        <v>16</v>
      </c>
      <c r="G1066" t="s">
        <v>1527</v>
      </c>
      <c r="H1066" t="s">
        <v>1742</v>
      </c>
      <c r="L1066" s="2">
        <v>45545</v>
      </c>
      <c r="M1066">
        <v>1270.7460000000001</v>
      </c>
      <c r="R1066" t="s">
        <v>1809</v>
      </c>
      <c r="S1066">
        <v>1270.7460000000001</v>
      </c>
      <c r="W1066" s="11" t="s">
        <v>16</v>
      </c>
      <c r="X1066" s="11" t="s">
        <v>1527</v>
      </c>
      <c r="Y1066">
        <v>1270.7460000000001</v>
      </c>
      <c r="AF1066">
        <v>1270.7460000000001</v>
      </c>
      <c r="AG1066" t="s">
        <v>1742</v>
      </c>
    </row>
    <row r="1067" spans="1:33" x14ac:dyDescent="0.3">
      <c r="A1067" t="s">
        <v>101</v>
      </c>
      <c r="B1067" s="2">
        <v>45736</v>
      </c>
      <c r="C1067">
        <v>1968.6941999999999</v>
      </c>
      <c r="D1067" t="s">
        <v>1809</v>
      </c>
      <c r="E1067">
        <v>40</v>
      </c>
      <c r="F1067" t="s">
        <v>9</v>
      </c>
      <c r="G1067" t="s">
        <v>1546</v>
      </c>
      <c r="H1067" t="s">
        <v>1742</v>
      </c>
      <c r="L1067" s="2">
        <v>45736</v>
      </c>
      <c r="M1067">
        <v>1968.6941999999999</v>
      </c>
      <c r="R1067" t="s">
        <v>1809</v>
      </c>
      <c r="S1067">
        <v>1968.6941999999999</v>
      </c>
      <c r="W1067" s="12" t="s">
        <v>9</v>
      </c>
      <c r="X1067" s="12" t="s">
        <v>1546</v>
      </c>
      <c r="Y1067">
        <v>1968.6941999999999</v>
      </c>
      <c r="AF1067">
        <v>1968.6941999999999</v>
      </c>
      <c r="AG1067" t="s">
        <v>1742</v>
      </c>
    </row>
    <row r="1068" spans="1:33" x14ac:dyDescent="0.3">
      <c r="A1068" t="s">
        <v>1293</v>
      </c>
      <c r="B1068" s="2">
        <v>45608</v>
      </c>
      <c r="C1068">
        <v>809.04560000000004</v>
      </c>
      <c r="D1068" t="s">
        <v>1807</v>
      </c>
      <c r="E1068">
        <v>42</v>
      </c>
      <c r="F1068" t="s">
        <v>16</v>
      </c>
      <c r="G1068" t="s">
        <v>1527</v>
      </c>
      <c r="H1068" t="s">
        <v>1742</v>
      </c>
      <c r="L1068" s="2">
        <v>45608</v>
      </c>
      <c r="M1068">
        <v>809.04560000000004</v>
      </c>
      <c r="R1068" t="s">
        <v>1807</v>
      </c>
      <c r="S1068">
        <v>809.04560000000004</v>
      </c>
      <c r="W1068" s="11" t="s">
        <v>16</v>
      </c>
      <c r="X1068" s="11" t="s">
        <v>1527</v>
      </c>
      <c r="Y1068">
        <v>809.04560000000004</v>
      </c>
      <c r="AF1068">
        <v>809.04560000000004</v>
      </c>
      <c r="AG1068" t="s">
        <v>1742</v>
      </c>
    </row>
    <row r="1069" spans="1:33" x14ac:dyDescent="0.3">
      <c r="A1069" t="s">
        <v>1084</v>
      </c>
      <c r="B1069" s="2">
        <v>45334</v>
      </c>
      <c r="C1069">
        <v>144.9624</v>
      </c>
      <c r="D1069" t="s">
        <v>1809</v>
      </c>
      <c r="E1069">
        <v>26</v>
      </c>
      <c r="F1069" t="s">
        <v>9</v>
      </c>
      <c r="G1069" t="s">
        <v>1546</v>
      </c>
      <c r="H1069" t="s">
        <v>1742</v>
      </c>
      <c r="L1069" s="2">
        <v>45334</v>
      </c>
      <c r="M1069">
        <v>144.9624</v>
      </c>
      <c r="R1069" t="s">
        <v>1809</v>
      </c>
      <c r="S1069">
        <v>144.9624</v>
      </c>
      <c r="W1069" s="12" t="s">
        <v>9</v>
      </c>
      <c r="X1069" s="12" t="s">
        <v>1546</v>
      </c>
      <c r="Y1069">
        <v>144.9624</v>
      </c>
      <c r="AF1069">
        <v>144.9624</v>
      </c>
      <c r="AG1069" t="s">
        <v>1742</v>
      </c>
    </row>
    <row r="1070" spans="1:33" x14ac:dyDescent="0.3">
      <c r="A1070" t="s">
        <v>228</v>
      </c>
      <c r="B1070" s="2">
        <v>45690</v>
      </c>
      <c r="C1070">
        <v>1018.668</v>
      </c>
      <c r="D1070" t="s">
        <v>1812</v>
      </c>
      <c r="E1070">
        <v>51</v>
      </c>
      <c r="F1070" t="s">
        <v>9</v>
      </c>
      <c r="G1070" t="s">
        <v>1530</v>
      </c>
      <c r="H1070" t="s">
        <v>1746</v>
      </c>
      <c r="L1070" s="2">
        <v>45690</v>
      </c>
      <c r="M1070">
        <v>1018.668</v>
      </c>
      <c r="R1070" t="s">
        <v>1812</v>
      </c>
      <c r="S1070">
        <v>1018.668</v>
      </c>
      <c r="W1070" s="11" t="s">
        <v>9</v>
      </c>
      <c r="X1070" s="11" t="s">
        <v>1530</v>
      </c>
      <c r="Y1070">
        <v>1018.668</v>
      </c>
      <c r="AF1070">
        <v>1018.668</v>
      </c>
      <c r="AG1070" t="s">
        <v>1746</v>
      </c>
    </row>
    <row r="1071" spans="1:33" x14ac:dyDescent="0.3">
      <c r="A1071" t="s">
        <v>540</v>
      </c>
      <c r="B1071" s="2">
        <v>45481</v>
      </c>
      <c r="C1071">
        <v>2468.4387000000002</v>
      </c>
      <c r="D1071" t="s">
        <v>1807</v>
      </c>
      <c r="E1071">
        <v>39</v>
      </c>
      <c r="F1071" t="s">
        <v>16</v>
      </c>
      <c r="G1071" t="s">
        <v>1546</v>
      </c>
      <c r="H1071" t="s">
        <v>1746</v>
      </c>
      <c r="L1071" s="2">
        <v>45481</v>
      </c>
      <c r="M1071">
        <v>2468.4387000000002</v>
      </c>
      <c r="R1071" t="s">
        <v>1807</v>
      </c>
      <c r="S1071">
        <v>2468.4387000000002</v>
      </c>
      <c r="W1071" s="12" t="s">
        <v>16</v>
      </c>
      <c r="X1071" s="12" t="s">
        <v>1546</v>
      </c>
      <c r="Y1071">
        <v>2468.4387000000002</v>
      </c>
      <c r="AF1071">
        <v>2468.4387000000002</v>
      </c>
      <c r="AG1071" t="s">
        <v>1746</v>
      </c>
    </row>
    <row r="1072" spans="1:33" x14ac:dyDescent="0.3">
      <c r="A1072" t="s">
        <v>504</v>
      </c>
      <c r="B1072" s="2">
        <v>45576</v>
      </c>
      <c r="C1072">
        <v>2278.3208</v>
      </c>
      <c r="D1072" t="s">
        <v>1812</v>
      </c>
      <c r="E1072">
        <v>41</v>
      </c>
      <c r="F1072" t="s">
        <v>16</v>
      </c>
      <c r="G1072" t="s">
        <v>1549</v>
      </c>
      <c r="H1072" t="s">
        <v>1746</v>
      </c>
      <c r="L1072" s="2">
        <v>45576</v>
      </c>
      <c r="M1072">
        <v>2278.3208</v>
      </c>
      <c r="R1072" t="s">
        <v>1812</v>
      </c>
      <c r="S1072">
        <v>2278.3208</v>
      </c>
      <c r="W1072" s="11" t="s">
        <v>16</v>
      </c>
      <c r="X1072" s="11" t="s">
        <v>1549</v>
      </c>
      <c r="Y1072">
        <v>2278.3208</v>
      </c>
      <c r="AF1072">
        <v>2278.3208</v>
      </c>
      <c r="AG1072" t="s">
        <v>1746</v>
      </c>
    </row>
    <row r="1073" spans="1:33" x14ac:dyDescent="0.3">
      <c r="A1073" t="s">
        <v>722</v>
      </c>
      <c r="B1073" s="2">
        <v>45215</v>
      </c>
      <c r="C1073">
        <v>2291.6432</v>
      </c>
      <c r="D1073" t="s">
        <v>1807</v>
      </c>
      <c r="E1073">
        <v>54</v>
      </c>
      <c r="F1073" t="s">
        <v>9</v>
      </c>
      <c r="G1073" t="s">
        <v>1541</v>
      </c>
      <c r="H1073" t="s">
        <v>1746</v>
      </c>
      <c r="L1073" s="2">
        <v>45215</v>
      </c>
      <c r="M1073">
        <v>2291.6432</v>
      </c>
      <c r="R1073" t="s">
        <v>1807</v>
      </c>
      <c r="S1073">
        <v>2291.6432</v>
      </c>
      <c r="W1073" s="12" t="s">
        <v>9</v>
      </c>
      <c r="X1073" s="12" t="s">
        <v>1541</v>
      </c>
      <c r="Y1073">
        <v>2291.6432</v>
      </c>
      <c r="AF1073">
        <v>2291.6432</v>
      </c>
      <c r="AG1073" t="s">
        <v>1746</v>
      </c>
    </row>
    <row r="1074" spans="1:33" x14ac:dyDescent="0.3">
      <c r="A1074" t="s">
        <v>641</v>
      </c>
      <c r="B1074" s="2">
        <v>45653</v>
      </c>
      <c r="C1074">
        <v>64.895600000000002</v>
      </c>
      <c r="D1074" t="s">
        <v>1807</v>
      </c>
      <c r="E1074">
        <v>54</v>
      </c>
      <c r="F1074" t="s">
        <v>9</v>
      </c>
      <c r="G1074" t="s">
        <v>1527</v>
      </c>
      <c r="H1074" t="s">
        <v>1767</v>
      </c>
      <c r="L1074" s="2">
        <v>45653</v>
      </c>
      <c r="M1074">
        <v>64.895600000000002</v>
      </c>
      <c r="R1074" t="s">
        <v>1807</v>
      </c>
      <c r="S1074">
        <v>64.895600000000002</v>
      </c>
      <c r="W1074" s="11" t="s">
        <v>9</v>
      </c>
      <c r="X1074" s="11" t="s">
        <v>1527</v>
      </c>
      <c r="Y1074">
        <v>64.895600000000002</v>
      </c>
      <c r="AF1074">
        <v>64.895600000000002</v>
      </c>
      <c r="AG1074" t="s">
        <v>1767</v>
      </c>
    </row>
    <row r="1075" spans="1:33" x14ac:dyDescent="0.3">
      <c r="A1075" t="s">
        <v>1049</v>
      </c>
      <c r="B1075" s="2">
        <v>45241</v>
      </c>
      <c r="C1075">
        <v>1266.356</v>
      </c>
      <c r="D1075" t="s">
        <v>1812</v>
      </c>
      <c r="E1075">
        <v>46</v>
      </c>
      <c r="F1075" t="s">
        <v>16</v>
      </c>
      <c r="G1075" t="s">
        <v>1541</v>
      </c>
      <c r="H1075" t="s">
        <v>1742</v>
      </c>
      <c r="L1075" s="2">
        <v>45241</v>
      </c>
      <c r="M1075">
        <v>1266.356</v>
      </c>
      <c r="R1075" t="s">
        <v>1812</v>
      </c>
      <c r="S1075">
        <v>1266.356</v>
      </c>
      <c r="W1075" s="12" t="s">
        <v>16</v>
      </c>
      <c r="X1075" s="12" t="s">
        <v>1541</v>
      </c>
      <c r="Y1075">
        <v>1266.356</v>
      </c>
      <c r="AF1075">
        <v>1266.356</v>
      </c>
      <c r="AG1075" t="s">
        <v>1742</v>
      </c>
    </row>
    <row r="1076" spans="1:33" x14ac:dyDescent="0.3">
      <c r="A1076" t="s">
        <v>1124</v>
      </c>
      <c r="B1076" s="2">
        <v>45428</v>
      </c>
      <c r="C1076">
        <v>991.26239999999996</v>
      </c>
      <c r="D1076" t="s">
        <v>1812</v>
      </c>
      <c r="E1076">
        <v>58</v>
      </c>
      <c r="F1076" t="s">
        <v>9</v>
      </c>
      <c r="G1076" t="s">
        <v>1530</v>
      </c>
      <c r="H1076" t="s">
        <v>1746</v>
      </c>
      <c r="L1076" s="2">
        <v>45428</v>
      </c>
      <c r="M1076">
        <v>991.26239999999996</v>
      </c>
      <c r="R1076" t="s">
        <v>1812</v>
      </c>
      <c r="S1076">
        <v>991.26239999999996</v>
      </c>
      <c r="W1076" s="11" t="s">
        <v>9</v>
      </c>
      <c r="X1076" s="11" t="s">
        <v>1530</v>
      </c>
      <c r="Y1076">
        <v>991.26239999999996</v>
      </c>
      <c r="AF1076">
        <v>991.26239999999996</v>
      </c>
      <c r="AG1076" t="s">
        <v>1746</v>
      </c>
    </row>
    <row r="1077" spans="1:33" x14ac:dyDescent="0.3">
      <c r="A1077" t="s">
        <v>943</v>
      </c>
      <c r="B1077" s="2">
        <v>45593</v>
      </c>
      <c r="C1077">
        <v>1742.0255999999999</v>
      </c>
      <c r="D1077" t="s">
        <v>1809</v>
      </c>
      <c r="E1077">
        <v>36</v>
      </c>
      <c r="F1077" t="s">
        <v>9</v>
      </c>
      <c r="G1077" t="s">
        <v>1527</v>
      </c>
      <c r="H1077" t="s">
        <v>1742</v>
      </c>
      <c r="L1077" s="2">
        <v>45593</v>
      </c>
      <c r="M1077">
        <v>1742.0255999999999</v>
      </c>
      <c r="R1077" t="s">
        <v>1809</v>
      </c>
      <c r="S1077">
        <v>1742.0255999999999</v>
      </c>
      <c r="W1077" s="12" t="s">
        <v>9</v>
      </c>
      <c r="X1077" s="12" t="s">
        <v>1527</v>
      </c>
      <c r="Y1077">
        <v>1742.0255999999999</v>
      </c>
      <c r="AF1077">
        <v>1742.0255999999999</v>
      </c>
      <c r="AG1077" t="s">
        <v>1742</v>
      </c>
    </row>
    <row r="1078" spans="1:33" x14ac:dyDescent="0.3">
      <c r="A1078" t="s">
        <v>3936</v>
      </c>
      <c r="B1078" s="2">
        <v>45370</v>
      </c>
      <c r="C1078">
        <v>1628.1702</v>
      </c>
      <c r="D1078" t="s">
        <v>1812</v>
      </c>
      <c r="E1078">
        <v>55</v>
      </c>
      <c r="F1078" t="s">
        <v>16</v>
      </c>
      <c r="G1078" t="s">
        <v>1527</v>
      </c>
      <c r="H1078" t="s">
        <v>1742</v>
      </c>
      <c r="L1078" s="2">
        <v>45370</v>
      </c>
      <c r="M1078">
        <v>1628.1702</v>
      </c>
      <c r="R1078" t="s">
        <v>1812</v>
      </c>
      <c r="S1078">
        <v>1628.1702</v>
      </c>
      <c r="W1078" s="11" t="s">
        <v>16</v>
      </c>
      <c r="X1078" s="11" t="s">
        <v>1527</v>
      </c>
      <c r="Y1078">
        <v>1628.1702</v>
      </c>
      <c r="AF1078">
        <v>1628.1702</v>
      </c>
      <c r="AG1078" t="s">
        <v>1742</v>
      </c>
    </row>
    <row r="1079" spans="1:33" x14ac:dyDescent="0.3">
      <c r="A1079" t="s">
        <v>466</v>
      </c>
      <c r="B1079" s="2">
        <v>45882</v>
      </c>
      <c r="C1079">
        <v>1518.6335999999999</v>
      </c>
      <c r="D1079" t="s">
        <v>1812</v>
      </c>
      <c r="E1079">
        <v>32</v>
      </c>
      <c r="F1079" t="s">
        <v>9</v>
      </c>
      <c r="G1079" t="s">
        <v>1541</v>
      </c>
      <c r="H1079" t="s">
        <v>1742</v>
      </c>
      <c r="L1079" s="2">
        <v>45882</v>
      </c>
      <c r="M1079">
        <v>1518.6335999999999</v>
      </c>
      <c r="R1079" t="s">
        <v>1812</v>
      </c>
      <c r="S1079">
        <v>1518.6335999999999</v>
      </c>
      <c r="W1079" s="12" t="s">
        <v>9</v>
      </c>
      <c r="X1079" s="12" t="s">
        <v>1541</v>
      </c>
      <c r="Y1079">
        <v>1518.6335999999999</v>
      </c>
      <c r="AF1079">
        <v>1518.6335999999999</v>
      </c>
      <c r="AG1079" t="s">
        <v>1742</v>
      </c>
    </row>
    <row r="1080" spans="1:33" x14ac:dyDescent="0.3">
      <c r="A1080" t="s">
        <v>1273</v>
      </c>
      <c r="B1080" s="2">
        <v>45878</v>
      </c>
      <c r="C1080">
        <v>646.29599999999994</v>
      </c>
      <c r="D1080" t="s">
        <v>1807</v>
      </c>
      <c r="E1080">
        <v>26</v>
      </c>
      <c r="F1080" t="s">
        <v>16</v>
      </c>
      <c r="G1080" t="s">
        <v>1546</v>
      </c>
      <c r="H1080" t="s">
        <v>1742</v>
      </c>
      <c r="L1080" s="2">
        <v>45878</v>
      </c>
      <c r="M1080">
        <v>646.29599999999994</v>
      </c>
      <c r="R1080" t="s">
        <v>1807</v>
      </c>
      <c r="S1080">
        <v>646.29599999999994</v>
      </c>
      <c r="W1080" s="11" t="s">
        <v>16</v>
      </c>
      <c r="X1080" s="11" t="s">
        <v>1546</v>
      </c>
      <c r="Y1080">
        <v>646.29599999999994</v>
      </c>
      <c r="AF1080">
        <v>646.29599999999994</v>
      </c>
      <c r="AG1080" t="s">
        <v>1742</v>
      </c>
    </row>
    <row r="1081" spans="1:33" x14ac:dyDescent="0.3">
      <c r="A1081" t="s">
        <v>1025</v>
      </c>
      <c r="B1081" s="2">
        <v>45420</v>
      </c>
      <c r="C1081">
        <v>197.7336</v>
      </c>
      <c r="D1081" t="s">
        <v>1812</v>
      </c>
      <c r="E1081">
        <v>54</v>
      </c>
      <c r="F1081" t="s">
        <v>9</v>
      </c>
      <c r="G1081" t="s">
        <v>1546</v>
      </c>
      <c r="H1081" t="s">
        <v>1742</v>
      </c>
      <c r="L1081" s="2">
        <v>45420</v>
      </c>
      <c r="M1081">
        <v>197.7336</v>
      </c>
      <c r="R1081" t="s">
        <v>1812</v>
      </c>
      <c r="S1081">
        <v>197.7336</v>
      </c>
      <c r="W1081" s="12" t="s">
        <v>9</v>
      </c>
      <c r="X1081" s="12" t="s">
        <v>1546</v>
      </c>
      <c r="Y1081">
        <v>197.7336</v>
      </c>
      <c r="AF1081">
        <v>197.7336</v>
      </c>
      <c r="AG1081" t="s">
        <v>1742</v>
      </c>
    </row>
    <row r="1082" spans="1:33" x14ac:dyDescent="0.3">
      <c r="A1082" t="s">
        <v>193</v>
      </c>
      <c r="B1082" s="2">
        <v>45361</v>
      </c>
      <c r="C1082">
        <v>433.77199999999999</v>
      </c>
      <c r="D1082" t="s">
        <v>1807</v>
      </c>
      <c r="E1082">
        <v>55</v>
      </c>
      <c r="F1082" t="s">
        <v>9</v>
      </c>
      <c r="G1082" t="s">
        <v>1549</v>
      </c>
      <c r="H1082" t="s">
        <v>1742</v>
      </c>
      <c r="L1082" s="2">
        <v>45361</v>
      </c>
      <c r="M1082">
        <v>433.77199999999999</v>
      </c>
      <c r="R1082" t="s">
        <v>1807</v>
      </c>
      <c r="S1082">
        <v>433.77199999999999</v>
      </c>
      <c r="W1082" s="11" t="s">
        <v>9</v>
      </c>
      <c r="X1082" s="11" t="s">
        <v>1549</v>
      </c>
      <c r="Y1082">
        <v>433.77199999999999</v>
      </c>
      <c r="AF1082">
        <v>433.77199999999999</v>
      </c>
      <c r="AG1082" t="s">
        <v>1742</v>
      </c>
    </row>
    <row r="1083" spans="1:33" x14ac:dyDescent="0.3">
      <c r="A1083" t="s">
        <v>1285</v>
      </c>
      <c r="B1083" s="2">
        <v>45702</v>
      </c>
      <c r="C1083">
        <v>721.8211</v>
      </c>
      <c r="D1083" t="s">
        <v>1807</v>
      </c>
      <c r="E1083">
        <v>33</v>
      </c>
      <c r="F1083" t="s">
        <v>9</v>
      </c>
      <c r="G1083" t="s">
        <v>1549</v>
      </c>
      <c r="H1083" t="s">
        <v>1742</v>
      </c>
      <c r="L1083" s="2">
        <v>45702</v>
      </c>
      <c r="M1083">
        <v>721.8211</v>
      </c>
      <c r="R1083" t="s">
        <v>1807</v>
      </c>
      <c r="S1083">
        <v>721.8211</v>
      </c>
      <c r="W1083" s="12" t="s">
        <v>9</v>
      </c>
      <c r="X1083" s="12" t="s">
        <v>1549</v>
      </c>
      <c r="Y1083">
        <v>721.8211</v>
      </c>
      <c r="AF1083">
        <v>721.8211</v>
      </c>
      <c r="AG1083" t="s">
        <v>1742</v>
      </c>
    </row>
    <row r="1084" spans="1:33" x14ac:dyDescent="0.3">
      <c r="A1084" t="s">
        <v>943</v>
      </c>
      <c r="B1084" s="2">
        <v>45871</v>
      </c>
      <c r="C1084">
        <v>1267.6251</v>
      </c>
      <c r="D1084" t="s">
        <v>1809</v>
      </c>
      <c r="E1084">
        <v>36</v>
      </c>
      <c r="F1084" t="s">
        <v>9</v>
      </c>
      <c r="G1084" t="s">
        <v>1541</v>
      </c>
      <c r="H1084" t="s">
        <v>1742</v>
      </c>
      <c r="L1084" s="2">
        <v>45871</v>
      </c>
      <c r="M1084">
        <v>1267.6251</v>
      </c>
      <c r="R1084" t="s">
        <v>1809</v>
      </c>
      <c r="S1084">
        <v>1267.6251</v>
      </c>
      <c r="W1084" s="11" t="s">
        <v>9</v>
      </c>
      <c r="X1084" s="11" t="s">
        <v>1541</v>
      </c>
      <c r="Y1084">
        <v>1267.6251</v>
      </c>
      <c r="AF1084">
        <v>1267.6251</v>
      </c>
      <c r="AG1084" t="s">
        <v>1742</v>
      </c>
    </row>
    <row r="1085" spans="1:33" x14ac:dyDescent="0.3">
      <c r="A1085" t="s">
        <v>1190</v>
      </c>
      <c r="B1085" s="2">
        <v>45531</v>
      </c>
      <c r="C1085">
        <v>603.54259999999988</v>
      </c>
      <c r="D1085" t="s">
        <v>1809</v>
      </c>
      <c r="E1085">
        <v>18</v>
      </c>
      <c r="F1085" t="s">
        <v>16</v>
      </c>
      <c r="G1085" t="s">
        <v>1527</v>
      </c>
      <c r="H1085" t="s">
        <v>1742</v>
      </c>
      <c r="L1085" s="2">
        <v>45531</v>
      </c>
      <c r="M1085">
        <v>603.54259999999988</v>
      </c>
      <c r="R1085" t="s">
        <v>1809</v>
      </c>
      <c r="S1085">
        <v>603.54259999999988</v>
      </c>
      <c r="W1085" s="12" t="s">
        <v>16</v>
      </c>
      <c r="X1085" s="12" t="s">
        <v>1527</v>
      </c>
      <c r="Y1085">
        <v>603.54259999999988</v>
      </c>
      <c r="AF1085">
        <v>603.54259999999988</v>
      </c>
      <c r="AG1085" t="s">
        <v>1742</v>
      </c>
    </row>
    <row r="1086" spans="1:33" x14ac:dyDescent="0.3">
      <c r="A1086" t="s">
        <v>3946</v>
      </c>
      <c r="B1086" s="2">
        <v>45330</v>
      </c>
      <c r="C1086">
        <v>1251.5072</v>
      </c>
      <c r="D1086" t="s">
        <v>1809</v>
      </c>
      <c r="E1086">
        <v>55</v>
      </c>
      <c r="F1086" t="s">
        <v>9</v>
      </c>
      <c r="G1086" t="s">
        <v>1541</v>
      </c>
      <c r="H1086" t="s">
        <v>1742</v>
      </c>
      <c r="L1086" s="2">
        <v>45330</v>
      </c>
      <c r="M1086">
        <v>1251.5072</v>
      </c>
      <c r="R1086" t="s">
        <v>1809</v>
      </c>
      <c r="S1086">
        <v>1251.5072</v>
      </c>
      <c r="W1086" s="11" t="s">
        <v>9</v>
      </c>
      <c r="X1086" s="11" t="s">
        <v>1541</v>
      </c>
      <c r="Y1086">
        <v>1251.5072</v>
      </c>
      <c r="AF1086">
        <v>1251.5072</v>
      </c>
      <c r="AG1086" t="s">
        <v>1742</v>
      </c>
    </row>
    <row r="1087" spans="1:33" x14ac:dyDescent="0.3">
      <c r="A1087" t="s">
        <v>1485</v>
      </c>
      <c r="B1087" s="2">
        <v>45311</v>
      </c>
      <c r="C1087">
        <v>895.68809999999996</v>
      </c>
      <c r="D1087" t="s">
        <v>1809</v>
      </c>
      <c r="E1087">
        <v>42</v>
      </c>
      <c r="F1087" t="s">
        <v>16</v>
      </c>
      <c r="G1087" t="s">
        <v>1546</v>
      </c>
      <c r="H1087" t="s">
        <v>1742</v>
      </c>
      <c r="L1087" s="2">
        <v>45311</v>
      </c>
      <c r="M1087">
        <v>895.68809999999996</v>
      </c>
      <c r="R1087" t="s">
        <v>1809</v>
      </c>
      <c r="S1087">
        <v>895.68809999999996</v>
      </c>
      <c r="W1087" s="12" t="s">
        <v>16</v>
      </c>
      <c r="X1087" s="12" t="s">
        <v>1546</v>
      </c>
      <c r="Y1087">
        <v>895.68809999999996</v>
      </c>
      <c r="AF1087">
        <v>895.68809999999996</v>
      </c>
      <c r="AG1087" t="s">
        <v>1742</v>
      </c>
    </row>
    <row r="1088" spans="1:33" x14ac:dyDescent="0.3">
      <c r="A1088" t="s">
        <v>898</v>
      </c>
      <c r="B1088" s="2">
        <v>45567</v>
      </c>
      <c r="C1088">
        <v>946.53000000000009</v>
      </c>
      <c r="D1088" t="s">
        <v>1809</v>
      </c>
      <c r="E1088">
        <v>22</v>
      </c>
      <c r="F1088" t="s">
        <v>9</v>
      </c>
      <c r="G1088" t="s">
        <v>1549</v>
      </c>
      <c r="H1088" t="s">
        <v>1742</v>
      </c>
      <c r="L1088" s="2">
        <v>45567</v>
      </c>
      <c r="M1088">
        <v>946.53000000000009</v>
      </c>
      <c r="R1088" t="s">
        <v>1809</v>
      </c>
      <c r="S1088">
        <v>946.53000000000009</v>
      </c>
      <c r="W1088" s="11" t="s">
        <v>9</v>
      </c>
      <c r="X1088" s="11" t="s">
        <v>1549</v>
      </c>
      <c r="Y1088">
        <v>946.53000000000009</v>
      </c>
      <c r="AF1088">
        <v>946.53000000000009</v>
      </c>
      <c r="AG1088" t="s">
        <v>1742</v>
      </c>
    </row>
    <row r="1089" spans="1:33" x14ac:dyDescent="0.3">
      <c r="A1089" t="s">
        <v>1175</v>
      </c>
      <c r="B1089" s="2">
        <v>45239</v>
      </c>
      <c r="C1089">
        <v>1787.3469</v>
      </c>
      <c r="D1089" t="s">
        <v>1812</v>
      </c>
      <c r="E1089">
        <v>50</v>
      </c>
      <c r="F1089" t="s">
        <v>9</v>
      </c>
      <c r="G1089" t="s">
        <v>1546</v>
      </c>
      <c r="H1089" t="s">
        <v>1742</v>
      </c>
      <c r="L1089" s="2">
        <v>45239</v>
      </c>
      <c r="M1089">
        <v>1787.3469</v>
      </c>
      <c r="R1089" t="s">
        <v>1812</v>
      </c>
      <c r="S1089">
        <v>1787.3469</v>
      </c>
      <c r="W1089" s="12" t="s">
        <v>9</v>
      </c>
      <c r="X1089" s="12" t="s">
        <v>1546</v>
      </c>
      <c r="Y1089">
        <v>1787.3469</v>
      </c>
      <c r="AF1089">
        <v>1787.3469</v>
      </c>
      <c r="AG1089" t="s">
        <v>1742</v>
      </c>
    </row>
    <row r="1090" spans="1:33" x14ac:dyDescent="0.3">
      <c r="A1090" t="s">
        <v>798</v>
      </c>
      <c r="B1090" s="2">
        <v>45284</v>
      </c>
      <c r="C1090">
        <v>528.3066</v>
      </c>
      <c r="D1090" t="s">
        <v>1807</v>
      </c>
      <c r="E1090">
        <v>26</v>
      </c>
      <c r="F1090" t="s">
        <v>9</v>
      </c>
      <c r="G1090" t="s">
        <v>1527</v>
      </c>
      <c r="H1090" t="s">
        <v>1742</v>
      </c>
      <c r="L1090" s="2">
        <v>45284</v>
      </c>
      <c r="M1090">
        <v>528.3066</v>
      </c>
      <c r="R1090" t="s">
        <v>1807</v>
      </c>
      <c r="S1090">
        <v>528.3066</v>
      </c>
      <c r="W1090" s="11" t="s">
        <v>9</v>
      </c>
      <c r="X1090" s="11" t="s">
        <v>1527</v>
      </c>
      <c r="Y1090">
        <v>528.3066</v>
      </c>
      <c r="AF1090">
        <v>528.3066</v>
      </c>
      <c r="AG1090" t="s">
        <v>1742</v>
      </c>
    </row>
    <row r="1091" spans="1:33" x14ac:dyDescent="0.3">
      <c r="A1091" t="s">
        <v>153</v>
      </c>
      <c r="B1091" s="2">
        <v>45686</v>
      </c>
      <c r="C1091">
        <v>305.94240000000002</v>
      </c>
      <c r="D1091" t="s">
        <v>1812</v>
      </c>
      <c r="E1091">
        <v>50</v>
      </c>
      <c r="F1091" t="s">
        <v>9</v>
      </c>
      <c r="G1091" t="s">
        <v>1546</v>
      </c>
      <c r="H1091" t="s">
        <v>1742</v>
      </c>
      <c r="L1091" s="2">
        <v>45686</v>
      </c>
      <c r="M1091">
        <v>305.94240000000002</v>
      </c>
      <c r="R1091" t="s">
        <v>1812</v>
      </c>
      <c r="S1091">
        <v>305.94240000000002</v>
      </c>
      <c r="W1091" s="12" t="s">
        <v>9</v>
      </c>
      <c r="X1091" s="12" t="s">
        <v>1546</v>
      </c>
      <c r="Y1091">
        <v>305.94240000000002</v>
      </c>
      <c r="AF1091">
        <v>305.94240000000002</v>
      </c>
      <c r="AG1091" t="s">
        <v>1742</v>
      </c>
    </row>
    <row r="1092" spans="1:33" x14ac:dyDescent="0.3">
      <c r="A1092" t="s">
        <v>1013</v>
      </c>
      <c r="B1092" s="2">
        <v>45824</v>
      </c>
      <c r="C1092">
        <v>1369.6744000000001</v>
      </c>
      <c r="D1092" t="s">
        <v>1809</v>
      </c>
      <c r="E1092">
        <v>58</v>
      </c>
      <c r="F1092" t="s">
        <v>16</v>
      </c>
      <c r="G1092" t="s">
        <v>1541</v>
      </c>
      <c r="H1092" t="s">
        <v>1742</v>
      </c>
      <c r="L1092" s="2">
        <v>45824</v>
      </c>
      <c r="M1092">
        <v>1369.6744000000001</v>
      </c>
      <c r="R1092" t="s">
        <v>1809</v>
      </c>
      <c r="S1092">
        <v>1369.6744000000001</v>
      </c>
      <c r="W1092" s="11" t="s">
        <v>16</v>
      </c>
      <c r="X1092" s="11" t="s">
        <v>1541</v>
      </c>
      <c r="Y1092">
        <v>1369.6744000000001</v>
      </c>
      <c r="AF1092">
        <v>1369.6744000000001</v>
      </c>
      <c r="AG1092" t="s">
        <v>1742</v>
      </c>
    </row>
    <row r="1093" spans="1:33" x14ac:dyDescent="0.3">
      <c r="A1093" t="s">
        <v>809</v>
      </c>
      <c r="B1093" s="2">
        <v>45867</v>
      </c>
      <c r="C1093">
        <v>1228.4412</v>
      </c>
      <c r="D1093" t="s">
        <v>1807</v>
      </c>
      <c r="E1093">
        <v>57</v>
      </c>
      <c r="F1093" t="s">
        <v>9</v>
      </c>
      <c r="G1093" t="s">
        <v>1549</v>
      </c>
      <c r="H1093" t="s">
        <v>1742</v>
      </c>
      <c r="L1093" s="2">
        <v>45867</v>
      </c>
      <c r="M1093">
        <v>1228.4412</v>
      </c>
      <c r="R1093" t="s">
        <v>1807</v>
      </c>
      <c r="S1093">
        <v>1228.4412</v>
      </c>
      <c r="W1093" s="12" t="s">
        <v>9</v>
      </c>
      <c r="X1093" s="12" t="s">
        <v>1549</v>
      </c>
      <c r="Y1093">
        <v>1228.4412</v>
      </c>
      <c r="AF1093">
        <v>1228.4412</v>
      </c>
      <c r="AG1093" t="s">
        <v>1742</v>
      </c>
    </row>
    <row r="1094" spans="1:33" x14ac:dyDescent="0.3">
      <c r="A1094" t="s">
        <v>3942</v>
      </c>
      <c r="B1094" s="2">
        <v>45578</v>
      </c>
      <c r="C1094">
        <v>1896.72</v>
      </c>
      <c r="D1094" t="s">
        <v>1809</v>
      </c>
      <c r="E1094">
        <v>48</v>
      </c>
      <c r="F1094" t="s">
        <v>16</v>
      </c>
      <c r="G1094" t="s">
        <v>1546</v>
      </c>
      <c r="H1094" t="s">
        <v>1742</v>
      </c>
      <c r="L1094" s="2">
        <v>45578</v>
      </c>
      <c r="M1094">
        <v>1896.72</v>
      </c>
      <c r="R1094" t="s">
        <v>1809</v>
      </c>
      <c r="S1094">
        <v>1896.72</v>
      </c>
      <c r="W1094" s="11" t="s">
        <v>16</v>
      </c>
      <c r="X1094" s="11" t="s">
        <v>1546</v>
      </c>
      <c r="Y1094">
        <v>1896.72</v>
      </c>
      <c r="AF1094">
        <v>1896.72</v>
      </c>
      <c r="AG1094" t="s">
        <v>1742</v>
      </c>
    </row>
    <row r="1095" spans="1:33" x14ac:dyDescent="0.3">
      <c r="A1095" t="s">
        <v>534</v>
      </c>
      <c r="B1095" s="2">
        <v>45575</v>
      </c>
      <c r="C1095">
        <v>1386.2428</v>
      </c>
      <c r="D1095" t="s">
        <v>1809</v>
      </c>
      <c r="E1095">
        <v>37</v>
      </c>
      <c r="F1095" t="s">
        <v>9</v>
      </c>
      <c r="G1095" t="s">
        <v>1527</v>
      </c>
      <c r="H1095" t="s">
        <v>1742</v>
      </c>
      <c r="L1095" s="2">
        <v>45575</v>
      </c>
      <c r="M1095">
        <v>1386.2428</v>
      </c>
      <c r="R1095" t="s">
        <v>1809</v>
      </c>
      <c r="S1095">
        <v>1386.2428</v>
      </c>
      <c r="W1095" s="12" t="s">
        <v>9</v>
      </c>
      <c r="X1095" s="12" t="s">
        <v>1527</v>
      </c>
      <c r="Y1095">
        <v>1386.2428</v>
      </c>
      <c r="AF1095">
        <v>1386.2428</v>
      </c>
      <c r="AG1095" t="s">
        <v>1742</v>
      </c>
    </row>
    <row r="1096" spans="1:33" x14ac:dyDescent="0.3">
      <c r="A1096" t="s">
        <v>1511</v>
      </c>
      <c r="B1096" s="2">
        <v>45816</v>
      </c>
      <c r="C1096">
        <v>478.03019999999998</v>
      </c>
      <c r="D1096" t="s">
        <v>1807</v>
      </c>
      <c r="E1096">
        <v>35</v>
      </c>
      <c r="F1096" t="s">
        <v>9</v>
      </c>
      <c r="G1096" t="s">
        <v>1527</v>
      </c>
      <c r="H1096" t="s">
        <v>1742</v>
      </c>
      <c r="L1096" s="2">
        <v>45816</v>
      </c>
      <c r="M1096">
        <v>478.03019999999998</v>
      </c>
      <c r="R1096" t="s">
        <v>1807</v>
      </c>
      <c r="S1096">
        <v>478.03019999999998</v>
      </c>
      <c r="W1096" s="11" t="s">
        <v>9</v>
      </c>
      <c r="X1096" s="11" t="s">
        <v>1527</v>
      </c>
      <c r="Y1096">
        <v>478.03019999999998</v>
      </c>
      <c r="AF1096">
        <v>478.03019999999998</v>
      </c>
      <c r="AG1096" t="s">
        <v>1742</v>
      </c>
    </row>
    <row r="1097" spans="1:33" x14ac:dyDescent="0.3">
      <c r="A1097" t="s">
        <v>798</v>
      </c>
      <c r="B1097" s="2">
        <v>45620</v>
      </c>
      <c r="C1097">
        <v>671.89779999999996</v>
      </c>
      <c r="D1097" t="s">
        <v>1812</v>
      </c>
      <c r="E1097">
        <v>26</v>
      </c>
      <c r="F1097" t="s">
        <v>9</v>
      </c>
      <c r="G1097" t="s">
        <v>1527</v>
      </c>
      <c r="H1097" t="s">
        <v>1742</v>
      </c>
      <c r="L1097" s="2">
        <v>45620</v>
      </c>
      <c r="M1097">
        <v>671.89779999999996</v>
      </c>
      <c r="R1097" t="s">
        <v>1812</v>
      </c>
      <c r="S1097">
        <v>671.89779999999996</v>
      </c>
      <c r="W1097" s="12" t="s">
        <v>9</v>
      </c>
      <c r="X1097" s="12" t="s">
        <v>1527</v>
      </c>
      <c r="Y1097">
        <v>671.89779999999996</v>
      </c>
      <c r="AF1097">
        <v>671.89779999999996</v>
      </c>
      <c r="AG1097" t="s">
        <v>1742</v>
      </c>
    </row>
    <row r="1098" spans="1:33" x14ac:dyDescent="0.3">
      <c r="A1098" t="s">
        <v>843</v>
      </c>
      <c r="B1098" s="2">
        <v>45695</v>
      </c>
      <c r="C1098">
        <v>91.402000000000001</v>
      </c>
      <c r="D1098" t="s">
        <v>1812</v>
      </c>
      <c r="E1098">
        <v>18</v>
      </c>
      <c r="F1098" t="s">
        <v>9</v>
      </c>
      <c r="G1098" t="s">
        <v>1549</v>
      </c>
      <c r="H1098" t="s">
        <v>1742</v>
      </c>
      <c r="L1098" s="2">
        <v>45695</v>
      </c>
      <c r="M1098">
        <v>91.402000000000001</v>
      </c>
      <c r="R1098" t="s">
        <v>1812</v>
      </c>
      <c r="S1098">
        <v>91.402000000000001</v>
      </c>
      <c r="W1098" s="11" t="s">
        <v>9</v>
      </c>
      <c r="X1098" s="11" t="s">
        <v>1549</v>
      </c>
      <c r="Y1098">
        <v>91.402000000000001</v>
      </c>
      <c r="AF1098">
        <v>91.402000000000001</v>
      </c>
      <c r="AG1098" t="s">
        <v>1742</v>
      </c>
    </row>
    <row r="1099" spans="1:33" x14ac:dyDescent="0.3">
      <c r="A1099" t="s">
        <v>259</v>
      </c>
      <c r="B1099" s="2">
        <v>45596</v>
      </c>
      <c r="C1099">
        <v>591.58360000000005</v>
      </c>
      <c r="D1099" t="s">
        <v>1812</v>
      </c>
      <c r="E1099">
        <v>39</v>
      </c>
      <c r="F1099" t="s">
        <v>16</v>
      </c>
      <c r="G1099" t="s">
        <v>1546</v>
      </c>
      <c r="H1099" t="s">
        <v>1742</v>
      </c>
      <c r="L1099" s="2">
        <v>45596</v>
      </c>
      <c r="M1099">
        <v>591.58360000000005</v>
      </c>
      <c r="R1099" t="s">
        <v>1812</v>
      </c>
      <c r="S1099">
        <v>591.58360000000005</v>
      </c>
      <c r="W1099" s="12" t="s">
        <v>16</v>
      </c>
      <c r="X1099" s="12" t="s">
        <v>1546</v>
      </c>
      <c r="Y1099">
        <v>591.58360000000005</v>
      </c>
      <c r="AF1099">
        <v>591.58360000000005</v>
      </c>
      <c r="AG1099" t="s">
        <v>1742</v>
      </c>
    </row>
    <row r="1100" spans="1:33" x14ac:dyDescent="0.3">
      <c r="A1100" t="s">
        <v>1465</v>
      </c>
      <c r="B1100" s="2">
        <v>45869</v>
      </c>
      <c r="C1100">
        <v>566.42039999999997</v>
      </c>
      <c r="D1100" t="s">
        <v>1812</v>
      </c>
      <c r="E1100">
        <v>26</v>
      </c>
      <c r="F1100" t="s">
        <v>9</v>
      </c>
      <c r="G1100" t="s">
        <v>1546</v>
      </c>
      <c r="H1100" t="s">
        <v>1742</v>
      </c>
      <c r="L1100" s="2">
        <v>45869</v>
      </c>
      <c r="M1100">
        <v>566.42039999999997</v>
      </c>
      <c r="R1100" t="s">
        <v>1812</v>
      </c>
      <c r="S1100">
        <v>566.42039999999997</v>
      </c>
      <c r="W1100" s="11" t="s">
        <v>9</v>
      </c>
      <c r="X1100" s="11" t="s">
        <v>1546</v>
      </c>
      <c r="Y1100">
        <v>566.42039999999997</v>
      </c>
      <c r="AF1100">
        <v>566.42039999999997</v>
      </c>
      <c r="AG1100" t="s">
        <v>1742</v>
      </c>
    </row>
    <row r="1101" spans="1:33" x14ac:dyDescent="0.3">
      <c r="A1101" t="s">
        <v>1428</v>
      </c>
      <c r="B1101" s="2">
        <v>45631</v>
      </c>
      <c r="C1101">
        <v>674.63560000000007</v>
      </c>
      <c r="D1101" t="s">
        <v>1812</v>
      </c>
      <c r="E1101">
        <v>19</v>
      </c>
      <c r="F1101" t="s">
        <v>9</v>
      </c>
      <c r="G1101" t="s">
        <v>1530</v>
      </c>
      <c r="H1101" t="s">
        <v>1742</v>
      </c>
      <c r="L1101" s="2">
        <v>45631</v>
      </c>
      <c r="M1101">
        <v>674.63560000000007</v>
      </c>
      <c r="R1101" t="s">
        <v>1812</v>
      </c>
      <c r="S1101">
        <v>674.63560000000007</v>
      </c>
      <c r="W1101" s="12" t="s">
        <v>9</v>
      </c>
      <c r="X1101" s="12" t="s">
        <v>1530</v>
      </c>
      <c r="Y1101">
        <v>674.63560000000007</v>
      </c>
      <c r="AF1101">
        <v>674.63560000000007</v>
      </c>
      <c r="AG1101" t="s">
        <v>1742</v>
      </c>
    </row>
    <row r="1102" spans="1:33" x14ac:dyDescent="0.3">
      <c r="A1102" t="s">
        <v>821</v>
      </c>
      <c r="B1102" s="2">
        <v>45379</v>
      </c>
      <c r="C1102">
        <v>155.22720000000001</v>
      </c>
      <c r="D1102" t="s">
        <v>1812</v>
      </c>
      <c r="E1102">
        <v>63</v>
      </c>
      <c r="F1102" t="s">
        <v>16</v>
      </c>
      <c r="G1102" t="s">
        <v>1549</v>
      </c>
      <c r="H1102" t="s">
        <v>1742</v>
      </c>
      <c r="L1102" s="2">
        <v>45379</v>
      </c>
      <c r="M1102">
        <v>155.22720000000001</v>
      </c>
      <c r="R1102" t="s">
        <v>1812</v>
      </c>
      <c r="S1102">
        <v>155.22720000000001</v>
      </c>
      <c r="W1102" s="11" t="s">
        <v>16</v>
      </c>
      <c r="X1102" s="11" t="s">
        <v>1549</v>
      </c>
      <c r="Y1102">
        <v>155.22720000000001</v>
      </c>
      <c r="AF1102">
        <v>155.22720000000001</v>
      </c>
      <c r="AG1102" t="s">
        <v>1742</v>
      </c>
    </row>
    <row r="1103" spans="1:33" x14ac:dyDescent="0.3">
      <c r="A1103" t="s">
        <v>383</v>
      </c>
      <c r="B1103" s="2">
        <v>45641</v>
      </c>
      <c r="C1103">
        <v>817.21080000000006</v>
      </c>
      <c r="D1103" t="s">
        <v>1812</v>
      </c>
      <c r="E1103">
        <v>18</v>
      </c>
      <c r="F1103" t="s">
        <v>16</v>
      </c>
      <c r="G1103" t="s">
        <v>1527</v>
      </c>
      <c r="H1103" t="s">
        <v>1742</v>
      </c>
      <c r="L1103" s="2">
        <v>45641</v>
      </c>
      <c r="M1103">
        <v>817.21080000000006</v>
      </c>
      <c r="R1103" t="s">
        <v>1812</v>
      </c>
      <c r="S1103">
        <v>817.21080000000006</v>
      </c>
      <c r="W1103" s="12" t="s">
        <v>16</v>
      </c>
      <c r="X1103" s="12" t="s">
        <v>1527</v>
      </c>
      <c r="Y1103">
        <v>817.21080000000006</v>
      </c>
      <c r="AF1103">
        <v>817.21080000000006</v>
      </c>
      <c r="AG1103" t="s">
        <v>1742</v>
      </c>
    </row>
    <row r="1104" spans="1:33" x14ac:dyDescent="0.3">
      <c r="A1104" t="s">
        <v>474</v>
      </c>
      <c r="B1104" s="2">
        <v>45842</v>
      </c>
      <c r="C1104">
        <v>956.16639999999995</v>
      </c>
      <c r="D1104" t="s">
        <v>1809</v>
      </c>
      <c r="E1104">
        <v>37</v>
      </c>
      <c r="F1104" t="s">
        <v>9</v>
      </c>
      <c r="G1104" t="s">
        <v>1546</v>
      </c>
      <c r="H1104" t="s">
        <v>1742</v>
      </c>
      <c r="L1104" s="2">
        <v>45842</v>
      </c>
      <c r="M1104">
        <v>956.16639999999995</v>
      </c>
      <c r="R1104" t="s">
        <v>1809</v>
      </c>
      <c r="S1104">
        <v>956.16639999999995</v>
      </c>
      <c r="W1104" s="11" t="s">
        <v>9</v>
      </c>
      <c r="X1104" s="11" t="s">
        <v>1546</v>
      </c>
      <c r="Y1104">
        <v>956.16639999999995</v>
      </c>
      <c r="AF1104">
        <v>956.16639999999995</v>
      </c>
      <c r="AG1104" t="s">
        <v>1742</v>
      </c>
    </row>
    <row r="1105" spans="1:33" x14ac:dyDescent="0.3">
      <c r="A1105" t="s">
        <v>1160</v>
      </c>
      <c r="B1105" s="2">
        <v>45257</v>
      </c>
      <c r="C1105">
        <v>664.35</v>
      </c>
      <c r="D1105" t="s">
        <v>1807</v>
      </c>
      <c r="E1105">
        <v>30</v>
      </c>
      <c r="F1105" t="s">
        <v>9</v>
      </c>
      <c r="G1105" t="s">
        <v>1549</v>
      </c>
      <c r="H1105" t="s">
        <v>1742</v>
      </c>
      <c r="L1105" s="2">
        <v>45257</v>
      </c>
      <c r="M1105">
        <v>664.35</v>
      </c>
      <c r="R1105" t="s">
        <v>1807</v>
      </c>
      <c r="S1105">
        <v>664.35</v>
      </c>
      <c r="W1105" s="12" t="s">
        <v>9</v>
      </c>
      <c r="X1105" s="12" t="s">
        <v>1549</v>
      </c>
      <c r="Y1105">
        <v>664.35</v>
      </c>
      <c r="AF1105">
        <v>664.35</v>
      </c>
      <c r="AG1105" t="s">
        <v>1742</v>
      </c>
    </row>
    <row r="1106" spans="1:33" x14ac:dyDescent="0.3">
      <c r="A1106" t="s">
        <v>1187</v>
      </c>
      <c r="B1106" s="2">
        <v>45468</v>
      </c>
      <c r="C1106">
        <v>353.27339999999998</v>
      </c>
      <c r="D1106" t="s">
        <v>1809</v>
      </c>
      <c r="E1106">
        <v>60</v>
      </c>
      <c r="F1106" t="s">
        <v>9</v>
      </c>
      <c r="G1106" t="s">
        <v>1527</v>
      </c>
      <c r="H1106" t="s">
        <v>1742</v>
      </c>
      <c r="L1106" s="2">
        <v>45468</v>
      </c>
      <c r="M1106">
        <v>353.27339999999998</v>
      </c>
      <c r="R1106" t="s">
        <v>1809</v>
      </c>
      <c r="S1106">
        <v>353.27339999999998</v>
      </c>
      <c r="W1106" s="11" t="s">
        <v>9</v>
      </c>
      <c r="X1106" s="11" t="s">
        <v>1527</v>
      </c>
      <c r="Y1106">
        <v>353.27339999999998</v>
      </c>
      <c r="AF1106">
        <v>353.27339999999998</v>
      </c>
      <c r="AG1106" t="s">
        <v>1742</v>
      </c>
    </row>
    <row r="1107" spans="1:33" x14ac:dyDescent="0.3">
      <c r="A1107" t="s">
        <v>1184</v>
      </c>
      <c r="B1107" s="2">
        <v>45228</v>
      </c>
      <c r="C1107">
        <v>2691.7435999999998</v>
      </c>
      <c r="D1107" t="s">
        <v>1807</v>
      </c>
      <c r="E1107">
        <v>52</v>
      </c>
      <c r="F1107" t="s">
        <v>16</v>
      </c>
      <c r="G1107" t="s">
        <v>1546</v>
      </c>
      <c r="H1107" t="s">
        <v>1742</v>
      </c>
      <c r="L1107" s="2">
        <v>45228</v>
      </c>
      <c r="M1107">
        <v>2691.7435999999998</v>
      </c>
      <c r="R1107" t="s">
        <v>1807</v>
      </c>
      <c r="S1107">
        <v>2691.7435999999998</v>
      </c>
      <c r="W1107" s="12" t="s">
        <v>16</v>
      </c>
      <c r="X1107" s="12" t="s">
        <v>1546</v>
      </c>
      <c r="Y1107">
        <v>2691.7435999999998</v>
      </c>
      <c r="AF1107">
        <v>2691.7435999999998</v>
      </c>
      <c r="AG1107" t="s">
        <v>1742</v>
      </c>
    </row>
    <row r="1108" spans="1:33" x14ac:dyDescent="0.3">
      <c r="A1108" t="s">
        <v>555</v>
      </c>
      <c r="B1108" s="2">
        <v>45661</v>
      </c>
      <c r="C1108">
        <v>763.30799999999999</v>
      </c>
      <c r="D1108" t="s">
        <v>1812</v>
      </c>
      <c r="E1108">
        <v>64</v>
      </c>
      <c r="F1108" t="s">
        <v>9</v>
      </c>
      <c r="G1108" t="s">
        <v>1549</v>
      </c>
      <c r="H1108" t="s">
        <v>1742</v>
      </c>
      <c r="L1108" s="2">
        <v>45661</v>
      </c>
      <c r="M1108">
        <v>763.30799999999999</v>
      </c>
      <c r="R1108" t="s">
        <v>1812</v>
      </c>
      <c r="S1108">
        <v>763.30799999999999</v>
      </c>
      <c r="W1108" s="11" t="s">
        <v>9</v>
      </c>
      <c r="X1108" s="11" t="s">
        <v>1549</v>
      </c>
      <c r="Y1108">
        <v>763.30799999999999</v>
      </c>
      <c r="AF1108">
        <v>763.30799999999999</v>
      </c>
      <c r="AG1108" t="s">
        <v>1742</v>
      </c>
    </row>
    <row r="1109" spans="1:33" x14ac:dyDescent="0.3">
      <c r="A1109" t="s">
        <v>1399</v>
      </c>
      <c r="B1109" s="2">
        <v>45701</v>
      </c>
      <c r="C1109">
        <v>222.26750000000001</v>
      </c>
      <c r="D1109" t="s">
        <v>1809</v>
      </c>
      <c r="E1109">
        <v>29</v>
      </c>
      <c r="F1109" t="s">
        <v>16</v>
      </c>
      <c r="G1109" t="s">
        <v>1549</v>
      </c>
      <c r="H1109" t="s">
        <v>1742</v>
      </c>
      <c r="L1109" s="2">
        <v>45701</v>
      </c>
      <c r="M1109">
        <v>222.26750000000001</v>
      </c>
      <c r="R1109" t="s">
        <v>1809</v>
      </c>
      <c r="S1109">
        <v>222.26750000000001</v>
      </c>
      <c r="W1109" s="12" t="s">
        <v>16</v>
      </c>
      <c r="X1109" s="12" t="s">
        <v>1549</v>
      </c>
      <c r="Y1109">
        <v>222.26750000000001</v>
      </c>
      <c r="AF1109">
        <v>222.26750000000001</v>
      </c>
      <c r="AG1109" t="s">
        <v>1742</v>
      </c>
    </row>
    <row r="1110" spans="1:33" x14ac:dyDescent="0.3">
      <c r="A1110" t="s">
        <v>1142</v>
      </c>
      <c r="B1110" s="2">
        <v>45448</v>
      </c>
      <c r="C1110">
        <v>2135.4168</v>
      </c>
      <c r="D1110" t="s">
        <v>1812</v>
      </c>
      <c r="E1110">
        <v>45</v>
      </c>
      <c r="F1110" t="s">
        <v>9</v>
      </c>
      <c r="G1110" t="s">
        <v>1549</v>
      </c>
      <c r="H1110" t="s">
        <v>1742</v>
      </c>
      <c r="L1110" s="2">
        <v>45448</v>
      </c>
      <c r="M1110">
        <v>2135.4168</v>
      </c>
      <c r="R1110" t="s">
        <v>1812</v>
      </c>
      <c r="S1110">
        <v>2135.4168</v>
      </c>
      <c r="W1110" s="11" t="s">
        <v>9</v>
      </c>
      <c r="X1110" s="11" t="s">
        <v>1549</v>
      </c>
      <c r="Y1110">
        <v>2135.4168</v>
      </c>
      <c r="AF1110">
        <v>2135.4168</v>
      </c>
      <c r="AG1110" t="s">
        <v>1742</v>
      </c>
    </row>
    <row r="1111" spans="1:33" x14ac:dyDescent="0.3">
      <c r="A1111" t="s">
        <v>1052</v>
      </c>
      <c r="B1111" s="2">
        <v>45387</v>
      </c>
      <c r="C1111">
        <v>2478.4499999999998</v>
      </c>
      <c r="D1111" t="s">
        <v>1809</v>
      </c>
      <c r="E1111">
        <v>52</v>
      </c>
      <c r="F1111" t="s">
        <v>16</v>
      </c>
      <c r="G1111" t="s">
        <v>1549</v>
      </c>
      <c r="H1111" t="s">
        <v>1746</v>
      </c>
      <c r="L1111" s="2">
        <v>45387</v>
      </c>
      <c r="M1111">
        <v>2478.4499999999998</v>
      </c>
      <c r="R1111" t="s">
        <v>1809</v>
      </c>
      <c r="S1111">
        <v>2478.4499999999998</v>
      </c>
      <c r="W1111" s="12" t="s">
        <v>16</v>
      </c>
      <c r="X1111" s="12" t="s">
        <v>1549</v>
      </c>
      <c r="Y1111">
        <v>2478.4499999999998</v>
      </c>
      <c r="AF1111">
        <v>2478.4499999999998</v>
      </c>
      <c r="AG1111" t="s">
        <v>1746</v>
      </c>
    </row>
    <row r="1112" spans="1:33" x14ac:dyDescent="0.3">
      <c r="A1112" t="s">
        <v>611</v>
      </c>
      <c r="B1112" s="2">
        <v>45652</v>
      </c>
      <c r="C1112">
        <v>1439.136</v>
      </c>
      <c r="D1112" t="s">
        <v>1807</v>
      </c>
      <c r="E1112">
        <v>42</v>
      </c>
      <c r="F1112" t="s">
        <v>9</v>
      </c>
      <c r="G1112" t="s">
        <v>1549</v>
      </c>
      <c r="H1112" t="s">
        <v>1742</v>
      </c>
      <c r="L1112" s="2">
        <v>45652</v>
      </c>
      <c r="M1112">
        <v>1439.136</v>
      </c>
      <c r="R1112" t="s">
        <v>1807</v>
      </c>
      <c r="S1112">
        <v>1439.136</v>
      </c>
      <c r="W1112" s="11" t="s">
        <v>9</v>
      </c>
      <c r="X1112" s="11" t="s">
        <v>1549</v>
      </c>
      <c r="Y1112">
        <v>1439.136</v>
      </c>
      <c r="AF1112">
        <v>1439.136</v>
      </c>
      <c r="AG1112" t="s">
        <v>1742</v>
      </c>
    </row>
    <row r="1113" spans="1:33" x14ac:dyDescent="0.3">
      <c r="A1113" t="s">
        <v>865</v>
      </c>
      <c r="B1113" s="2">
        <v>45316</v>
      </c>
      <c r="C1113">
        <v>871.41929999999991</v>
      </c>
      <c r="D1113" t="s">
        <v>1807</v>
      </c>
      <c r="E1113">
        <v>22</v>
      </c>
      <c r="F1113" t="s">
        <v>9</v>
      </c>
      <c r="G1113" t="s">
        <v>1530</v>
      </c>
      <c r="H1113" t="s">
        <v>1742</v>
      </c>
      <c r="L1113" s="2">
        <v>45316</v>
      </c>
      <c r="M1113">
        <v>871.41929999999991</v>
      </c>
      <c r="R1113" t="s">
        <v>1807</v>
      </c>
      <c r="S1113">
        <v>871.41929999999991</v>
      </c>
      <c r="W1113" s="12" t="s">
        <v>9</v>
      </c>
      <c r="X1113" s="12" t="s">
        <v>1530</v>
      </c>
      <c r="Y1113">
        <v>871.41929999999991</v>
      </c>
      <c r="AF1113">
        <v>871.41929999999991</v>
      </c>
      <c r="AG1113" t="s">
        <v>1742</v>
      </c>
    </row>
    <row r="1114" spans="1:33" x14ac:dyDescent="0.3">
      <c r="A1114" t="s">
        <v>504</v>
      </c>
      <c r="B1114" s="2">
        <v>45316</v>
      </c>
      <c r="C1114">
        <v>1236.48</v>
      </c>
      <c r="D1114" t="s">
        <v>1809</v>
      </c>
      <c r="E1114">
        <v>41</v>
      </c>
      <c r="F1114" t="s">
        <v>16</v>
      </c>
      <c r="G1114" t="s">
        <v>1549</v>
      </c>
      <c r="H1114" t="s">
        <v>1742</v>
      </c>
      <c r="L1114" s="2">
        <v>45316</v>
      </c>
      <c r="M1114">
        <v>1236.48</v>
      </c>
      <c r="R1114" t="s">
        <v>1809</v>
      </c>
      <c r="S1114">
        <v>1236.48</v>
      </c>
      <c r="W1114" s="11" t="s">
        <v>16</v>
      </c>
      <c r="X1114" s="11" t="s">
        <v>1549</v>
      </c>
      <c r="Y1114">
        <v>1236.48</v>
      </c>
      <c r="AF1114">
        <v>1236.48</v>
      </c>
      <c r="AG1114" t="s">
        <v>1742</v>
      </c>
    </row>
    <row r="1115" spans="1:33" x14ac:dyDescent="0.3">
      <c r="A1115" t="s">
        <v>334</v>
      </c>
      <c r="B1115" s="2">
        <v>45888</v>
      </c>
      <c r="C1115">
        <v>1794.3030000000001</v>
      </c>
      <c r="D1115" t="s">
        <v>1807</v>
      </c>
      <c r="E1115">
        <v>62</v>
      </c>
      <c r="F1115" t="s">
        <v>16</v>
      </c>
      <c r="G1115" t="s">
        <v>1530</v>
      </c>
      <c r="H1115" t="s">
        <v>1742</v>
      </c>
      <c r="L1115" s="2">
        <v>45888</v>
      </c>
      <c r="M1115">
        <v>1794.3030000000001</v>
      </c>
      <c r="R1115" t="s">
        <v>1807</v>
      </c>
      <c r="S1115">
        <v>1794.3030000000001</v>
      </c>
      <c r="W1115" s="12" t="s">
        <v>16</v>
      </c>
      <c r="X1115" s="12" t="s">
        <v>1530</v>
      </c>
      <c r="Y1115">
        <v>1794.3030000000001</v>
      </c>
      <c r="AF1115">
        <v>1794.3030000000001</v>
      </c>
      <c r="AG1115" t="s">
        <v>1742</v>
      </c>
    </row>
    <row r="1116" spans="1:33" x14ac:dyDescent="0.3">
      <c r="A1116" t="s">
        <v>1422</v>
      </c>
      <c r="B1116" s="2">
        <v>45791</v>
      </c>
      <c r="C1116">
        <v>199.2928</v>
      </c>
      <c r="D1116" t="s">
        <v>1812</v>
      </c>
      <c r="E1116">
        <v>63</v>
      </c>
      <c r="F1116" t="s">
        <v>16</v>
      </c>
      <c r="G1116" t="s">
        <v>1527</v>
      </c>
      <c r="H1116" t="s">
        <v>1746</v>
      </c>
      <c r="L1116" s="2">
        <v>45791</v>
      </c>
      <c r="M1116">
        <v>199.2928</v>
      </c>
      <c r="R1116" t="s">
        <v>1812</v>
      </c>
      <c r="S1116">
        <v>199.2928</v>
      </c>
      <c r="W1116" s="11" t="s">
        <v>16</v>
      </c>
      <c r="X1116" s="11" t="s">
        <v>1527</v>
      </c>
      <c r="Y1116">
        <v>199.2928</v>
      </c>
      <c r="AF1116">
        <v>199.2928</v>
      </c>
      <c r="AG1116" t="s">
        <v>1746</v>
      </c>
    </row>
    <row r="1117" spans="1:33" x14ac:dyDescent="0.3">
      <c r="A1117" t="s">
        <v>1236</v>
      </c>
      <c r="B1117" s="2">
        <v>45420</v>
      </c>
      <c r="C1117">
        <v>1022.6838</v>
      </c>
      <c r="D1117" t="s">
        <v>1809</v>
      </c>
      <c r="E1117">
        <v>31</v>
      </c>
      <c r="F1117" t="s">
        <v>9</v>
      </c>
      <c r="G1117" t="s">
        <v>1549</v>
      </c>
      <c r="H1117" t="s">
        <v>1742</v>
      </c>
      <c r="L1117" s="2">
        <v>45420</v>
      </c>
      <c r="M1117">
        <v>1022.6838</v>
      </c>
      <c r="R1117" t="s">
        <v>1809</v>
      </c>
      <c r="S1117">
        <v>1022.6838</v>
      </c>
      <c r="W1117" s="12" t="s">
        <v>9</v>
      </c>
      <c r="X1117" s="12" t="s">
        <v>1549</v>
      </c>
      <c r="Y1117">
        <v>1022.6838</v>
      </c>
      <c r="AF1117">
        <v>1022.6838</v>
      </c>
      <c r="AG1117" t="s">
        <v>1742</v>
      </c>
    </row>
    <row r="1118" spans="1:33" x14ac:dyDescent="0.3">
      <c r="A1118" t="s">
        <v>471</v>
      </c>
      <c r="B1118" s="2">
        <v>45219</v>
      </c>
      <c r="C1118">
        <v>810.08579999999995</v>
      </c>
      <c r="D1118" t="s">
        <v>1807</v>
      </c>
      <c r="E1118">
        <v>30</v>
      </c>
      <c r="F1118" t="s">
        <v>9</v>
      </c>
      <c r="G1118" t="s">
        <v>1546</v>
      </c>
      <c r="H1118" t="s">
        <v>1767</v>
      </c>
      <c r="L1118" s="2">
        <v>45219</v>
      </c>
      <c r="M1118">
        <v>810.08579999999995</v>
      </c>
      <c r="R1118" t="s">
        <v>1807</v>
      </c>
      <c r="S1118">
        <v>810.08579999999995</v>
      </c>
      <c r="W1118" s="11" t="s">
        <v>9</v>
      </c>
      <c r="X1118" s="11" t="s">
        <v>1546</v>
      </c>
      <c r="Y1118">
        <v>810.08579999999995</v>
      </c>
      <c r="AF1118">
        <v>810.08579999999995</v>
      </c>
      <c r="AG1118" t="s">
        <v>1767</v>
      </c>
    </row>
    <row r="1119" spans="1:33" x14ac:dyDescent="0.3">
      <c r="A1119" t="s">
        <v>1340</v>
      </c>
      <c r="B1119" s="2">
        <v>45510</v>
      </c>
      <c r="C1119">
        <v>2807.8008</v>
      </c>
      <c r="D1119" t="s">
        <v>1809</v>
      </c>
      <c r="E1119">
        <v>59</v>
      </c>
      <c r="F1119" t="s">
        <v>16</v>
      </c>
      <c r="G1119" t="s">
        <v>1530</v>
      </c>
      <c r="H1119" t="s">
        <v>1742</v>
      </c>
      <c r="L1119" s="2">
        <v>45510</v>
      </c>
      <c r="M1119">
        <v>2807.8008</v>
      </c>
      <c r="R1119" t="s">
        <v>1809</v>
      </c>
      <c r="S1119">
        <v>2807.8008</v>
      </c>
      <c r="W1119" s="12" t="s">
        <v>16</v>
      </c>
      <c r="X1119" s="12" t="s">
        <v>1530</v>
      </c>
      <c r="Y1119">
        <v>2807.8008</v>
      </c>
      <c r="AF1119">
        <v>2807.8008</v>
      </c>
      <c r="AG1119" t="s">
        <v>1742</v>
      </c>
    </row>
    <row r="1120" spans="1:33" x14ac:dyDescent="0.3">
      <c r="A1120" t="s">
        <v>664</v>
      </c>
      <c r="B1120" s="2">
        <v>45687</v>
      </c>
      <c r="C1120">
        <v>616.029</v>
      </c>
      <c r="D1120" t="s">
        <v>1809</v>
      </c>
      <c r="E1120">
        <v>26</v>
      </c>
      <c r="F1120" t="s">
        <v>16</v>
      </c>
      <c r="G1120" t="s">
        <v>1549</v>
      </c>
      <c r="H1120" t="s">
        <v>1746</v>
      </c>
      <c r="L1120" s="2">
        <v>45687</v>
      </c>
      <c r="M1120">
        <v>616.029</v>
      </c>
      <c r="R1120" t="s">
        <v>1809</v>
      </c>
      <c r="S1120">
        <v>616.029</v>
      </c>
      <c r="W1120" s="11" t="s">
        <v>16</v>
      </c>
      <c r="X1120" s="11" t="s">
        <v>1549</v>
      </c>
      <c r="Y1120">
        <v>616.029</v>
      </c>
      <c r="AF1120">
        <v>616.029</v>
      </c>
      <c r="AG1120" t="s">
        <v>1746</v>
      </c>
    </row>
    <row r="1121" spans="1:33" x14ac:dyDescent="0.3">
      <c r="A1121" t="s">
        <v>1390</v>
      </c>
      <c r="B1121" s="2">
        <v>45271</v>
      </c>
      <c r="C1121">
        <v>1442.76</v>
      </c>
      <c r="D1121" t="s">
        <v>1809</v>
      </c>
      <c r="E1121">
        <v>59</v>
      </c>
      <c r="F1121" t="s">
        <v>16</v>
      </c>
      <c r="G1121" t="s">
        <v>1527</v>
      </c>
      <c r="H1121" t="s">
        <v>1746</v>
      </c>
      <c r="L1121" s="2">
        <v>45271</v>
      </c>
      <c r="M1121">
        <v>1442.76</v>
      </c>
      <c r="R1121" t="s">
        <v>1809</v>
      </c>
      <c r="S1121">
        <v>1442.76</v>
      </c>
      <c r="W1121" s="12" t="s">
        <v>16</v>
      </c>
      <c r="X1121" s="12" t="s">
        <v>1527</v>
      </c>
      <c r="Y1121">
        <v>1442.76</v>
      </c>
      <c r="AF1121">
        <v>1442.76</v>
      </c>
      <c r="AG1121" t="s">
        <v>1746</v>
      </c>
    </row>
    <row r="1122" spans="1:33" x14ac:dyDescent="0.3">
      <c r="A1122" t="s">
        <v>90</v>
      </c>
      <c r="B1122" s="2">
        <v>45446</v>
      </c>
      <c r="C1122">
        <v>69.273600000000002</v>
      </c>
      <c r="D1122" t="s">
        <v>1812</v>
      </c>
      <c r="E1122">
        <v>36</v>
      </c>
      <c r="F1122" t="s">
        <v>16</v>
      </c>
      <c r="G1122" t="s">
        <v>1530</v>
      </c>
      <c r="H1122" t="s">
        <v>1742</v>
      </c>
      <c r="L1122" s="2">
        <v>45446</v>
      </c>
      <c r="M1122">
        <v>69.273600000000002</v>
      </c>
      <c r="R1122" t="s">
        <v>1812</v>
      </c>
      <c r="S1122">
        <v>69.273600000000002</v>
      </c>
      <c r="W1122" s="11" t="s">
        <v>16</v>
      </c>
      <c r="X1122" s="11" t="s">
        <v>1530</v>
      </c>
      <c r="Y1122">
        <v>69.273600000000002</v>
      </c>
      <c r="AF1122">
        <v>69.273600000000002</v>
      </c>
      <c r="AG1122" t="s">
        <v>1742</v>
      </c>
    </row>
    <row r="1123" spans="1:33" x14ac:dyDescent="0.3">
      <c r="A1123" t="s">
        <v>996</v>
      </c>
      <c r="B1123" s="2">
        <v>45579</v>
      </c>
      <c r="C1123">
        <v>2263.0068000000001</v>
      </c>
      <c r="D1123" t="s">
        <v>1809</v>
      </c>
      <c r="E1123">
        <v>34</v>
      </c>
      <c r="F1123" t="s">
        <v>16</v>
      </c>
      <c r="G1123" t="s">
        <v>1546</v>
      </c>
      <c r="H1123" t="s">
        <v>1746</v>
      </c>
      <c r="L1123" s="2">
        <v>45579</v>
      </c>
      <c r="M1123">
        <v>2263.0068000000001</v>
      </c>
      <c r="R1123" t="s">
        <v>1809</v>
      </c>
      <c r="S1123">
        <v>2263.0068000000001</v>
      </c>
      <c r="W1123" s="12" t="s">
        <v>16</v>
      </c>
      <c r="X1123" s="12" t="s">
        <v>1546</v>
      </c>
      <c r="Y1123">
        <v>2263.0068000000001</v>
      </c>
      <c r="AF1123">
        <v>2263.0068000000001</v>
      </c>
      <c r="AG1123" t="s">
        <v>1746</v>
      </c>
    </row>
    <row r="1124" spans="1:33" x14ac:dyDescent="0.3">
      <c r="A1124" t="s">
        <v>924</v>
      </c>
      <c r="B1124" s="2">
        <v>45725</v>
      </c>
      <c r="C1124">
        <v>1149.558</v>
      </c>
      <c r="D1124" t="s">
        <v>1807</v>
      </c>
      <c r="E1124">
        <v>19</v>
      </c>
      <c r="F1124" t="s">
        <v>16</v>
      </c>
      <c r="G1124" t="s">
        <v>1546</v>
      </c>
      <c r="H1124" t="s">
        <v>1737</v>
      </c>
      <c r="L1124" s="2">
        <v>45725</v>
      </c>
      <c r="M1124">
        <v>1149.558</v>
      </c>
      <c r="R1124" t="s">
        <v>1807</v>
      </c>
      <c r="S1124">
        <v>1149.558</v>
      </c>
      <c r="W1124" s="11" t="s">
        <v>16</v>
      </c>
      <c r="X1124" s="11" t="s">
        <v>1546</v>
      </c>
      <c r="Y1124">
        <v>1149.558</v>
      </c>
      <c r="AF1124">
        <v>1149.558</v>
      </c>
      <c r="AG1124" t="s">
        <v>1737</v>
      </c>
    </row>
    <row r="1125" spans="1:33" x14ac:dyDescent="0.3">
      <c r="A1125" t="s">
        <v>474</v>
      </c>
      <c r="B1125" s="2">
        <v>45910</v>
      </c>
      <c r="C1125">
        <v>803.22879999999998</v>
      </c>
      <c r="D1125" t="s">
        <v>1807</v>
      </c>
      <c r="E1125">
        <v>37</v>
      </c>
      <c r="F1125" t="s">
        <v>9</v>
      </c>
      <c r="G1125" t="s">
        <v>1549</v>
      </c>
      <c r="H1125" t="s">
        <v>1742</v>
      </c>
      <c r="L1125" s="2">
        <v>45910</v>
      </c>
      <c r="M1125">
        <v>803.22879999999998</v>
      </c>
      <c r="R1125" t="s">
        <v>1807</v>
      </c>
      <c r="S1125">
        <v>803.22879999999998</v>
      </c>
      <c r="W1125" s="12" t="s">
        <v>9</v>
      </c>
      <c r="X1125" s="12" t="s">
        <v>1549</v>
      </c>
      <c r="Y1125">
        <v>803.22879999999998</v>
      </c>
      <c r="AF1125">
        <v>803.22879999999998</v>
      </c>
      <c r="AG1125" t="s">
        <v>1742</v>
      </c>
    </row>
    <row r="1126" spans="1:33" x14ac:dyDescent="0.3">
      <c r="A1126" t="s">
        <v>1119</v>
      </c>
      <c r="B1126" s="2">
        <v>45447</v>
      </c>
      <c r="C1126">
        <v>611.20500000000004</v>
      </c>
      <c r="D1126" t="s">
        <v>1807</v>
      </c>
      <c r="E1126">
        <v>60</v>
      </c>
      <c r="F1126" t="s">
        <v>9</v>
      </c>
      <c r="G1126" t="s">
        <v>1546</v>
      </c>
      <c r="H1126" t="s">
        <v>1742</v>
      </c>
      <c r="L1126" s="2">
        <v>45447</v>
      </c>
      <c r="M1126">
        <v>611.20500000000004</v>
      </c>
      <c r="R1126" t="s">
        <v>1807</v>
      </c>
      <c r="S1126">
        <v>611.20500000000004</v>
      </c>
      <c r="W1126" s="11" t="s">
        <v>9</v>
      </c>
      <c r="X1126" s="11" t="s">
        <v>1546</v>
      </c>
      <c r="Y1126">
        <v>611.20500000000004</v>
      </c>
      <c r="AF1126">
        <v>611.20500000000004</v>
      </c>
      <c r="AG1126" t="s">
        <v>1742</v>
      </c>
    </row>
    <row r="1127" spans="1:33" x14ac:dyDescent="0.3">
      <c r="A1127" t="s">
        <v>744</v>
      </c>
      <c r="B1127" s="2">
        <v>45307</v>
      </c>
      <c r="C1127">
        <v>676.73919999999998</v>
      </c>
      <c r="D1127" t="s">
        <v>1809</v>
      </c>
      <c r="E1127">
        <v>43</v>
      </c>
      <c r="F1127" t="s">
        <v>16</v>
      </c>
      <c r="G1127" t="s">
        <v>1549</v>
      </c>
      <c r="H1127" t="s">
        <v>1742</v>
      </c>
      <c r="L1127" s="2">
        <v>45307</v>
      </c>
      <c r="M1127">
        <v>676.73919999999998</v>
      </c>
      <c r="R1127" t="s">
        <v>1809</v>
      </c>
      <c r="S1127">
        <v>676.73919999999998</v>
      </c>
      <c r="W1127" s="12" t="s">
        <v>16</v>
      </c>
      <c r="X1127" s="12" t="s">
        <v>1549</v>
      </c>
      <c r="Y1127">
        <v>676.73919999999998</v>
      </c>
      <c r="AF1127">
        <v>676.73919999999998</v>
      </c>
      <c r="AG1127" t="s">
        <v>1742</v>
      </c>
    </row>
    <row r="1128" spans="1:33" x14ac:dyDescent="0.3">
      <c r="A1128" t="s">
        <v>1172</v>
      </c>
      <c r="B1128" s="2">
        <v>45653</v>
      </c>
      <c r="C1128">
        <v>514.69319999999993</v>
      </c>
      <c r="D1128" t="s">
        <v>1809</v>
      </c>
      <c r="E1128">
        <v>23</v>
      </c>
      <c r="F1128" t="s">
        <v>9</v>
      </c>
      <c r="G1128" t="s">
        <v>1546</v>
      </c>
      <c r="H1128" t="s">
        <v>1742</v>
      </c>
      <c r="L1128" s="2">
        <v>45653</v>
      </c>
      <c r="M1128">
        <v>514.69319999999993</v>
      </c>
      <c r="R1128" t="s">
        <v>1809</v>
      </c>
      <c r="S1128">
        <v>514.69319999999993</v>
      </c>
      <c r="W1128" s="11" t="s">
        <v>9</v>
      </c>
      <c r="X1128" s="11" t="s">
        <v>1546</v>
      </c>
      <c r="Y1128">
        <v>514.69319999999993</v>
      </c>
      <c r="AF1128">
        <v>514.69319999999993</v>
      </c>
      <c r="AG1128" t="s">
        <v>1742</v>
      </c>
    </row>
    <row r="1129" spans="1:33" x14ac:dyDescent="0.3">
      <c r="A1129" t="s">
        <v>1259</v>
      </c>
      <c r="B1129" s="2">
        <v>45817</v>
      </c>
      <c r="C1129">
        <v>92.848399999999998</v>
      </c>
      <c r="D1129" t="s">
        <v>1809</v>
      </c>
      <c r="E1129">
        <v>32</v>
      </c>
      <c r="F1129" t="s">
        <v>9</v>
      </c>
      <c r="G1129" t="s">
        <v>1527</v>
      </c>
      <c r="H1129" t="s">
        <v>1742</v>
      </c>
      <c r="L1129" s="2">
        <v>45817</v>
      </c>
      <c r="M1129">
        <v>92.848399999999998</v>
      </c>
      <c r="R1129" t="s">
        <v>1809</v>
      </c>
      <c r="S1129">
        <v>92.848399999999998</v>
      </c>
      <c r="W1129" s="12" t="s">
        <v>9</v>
      </c>
      <c r="X1129" s="12" t="s">
        <v>1527</v>
      </c>
      <c r="Y1129">
        <v>92.848399999999998</v>
      </c>
      <c r="AF1129">
        <v>92.848399999999998</v>
      </c>
      <c r="AG1129" t="s">
        <v>1742</v>
      </c>
    </row>
    <row r="1130" spans="1:33" x14ac:dyDescent="0.3">
      <c r="A1130" t="s">
        <v>1070</v>
      </c>
      <c r="B1130" s="2">
        <v>45509</v>
      </c>
      <c r="C1130">
        <v>756.76580000000001</v>
      </c>
      <c r="D1130" t="s">
        <v>1812</v>
      </c>
      <c r="E1130">
        <v>33</v>
      </c>
      <c r="F1130" t="s">
        <v>9</v>
      </c>
      <c r="G1130" t="s">
        <v>1527</v>
      </c>
      <c r="H1130" t="s">
        <v>1742</v>
      </c>
      <c r="L1130" s="2">
        <v>45509</v>
      </c>
      <c r="M1130">
        <v>756.76580000000001</v>
      </c>
      <c r="R1130" t="s">
        <v>1812</v>
      </c>
      <c r="S1130">
        <v>756.76580000000001</v>
      </c>
      <c r="W1130" s="11" t="s">
        <v>9</v>
      </c>
      <c r="X1130" s="11" t="s">
        <v>1527</v>
      </c>
      <c r="Y1130">
        <v>756.76580000000001</v>
      </c>
      <c r="AF1130">
        <v>756.76580000000001</v>
      </c>
      <c r="AG1130" t="s">
        <v>1742</v>
      </c>
    </row>
    <row r="1131" spans="1:33" x14ac:dyDescent="0.3">
      <c r="A1131" t="s">
        <v>1154</v>
      </c>
      <c r="B1131" s="2">
        <v>45753</v>
      </c>
      <c r="C1131">
        <v>2545.44</v>
      </c>
      <c r="D1131" t="s">
        <v>1812</v>
      </c>
      <c r="E1131">
        <v>60</v>
      </c>
      <c r="F1131" t="s">
        <v>9</v>
      </c>
      <c r="G1131" t="s">
        <v>1546</v>
      </c>
      <c r="H1131" t="s">
        <v>1742</v>
      </c>
      <c r="L1131" s="2">
        <v>45753</v>
      </c>
      <c r="M1131">
        <v>2545.44</v>
      </c>
      <c r="R1131" t="s">
        <v>1812</v>
      </c>
      <c r="S1131">
        <v>2545.44</v>
      </c>
      <c r="W1131" s="12" t="s">
        <v>9</v>
      </c>
      <c r="X1131" s="12" t="s">
        <v>1546</v>
      </c>
      <c r="Y1131">
        <v>2545.44</v>
      </c>
      <c r="AF1131">
        <v>2545.44</v>
      </c>
      <c r="AG1131" t="s">
        <v>1742</v>
      </c>
    </row>
    <row r="1132" spans="1:33" x14ac:dyDescent="0.3">
      <c r="A1132" t="s">
        <v>777</v>
      </c>
      <c r="B1132" s="2">
        <v>45512</v>
      </c>
      <c r="C1132">
        <v>887.56200000000013</v>
      </c>
      <c r="D1132" t="s">
        <v>1807</v>
      </c>
      <c r="E1132">
        <v>57</v>
      </c>
      <c r="F1132" t="s">
        <v>16</v>
      </c>
      <c r="G1132" t="s">
        <v>1530</v>
      </c>
      <c r="H1132" t="s">
        <v>1767</v>
      </c>
      <c r="L1132" s="2">
        <v>45512</v>
      </c>
      <c r="M1132">
        <v>887.56200000000013</v>
      </c>
      <c r="R1132" t="s">
        <v>1807</v>
      </c>
      <c r="S1132">
        <v>887.56200000000013</v>
      </c>
      <c r="W1132" s="11" t="s">
        <v>16</v>
      </c>
      <c r="X1132" s="11" t="s">
        <v>1530</v>
      </c>
      <c r="Y1132">
        <v>887.56200000000013</v>
      </c>
      <c r="AF1132">
        <v>887.56200000000013</v>
      </c>
      <c r="AG1132" t="s">
        <v>1767</v>
      </c>
    </row>
    <row r="1133" spans="1:33" x14ac:dyDescent="0.3">
      <c r="A1133" t="s">
        <v>537</v>
      </c>
      <c r="B1133" s="2">
        <v>45764</v>
      </c>
      <c r="C1133">
        <v>769.04399999999998</v>
      </c>
      <c r="D1133" t="s">
        <v>1809</v>
      </c>
      <c r="E1133">
        <v>21</v>
      </c>
      <c r="F1133" t="s">
        <v>9</v>
      </c>
      <c r="G1133" t="s">
        <v>1530</v>
      </c>
      <c r="H1133" t="s">
        <v>1742</v>
      </c>
      <c r="L1133" s="2">
        <v>45764</v>
      </c>
      <c r="M1133">
        <v>769.04399999999998</v>
      </c>
      <c r="R1133" t="s">
        <v>1809</v>
      </c>
      <c r="S1133">
        <v>769.04399999999998</v>
      </c>
      <c r="W1133" s="12" t="s">
        <v>9</v>
      </c>
      <c r="X1133" s="12" t="s">
        <v>1530</v>
      </c>
      <c r="Y1133">
        <v>769.04399999999998</v>
      </c>
      <c r="AF1133">
        <v>769.04399999999998</v>
      </c>
      <c r="AG1133" t="s">
        <v>1742</v>
      </c>
    </row>
    <row r="1134" spans="1:33" x14ac:dyDescent="0.3">
      <c r="A1134" t="s">
        <v>966</v>
      </c>
      <c r="B1134" s="2">
        <v>45746</v>
      </c>
      <c r="C1134">
        <v>780.69119999999998</v>
      </c>
      <c r="D1134" t="s">
        <v>1809</v>
      </c>
      <c r="E1134">
        <v>20</v>
      </c>
      <c r="F1134" t="s">
        <v>9</v>
      </c>
      <c r="G1134" t="s">
        <v>1546</v>
      </c>
      <c r="H1134" t="s">
        <v>1742</v>
      </c>
      <c r="L1134" s="2">
        <v>45746</v>
      </c>
      <c r="M1134">
        <v>780.69119999999998</v>
      </c>
      <c r="R1134" t="s">
        <v>1809</v>
      </c>
      <c r="S1134">
        <v>780.69119999999998</v>
      </c>
      <c r="W1134" s="11" t="s">
        <v>9</v>
      </c>
      <c r="X1134" s="11" t="s">
        <v>1546</v>
      </c>
      <c r="Y1134">
        <v>780.69119999999998</v>
      </c>
      <c r="AF1134">
        <v>780.69119999999998</v>
      </c>
      <c r="AG1134" t="s">
        <v>1742</v>
      </c>
    </row>
    <row r="1135" spans="1:33" x14ac:dyDescent="0.3">
      <c r="A1135" t="s">
        <v>395</v>
      </c>
      <c r="B1135" s="2">
        <v>45647</v>
      </c>
      <c r="C1135">
        <v>398.95310000000012</v>
      </c>
      <c r="D1135" t="s">
        <v>1807</v>
      </c>
      <c r="E1135">
        <v>53</v>
      </c>
      <c r="F1135" t="s">
        <v>16</v>
      </c>
      <c r="G1135" t="s">
        <v>1530</v>
      </c>
      <c r="H1135" t="s">
        <v>1742</v>
      </c>
      <c r="L1135" s="2">
        <v>45647</v>
      </c>
      <c r="M1135">
        <v>398.95310000000012</v>
      </c>
      <c r="R1135" t="s">
        <v>1807</v>
      </c>
      <c r="S1135">
        <v>398.95310000000012</v>
      </c>
      <c r="W1135" s="12" t="s">
        <v>16</v>
      </c>
      <c r="X1135" s="12" t="s">
        <v>1530</v>
      </c>
      <c r="Y1135">
        <v>398.95310000000012</v>
      </c>
      <c r="AF1135">
        <v>398.95310000000012</v>
      </c>
      <c r="AG1135" t="s">
        <v>1742</v>
      </c>
    </row>
    <row r="1136" spans="1:33" x14ac:dyDescent="0.3">
      <c r="A1136" t="s">
        <v>543</v>
      </c>
      <c r="B1136" s="2">
        <v>45443</v>
      </c>
      <c r="C1136">
        <v>124.8768</v>
      </c>
      <c r="D1136" t="s">
        <v>1812</v>
      </c>
      <c r="E1136">
        <v>47</v>
      </c>
      <c r="F1136" t="s">
        <v>16</v>
      </c>
      <c r="G1136" t="s">
        <v>1546</v>
      </c>
      <c r="H1136" t="s">
        <v>1742</v>
      </c>
      <c r="L1136" s="2">
        <v>45443</v>
      </c>
      <c r="M1136">
        <v>124.8768</v>
      </c>
      <c r="R1136" t="s">
        <v>1812</v>
      </c>
      <c r="S1136">
        <v>124.8768</v>
      </c>
      <c r="W1136" s="11" t="s">
        <v>16</v>
      </c>
      <c r="X1136" s="11" t="s">
        <v>1546</v>
      </c>
      <c r="Y1136">
        <v>124.8768</v>
      </c>
      <c r="AF1136">
        <v>124.8768</v>
      </c>
      <c r="AG1136" t="s">
        <v>1742</v>
      </c>
    </row>
    <row r="1137" spans="1:33" x14ac:dyDescent="0.3">
      <c r="A1137" t="s">
        <v>1304</v>
      </c>
      <c r="B1137" s="2">
        <v>45722</v>
      </c>
      <c r="C1137">
        <v>2167.9223999999999</v>
      </c>
      <c r="D1137" t="s">
        <v>1812</v>
      </c>
      <c r="E1137">
        <v>28</v>
      </c>
      <c r="F1137" t="s">
        <v>9</v>
      </c>
      <c r="G1137" t="s">
        <v>1541</v>
      </c>
      <c r="H1137" t="s">
        <v>1737</v>
      </c>
      <c r="L1137" s="2">
        <v>45722</v>
      </c>
      <c r="M1137">
        <v>2167.9223999999999</v>
      </c>
      <c r="R1137" t="s">
        <v>1812</v>
      </c>
      <c r="S1137">
        <v>2167.9223999999999</v>
      </c>
      <c r="W1137" s="12" t="s">
        <v>9</v>
      </c>
      <c r="X1137" s="12" t="s">
        <v>1541</v>
      </c>
      <c r="Y1137">
        <v>2167.9223999999999</v>
      </c>
      <c r="AF1137">
        <v>2167.9223999999999</v>
      </c>
      <c r="AG1137" t="s">
        <v>1737</v>
      </c>
    </row>
    <row r="1138" spans="1:33" x14ac:dyDescent="0.3">
      <c r="A1138" t="s">
        <v>1113</v>
      </c>
      <c r="B1138" s="2">
        <v>45575</v>
      </c>
      <c r="C1138">
        <v>526.24439999999993</v>
      </c>
      <c r="D1138" t="s">
        <v>1809</v>
      </c>
      <c r="E1138">
        <v>34</v>
      </c>
      <c r="F1138" t="s">
        <v>9</v>
      </c>
      <c r="G1138" t="s">
        <v>1541</v>
      </c>
      <c r="H1138" t="s">
        <v>1737</v>
      </c>
      <c r="L1138" s="2">
        <v>45575</v>
      </c>
      <c r="M1138">
        <v>526.24439999999993</v>
      </c>
      <c r="R1138" t="s">
        <v>1809</v>
      </c>
      <c r="S1138">
        <v>526.24439999999993</v>
      </c>
      <c r="W1138" s="11" t="s">
        <v>9</v>
      </c>
      <c r="X1138" s="11" t="s">
        <v>1541</v>
      </c>
      <c r="Y1138">
        <v>526.24439999999993</v>
      </c>
      <c r="AF1138">
        <v>526.24439999999993</v>
      </c>
      <c r="AG1138" t="s">
        <v>1737</v>
      </c>
    </row>
    <row r="1139" spans="1:33" x14ac:dyDescent="0.3">
      <c r="A1139" t="s">
        <v>28</v>
      </c>
      <c r="B1139" s="2">
        <v>45441</v>
      </c>
      <c r="C1139">
        <v>435.27359999999999</v>
      </c>
      <c r="D1139" t="s">
        <v>1812</v>
      </c>
      <c r="E1139">
        <v>24</v>
      </c>
      <c r="F1139" t="s">
        <v>9</v>
      </c>
      <c r="G1139" t="s">
        <v>1541</v>
      </c>
      <c r="H1139" t="s">
        <v>1742</v>
      </c>
      <c r="L1139" s="2">
        <v>45441</v>
      </c>
      <c r="M1139">
        <v>435.27359999999999</v>
      </c>
      <c r="R1139" t="s">
        <v>1812</v>
      </c>
      <c r="S1139">
        <v>435.27359999999999</v>
      </c>
      <c r="W1139" s="12" t="s">
        <v>9</v>
      </c>
      <c r="X1139" s="12" t="s">
        <v>1541</v>
      </c>
      <c r="Y1139">
        <v>435.27359999999999</v>
      </c>
      <c r="AF1139">
        <v>435.27359999999999</v>
      </c>
      <c r="AG1139" t="s">
        <v>1742</v>
      </c>
    </row>
    <row r="1140" spans="1:33" x14ac:dyDescent="0.3">
      <c r="A1140" t="s">
        <v>104</v>
      </c>
      <c r="B1140" s="2">
        <v>45940</v>
      </c>
      <c r="C1140">
        <v>616.50819999999999</v>
      </c>
      <c r="D1140" t="s">
        <v>1807</v>
      </c>
      <c r="E1140">
        <v>59</v>
      </c>
      <c r="F1140" t="s">
        <v>16</v>
      </c>
      <c r="G1140" t="s">
        <v>1546</v>
      </c>
      <c r="H1140" t="s">
        <v>1737</v>
      </c>
      <c r="L1140" s="2">
        <v>45940</v>
      </c>
      <c r="M1140">
        <v>616.50819999999999</v>
      </c>
      <c r="R1140" t="s">
        <v>1807</v>
      </c>
      <c r="S1140">
        <v>616.50819999999999</v>
      </c>
      <c r="W1140" s="11" t="s">
        <v>16</v>
      </c>
      <c r="X1140" s="11" t="s">
        <v>1546</v>
      </c>
      <c r="Y1140">
        <v>616.50819999999999</v>
      </c>
      <c r="AF1140">
        <v>616.50819999999999</v>
      </c>
      <c r="AG1140" t="s">
        <v>1737</v>
      </c>
    </row>
    <row r="1141" spans="1:33" x14ac:dyDescent="0.3">
      <c r="A1141" t="s">
        <v>3953</v>
      </c>
      <c r="B1141" s="2">
        <v>45518</v>
      </c>
      <c r="C1141">
        <v>514.9</v>
      </c>
      <c r="D1141" t="s">
        <v>1812</v>
      </c>
      <c r="E1141">
        <v>52</v>
      </c>
      <c r="F1141" t="s">
        <v>16</v>
      </c>
      <c r="G1141" t="s">
        <v>1546</v>
      </c>
      <c r="H1141" t="s">
        <v>1746</v>
      </c>
      <c r="L1141" s="2">
        <v>45518</v>
      </c>
      <c r="M1141">
        <v>514.9</v>
      </c>
      <c r="R1141" t="s">
        <v>1812</v>
      </c>
      <c r="S1141">
        <v>514.9</v>
      </c>
      <c r="W1141" s="12" t="s">
        <v>16</v>
      </c>
      <c r="X1141" s="12" t="s">
        <v>1546</v>
      </c>
      <c r="Y1141">
        <v>514.9</v>
      </c>
      <c r="AF1141">
        <v>514.9</v>
      </c>
      <c r="AG1141" t="s">
        <v>1746</v>
      </c>
    </row>
    <row r="1142" spans="1:33" x14ac:dyDescent="0.3">
      <c r="A1142" t="s">
        <v>587</v>
      </c>
      <c r="B1142" s="2">
        <v>45861</v>
      </c>
      <c r="C1142">
        <v>1156.3725999999999</v>
      </c>
      <c r="D1142" t="s">
        <v>1809</v>
      </c>
      <c r="E1142">
        <v>38</v>
      </c>
      <c r="F1142" t="s">
        <v>9</v>
      </c>
      <c r="G1142" t="s">
        <v>1546</v>
      </c>
      <c r="H1142" t="s">
        <v>1742</v>
      </c>
      <c r="L1142" s="2">
        <v>45861</v>
      </c>
      <c r="M1142">
        <v>1156.3725999999999</v>
      </c>
      <c r="R1142" t="s">
        <v>1809</v>
      </c>
      <c r="S1142">
        <v>1156.3725999999999</v>
      </c>
      <c r="W1142" s="11" t="s">
        <v>9</v>
      </c>
      <c r="X1142" s="11" t="s">
        <v>1546</v>
      </c>
      <c r="Y1142">
        <v>1156.3725999999999</v>
      </c>
      <c r="AF1142">
        <v>1156.3725999999999</v>
      </c>
      <c r="AG1142" t="s">
        <v>1742</v>
      </c>
    </row>
    <row r="1143" spans="1:33" x14ac:dyDescent="0.3">
      <c r="A1143" t="s">
        <v>1154</v>
      </c>
      <c r="B1143" s="2">
        <v>45416</v>
      </c>
      <c r="C1143">
        <v>258.822</v>
      </c>
      <c r="D1143" t="s">
        <v>1809</v>
      </c>
      <c r="E1143">
        <v>60</v>
      </c>
      <c r="F1143" t="s">
        <v>9</v>
      </c>
      <c r="G1143" t="s">
        <v>1530</v>
      </c>
      <c r="H1143" t="s">
        <v>1746</v>
      </c>
      <c r="L1143" s="2">
        <v>45416</v>
      </c>
      <c r="M1143">
        <v>258.822</v>
      </c>
      <c r="R1143" t="s">
        <v>1809</v>
      </c>
      <c r="S1143">
        <v>258.822</v>
      </c>
      <c r="W1143" s="12" t="s">
        <v>9</v>
      </c>
      <c r="X1143" s="12" t="s">
        <v>1530</v>
      </c>
      <c r="Y1143">
        <v>258.822</v>
      </c>
      <c r="AF1143">
        <v>258.822</v>
      </c>
      <c r="AG1143" t="s">
        <v>1746</v>
      </c>
    </row>
    <row r="1144" spans="1:33" x14ac:dyDescent="0.3">
      <c r="A1144" t="s">
        <v>929</v>
      </c>
      <c r="B1144" s="2">
        <v>45608</v>
      </c>
      <c r="C1144">
        <v>1120.0599</v>
      </c>
      <c r="D1144" t="s">
        <v>1812</v>
      </c>
      <c r="E1144">
        <v>47</v>
      </c>
      <c r="F1144" t="s">
        <v>16</v>
      </c>
      <c r="G1144" t="s">
        <v>1541</v>
      </c>
      <c r="H1144" t="s">
        <v>1742</v>
      </c>
      <c r="L1144" s="2">
        <v>45608</v>
      </c>
      <c r="M1144">
        <v>1120.0599</v>
      </c>
      <c r="R1144" t="s">
        <v>1812</v>
      </c>
      <c r="S1144">
        <v>1120.0599</v>
      </c>
      <c r="W1144" s="11" t="s">
        <v>16</v>
      </c>
      <c r="X1144" s="11" t="s">
        <v>1541</v>
      </c>
      <c r="Y1144">
        <v>1120.0599</v>
      </c>
      <c r="AF1144">
        <v>1120.0599</v>
      </c>
      <c r="AG1144" t="s">
        <v>1742</v>
      </c>
    </row>
    <row r="1145" spans="1:33" x14ac:dyDescent="0.3">
      <c r="A1145" t="s">
        <v>1517</v>
      </c>
      <c r="B1145" s="2">
        <v>45301</v>
      </c>
      <c r="C1145">
        <v>131.047</v>
      </c>
      <c r="D1145" t="s">
        <v>1807</v>
      </c>
      <c r="E1145" s="7">
        <v>27</v>
      </c>
      <c r="F1145" s="7" t="s">
        <v>16</v>
      </c>
      <c r="G1145" t="s">
        <v>1549</v>
      </c>
      <c r="H1145" t="s">
        <v>1746</v>
      </c>
      <c r="L1145" s="2">
        <v>45301</v>
      </c>
      <c r="M1145">
        <v>131.047</v>
      </c>
      <c r="R1145" t="s">
        <v>1807</v>
      </c>
      <c r="S1145">
        <v>131.047</v>
      </c>
      <c r="W1145" s="17" t="s">
        <v>16</v>
      </c>
      <c r="X1145" s="12" t="s">
        <v>1549</v>
      </c>
      <c r="Y1145">
        <v>131.047</v>
      </c>
      <c r="AF1145">
        <v>131.047</v>
      </c>
      <c r="AG1145" t="s">
        <v>1746</v>
      </c>
    </row>
    <row r="1146" spans="1:33" x14ac:dyDescent="0.3">
      <c r="A1146" t="s">
        <v>679</v>
      </c>
      <c r="B1146" s="2">
        <v>45433</v>
      </c>
      <c r="C1146">
        <v>2168.9369999999999</v>
      </c>
      <c r="D1146" t="s">
        <v>1809</v>
      </c>
      <c r="E1146">
        <v>20</v>
      </c>
      <c r="F1146" t="s">
        <v>16</v>
      </c>
      <c r="G1146" t="s">
        <v>1541</v>
      </c>
      <c r="H1146" t="s">
        <v>1742</v>
      </c>
      <c r="L1146" s="2">
        <v>45433</v>
      </c>
      <c r="M1146">
        <v>2168.9369999999999</v>
      </c>
      <c r="R1146" t="s">
        <v>1809</v>
      </c>
      <c r="S1146">
        <v>2168.9369999999999</v>
      </c>
      <c r="W1146" s="11" t="s">
        <v>16</v>
      </c>
      <c r="X1146" s="11" t="s">
        <v>1541</v>
      </c>
      <c r="Y1146">
        <v>2168.9369999999999</v>
      </c>
      <c r="AF1146">
        <v>2168.9369999999999</v>
      </c>
      <c r="AG1146" t="s">
        <v>1742</v>
      </c>
    </row>
    <row r="1147" spans="1:33" x14ac:dyDescent="0.3">
      <c r="A1147" t="s">
        <v>1325</v>
      </c>
      <c r="B1147" s="2">
        <v>45821</v>
      </c>
      <c r="C1147">
        <v>815.07200000000012</v>
      </c>
      <c r="D1147" t="s">
        <v>1812</v>
      </c>
      <c r="E1147">
        <v>51</v>
      </c>
      <c r="F1147" t="s">
        <v>16</v>
      </c>
      <c r="G1147" t="s">
        <v>1541</v>
      </c>
      <c r="H1147" t="s">
        <v>1742</v>
      </c>
      <c r="L1147" s="2">
        <v>45821</v>
      </c>
      <c r="M1147">
        <v>815.07200000000012</v>
      </c>
      <c r="R1147" t="s">
        <v>1812</v>
      </c>
      <c r="S1147">
        <v>815.07200000000012</v>
      </c>
      <c r="W1147" s="12" t="s">
        <v>16</v>
      </c>
      <c r="X1147" s="12" t="s">
        <v>1541</v>
      </c>
      <c r="Y1147">
        <v>815.07200000000012</v>
      </c>
      <c r="AF1147">
        <v>815.07200000000012</v>
      </c>
      <c r="AG1147" t="s">
        <v>1742</v>
      </c>
    </row>
    <row r="1148" spans="1:33" x14ac:dyDescent="0.3">
      <c r="A1148" t="s">
        <v>193</v>
      </c>
      <c r="B1148" s="2">
        <v>45508</v>
      </c>
      <c r="C1148">
        <v>1665.692</v>
      </c>
      <c r="D1148" t="s">
        <v>1809</v>
      </c>
      <c r="E1148">
        <v>55</v>
      </c>
      <c r="F1148" t="s">
        <v>9</v>
      </c>
      <c r="G1148" t="s">
        <v>1549</v>
      </c>
      <c r="H1148" t="s">
        <v>1746</v>
      </c>
      <c r="L1148" s="2">
        <v>45508</v>
      </c>
      <c r="M1148">
        <v>1665.692</v>
      </c>
      <c r="R1148" t="s">
        <v>1809</v>
      </c>
      <c r="S1148">
        <v>1665.692</v>
      </c>
      <c r="W1148" s="11" t="s">
        <v>9</v>
      </c>
      <c r="X1148" s="11" t="s">
        <v>1549</v>
      </c>
      <c r="Y1148">
        <v>1665.692</v>
      </c>
      <c r="AF1148">
        <v>1665.692</v>
      </c>
      <c r="AG1148" t="s">
        <v>1746</v>
      </c>
    </row>
    <row r="1149" spans="1:33" x14ac:dyDescent="0.3">
      <c r="A1149" t="s">
        <v>706</v>
      </c>
      <c r="B1149" s="2">
        <v>45854</v>
      </c>
      <c r="C1149">
        <v>1570.4166</v>
      </c>
      <c r="D1149" t="s">
        <v>1809</v>
      </c>
      <c r="E1149">
        <v>50</v>
      </c>
      <c r="F1149" t="s">
        <v>16</v>
      </c>
      <c r="G1149" t="s">
        <v>1530</v>
      </c>
      <c r="H1149" t="s">
        <v>1737</v>
      </c>
      <c r="L1149" s="2">
        <v>45854</v>
      </c>
      <c r="M1149">
        <v>1570.4166</v>
      </c>
      <c r="R1149" t="s">
        <v>1809</v>
      </c>
      <c r="S1149">
        <v>1570.4166</v>
      </c>
      <c r="W1149" s="12" t="s">
        <v>16</v>
      </c>
      <c r="X1149" s="12" t="s">
        <v>1530</v>
      </c>
      <c r="Y1149">
        <v>1570.4166</v>
      </c>
      <c r="AF1149">
        <v>1570.4166</v>
      </c>
      <c r="AG1149" t="s">
        <v>1737</v>
      </c>
    </row>
    <row r="1150" spans="1:33" x14ac:dyDescent="0.3">
      <c r="A1150" t="s">
        <v>454</v>
      </c>
      <c r="B1150" s="2">
        <v>45569</v>
      </c>
      <c r="C1150">
        <v>405.32</v>
      </c>
      <c r="D1150" t="s">
        <v>1807</v>
      </c>
      <c r="E1150">
        <v>33</v>
      </c>
      <c r="F1150" t="s">
        <v>16</v>
      </c>
      <c r="G1150" t="s">
        <v>1546</v>
      </c>
      <c r="H1150" t="s">
        <v>1737</v>
      </c>
      <c r="L1150" s="2">
        <v>45569</v>
      </c>
      <c r="M1150">
        <v>405.32</v>
      </c>
      <c r="R1150" t="s">
        <v>1807</v>
      </c>
      <c r="S1150">
        <v>405.32</v>
      </c>
      <c r="W1150" s="11" t="s">
        <v>16</v>
      </c>
      <c r="X1150" s="11" t="s">
        <v>1546</v>
      </c>
      <c r="Y1150">
        <v>405.32</v>
      </c>
      <c r="AF1150">
        <v>405.32</v>
      </c>
      <c r="AG1150" t="s">
        <v>1737</v>
      </c>
    </row>
    <row r="1151" spans="1:33" x14ac:dyDescent="0.3">
      <c r="A1151" t="s">
        <v>445</v>
      </c>
      <c r="B1151" s="2">
        <v>45824</v>
      </c>
      <c r="C1151">
        <v>2269.4976000000001</v>
      </c>
      <c r="D1151" t="s">
        <v>1809</v>
      </c>
      <c r="E1151">
        <v>57</v>
      </c>
      <c r="F1151" t="s">
        <v>16</v>
      </c>
      <c r="G1151" t="s">
        <v>1546</v>
      </c>
      <c r="H1151" t="s">
        <v>1767</v>
      </c>
      <c r="L1151" s="2">
        <v>45824</v>
      </c>
      <c r="M1151">
        <v>2269.4976000000001</v>
      </c>
      <c r="R1151" t="s">
        <v>1809</v>
      </c>
      <c r="S1151">
        <v>2269.4976000000001</v>
      </c>
      <c r="W1151" s="12" t="s">
        <v>16</v>
      </c>
      <c r="X1151" s="12" t="s">
        <v>1546</v>
      </c>
      <c r="Y1151">
        <v>2269.4976000000001</v>
      </c>
      <c r="AF1151">
        <v>2269.4976000000001</v>
      </c>
      <c r="AG1151" t="s">
        <v>1767</v>
      </c>
    </row>
    <row r="1152" spans="1:33" x14ac:dyDescent="0.3">
      <c r="A1152" t="s">
        <v>1325</v>
      </c>
      <c r="B1152" s="2">
        <v>45352</v>
      </c>
      <c r="C1152">
        <v>3225.9468000000002</v>
      </c>
      <c r="D1152" t="s">
        <v>1812</v>
      </c>
      <c r="E1152">
        <v>51</v>
      </c>
      <c r="F1152" t="s">
        <v>16</v>
      </c>
      <c r="G1152" t="s">
        <v>1549</v>
      </c>
      <c r="H1152" t="s">
        <v>1742</v>
      </c>
      <c r="L1152" s="2">
        <v>45352</v>
      </c>
      <c r="M1152">
        <v>3225.9468000000002</v>
      </c>
      <c r="R1152" t="s">
        <v>1812</v>
      </c>
      <c r="S1152">
        <v>3225.9468000000002</v>
      </c>
      <c r="W1152" s="11" t="s">
        <v>16</v>
      </c>
      <c r="X1152" s="11" t="s">
        <v>1549</v>
      </c>
      <c r="Y1152">
        <v>3225.9468000000002</v>
      </c>
      <c r="AF1152">
        <v>3225.9468000000002</v>
      </c>
      <c r="AG1152" t="s">
        <v>1742</v>
      </c>
    </row>
    <row r="1153" spans="1:33" x14ac:dyDescent="0.3">
      <c r="A1153" t="s">
        <v>37</v>
      </c>
      <c r="B1153" s="2">
        <v>45454</v>
      </c>
      <c r="C1153">
        <v>2107.5246000000002</v>
      </c>
      <c r="D1153" t="s">
        <v>1809</v>
      </c>
      <c r="E1153">
        <v>29</v>
      </c>
      <c r="F1153" t="s">
        <v>16</v>
      </c>
      <c r="G1153" t="s">
        <v>1541</v>
      </c>
      <c r="H1153" t="s">
        <v>1742</v>
      </c>
      <c r="L1153" s="2">
        <v>45454</v>
      </c>
      <c r="M1153">
        <v>2107.5246000000002</v>
      </c>
      <c r="R1153" t="s">
        <v>1809</v>
      </c>
      <c r="S1153">
        <v>2107.5246000000002</v>
      </c>
      <c r="W1153" s="12" t="s">
        <v>16</v>
      </c>
      <c r="X1153" s="12" t="s">
        <v>1541</v>
      </c>
      <c r="Y1153">
        <v>2107.5246000000002</v>
      </c>
      <c r="AF1153">
        <v>2107.5246000000002</v>
      </c>
      <c r="AG1153" t="s">
        <v>1742</v>
      </c>
    </row>
    <row r="1154" spans="1:33" x14ac:dyDescent="0.3">
      <c r="A1154" t="s">
        <v>1462</v>
      </c>
      <c r="B1154" s="2">
        <v>45924</v>
      </c>
      <c r="C1154">
        <v>774.18000000000006</v>
      </c>
      <c r="D1154" t="s">
        <v>1809</v>
      </c>
      <c r="E1154">
        <v>21</v>
      </c>
      <c r="F1154" t="s">
        <v>9</v>
      </c>
      <c r="G1154" t="s">
        <v>1549</v>
      </c>
      <c r="H1154" t="s">
        <v>1742</v>
      </c>
      <c r="L1154" s="2">
        <v>45924</v>
      </c>
      <c r="M1154">
        <v>774.18000000000006</v>
      </c>
      <c r="R1154" t="s">
        <v>1809</v>
      </c>
      <c r="S1154">
        <v>774.18000000000006</v>
      </c>
      <c r="W1154" s="11" t="s">
        <v>9</v>
      </c>
      <c r="X1154" s="11" t="s">
        <v>1549</v>
      </c>
      <c r="Y1154">
        <v>774.18000000000006</v>
      </c>
      <c r="AF1154">
        <v>774.18000000000006</v>
      </c>
      <c r="AG1154" t="s">
        <v>1742</v>
      </c>
    </row>
    <row r="1155" spans="1:33" x14ac:dyDescent="0.3">
      <c r="A1155" t="s">
        <v>975</v>
      </c>
      <c r="B1155" s="2">
        <v>45694</v>
      </c>
      <c r="C1155">
        <v>1080.2103999999999</v>
      </c>
      <c r="D1155" t="s">
        <v>1807</v>
      </c>
      <c r="E1155">
        <v>62</v>
      </c>
      <c r="F1155" t="s">
        <v>9</v>
      </c>
      <c r="G1155" t="s">
        <v>1549</v>
      </c>
      <c r="H1155" t="s">
        <v>1742</v>
      </c>
      <c r="L1155" s="2">
        <v>45694</v>
      </c>
      <c r="M1155">
        <v>1080.2103999999999</v>
      </c>
      <c r="R1155" t="s">
        <v>1807</v>
      </c>
      <c r="S1155">
        <v>1080.2103999999999</v>
      </c>
      <c r="W1155" s="12" t="s">
        <v>9</v>
      </c>
      <c r="X1155" s="12" t="s">
        <v>1549</v>
      </c>
      <c r="Y1155">
        <v>1080.2103999999999</v>
      </c>
      <c r="AF1155">
        <v>1080.2103999999999</v>
      </c>
      <c r="AG1155" t="s">
        <v>1742</v>
      </c>
    </row>
    <row r="1156" spans="1:33" x14ac:dyDescent="0.3">
      <c r="A1156" t="s">
        <v>3953</v>
      </c>
      <c r="B1156" s="2">
        <v>45587</v>
      </c>
      <c r="C1156">
        <v>689.38279999999997</v>
      </c>
      <c r="D1156" t="s">
        <v>1809</v>
      </c>
      <c r="E1156">
        <v>52</v>
      </c>
      <c r="F1156" t="s">
        <v>16</v>
      </c>
      <c r="G1156" t="s">
        <v>1541</v>
      </c>
      <c r="H1156" t="s">
        <v>1737</v>
      </c>
      <c r="L1156" s="2">
        <v>45587</v>
      </c>
      <c r="M1156">
        <v>689.38279999999997</v>
      </c>
      <c r="R1156" t="s">
        <v>1809</v>
      </c>
      <c r="S1156">
        <v>689.38279999999997</v>
      </c>
      <c r="W1156" s="11" t="s">
        <v>16</v>
      </c>
      <c r="X1156" s="11" t="s">
        <v>1541</v>
      </c>
      <c r="Y1156">
        <v>689.38279999999997</v>
      </c>
      <c r="AF1156">
        <v>689.38279999999997</v>
      </c>
      <c r="AG1156" t="s">
        <v>1737</v>
      </c>
    </row>
    <row r="1157" spans="1:33" x14ac:dyDescent="0.3">
      <c r="A1157" t="s">
        <v>1058</v>
      </c>
      <c r="B1157" s="2">
        <v>45556</v>
      </c>
      <c r="C1157">
        <v>36.027200000000001</v>
      </c>
      <c r="D1157" t="s">
        <v>1812</v>
      </c>
      <c r="E1157">
        <v>56</v>
      </c>
      <c r="F1157" t="s">
        <v>16</v>
      </c>
      <c r="G1157" t="s">
        <v>1549</v>
      </c>
      <c r="H1157" t="s">
        <v>1742</v>
      </c>
      <c r="L1157" s="2">
        <v>45556</v>
      </c>
      <c r="M1157">
        <v>36.027200000000001</v>
      </c>
      <c r="R1157" t="s">
        <v>1812</v>
      </c>
      <c r="S1157">
        <v>36.027200000000001</v>
      </c>
      <c r="W1157" s="12" t="s">
        <v>16</v>
      </c>
      <c r="X1157" s="12" t="s">
        <v>1549</v>
      </c>
      <c r="Y1157">
        <v>36.027200000000001</v>
      </c>
      <c r="AF1157">
        <v>36.027200000000001</v>
      </c>
      <c r="AG1157" t="s">
        <v>1742</v>
      </c>
    </row>
    <row r="1158" spans="1:33" x14ac:dyDescent="0.3">
      <c r="A1158" t="s">
        <v>101</v>
      </c>
      <c r="B1158" s="2">
        <v>45923</v>
      </c>
      <c r="C1158">
        <v>600.29549999999995</v>
      </c>
      <c r="D1158" t="s">
        <v>1809</v>
      </c>
      <c r="E1158">
        <v>40</v>
      </c>
      <c r="F1158" t="s">
        <v>9</v>
      </c>
      <c r="G1158" t="s">
        <v>1549</v>
      </c>
      <c r="H1158" t="s">
        <v>1746</v>
      </c>
      <c r="L1158" s="2">
        <v>45923</v>
      </c>
      <c r="M1158">
        <v>600.29549999999995</v>
      </c>
      <c r="R1158" t="s">
        <v>1809</v>
      </c>
      <c r="S1158">
        <v>600.29549999999995</v>
      </c>
      <c r="W1158" s="11" t="s">
        <v>9</v>
      </c>
      <c r="X1158" s="11" t="s">
        <v>1549</v>
      </c>
      <c r="Y1158">
        <v>600.29549999999995</v>
      </c>
      <c r="AF1158">
        <v>600.29549999999995</v>
      </c>
      <c r="AG1158" t="s">
        <v>1746</v>
      </c>
    </row>
    <row r="1159" spans="1:33" x14ac:dyDescent="0.3">
      <c r="A1159" t="s">
        <v>735</v>
      </c>
      <c r="B1159" s="2">
        <v>45811</v>
      </c>
      <c r="C1159">
        <v>1631.3309999999999</v>
      </c>
      <c r="D1159" t="s">
        <v>1809</v>
      </c>
      <c r="E1159">
        <v>22</v>
      </c>
      <c r="F1159" t="s">
        <v>16</v>
      </c>
      <c r="G1159" t="s">
        <v>1527</v>
      </c>
      <c r="H1159" t="s">
        <v>1746</v>
      </c>
      <c r="L1159" s="2">
        <v>45811</v>
      </c>
      <c r="M1159">
        <v>1631.3309999999999</v>
      </c>
      <c r="R1159" t="s">
        <v>1809</v>
      </c>
      <c r="S1159">
        <v>1631.3309999999999</v>
      </c>
      <c r="W1159" s="12" t="s">
        <v>16</v>
      </c>
      <c r="X1159" s="12" t="s">
        <v>1527</v>
      </c>
      <c r="Y1159">
        <v>1631.3309999999999</v>
      </c>
      <c r="AF1159">
        <v>1631.3309999999999</v>
      </c>
      <c r="AG1159" t="s">
        <v>1746</v>
      </c>
    </row>
    <row r="1160" spans="1:33" x14ac:dyDescent="0.3">
      <c r="A1160" t="s">
        <v>179</v>
      </c>
      <c r="B1160" s="2">
        <v>45559</v>
      </c>
      <c r="C1160">
        <v>649.74</v>
      </c>
      <c r="D1160" t="s">
        <v>1807</v>
      </c>
      <c r="E1160">
        <v>54</v>
      </c>
      <c r="F1160" t="s">
        <v>9</v>
      </c>
      <c r="G1160" t="s">
        <v>1530</v>
      </c>
      <c r="H1160" t="s">
        <v>1742</v>
      </c>
      <c r="L1160" s="2">
        <v>45559</v>
      </c>
      <c r="M1160">
        <v>649.74</v>
      </c>
      <c r="R1160" t="s">
        <v>1807</v>
      </c>
      <c r="S1160">
        <v>649.74</v>
      </c>
      <c r="W1160" s="11" t="s">
        <v>9</v>
      </c>
      <c r="X1160" s="11" t="s">
        <v>1530</v>
      </c>
      <c r="Y1160">
        <v>649.74</v>
      </c>
      <c r="AF1160">
        <v>649.74</v>
      </c>
      <c r="AG1160" t="s">
        <v>1742</v>
      </c>
    </row>
    <row r="1161" spans="1:33" x14ac:dyDescent="0.3">
      <c r="A1161" t="s">
        <v>1076</v>
      </c>
      <c r="B1161" s="2">
        <v>45881</v>
      </c>
      <c r="C1161">
        <v>231.55500000000001</v>
      </c>
      <c r="D1161" t="s">
        <v>1809</v>
      </c>
      <c r="E1161">
        <v>39</v>
      </c>
      <c r="F1161" t="s">
        <v>16</v>
      </c>
      <c r="G1161" t="s">
        <v>1546</v>
      </c>
      <c r="H1161" t="s">
        <v>1742</v>
      </c>
      <c r="L1161" s="2">
        <v>45881</v>
      </c>
      <c r="M1161">
        <v>231.55500000000001</v>
      </c>
      <c r="R1161" t="s">
        <v>1809</v>
      </c>
      <c r="S1161">
        <v>231.55500000000001</v>
      </c>
      <c r="W1161" s="12" t="s">
        <v>16</v>
      </c>
      <c r="X1161" s="12" t="s">
        <v>1546</v>
      </c>
      <c r="Y1161">
        <v>231.55500000000001</v>
      </c>
      <c r="AF1161">
        <v>231.55500000000001</v>
      </c>
      <c r="AG1161" t="s">
        <v>1742</v>
      </c>
    </row>
    <row r="1162" spans="1:33" x14ac:dyDescent="0.3">
      <c r="A1162" t="s">
        <v>1130</v>
      </c>
      <c r="B1162" s="2">
        <v>45367</v>
      </c>
      <c r="C1162">
        <v>1404.075</v>
      </c>
      <c r="D1162" t="s">
        <v>1809</v>
      </c>
      <c r="E1162">
        <v>40</v>
      </c>
      <c r="F1162" t="s">
        <v>16</v>
      </c>
      <c r="G1162" t="s">
        <v>1527</v>
      </c>
      <c r="H1162" t="s">
        <v>1742</v>
      </c>
      <c r="L1162" s="2">
        <v>45367</v>
      </c>
      <c r="M1162">
        <v>1404.075</v>
      </c>
      <c r="R1162" t="s">
        <v>1809</v>
      </c>
      <c r="S1162">
        <v>1404.075</v>
      </c>
      <c r="W1162" s="11" t="s">
        <v>16</v>
      </c>
      <c r="X1162" s="11" t="s">
        <v>1527</v>
      </c>
      <c r="Y1162">
        <v>1404.075</v>
      </c>
      <c r="AF1162">
        <v>1404.075</v>
      </c>
      <c r="AG1162" t="s">
        <v>1742</v>
      </c>
    </row>
    <row r="1163" spans="1:33" x14ac:dyDescent="0.3">
      <c r="A1163" t="s">
        <v>886</v>
      </c>
      <c r="B1163" s="2">
        <v>45832</v>
      </c>
      <c r="C1163">
        <v>193.2576</v>
      </c>
      <c r="D1163" t="s">
        <v>1807</v>
      </c>
      <c r="E1163">
        <v>46</v>
      </c>
      <c r="F1163" t="s">
        <v>16</v>
      </c>
      <c r="G1163" t="s">
        <v>1549</v>
      </c>
      <c r="H1163" t="s">
        <v>1742</v>
      </c>
      <c r="L1163" s="2">
        <v>45832</v>
      </c>
      <c r="M1163">
        <v>193.2576</v>
      </c>
      <c r="R1163" t="s">
        <v>1807</v>
      </c>
      <c r="S1163">
        <v>193.2576</v>
      </c>
      <c r="W1163" s="12" t="s">
        <v>16</v>
      </c>
      <c r="X1163" s="12" t="s">
        <v>1549</v>
      </c>
      <c r="Y1163">
        <v>193.2576</v>
      </c>
      <c r="AF1163">
        <v>193.2576</v>
      </c>
      <c r="AG1163" t="s">
        <v>1742</v>
      </c>
    </row>
    <row r="1164" spans="1:33" x14ac:dyDescent="0.3">
      <c r="A1164" t="s">
        <v>614</v>
      </c>
      <c r="B1164" s="2">
        <v>45438</v>
      </c>
      <c r="C1164">
        <v>1351.3584000000001</v>
      </c>
      <c r="D1164" t="s">
        <v>1807</v>
      </c>
      <c r="E1164">
        <v>29</v>
      </c>
      <c r="F1164" t="s">
        <v>9</v>
      </c>
      <c r="G1164" t="s">
        <v>1541</v>
      </c>
      <c r="H1164" t="s">
        <v>1742</v>
      </c>
      <c r="L1164" s="2">
        <v>45438</v>
      </c>
      <c r="M1164">
        <v>1351.3584000000001</v>
      </c>
      <c r="R1164" t="s">
        <v>1807</v>
      </c>
      <c r="S1164">
        <v>1351.3584000000001</v>
      </c>
      <c r="W1164" s="11" t="s">
        <v>9</v>
      </c>
      <c r="X1164" s="11" t="s">
        <v>1541</v>
      </c>
      <c r="Y1164">
        <v>1351.3584000000001</v>
      </c>
      <c r="AF1164">
        <v>1351.3584000000001</v>
      </c>
      <c r="AG1164" t="s">
        <v>1742</v>
      </c>
    </row>
    <row r="1165" spans="1:33" x14ac:dyDescent="0.3">
      <c r="A1165" t="s">
        <v>771</v>
      </c>
      <c r="B1165" s="2">
        <v>45691</v>
      </c>
      <c r="C1165">
        <v>570.11760000000004</v>
      </c>
      <c r="D1165" t="s">
        <v>1809</v>
      </c>
      <c r="E1165">
        <v>56</v>
      </c>
      <c r="F1165" t="s">
        <v>16</v>
      </c>
      <c r="G1165" t="s">
        <v>1549</v>
      </c>
      <c r="H1165" t="s">
        <v>1742</v>
      </c>
      <c r="L1165" s="2">
        <v>45691</v>
      </c>
      <c r="M1165">
        <v>570.11760000000004</v>
      </c>
      <c r="R1165" t="s">
        <v>1809</v>
      </c>
      <c r="S1165">
        <v>570.11760000000004</v>
      </c>
      <c r="W1165" s="12" t="s">
        <v>16</v>
      </c>
      <c r="X1165" s="12" t="s">
        <v>1549</v>
      </c>
      <c r="Y1165">
        <v>570.11760000000004</v>
      </c>
      <c r="AF1165">
        <v>570.11760000000004</v>
      </c>
      <c r="AG1165" t="s">
        <v>1742</v>
      </c>
    </row>
    <row r="1166" spans="1:33" x14ac:dyDescent="0.3">
      <c r="A1166" t="s">
        <v>1437</v>
      </c>
      <c r="B1166" s="2">
        <v>45506</v>
      </c>
      <c r="C1166">
        <v>52.003</v>
      </c>
      <c r="D1166" t="s">
        <v>1812</v>
      </c>
      <c r="E1166">
        <v>42</v>
      </c>
      <c r="F1166" t="s">
        <v>9</v>
      </c>
      <c r="G1166" t="s">
        <v>1527</v>
      </c>
      <c r="H1166" t="s">
        <v>1742</v>
      </c>
      <c r="L1166" s="2">
        <v>45506</v>
      </c>
      <c r="M1166">
        <v>52.003</v>
      </c>
      <c r="R1166" t="s">
        <v>1812</v>
      </c>
      <c r="S1166">
        <v>52.003</v>
      </c>
      <c r="W1166" s="11" t="s">
        <v>9</v>
      </c>
      <c r="X1166" s="11" t="s">
        <v>1527</v>
      </c>
      <c r="Y1166">
        <v>52.003</v>
      </c>
      <c r="AF1166">
        <v>52.003</v>
      </c>
      <c r="AG1166" t="s">
        <v>1742</v>
      </c>
    </row>
    <row r="1167" spans="1:33" x14ac:dyDescent="0.3">
      <c r="A1167" t="s">
        <v>774</v>
      </c>
      <c r="B1167" s="2">
        <v>45251</v>
      </c>
      <c r="C1167">
        <v>1404.0527999999999</v>
      </c>
      <c r="D1167" t="s">
        <v>1809</v>
      </c>
      <c r="E1167">
        <v>19</v>
      </c>
      <c r="F1167" t="s">
        <v>9</v>
      </c>
      <c r="G1167" t="s">
        <v>1527</v>
      </c>
      <c r="H1167" t="s">
        <v>1737</v>
      </c>
      <c r="L1167" s="2">
        <v>45251</v>
      </c>
      <c r="M1167">
        <v>1404.0527999999999</v>
      </c>
      <c r="R1167" t="s">
        <v>1809</v>
      </c>
      <c r="S1167">
        <v>1404.0527999999999</v>
      </c>
      <c r="W1167" s="12" t="s">
        <v>9</v>
      </c>
      <c r="X1167" s="12" t="s">
        <v>1527</v>
      </c>
      <c r="Y1167">
        <v>1404.0527999999999</v>
      </c>
      <c r="AF1167">
        <v>1404.0527999999999</v>
      </c>
      <c r="AG1167" t="s">
        <v>1737</v>
      </c>
    </row>
    <row r="1168" spans="1:33" x14ac:dyDescent="0.3">
      <c r="A1168" t="s">
        <v>1502</v>
      </c>
      <c r="B1168" s="2">
        <v>45722</v>
      </c>
      <c r="C1168">
        <v>81.647999999999996</v>
      </c>
      <c r="D1168" t="s">
        <v>1809</v>
      </c>
      <c r="E1168">
        <v>23</v>
      </c>
      <c r="F1168" t="s">
        <v>16</v>
      </c>
      <c r="G1168" t="s">
        <v>1549</v>
      </c>
      <c r="H1168" t="s">
        <v>1742</v>
      </c>
      <c r="L1168" s="2">
        <v>45722</v>
      </c>
      <c r="M1168">
        <v>81.647999999999996</v>
      </c>
      <c r="R1168" t="s">
        <v>1809</v>
      </c>
      <c r="S1168">
        <v>81.647999999999996</v>
      </c>
      <c r="W1168" s="11" t="s">
        <v>16</v>
      </c>
      <c r="X1168" s="11" t="s">
        <v>1549</v>
      </c>
      <c r="Y1168">
        <v>81.647999999999996</v>
      </c>
      <c r="AF1168">
        <v>81.647999999999996</v>
      </c>
      <c r="AG1168" t="s">
        <v>1742</v>
      </c>
    </row>
    <row r="1169" spans="1:33" x14ac:dyDescent="0.3">
      <c r="A1169" t="s">
        <v>222</v>
      </c>
      <c r="B1169" s="2">
        <v>45689</v>
      </c>
      <c r="C1169">
        <v>385.2996</v>
      </c>
      <c r="D1169" t="s">
        <v>1809</v>
      </c>
      <c r="E1169">
        <v>23</v>
      </c>
      <c r="F1169" t="s">
        <v>9</v>
      </c>
      <c r="G1169" t="s">
        <v>1530</v>
      </c>
      <c r="H1169" t="s">
        <v>1746</v>
      </c>
      <c r="L1169" s="2">
        <v>45689</v>
      </c>
      <c r="M1169">
        <v>385.2996</v>
      </c>
      <c r="R1169" t="s">
        <v>1809</v>
      </c>
      <c r="S1169">
        <v>385.2996</v>
      </c>
      <c r="W1169" s="12" t="s">
        <v>9</v>
      </c>
      <c r="X1169" s="12" t="s">
        <v>1530</v>
      </c>
      <c r="Y1169">
        <v>385.2996</v>
      </c>
      <c r="AF1169">
        <v>385.2996</v>
      </c>
      <c r="AG1169" t="s">
        <v>1746</v>
      </c>
    </row>
    <row r="1170" spans="1:33" x14ac:dyDescent="0.3">
      <c r="A1170" t="s">
        <v>738</v>
      </c>
      <c r="B1170" s="2">
        <v>45346</v>
      </c>
      <c r="C1170">
        <v>159.87549999999999</v>
      </c>
      <c r="D1170" t="s">
        <v>1809</v>
      </c>
      <c r="E1170">
        <v>27</v>
      </c>
      <c r="F1170" t="s">
        <v>16</v>
      </c>
      <c r="G1170" t="s">
        <v>1546</v>
      </c>
      <c r="H1170" t="s">
        <v>1746</v>
      </c>
      <c r="L1170" s="2">
        <v>45346</v>
      </c>
      <c r="M1170">
        <v>159.87549999999999</v>
      </c>
      <c r="R1170" t="s">
        <v>1809</v>
      </c>
      <c r="S1170">
        <v>159.87549999999999</v>
      </c>
      <c r="W1170" s="11" t="s">
        <v>16</v>
      </c>
      <c r="X1170" s="11" t="s">
        <v>1546</v>
      </c>
      <c r="Y1170">
        <v>159.87549999999999</v>
      </c>
      <c r="AF1170">
        <v>159.87549999999999</v>
      </c>
      <c r="AG1170" t="s">
        <v>1746</v>
      </c>
    </row>
    <row r="1171" spans="1:33" x14ac:dyDescent="0.3">
      <c r="A1171" t="s">
        <v>682</v>
      </c>
      <c r="B1171" s="2">
        <v>45549</v>
      </c>
      <c r="C1171">
        <v>352.59300000000002</v>
      </c>
      <c r="D1171" t="s">
        <v>1809</v>
      </c>
      <c r="E1171">
        <v>63</v>
      </c>
      <c r="F1171" t="s">
        <v>16</v>
      </c>
      <c r="G1171" t="s">
        <v>1549</v>
      </c>
      <c r="H1171" t="s">
        <v>1742</v>
      </c>
      <c r="L1171" s="2">
        <v>45549</v>
      </c>
      <c r="M1171">
        <v>352.59300000000002</v>
      </c>
      <c r="R1171" t="s">
        <v>1809</v>
      </c>
      <c r="S1171">
        <v>352.59300000000002</v>
      </c>
      <c r="W1171" s="12" t="s">
        <v>16</v>
      </c>
      <c r="X1171" s="12" t="s">
        <v>1549</v>
      </c>
      <c r="Y1171">
        <v>352.59300000000002</v>
      </c>
      <c r="AF1171">
        <v>352.59300000000002</v>
      </c>
      <c r="AG1171" t="s">
        <v>1742</v>
      </c>
    </row>
    <row r="1172" spans="1:33" x14ac:dyDescent="0.3">
      <c r="A1172" t="s">
        <v>1067</v>
      </c>
      <c r="B1172" s="2">
        <v>45900</v>
      </c>
      <c r="C1172">
        <v>403.58850000000001</v>
      </c>
      <c r="D1172" t="s">
        <v>1812</v>
      </c>
      <c r="E1172">
        <v>39</v>
      </c>
      <c r="F1172" t="s">
        <v>9</v>
      </c>
      <c r="G1172" t="s">
        <v>1541</v>
      </c>
      <c r="H1172" t="s">
        <v>1742</v>
      </c>
      <c r="L1172" s="2">
        <v>45900</v>
      </c>
      <c r="M1172">
        <v>403.58850000000001</v>
      </c>
      <c r="R1172" t="s">
        <v>1812</v>
      </c>
      <c r="S1172">
        <v>403.58850000000001</v>
      </c>
      <c r="W1172" s="11" t="s">
        <v>9</v>
      </c>
      <c r="X1172" s="11" t="s">
        <v>1541</v>
      </c>
      <c r="Y1172">
        <v>403.58850000000001</v>
      </c>
      <c r="AF1172">
        <v>403.58850000000001</v>
      </c>
      <c r="AG1172" t="s">
        <v>1742</v>
      </c>
    </row>
    <row r="1173" spans="1:33" x14ac:dyDescent="0.3">
      <c r="A1173" t="s">
        <v>200</v>
      </c>
      <c r="B1173" s="2">
        <v>45308</v>
      </c>
      <c r="C1173">
        <v>449.51400000000001</v>
      </c>
      <c r="D1173" t="s">
        <v>1807</v>
      </c>
      <c r="E1173">
        <v>24</v>
      </c>
      <c r="F1173" t="s">
        <v>9</v>
      </c>
      <c r="G1173" t="s">
        <v>1546</v>
      </c>
      <c r="H1173" t="s">
        <v>1742</v>
      </c>
      <c r="L1173" s="2">
        <v>45308</v>
      </c>
      <c r="M1173">
        <v>449.51400000000001</v>
      </c>
      <c r="R1173" t="s">
        <v>1807</v>
      </c>
      <c r="S1173">
        <v>449.51400000000001</v>
      </c>
      <c r="W1173" s="12" t="s">
        <v>9</v>
      </c>
      <c r="X1173" s="12" t="s">
        <v>1546</v>
      </c>
      <c r="Y1173">
        <v>449.51400000000001</v>
      </c>
      <c r="AF1173">
        <v>449.51400000000001</v>
      </c>
      <c r="AG1173" t="s">
        <v>1742</v>
      </c>
    </row>
    <row r="1174" spans="1:33" x14ac:dyDescent="0.3">
      <c r="A1174" t="s">
        <v>86</v>
      </c>
      <c r="B1174" s="2">
        <v>45336</v>
      </c>
      <c r="C1174">
        <v>1187.1780000000001</v>
      </c>
      <c r="D1174" t="s">
        <v>1809</v>
      </c>
      <c r="E1174">
        <v>59</v>
      </c>
      <c r="F1174" t="s">
        <v>9</v>
      </c>
      <c r="G1174" t="s">
        <v>1527</v>
      </c>
      <c r="H1174" t="s">
        <v>1742</v>
      </c>
      <c r="L1174" s="2">
        <v>45336</v>
      </c>
      <c r="M1174">
        <v>1187.1780000000001</v>
      </c>
      <c r="R1174" t="s">
        <v>1809</v>
      </c>
      <c r="S1174">
        <v>1187.1780000000001</v>
      </c>
      <c r="W1174" s="11" t="s">
        <v>9</v>
      </c>
      <c r="X1174" s="11" t="s">
        <v>1527</v>
      </c>
      <c r="Y1174">
        <v>1187.1780000000001</v>
      </c>
      <c r="AF1174">
        <v>1187.1780000000001</v>
      </c>
      <c r="AG1174" t="s">
        <v>1742</v>
      </c>
    </row>
    <row r="1175" spans="1:33" x14ac:dyDescent="0.3">
      <c r="A1175" t="s">
        <v>892</v>
      </c>
      <c r="B1175" s="2">
        <v>45213</v>
      </c>
      <c r="C1175">
        <v>1175.4168</v>
      </c>
      <c r="D1175" t="s">
        <v>1809</v>
      </c>
      <c r="E1175">
        <v>54</v>
      </c>
      <c r="F1175" t="s">
        <v>9</v>
      </c>
      <c r="G1175" t="s">
        <v>1527</v>
      </c>
      <c r="H1175" t="s">
        <v>1742</v>
      </c>
      <c r="L1175" s="2">
        <v>45213</v>
      </c>
      <c r="M1175">
        <v>1175.4168</v>
      </c>
      <c r="R1175" t="s">
        <v>1809</v>
      </c>
      <c r="S1175">
        <v>1175.4168</v>
      </c>
      <c r="W1175" s="12" t="s">
        <v>9</v>
      </c>
      <c r="X1175" s="12" t="s">
        <v>1527</v>
      </c>
      <c r="Y1175">
        <v>1175.4168</v>
      </c>
      <c r="AF1175">
        <v>1175.4168</v>
      </c>
      <c r="AG1175" t="s">
        <v>1742</v>
      </c>
    </row>
    <row r="1176" spans="1:33" x14ac:dyDescent="0.3">
      <c r="A1176" t="s">
        <v>1422</v>
      </c>
      <c r="B1176" s="2">
        <v>45742</v>
      </c>
      <c r="C1176">
        <v>3440.0272</v>
      </c>
      <c r="D1176" t="s">
        <v>1809</v>
      </c>
      <c r="E1176">
        <v>63</v>
      </c>
      <c r="F1176" t="s">
        <v>16</v>
      </c>
      <c r="G1176" t="s">
        <v>1546</v>
      </c>
      <c r="H1176" t="s">
        <v>1746</v>
      </c>
      <c r="L1176" s="2">
        <v>45742</v>
      </c>
      <c r="M1176">
        <v>3440.0272</v>
      </c>
      <c r="R1176" t="s">
        <v>1809</v>
      </c>
      <c r="S1176">
        <v>3440.0272</v>
      </c>
      <c r="W1176" s="11" t="s">
        <v>16</v>
      </c>
      <c r="X1176" s="11" t="s">
        <v>1546</v>
      </c>
      <c r="Y1176">
        <v>3440.0272</v>
      </c>
      <c r="AF1176">
        <v>3440.0272</v>
      </c>
      <c r="AG1176" t="s">
        <v>1746</v>
      </c>
    </row>
    <row r="1177" spans="1:33" x14ac:dyDescent="0.3">
      <c r="A1177" t="s">
        <v>86</v>
      </c>
      <c r="B1177" s="2">
        <v>45932</v>
      </c>
      <c r="C1177">
        <v>645.30080000000009</v>
      </c>
      <c r="D1177" t="s">
        <v>1809</v>
      </c>
      <c r="E1177">
        <v>59</v>
      </c>
      <c r="F1177" t="s">
        <v>9</v>
      </c>
      <c r="G1177" t="s">
        <v>1541</v>
      </c>
      <c r="H1177" t="s">
        <v>1742</v>
      </c>
      <c r="L1177" s="2">
        <v>45932</v>
      </c>
      <c r="M1177">
        <v>645.30080000000009</v>
      </c>
      <c r="R1177" t="s">
        <v>1809</v>
      </c>
      <c r="S1177">
        <v>645.30080000000009</v>
      </c>
      <c r="W1177" s="12" t="s">
        <v>9</v>
      </c>
      <c r="X1177" s="12" t="s">
        <v>1541</v>
      </c>
      <c r="Y1177">
        <v>645.30080000000009</v>
      </c>
      <c r="AF1177">
        <v>645.30080000000009</v>
      </c>
      <c r="AG1177" t="s">
        <v>1742</v>
      </c>
    </row>
    <row r="1178" spans="1:33" x14ac:dyDescent="0.3">
      <c r="A1178" t="s">
        <v>1019</v>
      </c>
      <c r="B1178" s="2">
        <v>45462</v>
      </c>
      <c r="C1178">
        <v>190.7064</v>
      </c>
      <c r="D1178" t="s">
        <v>1812</v>
      </c>
      <c r="E1178">
        <v>46</v>
      </c>
      <c r="F1178" t="s">
        <v>9</v>
      </c>
      <c r="G1178" t="s">
        <v>1527</v>
      </c>
      <c r="H1178" t="s">
        <v>1742</v>
      </c>
      <c r="L1178" s="2">
        <v>45462</v>
      </c>
      <c r="M1178">
        <v>190.7064</v>
      </c>
      <c r="R1178" t="s">
        <v>1812</v>
      </c>
      <c r="S1178">
        <v>190.7064</v>
      </c>
      <c r="W1178" s="11" t="s">
        <v>9</v>
      </c>
      <c r="X1178" s="11" t="s">
        <v>1527</v>
      </c>
      <c r="Y1178">
        <v>190.7064</v>
      </c>
      <c r="AF1178">
        <v>190.7064</v>
      </c>
      <c r="AG1178" t="s">
        <v>1742</v>
      </c>
    </row>
    <row r="1179" spans="1:33" x14ac:dyDescent="0.3">
      <c r="A1179" t="s">
        <v>3942</v>
      </c>
      <c r="B1179" s="2">
        <v>45568</v>
      </c>
      <c r="C1179">
        <v>906.23660000000007</v>
      </c>
      <c r="D1179" t="s">
        <v>1807</v>
      </c>
      <c r="E1179">
        <v>48</v>
      </c>
      <c r="F1179" t="s">
        <v>16</v>
      </c>
      <c r="G1179" t="s">
        <v>1541</v>
      </c>
      <c r="H1179" t="s">
        <v>1742</v>
      </c>
      <c r="L1179" s="2">
        <v>45568</v>
      </c>
      <c r="M1179">
        <v>906.23660000000007</v>
      </c>
      <c r="R1179" t="s">
        <v>1807</v>
      </c>
      <c r="S1179">
        <v>906.23660000000007</v>
      </c>
      <c r="W1179" s="12" t="s">
        <v>16</v>
      </c>
      <c r="X1179" s="12" t="s">
        <v>1541</v>
      </c>
      <c r="Y1179">
        <v>906.23660000000007</v>
      </c>
      <c r="AF1179">
        <v>906.23660000000007</v>
      </c>
      <c r="AG1179" t="s">
        <v>1742</v>
      </c>
    </row>
    <row r="1180" spans="1:33" x14ac:dyDescent="0.3">
      <c r="A1180" t="s">
        <v>398</v>
      </c>
      <c r="B1180" s="2">
        <v>45397</v>
      </c>
      <c r="C1180">
        <v>1482.0798</v>
      </c>
      <c r="D1180" t="s">
        <v>1809</v>
      </c>
      <c r="E1180">
        <v>18</v>
      </c>
      <c r="F1180" t="s">
        <v>16</v>
      </c>
      <c r="G1180" t="s">
        <v>1541</v>
      </c>
      <c r="H1180" t="s">
        <v>1742</v>
      </c>
      <c r="L1180" s="2">
        <v>45397</v>
      </c>
      <c r="M1180">
        <v>1482.0798</v>
      </c>
      <c r="R1180" t="s">
        <v>1809</v>
      </c>
      <c r="S1180">
        <v>1482.0798</v>
      </c>
      <c r="W1180" s="11" t="s">
        <v>16</v>
      </c>
      <c r="X1180" s="11" t="s">
        <v>1541</v>
      </c>
      <c r="Y1180">
        <v>1482.0798</v>
      </c>
      <c r="AF1180">
        <v>1482.0798</v>
      </c>
      <c r="AG1180" t="s">
        <v>1742</v>
      </c>
    </row>
    <row r="1181" spans="1:33" x14ac:dyDescent="0.3">
      <c r="A1181" t="s">
        <v>555</v>
      </c>
      <c r="B1181" s="2">
        <v>45569</v>
      </c>
      <c r="C1181">
        <v>2102.424</v>
      </c>
      <c r="D1181" t="s">
        <v>1807</v>
      </c>
      <c r="E1181">
        <v>64</v>
      </c>
      <c r="F1181" t="s">
        <v>9</v>
      </c>
      <c r="G1181" t="s">
        <v>1549</v>
      </c>
      <c r="H1181" t="s">
        <v>1742</v>
      </c>
      <c r="L1181" s="2">
        <v>45569</v>
      </c>
      <c r="M1181">
        <v>2102.424</v>
      </c>
      <c r="R1181" t="s">
        <v>1807</v>
      </c>
      <c r="S1181">
        <v>2102.424</v>
      </c>
      <c r="W1181" s="12" t="s">
        <v>9</v>
      </c>
      <c r="X1181" s="12" t="s">
        <v>1549</v>
      </c>
      <c r="Y1181">
        <v>2102.424</v>
      </c>
      <c r="AF1181">
        <v>2102.424</v>
      </c>
      <c r="AG1181" t="s">
        <v>1742</v>
      </c>
    </row>
    <row r="1182" spans="1:33" x14ac:dyDescent="0.3">
      <c r="A1182" t="s">
        <v>871</v>
      </c>
      <c r="B1182" s="2">
        <v>45353</v>
      </c>
      <c r="C1182">
        <v>1219.2570000000001</v>
      </c>
      <c r="D1182" t="s">
        <v>1812</v>
      </c>
      <c r="E1182">
        <v>22</v>
      </c>
      <c r="F1182" t="s">
        <v>16</v>
      </c>
      <c r="G1182" t="s">
        <v>1527</v>
      </c>
      <c r="H1182" t="s">
        <v>1746</v>
      </c>
      <c r="L1182" s="2">
        <v>45353</v>
      </c>
      <c r="M1182">
        <v>1219.2570000000001</v>
      </c>
      <c r="R1182" t="s">
        <v>1812</v>
      </c>
      <c r="S1182">
        <v>1219.2570000000001</v>
      </c>
      <c r="W1182" s="11" t="s">
        <v>16</v>
      </c>
      <c r="X1182" s="11" t="s">
        <v>1527</v>
      </c>
      <c r="Y1182">
        <v>1219.2570000000001</v>
      </c>
      <c r="AF1182">
        <v>1219.2570000000001</v>
      </c>
      <c r="AG1182" t="s">
        <v>1746</v>
      </c>
    </row>
    <row r="1183" spans="1:33" x14ac:dyDescent="0.3">
      <c r="A1183" t="s">
        <v>209</v>
      </c>
      <c r="B1183" s="2">
        <v>45343</v>
      </c>
      <c r="C1183">
        <v>1655.7170000000001</v>
      </c>
      <c r="D1183" t="s">
        <v>1807</v>
      </c>
      <c r="E1183">
        <v>43</v>
      </c>
      <c r="F1183" t="s">
        <v>16</v>
      </c>
      <c r="G1183" t="s">
        <v>1549</v>
      </c>
      <c r="H1183" t="s">
        <v>1767</v>
      </c>
      <c r="L1183" s="2">
        <v>45343</v>
      </c>
      <c r="M1183">
        <v>1655.7170000000001</v>
      </c>
      <c r="R1183" t="s">
        <v>1807</v>
      </c>
      <c r="S1183">
        <v>1655.7170000000001</v>
      </c>
      <c r="W1183" s="12" t="s">
        <v>16</v>
      </c>
      <c r="X1183" s="12" t="s">
        <v>1549</v>
      </c>
      <c r="Y1183">
        <v>1655.7170000000001</v>
      </c>
      <c r="AF1183">
        <v>1655.7170000000001</v>
      </c>
      <c r="AG1183" t="s">
        <v>1767</v>
      </c>
    </row>
    <row r="1184" spans="1:33" x14ac:dyDescent="0.3">
      <c r="A1184" t="s">
        <v>1385</v>
      </c>
      <c r="B1184" s="2">
        <v>45321</v>
      </c>
      <c r="C1184">
        <v>422.01299999999998</v>
      </c>
      <c r="D1184" t="s">
        <v>1807</v>
      </c>
      <c r="E1184">
        <v>60</v>
      </c>
      <c r="F1184" t="s">
        <v>9</v>
      </c>
      <c r="G1184" t="s">
        <v>1530</v>
      </c>
      <c r="H1184" t="s">
        <v>1746</v>
      </c>
      <c r="L1184" s="2">
        <v>45321</v>
      </c>
      <c r="M1184">
        <v>422.01299999999998</v>
      </c>
      <c r="R1184" t="s">
        <v>1807</v>
      </c>
      <c r="S1184">
        <v>422.01299999999998</v>
      </c>
      <c r="W1184" s="11" t="s">
        <v>9</v>
      </c>
      <c r="X1184" s="11" t="s">
        <v>1530</v>
      </c>
      <c r="Y1184">
        <v>422.01299999999998</v>
      </c>
      <c r="AF1184">
        <v>422.01299999999998</v>
      </c>
      <c r="AG1184" t="s">
        <v>1746</v>
      </c>
    </row>
    <row r="1185" spans="1:33" x14ac:dyDescent="0.3">
      <c r="A1185" t="s">
        <v>673</v>
      </c>
      <c r="B1185" s="2">
        <v>45650</v>
      </c>
      <c r="C1185">
        <v>429.32159999999999</v>
      </c>
      <c r="D1185" t="s">
        <v>1812</v>
      </c>
      <c r="E1185">
        <v>35</v>
      </c>
      <c r="F1185" t="s">
        <v>9</v>
      </c>
      <c r="G1185" t="s">
        <v>1546</v>
      </c>
      <c r="H1185" t="s">
        <v>1742</v>
      </c>
      <c r="L1185" s="2">
        <v>45650</v>
      </c>
      <c r="M1185">
        <v>429.32159999999999</v>
      </c>
      <c r="R1185" t="s">
        <v>1812</v>
      </c>
      <c r="S1185">
        <v>429.32159999999999</v>
      </c>
      <c r="W1185" s="12" t="s">
        <v>9</v>
      </c>
      <c r="X1185" s="12" t="s">
        <v>1546</v>
      </c>
      <c r="Y1185">
        <v>429.32159999999999</v>
      </c>
      <c r="AF1185">
        <v>429.32159999999999</v>
      </c>
      <c r="AG1185" t="s">
        <v>1742</v>
      </c>
    </row>
    <row r="1186" spans="1:33" x14ac:dyDescent="0.3">
      <c r="A1186" t="s">
        <v>722</v>
      </c>
      <c r="B1186" s="2">
        <v>45811</v>
      </c>
      <c r="C1186">
        <v>1639.2095999999999</v>
      </c>
      <c r="D1186" t="s">
        <v>1812</v>
      </c>
      <c r="E1186">
        <v>54</v>
      </c>
      <c r="F1186" t="s">
        <v>9</v>
      </c>
      <c r="G1186" t="s">
        <v>1541</v>
      </c>
      <c r="H1186" t="s">
        <v>1742</v>
      </c>
      <c r="L1186" s="2">
        <v>45811</v>
      </c>
      <c r="M1186">
        <v>1639.2095999999999</v>
      </c>
      <c r="R1186" t="s">
        <v>1812</v>
      </c>
      <c r="S1186">
        <v>1639.2095999999999</v>
      </c>
      <c r="W1186" s="11" t="s">
        <v>9</v>
      </c>
      <c r="X1186" s="11" t="s">
        <v>1541</v>
      </c>
      <c r="Y1186">
        <v>1639.2095999999999</v>
      </c>
      <c r="AF1186">
        <v>1639.2095999999999</v>
      </c>
      <c r="AG1186" t="s">
        <v>1742</v>
      </c>
    </row>
    <row r="1187" spans="1:33" x14ac:dyDescent="0.3">
      <c r="A1187" t="s">
        <v>3949</v>
      </c>
      <c r="B1187" s="2">
        <v>45505</v>
      </c>
      <c r="C1187">
        <v>85.169700000000006</v>
      </c>
      <c r="D1187" t="s">
        <v>1807</v>
      </c>
      <c r="E1187">
        <v>45</v>
      </c>
      <c r="F1187" t="s">
        <v>16</v>
      </c>
      <c r="G1187" t="s">
        <v>1546</v>
      </c>
      <c r="H1187" t="s">
        <v>1742</v>
      </c>
      <c r="L1187" s="2">
        <v>45505</v>
      </c>
      <c r="M1187">
        <v>85.169700000000006</v>
      </c>
      <c r="R1187" t="s">
        <v>1807</v>
      </c>
      <c r="S1187">
        <v>85.169700000000006</v>
      </c>
      <c r="W1187" s="12" t="s">
        <v>16</v>
      </c>
      <c r="X1187" s="12" t="s">
        <v>1546</v>
      </c>
      <c r="Y1187">
        <v>85.169700000000006</v>
      </c>
      <c r="AF1187">
        <v>85.169700000000006</v>
      </c>
      <c r="AG1187" t="s">
        <v>1742</v>
      </c>
    </row>
    <row r="1188" spans="1:33" x14ac:dyDescent="0.3">
      <c r="A1188" t="s">
        <v>3939</v>
      </c>
      <c r="B1188" s="2">
        <v>45897</v>
      </c>
      <c r="C1188">
        <v>2397.4079999999999</v>
      </c>
      <c r="D1188" t="s">
        <v>1809</v>
      </c>
      <c r="E1188">
        <v>58</v>
      </c>
      <c r="F1188" t="s">
        <v>9</v>
      </c>
      <c r="G1188" t="s">
        <v>1549</v>
      </c>
      <c r="H1188" t="s">
        <v>1742</v>
      </c>
      <c r="L1188" s="2">
        <v>45897</v>
      </c>
      <c r="M1188">
        <v>2397.4079999999999</v>
      </c>
      <c r="R1188" t="s">
        <v>1809</v>
      </c>
      <c r="S1188">
        <v>2397.4079999999999</v>
      </c>
      <c r="W1188" s="11" t="s">
        <v>9</v>
      </c>
      <c r="X1188" s="11" t="s">
        <v>1549</v>
      </c>
      <c r="Y1188">
        <v>2397.4079999999999</v>
      </c>
      <c r="AF1188">
        <v>2397.4079999999999</v>
      </c>
      <c r="AG1188" t="s">
        <v>1742</v>
      </c>
    </row>
    <row r="1189" spans="1:33" x14ac:dyDescent="0.3">
      <c r="A1189" t="s">
        <v>1148</v>
      </c>
      <c r="B1189" s="2">
        <v>45602</v>
      </c>
      <c r="C1189">
        <v>296.31689999999998</v>
      </c>
      <c r="D1189" t="s">
        <v>1809</v>
      </c>
      <c r="E1189">
        <v>28</v>
      </c>
      <c r="F1189" t="s">
        <v>9</v>
      </c>
      <c r="G1189" t="s">
        <v>1530</v>
      </c>
      <c r="H1189" t="s">
        <v>1742</v>
      </c>
      <c r="L1189" s="2">
        <v>45602</v>
      </c>
      <c r="M1189">
        <v>296.31689999999998</v>
      </c>
      <c r="R1189" t="s">
        <v>1809</v>
      </c>
      <c r="S1189">
        <v>296.31689999999998</v>
      </c>
      <c r="W1189" s="12" t="s">
        <v>9</v>
      </c>
      <c r="X1189" s="12" t="s">
        <v>1530</v>
      </c>
      <c r="Y1189">
        <v>296.31689999999998</v>
      </c>
      <c r="AF1189">
        <v>296.31689999999998</v>
      </c>
      <c r="AG1189" t="s">
        <v>1742</v>
      </c>
    </row>
    <row r="1190" spans="1:33" x14ac:dyDescent="0.3">
      <c r="A1190" t="s">
        <v>676</v>
      </c>
      <c r="B1190" s="2">
        <v>45530</v>
      </c>
      <c r="C1190">
        <v>285.96719999999999</v>
      </c>
      <c r="D1190" t="s">
        <v>1809</v>
      </c>
      <c r="E1190">
        <v>48</v>
      </c>
      <c r="F1190" t="s">
        <v>9</v>
      </c>
      <c r="G1190" t="s">
        <v>1546</v>
      </c>
      <c r="H1190" t="s">
        <v>1746</v>
      </c>
      <c r="L1190" s="2">
        <v>45530</v>
      </c>
      <c r="M1190">
        <v>285.96719999999999</v>
      </c>
      <c r="R1190" t="s">
        <v>1809</v>
      </c>
      <c r="S1190">
        <v>285.96719999999999</v>
      </c>
      <c r="W1190" s="11" t="s">
        <v>9</v>
      </c>
      <c r="X1190" s="11" t="s">
        <v>1546</v>
      </c>
      <c r="Y1190">
        <v>285.96719999999999</v>
      </c>
      <c r="AF1190">
        <v>285.96719999999999</v>
      </c>
      <c r="AG1190" t="s">
        <v>1746</v>
      </c>
    </row>
    <row r="1191" spans="1:33" x14ac:dyDescent="0.3">
      <c r="A1191" t="s">
        <v>673</v>
      </c>
      <c r="B1191" s="2">
        <v>45729</v>
      </c>
      <c r="C1191">
        <v>304.76749999999998</v>
      </c>
      <c r="D1191" t="s">
        <v>1807</v>
      </c>
      <c r="E1191">
        <v>35</v>
      </c>
      <c r="F1191" t="s">
        <v>9</v>
      </c>
      <c r="G1191" t="s">
        <v>1546</v>
      </c>
      <c r="H1191" t="s">
        <v>1742</v>
      </c>
      <c r="L1191" s="2">
        <v>45729</v>
      </c>
      <c r="M1191">
        <v>304.76749999999998</v>
      </c>
      <c r="R1191" t="s">
        <v>1807</v>
      </c>
      <c r="S1191">
        <v>304.76749999999998</v>
      </c>
      <c r="W1191" s="12" t="s">
        <v>9</v>
      </c>
      <c r="X1191" s="12" t="s">
        <v>1546</v>
      </c>
      <c r="Y1191">
        <v>304.76749999999998</v>
      </c>
      <c r="AF1191">
        <v>304.76749999999998</v>
      </c>
      <c r="AG1191" t="s">
        <v>1742</v>
      </c>
    </row>
    <row r="1192" spans="1:33" x14ac:dyDescent="0.3">
      <c r="A1192" t="s">
        <v>1356</v>
      </c>
      <c r="B1192" s="2">
        <v>45468</v>
      </c>
      <c r="C1192">
        <v>767.48159999999996</v>
      </c>
      <c r="D1192" t="s">
        <v>1807</v>
      </c>
      <c r="E1192">
        <v>19</v>
      </c>
      <c r="F1192" t="s">
        <v>9</v>
      </c>
      <c r="G1192" t="s">
        <v>1546</v>
      </c>
      <c r="H1192" t="s">
        <v>1746</v>
      </c>
      <c r="L1192" s="2">
        <v>45468</v>
      </c>
      <c r="M1192">
        <v>767.48159999999996</v>
      </c>
      <c r="R1192" t="s">
        <v>1807</v>
      </c>
      <c r="S1192">
        <v>767.48159999999996</v>
      </c>
      <c r="W1192" s="11" t="s">
        <v>9</v>
      </c>
      <c r="X1192" s="11" t="s">
        <v>1546</v>
      </c>
      <c r="Y1192">
        <v>767.48159999999996</v>
      </c>
      <c r="AF1192">
        <v>767.48159999999996</v>
      </c>
      <c r="AG1192" t="s">
        <v>1746</v>
      </c>
    </row>
    <row r="1193" spans="1:33" x14ac:dyDescent="0.3">
      <c r="A1193" t="s">
        <v>851</v>
      </c>
      <c r="B1193" s="2">
        <v>45936</v>
      </c>
      <c r="C1193">
        <v>1147.4495999999999</v>
      </c>
      <c r="D1193" t="s">
        <v>1809</v>
      </c>
      <c r="E1193">
        <v>31</v>
      </c>
      <c r="F1193" t="s">
        <v>16</v>
      </c>
      <c r="G1193" t="s">
        <v>1541</v>
      </c>
      <c r="H1193" t="s">
        <v>1742</v>
      </c>
      <c r="L1193" s="2">
        <v>45936</v>
      </c>
      <c r="M1193">
        <v>1147.4495999999999</v>
      </c>
      <c r="R1193" t="s">
        <v>1809</v>
      </c>
      <c r="S1193">
        <v>1147.4495999999999</v>
      </c>
      <c r="W1193" s="12" t="s">
        <v>16</v>
      </c>
      <c r="X1193" s="12" t="s">
        <v>1541</v>
      </c>
      <c r="Y1193">
        <v>1147.4495999999999</v>
      </c>
      <c r="AF1193">
        <v>1147.4495999999999</v>
      </c>
      <c r="AG1193" t="s">
        <v>1742</v>
      </c>
    </row>
    <row r="1194" spans="1:33" x14ac:dyDescent="0.3">
      <c r="A1194" t="s">
        <v>111</v>
      </c>
      <c r="B1194" s="2">
        <v>45622</v>
      </c>
      <c r="C1194">
        <v>1776.3743999999999</v>
      </c>
      <c r="D1194" t="s">
        <v>1809</v>
      </c>
      <c r="E1194">
        <v>31</v>
      </c>
      <c r="F1194" t="s">
        <v>9</v>
      </c>
      <c r="G1194" t="s">
        <v>1530</v>
      </c>
      <c r="H1194" t="s">
        <v>1742</v>
      </c>
      <c r="L1194" s="2">
        <v>45622</v>
      </c>
      <c r="M1194">
        <v>1776.3743999999999</v>
      </c>
      <c r="R1194" t="s">
        <v>1809</v>
      </c>
      <c r="S1194">
        <v>1776.3743999999999</v>
      </c>
      <c r="W1194" s="11" t="s">
        <v>9</v>
      </c>
      <c r="X1194" s="11" t="s">
        <v>1530</v>
      </c>
      <c r="Y1194">
        <v>1776.3743999999999</v>
      </c>
      <c r="AF1194">
        <v>1776.3743999999999</v>
      </c>
      <c r="AG1194" t="s">
        <v>1742</v>
      </c>
    </row>
    <row r="1195" spans="1:33" x14ac:dyDescent="0.3">
      <c r="A1195" t="s">
        <v>821</v>
      </c>
      <c r="B1195" s="2">
        <v>45705</v>
      </c>
      <c r="C1195">
        <v>545.80500000000006</v>
      </c>
      <c r="D1195" t="s">
        <v>1807</v>
      </c>
      <c r="E1195">
        <v>63</v>
      </c>
      <c r="F1195" t="s">
        <v>16</v>
      </c>
      <c r="G1195" t="s">
        <v>1530</v>
      </c>
      <c r="H1195" t="s">
        <v>1737</v>
      </c>
      <c r="L1195" s="2">
        <v>45705</v>
      </c>
      <c r="M1195">
        <v>545.80500000000006</v>
      </c>
      <c r="R1195" t="s">
        <v>1807</v>
      </c>
      <c r="S1195">
        <v>545.80500000000006</v>
      </c>
      <c r="W1195" s="12" t="s">
        <v>16</v>
      </c>
      <c r="X1195" s="12" t="s">
        <v>1530</v>
      </c>
      <c r="Y1195">
        <v>545.80500000000006</v>
      </c>
      <c r="AF1195">
        <v>545.80500000000006</v>
      </c>
      <c r="AG1195" t="s">
        <v>1737</v>
      </c>
    </row>
    <row r="1196" spans="1:33" x14ac:dyDescent="0.3">
      <c r="A1196" t="s">
        <v>1136</v>
      </c>
      <c r="B1196" s="2">
        <v>45250</v>
      </c>
      <c r="C1196">
        <v>945.12599999999998</v>
      </c>
      <c r="D1196" t="s">
        <v>1809</v>
      </c>
      <c r="E1196">
        <v>34</v>
      </c>
      <c r="F1196" t="s">
        <v>16</v>
      </c>
      <c r="G1196" t="s">
        <v>1546</v>
      </c>
      <c r="H1196" t="s">
        <v>1742</v>
      </c>
      <c r="L1196" s="2">
        <v>45250</v>
      </c>
      <c r="M1196">
        <v>945.12599999999998</v>
      </c>
      <c r="R1196" t="s">
        <v>1809</v>
      </c>
      <c r="S1196">
        <v>945.12599999999998</v>
      </c>
      <c r="W1196" s="11" t="s">
        <v>16</v>
      </c>
      <c r="X1196" s="11" t="s">
        <v>1546</v>
      </c>
      <c r="Y1196">
        <v>945.12599999999998</v>
      </c>
      <c r="AF1196">
        <v>945.12599999999998</v>
      </c>
      <c r="AG1196" t="s">
        <v>1742</v>
      </c>
    </row>
    <row r="1197" spans="1:33" x14ac:dyDescent="0.3">
      <c r="A1197" t="s">
        <v>1494</v>
      </c>
      <c r="B1197" s="2">
        <v>45684</v>
      </c>
      <c r="C1197">
        <v>2232.5688</v>
      </c>
      <c r="D1197" t="s">
        <v>1812</v>
      </c>
      <c r="E1197">
        <v>59</v>
      </c>
      <c r="F1197" t="s">
        <v>16</v>
      </c>
      <c r="G1197" t="s">
        <v>1541</v>
      </c>
      <c r="H1197" t="s">
        <v>1742</v>
      </c>
      <c r="L1197" s="2">
        <v>45684</v>
      </c>
      <c r="M1197">
        <v>2232.5688</v>
      </c>
      <c r="R1197" t="s">
        <v>1812</v>
      </c>
      <c r="S1197">
        <v>2232.5688</v>
      </c>
      <c r="W1197" s="12" t="s">
        <v>16</v>
      </c>
      <c r="X1197" s="12" t="s">
        <v>1541</v>
      </c>
      <c r="Y1197">
        <v>2232.5688</v>
      </c>
      <c r="AF1197">
        <v>2232.5688</v>
      </c>
      <c r="AG1197" t="s">
        <v>1742</v>
      </c>
    </row>
    <row r="1198" spans="1:33" x14ac:dyDescent="0.3">
      <c r="A1198" t="s">
        <v>954</v>
      </c>
      <c r="B1198" s="2">
        <v>45395</v>
      </c>
      <c r="C1198">
        <v>2971.0295999999998</v>
      </c>
      <c r="D1198" t="s">
        <v>1809</v>
      </c>
      <c r="E1198">
        <v>44</v>
      </c>
      <c r="F1198" t="s">
        <v>9</v>
      </c>
      <c r="G1198" t="s">
        <v>1527</v>
      </c>
      <c r="H1198" t="s">
        <v>1742</v>
      </c>
      <c r="L1198" s="2">
        <v>45395</v>
      </c>
      <c r="M1198">
        <v>2971.0295999999998</v>
      </c>
      <c r="R1198" t="s">
        <v>1809</v>
      </c>
      <c r="S1198">
        <v>2971.0295999999998</v>
      </c>
      <c r="W1198" s="11" t="s">
        <v>9</v>
      </c>
      <c r="X1198" s="11" t="s">
        <v>1527</v>
      </c>
      <c r="Y1198">
        <v>2971.0295999999998</v>
      </c>
      <c r="AF1198">
        <v>2971.0295999999998</v>
      </c>
      <c r="AG1198" t="s">
        <v>1742</v>
      </c>
    </row>
    <row r="1199" spans="1:33" x14ac:dyDescent="0.3">
      <c r="A1199" t="s">
        <v>1034</v>
      </c>
      <c r="B1199" s="2">
        <v>45382</v>
      </c>
      <c r="C1199">
        <v>942.01600000000008</v>
      </c>
      <c r="D1199" t="s">
        <v>1807</v>
      </c>
      <c r="E1199">
        <v>64</v>
      </c>
      <c r="F1199" t="s">
        <v>16</v>
      </c>
      <c r="G1199" t="s">
        <v>1527</v>
      </c>
      <c r="H1199" t="s">
        <v>1742</v>
      </c>
      <c r="L1199" s="2">
        <v>45382</v>
      </c>
      <c r="M1199">
        <v>942.01600000000008</v>
      </c>
      <c r="R1199" t="s">
        <v>1807</v>
      </c>
      <c r="S1199">
        <v>942.01600000000008</v>
      </c>
      <c r="W1199" s="12" t="s">
        <v>16</v>
      </c>
      <c r="X1199" s="12" t="s">
        <v>1527</v>
      </c>
      <c r="Y1199">
        <v>942.01600000000008</v>
      </c>
      <c r="AF1199">
        <v>942.01600000000008</v>
      </c>
      <c r="AG1199" t="s">
        <v>1742</v>
      </c>
    </row>
    <row r="1200" spans="1:33" x14ac:dyDescent="0.3">
      <c r="A1200" t="s">
        <v>343</v>
      </c>
      <c r="B1200" s="2">
        <v>45919</v>
      </c>
      <c r="C1200">
        <v>1628.0208</v>
      </c>
      <c r="D1200" t="s">
        <v>1809</v>
      </c>
      <c r="E1200">
        <v>24</v>
      </c>
      <c r="F1200" t="s">
        <v>9</v>
      </c>
      <c r="G1200" t="s">
        <v>1530</v>
      </c>
      <c r="H1200" t="s">
        <v>1746</v>
      </c>
      <c r="L1200" s="2">
        <v>45919</v>
      </c>
      <c r="M1200">
        <v>1628.0208</v>
      </c>
      <c r="R1200" t="s">
        <v>1809</v>
      </c>
      <c r="S1200">
        <v>1628.0208</v>
      </c>
      <c r="W1200" s="11" t="s">
        <v>9</v>
      </c>
      <c r="X1200" s="11" t="s">
        <v>1530</v>
      </c>
      <c r="Y1200">
        <v>1628.0208</v>
      </c>
      <c r="AF1200">
        <v>1628.0208</v>
      </c>
      <c r="AG1200" t="s">
        <v>1746</v>
      </c>
    </row>
    <row r="1201" spans="1:33" x14ac:dyDescent="0.3">
      <c r="A1201" t="s">
        <v>1434</v>
      </c>
      <c r="B1201" s="2">
        <v>45453</v>
      </c>
      <c r="C1201">
        <v>889.30799999999999</v>
      </c>
      <c r="D1201" t="s">
        <v>1812</v>
      </c>
      <c r="E1201">
        <v>42</v>
      </c>
      <c r="F1201" t="s">
        <v>9</v>
      </c>
      <c r="G1201" t="s">
        <v>1541</v>
      </c>
      <c r="H1201" t="s">
        <v>1742</v>
      </c>
      <c r="L1201" s="2">
        <v>45453</v>
      </c>
      <c r="M1201">
        <v>889.30799999999999</v>
      </c>
      <c r="R1201" t="s">
        <v>1812</v>
      </c>
      <c r="S1201">
        <v>889.30799999999999</v>
      </c>
      <c r="W1201" s="12" t="s">
        <v>9</v>
      </c>
      <c r="X1201" s="12" t="s">
        <v>1541</v>
      </c>
      <c r="Y1201">
        <v>889.30799999999999</v>
      </c>
      <c r="AF1201">
        <v>889.30799999999999</v>
      </c>
      <c r="AG1201" t="s">
        <v>1742</v>
      </c>
    </row>
    <row r="1202" spans="1:33" x14ac:dyDescent="0.3">
      <c r="A1202" t="s">
        <v>1313</v>
      </c>
      <c r="B1202" s="2">
        <v>45313</v>
      </c>
      <c r="C1202">
        <v>661.7595</v>
      </c>
      <c r="D1202" t="s">
        <v>1812</v>
      </c>
      <c r="E1202">
        <v>43</v>
      </c>
      <c r="F1202" t="s">
        <v>9</v>
      </c>
      <c r="G1202" t="s">
        <v>1541</v>
      </c>
      <c r="H1202" t="s">
        <v>1746</v>
      </c>
      <c r="L1202" s="2">
        <v>45313</v>
      </c>
      <c r="M1202">
        <v>661.7595</v>
      </c>
      <c r="R1202" t="s">
        <v>1812</v>
      </c>
      <c r="S1202">
        <v>661.7595</v>
      </c>
      <c r="W1202" s="11" t="s">
        <v>9</v>
      </c>
      <c r="X1202" s="11" t="s">
        <v>1541</v>
      </c>
      <c r="Y1202">
        <v>661.7595</v>
      </c>
      <c r="AF1202">
        <v>661.7595</v>
      </c>
      <c r="AG1202" t="s">
        <v>1746</v>
      </c>
    </row>
    <row r="1203" spans="1:33" x14ac:dyDescent="0.3">
      <c r="A1203" t="s">
        <v>356</v>
      </c>
      <c r="B1203" s="2">
        <v>45377</v>
      </c>
      <c r="C1203">
        <v>1845.9659999999999</v>
      </c>
      <c r="D1203" t="s">
        <v>1807</v>
      </c>
      <c r="E1203">
        <v>34</v>
      </c>
      <c r="F1203" t="s">
        <v>16</v>
      </c>
      <c r="G1203" t="s">
        <v>1549</v>
      </c>
      <c r="H1203" t="s">
        <v>1742</v>
      </c>
      <c r="L1203" s="2">
        <v>45377</v>
      </c>
      <c r="M1203">
        <v>1845.9659999999999</v>
      </c>
      <c r="R1203" t="s">
        <v>1807</v>
      </c>
      <c r="S1203">
        <v>1845.9659999999999</v>
      </c>
      <c r="W1203" s="12" t="s">
        <v>16</v>
      </c>
      <c r="X1203" s="12" t="s">
        <v>1549</v>
      </c>
      <c r="Y1203">
        <v>1845.9659999999999</v>
      </c>
      <c r="AF1203">
        <v>1845.9659999999999</v>
      </c>
      <c r="AG1203" t="s">
        <v>1742</v>
      </c>
    </row>
    <row r="1204" spans="1:33" x14ac:dyDescent="0.3">
      <c r="A1204" t="s">
        <v>836</v>
      </c>
      <c r="B1204" s="2">
        <v>45371</v>
      </c>
      <c r="C1204">
        <v>1828.1120000000001</v>
      </c>
      <c r="D1204" t="s">
        <v>1812</v>
      </c>
      <c r="E1204">
        <v>38</v>
      </c>
      <c r="F1204" t="s">
        <v>9</v>
      </c>
      <c r="G1204" t="s">
        <v>1541</v>
      </c>
      <c r="H1204" t="s">
        <v>1746</v>
      </c>
      <c r="L1204" s="2">
        <v>45371</v>
      </c>
      <c r="M1204">
        <v>1828.1120000000001</v>
      </c>
      <c r="R1204" t="s">
        <v>1812</v>
      </c>
      <c r="S1204">
        <v>1828.1120000000001</v>
      </c>
      <c r="W1204" s="11" t="s">
        <v>9</v>
      </c>
      <c r="X1204" s="11" t="s">
        <v>1541</v>
      </c>
      <c r="Y1204">
        <v>1828.1120000000001</v>
      </c>
      <c r="AF1204">
        <v>1828.1120000000001</v>
      </c>
      <c r="AG1204" t="s">
        <v>1746</v>
      </c>
    </row>
    <row r="1205" spans="1:33" x14ac:dyDescent="0.3">
      <c r="A1205" t="s">
        <v>1169</v>
      </c>
      <c r="B1205" s="2">
        <v>45797</v>
      </c>
      <c r="C1205">
        <v>593.79</v>
      </c>
      <c r="D1205" t="s">
        <v>1812</v>
      </c>
      <c r="E1205">
        <v>34</v>
      </c>
      <c r="F1205" t="s">
        <v>16</v>
      </c>
      <c r="G1205" t="s">
        <v>1546</v>
      </c>
      <c r="H1205" t="s">
        <v>1742</v>
      </c>
      <c r="L1205" s="2">
        <v>45797</v>
      </c>
      <c r="M1205">
        <v>593.79</v>
      </c>
      <c r="R1205" t="s">
        <v>1812</v>
      </c>
      <c r="S1205">
        <v>593.79</v>
      </c>
      <c r="W1205" s="12" t="s">
        <v>16</v>
      </c>
      <c r="X1205" s="12" t="s">
        <v>1546</v>
      </c>
      <c r="Y1205">
        <v>593.79</v>
      </c>
      <c r="AF1205">
        <v>593.79</v>
      </c>
      <c r="AG1205" t="s">
        <v>1742</v>
      </c>
    </row>
    <row r="1206" spans="1:33" x14ac:dyDescent="0.3">
      <c r="A1206" t="s">
        <v>1064</v>
      </c>
      <c r="B1206" s="2">
        <v>45575</v>
      </c>
      <c r="C1206">
        <v>1900.1135999999999</v>
      </c>
      <c r="D1206" t="s">
        <v>1809</v>
      </c>
      <c r="E1206">
        <v>38</v>
      </c>
      <c r="F1206" t="s">
        <v>9</v>
      </c>
      <c r="G1206" t="s">
        <v>1527</v>
      </c>
      <c r="H1206" t="s">
        <v>1742</v>
      </c>
      <c r="L1206" s="2">
        <v>45575</v>
      </c>
      <c r="M1206">
        <v>1900.1135999999999</v>
      </c>
      <c r="R1206" t="s">
        <v>1809</v>
      </c>
      <c r="S1206">
        <v>1900.1135999999999</v>
      </c>
      <c r="W1206" s="11" t="s">
        <v>9</v>
      </c>
      <c r="X1206" s="11" t="s">
        <v>1527</v>
      </c>
      <c r="Y1206">
        <v>1900.1135999999999</v>
      </c>
      <c r="AF1206">
        <v>1900.1135999999999</v>
      </c>
      <c r="AG1206" t="s">
        <v>1742</v>
      </c>
    </row>
    <row r="1207" spans="1:33" x14ac:dyDescent="0.3">
      <c r="A1207" t="s">
        <v>1233</v>
      </c>
      <c r="B1207" s="2">
        <v>45566</v>
      </c>
      <c r="C1207">
        <v>2950.14</v>
      </c>
      <c r="D1207" t="s">
        <v>1812</v>
      </c>
      <c r="E1207">
        <v>51</v>
      </c>
      <c r="F1207" t="s">
        <v>16</v>
      </c>
      <c r="G1207" t="s">
        <v>1546</v>
      </c>
      <c r="H1207" t="s">
        <v>1746</v>
      </c>
      <c r="L1207" s="2">
        <v>45566</v>
      </c>
      <c r="M1207">
        <v>2950.14</v>
      </c>
      <c r="R1207" t="s">
        <v>1812</v>
      </c>
      <c r="S1207">
        <v>2950.14</v>
      </c>
      <c r="W1207" s="12" t="s">
        <v>16</v>
      </c>
      <c r="X1207" s="12" t="s">
        <v>1546</v>
      </c>
      <c r="Y1207">
        <v>2950.14</v>
      </c>
      <c r="AF1207">
        <v>2950.14</v>
      </c>
      <c r="AG1207" t="s">
        <v>1746</v>
      </c>
    </row>
    <row r="1208" spans="1:33" x14ac:dyDescent="0.3">
      <c r="A1208" t="s">
        <v>747</v>
      </c>
      <c r="B1208" s="2">
        <v>45252</v>
      </c>
      <c r="C1208">
        <v>821.35159999999996</v>
      </c>
      <c r="D1208" t="s">
        <v>1807</v>
      </c>
      <c r="E1208">
        <v>28</v>
      </c>
      <c r="F1208" t="s">
        <v>16</v>
      </c>
      <c r="G1208" t="s">
        <v>1527</v>
      </c>
      <c r="H1208" t="s">
        <v>1746</v>
      </c>
      <c r="L1208" s="2">
        <v>45252</v>
      </c>
      <c r="M1208">
        <v>821.35159999999996</v>
      </c>
      <c r="R1208" t="s">
        <v>1807</v>
      </c>
      <c r="S1208">
        <v>821.35159999999996</v>
      </c>
      <c r="W1208" s="11" t="s">
        <v>16</v>
      </c>
      <c r="X1208" s="11" t="s">
        <v>1527</v>
      </c>
      <c r="Y1208">
        <v>821.35159999999996</v>
      </c>
      <c r="AF1208">
        <v>821.35159999999996</v>
      </c>
      <c r="AG1208" t="s">
        <v>1746</v>
      </c>
    </row>
    <row r="1209" spans="1:33" x14ac:dyDescent="0.3">
      <c r="A1209" t="s">
        <v>1093</v>
      </c>
      <c r="B1209" s="2">
        <v>45693</v>
      </c>
      <c r="C1209">
        <v>1756.5324000000001</v>
      </c>
      <c r="D1209" t="s">
        <v>1809</v>
      </c>
      <c r="E1209">
        <v>56</v>
      </c>
      <c r="F1209" t="s">
        <v>16</v>
      </c>
      <c r="G1209" t="s">
        <v>1541</v>
      </c>
      <c r="H1209" t="s">
        <v>1742</v>
      </c>
      <c r="L1209" s="2">
        <v>45693</v>
      </c>
      <c r="M1209">
        <v>1756.5324000000001</v>
      </c>
      <c r="R1209" t="s">
        <v>1809</v>
      </c>
      <c r="S1209">
        <v>1756.5324000000001</v>
      </c>
      <c r="W1209" s="12" t="s">
        <v>16</v>
      </c>
      <c r="X1209" s="12" t="s">
        <v>1541</v>
      </c>
      <c r="Y1209">
        <v>1756.5324000000001</v>
      </c>
      <c r="AF1209">
        <v>1756.5324000000001</v>
      </c>
      <c r="AG1209" t="s">
        <v>1742</v>
      </c>
    </row>
    <row r="1210" spans="1:33" x14ac:dyDescent="0.3">
      <c r="A1210" t="s">
        <v>990</v>
      </c>
      <c r="B1210" s="2">
        <v>45446</v>
      </c>
      <c r="C1210">
        <v>1568.943</v>
      </c>
      <c r="D1210" t="s">
        <v>1812</v>
      </c>
      <c r="E1210">
        <v>25</v>
      </c>
      <c r="F1210" t="s">
        <v>9</v>
      </c>
      <c r="G1210" t="s">
        <v>1527</v>
      </c>
      <c r="H1210" t="s">
        <v>1742</v>
      </c>
      <c r="L1210" s="2">
        <v>45446</v>
      </c>
      <c r="M1210">
        <v>1568.943</v>
      </c>
      <c r="R1210" t="s">
        <v>1812</v>
      </c>
      <c r="S1210">
        <v>1568.943</v>
      </c>
      <c r="W1210" s="11" t="s">
        <v>9</v>
      </c>
      <c r="X1210" s="11" t="s">
        <v>1527</v>
      </c>
      <c r="Y1210">
        <v>1568.943</v>
      </c>
      <c r="AF1210">
        <v>1568.943</v>
      </c>
      <c r="AG1210" t="s">
        <v>1742</v>
      </c>
    </row>
    <row r="1211" spans="1:33" x14ac:dyDescent="0.3">
      <c r="A1211" t="s">
        <v>203</v>
      </c>
      <c r="B1211" s="2">
        <v>45862</v>
      </c>
      <c r="C1211">
        <v>548.06200000000001</v>
      </c>
      <c r="D1211" t="s">
        <v>1809</v>
      </c>
      <c r="E1211">
        <v>56</v>
      </c>
      <c r="F1211" t="s">
        <v>16</v>
      </c>
      <c r="G1211" t="s">
        <v>1527</v>
      </c>
      <c r="H1211" t="s">
        <v>1746</v>
      </c>
      <c r="L1211" s="2">
        <v>45862</v>
      </c>
      <c r="M1211">
        <v>548.06200000000001</v>
      </c>
      <c r="R1211" t="s">
        <v>1809</v>
      </c>
      <c r="S1211">
        <v>548.06200000000001</v>
      </c>
      <c r="W1211" s="12" t="s">
        <v>16</v>
      </c>
      <c r="X1211" s="12" t="s">
        <v>1527</v>
      </c>
      <c r="Y1211">
        <v>548.06200000000001</v>
      </c>
      <c r="AF1211">
        <v>548.06200000000001</v>
      </c>
      <c r="AG1211" t="s">
        <v>1746</v>
      </c>
    </row>
    <row r="1212" spans="1:33" x14ac:dyDescent="0.3">
      <c r="A1212" t="s">
        <v>293</v>
      </c>
      <c r="B1212" s="2">
        <v>45530</v>
      </c>
      <c r="C1212">
        <v>954.06080000000009</v>
      </c>
      <c r="D1212" t="s">
        <v>1812</v>
      </c>
      <c r="E1212">
        <v>53</v>
      </c>
      <c r="F1212" t="s">
        <v>9</v>
      </c>
      <c r="G1212" t="s">
        <v>1530</v>
      </c>
      <c r="H1212" t="s">
        <v>1767</v>
      </c>
      <c r="L1212" s="2">
        <v>45530</v>
      </c>
      <c r="M1212">
        <v>954.06080000000009</v>
      </c>
      <c r="R1212" t="s">
        <v>1812</v>
      </c>
      <c r="S1212">
        <v>954.06080000000009</v>
      </c>
      <c r="W1212" s="11" t="s">
        <v>9</v>
      </c>
      <c r="X1212" s="11" t="s">
        <v>1530</v>
      </c>
      <c r="Y1212">
        <v>954.06080000000009</v>
      </c>
      <c r="AF1212">
        <v>954.06080000000009</v>
      </c>
      <c r="AG1212" t="s">
        <v>1767</v>
      </c>
    </row>
    <row r="1213" spans="1:33" x14ac:dyDescent="0.3">
      <c r="A1213" t="s">
        <v>72</v>
      </c>
      <c r="B1213" s="2">
        <v>45558</v>
      </c>
      <c r="C1213">
        <v>1194.9028000000001</v>
      </c>
      <c r="D1213" t="s">
        <v>1809</v>
      </c>
      <c r="E1213">
        <v>24</v>
      </c>
      <c r="F1213" t="s">
        <v>16</v>
      </c>
      <c r="G1213" t="s">
        <v>1527</v>
      </c>
      <c r="H1213" t="s">
        <v>1737</v>
      </c>
      <c r="L1213" s="2">
        <v>45558</v>
      </c>
      <c r="M1213">
        <v>1194.9028000000001</v>
      </c>
      <c r="R1213" t="s">
        <v>1809</v>
      </c>
      <c r="S1213">
        <v>1194.9028000000001</v>
      </c>
      <c r="W1213" s="12" t="s">
        <v>16</v>
      </c>
      <c r="X1213" s="12" t="s">
        <v>1527</v>
      </c>
      <c r="Y1213">
        <v>1194.9028000000001</v>
      </c>
      <c r="AF1213">
        <v>1194.9028000000001</v>
      </c>
      <c r="AG1213" t="s">
        <v>1737</v>
      </c>
    </row>
    <row r="1214" spans="1:33" x14ac:dyDescent="0.3">
      <c r="A1214" t="s">
        <v>1502</v>
      </c>
      <c r="B1214" s="2">
        <v>45472</v>
      </c>
      <c r="C1214">
        <v>3220.3444</v>
      </c>
      <c r="D1214" t="s">
        <v>1809</v>
      </c>
      <c r="E1214">
        <v>23</v>
      </c>
      <c r="F1214" t="s">
        <v>16</v>
      </c>
      <c r="G1214" t="s">
        <v>1549</v>
      </c>
      <c r="H1214" t="s">
        <v>1742</v>
      </c>
      <c r="L1214" s="2">
        <v>45472</v>
      </c>
      <c r="M1214">
        <v>3220.3444</v>
      </c>
      <c r="R1214" t="s">
        <v>1809</v>
      </c>
      <c r="S1214">
        <v>3220.3444</v>
      </c>
      <c r="W1214" s="11" t="s">
        <v>16</v>
      </c>
      <c r="X1214" s="11" t="s">
        <v>1549</v>
      </c>
      <c r="Y1214">
        <v>3220.3444</v>
      </c>
      <c r="AF1214">
        <v>3220.3444</v>
      </c>
      <c r="AG1214" t="s">
        <v>1742</v>
      </c>
    </row>
    <row r="1215" spans="1:33" x14ac:dyDescent="0.3">
      <c r="A1215" t="s">
        <v>792</v>
      </c>
      <c r="B1215" s="2">
        <v>45809</v>
      </c>
      <c r="C1215">
        <v>40.976100000000002</v>
      </c>
      <c r="D1215" t="s">
        <v>1807</v>
      </c>
      <c r="E1215">
        <v>48</v>
      </c>
      <c r="F1215" t="s">
        <v>9</v>
      </c>
      <c r="G1215" t="s">
        <v>1549</v>
      </c>
      <c r="H1215" t="s">
        <v>1746</v>
      </c>
      <c r="L1215" s="2">
        <v>45809</v>
      </c>
      <c r="M1215">
        <v>40.976100000000002</v>
      </c>
      <c r="R1215" t="s">
        <v>1807</v>
      </c>
      <c r="S1215">
        <v>40.976100000000002</v>
      </c>
      <c r="W1215" s="12" t="s">
        <v>9</v>
      </c>
      <c r="X1215" s="12" t="s">
        <v>1549</v>
      </c>
      <c r="Y1215">
        <v>40.976100000000002</v>
      </c>
      <c r="AF1215">
        <v>40.976100000000002</v>
      </c>
      <c r="AG1215" t="s">
        <v>1746</v>
      </c>
    </row>
    <row r="1216" spans="1:33" x14ac:dyDescent="0.3">
      <c r="A1216" t="s">
        <v>546</v>
      </c>
      <c r="B1216" s="2">
        <v>45783</v>
      </c>
      <c r="C1216">
        <v>189.61760000000001</v>
      </c>
      <c r="D1216" t="s">
        <v>1807</v>
      </c>
      <c r="E1216">
        <v>25</v>
      </c>
      <c r="F1216" t="s">
        <v>16</v>
      </c>
      <c r="G1216" t="s">
        <v>1549</v>
      </c>
      <c r="H1216" t="s">
        <v>1746</v>
      </c>
      <c r="L1216" s="2">
        <v>45783</v>
      </c>
      <c r="M1216">
        <v>189.61760000000001</v>
      </c>
      <c r="R1216" t="s">
        <v>1807</v>
      </c>
      <c r="S1216">
        <v>189.61760000000001</v>
      </c>
      <c r="W1216" s="11" t="s">
        <v>16</v>
      </c>
      <c r="X1216" s="11" t="s">
        <v>1549</v>
      </c>
      <c r="Y1216">
        <v>189.61760000000001</v>
      </c>
      <c r="AF1216">
        <v>189.61760000000001</v>
      </c>
      <c r="AG1216" t="s">
        <v>1746</v>
      </c>
    </row>
    <row r="1217" spans="1:33" x14ac:dyDescent="0.3">
      <c r="A1217" t="s">
        <v>1076</v>
      </c>
      <c r="B1217" s="2">
        <v>45849</v>
      </c>
      <c r="C1217">
        <v>264.91500000000002</v>
      </c>
      <c r="D1217" t="s">
        <v>1807</v>
      </c>
      <c r="E1217">
        <v>39</v>
      </c>
      <c r="F1217" t="s">
        <v>16</v>
      </c>
      <c r="G1217" t="s">
        <v>1530</v>
      </c>
      <c r="H1217" t="s">
        <v>1746</v>
      </c>
      <c r="L1217" s="2">
        <v>45849</v>
      </c>
      <c r="M1217">
        <v>264.91500000000002</v>
      </c>
      <c r="R1217" t="s">
        <v>1807</v>
      </c>
      <c r="S1217">
        <v>264.91500000000002</v>
      </c>
      <c r="W1217" s="12" t="s">
        <v>16</v>
      </c>
      <c r="X1217" s="12" t="s">
        <v>1530</v>
      </c>
      <c r="Y1217">
        <v>264.91500000000002</v>
      </c>
      <c r="AF1217">
        <v>264.91500000000002</v>
      </c>
      <c r="AG1217" t="s">
        <v>1746</v>
      </c>
    </row>
    <row r="1218" spans="1:33" x14ac:dyDescent="0.3">
      <c r="A1218" t="s">
        <v>352</v>
      </c>
      <c r="B1218" s="2">
        <v>45281</v>
      </c>
      <c r="C1218">
        <v>1369.1215999999999</v>
      </c>
      <c r="D1218" t="s">
        <v>1807</v>
      </c>
      <c r="E1218">
        <v>29</v>
      </c>
      <c r="F1218" t="s">
        <v>9</v>
      </c>
      <c r="G1218" t="s">
        <v>1546</v>
      </c>
      <c r="H1218" t="s">
        <v>1742</v>
      </c>
      <c r="L1218" s="2">
        <v>45281</v>
      </c>
      <c r="M1218">
        <v>1369.1215999999999</v>
      </c>
      <c r="R1218" t="s">
        <v>1807</v>
      </c>
      <c r="S1218">
        <v>1369.1215999999999</v>
      </c>
      <c r="W1218" s="11" t="s">
        <v>9</v>
      </c>
      <c r="X1218" s="11" t="s">
        <v>1546</v>
      </c>
      <c r="Y1218">
        <v>1369.1215999999999</v>
      </c>
      <c r="AF1218">
        <v>1369.1215999999999</v>
      </c>
      <c r="AG1218" t="s">
        <v>1742</v>
      </c>
    </row>
    <row r="1219" spans="1:33" x14ac:dyDescent="0.3">
      <c r="A1219" t="s">
        <v>534</v>
      </c>
      <c r="B1219" s="2">
        <v>45322</v>
      </c>
      <c r="C1219">
        <v>331.17</v>
      </c>
      <c r="D1219" t="s">
        <v>1809</v>
      </c>
      <c r="E1219">
        <v>37</v>
      </c>
      <c r="F1219" t="s">
        <v>9</v>
      </c>
      <c r="G1219" t="s">
        <v>1530</v>
      </c>
      <c r="H1219" t="s">
        <v>1742</v>
      </c>
      <c r="L1219" s="2">
        <v>45322</v>
      </c>
      <c r="M1219">
        <v>331.17</v>
      </c>
      <c r="R1219" t="s">
        <v>1809</v>
      </c>
      <c r="S1219">
        <v>331.17</v>
      </c>
      <c r="W1219" s="12" t="s">
        <v>9</v>
      </c>
      <c r="X1219" s="12" t="s">
        <v>1530</v>
      </c>
      <c r="Y1219">
        <v>331.17</v>
      </c>
      <c r="AF1219">
        <v>331.17</v>
      </c>
      <c r="AG1219" t="s">
        <v>1742</v>
      </c>
    </row>
    <row r="1220" spans="1:33" x14ac:dyDescent="0.3">
      <c r="A1220" t="s">
        <v>209</v>
      </c>
      <c r="B1220" s="2">
        <v>45560</v>
      </c>
      <c r="C1220">
        <v>1275.799</v>
      </c>
      <c r="D1220" t="s">
        <v>1812</v>
      </c>
      <c r="E1220">
        <v>43</v>
      </c>
      <c r="F1220" t="s">
        <v>16</v>
      </c>
      <c r="G1220" t="s">
        <v>1549</v>
      </c>
      <c r="H1220" t="s">
        <v>1746</v>
      </c>
      <c r="L1220" s="2">
        <v>45560</v>
      </c>
      <c r="M1220">
        <v>1275.799</v>
      </c>
      <c r="R1220" t="s">
        <v>1812</v>
      </c>
      <c r="S1220">
        <v>1275.799</v>
      </c>
      <c r="W1220" s="11" t="s">
        <v>16</v>
      </c>
      <c r="X1220" s="11" t="s">
        <v>1549</v>
      </c>
      <c r="Y1220">
        <v>1275.799</v>
      </c>
      <c r="AF1220">
        <v>1275.799</v>
      </c>
      <c r="AG1220" t="s">
        <v>1746</v>
      </c>
    </row>
    <row r="1221" spans="1:33" x14ac:dyDescent="0.3">
      <c r="A1221" t="s">
        <v>125</v>
      </c>
      <c r="B1221" s="2">
        <v>45905</v>
      </c>
      <c r="C1221">
        <v>1926.15</v>
      </c>
      <c r="D1221" t="s">
        <v>1807</v>
      </c>
      <c r="E1221">
        <v>41</v>
      </c>
      <c r="F1221" t="s">
        <v>9</v>
      </c>
      <c r="G1221" t="s">
        <v>1527</v>
      </c>
      <c r="H1221" t="s">
        <v>1742</v>
      </c>
      <c r="L1221" s="2">
        <v>45905</v>
      </c>
      <c r="M1221">
        <v>1926.15</v>
      </c>
      <c r="R1221" t="s">
        <v>1807</v>
      </c>
      <c r="S1221">
        <v>1926.15</v>
      </c>
      <c r="W1221" s="12" t="s">
        <v>9</v>
      </c>
      <c r="X1221" s="12" t="s">
        <v>1527</v>
      </c>
      <c r="Y1221">
        <v>1926.15</v>
      </c>
      <c r="AF1221">
        <v>1926.15</v>
      </c>
      <c r="AG1221" t="s">
        <v>1742</v>
      </c>
    </row>
    <row r="1222" spans="1:33" x14ac:dyDescent="0.3">
      <c r="A1222" t="s">
        <v>978</v>
      </c>
      <c r="B1222" s="2">
        <v>45531</v>
      </c>
      <c r="C1222">
        <v>1370.5232000000001</v>
      </c>
      <c r="D1222" t="s">
        <v>1807</v>
      </c>
      <c r="E1222">
        <v>53</v>
      </c>
      <c r="F1222" t="s">
        <v>16</v>
      </c>
      <c r="G1222" t="s">
        <v>1527</v>
      </c>
      <c r="H1222" t="s">
        <v>1746</v>
      </c>
      <c r="L1222" s="2">
        <v>45531</v>
      </c>
      <c r="M1222">
        <v>1370.5232000000001</v>
      </c>
      <c r="R1222" t="s">
        <v>1807</v>
      </c>
      <c r="S1222">
        <v>1370.5232000000001</v>
      </c>
      <c r="W1222" s="11" t="s">
        <v>16</v>
      </c>
      <c r="X1222" s="11" t="s">
        <v>1527</v>
      </c>
      <c r="Y1222">
        <v>1370.5232000000001</v>
      </c>
      <c r="AF1222">
        <v>1370.5232000000001</v>
      </c>
      <c r="AG1222" t="s">
        <v>1746</v>
      </c>
    </row>
    <row r="1223" spans="1:33" x14ac:dyDescent="0.3">
      <c r="A1223" t="s">
        <v>53</v>
      </c>
      <c r="B1223" s="2">
        <v>45216</v>
      </c>
      <c r="C1223">
        <v>679.18619999999999</v>
      </c>
      <c r="D1223" t="s">
        <v>1812</v>
      </c>
      <c r="E1223">
        <v>28</v>
      </c>
      <c r="F1223" t="s">
        <v>16</v>
      </c>
      <c r="G1223" t="s">
        <v>1549</v>
      </c>
      <c r="H1223" t="s">
        <v>1742</v>
      </c>
      <c r="L1223" s="2">
        <v>45216</v>
      </c>
      <c r="M1223">
        <v>679.18619999999999</v>
      </c>
      <c r="R1223" t="s">
        <v>1812</v>
      </c>
      <c r="S1223">
        <v>679.18619999999999</v>
      </c>
      <c r="W1223" s="12" t="s">
        <v>16</v>
      </c>
      <c r="X1223" s="12" t="s">
        <v>1549</v>
      </c>
      <c r="Y1223">
        <v>679.18619999999999</v>
      </c>
      <c r="AF1223">
        <v>679.18619999999999</v>
      </c>
      <c r="AG1223" t="s">
        <v>1742</v>
      </c>
    </row>
    <row r="1224" spans="1:33" x14ac:dyDescent="0.3">
      <c r="A1224" t="s">
        <v>296</v>
      </c>
      <c r="B1224" s="2">
        <v>45384</v>
      </c>
      <c r="C1224">
        <v>1053.7551000000001</v>
      </c>
      <c r="D1224" t="s">
        <v>1809</v>
      </c>
      <c r="E1224">
        <v>48</v>
      </c>
      <c r="F1224" t="s">
        <v>16</v>
      </c>
      <c r="G1224" t="s">
        <v>1530</v>
      </c>
      <c r="H1224" t="s">
        <v>1746</v>
      </c>
      <c r="L1224" s="2">
        <v>45384</v>
      </c>
      <c r="M1224">
        <v>1053.7551000000001</v>
      </c>
      <c r="R1224" t="s">
        <v>1809</v>
      </c>
      <c r="S1224">
        <v>1053.7551000000001</v>
      </c>
      <c r="W1224" s="11" t="s">
        <v>16</v>
      </c>
      <c r="X1224" s="11" t="s">
        <v>1530</v>
      </c>
      <c r="Y1224">
        <v>1053.7551000000001</v>
      </c>
      <c r="AF1224">
        <v>1053.7551000000001</v>
      </c>
      <c r="AG1224" t="s">
        <v>1746</v>
      </c>
    </row>
    <row r="1225" spans="1:33" x14ac:dyDescent="0.3">
      <c r="A1225" t="s">
        <v>531</v>
      </c>
      <c r="B1225" s="2">
        <v>45416</v>
      </c>
      <c r="C1225">
        <v>333.85090000000002</v>
      </c>
      <c r="D1225" t="s">
        <v>1807</v>
      </c>
      <c r="E1225">
        <v>18</v>
      </c>
      <c r="F1225" t="s">
        <v>16</v>
      </c>
      <c r="G1225" t="s">
        <v>1527</v>
      </c>
      <c r="H1225" t="s">
        <v>1746</v>
      </c>
      <c r="L1225" s="2">
        <v>45416</v>
      </c>
      <c r="M1225">
        <v>333.85090000000002</v>
      </c>
      <c r="R1225" t="s">
        <v>1807</v>
      </c>
      <c r="S1225">
        <v>333.85090000000002</v>
      </c>
      <c r="W1225" s="12" t="s">
        <v>16</v>
      </c>
      <c r="X1225" s="12" t="s">
        <v>1527</v>
      </c>
      <c r="Y1225">
        <v>333.85090000000002</v>
      </c>
      <c r="AF1225">
        <v>333.85090000000002</v>
      </c>
      <c r="AG1225" t="s">
        <v>1746</v>
      </c>
    </row>
    <row r="1226" spans="1:33" x14ac:dyDescent="0.3">
      <c r="A1226" t="s">
        <v>777</v>
      </c>
      <c r="B1226" s="2">
        <v>45880</v>
      </c>
      <c r="C1226">
        <v>819.71759999999995</v>
      </c>
      <c r="D1226" t="s">
        <v>1807</v>
      </c>
      <c r="E1226">
        <v>57</v>
      </c>
      <c r="F1226" t="s">
        <v>16</v>
      </c>
      <c r="G1226" t="s">
        <v>1546</v>
      </c>
      <c r="H1226" t="s">
        <v>1737</v>
      </c>
      <c r="L1226" s="2">
        <v>45880</v>
      </c>
      <c r="M1226">
        <v>819.71759999999995</v>
      </c>
      <c r="R1226" t="s">
        <v>1807</v>
      </c>
      <c r="S1226">
        <v>819.71759999999995</v>
      </c>
      <c r="W1226" s="11" t="s">
        <v>16</v>
      </c>
      <c r="X1226" s="11" t="s">
        <v>1546</v>
      </c>
      <c r="Y1226">
        <v>819.71759999999995</v>
      </c>
      <c r="AF1226">
        <v>819.71759999999995</v>
      </c>
      <c r="AG1226" t="s">
        <v>1737</v>
      </c>
    </row>
    <row r="1227" spans="1:33" x14ac:dyDescent="0.3">
      <c r="A1227" t="s">
        <v>703</v>
      </c>
      <c r="B1227" s="2">
        <v>45933</v>
      </c>
      <c r="C1227">
        <v>1187.8979999999999</v>
      </c>
      <c r="D1227" t="s">
        <v>1807</v>
      </c>
      <c r="E1227">
        <v>47</v>
      </c>
      <c r="F1227" t="s">
        <v>16</v>
      </c>
      <c r="G1227" t="s">
        <v>1527</v>
      </c>
      <c r="H1227" t="s">
        <v>1742</v>
      </c>
      <c r="L1227" s="2">
        <v>45933</v>
      </c>
      <c r="M1227">
        <v>1187.8979999999999</v>
      </c>
      <c r="R1227" t="s">
        <v>1807</v>
      </c>
      <c r="S1227">
        <v>1187.8979999999999</v>
      </c>
      <c r="W1227" s="12" t="s">
        <v>16</v>
      </c>
      <c r="X1227" s="12" t="s">
        <v>1527</v>
      </c>
      <c r="Y1227">
        <v>1187.8979999999999</v>
      </c>
      <c r="AF1227">
        <v>1187.8979999999999</v>
      </c>
      <c r="AG1227" t="s">
        <v>1742</v>
      </c>
    </row>
    <row r="1228" spans="1:33" x14ac:dyDescent="0.3">
      <c r="A1228" t="s">
        <v>1008</v>
      </c>
      <c r="B1228" s="2">
        <v>45345</v>
      </c>
      <c r="C1228">
        <v>2093.6736000000001</v>
      </c>
      <c r="D1228" t="s">
        <v>1809</v>
      </c>
      <c r="E1228">
        <v>58</v>
      </c>
      <c r="F1228" t="s">
        <v>9</v>
      </c>
      <c r="G1228" t="s">
        <v>1549</v>
      </c>
      <c r="H1228" t="s">
        <v>1742</v>
      </c>
      <c r="L1228" s="2">
        <v>45345</v>
      </c>
      <c r="M1228">
        <v>2093.6736000000001</v>
      </c>
      <c r="R1228" t="s">
        <v>1809</v>
      </c>
      <c r="S1228">
        <v>2093.6736000000001</v>
      </c>
      <c r="W1228" s="11" t="s">
        <v>9</v>
      </c>
      <c r="X1228" s="11" t="s">
        <v>1549</v>
      </c>
      <c r="Y1228">
        <v>2093.6736000000001</v>
      </c>
      <c r="AF1228">
        <v>2093.6736000000001</v>
      </c>
      <c r="AG1228" t="s">
        <v>1742</v>
      </c>
    </row>
    <row r="1229" spans="1:33" x14ac:dyDescent="0.3">
      <c r="A1229" t="s">
        <v>1256</v>
      </c>
      <c r="B1229" s="2">
        <v>45681</v>
      </c>
      <c r="C1229">
        <v>202.9836</v>
      </c>
      <c r="D1229" t="s">
        <v>1807</v>
      </c>
      <c r="E1229">
        <v>55</v>
      </c>
      <c r="F1229" t="s">
        <v>9</v>
      </c>
      <c r="G1229" t="s">
        <v>1541</v>
      </c>
      <c r="H1229" t="s">
        <v>1746</v>
      </c>
      <c r="L1229" s="2">
        <v>45681</v>
      </c>
      <c r="M1229">
        <v>202.9836</v>
      </c>
      <c r="R1229" t="s">
        <v>1807</v>
      </c>
      <c r="S1229">
        <v>202.9836</v>
      </c>
      <c r="W1229" s="12" t="s">
        <v>9</v>
      </c>
      <c r="X1229" s="12" t="s">
        <v>1541</v>
      </c>
      <c r="Y1229">
        <v>202.9836</v>
      </c>
      <c r="AF1229">
        <v>202.9836</v>
      </c>
      <c r="AG1229" t="s">
        <v>1746</v>
      </c>
    </row>
    <row r="1230" spans="1:33" x14ac:dyDescent="0.3">
      <c r="A1230" t="s">
        <v>41</v>
      </c>
      <c r="B1230" s="2">
        <v>45785</v>
      </c>
      <c r="C1230">
        <v>32.659199999999998</v>
      </c>
      <c r="D1230" t="s">
        <v>1812</v>
      </c>
      <c r="E1230">
        <v>53</v>
      </c>
      <c r="F1230" t="s">
        <v>16</v>
      </c>
      <c r="G1230" t="s">
        <v>1541</v>
      </c>
      <c r="H1230" t="s">
        <v>1742</v>
      </c>
      <c r="L1230" s="2">
        <v>45785</v>
      </c>
      <c r="M1230">
        <v>32.659199999999998</v>
      </c>
      <c r="R1230" t="s">
        <v>1812</v>
      </c>
      <c r="S1230">
        <v>32.659199999999998</v>
      </c>
      <c r="W1230" s="11" t="s">
        <v>16</v>
      </c>
      <c r="X1230" s="11" t="s">
        <v>1541</v>
      </c>
      <c r="Y1230">
        <v>32.659199999999998</v>
      </c>
      <c r="AF1230">
        <v>32.659199999999998</v>
      </c>
      <c r="AG1230" t="s">
        <v>1742</v>
      </c>
    </row>
    <row r="1231" spans="1:33" x14ac:dyDescent="0.3">
      <c r="A1231" t="s">
        <v>282</v>
      </c>
      <c r="B1231" s="2">
        <v>45823</v>
      </c>
      <c r="C1231">
        <v>1031.7507000000001</v>
      </c>
      <c r="D1231" t="s">
        <v>1812</v>
      </c>
      <c r="E1231">
        <v>22</v>
      </c>
      <c r="F1231" t="s">
        <v>16</v>
      </c>
      <c r="G1231" t="s">
        <v>1541</v>
      </c>
      <c r="H1231" t="s">
        <v>1742</v>
      </c>
      <c r="L1231" s="2">
        <v>45823</v>
      </c>
      <c r="M1231">
        <v>1031.7507000000001</v>
      </c>
      <c r="R1231" t="s">
        <v>1812</v>
      </c>
      <c r="S1231">
        <v>1031.7507000000001</v>
      </c>
      <c r="W1231" s="12" t="s">
        <v>16</v>
      </c>
      <c r="X1231" s="12" t="s">
        <v>1541</v>
      </c>
      <c r="Y1231">
        <v>1031.7507000000001</v>
      </c>
      <c r="AF1231">
        <v>1031.7507000000001</v>
      </c>
      <c r="AG1231" t="s">
        <v>1742</v>
      </c>
    </row>
    <row r="1232" spans="1:33" x14ac:dyDescent="0.3">
      <c r="A1232" t="s">
        <v>83</v>
      </c>
      <c r="B1232" s="2">
        <v>45572</v>
      </c>
      <c r="C1232">
        <v>1746.712</v>
      </c>
      <c r="D1232" t="s">
        <v>1812</v>
      </c>
      <c r="E1232">
        <v>46</v>
      </c>
      <c r="F1232" t="s">
        <v>16</v>
      </c>
      <c r="G1232" t="s">
        <v>1527</v>
      </c>
      <c r="H1232" t="s">
        <v>1742</v>
      </c>
      <c r="L1232" s="2">
        <v>45572</v>
      </c>
      <c r="M1232">
        <v>1746.712</v>
      </c>
      <c r="R1232" t="s">
        <v>1812</v>
      </c>
      <c r="S1232">
        <v>1746.712</v>
      </c>
      <c r="W1232" s="11" t="s">
        <v>16</v>
      </c>
      <c r="X1232" s="11" t="s">
        <v>1527</v>
      </c>
      <c r="Y1232">
        <v>1746.712</v>
      </c>
      <c r="AF1232">
        <v>1746.712</v>
      </c>
      <c r="AG1232" t="s">
        <v>1742</v>
      </c>
    </row>
    <row r="1233" spans="1:33" x14ac:dyDescent="0.3">
      <c r="A1233" t="s">
        <v>1328</v>
      </c>
      <c r="B1233" s="2">
        <v>45259</v>
      </c>
      <c r="C1233">
        <v>1754.94</v>
      </c>
      <c r="D1233" t="s">
        <v>1807</v>
      </c>
      <c r="E1233">
        <v>48</v>
      </c>
      <c r="F1233" t="s">
        <v>16</v>
      </c>
      <c r="G1233" t="s">
        <v>1541</v>
      </c>
      <c r="H1233" t="s">
        <v>1737</v>
      </c>
      <c r="L1233" s="2">
        <v>45259</v>
      </c>
      <c r="M1233">
        <v>1754.94</v>
      </c>
      <c r="R1233" t="s">
        <v>1807</v>
      </c>
      <c r="S1233">
        <v>1754.94</v>
      </c>
      <c r="W1233" s="12" t="s">
        <v>16</v>
      </c>
      <c r="X1233" s="12" t="s">
        <v>1541</v>
      </c>
      <c r="Y1233">
        <v>1754.94</v>
      </c>
      <c r="AF1233">
        <v>1754.94</v>
      </c>
      <c r="AG1233" t="s">
        <v>1737</v>
      </c>
    </row>
    <row r="1234" spans="1:33" x14ac:dyDescent="0.3">
      <c r="A1234" t="s">
        <v>889</v>
      </c>
      <c r="B1234" s="2">
        <v>45740</v>
      </c>
      <c r="C1234">
        <v>530.21159999999998</v>
      </c>
      <c r="D1234" t="s">
        <v>1809</v>
      </c>
      <c r="E1234">
        <v>54</v>
      </c>
      <c r="F1234" t="s">
        <v>16</v>
      </c>
      <c r="G1234" t="s">
        <v>1527</v>
      </c>
      <c r="H1234" t="s">
        <v>1742</v>
      </c>
      <c r="L1234" s="2">
        <v>45740</v>
      </c>
      <c r="M1234">
        <v>530.21159999999998</v>
      </c>
      <c r="R1234" t="s">
        <v>1809</v>
      </c>
      <c r="S1234">
        <v>530.21159999999998</v>
      </c>
      <c r="W1234" s="11" t="s">
        <v>16</v>
      </c>
      <c r="X1234" s="11" t="s">
        <v>1527</v>
      </c>
      <c r="Y1234">
        <v>530.21159999999998</v>
      </c>
      <c r="AF1234">
        <v>530.21159999999998</v>
      </c>
      <c r="AG1234" t="s">
        <v>1742</v>
      </c>
    </row>
    <row r="1235" spans="1:33" x14ac:dyDescent="0.3">
      <c r="A1235" t="s">
        <v>874</v>
      </c>
      <c r="B1235" s="2">
        <v>45869</v>
      </c>
      <c r="C1235">
        <v>2035.854</v>
      </c>
      <c r="D1235" t="s">
        <v>1812</v>
      </c>
      <c r="E1235">
        <v>42</v>
      </c>
      <c r="F1235" t="s">
        <v>16</v>
      </c>
      <c r="G1235" t="s">
        <v>1530</v>
      </c>
      <c r="H1235" t="s">
        <v>1742</v>
      </c>
      <c r="L1235" s="2">
        <v>45869</v>
      </c>
      <c r="M1235">
        <v>2035.854</v>
      </c>
      <c r="R1235" t="s">
        <v>1812</v>
      </c>
      <c r="S1235">
        <v>2035.854</v>
      </c>
      <c r="W1235" s="12" t="s">
        <v>16</v>
      </c>
      <c r="X1235" s="12" t="s">
        <v>1530</v>
      </c>
      <c r="Y1235">
        <v>2035.854</v>
      </c>
      <c r="AF1235">
        <v>2035.854</v>
      </c>
      <c r="AG1235" t="s">
        <v>1742</v>
      </c>
    </row>
    <row r="1236" spans="1:33" x14ac:dyDescent="0.3">
      <c r="A1236" t="s">
        <v>1187</v>
      </c>
      <c r="B1236" s="2">
        <v>45526</v>
      </c>
      <c r="C1236">
        <v>361.45920000000001</v>
      </c>
      <c r="D1236" t="s">
        <v>1812</v>
      </c>
      <c r="E1236">
        <v>60</v>
      </c>
      <c r="F1236" t="s">
        <v>9</v>
      </c>
      <c r="G1236" t="s">
        <v>1546</v>
      </c>
      <c r="H1236" t="s">
        <v>1742</v>
      </c>
      <c r="L1236" s="2">
        <v>45526</v>
      </c>
      <c r="M1236">
        <v>361.45920000000001</v>
      </c>
      <c r="R1236" t="s">
        <v>1812</v>
      </c>
      <c r="S1236">
        <v>361.45920000000001</v>
      </c>
      <c r="W1236" s="11" t="s">
        <v>9</v>
      </c>
      <c r="X1236" s="11" t="s">
        <v>1546</v>
      </c>
      <c r="Y1236">
        <v>361.45920000000001</v>
      </c>
      <c r="AF1236">
        <v>361.45920000000001</v>
      </c>
      <c r="AG1236" t="s">
        <v>1742</v>
      </c>
    </row>
    <row r="1237" spans="1:33" x14ac:dyDescent="0.3">
      <c r="A1237" t="s">
        <v>1428</v>
      </c>
      <c r="B1237" s="2">
        <v>45489</v>
      </c>
      <c r="C1237">
        <v>953.45100000000014</v>
      </c>
      <c r="D1237" t="s">
        <v>1809</v>
      </c>
      <c r="E1237">
        <v>19</v>
      </c>
      <c r="F1237" t="s">
        <v>9</v>
      </c>
      <c r="G1237" t="s">
        <v>1530</v>
      </c>
      <c r="H1237" t="s">
        <v>1742</v>
      </c>
      <c r="L1237" s="2">
        <v>45489</v>
      </c>
      <c r="M1237">
        <v>953.45100000000014</v>
      </c>
      <c r="R1237" t="s">
        <v>1809</v>
      </c>
      <c r="S1237">
        <v>953.45100000000014</v>
      </c>
      <c r="W1237" s="12" t="s">
        <v>9</v>
      </c>
      <c r="X1237" s="12" t="s">
        <v>1530</v>
      </c>
      <c r="Y1237">
        <v>953.45100000000014</v>
      </c>
      <c r="AF1237">
        <v>953.45100000000014</v>
      </c>
      <c r="AG1237" t="s">
        <v>1742</v>
      </c>
    </row>
    <row r="1238" spans="1:33" x14ac:dyDescent="0.3">
      <c r="A1238" t="s">
        <v>762</v>
      </c>
      <c r="B1238" s="2">
        <v>45908</v>
      </c>
      <c r="C1238">
        <v>685.3069999999999</v>
      </c>
      <c r="D1238" t="s">
        <v>1812</v>
      </c>
      <c r="E1238">
        <v>59</v>
      </c>
      <c r="F1238" t="s">
        <v>16</v>
      </c>
      <c r="G1238" t="s">
        <v>1527</v>
      </c>
      <c r="H1238" t="s">
        <v>1746</v>
      </c>
      <c r="L1238" s="2">
        <v>45908</v>
      </c>
      <c r="M1238">
        <v>685.3069999999999</v>
      </c>
      <c r="R1238" t="s">
        <v>1812</v>
      </c>
      <c r="S1238">
        <v>685.3069999999999</v>
      </c>
      <c r="W1238" s="11" t="s">
        <v>16</v>
      </c>
      <c r="X1238" s="11" t="s">
        <v>1527</v>
      </c>
      <c r="Y1238">
        <v>685.3069999999999</v>
      </c>
      <c r="AF1238">
        <v>685.3069999999999</v>
      </c>
      <c r="AG1238" t="s">
        <v>1746</v>
      </c>
    </row>
    <row r="1239" spans="1:33" x14ac:dyDescent="0.3">
      <c r="A1239" t="s">
        <v>454</v>
      </c>
      <c r="B1239" s="2">
        <v>45912</v>
      </c>
      <c r="C1239">
        <v>584.04599999999994</v>
      </c>
      <c r="D1239" t="s">
        <v>1809</v>
      </c>
      <c r="E1239">
        <v>33</v>
      </c>
      <c r="F1239" t="s">
        <v>16</v>
      </c>
      <c r="G1239" t="s">
        <v>1546</v>
      </c>
      <c r="H1239" t="s">
        <v>1742</v>
      </c>
      <c r="L1239" s="2">
        <v>45912</v>
      </c>
      <c r="M1239">
        <v>584.04599999999994</v>
      </c>
      <c r="R1239" t="s">
        <v>1809</v>
      </c>
      <c r="S1239">
        <v>584.04599999999994</v>
      </c>
      <c r="W1239" s="12" t="s">
        <v>16</v>
      </c>
      <c r="X1239" s="12" t="s">
        <v>1546</v>
      </c>
      <c r="Y1239">
        <v>584.04599999999994</v>
      </c>
      <c r="AF1239">
        <v>584.04599999999994</v>
      </c>
      <c r="AG1239" t="s">
        <v>1742</v>
      </c>
    </row>
    <row r="1240" spans="1:33" x14ac:dyDescent="0.3">
      <c r="A1240" t="s">
        <v>629</v>
      </c>
      <c r="B1240" s="2">
        <v>45771</v>
      </c>
      <c r="C1240">
        <v>530.14499999999998</v>
      </c>
      <c r="D1240" t="s">
        <v>1809</v>
      </c>
      <c r="E1240">
        <v>46</v>
      </c>
      <c r="F1240" t="s">
        <v>9</v>
      </c>
      <c r="G1240" t="s">
        <v>1541</v>
      </c>
      <c r="H1240" t="s">
        <v>1767</v>
      </c>
      <c r="L1240" s="2">
        <v>45771</v>
      </c>
      <c r="M1240">
        <v>530.14499999999998</v>
      </c>
      <c r="R1240" t="s">
        <v>1809</v>
      </c>
      <c r="S1240">
        <v>530.14499999999998</v>
      </c>
      <c r="W1240" s="11" t="s">
        <v>9</v>
      </c>
      <c r="X1240" s="11" t="s">
        <v>1541</v>
      </c>
      <c r="Y1240">
        <v>530.14499999999998</v>
      </c>
      <c r="AF1240">
        <v>530.14499999999998</v>
      </c>
      <c r="AG1240" t="s">
        <v>1767</v>
      </c>
    </row>
    <row r="1241" spans="1:33" x14ac:dyDescent="0.3">
      <c r="A1241" t="s">
        <v>302</v>
      </c>
      <c r="B1241" s="2">
        <v>45619</v>
      </c>
      <c r="C1241">
        <v>3721.52</v>
      </c>
      <c r="D1241" t="s">
        <v>1812</v>
      </c>
      <c r="E1241">
        <v>36</v>
      </c>
      <c r="F1241" t="s">
        <v>9</v>
      </c>
      <c r="G1241" t="s">
        <v>1527</v>
      </c>
      <c r="H1241" t="s">
        <v>1746</v>
      </c>
      <c r="L1241" s="2">
        <v>45619</v>
      </c>
      <c r="M1241">
        <v>3721.52</v>
      </c>
      <c r="R1241" t="s">
        <v>1812</v>
      </c>
      <c r="S1241">
        <v>3721.52</v>
      </c>
      <c r="W1241" s="12" t="s">
        <v>9</v>
      </c>
      <c r="X1241" s="12" t="s">
        <v>1527</v>
      </c>
      <c r="Y1241">
        <v>3721.52</v>
      </c>
      <c r="AF1241">
        <v>3721.52</v>
      </c>
      <c r="AG1241" t="s">
        <v>1746</v>
      </c>
    </row>
    <row r="1242" spans="1:33" x14ac:dyDescent="0.3">
      <c r="A1242" t="s">
        <v>483</v>
      </c>
      <c r="B1242" s="2">
        <v>45394</v>
      </c>
      <c r="C1242">
        <v>665.51679999999999</v>
      </c>
      <c r="D1242" t="s">
        <v>1807</v>
      </c>
      <c r="E1242">
        <v>46</v>
      </c>
      <c r="F1242" t="s">
        <v>9</v>
      </c>
      <c r="G1242" t="s">
        <v>1527</v>
      </c>
      <c r="H1242" t="s">
        <v>1742</v>
      </c>
      <c r="L1242" s="2">
        <v>45394</v>
      </c>
      <c r="M1242">
        <v>665.51679999999999</v>
      </c>
      <c r="R1242" t="s">
        <v>1807</v>
      </c>
      <c r="S1242">
        <v>665.51679999999999</v>
      </c>
      <c r="W1242" s="11" t="s">
        <v>9</v>
      </c>
      <c r="X1242" s="11" t="s">
        <v>1527</v>
      </c>
      <c r="Y1242">
        <v>665.51679999999999</v>
      </c>
      <c r="AF1242">
        <v>665.51679999999999</v>
      </c>
      <c r="AG1242" t="s">
        <v>1742</v>
      </c>
    </row>
    <row r="1243" spans="1:33" x14ac:dyDescent="0.3">
      <c r="A1243" t="s">
        <v>256</v>
      </c>
      <c r="B1243" s="2">
        <v>45786</v>
      </c>
      <c r="C1243">
        <v>229.35640000000001</v>
      </c>
      <c r="D1243" t="s">
        <v>1812</v>
      </c>
      <c r="E1243">
        <v>61</v>
      </c>
      <c r="F1243" t="s">
        <v>16</v>
      </c>
      <c r="G1243" t="s">
        <v>1541</v>
      </c>
      <c r="H1243" t="s">
        <v>1742</v>
      </c>
      <c r="L1243" s="2">
        <v>45786</v>
      </c>
      <c r="M1243">
        <v>229.35640000000001</v>
      </c>
      <c r="R1243" t="s">
        <v>1812</v>
      </c>
      <c r="S1243">
        <v>229.35640000000001</v>
      </c>
      <c r="W1243" s="12" t="s">
        <v>16</v>
      </c>
      <c r="X1243" s="12" t="s">
        <v>1541</v>
      </c>
      <c r="Y1243">
        <v>229.35640000000001</v>
      </c>
      <c r="AF1243">
        <v>229.35640000000001</v>
      </c>
      <c r="AG1243" t="s">
        <v>1742</v>
      </c>
    </row>
    <row r="1244" spans="1:33" x14ac:dyDescent="0.3">
      <c r="A1244" t="s">
        <v>1340</v>
      </c>
      <c r="B1244" s="2">
        <v>45692</v>
      </c>
      <c r="C1244">
        <v>800.58119999999997</v>
      </c>
      <c r="D1244" t="s">
        <v>1809</v>
      </c>
      <c r="E1244">
        <v>59</v>
      </c>
      <c r="F1244" t="s">
        <v>16</v>
      </c>
      <c r="G1244" t="s">
        <v>1541</v>
      </c>
      <c r="H1244" t="s">
        <v>1742</v>
      </c>
      <c r="L1244" s="2">
        <v>45692</v>
      </c>
      <c r="M1244">
        <v>800.58119999999997</v>
      </c>
      <c r="R1244" t="s">
        <v>1809</v>
      </c>
      <c r="S1244">
        <v>800.58119999999997</v>
      </c>
      <c r="W1244" s="11" t="s">
        <v>16</v>
      </c>
      <c r="X1244" s="11" t="s">
        <v>1541</v>
      </c>
      <c r="Y1244">
        <v>800.58119999999997</v>
      </c>
      <c r="AF1244">
        <v>800.58119999999997</v>
      </c>
      <c r="AG1244" t="s">
        <v>1742</v>
      </c>
    </row>
    <row r="1245" spans="1:33" x14ac:dyDescent="0.3">
      <c r="A1245" t="s">
        <v>331</v>
      </c>
      <c r="B1245" s="2">
        <v>45677</v>
      </c>
      <c r="C1245">
        <v>122.968</v>
      </c>
      <c r="D1245" t="s">
        <v>1809</v>
      </c>
      <c r="E1245">
        <v>43</v>
      </c>
      <c r="F1245" t="s">
        <v>16</v>
      </c>
      <c r="G1245" t="s">
        <v>1546</v>
      </c>
      <c r="H1245" t="s">
        <v>1742</v>
      </c>
      <c r="L1245" s="2">
        <v>45677</v>
      </c>
      <c r="M1245">
        <v>122.968</v>
      </c>
      <c r="R1245" t="s">
        <v>1809</v>
      </c>
      <c r="S1245">
        <v>122.968</v>
      </c>
      <c r="W1245" s="12" t="s">
        <v>16</v>
      </c>
      <c r="X1245" s="12" t="s">
        <v>1546</v>
      </c>
      <c r="Y1245">
        <v>122.968</v>
      </c>
      <c r="AF1245">
        <v>122.968</v>
      </c>
      <c r="AG1245" t="s">
        <v>1742</v>
      </c>
    </row>
    <row r="1246" spans="1:33" x14ac:dyDescent="0.3">
      <c r="A1246" t="s">
        <v>1190</v>
      </c>
      <c r="B1246" s="2">
        <v>45669</v>
      </c>
      <c r="C1246">
        <v>1363.4544000000001</v>
      </c>
      <c r="D1246" t="s">
        <v>1812</v>
      </c>
      <c r="E1246">
        <v>18</v>
      </c>
      <c r="F1246" t="s">
        <v>16</v>
      </c>
      <c r="G1246" t="s">
        <v>1549</v>
      </c>
      <c r="H1246" t="s">
        <v>1742</v>
      </c>
      <c r="L1246" s="2">
        <v>45669</v>
      </c>
      <c r="M1246">
        <v>1363.4544000000001</v>
      </c>
      <c r="R1246" t="s">
        <v>1812</v>
      </c>
      <c r="S1246">
        <v>1363.4544000000001</v>
      </c>
      <c r="W1246" s="11" t="s">
        <v>16</v>
      </c>
      <c r="X1246" s="11" t="s">
        <v>1549</v>
      </c>
      <c r="Y1246">
        <v>1363.4544000000001</v>
      </c>
      <c r="AF1246">
        <v>1363.4544000000001</v>
      </c>
      <c r="AG1246" t="s">
        <v>1742</v>
      </c>
    </row>
    <row r="1247" spans="1:33" x14ac:dyDescent="0.3">
      <c r="A1247" t="s">
        <v>1385</v>
      </c>
      <c r="B1247" s="2">
        <v>45299</v>
      </c>
      <c r="C1247">
        <v>912.00359999999989</v>
      </c>
      <c r="D1247" t="s">
        <v>1807</v>
      </c>
      <c r="E1247">
        <v>60</v>
      </c>
      <c r="F1247" t="s">
        <v>9</v>
      </c>
      <c r="G1247" t="s">
        <v>1530</v>
      </c>
      <c r="H1247" t="s">
        <v>1742</v>
      </c>
      <c r="L1247" s="2">
        <v>45299</v>
      </c>
      <c r="M1247">
        <v>912.00359999999989</v>
      </c>
      <c r="R1247" t="s">
        <v>1807</v>
      </c>
      <c r="S1247">
        <v>912.00359999999989</v>
      </c>
      <c r="W1247" s="12" t="s">
        <v>9</v>
      </c>
      <c r="X1247" s="12" t="s">
        <v>1530</v>
      </c>
      <c r="Y1247">
        <v>912.00359999999989</v>
      </c>
      <c r="AF1247">
        <v>912.00359999999989</v>
      </c>
      <c r="AG1247" t="s">
        <v>1742</v>
      </c>
    </row>
    <row r="1248" spans="1:33" x14ac:dyDescent="0.3">
      <c r="A1248" t="s">
        <v>33</v>
      </c>
      <c r="B1248" s="2">
        <v>45893</v>
      </c>
      <c r="C1248">
        <v>112.4496</v>
      </c>
      <c r="D1248" t="s">
        <v>1812</v>
      </c>
      <c r="E1248">
        <v>29</v>
      </c>
      <c r="F1248" t="s">
        <v>16</v>
      </c>
      <c r="G1248" t="s">
        <v>1546</v>
      </c>
      <c r="H1248" t="s">
        <v>1737</v>
      </c>
      <c r="L1248" s="2">
        <v>45893</v>
      </c>
      <c r="M1248">
        <v>112.4496</v>
      </c>
      <c r="R1248" t="s">
        <v>1812</v>
      </c>
      <c r="S1248">
        <v>112.4496</v>
      </c>
      <c r="W1248" s="11" t="s">
        <v>16</v>
      </c>
      <c r="X1248" s="11" t="s">
        <v>1546</v>
      </c>
      <c r="Y1248">
        <v>112.4496</v>
      </c>
      <c r="AF1248">
        <v>112.4496</v>
      </c>
      <c r="AG1248" t="s">
        <v>1737</v>
      </c>
    </row>
    <row r="1249" spans="1:33" x14ac:dyDescent="0.3">
      <c r="A1249" t="s">
        <v>1362</v>
      </c>
      <c r="B1249" s="2">
        <v>45560</v>
      </c>
      <c r="C1249">
        <v>1287.6084000000001</v>
      </c>
      <c r="D1249" t="s">
        <v>1807</v>
      </c>
      <c r="E1249">
        <v>35</v>
      </c>
      <c r="F1249" t="s">
        <v>9</v>
      </c>
      <c r="G1249" t="s">
        <v>1530</v>
      </c>
      <c r="H1249" t="s">
        <v>1767</v>
      </c>
      <c r="L1249" s="2">
        <v>45560</v>
      </c>
      <c r="M1249">
        <v>1287.6084000000001</v>
      </c>
      <c r="R1249" t="s">
        <v>1807</v>
      </c>
      <c r="S1249">
        <v>1287.6084000000001</v>
      </c>
      <c r="W1249" s="12" t="s">
        <v>9</v>
      </c>
      <c r="X1249" s="12" t="s">
        <v>1530</v>
      </c>
      <c r="Y1249">
        <v>1287.6084000000001</v>
      </c>
      <c r="AF1249">
        <v>1287.6084000000001</v>
      </c>
      <c r="AG1249" t="s">
        <v>1767</v>
      </c>
    </row>
    <row r="1250" spans="1:33" x14ac:dyDescent="0.3">
      <c r="A1250" t="s">
        <v>1148</v>
      </c>
      <c r="B1250" s="2">
        <v>45267</v>
      </c>
      <c r="C1250">
        <v>3602.7264</v>
      </c>
      <c r="D1250" t="s">
        <v>1809</v>
      </c>
      <c r="E1250">
        <v>28</v>
      </c>
      <c r="F1250" t="s">
        <v>9</v>
      </c>
      <c r="G1250" t="s">
        <v>1549</v>
      </c>
      <c r="H1250" t="s">
        <v>1746</v>
      </c>
      <c r="L1250" s="2">
        <v>45267</v>
      </c>
      <c r="M1250">
        <v>3602.7264</v>
      </c>
      <c r="R1250" t="s">
        <v>1809</v>
      </c>
      <c r="S1250">
        <v>3602.7264</v>
      </c>
      <c r="W1250" s="11" t="s">
        <v>9</v>
      </c>
      <c r="X1250" s="11" t="s">
        <v>1549</v>
      </c>
      <c r="Y1250">
        <v>3602.7264</v>
      </c>
      <c r="AF1250">
        <v>3602.7264</v>
      </c>
      <c r="AG1250" t="s">
        <v>1746</v>
      </c>
    </row>
    <row r="1251" spans="1:33" x14ac:dyDescent="0.3">
      <c r="A1251" t="s">
        <v>454</v>
      </c>
      <c r="B1251" s="2">
        <v>45467</v>
      </c>
      <c r="C1251">
        <v>1538.4005999999999</v>
      </c>
      <c r="D1251" t="s">
        <v>1809</v>
      </c>
      <c r="E1251">
        <v>33</v>
      </c>
      <c r="F1251" t="s">
        <v>16</v>
      </c>
      <c r="G1251" t="s">
        <v>1541</v>
      </c>
      <c r="H1251" t="s">
        <v>1742</v>
      </c>
      <c r="L1251" s="2">
        <v>45467</v>
      </c>
      <c r="M1251">
        <v>1538.4005999999999</v>
      </c>
      <c r="R1251" t="s">
        <v>1809</v>
      </c>
      <c r="S1251">
        <v>1538.4005999999999</v>
      </c>
      <c r="W1251" s="12" t="s">
        <v>16</v>
      </c>
      <c r="X1251" s="12" t="s">
        <v>1541</v>
      </c>
      <c r="Y1251">
        <v>1538.4005999999999</v>
      </c>
      <c r="AF1251">
        <v>1538.4005999999999</v>
      </c>
      <c r="AG1251" t="s">
        <v>1742</v>
      </c>
    </row>
    <row r="1252" spans="1:33" x14ac:dyDescent="0.3">
      <c r="A1252" t="s">
        <v>144</v>
      </c>
      <c r="B1252" s="2">
        <v>45847</v>
      </c>
      <c r="C1252">
        <v>82.54679999999999</v>
      </c>
      <c r="D1252" t="s">
        <v>1809</v>
      </c>
      <c r="E1252">
        <v>27</v>
      </c>
      <c r="F1252" t="s">
        <v>16</v>
      </c>
      <c r="G1252" t="s">
        <v>1541</v>
      </c>
      <c r="H1252" t="s">
        <v>1767</v>
      </c>
      <c r="L1252" s="2">
        <v>45847</v>
      </c>
      <c r="M1252">
        <v>82.54679999999999</v>
      </c>
      <c r="R1252" t="s">
        <v>1809</v>
      </c>
      <c r="S1252">
        <v>82.54679999999999</v>
      </c>
      <c r="W1252" s="11" t="s">
        <v>16</v>
      </c>
      <c r="X1252" s="11" t="s">
        <v>1541</v>
      </c>
      <c r="Y1252">
        <v>82.54679999999999</v>
      </c>
      <c r="AF1252">
        <v>82.54679999999999</v>
      </c>
      <c r="AG1252" t="s">
        <v>1767</v>
      </c>
    </row>
    <row r="1253" spans="1:33" x14ac:dyDescent="0.3">
      <c r="A1253" t="s">
        <v>798</v>
      </c>
      <c r="B1253" s="2">
        <v>45480</v>
      </c>
      <c r="C1253">
        <v>1417.8240000000001</v>
      </c>
      <c r="D1253" t="s">
        <v>1807</v>
      </c>
      <c r="E1253">
        <v>26</v>
      </c>
      <c r="F1253" t="s">
        <v>9</v>
      </c>
      <c r="G1253" t="s">
        <v>1546</v>
      </c>
      <c r="H1253" t="s">
        <v>1742</v>
      </c>
      <c r="L1253" s="2">
        <v>45480</v>
      </c>
      <c r="M1253">
        <v>1417.8240000000001</v>
      </c>
      <c r="R1253" t="s">
        <v>1807</v>
      </c>
      <c r="S1253">
        <v>1417.8240000000001</v>
      </c>
      <c r="W1253" s="12" t="s">
        <v>9</v>
      </c>
      <c r="X1253" s="12" t="s">
        <v>1546</v>
      </c>
      <c r="Y1253">
        <v>1417.8240000000001</v>
      </c>
      <c r="AF1253">
        <v>1417.8240000000001</v>
      </c>
      <c r="AG1253" t="s">
        <v>1742</v>
      </c>
    </row>
    <row r="1254" spans="1:33" x14ac:dyDescent="0.3">
      <c r="A1254" t="s">
        <v>954</v>
      </c>
      <c r="B1254" s="2">
        <v>45345</v>
      </c>
      <c r="C1254">
        <v>213.709</v>
      </c>
      <c r="D1254" t="s">
        <v>1812</v>
      </c>
      <c r="E1254">
        <v>44</v>
      </c>
      <c r="F1254" t="s">
        <v>9</v>
      </c>
      <c r="G1254" t="s">
        <v>1527</v>
      </c>
      <c r="H1254" t="s">
        <v>1737</v>
      </c>
      <c r="L1254" s="2">
        <v>45345</v>
      </c>
      <c r="M1254">
        <v>213.709</v>
      </c>
      <c r="R1254" t="s">
        <v>1812</v>
      </c>
      <c r="S1254">
        <v>213.709</v>
      </c>
      <c r="W1254" s="11" t="s">
        <v>9</v>
      </c>
      <c r="X1254" s="11" t="s">
        <v>1527</v>
      </c>
      <c r="Y1254">
        <v>213.709</v>
      </c>
      <c r="AF1254">
        <v>213.709</v>
      </c>
      <c r="AG1254" t="s">
        <v>1737</v>
      </c>
    </row>
    <row r="1255" spans="1:33" x14ac:dyDescent="0.3">
      <c r="A1255" t="s">
        <v>679</v>
      </c>
      <c r="B1255" s="2">
        <v>45235</v>
      </c>
      <c r="C1255">
        <v>800.33699999999999</v>
      </c>
      <c r="D1255" t="s">
        <v>1812</v>
      </c>
      <c r="E1255">
        <v>20</v>
      </c>
      <c r="F1255" t="s">
        <v>16</v>
      </c>
      <c r="G1255" t="s">
        <v>1546</v>
      </c>
      <c r="H1255" t="s">
        <v>1742</v>
      </c>
      <c r="L1255" s="2">
        <v>45235</v>
      </c>
      <c r="M1255">
        <v>800.33699999999999</v>
      </c>
      <c r="R1255" t="s">
        <v>1812</v>
      </c>
      <c r="S1255">
        <v>800.33699999999999</v>
      </c>
      <c r="W1255" s="12" t="s">
        <v>16</v>
      </c>
      <c r="X1255" s="12" t="s">
        <v>1546</v>
      </c>
      <c r="Y1255">
        <v>800.33699999999999</v>
      </c>
      <c r="AF1255">
        <v>800.33699999999999</v>
      </c>
      <c r="AG1255" t="s">
        <v>1742</v>
      </c>
    </row>
    <row r="1256" spans="1:33" x14ac:dyDescent="0.3">
      <c r="A1256" t="s">
        <v>685</v>
      </c>
      <c r="B1256" s="2">
        <v>45543</v>
      </c>
      <c r="C1256">
        <v>333.04919999999998</v>
      </c>
      <c r="D1256" t="s">
        <v>1812</v>
      </c>
      <c r="E1256">
        <v>42</v>
      </c>
      <c r="F1256" t="s">
        <v>16</v>
      </c>
      <c r="G1256" t="s">
        <v>1530</v>
      </c>
      <c r="H1256" t="s">
        <v>1742</v>
      </c>
      <c r="L1256" s="2">
        <v>45543</v>
      </c>
      <c r="M1256">
        <v>333.04919999999998</v>
      </c>
      <c r="R1256" t="s">
        <v>1812</v>
      </c>
      <c r="S1256">
        <v>333.04919999999998</v>
      </c>
      <c r="W1256" s="11" t="s">
        <v>16</v>
      </c>
      <c r="X1256" s="11" t="s">
        <v>1530</v>
      </c>
      <c r="Y1256">
        <v>333.04919999999998</v>
      </c>
      <c r="AF1256">
        <v>333.04919999999998</v>
      </c>
      <c r="AG1256" t="s">
        <v>1742</v>
      </c>
    </row>
    <row r="1257" spans="1:33" x14ac:dyDescent="0.3">
      <c r="A1257" t="s">
        <v>1511</v>
      </c>
      <c r="B1257" s="2">
        <v>45402</v>
      </c>
      <c r="C1257">
        <v>514.29959999999994</v>
      </c>
      <c r="D1257" t="s">
        <v>1809</v>
      </c>
      <c r="E1257">
        <v>35</v>
      </c>
      <c r="F1257" t="s">
        <v>9</v>
      </c>
      <c r="G1257" t="s">
        <v>1549</v>
      </c>
      <c r="H1257" t="s">
        <v>1742</v>
      </c>
      <c r="L1257" s="2">
        <v>45402</v>
      </c>
      <c r="M1257">
        <v>514.29959999999994</v>
      </c>
      <c r="R1257" t="s">
        <v>1809</v>
      </c>
      <c r="S1257">
        <v>514.29959999999994</v>
      </c>
      <c r="W1257" s="12" t="s">
        <v>9</v>
      </c>
      <c r="X1257" s="12" t="s">
        <v>1549</v>
      </c>
      <c r="Y1257">
        <v>514.29959999999994</v>
      </c>
      <c r="AF1257">
        <v>514.29959999999994</v>
      </c>
      <c r="AG1257" t="s">
        <v>1742</v>
      </c>
    </row>
    <row r="1258" spans="1:33" x14ac:dyDescent="0.3">
      <c r="A1258" t="s">
        <v>1377</v>
      </c>
      <c r="B1258" s="2">
        <v>45671</v>
      </c>
      <c r="C1258">
        <v>2299.5983999999999</v>
      </c>
      <c r="D1258" t="s">
        <v>1807</v>
      </c>
      <c r="E1258">
        <v>46</v>
      </c>
      <c r="F1258" t="s">
        <v>9</v>
      </c>
      <c r="G1258" t="s">
        <v>1541</v>
      </c>
      <c r="H1258" t="s">
        <v>1742</v>
      </c>
      <c r="L1258" s="2">
        <v>45671</v>
      </c>
      <c r="M1258">
        <v>2299.5983999999999</v>
      </c>
      <c r="R1258" t="s">
        <v>1807</v>
      </c>
      <c r="S1258">
        <v>2299.5983999999999</v>
      </c>
      <c r="W1258" s="11" t="s">
        <v>9</v>
      </c>
      <c r="X1258" s="11" t="s">
        <v>1541</v>
      </c>
      <c r="Y1258">
        <v>2299.5983999999999</v>
      </c>
      <c r="AF1258">
        <v>2299.5983999999999</v>
      </c>
      <c r="AG1258" t="s">
        <v>1742</v>
      </c>
    </row>
    <row r="1259" spans="1:33" x14ac:dyDescent="0.3">
      <c r="A1259" t="s">
        <v>577</v>
      </c>
      <c r="B1259" s="2">
        <v>45367</v>
      </c>
      <c r="C1259">
        <v>2013.7872</v>
      </c>
      <c r="D1259" t="s">
        <v>1809</v>
      </c>
      <c r="E1259">
        <v>55</v>
      </c>
      <c r="F1259" t="s">
        <v>9</v>
      </c>
      <c r="G1259" t="s">
        <v>1527</v>
      </c>
      <c r="H1259" t="s">
        <v>1746</v>
      </c>
      <c r="L1259" s="2">
        <v>45367</v>
      </c>
      <c r="M1259">
        <v>2013.7872</v>
      </c>
      <c r="R1259" t="s">
        <v>1809</v>
      </c>
      <c r="S1259">
        <v>2013.7872</v>
      </c>
      <c r="W1259" s="12" t="s">
        <v>9</v>
      </c>
      <c r="X1259" s="12" t="s">
        <v>1527</v>
      </c>
      <c r="Y1259">
        <v>2013.7872</v>
      </c>
      <c r="AF1259">
        <v>2013.7872</v>
      </c>
      <c r="AG1259" t="s">
        <v>1746</v>
      </c>
    </row>
    <row r="1260" spans="1:33" x14ac:dyDescent="0.3">
      <c r="A1260" t="s">
        <v>437</v>
      </c>
      <c r="B1260" s="2">
        <v>45488</v>
      </c>
      <c r="C1260">
        <v>1228.4894999999999</v>
      </c>
      <c r="D1260" t="s">
        <v>1812</v>
      </c>
      <c r="E1260">
        <v>43</v>
      </c>
      <c r="F1260" t="s">
        <v>16</v>
      </c>
      <c r="G1260" t="s">
        <v>1546</v>
      </c>
      <c r="H1260" t="s">
        <v>1767</v>
      </c>
      <c r="L1260" s="2">
        <v>45488</v>
      </c>
      <c r="M1260">
        <v>1228.4894999999999</v>
      </c>
      <c r="R1260" t="s">
        <v>1812</v>
      </c>
      <c r="S1260">
        <v>1228.4894999999999</v>
      </c>
      <c r="W1260" s="11" t="s">
        <v>16</v>
      </c>
      <c r="X1260" s="11" t="s">
        <v>1546</v>
      </c>
      <c r="Y1260">
        <v>1228.4894999999999</v>
      </c>
      <c r="AF1260">
        <v>1228.4894999999999</v>
      </c>
      <c r="AG1260" t="s">
        <v>1767</v>
      </c>
    </row>
    <row r="1261" spans="1:33" x14ac:dyDescent="0.3">
      <c r="A1261" t="s">
        <v>969</v>
      </c>
      <c r="B1261" s="2">
        <v>45509</v>
      </c>
      <c r="C1261">
        <v>77.022000000000006</v>
      </c>
      <c r="D1261" t="s">
        <v>1812</v>
      </c>
      <c r="E1261">
        <v>35</v>
      </c>
      <c r="F1261" t="s">
        <v>9</v>
      </c>
      <c r="G1261" t="s">
        <v>1549</v>
      </c>
      <c r="H1261" t="s">
        <v>1742</v>
      </c>
      <c r="L1261" s="2">
        <v>45509</v>
      </c>
      <c r="M1261">
        <v>77.022000000000006</v>
      </c>
      <c r="R1261" t="s">
        <v>1812</v>
      </c>
      <c r="S1261">
        <v>77.022000000000006</v>
      </c>
      <c r="W1261" s="12" t="s">
        <v>9</v>
      </c>
      <c r="X1261" s="12" t="s">
        <v>1549</v>
      </c>
      <c r="Y1261">
        <v>77.022000000000006</v>
      </c>
      <c r="AF1261">
        <v>77.022000000000006</v>
      </c>
      <c r="AG1261" t="s">
        <v>1742</v>
      </c>
    </row>
    <row r="1262" spans="1:33" x14ac:dyDescent="0.3">
      <c r="A1262" t="s">
        <v>1124</v>
      </c>
      <c r="B1262" s="2">
        <v>45323</v>
      </c>
      <c r="C1262">
        <v>2560</v>
      </c>
      <c r="D1262" t="s">
        <v>1807</v>
      </c>
      <c r="E1262">
        <v>58</v>
      </c>
      <c r="F1262" t="s">
        <v>9</v>
      </c>
      <c r="G1262" t="s">
        <v>1527</v>
      </c>
      <c r="H1262" t="s">
        <v>1742</v>
      </c>
      <c r="L1262" s="2">
        <v>45323</v>
      </c>
      <c r="M1262">
        <v>2560</v>
      </c>
      <c r="R1262" t="s">
        <v>1807</v>
      </c>
      <c r="S1262">
        <v>2560</v>
      </c>
      <c r="W1262" s="11" t="s">
        <v>9</v>
      </c>
      <c r="X1262" s="11" t="s">
        <v>1527</v>
      </c>
      <c r="Y1262">
        <v>2560</v>
      </c>
      <c r="AF1262">
        <v>2560</v>
      </c>
      <c r="AG1262" t="s">
        <v>1742</v>
      </c>
    </row>
    <row r="1263" spans="1:33" x14ac:dyDescent="0.3">
      <c r="A1263" t="s">
        <v>516</v>
      </c>
      <c r="B1263" s="2">
        <v>45889</v>
      </c>
      <c r="C1263">
        <v>262.51499999999999</v>
      </c>
      <c r="D1263" t="s">
        <v>1809</v>
      </c>
      <c r="E1263">
        <v>46</v>
      </c>
      <c r="F1263" t="s">
        <v>9</v>
      </c>
      <c r="G1263" t="s">
        <v>1541</v>
      </c>
      <c r="H1263" t="s">
        <v>1742</v>
      </c>
      <c r="L1263" s="2">
        <v>45889</v>
      </c>
      <c r="M1263">
        <v>262.51499999999999</v>
      </c>
      <c r="R1263" t="s">
        <v>1809</v>
      </c>
      <c r="S1263">
        <v>262.51499999999999</v>
      </c>
      <c r="W1263" s="12" t="s">
        <v>9</v>
      </c>
      <c r="X1263" s="12" t="s">
        <v>1541</v>
      </c>
      <c r="Y1263">
        <v>262.51499999999999</v>
      </c>
      <c r="AF1263">
        <v>262.51499999999999</v>
      </c>
      <c r="AG1263" t="s">
        <v>1742</v>
      </c>
    </row>
    <row r="1264" spans="1:33" x14ac:dyDescent="0.3">
      <c r="A1264" t="s">
        <v>1293</v>
      </c>
      <c r="B1264" s="2">
        <v>45253</v>
      </c>
      <c r="C1264">
        <v>158.50749999999999</v>
      </c>
      <c r="D1264" t="s">
        <v>1807</v>
      </c>
      <c r="E1264">
        <v>42</v>
      </c>
      <c r="F1264" t="s">
        <v>16</v>
      </c>
      <c r="G1264" t="s">
        <v>1541</v>
      </c>
      <c r="H1264" t="s">
        <v>1742</v>
      </c>
      <c r="L1264" s="2">
        <v>45253</v>
      </c>
      <c r="M1264">
        <v>158.50749999999999</v>
      </c>
      <c r="R1264" t="s">
        <v>1807</v>
      </c>
      <c r="S1264">
        <v>158.50749999999999</v>
      </c>
      <c r="W1264" s="11" t="s">
        <v>16</v>
      </c>
      <c r="X1264" s="11" t="s">
        <v>1541</v>
      </c>
      <c r="Y1264">
        <v>158.50749999999999</v>
      </c>
      <c r="AF1264">
        <v>158.50749999999999</v>
      </c>
      <c r="AG1264" t="s">
        <v>1742</v>
      </c>
    </row>
    <row r="1265" spans="1:33" x14ac:dyDescent="0.3">
      <c r="A1265" t="s">
        <v>1310</v>
      </c>
      <c r="B1265" s="2">
        <v>45530</v>
      </c>
      <c r="C1265">
        <v>2205.0239999999999</v>
      </c>
      <c r="D1265" t="s">
        <v>1809</v>
      </c>
      <c r="E1265">
        <v>27</v>
      </c>
      <c r="F1265" t="s">
        <v>16</v>
      </c>
      <c r="G1265" t="s">
        <v>1541</v>
      </c>
      <c r="H1265" t="s">
        <v>1746</v>
      </c>
      <c r="L1265" s="2">
        <v>45530</v>
      </c>
      <c r="M1265">
        <v>2205.0239999999999</v>
      </c>
      <c r="R1265" t="s">
        <v>1809</v>
      </c>
      <c r="S1265">
        <v>2205.0239999999999</v>
      </c>
      <c r="W1265" s="12" t="s">
        <v>16</v>
      </c>
      <c r="X1265" s="12" t="s">
        <v>1541</v>
      </c>
      <c r="Y1265">
        <v>2205.0239999999999</v>
      </c>
      <c r="AF1265">
        <v>2205.0239999999999</v>
      </c>
      <c r="AG1265" t="s">
        <v>1746</v>
      </c>
    </row>
    <row r="1266" spans="1:33" x14ac:dyDescent="0.3">
      <c r="A1266" t="s">
        <v>883</v>
      </c>
      <c r="B1266" s="2">
        <v>45491</v>
      </c>
      <c r="C1266">
        <v>1538.942</v>
      </c>
      <c r="D1266" t="s">
        <v>1812</v>
      </c>
      <c r="E1266">
        <v>59</v>
      </c>
      <c r="F1266" t="s">
        <v>9</v>
      </c>
      <c r="G1266" t="s">
        <v>1527</v>
      </c>
      <c r="H1266" t="s">
        <v>1742</v>
      </c>
      <c r="L1266" s="2">
        <v>45491</v>
      </c>
      <c r="M1266">
        <v>1538.942</v>
      </c>
      <c r="R1266" t="s">
        <v>1812</v>
      </c>
      <c r="S1266">
        <v>1538.942</v>
      </c>
      <c r="W1266" s="11" t="s">
        <v>9</v>
      </c>
      <c r="X1266" s="11" t="s">
        <v>1527</v>
      </c>
      <c r="Y1266">
        <v>1538.942</v>
      </c>
      <c r="AF1266">
        <v>1538.942</v>
      </c>
      <c r="AG1266" t="s">
        <v>1742</v>
      </c>
    </row>
    <row r="1267" spans="1:33" x14ac:dyDescent="0.3">
      <c r="A1267" t="s">
        <v>975</v>
      </c>
      <c r="B1267" s="2">
        <v>45628</v>
      </c>
      <c r="C1267">
        <v>909.83199999999999</v>
      </c>
      <c r="D1267" t="s">
        <v>1809</v>
      </c>
      <c r="E1267">
        <v>62</v>
      </c>
      <c r="F1267" t="s">
        <v>9</v>
      </c>
      <c r="G1267" t="s">
        <v>1541</v>
      </c>
      <c r="H1267" t="s">
        <v>1742</v>
      </c>
      <c r="L1267" s="2">
        <v>45628</v>
      </c>
      <c r="M1267">
        <v>909.83199999999999</v>
      </c>
      <c r="R1267" t="s">
        <v>1809</v>
      </c>
      <c r="S1267">
        <v>909.83199999999999</v>
      </c>
      <c r="W1267" s="12" t="s">
        <v>9</v>
      </c>
      <c r="X1267" s="12" t="s">
        <v>1541</v>
      </c>
      <c r="Y1267">
        <v>909.83199999999999</v>
      </c>
      <c r="AF1267">
        <v>909.83199999999999</v>
      </c>
      <c r="AG1267" t="s">
        <v>1742</v>
      </c>
    </row>
    <row r="1268" spans="1:33" x14ac:dyDescent="0.3">
      <c r="A1268" t="s">
        <v>3939</v>
      </c>
      <c r="B1268" s="2">
        <v>45861</v>
      </c>
      <c r="C1268">
        <v>194.17859999999999</v>
      </c>
      <c r="D1268" t="s">
        <v>1809</v>
      </c>
      <c r="E1268">
        <v>58</v>
      </c>
      <c r="F1268" t="s">
        <v>9</v>
      </c>
      <c r="G1268" t="s">
        <v>1541</v>
      </c>
      <c r="H1268" t="s">
        <v>1742</v>
      </c>
      <c r="L1268" s="2">
        <v>45861</v>
      </c>
      <c r="M1268">
        <v>194.17859999999999</v>
      </c>
      <c r="R1268" t="s">
        <v>1809</v>
      </c>
      <c r="S1268">
        <v>194.17859999999999</v>
      </c>
      <c r="W1268" s="11" t="s">
        <v>9</v>
      </c>
      <c r="X1268" s="11" t="s">
        <v>1541</v>
      </c>
      <c r="Y1268">
        <v>194.17859999999999</v>
      </c>
      <c r="AF1268">
        <v>194.17859999999999</v>
      </c>
      <c r="AG1268" t="s">
        <v>1742</v>
      </c>
    </row>
    <row r="1269" spans="1:33" x14ac:dyDescent="0.3">
      <c r="A1269" t="s">
        <v>507</v>
      </c>
      <c r="B1269" s="2">
        <v>45878</v>
      </c>
      <c r="C1269">
        <v>2566.404</v>
      </c>
      <c r="D1269" t="s">
        <v>1812</v>
      </c>
      <c r="E1269">
        <v>31</v>
      </c>
      <c r="F1269" t="s">
        <v>9</v>
      </c>
      <c r="G1269" t="s">
        <v>1549</v>
      </c>
      <c r="H1269" t="s">
        <v>1742</v>
      </c>
      <c r="L1269" s="2">
        <v>45878</v>
      </c>
      <c r="M1269">
        <v>2566.404</v>
      </c>
      <c r="R1269" t="s">
        <v>1812</v>
      </c>
      <c r="S1269">
        <v>2566.404</v>
      </c>
      <c r="W1269" s="12" t="s">
        <v>9</v>
      </c>
      <c r="X1269" s="12" t="s">
        <v>1549</v>
      </c>
      <c r="Y1269">
        <v>2566.404</v>
      </c>
      <c r="AF1269">
        <v>2566.404</v>
      </c>
      <c r="AG1269" t="s">
        <v>1742</v>
      </c>
    </row>
    <row r="1270" spans="1:33" x14ac:dyDescent="0.3">
      <c r="A1270" t="s">
        <v>276</v>
      </c>
      <c r="B1270" s="2">
        <v>45426</v>
      </c>
      <c r="C1270">
        <v>786.19040000000007</v>
      </c>
      <c r="D1270" t="s">
        <v>1809</v>
      </c>
      <c r="E1270">
        <v>29</v>
      </c>
      <c r="F1270" t="s">
        <v>9</v>
      </c>
      <c r="G1270" t="s">
        <v>1549</v>
      </c>
      <c r="H1270" t="s">
        <v>1742</v>
      </c>
      <c r="L1270" s="2">
        <v>45426</v>
      </c>
      <c r="M1270">
        <v>786.19040000000007</v>
      </c>
      <c r="R1270" t="s">
        <v>1809</v>
      </c>
      <c r="S1270">
        <v>786.19040000000007</v>
      </c>
      <c r="W1270" s="11" t="s">
        <v>9</v>
      </c>
      <c r="X1270" s="11" t="s">
        <v>1549</v>
      </c>
      <c r="Y1270">
        <v>786.19040000000007</v>
      </c>
      <c r="AF1270">
        <v>786.19040000000007</v>
      </c>
      <c r="AG1270" t="s">
        <v>1742</v>
      </c>
    </row>
    <row r="1271" spans="1:33" x14ac:dyDescent="0.3">
      <c r="A1271" t="s">
        <v>871</v>
      </c>
      <c r="B1271" s="2">
        <v>45231</v>
      </c>
      <c r="C1271">
        <v>1125.896</v>
      </c>
      <c r="D1271" t="s">
        <v>1809</v>
      </c>
      <c r="E1271">
        <v>22</v>
      </c>
      <c r="F1271" t="s">
        <v>16</v>
      </c>
      <c r="G1271" t="s">
        <v>1530</v>
      </c>
      <c r="H1271" t="s">
        <v>1737</v>
      </c>
      <c r="L1271" s="2">
        <v>45231</v>
      </c>
      <c r="M1271">
        <v>1125.896</v>
      </c>
      <c r="R1271" t="s">
        <v>1809</v>
      </c>
      <c r="S1271">
        <v>1125.896</v>
      </c>
      <c r="W1271" s="12" t="s">
        <v>16</v>
      </c>
      <c r="X1271" s="12" t="s">
        <v>1530</v>
      </c>
      <c r="Y1271">
        <v>1125.896</v>
      </c>
      <c r="AF1271">
        <v>1125.896</v>
      </c>
      <c r="AG1271" t="s">
        <v>1737</v>
      </c>
    </row>
    <row r="1272" spans="1:33" x14ac:dyDescent="0.3">
      <c r="A1272" t="s">
        <v>1236</v>
      </c>
      <c r="B1272" s="2">
        <v>45609</v>
      </c>
      <c r="C1272">
        <v>1715.0595000000001</v>
      </c>
      <c r="D1272" t="s">
        <v>1812</v>
      </c>
      <c r="E1272">
        <v>31</v>
      </c>
      <c r="F1272" t="s">
        <v>9</v>
      </c>
      <c r="G1272" t="s">
        <v>1530</v>
      </c>
      <c r="H1272" t="s">
        <v>1746</v>
      </c>
      <c r="L1272" s="2">
        <v>45609</v>
      </c>
      <c r="M1272">
        <v>1715.0595000000001</v>
      </c>
      <c r="R1272" t="s">
        <v>1812</v>
      </c>
      <c r="S1272">
        <v>1715.0595000000001</v>
      </c>
      <c r="W1272" s="11" t="s">
        <v>9</v>
      </c>
      <c r="X1272" s="11" t="s">
        <v>1530</v>
      </c>
      <c r="Y1272">
        <v>1715.0595000000001</v>
      </c>
      <c r="AF1272">
        <v>1715.0595000000001</v>
      </c>
      <c r="AG1272" t="s">
        <v>1746</v>
      </c>
    </row>
    <row r="1273" spans="1:33" x14ac:dyDescent="0.3">
      <c r="A1273" t="s">
        <v>1101</v>
      </c>
      <c r="B1273" s="2">
        <v>45392</v>
      </c>
      <c r="C1273">
        <v>887.30400000000009</v>
      </c>
      <c r="D1273" t="s">
        <v>1812</v>
      </c>
      <c r="E1273">
        <v>54</v>
      </c>
      <c r="F1273" t="s">
        <v>9</v>
      </c>
      <c r="G1273" t="s">
        <v>1530</v>
      </c>
      <c r="H1273" t="s">
        <v>1742</v>
      </c>
      <c r="L1273" s="2">
        <v>45392</v>
      </c>
      <c r="M1273">
        <v>887.30400000000009</v>
      </c>
      <c r="R1273" t="s">
        <v>1812</v>
      </c>
      <c r="S1273">
        <v>887.30400000000009</v>
      </c>
      <c r="W1273" s="12" t="s">
        <v>9</v>
      </c>
      <c r="X1273" s="12" t="s">
        <v>1530</v>
      </c>
      <c r="Y1273">
        <v>887.30400000000009</v>
      </c>
      <c r="AF1273">
        <v>887.30400000000009</v>
      </c>
      <c r="AG1273" t="s">
        <v>1742</v>
      </c>
    </row>
    <row r="1274" spans="1:33" x14ac:dyDescent="0.3">
      <c r="A1274" t="s">
        <v>1268</v>
      </c>
      <c r="B1274" s="2">
        <v>45876</v>
      </c>
      <c r="C1274">
        <v>800.72879999999998</v>
      </c>
      <c r="D1274" t="s">
        <v>1812</v>
      </c>
      <c r="E1274">
        <v>59</v>
      </c>
      <c r="F1274" t="s">
        <v>16</v>
      </c>
      <c r="G1274" t="s">
        <v>1527</v>
      </c>
      <c r="H1274" t="s">
        <v>1746</v>
      </c>
      <c r="L1274" s="2">
        <v>45876</v>
      </c>
      <c r="M1274">
        <v>800.72879999999998</v>
      </c>
      <c r="R1274" t="s">
        <v>1812</v>
      </c>
      <c r="S1274">
        <v>800.72879999999998</v>
      </c>
      <c r="W1274" s="11" t="s">
        <v>16</v>
      </c>
      <c r="X1274" s="11" t="s">
        <v>1527</v>
      </c>
      <c r="Y1274">
        <v>800.72879999999998</v>
      </c>
      <c r="AF1274">
        <v>800.72879999999998</v>
      </c>
      <c r="AG1274" t="s">
        <v>1746</v>
      </c>
    </row>
    <row r="1275" spans="1:33" x14ac:dyDescent="0.3">
      <c r="A1275" t="s">
        <v>880</v>
      </c>
      <c r="B1275" s="2">
        <v>45772</v>
      </c>
      <c r="C1275">
        <v>2859.2928000000002</v>
      </c>
      <c r="D1275" t="s">
        <v>1809</v>
      </c>
      <c r="E1275">
        <v>48</v>
      </c>
      <c r="F1275" t="s">
        <v>9</v>
      </c>
      <c r="G1275" t="s">
        <v>1546</v>
      </c>
      <c r="H1275" t="s">
        <v>1767</v>
      </c>
      <c r="L1275" s="2">
        <v>45772</v>
      </c>
      <c r="M1275">
        <v>2859.2928000000002</v>
      </c>
      <c r="R1275" t="s">
        <v>1809</v>
      </c>
      <c r="S1275">
        <v>2859.2928000000002</v>
      </c>
      <c r="W1275" s="12" t="s">
        <v>9</v>
      </c>
      <c r="X1275" s="12" t="s">
        <v>1546</v>
      </c>
      <c r="Y1275">
        <v>2859.2928000000002</v>
      </c>
      <c r="AF1275">
        <v>2859.2928000000002</v>
      </c>
      <c r="AG1275" t="s">
        <v>1767</v>
      </c>
    </row>
    <row r="1276" spans="1:33" x14ac:dyDescent="0.3">
      <c r="A1276" t="s">
        <v>643</v>
      </c>
      <c r="B1276" s="2">
        <v>45217</v>
      </c>
      <c r="C1276">
        <v>570.78420000000006</v>
      </c>
      <c r="D1276" t="s">
        <v>1812</v>
      </c>
      <c r="E1276">
        <v>46</v>
      </c>
      <c r="F1276" t="s">
        <v>9</v>
      </c>
      <c r="G1276" t="s">
        <v>1541</v>
      </c>
      <c r="H1276" t="s">
        <v>1742</v>
      </c>
      <c r="L1276" s="2">
        <v>45217</v>
      </c>
      <c r="M1276">
        <v>570.78420000000006</v>
      </c>
      <c r="R1276" t="s">
        <v>1812</v>
      </c>
      <c r="S1276">
        <v>570.78420000000006</v>
      </c>
      <c r="W1276" s="11" t="s">
        <v>9</v>
      </c>
      <c r="X1276" s="11" t="s">
        <v>1541</v>
      </c>
      <c r="Y1276">
        <v>570.78420000000006</v>
      </c>
      <c r="AF1276">
        <v>570.78420000000006</v>
      </c>
      <c r="AG1276" t="s">
        <v>1742</v>
      </c>
    </row>
    <row r="1277" spans="1:33" x14ac:dyDescent="0.3">
      <c r="A1277" t="s">
        <v>708</v>
      </c>
      <c r="B1277" s="2">
        <v>45739</v>
      </c>
      <c r="C1277">
        <v>2481.5216</v>
      </c>
      <c r="D1277" t="s">
        <v>1809</v>
      </c>
      <c r="E1277">
        <v>38</v>
      </c>
      <c r="F1277" t="s">
        <v>9</v>
      </c>
      <c r="G1277" t="s">
        <v>1549</v>
      </c>
      <c r="H1277" t="s">
        <v>1742</v>
      </c>
      <c r="L1277" s="2">
        <v>45739</v>
      </c>
      <c r="M1277">
        <v>2481.5216</v>
      </c>
      <c r="R1277" t="s">
        <v>1809</v>
      </c>
      <c r="S1277">
        <v>2481.5216</v>
      </c>
      <c r="W1277" s="12" t="s">
        <v>9</v>
      </c>
      <c r="X1277" s="12" t="s">
        <v>1549</v>
      </c>
      <c r="Y1277">
        <v>2481.5216</v>
      </c>
      <c r="AF1277">
        <v>2481.5216</v>
      </c>
      <c r="AG1277" t="s">
        <v>1742</v>
      </c>
    </row>
    <row r="1278" spans="1:33" x14ac:dyDescent="0.3">
      <c r="A1278" t="s">
        <v>418</v>
      </c>
      <c r="B1278" s="2">
        <v>45272</v>
      </c>
      <c r="C1278">
        <v>2358.1583999999998</v>
      </c>
      <c r="D1278" t="s">
        <v>1812</v>
      </c>
      <c r="E1278">
        <v>40</v>
      </c>
      <c r="F1278" t="s">
        <v>9</v>
      </c>
      <c r="G1278" t="s">
        <v>1541</v>
      </c>
      <c r="H1278" t="s">
        <v>1742</v>
      </c>
      <c r="L1278" s="2">
        <v>45272</v>
      </c>
      <c r="M1278">
        <v>2358.1583999999998</v>
      </c>
      <c r="R1278" t="s">
        <v>1812</v>
      </c>
      <c r="S1278">
        <v>2358.1583999999998</v>
      </c>
      <c r="W1278" s="11" t="s">
        <v>9</v>
      </c>
      <c r="X1278" s="11" t="s">
        <v>1541</v>
      </c>
      <c r="Y1278">
        <v>2358.1583999999998</v>
      </c>
      <c r="AF1278">
        <v>2358.1583999999998</v>
      </c>
      <c r="AG1278" t="s">
        <v>1742</v>
      </c>
    </row>
    <row r="1279" spans="1:33" x14ac:dyDescent="0.3">
      <c r="A1279" t="s">
        <v>3934</v>
      </c>
      <c r="B1279" s="2">
        <v>45524</v>
      </c>
      <c r="C1279">
        <v>445.10399999999998</v>
      </c>
      <c r="D1279" t="s">
        <v>1809</v>
      </c>
      <c r="E1279">
        <v>64</v>
      </c>
      <c r="F1279" t="s">
        <v>16</v>
      </c>
      <c r="G1279" t="s">
        <v>1546</v>
      </c>
      <c r="H1279" t="s">
        <v>1742</v>
      </c>
      <c r="L1279" s="2">
        <v>45524</v>
      </c>
      <c r="M1279">
        <v>445.10399999999998</v>
      </c>
      <c r="R1279" t="s">
        <v>1809</v>
      </c>
      <c r="S1279">
        <v>445.10399999999998</v>
      </c>
      <c r="W1279" s="12" t="s">
        <v>16</v>
      </c>
      <c r="X1279" s="12" t="s">
        <v>1546</v>
      </c>
      <c r="Y1279">
        <v>445.10399999999998</v>
      </c>
      <c r="AF1279">
        <v>445.10399999999998</v>
      </c>
      <c r="AG1279" t="s">
        <v>1742</v>
      </c>
    </row>
    <row r="1280" spans="1:33" x14ac:dyDescent="0.3">
      <c r="A1280" t="s">
        <v>1090</v>
      </c>
      <c r="B1280" s="2">
        <v>45481</v>
      </c>
      <c r="C1280">
        <v>1371.5504000000001</v>
      </c>
      <c r="D1280" t="s">
        <v>1812</v>
      </c>
      <c r="E1280">
        <v>52</v>
      </c>
      <c r="F1280" t="s">
        <v>16</v>
      </c>
      <c r="G1280" t="s">
        <v>1527</v>
      </c>
      <c r="H1280" t="s">
        <v>1737</v>
      </c>
      <c r="L1280" s="2">
        <v>45481</v>
      </c>
      <c r="M1280">
        <v>1371.5504000000001</v>
      </c>
      <c r="R1280" t="s">
        <v>1812</v>
      </c>
      <c r="S1280">
        <v>1371.5504000000001</v>
      </c>
      <c r="W1280" s="11" t="s">
        <v>16</v>
      </c>
      <c r="X1280" s="11" t="s">
        <v>1527</v>
      </c>
      <c r="Y1280">
        <v>1371.5504000000001</v>
      </c>
      <c r="AF1280">
        <v>1371.5504000000001</v>
      </c>
      <c r="AG1280" t="s">
        <v>1737</v>
      </c>
    </row>
    <row r="1281" spans="1:33" x14ac:dyDescent="0.3">
      <c r="A1281" t="s">
        <v>1416</v>
      </c>
      <c r="B1281" s="2">
        <v>45267</v>
      </c>
      <c r="C1281">
        <v>673.875</v>
      </c>
      <c r="D1281" t="s">
        <v>1812</v>
      </c>
      <c r="E1281">
        <v>28</v>
      </c>
      <c r="F1281" t="s">
        <v>16</v>
      </c>
      <c r="G1281" t="s">
        <v>1546</v>
      </c>
      <c r="H1281" t="s">
        <v>1742</v>
      </c>
      <c r="L1281" s="2">
        <v>45267</v>
      </c>
      <c r="M1281">
        <v>673.875</v>
      </c>
      <c r="R1281" t="s">
        <v>1812</v>
      </c>
      <c r="S1281">
        <v>673.875</v>
      </c>
      <c r="W1281" s="12" t="s">
        <v>16</v>
      </c>
      <c r="X1281" s="12" t="s">
        <v>1546</v>
      </c>
      <c r="Y1281">
        <v>673.875</v>
      </c>
      <c r="AF1281">
        <v>673.875</v>
      </c>
      <c r="AG1281" t="s">
        <v>1742</v>
      </c>
    </row>
    <row r="1282" spans="1:33" x14ac:dyDescent="0.3">
      <c r="A1282" t="s">
        <v>593</v>
      </c>
      <c r="B1282" s="2">
        <v>45328</v>
      </c>
      <c r="C1282">
        <v>223.87280000000001</v>
      </c>
      <c r="D1282" t="s">
        <v>1812</v>
      </c>
      <c r="E1282">
        <v>23</v>
      </c>
      <c r="F1282" t="s">
        <v>16</v>
      </c>
      <c r="G1282" t="s">
        <v>1541</v>
      </c>
      <c r="H1282" t="s">
        <v>1737</v>
      </c>
      <c r="L1282" s="2">
        <v>45328</v>
      </c>
      <c r="M1282">
        <v>223.87280000000001</v>
      </c>
      <c r="R1282" t="s">
        <v>1812</v>
      </c>
      <c r="S1282">
        <v>223.87280000000001</v>
      </c>
      <c r="W1282" s="11" t="s">
        <v>16</v>
      </c>
      <c r="X1282" s="11" t="s">
        <v>1541</v>
      </c>
      <c r="Y1282">
        <v>223.87280000000001</v>
      </c>
      <c r="AF1282">
        <v>223.87280000000001</v>
      </c>
      <c r="AG1282" t="s">
        <v>1737</v>
      </c>
    </row>
    <row r="1283" spans="1:33" x14ac:dyDescent="0.3">
      <c r="A1283" t="s">
        <v>1497</v>
      </c>
      <c r="B1283" s="2">
        <v>45787</v>
      </c>
      <c r="C1283">
        <v>574.10699999999997</v>
      </c>
      <c r="D1283" t="s">
        <v>1812</v>
      </c>
      <c r="E1283">
        <v>28</v>
      </c>
      <c r="F1283" t="s">
        <v>9</v>
      </c>
      <c r="G1283" t="s">
        <v>1541</v>
      </c>
      <c r="H1283" t="s">
        <v>1742</v>
      </c>
      <c r="L1283" s="2">
        <v>45787</v>
      </c>
      <c r="M1283">
        <v>574.10699999999997</v>
      </c>
      <c r="R1283" t="s">
        <v>1812</v>
      </c>
      <c r="S1283">
        <v>574.10699999999997</v>
      </c>
      <c r="W1283" s="12" t="s">
        <v>9</v>
      </c>
      <c r="X1283" s="12" t="s">
        <v>1541</v>
      </c>
      <c r="Y1283">
        <v>574.10699999999997</v>
      </c>
      <c r="AF1283">
        <v>574.10699999999997</v>
      </c>
      <c r="AG1283" t="s">
        <v>1742</v>
      </c>
    </row>
    <row r="1284" spans="1:33" x14ac:dyDescent="0.3">
      <c r="A1284" t="s">
        <v>1002</v>
      </c>
      <c r="B1284" s="2">
        <v>45876</v>
      </c>
      <c r="C1284">
        <v>529.88580000000002</v>
      </c>
      <c r="D1284" t="s">
        <v>1809</v>
      </c>
      <c r="E1284">
        <v>54</v>
      </c>
      <c r="F1284" t="s">
        <v>9</v>
      </c>
      <c r="G1284" t="s">
        <v>1527</v>
      </c>
      <c r="H1284" t="s">
        <v>1742</v>
      </c>
      <c r="L1284" s="2">
        <v>45876</v>
      </c>
      <c r="M1284">
        <v>529.88580000000002</v>
      </c>
      <c r="R1284" t="s">
        <v>1809</v>
      </c>
      <c r="S1284">
        <v>529.88580000000002</v>
      </c>
      <c r="W1284" s="11" t="s">
        <v>9</v>
      </c>
      <c r="X1284" s="11" t="s">
        <v>1527</v>
      </c>
      <c r="Y1284">
        <v>529.88580000000002</v>
      </c>
      <c r="AF1284">
        <v>529.88580000000002</v>
      </c>
      <c r="AG1284" t="s">
        <v>1742</v>
      </c>
    </row>
    <row r="1285" spans="1:33" x14ac:dyDescent="0.3">
      <c r="A1285" t="s">
        <v>216</v>
      </c>
      <c r="B1285" s="2">
        <v>45552</v>
      </c>
      <c r="C1285">
        <v>929.16320000000007</v>
      </c>
      <c r="D1285" t="s">
        <v>1812</v>
      </c>
      <c r="E1285">
        <v>53</v>
      </c>
      <c r="F1285" t="s">
        <v>9</v>
      </c>
      <c r="G1285" t="s">
        <v>1541</v>
      </c>
      <c r="H1285" t="s">
        <v>1742</v>
      </c>
      <c r="L1285" s="2">
        <v>45552</v>
      </c>
      <c r="M1285">
        <v>929.16320000000007</v>
      </c>
      <c r="R1285" t="s">
        <v>1812</v>
      </c>
      <c r="S1285">
        <v>929.16320000000007</v>
      </c>
      <c r="W1285" s="12" t="s">
        <v>9</v>
      </c>
      <c r="X1285" s="12" t="s">
        <v>1541</v>
      </c>
      <c r="Y1285">
        <v>929.16320000000007</v>
      </c>
      <c r="AF1285">
        <v>929.16320000000007</v>
      </c>
      <c r="AG1285" t="s">
        <v>1742</v>
      </c>
    </row>
    <row r="1286" spans="1:33" x14ac:dyDescent="0.3">
      <c r="A1286" t="s">
        <v>1169</v>
      </c>
      <c r="B1286" s="2">
        <v>45823</v>
      </c>
      <c r="C1286">
        <v>1071.904</v>
      </c>
      <c r="D1286" t="s">
        <v>1812</v>
      </c>
      <c r="E1286">
        <v>34</v>
      </c>
      <c r="F1286" t="s">
        <v>16</v>
      </c>
      <c r="G1286" t="s">
        <v>1549</v>
      </c>
      <c r="H1286" t="s">
        <v>1767</v>
      </c>
      <c r="L1286" s="2">
        <v>45823</v>
      </c>
      <c r="M1286">
        <v>1071.904</v>
      </c>
      <c r="R1286" t="s">
        <v>1812</v>
      </c>
      <c r="S1286">
        <v>1071.904</v>
      </c>
      <c r="W1286" s="11" t="s">
        <v>16</v>
      </c>
      <c r="X1286" s="11" t="s">
        <v>1549</v>
      </c>
      <c r="Y1286">
        <v>1071.904</v>
      </c>
      <c r="AF1286">
        <v>1071.904</v>
      </c>
      <c r="AG1286" t="s">
        <v>1767</v>
      </c>
    </row>
    <row r="1287" spans="1:33" x14ac:dyDescent="0.3">
      <c r="A1287" t="s">
        <v>1013</v>
      </c>
      <c r="B1287" s="2">
        <v>45622</v>
      </c>
      <c r="C1287">
        <v>763.97759999999994</v>
      </c>
      <c r="D1287" t="s">
        <v>1812</v>
      </c>
      <c r="E1287">
        <v>58</v>
      </c>
      <c r="F1287" t="s">
        <v>16</v>
      </c>
      <c r="G1287" t="s">
        <v>1541</v>
      </c>
      <c r="H1287" t="s">
        <v>1742</v>
      </c>
      <c r="L1287" s="2">
        <v>45622</v>
      </c>
      <c r="M1287">
        <v>763.97759999999994</v>
      </c>
      <c r="R1287" t="s">
        <v>1812</v>
      </c>
      <c r="S1287">
        <v>763.97759999999994</v>
      </c>
      <c r="W1287" s="12" t="s">
        <v>16</v>
      </c>
      <c r="X1287" s="12" t="s">
        <v>1541</v>
      </c>
      <c r="Y1287">
        <v>763.97759999999994</v>
      </c>
      <c r="AF1287">
        <v>763.97759999999994</v>
      </c>
      <c r="AG1287" t="s">
        <v>1742</v>
      </c>
    </row>
    <row r="1288" spans="1:33" x14ac:dyDescent="0.3">
      <c r="A1288" t="s">
        <v>1130</v>
      </c>
      <c r="B1288" s="2">
        <v>45810</v>
      </c>
      <c r="C1288">
        <v>712.59749999999985</v>
      </c>
      <c r="D1288" t="s">
        <v>1812</v>
      </c>
      <c r="E1288">
        <v>40</v>
      </c>
      <c r="F1288" t="s">
        <v>16</v>
      </c>
      <c r="G1288" t="s">
        <v>1546</v>
      </c>
      <c r="H1288" t="s">
        <v>1742</v>
      </c>
      <c r="L1288" s="2">
        <v>45810</v>
      </c>
      <c r="M1288">
        <v>712.59749999999985</v>
      </c>
      <c r="R1288" t="s">
        <v>1812</v>
      </c>
      <c r="S1288">
        <v>712.59749999999985</v>
      </c>
      <c r="W1288" s="11" t="s">
        <v>16</v>
      </c>
      <c r="X1288" s="11" t="s">
        <v>1546</v>
      </c>
      <c r="Y1288">
        <v>712.59749999999985</v>
      </c>
      <c r="AF1288">
        <v>712.59749999999985</v>
      </c>
      <c r="AG1288" t="s">
        <v>1742</v>
      </c>
    </row>
    <row r="1289" spans="1:33" x14ac:dyDescent="0.3">
      <c r="A1289" t="s">
        <v>843</v>
      </c>
      <c r="B1289" s="2">
        <v>45645</v>
      </c>
      <c r="C1289">
        <v>2013.5178000000001</v>
      </c>
      <c r="D1289" t="s">
        <v>1812</v>
      </c>
      <c r="E1289">
        <v>18</v>
      </c>
      <c r="F1289" t="s">
        <v>9</v>
      </c>
      <c r="G1289" t="s">
        <v>1541</v>
      </c>
      <c r="H1289" t="s">
        <v>1767</v>
      </c>
      <c r="L1289" s="2">
        <v>45645</v>
      </c>
      <c r="M1289">
        <v>2013.5178000000001</v>
      </c>
      <c r="R1289" t="s">
        <v>1812</v>
      </c>
      <c r="S1289">
        <v>2013.5178000000001</v>
      </c>
      <c r="W1289" s="12" t="s">
        <v>9</v>
      </c>
      <c r="X1289" s="12" t="s">
        <v>1541</v>
      </c>
      <c r="Y1289">
        <v>2013.5178000000001</v>
      </c>
      <c r="AF1289">
        <v>2013.5178000000001</v>
      </c>
      <c r="AG1289" t="s">
        <v>1767</v>
      </c>
    </row>
    <row r="1290" spans="1:33" x14ac:dyDescent="0.3">
      <c r="A1290" t="s">
        <v>256</v>
      </c>
      <c r="B1290" s="2">
        <v>45749</v>
      </c>
      <c r="C1290">
        <v>1438.8352</v>
      </c>
      <c r="D1290" t="s">
        <v>1812</v>
      </c>
      <c r="E1290">
        <v>61</v>
      </c>
      <c r="F1290" t="s">
        <v>16</v>
      </c>
      <c r="G1290" t="s">
        <v>1527</v>
      </c>
      <c r="H1290" t="s">
        <v>1742</v>
      </c>
      <c r="L1290" s="2">
        <v>45749</v>
      </c>
      <c r="M1290">
        <v>1438.8352</v>
      </c>
      <c r="R1290" t="s">
        <v>1812</v>
      </c>
      <c r="S1290">
        <v>1438.8352</v>
      </c>
      <c r="W1290" s="11" t="s">
        <v>16</v>
      </c>
      <c r="X1290" s="11" t="s">
        <v>1527</v>
      </c>
      <c r="Y1290">
        <v>1438.8352</v>
      </c>
      <c r="AF1290">
        <v>1438.8352</v>
      </c>
      <c r="AG1290" t="s">
        <v>1742</v>
      </c>
    </row>
    <row r="1291" spans="1:33" x14ac:dyDescent="0.3">
      <c r="A1291" t="s">
        <v>580</v>
      </c>
      <c r="B1291" s="2">
        <v>45537</v>
      </c>
      <c r="C1291">
        <v>213.55879999999999</v>
      </c>
      <c r="D1291" t="s">
        <v>1809</v>
      </c>
      <c r="E1291">
        <v>33</v>
      </c>
      <c r="F1291" t="s">
        <v>16</v>
      </c>
      <c r="G1291" t="s">
        <v>1530</v>
      </c>
      <c r="H1291" t="s">
        <v>1746</v>
      </c>
      <c r="L1291" s="2">
        <v>45537</v>
      </c>
      <c r="M1291">
        <v>213.55879999999999</v>
      </c>
      <c r="R1291" t="s">
        <v>1809</v>
      </c>
      <c r="S1291">
        <v>213.55879999999999</v>
      </c>
      <c r="W1291" s="12" t="s">
        <v>16</v>
      </c>
      <c r="X1291" s="12" t="s">
        <v>1530</v>
      </c>
      <c r="Y1291">
        <v>213.55879999999999</v>
      </c>
      <c r="AF1291">
        <v>213.55879999999999</v>
      </c>
      <c r="AG1291" t="s">
        <v>1746</v>
      </c>
    </row>
    <row r="1292" spans="1:33" x14ac:dyDescent="0.3">
      <c r="A1292" t="s">
        <v>555</v>
      </c>
      <c r="B1292" s="2">
        <v>45376</v>
      </c>
      <c r="C1292">
        <v>1925.8533</v>
      </c>
      <c r="D1292" t="s">
        <v>1809</v>
      </c>
      <c r="E1292">
        <v>64</v>
      </c>
      <c r="F1292" t="s">
        <v>9</v>
      </c>
      <c r="G1292" t="s">
        <v>1530</v>
      </c>
      <c r="H1292" t="s">
        <v>1742</v>
      </c>
      <c r="L1292" s="2">
        <v>45376</v>
      </c>
      <c r="M1292">
        <v>1925.8533</v>
      </c>
      <c r="R1292" t="s">
        <v>1809</v>
      </c>
      <c r="S1292">
        <v>1925.8533</v>
      </c>
      <c r="W1292" s="11" t="s">
        <v>9</v>
      </c>
      <c r="X1292" s="11" t="s">
        <v>1530</v>
      </c>
      <c r="Y1292">
        <v>1925.8533</v>
      </c>
      <c r="AF1292">
        <v>1925.8533</v>
      </c>
      <c r="AG1292" t="s">
        <v>1742</v>
      </c>
    </row>
    <row r="1293" spans="1:33" x14ac:dyDescent="0.3">
      <c r="A1293" t="s">
        <v>377</v>
      </c>
      <c r="B1293" s="2">
        <v>45709</v>
      </c>
      <c r="C1293">
        <v>1146.6271999999999</v>
      </c>
      <c r="D1293" t="s">
        <v>1809</v>
      </c>
      <c r="E1293">
        <v>27</v>
      </c>
      <c r="F1293" t="s">
        <v>9</v>
      </c>
      <c r="G1293" t="s">
        <v>1549</v>
      </c>
      <c r="H1293" t="s">
        <v>1742</v>
      </c>
      <c r="L1293" s="2">
        <v>45709</v>
      </c>
      <c r="M1293">
        <v>1146.6271999999999</v>
      </c>
      <c r="R1293" t="s">
        <v>1809</v>
      </c>
      <c r="S1293">
        <v>1146.6271999999999</v>
      </c>
      <c r="W1293" s="12" t="s">
        <v>9</v>
      </c>
      <c r="X1293" s="12" t="s">
        <v>1549</v>
      </c>
      <c r="Y1293">
        <v>1146.6271999999999</v>
      </c>
      <c r="AF1293">
        <v>1146.6271999999999</v>
      </c>
      <c r="AG1293" t="s">
        <v>1742</v>
      </c>
    </row>
    <row r="1294" spans="1:33" x14ac:dyDescent="0.3">
      <c r="A1294" t="s">
        <v>389</v>
      </c>
      <c r="B1294" s="2">
        <v>45446</v>
      </c>
      <c r="C1294">
        <v>64.878399999999999</v>
      </c>
      <c r="D1294" t="s">
        <v>1812</v>
      </c>
      <c r="E1294">
        <v>51</v>
      </c>
      <c r="F1294" t="s">
        <v>9</v>
      </c>
      <c r="G1294" t="s">
        <v>1546</v>
      </c>
      <c r="H1294" t="s">
        <v>1737</v>
      </c>
      <c r="L1294" s="2">
        <v>45446</v>
      </c>
      <c r="M1294">
        <v>64.878399999999999</v>
      </c>
      <c r="R1294" t="s">
        <v>1812</v>
      </c>
      <c r="S1294">
        <v>64.878399999999999</v>
      </c>
      <c r="W1294" s="11" t="s">
        <v>9</v>
      </c>
      <c r="X1294" s="11" t="s">
        <v>1546</v>
      </c>
      <c r="Y1294">
        <v>64.878399999999999</v>
      </c>
      <c r="AF1294">
        <v>64.878399999999999</v>
      </c>
      <c r="AG1294" t="s">
        <v>1737</v>
      </c>
    </row>
    <row r="1295" spans="1:33" x14ac:dyDescent="0.3">
      <c r="A1295" t="s">
        <v>868</v>
      </c>
      <c r="B1295" s="2">
        <v>45330</v>
      </c>
      <c r="C1295">
        <v>36.225000000000001</v>
      </c>
      <c r="D1295" t="s">
        <v>1809</v>
      </c>
      <c r="E1295">
        <v>38</v>
      </c>
      <c r="F1295" t="s">
        <v>9</v>
      </c>
      <c r="G1295" t="s">
        <v>1549</v>
      </c>
      <c r="H1295" t="s">
        <v>1746</v>
      </c>
      <c r="L1295" s="2">
        <v>45330</v>
      </c>
      <c r="M1295">
        <v>36.225000000000001</v>
      </c>
      <c r="R1295" t="s">
        <v>1809</v>
      </c>
      <c r="S1295">
        <v>36.225000000000001</v>
      </c>
      <c r="W1295" s="12" t="s">
        <v>9</v>
      </c>
      <c r="X1295" s="12" t="s">
        <v>1549</v>
      </c>
      <c r="Y1295">
        <v>36.225000000000001</v>
      </c>
      <c r="AF1295">
        <v>36.225000000000001</v>
      </c>
      <c r="AG1295" t="s">
        <v>1746</v>
      </c>
    </row>
    <row r="1296" spans="1:33" x14ac:dyDescent="0.3">
      <c r="A1296" t="s">
        <v>741</v>
      </c>
      <c r="B1296" s="2">
        <v>45388</v>
      </c>
      <c r="C1296">
        <v>1537.404</v>
      </c>
      <c r="D1296" t="s">
        <v>1812</v>
      </c>
      <c r="E1296">
        <v>59</v>
      </c>
      <c r="F1296" t="s">
        <v>9</v>
      </c>
      <c r="G1296" t="s">
        <v>1541</v>
      </c>
      <c r="H1296" t="s">
        <v>1742</v>
      </c>
      <c r="L1296" s="2">
        <v>45388</v>
      </c>
      <c r="M1296">
        <v>1537.404</v>
      </c>
      <c r="R1296" t="s">
        <v>1812</v>
      </c>
      <c r="S1296">
        <v>1537.404</v>
      </c>
      <c r="W1296" s="11" t="s">
        <v>9</v>
      </c>
      <c r="X1296" s="11" t="s">
        <v>1541</v>
      </c>
      <c r="Y1296">
        <v>1537.404</v>
      </c>
      <c r="AF1296">
        <v>1537.404</v>
      </c>
      <c r="AG1296" t="s">
        <v>1742</v>
      </c>
    </row>
    <row r="1297" spans="1:33" x14ac:dyDescent="0.3">
      <c r="A1297" t="s">
        <v>786</v>
      </c>
      <c r="B1297" s="2">
        <v>45313</v>
      </c>
      <c r="C1297">
        <v>1548.9465</v>
      </c>
      <c r="D1297" t="s">
        <v>1809</v>
      </c>
      <c r="E1297">
        <v>19</v>
      </c>
      <c r="F1297" t="s">
        <v>9</v>
      </c>
      <c r="G1297" t="s">
        <v>1541</v>
      </c>
      <c r="H1297" t="s">
        <v>1746</v>
      </c>
      <c r="L1297" s="2">
        <v>45313</v>
      </c>
      <c r="M1297">
        <v>1548.9465</v>
      </c>
      <c r="R1297" t="s">
        <v>1809</v>
      </c>
      <c r="S1297">
        <v>1548.9465</v>
      </c>
      <c r="W1297" s="12" t="s">
        <v>9</v>
      </c>
      <c r="X1297" s="12" t="s">
        <v>1541</v>
      </c>
      <c r="Y1297">
        <v>1548.9465</v>
      </c>
      <c r="AF1297">
        <v>1548.9465</v>
      </c>
      <c r="AG1297" t="s">
        <v>1746</v>
      </c>
    </row>
    <row r="1298" spans="1:33" x14ac:dyDescent="0.3">
      <c r="A1298" t="s">
        <v>3945</v>
      </c>
      <c r="B1298" s="2">
        <v>45221</v>
      </c>
      <c r="C1298">
        <v>1969.9559999999999</v>
      </c>
      <c r="D1298" t="s">
        <v>1812</v>
      </c>
      <c r="E1298">
        <v>60</v>
      </c>
      <c r="F1298" t="s">
        <v>9</v>
      </c>
      <c r="G1298" t="s">
        <v>1530</v>
      </c>
      <c r="H1298" t="s">
        <v>1737</v>
      </c>
      <c r="L1298" s="2">
        <v>45221</v>
      </c>
      <c r="M1298">
        <v>1969.9559999999999</v>
      </c>
      <c r="R1298" t="s">
        <v>1812</v>
      </c>
      <c r="S1298">
        <v>1969.9559999999999</v>
      </c>
      <c r="W1298" s="11" t="s">
        <v>9</v>
      </c>
      <c r="X1298" s="11" t="s">
        <v>1530</v>
      </c>
      <c r="Y1298">
        <v>1969.9559999999999</v>
      </c>
      <c r="AF1298">
        <v>1969.9559999999999</v>
      </c>
      <c r="AG1298" t="s">
        <v>1737</v>
      </c>
    </row>
    <row r="1299" spans="1:33" x14ac:dyDescent="0.3">
      <c r="A1299" t="s">
        <v>768</v>
      </c>
      <c r="B1299" s="2">
        <v>45619</v>
      </c>
      <c r="C1299">
        <v>1659.9756</v>
      </c>
      <c r="D1299" t="s">
        <v>1809</v>
      </c>
      <c r="E1299">
        <v>58</v>
      </c>
      <c r="F1299" t="s">
        <v>16</v>
      </c>
      <c r="G1299" t="s">
        <v>1549</v>
      </c>
      <c r="H1299" t="s">
        <v>1742</v>
      </c>
      <c r="L1299" s="2">
        <v>45619</v>
      </c>
      <c r="M1299">
        <v>1659.9756</v>
      </c>
      <c r="R1299" t="s">
        <v>1809</v>
      </c>
      <c r="S1299">
        <v>1659.9756</v>
      </c>
      <c r="W1299" s="12" t="s">
        <v>16</v>
      </c>
      <c r="X1299" s="12" t="s">
        <v>1549</v>
      </c>
      <c r="Y1299">
        <v>1659.9756</v>
      </c>
      <c r="AF1299">
        <v>1659.9756</v>
      </c>
      <c r="AG1299" t="s">
        <v>1742</v>
      </c>
    </row>
    <row r="1300" spans="1:33" x14ac:dyDescent="0.3">
      <c r="A1300" t="s">
        <v>1196</v>
      </c>
      <c r="B1300" s="2">
        <v>45286</v>
      </c>
      <c r="C1300">
        <v>1280.115</v>
      </c>
      <c r="D1300" t="s">
        <v>1807</v>
      </c>
      <c r="E1300">
        <v>53</v>
      </c>
      <c r="F1300" t="s">
        <v>9</v>
      </c>
      <c r="G1300" t="s">
        <v>1546</v>
      </c>
      <c r="H1300" t="s">
        <v>1767</v>
      </c>
      <c r="L1300" s="2">
        <v>45286</v>
      </c>
      <c r="M1300">
        <v>1280.115</v>
      </c>
      <c r="R1300" t="s">
        <v>1807</v>
      </c>
      <c r="S1300">
        <v>1280.115</v>
      </c>
      <c r="W1300" s="11" t="s">
        <v>9</v>
      </c>
      <c r="X1300" s="11" t="s">
        <v>1546</v>
      </c>
      <c r="Y1300">
        <v>1280.115</v>
      </c>
      <c r="AF1300">
        <v>1280.115</v>
      </c>
      <c r="AG1300" t="s">
        <v>1767</v>
      </c>
    </row>
    <row r="1301" spans="1:33" x14ac:dyDescent="0.3">
      <c r="A1301" t="s">
        <v>383</v>
      </c>
      <c r="B1301" s="2">
        <v>45451</v>
      </c>
      <c r="C1301">
        <v>150.7902</v>
      </c>
      <c r="D1301" t="s">
        <v>1809</v>
      </c>
      <c r="E1301">
        <v>18</v>
      </c>
      <c r="F1301" t="s">
        <v>16</v>
      </c>
      <c r="G1301" t="s">
        <v>1549</v>
      </c>
      <c r="H1301" t="s">
        <v>1746</v>
      </c>
      <c r="L1301" s="2">
        <v>45451</v>
      </c>
      <c r="M1301">
        <v>150.7902</v>
      </c>
      <c r="R1301" t="s">
        <v>1809</v>
      </c>
      <c r="S1301">
        <v>150.7902</v>
      </c>
      <c r="W1301" s="12" t="s">
        <v>16</v>
      </c>
      <c r="X1301" s="12" t="s">
        <v>1549</v>
      </c>
      <c r="Y1301">
        <v>150.7902</v>
      </c>
      <c r="AF1301">
        <v>150.7902</v>
      </c>
      <c r="AG1301" t="s">
        <v>1746</v>
      </c>
    </row>
    <row r="1302" spans="1:33" x14ac:dyDescent="0.3">
      <c r="A1302" t="s">
        <v>492</v>
      </c>
      <c r="B1302" s="2">
        <v>45478</v>
      </c>
      <c r="C1302">
        <v>812.75739999999996</v>
      </c>
      <c r="D1302" t="s">
        <v>1807</v>
      </c>
      <c r="E1302">
        <v>42</v>
      </c>
      <c r="F1302" t="s">
        <v>16</v>
      </c>
      <c r="G1302" t="s">
        <v>1530</v>
      </c>
      <c r="H1302" t="s">
        <v>1742</v>
      </c>
      <c r="L1302" s="2">
        <v>45478</v>
      </c>
      <c r="M1302">
        <v>812.75739999999996</v>
      </c>
      <c r="R1302" t="s">
        <v>1807</v>
      </c>
      <c r="S1302">
        <v>812.75739999999996</v>
      </c>
      <c r="W1302" s="11" t="s">
        <v>16</v>
      </c>
      <c r="X1302" s="11" t="s">
        <v>1530</v>
      </c>
      <c r="Y1302">
        <v>812.75739999999996</v>
      </c>
      <c r="AF1302">
        <v>812.75739999999996</v>
      </c>
      <c r="AG1302" t="s">
        <v>1742</v>
      </c>
    </row>
    <row r="1303" spans="1:33" x14ac:dyDescent="0.3">
      <c r="A1303" t="s">
        <v>362</v>
      </c>
      <c r="B1303" s="2">
        <v>45528</v>
      </c>
      <c r="C1303">
        <v>1005.3216</v>
      </c>
      <c r="D1303" t="s">
        <v>1807</v>
      </c>
      <c r="E1303">
        <v>64</v>
      </c>
      <c r="F1303" t="s">
        <v>9</v>
      </c>
      <c r="G1303" t="s">
        <v>1546</v>
      </c>
      <c r="H1303" t="s">
        <v>1767</v>
      </c>
      <c r="L1303" s="2">
        <v>45528</v>
      </c>
      <c r="M1303">
        <v>1005.3216</v>
      </c>
      <c r="R1303" t="s">
        <v>1807</v>
      </c>
      <c r="S1303">
        <v>1005.3216</v>
      </c>
      <c r="W1303" s="12" t="s">
        <v>9</v>
      </c>
      <c r="X1303" s="12" t="s">
        <v>1546</v>
      </c>
      <c r="Y1303">
        <v>1005.3216</v>
      </c>
      <c r="AF1303">
        <v>1005.3216</v>
      </c>
      <c r="AG1303" t="s">
        <v>1767</v>
      </c>
    </row>
    <row r="1304" spans="1:33" x14ac:dyDescent="0.3">
      <c r="A1304" t="s">
        <v>892</v>
      </c>
      <c r="B1304" s="2">
        <v>45418</v>
      </c>
      <c r="C1304">
        <v>590.84100000000001</v>
      </c>
      <c r="D1304" t="s">
        <v>1812</v>
      </c>
      <c r="E1304">
        <v>54</v>
      </c>
      <c r="F1304" t="s">
        <v>9</v>
      </c>
      <c r="G1304" t="s">
        <v>1549</v>
      </c>
      <c r="H1304" t="s">
        <v>1742</v>
      </c>
      <c r="L1304" s="2">
        <v>45418</v>
      </c>
      <c r="M1304">
        <v>590.84100000000001</v>
      </c>
      <c r="R1304" t="s">
        <v>1812</v>
      </c>
      <c r="S1304">
        <v>590.84100000000001</v>
      </c>
      <c r="W1304" s="11" t="s">
        <v>9</v>
      </c>
      <c r="X1304" s="11" t="s">
        <v>1549</v>
      </c>
      <c r="Y1304">
        <v>590.84100000000001</v>
      </c>
      <c r="AF1304">
        <v>590.84100000000001</v>
      </c>
      <c r="AG1304" t="s">
        <v>1742</v>
      </c>
    </row>
    <row r="1305" spans="1:33" x14ac:dyDescent="0.3">
      <c r="A1305" t="s">
        <v>128</v>
      </c>
      <c r="B1305" s="2">
        <v>45478</v>
      </c>
      <c r="C1305">
        <v>1040.2403999999999</v>
      </c>
      <c r="D1305" t="s">
        <v>1807</v>
      </c>
      <c r="E1305">
        <v>48</v>
      </c>
      <c r="F1305" t="s">
        <v>16</v>
      </c>
      <c r="G1305" t="s">
        <v>1549</v>
      </c>
      <c r="H1305" t="s">
        <v>1737</v>
      </c>
      <c r="L1305" s="2">
        <v>45478</v>
      </c>
      <c r="M1305">
        <v>1040.2403999999999</v>
      </c>
      <c r="R1305" t="s">
        <v>1807</v>
      </c>
      <c r="S1305">
        <v>1040.2403999999999</v>
      </c>
      <c r="W1305" s="12" t="s">
        <v>16</v>
      </c>
      <c r="X1305" s="12" t="s">
        <v>1549</v>
      </c>
      <c r="Y1305">
        <v>1040.2403999999999</v>
      </c>
      <c r="AF1305">
        <v>1040.2403999999999</v>
      </c>
      <c r="AG1305" t="s">
        <v>1737</v>
      </c>
    </row>
    <row r="1306" spans="1:33" x14ac:dyDescent="0.3">
      <c r="A1306" t="s">
        <v>421</v>
      </c>
      <c r="B1306" s="2">
        <v>45232</v>
      </c>
      <c r="C1306">
        <v>2182.4463999999998</v>
      </c>
      <c r="D1306" t="s">
        <v>1807</v>
      </c>
      <c r="E1306">
        <v>26</v>
      </c>
      <c r="F1306" t="s">
        <v>9</v>
      </c>
      <c r="G1306" t="s">
        <v>1546</v>
      </c>
      <c r="H1306" t="s">
        <v>1746</v>
      </c>
      <c r="L1306" s="2">
        <v>45232</v>
      </c>
      <c r="M1306">
        <v>2182.4463999999998</v>
      </c>
      <c r="R1306" t="s">
        <v>1807</v>
      </c>
      <c r="S1306">
        <v>2182.4463999999998</v>
      </c>
      <c r="W1306" s="11" t="s">
        <v>9</v>
      </c>
      <c r="X1306" s="11" t="s">
        <v>1546</v>
      </c>
      <c r="Y1306">
        <v>2182.4463999999998</v>
      </c>
      <c r="AF1306">
        <v>2182.4463999999998</v>
      </c>
      <c r="AG1306" t="s">
        <v>1746</v>
      </c>
    </row>
    <row r="1307" spans="1:33" x14ac:dyDescent="0.3">
      <c r="A1307" t="s">
        <v>3934</v>
      </c>
      <c r="B1307" s="2">
        <v>45616</v>
      </c>
      <c r="C1307">
        <v>105.47280000000001</v>
      </c>
      <c r="D1307" t="s">
        <v>1807</v>
      </c>
      <c r="E1307">
        <v>64</v>
      </c>
      <c r="F1307" t="s">
        <v>16</v>
      </c>
      <c r="G1307" t="s">
        <v>1541</v>
      </c>
      <c r="H1307" t="s">
        <v>1742</v>
      </c>
      <c r="L1307" s="2">
        <v>45616</v>
      </c>
      <c r="M1307">
        <v>105.47280000000001</v>
      </c>
      <c r="R1307" t="s">
        <v>1807</v>
      </c>
      <c r="S1307">
        <v>105.47280000000001</v>
      </c>
      <c r="W1307" s="12" t="s">
        <v>16</v>
      </c>
      <c r="X1307" s="12" t="s">
        <v>1541</v>
      </c>
      <c r="Y1307">
        <v>105.47280000000001</v>
      </c>
      <c r="AF1307">
        <v>105.47280000000001</v>
      </c>
      <c r="AG1307" t="s">
        <v>1742</v>
      </c>
    </row>
    <row r="1308" spans="1:33" x14ac:dyDescent="0.3">
      <c r="A1308" t="s">
        <v>468</v>
      </c>
      <c r="B1308" s="2">
        <v>45774</v>
      </c>
      <c r="C1308">
        <v>343.6694</v>
      </c>
      <c r="D1308" t="s">
        <v>1812</v>
      </c>
      <c r="E1308">
        <v>63</v>
      </c>
      <c r="F1308" t="s">
        <v>16</v>
      </c>
      <c r="G1308" t="s">
        <v>1549</v>
      </c>
      <c r="H1308" t="s">
        <v>1742</v>
      </c>
      <c r="L1308" s="2">
        <v>45774</v>
      </c>
      <c r="M1308">
        <v>343.6694</v>
      </c>
      <c r="R1308" t="s">
        <v>1812</v>
      </c>
      <c r="S1308">
        <v>343.6694</v>
      </c>
      <c r="W1308" s="11" t="s">
        <v>16</v>
      </c>
      <c r="X1308" s="11" t="s">
        <v>1549</v>
      </c>
      <c r="Y1308">
        <v>343.6694</v>
      </c>
      <c r="AF1308">
        <v>343.6694</v>
      </c>
      <c r="AG1308" t="s">
        <v>1742</v>
      </c>
    </row>
    <row r="1309" spans="1:33" x14ac:dyDescent="0.3">
      <c r="A1309" t="s">
        <v>119</v>
      </c>
      <c r="B1309" s="2">
        <v>45651</v>
      </c>
      <c r="C1309">
        <v>103.9311</v>
      </c>
      <c r="D1309" t="s">
        <v>1809</v>
      </c>
      <c r="E1309">
        <v>54</v>
      </c>
      <c r="F1309" t="s">
        <v>16</v>
      </c>
      <c r="G1309" t="s">
        <v>1549</v>
      </c>
      <c r="H1309" t="s">
        <v>1742</v>
      </c>
      <c r="L1309" s="2">
        <v>45651</v>
      </c>
      <c r="M1309">
        <v>103.9311</v>
      </c>
      <c r="R1309" t="s">
        <v>1809</v>
      </c>
      <c r="S1309">
        <v>103.9311</v>
      </c>
      <c r="W1309" s="12" t="s">
        <v>16</v>
      </c>
      <c r="X1309" s="12" t="s">
        <v>1549</v>
      </c>
      <c r="Y1309">
        <v>103.9311</v>
      </c>
      <c r="AF1309">
        <v>103.9311</v>
      </c>
      <c r="AG1309" t="s">
        <v>1742</v>
      </c>
    </row>
    <row r="1310" spans="1:33" x14ac:dyDescent="0.3">
      <c r="A1310" t="s">
        <v>1241</v>
      </c>
      <c r="B1310" s="2">
        <v>45902</v>
      </c>
      <c r="C1310">
        <v>900.59199999999998</v>
      </c>
      <c r="D1310" t="s">
        <v>1812</v>
      </c>
      <c r="E1310">
        <v>22</v>
      </c>
      <c r="F1310" t="s">
        <v>16</v>
      </c>
      <c r="G1310" t="s">
        <v>1546</v>
      </c>
      <c r="H1310" t="s">
        <v>1746</v>
      </c>
      <c r="L1310" s="2">
        <v>45902</v>
      </c>
      <c r="M1310">
        <v>900.59199999999998</v>
      </c>
      <c r="R1310" t="s">
        <v>1812</v>
      </c>
      <c r="S1310">
        <v>900.59199999999998</v>
      </c>
      <c r="W1310" s="11" t="s">
        <v>16</v>
      </c>
      <c r="X1310" s="11" t="s">
        <v>1546</v>
      </c>
      <c r="Y1310">
        <v>900.59199999999998</v>
      </c>
      <c r="AF1310">
        <v>900.59199999999998</v>
      </c>
      <c r="AG1310" t="s">
        <v>1746</v>
      </c>
    </row>
    <row r="1311" spans="1:33" x14ac:dyDescent="0.3">
      <c r="A1311" t="s">
        <v>328</v>
      </c>
      <c r="B1311" s="2">
        <v>45401</v>
      </c>
      <c r="C1311">
        <v>1505.2575999999999</v>
      </c>
      <c r="D1311" t="s">
        <v>1809</v>
      </c>
      <c r="E1311">
        <v>28</v>
      </c>
      <c r="F1311" t="s">
        <v>16</v>
      </c>
      <c r="G1311" t="s">
        <v>1530</v>
      </c>
      <c r="H1311" t="s">
        <v>1767</v>
      </c>
      <c r="L1311" s="2">
        <v>45401</v>
      </c>
      <c r="M1311">
        <v>1505.2575999999999</v>
      </c>
      <c r="R1311" t="s">
        <v>1809</v>
      </c>
      <c r="S1311">
        <v>1505.2575999999999</v>
      </c>
      <c r="W1311" s="12" t="s">
        <v>16</v>
      </c>
      <c r="X1311" s="12" t="s">
        <v>1530</v>
      </c>
      <c r="Y1311">
        <v>1505.2575999999999</v>
      </c>
      <c r="AF1311">
        <v>1505.2575999999999</v>
      </c>
      <c r="AG1311" t="s">
        <v>1767</v>
      </c>
    </row>
    <row r="1312" spans="1:33" x14ac:dyDescent="0.3">
      <c r="A1312" t="s">
        <v>1208</v>
      </c>
      <c r="B1312" s="2">
        <v>45717</v>
      </c>
      <c r="C1312">
        <v>926.40100000000007</v>
      </c>
      <c r="D1312" t="s">
        <v>1812</v>
      </c>
      <c r="E1312">
        <v>46</v>
      </c>
      <c r="F1312" t="s">
        <v>9</v>
      </c>
      <c r="G1312" t="s">
        <v>1549</v>
      </c>
      <c r="H1312" t="s">
        <v>1742</v>
      </c>
      <c r="L1312" s="2">
        <v>45717</v>
      </c>
      <c r="M1312">
        <v>926.40100000000007</v>
      </c>
      <c r="R1312" t="s">
        <v>1812</v>
      </c>
      <c r="S1312">
        <v>926.40100000000007</v>
      </c>
      <c r="W1312" s="11" t="s">
        <v>9</v>
      </c>
      <c r="X1312" s="11" t="s">
        <v>1549</v>
      </c>
      <c r="Y1312">
        <v>926.40100000000007</v>
      </c>
      <c r="AF1312">
        <v>926.40100000000007</v>
      </c>
      <c r="AG1312" t="s">
        <v>1742</v>
      </c>
    </row>
    <row r="1313" spans="1:33" x14ac:dyDescent="0.3">
      <c r="A1313" t="s">
        <v>1325</v>
      </c>
      <c r="B1313" s="2">
        <v>45376</v>
      </c>
      <c r="C1313">
        <v>242.03899999999999</v>
      </c>
      <c r="D1313" t="s">
        <v>1807</v>
      </c>
      <c r="E1313">
        <v>51</v>
      </c>
      <c r="F1313" t="s">
        <v>16</v>
      </c>
      <c r="G1313" t="s">
        <v>1546</v>
      </c>
      <c r="H1313" t="s">
        <v>1742</v>
      </c>
      <c r="L1313" s="2">
        <v>45376</v>
      </c>
      <c r="M1313">
        <v>242.03899999999999</v>
      </c>
      <c r="R1313" t="s">
        <v>1807</v>
      </c>
      <c r="S1313">
        <v>242.03899999999999</v>
      </c>
      <c r="W1313" s="12" t="s">
        <v>16</v>
      </c>
      <c r="X1313" s="12" t="s">
        <v>1546</v>
      </c>
      <c r="Y1313">
        <v>242.03899999999999</v>
      </c>
      <c r="AF1313">
        <v>242.03899999999999</v>
      </c>
      <c r="AG1313" t="s">
        <v>1742</v>
      </c>
    </row>
    <row r="1314" spans="1:33" x14ac:dyDescent="0.3">
      <c r="A1314" t="s">
        <v>1076</v>
      </c>
      <c r="B1314" s="2">
        <v>45576</v>
      </c>
      <c r="C1314">
        <v>1627.4391000000001</v>
      </c>
      <c r="D1314" t="s">
        <v>1812</v>
      </c>
      <c r="E1314">
        <v>39</v>
      </c>
      <c r="F1314" t="s">
        <v>16</v>
      </c>
      <c r="G1314" t="s">
        <v>1549</v>
      </c>
      <c r="H1314" t="s">
        <v>1767</v>
      </c>
      <c r="L1314" s="2">
        <v>45576</v>
      </c>
      <c r="M1314">
        <v>1627.4391000000001</v>
      </c>
      <c r="R1314" t="s">
        <v>1812</v>
      </c>
      <c r="S1314">
        <v>1627.4391000000001</v>
      </c>
      <c r="W1314" s="11" t="s">
        <v>16</v>
      </c>
      <c r="X1314" s="11" t="s">
        <v>1549</v>
      </c>
      <c r="Y1314">
        <v>1627.4391000000001</v>
      </c>
      <c r="AF1314">
        <v>1627.4391000000001</v>
      </c>
      <c r="AG1314" t="s">
        <v>1767</v>
      </c>
    </row>
    <row r="1315" spans="1:33" x14ac:dyDescent="0.3">
      <c r="A1315" t="s">
        <v>94</v>
      </c>
      <c r="B1315" s="2">
        <v>45906</v>
      </c>
      <c r="C1315">
        <v>138.4229</v>
      </c>
      <c r="D1315" t="s">
        <v>1812</v>
      </c>
      <c r="E1315">
        <v>33</v>
      </c>
      <c r="F1315" t="s">
        <v>16</v>
      </c>
      <c r="G1315" t="s">
        <v>1546</v>
      </c>
      <c r="H1315" t="s">
        <v>1742</v>
      </c>
      <c r="L1315" s="2">
        <v>45906</v>
      </c>
      <c r="M1315">
        <v>138.4229</v>
      </c>
      <c r="R1315" t="s">
        <v>1812</v>
      </c>
      <c r="S1315">
        <v>138.4229</v>
      </c>
      <c r="W1315" s="12" t="s">
        <v>16</v>
      </c>
      <c r="X1315" s="12" t="s">
        <v>1546</v>
      </c>
      <c r="Y1315">
        <v>138.4229</v>
      </c>
      <c r="AF1315">
        <v>138.4229</v>
      </c>
      <c r="AG1315" t="s">
        <v>1742</v>
      </c>
    </row>
    <row r="1316" spans="1:33" x14ac:dyDescent="0.3">
      <c r="A1316" t="s">
        <v>45</v>
      </c>
      <c r="B1316" s="2">
        <v>45523</v>
      </c>
      <c r="C1316">
        <v>1774.3440000000001</v>
      </c>
      <c r="D1316" t="s">
        <v>1807</v>
      </c>
      <c r="E1316">
        <v>64</v>
      </c>
      <c r="F1316" t="s">
        <v>9</v>
      </c>
      <c r="G1316" t="s">
        <v>1546</v>
      </c>
      <c r="H1316" t="s">
        <v>1746</v>
      </c>
      <c r="L1316" s="2">
        <v>45523</v>
      </c>
      <c r="M1316">
        <v>1774.3440000000001</v>
      </c>
      <c r="R1316" t="s">
        <v>1807</v>
      </c>
      <c r="S1316">
        <v>1774.3440000000001</v>
      </c>
      <c r="W1316" s="11" t="s">
        <v>9</v>
      </c>
      <c r="X1316" s="11" t="s">
        <v>1546</v>
      </c>
      <c r="Y1316">
        <v>1774.3440000000001</v>
      </c>
      <c r="AF1316">
        <v>1774.3440000000001</v>
      </c>
      <c r="AG1316" t="s">
        <v>1746</v>
      </c>
    </row>
    <row r="1317" spans="1:33" x14ac:dyDescent="0.3">
      <c r="A1317" t="s">
        <v>1259</v>
      </c>
      <c r="B1317" s="2">
        <v>45234</v>
      </c>
      <c r="C1317">
        <v>1477.5</v>
      </c>
      <c r="D1317" t="s">
        <v>1807</v>
      </c>
      <c r="E1317">
        <v>48</v>
      </c>
      <c r="F1317" t="s">
        <v>16</v>
      </c>
      <c r="G1317" t="s">
        <v>1541</v>
      </c>
      <c r="H1317" t="s">
        <v>1742</v>
      </c>
      <c r="L1317" s="2">
        <v>45234</v>
      </c>
      <c r="M1317">
        <v>1477.5</v>
      </c>
      <c r="R1317" t="s">
        <v>1807</v>
      </c>
      <c r="S1317">
        <v>1477.5</v>
      </c>
      <c r="W1317" s="12" t="s">
        <v>16</v>
      </c>
      <c r="X1317" s="12" t="s">
        <v>1541</v>
      </c>
      <c r="Y1317">
        <v>1477.5</v>
      </c>
      <c r="AF1317">
        <v>1477.5</v>
      </c>
      <c r="AG1317" t="s">
        <v>1742</v>
      </c>
    </row>
    <row r="1318" spans="1:33" x14ac:dyDescent="0.3">
      <c r="A1318" t="s">
        <v>1476</v>
      </c>
      <c r="B1318" s="2">
        <v>45405</v>
      </c>
      <c r="C1318">
        <v>615.74040000000002</v>
      </c>
      <c r="D1318" t="s">
        <v>1807</v>
      </c>
      <c r="E1318">
        <v>22</v>
      </c>
      <c r="F1318" t="s">
        <v>16</v>
      </c>
      <c r="G1318" t="s">
        <v>1549</v>
      </c>
      <c r="H1318" t="s">
        <v>1742</v>
      </c>
      <c r="L1318" s="2">
        <v>45405</v>
      </c>
      <c r="M1318">
        <v>615.74040000000002</v>
      </c>
      <c r="R1318" t="s">
        <v>1807</v>
      </c>
      <c r="S1318">
        <v>615.74040000000002</v>
      </c>
      <c r="W1318" s="11" t="s">
        <v>16</v>
      </c>
      <c r="X1318" s="11" t="s">
        <v>1549</v>
      </c>
      <c r="Y1318">
        <v>615.74040000000002</v>
      </c>
      <c r="AF1318">
        <v>615.74040000000002</v>
      </c>
      <c r="AG1318" t="s">
        <v>1742</v>
      </c>
    </row>
    <row r="1319" spans="1:33" x14ac:dyDescent="0.3">
      <c r="A1319" t="s">
        <v>404</v>
      </c>
      <c r="B1319" s="2">
        <v>45223</v>
      </c>
      <c r="C1319">
        <v>2774.6131999999998</v>
      </c>
      <c r="D1319" t="s">
        <v>1812</v>
      </c>
      <c r="E1319">
        <v>36</v>
      </c>
      <c r="F1319" t="s">
        <v>9</v>
      </c>
      <c r="G1319" t="s">
        <v>1541</v>
      </c>
      <c r="H1319" t="s">
        <v>1746</v>
      </c>
      <c r="L1319" s="2">
        <v>45223</v>
      </c>
      <c r="M1319">
        <v>2774.6131999999998</v>
      </c>
      <c r="R1319" t="s">
        <v>1812</v>
      </c>
      <c r="S1319">
        <v>2774.6131999999998</v>
      </c>
      <c r="W1319" s="12" t="s">
        <v>9</v>
      </c>
      <c r="X1319" s="12" t="s">
        <v>1541</v>
      </c>
      <c r="Y1319">
        <v>2774.6131999999998</v>
      </c>
      <c r="AF1319">
        <v>2774.6131999999998</v>
      </c>
      <c r="AG1319" t="s">
        <v>1746</v>
      </c>
    </row>
    <row r="1320" spans="1:33" x14ac:dyDescent="0.3">
      <c r="A1320" t="s">
        <v>812</v>
      </c>
      <c r="B1320" s="2">
        <v>45838</v>
      </c>
      <c r="C1320">
        <v>450.52399999999989</v>
      </c>
      <c r="D1320" t="s">
        <v>1809</v>
      </c>
      <c r="E1320">
        <v>42</v>
      </c>
      <c r="F1320" t="s">
        <v>9</v>
      </c>
      <c r="G1320" t="s">
        <v>1546</v>
      </c>
      <c r="H1320" t="s">
        <v>1746</v>
      </c>
      <c r="L1320" s="2">
        <v>45838</v>
      </c>
      <c r="M1320">
        <v>450.52399999999989</v>
      </c>
      <c r="R1320" t="s">
        <v>1809</v>
      </c>
      <c r="S1320">
        <v>450.52399999999989</v>
      </c>
      <c r="W1320" s="11" t="s">
        <v>9</v>
      </c>
      <c r="X1320" s="11" t="s">
        <v>1546</v>
      </c>
      <c r="Y1320">
        <v>450.52399999999989</v>
      </c>
      <c r="AF1320">
        <v>450.52399999999989</v>
      </c>
      <c r="AG1320" t="s">
        <v>1746</v>
      </c>
    </row>
    <row r="1321" spans="1:33" x14ac:dyDescent="0.3">
      <c r="A1321" t="s">
        <v>555</v>
      </c>
      <c r="B1321" s="2">
        <v>45883</v>
      </c>
      <c r="C1321">
        <v>2549.4839999999999</v>
      </c>
      <c r="D1321" t="s">
        <v>1809</v>
      </c>
      <c r="E1321">
        <v>64</v>
      </c>
      <c r="F1321" t="s">
        <v>9</v>
      </c>
      <c r="G1321" t="s">
        <v>1546</v>
      </c>
      <c r="H1321" t="s">
        <v>1767</v>
      </c>
      <c r="L1321" s="2">
        <v>45883</v>
      </c>
      <c r="M1321">
        <v>2549.4839999999999</v>
      </c>
      <c r="R1321" t="s">
        <v>1809</v>
      </c>
      <c r="S1321">
        <v>2549.4839999999999</v>
      </c>
      <c r="W1321" s="12" t="s">
        <v>9</v>
      </c>
      <c r="X1321" s="12" t="s">
        <v>1546</v>
      </c>
      <c r="Y1321">
        <v>2549.4839999999999</v>
      </c>
      <c r="AF1321">
        <v>2549.4839999999999</v>
      </c>
      <c r="AG1321" t="s">
        <v>1767</v>
      </c>
    </row>
    <row r="1322" spans="1:33" x14ac:dyDescent="0.3">
      <c r="A1322" t="s">
        <v>1359</v>
      </c>
      <c r="B1322" s="2">
        <v>45788</v>
      </c>
      <c r="C1322">
        <v>1359.5925</v>
      </c>
      <c r="D1322" t="s">
        <v>1809</v>
      </c>
      <c r="E1322">
        <v>41</v>
      </c>
      <c r="F1322" t="s">
        <v>16</v>
      </c>
      <c r="G1322" t="s">
        <v>1549</v>
      </c>
      <c r="H1322" t="s">
        <v>1742</v>
      </c>
      <c r="L1322" s="2">
        <v>45788</v>
      </c>
      <c r="M1322">
        <v>1359.5925</v>
      </c>
      <c r="R1322" t="s">
        <v>1809</v>
      </c>
      <c r="S1322">
        <v>1359.5925</v>
      </c>
      <c r="W1322" s="11" t="s">
        <v>16</v>
      </c>
      <c r="X1322" s="11" t="s">
        <v>1549</v>
      </c>
      <c r="Y1322">
        <v>1359.5925</v>
      </c>
      <c r="AF1322">
        <v>1359.5925</v>
      </c>
      <c r="AG1322" t="s">
        <v>1742</v>
      </c>
    </row>
    <row r="1323" spans="1:33" x14ac:dyDescent="0.3">
      <c r="A1323" t="s">
        <v>960</v>
      </c>
      <c r="B1323" s="2">
        <v>45383</v>
      </c>
      <c r="C1323">
        <v>1373.7651000000001</v>
      </c>
      <c r="D1323" t="s">
        <v>1812</v>
      </c>
      <c r="E1323">
        <v>60</v>
      </c>
      <c r="F1323" t="s">
        <v>16</v>
      </c>
      <c r="G1323" t="s">
        <v>1546</v>
      </c>
      <c r="H1323" t="s">
        <v>1746</v>
      </c>
      <c r="L1323" s="2">
        <v>45383</v>
      </c>
      <c r="M1323">
        <v>1373.7651000000001</v>
      </c>
      <c r="R1323" t="s">
        <v>1812</v>
      </c>
      <c r="S1323">
        <v>1373.7651000000001</v>
      </c>
      <c r="W1323" s="12" t="s">
        <v>16</v>
      </c>
      <c r="X1323" s="12" t="s">
        <v>1546</v>
      </c>
      <c r="Y1323">
        <v>1373.7651000000001</v>
      </c>
      <c r="AF1323">
        <v>1373.7651000000001</v>
      </c>
      <c r="AG1323" t="s">
        <v>1746</v>
      </c>
    </row>
    <row r="1324" spans="1:33" x14ac:dyDescent="0.3">
      <c r="A1324" t="s">
        <v>3944</v>
      </c>
      <c r="B1324" s="2">
        <v>45335</v>
      </c>
      <c r="C1324">
        <v>502.62119999999999</v>
      </c>
      <c r="D1324" t="s">
        <v>1809</v>
      </c>
      <c r="E1324">
        <v>64</v>
      </c>
      <c r="F1324" t="s">
        <v>9</v>
      </c>
      <c r="G1324" t="s">
        <v>1541</v>
      </c>
      <c r="H1324" t="s">
        <v>1742</v>
      </c>
      <c r="L1324" s="2">
        <v>45335</v>
      </c>
      <c r="M1324">
        <v>502.62119999999999</v>
      </c>
      <c r="R1324" t="s">
        <v>1809</v>
      </c>
      <c r="S1324">
        <v>502.62119999999999</v>
      </c>
      <c r="W1324" s="11" t="s">
        <v>9</v>
      </c>
      <c r="X1324" s="11" t="s">
        <v>1541</v>
      </c>
      <c r="Y1324">
        <v>502.62119999999999</v>
      </c>
      <c r="AF1324">
        <v>502.62119999999999</v>
      </c>
      <c r="AG1324" t="s">
        <v>1742</v>
      </c>
    </row>
    <row r="1325" spans="1:33" x14ac:dyDescent="0.3">
      <c r="A1325" t="s">
        <v>798</v>
      </c>
      <c r="B1325" s="2">
        <v>45304</v>
      </c>
      <c r="C1325">
        <v>1861.9880000000001</v>
      </c>
      <c r="D1325" t="s">
        <v>1807</v>
      </c>
      <c r="E1325">
        <v>26</v>
      </c>
      <c r="F1325" t="s">
        <v>9</v>
      </c>
      <c r="G1325" t="s">
        <v>1527</v>
      </c>
      <c r="H1325" t="s">
        <v>1742</v>
      </c>
      <c r="L1325" s="2">
        <v>45304</v>
      </c>
      <c r="M1325">
        <v>1861.9880000000001</v>
      </c>
      <c r="R1325" t="s">
        <v>1807</v>
      </c>
      <c r="S1325">
        <v>1861.9880000000001</v>
      </c>
      <c r="W1325" s="12" t="s">
        <v>9</v>
      </c>
      <c r="X1325" s="12" t="s">
        <v>1527</v>
      </c>
      <c r="Y1325">
        <v>1861.9880000000001</v>
      </c>
      <c r="AF1325">
        <v>1861.9880000000001</v>
      </c>
      <c r="AG1325" t="s">
        <v>1742</v>
      </c>
    </row>
    <row r="1326" spans="1:33" x14ac:dyDescent="0.3">
      <c r="A1326" t="s">
        <v>1342</v>
      </c>
      <c r="B1326" s="2">
        <v>45543</v>
      </c>
      <c r="C1326">
        <v>1904.5440000000001</v>
      </c>
      <c r="D1326" t="s">
        <v>1809</v>
      </c>
      <c r="E1326">
        <v>53</v>
      </c>
      <c r="F1326" t="s">
        <v>9</v>
      </c>
      <c r="G1326" t="s">
        <v>1546</v>
      </c>
      <c r="H1326" t="s">
        <v>1742</v>
      </c>
      <c r="L1326" s="2">
        <v>45543</v>
      </c>
      <c r="M1326">
        <v>1904.5440000000001</v>
      </c>
      <c r="R1326" t="s">
        <v>1809</v>
      </c>
      <c r="S1326">
        <v>1904.5440000000001</v>
      </c>
      <c r="W1326" s="11" t="s">
        <v>9</v>
      </c>
      <c r="X1326" s="11" t="s">
        <v>1546</v>
      </c>
      <c r="Y1326">
        <v>1904.5440000000001</v>
      </c>
      <c r="AF1326">
        <v>1904.5440000000001</v>
      </c>
      <c r="AG1326" t="s">
        <v>1742</v>
      </c>
    </row>
    <row r="1327" spans="1:33" x14ac:dyDescent="0.3">
      <c r="A1327" t="s">
        <v>1084</v>
      </c>
      <c r="B1327" s="2">
        <v>45326</v>
      </c>
      <c r="C1327">
        <v>273.52260000000001</v>
      </c>
      <c r="D1327" t="s">
        <v>1809</v>
      </c>
      <c r="E1327">
        <v>26</v>
      </c>
      <c r="F1327" t="s">
        <v>9</v>
      </c>
      <c r="G1327" t="s">
        <v>1527</v>
      </c>
      <c r="H1327" t="s">
        <v>1742</v>
      </c>
      <c r="L1327" s="2">
        <v>45326</v>
      </c>
      <c r="M1327">
        <v>273.52260000000001</v>
      </c>
      <c r="R1327" t="s">
        <v>1809</v>
      </c>
      <c r="S1327">
        <v>273.52260000000001</v>
      </c>
      <c r="W1327" s="12" t="s">
        <v>9</v>
      </c>
      <c r="X1327" s="12" t="s">
        <v>1527</v>
      </c>
      <c r="Y1327">
        <v>273.52260000000001</v>
      </c>
      <c r="AF1327">
        <v>273.52260000000001</v>
      </c>
      <c r="AG1327" t="s">
        <v>1742</v>
      </c>
    </row>
    <row r="1328" spans="1:33" x14ac:dyDescent="0.3">
      <c r="A1328" t="s">
        <v>1148</v>
      </c>
      <c r="B1328" s="2">
        <v>45498</v>
      </c>
      <c r="C1328">
        <v>95.408200000000008</v>
      </c>
      <c r="D1328" t="s">
        <v>1807</v>
      </c>
      <c r="E1328">
        <v>28</v>
      </c>
      <c r="F1328" t="s">
        <v>9</v>
      </c>
      <c r="G1328" t="s">
        <v>1549</v>
      </c>
      <c r="H1328" t="s">
        <v>1742</v>
      </c>
      <c r="L1328" s="2">
        <v>45498</v>
      </c>
      <c r="M1328">
        <v>95.408200000000008</v>
      </c>
      <c r="R1328" t="s">
        <v>1807</v>
      </c>
      <c r="S1328">
        <v>95.408200000000008</v>
      </c>
      <c r="W1328" s="11" t="s">
        <v>9</v>
      </c>
      <c r="X1328" s="11" t="s">
        <v>1549</v>
      </c>
      <c r="Y1328">
        <v>95.408200000000008</v>
      </c>
      <c r="AF1328">
        <v>95.408200000000008</v>
      </c>
      <c r="AG1328" t="s">
        <v>1742</v>
      </c>
    </row>
    <row r="1329" spans="1:33" x14ac:dyDescent="0.3">
      <c r="A1329" t="s">
        <v>486</v>
      </c>
      <c r="B1329" s="2">
        <v>45544</v>
      </c>
      <c r="C1329">
        <v>700.5544000000001</v>
      </c>
      <c r="D1329" t="s">
        <v>1807</v>
      </c>
      <c r="E1329">
        <v>32</v>
      </c>
      <c r="F1329" t="s">
        <v>16</v>
      </c>
      <c r="G1329" t="s">
        <v>1527</v>
      </c>
      <c r="H1329" t="s">
        <v>1742</v>
      </c>
      <c r="L1329" s="2">
        <v>45544</v>
      </c>
      <c r="M1329">
        <v>700.5544000000001</v>
      </c>
      <c r="R1329" t="s">
        <v>1807</v>
      </c>
      <c r="S1329">
        <v>700.5544000000001</v>
      </c>
      <c r="W1329" s="12" t="s">
        <v>16</v>
      </c>
      <c r="X1329" s="12" t="s">
        <v>1527</v>
      </c>
      <c r="Y1329">
        <v>700.5544000000001</v>
      </c>
      <c r="AF1329">
        <v>700.5544000000001</v>
      </c>
      <c r="AG1329" t="s">
        <v>1742</v>
      </c>
    </row>
    <row r="1330" spans="1:33" x14ac:dyDescent="0.3">
      <c r="A1330" t="s">
        <v>1040</v>
      </c>
      <c r="B1330" s="2">
        <v>45268</v>
      </c>
      <c r="C1330">
        <v>257.24009999999998</v>
      </c>
      <c r="D1330" t="s">
        <v>1809</v>
      </c>
      <c r="E1330">
        <v>37</v>
      </c>
      <c r="F1330" t="s">
        <v>9</v>
      </c>
      <c r="G1330" t="s">
        <v>1541</v>
      </c>
      <c r="H1330" t="s">
        <v>1767</v>
      </c>
      <c r="L1330" s="2">
        <v>45268</v>
      </c>
      <c r="M1330">
        <v>257.24009999999998</v>
      </c>
      <c r="R1330" t="s">
        <v>1809</v>
      </c>
      <c r="S1330">
        <v>257.24009999999998</v>
      </c>
      <c r="W1330" s="11" t="s">
        <v>9</v>
      </c>
      <c r="X1330" s="11" t="s">
        <v>1541</v>
      </c>
      <c r="Y1330">
        <v>257.24009999999998</v>
      </c>
      <c r="AF1330">
        <v>257.24009999999998</v>
      </c>
      <c r="AG1330" t="s">
        <v>1767</v>
      </c>
    </row>
    <row r="1331" spans="1:33" x14ac:dyDescent="0.3">
      <c r="A1331" t="s">
        <v>714</v>
      </c>
      <c r="B1331" s="2">
        <v>45824</v>
      </c>
      <c r="C1331">
        <v>2460.3708000000001</v>
      </c>
      <c r="D1331" t="s">
        <v>1807</v>
      </c>
      <c r="E1331">
        <v>50</v>
      </c>
      <c r="F1331" t="s">
        <v>9</v>
      </c>
      <c r="G1331" t="s">
        <v>1546</v>
      </c>
      <c r="H1331" t="s">
        <v>1742</v>
      </c>
      <c r="L1331" s="2">
        <v>45824</v>
      </c>
      <c r="M1331">
        <v>2460.3708000000001</v>
      </c>
      <c r="R1331" t="s">
        <v>1807</v>
      </c>
      <c r="S1331">
        <v>2460.3708000000001</v>
      </c>
      <c r="W1331" s="12" t="s">
        <v>9</v>
      </c>
      <c r="X1331" s="12" t="s">
        <v>1546</v>
      </c>
      <c r="Y1331">
        <v>2460.3708000000001</v>
      </c>
      <c r="AF1331">
        <v>2460.3708000000001</v>
      </c>
      <c r="AG1331" t="s">
        <v>1742</v>
      </c>
    </row>
    <row r="1332" spans="1:33" x14ac:dyDescent="0.3">
      <c r="A1332" t="s">
        <v>1374</v>
      </c>
      <c r="B1332" s="2">
        <v>45261</v>
      </c>
      <c r="C1332">
        <v>142.52520000000001</v>
      </c>
      <c r="D1332" t="s">
        <v>1809</v>
      </c>
      <c r="E1332">
        <v>59</v>
      </c>
      <c r="F1332" t="s">
        <v>9</v>
      </c>
      <c r="G1332" t="s">
        <v>1546</v>
      </c>
      <c r="H1332" t="s">
        <v>1746</v>
      </c>
      <c r="L1332" s="2">
        <v>45261</v>
      </c>
      <c r="M1332">
        <v>142.52520000000001</v>
      </c>
      <c r="R1332" t="s">
        <v>1809</v>
      </c>
      <c r="S1332">
        <v>142.52520000000001</v>
      </c>
      <c r="W1332" s="11" t="s">
        <v>9</v>
      </c>
      <c r="X1332" s="11" t="s">
        <v>1546</v>
      </c>
      <c r="Y1332">
        <v>142.52520000000001</v>
      </c>
      <c r="AF1332">
        <v>142.52520000000001</v>
      </c>
      <c r="AG1332" t="s">
        <v>1746</v>
      </c>
    </row>
    <row r="1333" spans="1:33" x14ac:dyDescent="0.3">
      <c r="A1333" t="s">
        <v>28</v>
      </c>
      <c r="B1333" s="2">
        <v>45233</v>
      </c>
      <c r="C1333">
        <v>287.38799999999998</v>
      </c>
      <c r="D1333" t="s">
        <v>1809</v>
      </c>
      <c r="E1333">
        <v>24</v>
      </c>
      <c r="F1333" t="s">
        <v>9</v>
      </c>
      <c r="G1333" t="s">
        <v>1527</v>
      </c>
      <c r="H1333" t="s">
        <v>1742</v>
      </c>
      <c r="L1333" s="2">
        <v>45233</v>
      </c>
      <c r="M1333">
        <v>287.38799999999998</v>
      </c>
      <c r="R1333" t="s">
        <v>1809</v>
      </c>
      <c r="S1333">
        <v>287.38799999999998</v>
      </c>
      <c r="W1333" s="12" t="s">
        <v>9</v>
      </c>
      <c r="X1333" s="12" t="s">
        <v>1527</v>
      </c>
      <c r="Y1333">
        <v>287.38799999999998</v>
      </c>
      <c r="AF1333">
        <v>287.38799999999998</v>
      </c>
      <c r="AG1333" t="s">
        <v>1742</v>
      </c>
    </row>
    <row r="1334" spans="1:33" x14ac:dyDescent="0.3">
      <c r="A1334" t="s">
        <v>212</v>
      </c>
      <c r="B1334" s="2">
        <v>45673</v>
      </c>
      <c r="C1334">
        <v>2760.5439999999999</v>
      </c>
      <c r="D1334" t="s">
        <v>1809</v>
      </c>
      <c r="E1334">
        <v>51</v>
      </c>
      <c r="F1334" t="s">
        <v>9</v>
      </c>
      <c r="G1334" t="s">
        <v>1546</v>
      </c>
      <c r="H1334" t="s">
        <v>1742</v>
      </c>
      <c r="L1334" s="2">
        <v>45673</v>
      </c>
      <c r="M1334">
        <v>2760.5439999999999</v>
      </c>
      <c r="R1334" t="s">
        <v>1809</v>
      </c>
      <c r="S1334">
        <v>2760.5439999999999</v>
      </c>
      <c r="W1334" s="11" t="s">
        <v>9</v>
      </c>
      <c r="X1334" s="11" t="s">
        <v>1546</v>
      </c>
      <c r="Y1334">
        <v>2760.5439999999999</v>
      </c>
      <c r="AF1334">
        <v>2760.5439999999999</v>
      </c>
      <c r="AG1334" t="s">
        <v>1742</v>
      </c>
    </row>
    <row r="1335" spans="1:33" x14ac:dyDescent="0.3">
      <c r="A1335" t="s">
        <v>1359</v>
      </c>
      <c r="B1335" s="2">
        <v>45565</v>
      </c>
      <c r="C1335">
        <v>54.489600000000003</v>
      </c>
      <c r="D1335" t="s">
        <v>1812</v>
      </c>
      <c r="E1335">
        <v>41</v>
      </c>
      <c r="F1335" t="s">
        <v>16</v>
      </c>
      <c r="G1335" t="s">
        <v>1549</v>
      </c>
      <c r="H1335" t="s">
        <v>1737</v>
      </c>
      <c r="L1335" s="2">
        <v>45565</v>
      </c>
      <c r="M1335">
        <v>54.489600000000003</v>
      </c>
      <c r="R1335" t="s">
        <v>1812</v>
      </c>
      <c r="S1335">
        <v>54.489600000000003</v>
      </c>
      <c r="W1335" s="12" t="s">
        <v>16</v>
      </c>
      <c r="X1335" s="12" t="s">
        <v>1549</v>
      </c>
      <c r="Y1335">
        <v>54.489600000000003</v>
      </c>
      <c r="AF1335">
        <v>54.489600000000003</v>
      </c>
      <c r="AG1335" t="s">
        <v>1737</v>
      </c>
    </row>
    <row r="1336" spans="1:33" x14ac:dyDescent="0.3">
      <c r="A1336" t="s">
        <v>186</v>
      </c>
      <c r="B1336" s="2">
        <v>45646</v>
      </c>
      <c r="C1336">
        <v>1448.752</v>
      </c>
      <c r="D1336" t="s">
        <v>1812</v>
      </c>
      <c r="E1336">
        <v>61</v>
      </c>
      <c r="F1336" t="s">
        <v>16</v>
      </c>
      <c r="G1336" t="s">
        <v>1549</v>
      </c>
      <c r="H1336" t="s">
        <v>1737</v>
      </c>
      <c r="L1336" s="2">
        <v>45646</v>
      </c>
      <c r="M1336">
        <v>1448.752</v>
      </c>
      <c r="R1336" t="s">
        <v>1812</v>
      </c>
      <c r="S1336">
        <v>1448.752</v>
      </c>
      <c r="W1336" s="11" t="s">
        <v>16</v>
      </c>
      <c r="X1336" s="11" t="s">
        <v>1549</v>
      </c>
      <c r="Y1336">
        <v>1448.752</v>
      </c>
      <c r="AF1336">
        <v>1448.752</v>
      </c>
      <c r="AG1336" t="s">
        <v>1737</v>
      </c>
    </row>
    <row r="1337" spans="1:33" x14ac:dyDescent="0.3">
      <c r="A1337" t="s">
        <v>1407</v>
      </c>
      <c r="B1337" s="2">
        <v>45539</v>
      </c>
      <c r="C1337">
        <v>469.00080000000003</v>
      </c>
      <c r="D1337" t="s">
        <v>1807</v>
      </c>
      <c r="E1337">
        <v>34</v>
      </c>
      <c r="F1337" t="s">
        <v>16</v>
      </c>
      <c r="G1337" t="s">
        <v>1541</v>
      </c>
      <c r="H1337" t="s">
        <v>1742</v>
      </c>
      <c r="L1337" s="2">
        <v>45539</v>
      </c>
      <c r="M1337">
        <v>469.00080000000003</v>
      </c>
      <c r="R1337" t="s">
        <v>1807</v>
      </c>
      <c r="S1337">
        <v>469.00080000000003</v>
      </c>
      <c r="W1337" s="12" t="s">
        <v>16</v>
      </c>
      <c r="X1337" s="12" t="s">
        <v>1541</v>
      </c>
      <c r="Y1337">
        <v>469.00080000000003</v>
      </c>
      <c r="AF1337">
        <v>469.00080000000003</v>
      </c>
      <c r="AG1337" t="s">
        <v>1742</v>
      </c>
    </row>
    <row r="1338" spans="1:33" x14ac:dyDescent="0.3">
      <c r="A1338" t="s">
        <v>1202</v>
      </c>
      <c r="B1338" s="2">
        <v>45936</v>
      </c>
      <c r="C1338">
        <v>1741.35</v>
      </c>
      <c r="D1338" t="s">
        <v>1809</v>
      </c>
      <c r="E1338">
        <v>56</v>
      </c>
      <c r="F1338" t="s">
        <v>9</v>
      </c>
      <c r="G1338" t="s">
        <v>1530</v>
      </c>
      <c r="H1338" t="s">
        <v>1737</v>
      </c>
      <c r="L1338" s="2">
        <v>45936</v>
      </c>
      <c r="M1338">
        <v>1741.35</v>
      </c>
      <c r="R1338" t="s">
        <v>1809</v>
      </c>
      <c r="S1338">
        <v>1741.35</v>
      </c>
      <c r="W1338" s="11" t="s">
        <v>9</v>
      </c>
      <c r="X1338" s="11" t="s">
        <v>1530</v>
      </c>
      <c r="Y1338">
        <v>1741.35</v>
      </c>
      <c r="AF1338">
        <v>1741.35</v>
      </c>
      <c r="AG1338" t="s">
        <v>1737</v>
      </c>
    </row>
    <row r="1339" spans="1:33" x14ac:dyDescent="0.3">
      <c r="A1339" t="s">
        <v>362</v>
      </c>
      <c r="B1339" s="2">
        <v>45854</v>
      </c>
      <c r="C1339">
        <v>1482.1808000000001</v>
      </c>
      <c r="D1339" t="s">
        <v>1809</v>
      </c>
      <c r="E1339">
        <v>64</v>
      </c>
      <c r="F1339" t="s">
        <v>9</v>
      </c>
      <c r="G1339" t="s">
        <v>1546</v>
      </c>
      <c r="H1339" t="s">
        <v>1742</v>
      </c>
      <c r="L1339" s="2">
        <v>45854</v>
      </c>
      <c r="M1339">
        <v>1482.1808000000001</v>
      </c>
      <c r="R1339" t="s">
        <v>1809</v>
      </c>
      <c r="S1339">
        <v>1482.1808000000001</v>
      </c>
      <c r="W1339" s="12" t="s">
        <v>9</v>
      </c>
      <c r="X1339" s="12" t="s">
        <v>1546</v>
      </c>
      <c r="Y1339">
        <v>1482.1808000000001</v>
      </c>
      <c r="AF1339">
        <v>1482.1808000000001</v>
      </c>
      <c r="AG1339" t="s">
        <v>1742</v>
      </c>
    </row>
    <row r="1340" spans="1:33" x14ac:dyDescent="0.3">
      <c r="A1340" t="s">
        <v>325</v>
      </c>
      <c r="B1340" s="2">
        <v>45936</v>
      </c>
      <c r="C1340">
        <v>634.17840000000001</v>
      </c>
      <c r="D1340" t="s">
        <v>1812</v>
      </c>
      <c r="E1340">
        <v>44</v>
      </c>
      <c r="F1340" t="s">
        <v>16</v>
      </c>
      <c r="G1340" t="s">
        <v>1546</v>
      </c>
      <c r="H1340" t="s">
        <v>1742</v>
      </c>
      <c r="L1340" s="2">
        <v>45936</v>
      </c>
      <c r="M1340">
        <v>634.17840000000001</v>
      </c>
      <c r="R1340" t="s">
        <v>1812</v>
      </c>
      <c r="S1340">
        <v>634.17840000000001</v>
      </c>
      <c r="W1340" s="11" t="s">
        <v>16</v>
      </c>
      <c r="X1340" s="11" t="s">
        <v>1546</v>
      </c>
      <c r="Y1340">
        <v>634.17840000000001</v>
      </c>
      <c r="AF1340">
        <v>634.17840000000001</v>
      </c>
      <c r="AG1340" t="s">
        <v>1742</v>
      </c>
    </row>
    <row r="1341" spans="1:33" x14ac:dyDescent="0.3">
      <c r="A1341" t="s">
        <v>1187</v>
      </c>
      <c r="B1341" s="2">
        <v>45921</v>
      </c>
      <c r="C1341">
        <v>3034.2824000000001</v>
      </c>
      <c r="D1341" t="s">
        <v>1807</v>
      </c>
      <c r="E1341">
        <v>60</v>
      </c>
      <c r="F1341" t="s">
        <v>9</v>
      </c>
      <c r="G1341" t="s">
        <v>1527</v>
      </c>
      <c r="H1341" t="s">
        <v>1746</v>
      </c>
      <c r="L1341" s="2">
        <v>45921</v>
      </c>
      <c r="M1341">
        <v>3034.2824000000001</v>
      </c>
      <c r="R1341" t="s">
        <v>1807</v>
      </c>
      <c r="S1341">
        <v>3034.2824000000001</v>
      </c>
      <c r="W1341" s="12" t="s">
        <v>9</v>
      </c>
      <c r="X1341" s="12" t="s">
        <v>1527</v>
      </c>
      <c r="Y1341">
        <v>3034.2824000000001</v>
      </c>
      <c r="AF1341">
        <v>3034.2824000000001</v>
      </c>
      <c r="AG1341" t="s">
        <v>1746</v>
      </c>
    </row>
    <row r="1342" spans="1:33" x14ac:dyDescent="0.3">
      <c r="A1342" t="s">
        <v>1345</v>
      </c>
      <c r="B1342" s="2">
        <v>45855</v>
      </c>
      <c r="C1342">
        <v>1867.9205999999999</v>
      </c>
      <c r="D1342" t="s">
        <v>1807</v>
      </c>
      <c r="E1342">
        <v>60</v>
      </c>
      <c r="F1342" t="s">
        <v>9</v>
      </c>
      <c r="G1342" t="s">
        <v>1549</v>
      </c>
      <c r="H1342" t="s">
        <v>1742</v>
      </c>
      <c r="L1342" s="2">
        <v>45855</v>
      </c>
      <c r="M1342">
        <v>1867.9205999999999</v>
      </c>
      <c r="R1342" t="s">
        <v>1807</v>
      </c>
      <c r="S1342">
        <v>1867.9205999999999</v>
      </c>
      <c r="W1342" s="11" t="s">
        <v>9</v>
      </c>
      <c r="X1342" s="11" t="s">
        <v>1549</v>
      </c>
      <c r="Y1342">
        <v>1867.9205999999999</v>
      </c>
      <c r="AF1342">
        <v>1867.9205999999999</v>
      </c>
      <c r="AG1342" t="s">
        <v>1742</v>
      </c>
    </row>
    <row r="1343" spans="1:33" x14ac:dyDescent="0.3">
      <c r="A1343" t="s">
        <v>1356</v>
      </c>
      <c r="B1343" s="2">
        <v>45837</v>
      </c>
      <c r="C1343">
        <v>2839.6248000000001</v>
      </c>
      <c r="D1343" t="s">
        <v>1809</v>
      </c>
      <c r="E1343">
        <v>19</v>
      </c>
      <c r="F1343" t="s">
        <v>9</v>
      </c>
      <c r="G1343" t="s">
        <v>1546</v>
      </c>
      <c r="H1343" t="s">
        <v>1746</v>
      </c>
      <c r="L1343" s="2">
        <v>45837</v>
      </c>
      <c r="M1343">
        <v>2839.6248000000001</v>
      </c>
      <c r="R1343" t="s">
        <v>1809</v>
      </c>
      <c r="S1343">
        <v>2839.6248000000001</v>
      </c>
      <c r="W1343" s="12" t="s">
        <v>9</v>
      </c>
      <c r="X1343" s="12" t="s">
        <v>1546</v>
      </c>
      <c r="Y1343">
        <v>2839.6248000000001</v>
      </c>
      <c r="AF1343">
        <v>2839.6248000000001</v>
      </c>
      <c r="AG1343" t="s">
        <v>1746</v>
      </c>
    </row>
    <row r="1344" spans="1:33" x14ac:dyDescent="0.3">
      <c r="A1344" t="s">
        <v>1119</v>
      </c>
      <c r="B1344" s="2">
        <v>45738</v>
      </c>
      <c r="C1344">
        <v>1602.7067999999999</v>
      </c>
      <c r="D1344" t="s">
        <v>1807</v>
      </c>
      <c r="E1344">
        <v>60</v>
      </c>
      <c r="F1344" t="s">
        <v>9</v>
      </c>
      <c r="G1344" t="s">
        <v>1549</v>
      </c>
      <c r="H1344" t="s">
        <v>1742</v>
      </c>
      <c r="L1344" s="2">
        <v>45738</v>
      </c>
      <c r="M1344">
        <v>1602.7067999999999</v>
      </c>
      <c r="R1344" t="s">
        <v>1807</v>
      </c>
      <c r="S1344">
        <v>1602.7067999999999</v>
      </c>
      <c r="W1344" s="11" t="s">
        <v>9</v>
      </c>
      <c r="X1344" s="11" t="s">
        <v>1549</v>
      </c>
      <c r="Y1344">
        <v>1602.7067999999999</v>
      </c>
      <c r="AF1344">
        <v>1602.7067999999999</v>
      </c>
      <c r="AG1344" t="s">
        <v>1742</v>
      </c>
    </row>
    <row r="1345" spans="1:33" x14ac:dyDescent="0.3">
      <c r="A1345" t="s">
        <v>1250</v>
      </c>
      <c r="B1345" s="2">
        <v>45323</v>
      </c>
      <c r="C1345">
        <v>2281.14</v>
      </c>
      <c r="D1345" t="s">
        <v>1812</v>
      </c>
      <c r="E1345">
        <v>33</v>
      </c>
      <c r="F1345" t="s">
        <v>9</v>
      </c>
      <c r="G1345" t="s">
        <v>1549</v>
      </c>
      <c r="H1345" t="s">
        <v>1742</v>
      </c>
      <c r="L1345" s="2">
        <v>45323</v>
      </c>
      <c r="M1345">
        <v>2281.14</v>
      </c>
      <c r="R1345" t="s">
        <v>1812</v>
      </c>
      <c r="S1345">
        <v>2281.14</v>
      </c>
      <c r="W1345" s="12" t="s">
        <v>9</v>
      </c>
      <c r="X1345" s="12" t="s">
        <v>1549</v>
      </c>
      <c r="Y1345">
        <v>2281.14</v>
      </c>
      <c r="AF1345">
        <v>2281.14</v>
      </c>
      <c r="AG1345" t="s">
        <v>1742</v>
      </c>
    </row>
    <row r="1346" spans="1:33" x14ac:dyDescent="0.3">
      <c r="A1346" t="s">
        <v>934</v>
      </c>
      <c r="B1346" s="2">
        <v>45362</v>
      </c>
      <c r="C1346">
        <v>1451.6960999999999</v>
      </c>
      <c r="D1346" t="s">
        <v>1812</v>
      </c>
      <c r="E1346">
        <v>48</v>
      </c>
      <c r="F1346" t="s">
        <v>16</v>
      </c>
      <c r="G1346" t="s">
        <v>1549</v>
      </c>
      <c r="H1346" t="s">
        <v>1737</v>
      </c>
      <c r="L1346" s="2">
        <v>45362</v>
      </c>
      <c r="M1346">
        <v>1451.6960999999999</v>
      </c>
      <c r="R1346" t="s">
        <v>1812</v>
      </c>
      <c r="S1346">
        <v>1451.6960999999999</v>
      </c>
      <c r="W1346" s="11" t="s">
        <v>16</v>
      </c>
      <c r="X1346" s="11" t="s">
        <v>1549</v>
      </c>
      <c r="Y1346">
        <v>1451.6960999999999</v>
      </c>
      <c r="AF1346">
        <v>1451.6960999999999</v>
      </c>
      <c r="AG1346" t="s">
        <v>1737</v>
      </c>
    </row>
    <row r="1347" spans="1:33" x14ac:dyDescent="0.3">
      <c r="A1347" t="s">
        <v>160</v>
      </c>
      <c r="B1347" s="2">
        <v>45544</v>
      </c>
      <c r="C1347">
        <v>1792.1180999999999</v>
      </c>
      <c r="D1347" t="s">
        <v>1809</v>
      </c>
      <c r="E1347">
        <v>19</v>
      </c>
      <c r="F1347" t="s">
        <v>9</v>
      </c>
      <c r="G1347" t="s">
        <v>1541</v>
      </c>
      <c r="H1347" t="s">
        <v>1742</v>
      </c>
      <c r="L1347" s="2">
        <v>45544</v>
      </c>
      <c r="M1347">
        <v>1792.1180999999999</v>
      </c>
      <c r="R1347" t="s">
        <v>1809</v>
      </c>
      <c r="S1347">
        <v>1792.1180999999999</v>
      </c>
      <c r="W1347" s="12" t="s">
        <v>9</v>
      </c>
      <c r="X1347" s="12" t="s">
        <v>1541</v>
      </c>
      <c r="Y1347">
        <v>1792.1180999999999</v>
      </c>
      <c r="AF1347">
        <v>1792.1180999999999</v>
      </c>
      <c r="AG1347" t="s">
        <v>1742</v>
      </c>
    </row>
    <row r="1348" spans="1:33" x14ac:dyDescent="0.3">
      <c r="A1348" t="s">
        <v>827</v>
      </c>
      <c r="B1348" s="2">
        <v>45249</v>
      </c>
      <c r="C1348">
        <v>954.76499999999999</v>
      </c>
      <c r="D1348" t="s">
        <v>1807</v>
      </c>
      <c r="E1348">
        <v>60</v>
      </c>
      <c r="F1348" t="s">
        <v>16</v>
      </c>
      <c r="G1348" t="s">
        <v>1546</v>
      </c>
      <c r="H1348" t="s">
        <v>1746</v>
      </c>
      <c r="L1348" s="2">
        <v>45249</v>
      </c>
      <c r="M1348">
        <v>954.76499999999999</v>
      </c>
      <c r="R1348" t="s">
        <v>1807</v>
      </c>
      <c r="S1348">
        <v>954.76499999999999</v>
      </c>
      <c r="W1348" s="11" t="s">
        <v>16</v>
      </c>
      <c r="X1348" s="11" t="s">
        <v>1546</v>
      </c>
      <c r="Y1348">
        <v>954.76499999999999</v>
      </c>
      <c r="AF1348">
        <v>954.76499999999999</v>
      </c>
      <c r="AG1348" t="s">
        <v>1746</v>
      </c>
    </row>
    <row r="1349" spans="1:33" x14ac:dyDescent="0.3">
      <c r="A1349" t="s">
        <v>325</v>
      </c>
      <c r="B1349" s="2">
        <v>45659</v>
      </c>
      <c r="C1349">
        <v>1142.4972</v>
      </c>
      <c r="D1349" t="s">
        <v>1812</v>
      </c>
      <c r="E1349">
        <v>44</v>
      </c>
      <c r="F1349" t="s">
        <v>16</v>
      </c>
      <c r="G1349" t="s">
        <v>1549</v>
      </c>
      <c r="H1349" t="s">
        <v>1767</v>
      </c>
      <c r="L1349" s="2">
        <v>45659</v>
      </c>
      <c r="M1349">
        <v>1142.4972</v>
      </c>
      <c r="R1349" t="s">
        <v>1812</v>
      </c>
      <c r="S1349">
        <v>1142.4972</v>
      </c>
      <c r="W1349" s="12" t="s">
        <v>16</v>
      </c>
      <c r="X1349" s="12" t="s">
        <v>1549</v>
      </c>
      <c r="Y1349">
        <v>1142.4972</v>
      </c>
      <c r="AF1349">
        <v>1142.4972</v>
      </c>
      <c r="AG1349" t="s">
        <v>1767</v>
      </c>
    </row>
    <row r="1350" spans="1:33" x14ac:dyDescent="0.3">
      <c r="A1350" t="s">
        <v>543</v>
      </c>
      <c r="B1350" s="2">
        <v>45927</v>
      </c>
      <c r="C1350">
        <v>396.23039999999992</v>
      </c>
      <c r="D1350" t="s">
        <v>1812</v>
      </c>
      <c r="E1350">
        <v>47</v>
      </c>
      <c r="F1350" t="s">
        <v>16</v>
      </c>
      <c r="G1350" t="s">
        <v>1549</v>
      </c>
      <c r="H1350" t="s">
        <v>1742</v>
      </c>
      <c r="L1350" s="2">
        <v>45927</v>
      </c>
      <c r="M1350">
        <v>396.23039999999992</v>
      </c>
      <c r="R1350" t="s">
        <v>1812</v>
      </c>
      <c r="S1350">
        <v>396.23039999999992</v>
      </c>
      <c r="W1350" s="11" t="s">
        <v>16</v>
      </c>
      <c r="X1350" s="11" t="s">
        <v>1549</v>
      </c>
      <c r="Y1350">
        <v>396.23039999999992</v>
      </c>
      <c r="AF1350">
        <v>396.23039999999992</v>
      </c>
      <c r="AG1350" t="s">
        <v>1742</v>
      </c>
    </row>
    <row r="1351" spans="1:33" x14ac:dyDescent="0.3">
      <c r="A1351" t="s">
        <v>239</v>
      </c>
      <c r="B1351" s="2">
        <v>45373</v>
      </c>
      <c r="C1351">
        <v>3019.2287999999999</v>
      </c>
      <c r="D1351" t="s">
        <v>1809</v>
      </c>
      <c r="E1351">
        <v>27</v>
      </c>
      <c r="F1351" t="s">
        <v>16</v>
      </c>
      <c r="G1351" t="s">
        <v>1546</v>
      </c>
      <c r="H1351" t="s">
        <v>1742</v>
      </c>
      <c r="L1351" s="2">
        <v>45373</v>
      </c>
      <c r="M1351">
        <v>3019.2287999999999</v>
      </c>
      <c r="R1351" t="s">
        <v>1809</v>
      </c>
      <c r="S1351">
        <v>3019.2287999999999</v>
      </c>
      <c r="W1351" s="12" t="s">
        <v>16</v>
      </c>
      <c r="X1351" s="12" t="s">
        <v>1546</v>
      </c>
      <c r="Y1351">
        <v>3019.2287999999999</v>
      </c>
      <c r="AF1351">
        <v>3019.2287999999999</v>
      </c>
      <c r="AG1351" t="s">
        <v>1742</v>
      </c>
    </row>
    <row r="1352" spans="1:33" x14ac:dyDescent="0.3">
      <c r="A1352" t="s">
        <v>1205</v>
      </c>
      <c r="B1352" s="2">
        <v>45529</v>
      </c>
      <c r="C1352">
        <v>342.92250000000001</v>
      </c>
      <c r="D1352" t="s">
        <v>1807</v>
      </c>
      <c r="E1352">
        <v>40</v>
      </c>
      <c r="F1352" t="s">
        <v>16</v>
      </c>
      <c r="G1352" t="s">
        <v>1530</v>
      </c>
      <c r="H1352" t="s">
        <v>1746</v>
      </c>
      <c r="L1352" s="2">
        <v>45529</v>
      </c>
      <c r="M1352">
        <v>342.92250000000001</v>
      </c>
      <c r="R1352" t="s">
        <v>1807</v>
      </c>
      <c r="S1352">
        <v>342.92250000000001</v>
      </c>
      <c r="W1352" s="11" t="s">
        <v>16</v>
      </c>
      <c r="X1352" s="11" t="s">
        <v>1530</v>
      </c>
      <c r="Y1352">
        <v>342.92250000000001</v>
      </c>
      <c r="AF1352">
        <v>342.92250000000001</v>
      </c>
      <c r="AG1352" t="s">
        <v>1746</v>
      </c>
    </row>
    <row r="1353" spans="1:33" x14ac:dyDescent="0.3">
      <c r="A1353" t="s">
        <v>717</v>
      </c>
      <c r="B1353" s="2">
        <v>45872</v>
      </c>
      <c r="C1353">
        <v>2100.7728000000002</v>
      </c>
      <c r="D1353" t="s">
        <v>1812</v>
      </c>
      <c r="E1353">
        <v>29</v>
      </c>
      <c r="F1353" t="s">
        <v>9</v>
      </c>
      <c r="G1353" t="s">
        <v>1527</v>
      </c>
      <c r="H1353" t="s">
        <v>1742</v>
      </c>
      <c r="L1353" s="2">
        <v>45872</v>
      </c>
      <c r="M1353">
        <v>2100.7728000000002</v>
      </c>
      <c r="R1353" t="s">
        <v>1812</v>
      </c>
      <c r="S1353">
        <v>2100.7728000000002</v>
      </c>
      <c r="W1353" s="12" t="s">
        <v>9</v>
      </c>
      <c r="X1353" s="12" t="s">
        <v>1527</v>
      </c>
      <c r="Y1353">
        <v>2100.7728000000002</v>
      </c>
      <c r="AF1353">
        <v>2100.7728000000002</v>
      </c>
      <c r="AG1353" t="s">
        <v>1742</v>
      </c>
    </row>
    <row r="1354" spans="1:33" x14ac:dyDescent="0.3">
      <c r="A1354" t="s">
        <v>1422</v>
      </c>
      <c r="B1354" s="2">
        <v>45267</v>
      </c>
      <c r="C1354">
        <v>523.77599999999995</v>
      </c>
      <c r="D1354" t="s">
        <v>1812</v>
      </c>
      <c r="E1354">
        <v>63</v>
      </c>
      <c r="F1354" t="s">
        <v>16</v>
      </c>
      <c r="G1354" t="s">
        <v>1530</v>
      </c>
      <c r="H1354" t="s">
        <v>1742</v>
      </c>
      <c r="L1354" s="2">
        <v>45267</v>
      </c>
      <c r="M1354">
        <v>523.77599999999995</v>
      </c>
      <c r="R1354" t="s">
        <v>1812</v>
      </c>
      <c r="S1354">
        <v>523.77599999999995</v>
      </c>
      <c r="W1354" s="11" t="s">
        <v>16</v>
      </c>
      <c r="X1354" s="11" t="s">
        <v>1530</v>
      </c>
      <c r="Y1354">
        <v>523.77599999999995</v>
      </c>
      <c r="AF1354">
        <v>523.77599999999995</v>
      </c>
      <c r="AG1354" t="s">
        <v>1742</v>
      </c>
    </row>
    <row r="1355" spans="1:33" x14ac:dyDescent="0.3">
      <c r="A1355" t="s">
        <v>1233</v>
      </c>
      <c r="B1355" s="2">
        <v>45894</v>
      </c>
      <c r="C1355">
        <v>372.0299</v>
      </c>
      <c r="D1355" t="s">
        <v>1812</v>
      </c>
      <c r="E1355">
        <v>51</v>
      </c>
      <c r="F1355" t="s">
        <v>16</v>
      </c>
      <c r="G1355" t="s">
        <v>1541</v>
      </c>
      <c r="H1355" t="s">
        <v>1742</v>
      </c>
      <c r="L1355" s="2">
        <v>45894</v>
      </c>
      <c r="M1355">
        <v>372.0299</v>
      </c>
      <c r="R1355" t="s">
        <v>1812</v>
      </c>
      <c r="S1355">
        <v>372.0299</v>
      </c>
      <c r="W1355" s="12" t="s">
        <v>16</v>
      </c>
      <c r="X1355" s="12" t="s">
        <v>1541</v>
      </c>
      <c r="Y1355">
        <v>372.0299</v>
      </c>
      <c r="AF1355">
        <v>372.0299</v>
      </c>
      <c r="AG1355" t="s">
        <v>1742</v>
      </c>
    </row>
    <row r="1356" spans="1:33" x14ac:dyDescent="0.3">
      <c r="A1356" t="s">
        <v>3934</v>
      </c>
      <c r="B1356" s="2">
        <v>45331</v>
      </c>
      <c r="C1356">
        <v>1311.4192</v>
      </c>
      <c r="D1356" t="s">
        <v>1812</v>
      </c>
      <c r="E1356">
        <v>64</v>
      </c>
      <c r="F1356" t="s">
        <v>16</v>
      </c>
      <c r="G1356" t="s">
        <v>1549</v>
      </c>
      <c r="H1356" t="s">
        <v>1742</v>
      </c>
      <c r="L1356" s="2">
        <v>45331</v>
      </c>
      <c r="M1356">
        <v>1311.4192</v>
      </c>
      <c r="R1356" t="s">
        <v>1812</v>
      </c>
      <c r="S1356">
        <v>1311.4192</v>
      </c>
      <c r="W1356" s="11" t="s">
        <v>16</v>
      </c>
      <c r="X1356" s="11" t="s">
        <v>1549</v>
      </c>
      <c r="Y1356">
        <v>1311.4192</v>
      </c>
      <c r="AF1356">
        <v>1311.4192</v>
      </c>
      <c r="AG1356" t="s">
        <v>1742</v>
      </c>
    </row>
    <row r="1357" spans="1:33" x14ac:dyDescent="0.3">
      <c r="A1357" t="s">
        <v>290</v>
      </c>
      <c r="B1357" s="2">
        <v>45910</v>
      </c>
      <c r="C1357">
        <v>2487.3809999999989</v>
      </c>
      <c r="D1357" t="s">
        <v>1809</v>
      </c>
      <c r="E1357">
        <v>34</v>
      </c>
      <c r="F1357" t="s">
        <v>16</v>
      </c>
      <c r="G1357" t="s">
        <v>1541</v>
      </c>
      <c r="H1357" t="s">
        <v>1742</v>
      </c>
      <c r="L1357" s="2">
        <v>45910</v>
      </c>
      <c r="M1357">
        <v>2487.3809999999989</v>
      </c>
      <c r="R1357" t="s">
        <v>1809</v>
      </c>
      <c r="S1357">
        <v>2487.3809999999989</v>
      </c>
      <c r="W1357" s="12" t="s">
        <v>16</v>
      </c>
      <c r="X1357" s="12" t="s">
        <v>1541</v>
      </c>
      <c r="Y1357">
        <v>2487.3809999999989</v>
      </c>
      <c r="AF1357">
        <v>2487.3809999999989</v>
      </c>
      <c r="AG1357" t="s">
        <v>1742</v>
      </c>
    </row>
    <row r="1358" spans="1:33" x14ac:dyDescent="0.3">
      <c r="A1358" t="s">
        <v>635</v>
      </c>
      <c r="B1358" s="2">
        <v>45564</v>
      </c>
      <c r="C1358">
        <v>373.66559999999998</v>
      </c>
      <c r="D1358" t="s">
        <v>1809</v>
      </c>
      <c r="E1358">
        <v>18</v>
      </c>
      <c r="F1358" t="s">
        <v>16</v>
      </c>
      <c r="G1358" t="s">
        <v>1527</v>
      </c>
      <c r="H1358" t="s">
        <v>1767</v>
      </c>
      <c r="L1358" s="2">
        <v>45564</v>
      </c>
      <c r="M1358">
        <v>373.66559999999998</v>
      </c>
      <c r="R1358" t="s">
        <v>1809</v>
      </c>
      <c r="S1358">
        <v>373.66559999999998</v>
      </c>
      <c r="W1358" s="11" t="s">
        <v>16</v>
      </c>
      <c r="X1358" s="11" t="s">
        <v>1527</v>
      </c>
      <c r="Y1358">
        <v>373.66559999999998</v>
      </c>
      <c r="AF1358">
        <v>373.66559999999998</v>
      </c>
      <c r="AG1358" t="s">
        <v>1767</v>
      </c>
    </row>
    <row r="1359" spans="1:33" x14ac:dyDescent="0.3">
      <c r="A1359" t="s">
        <v>168</v>
      </c>
      <c r="B1359" s="2">
        <v>45461</v>
      </c>
      <c r="C1359">
        <v>192.88499999999999</v>
      </c>
      <c r="D1359" t="s">
        <v>1812</v>
      </c>
      <c r="E1359">
        <v>34</v>
      </c>
      <c r="F1359" t="s">
        <v>9</v>
      </c>
      <c r="G1359" t="s">
        <v>1546</v>
      </c>
      <c r="H1359" t="s">
        <v>1746</v>
      </c>
      <c r="L1359" s="2">
        <v>45461</v>
      </c>
      <c r="M1359">
        <v>192.88499999999999</v>
      </c>
      <c r="R1359" t="s">
        <v>1812</v>
      </c>
      <c r="S1359">
        <v>192.88499999999999</v>
      </c>
      <c r="W1359" s="12" t="s">
        <v>9</v>
      </c>
      <c r="X1359" s="12" t="s">
        <v>1546</v>
      </c>
      <c r="Y1359">
        <v>192.88499999999999</v>
      </c>
      <c r="AF1359">
        <v>192.88499999999999</v>
      </c>
      <c r="AG1359" t="s">
        <v>1746</v>
      </c>
    </row>
    <row r="1360" spans="1:33" x14ac:dyDescent="0.3">
      <c r="A1360" t="s">
        <v>421</v>
      </c>
      <c r="B1360" s="2">
        <v>45258</v>
      </c>
      <c r="C1360">
        <v>1171.2978000000001</v>
      </c>
      <c r="D1360" t="s">
        <v>1809</v>
      </c>
      <c r="E1360">
        <v>26</v>
      </c>
      <c r="F1360" t="s">
        <v>9</v>
      </c>
      <c r="G1360" t="s">
        <v>1527</v>
      </c>
      <c r="H1360" t="s">
        <v>1737</v>
      </c>
      <c r="L1360" s="2">
        <v>45258</v>
      </c>
      <c r="M1360">
        <v>1171.2978000000001</v>
      </c>
      <c r="R1360" t="s">
        <v>1809</v>
      </c>
      <c r="S1360">
        <v>1171.2978000000001</v>
      </c>
      <c r="W1360" s="11" t="s">
        <v>9</v>
      </c>
      <c r="X1360" s="11" t="s">
        <v>1527</v>
      </c>
      <c r="Y1360">
        <v>1171.2978000000001</v>
      </c>
      <c r="AF1360">
        <v>1171.2978000000001</v>
      </c>
      <c r="AG1360" t="s">
        <v>1737</v>
      </c>
    </row>
    <row r="1361" spans="1:33" x14ac:dyDescent="0.3">
      <c r="A1361" t="s">
        <v>60</v>
      </c>
      <c r="B1361" s="2">
        <v>45228</v>
      </c>
      <c r="C1361">
        <v>255.88800000000001</v>
      </c>
      <c r="D1361" t="s">
        <v>1812</v>
      </c>
      <c r="E1361">
        <v>32</v>
      </c>
      <c r="F1361" t="s">
        <v>16</v>
      </c>
      <c r="G1361" t="s">
        <v>1527</v>
      </c>
      <c r="H1361" t="s">
        <v>1737</v>
      </c>
      <c r="L1361" s="2">
        <v>45228</v>
      </c>
      <c r="M1361">
        <v>255.88800000000001</v>
      </c>
      <c r="R1361" t="s">
        <v>1812</v>
      </c>
      <c r="S1361">
        <v>255.88800000000001</v>
      </c>
      <c r="W1361" s="12" t="s">
        <v>16</v>
      </c>
      <c r="X1361" s="12" t="s">
        <v>1527</v>
      </c>
      <c r="Y1361">
        <v>255.88800000000001</v>
      </c>
      <c r="AF1361">
        <v>255.88800000000001</v>
      </c>
      <c r="AG1361" t="s">
        <v>1737</v>
      </c>
    </row>
    <row r="1362" spans="1:33" x14ac:dyDescent="0.3">
      <c r="A1362" t="s">
        <v>60</v>
      </c>
      <c r="B1362" s="2">
        <v>45858</v>
      </c>
      <c r="C1362">
        <v>377.10980000000001</v>
      </c>
      <c r="D1362" t="s">
        <v>1812</v>
      </c>
      <c r="E1362">
        <v>32</v>
      </c>
      <c r="F1362" t="s">
        <v>16</v>
      </c>
      <c r="G1362" t="s">
        <v>1549</v>
      </c>
      <c r="H1362" t="s">
        <v>1742</v>
      </c>
      <c r="L1362" s="2">
        <v>45858</v>
      </c>
      <c r="M1362">
        <v>377.10980000000001</v>
      </c>
      <c r="R1362" t="s">
        <v>1812</v>
      </c>
      <c r="S1362">
        <v>377.10980000000001</v>
      </c>
      <c r="W1362" s="11" t="s">
        <v>16</v>
      </c>
      <c r="X1362" s="11" t="s">
        <v>1549</v>
      </c>
      <c r="Y1362">
        <v>377.10980000000001</v>
      </c>
      <c r="AF1362">
        <v>377.10980000000001</v>
      </c>
      <c r="AG1362" t="s">
        <v>1742</v>
      </c>
    </row>
    <row r="1363" spans="1:33" x14ac:dyDescent="0.3">
      <c r="A1363" t="s">
        <v>614</v>
      </c>
      <c r="B1363" s="2">
        <v>45532</v>
      </c>
      <c r="C1363">
        <v>2585.8643999999999</v>
      </c>
      <c r="D1363" t="s">
        <v>1807</v>
      </c>
      <c r="E1363">
        <v>29</v>
      </c>
      <c r="F1363" t="s">
        <v>9</v>
      </c>
      <c r="G1363" t="s">
        <v>1527</v>
      </c>
      <c r="H1363" t="s">
        <v>1742</v>
      </c>
      <c r="L1363" s="2">
        <v>45532</v>
      </c>
      <c r="M1363">
        <v>2585.8643999999999</v>
      </c>
      <c r="R1363" t="s">
        <v>1807</v>
      </c>
      <c r="S1363">
        <v>2585.8643999999999</v>
      </c>
      <c r="W1363" s="12" t="s">
        <v>9</v>
      </c>
      <c r="X1363" s="12" t="s">
        <v>1527</v>
      </c>
      <c r="Y1363">
        <v>2585.8643999999999</v>
      </c>
      <c r="AF1363">
        <v>2585.8643999999999</v>
      </c>
      <c r="AG1363" t="s">
        <v>1742</v>
      </c>
    </row>
    <row r="1364" spans="1:33" x14ac:dyDescent="0.3">
      <c r="A1364" t="s">
        <v>1239</v>
      </c>
      <c r="B1364" s="2">
        <v>45454</v>
      </c>
      <c r="C1364">
        <v>2367.15</v>
      </c>
      <c r="D1364" t="s">
        <v>1809</v>
      </c>
      <c r="E1364">
        <v>34</v>
      </c>
      <c r="F1364" t="s">
        <v>9</v>
      </c>
      <c r="G1364" t="s">
        <v>1549</v>
      </c>
      <c r="H1364" t="s">
        <v>1742</v>
      </c>
      <c r="L1364" s="2">
        <v>45454</v>
      </c>
      <c r="M1364">
        <v>2367.15</v>
      </c>
      <c r="R1364" t="s">
        <v>1809</v>
      </c>
      <c r="S1364">
        <v>2367.15</v>
      </c>
      <c r="W1364" s="11" t="s">
        <v>9</v>
      </c>
      <c r="X1364" s="11" t="s">
        <v>1549</v>
      </c>
      <c r="Y1364">
        <v>2367.15</v>
      </c>
      <c r="AF1364">
        <v>2367.15</v>
      </c>
      <c r="AG1364" t="s">
        <v>1742</v>
      </c>
    </row>
    <row r="1365" spans="1:33" x14ac:dyDescent="0.3">
      <c r="A1365" t="s">
        <v>513</v>
      </c>
      <c r="B1365" s="2">
        <v>45244</v>
      </c>
      <c r="C1365">
        <v>570.52</v>
      </c>
      <c r="D1365" t="s">
        <v>1809</v>
      </c>
      <c r="E1365">
        <v>60</v>
      </c>
      <c r="F1365" t="s">
        <v>16</v>
      </c>
      <c r="G1365" t="s">
        <v>1541</v>
      </c>
      <c r="H1365" t="s">
        <v>1737</v>
      </c>
      <c r="L1365" s="2">
        <v>45244</v>
      </c>
      <c r="M1365">
        <v>570.52</v>
      </c>
      <c r="R1365" t="s">
        <v>1809</v>
      </c>
      <c r="S1365">
        <v>570.52</v>
      </c>
      <c r="W1365" s="12" t="s">
        <v>16</v>
      </c>
      <c r="X1365" s="12" t="s">
        <v>1541</v>
      </c>
      <c r="Y1365">
        <v>570.52</v>
      </c>
      <c r="AF1365">
        <v>570.52</v>
      </c>
      <c r="AG1365" t="s">
        <v>1737</v>
      </c>
    </row>
    <row r="1366" spans="1:33" x14ac:dyDescent="0.3">
      <c r="A1366" t="s">
        <v>587</v>
      </c>
      <c r="B1366" s="2">
        <v>45322</v>
      </c>
      <c r="C1366">
        <v>969.66480000000013</v>
      </c>
      <c r="D1366" t="s">
        <v>1812</v>
      </c>
      <c r="E1366">
        <v>38</v>
      </c>
      <c r="F1366" t="s">
        <v>9</v>
      </c>
      <c r="G1366" t="s">
        <v>1527</v>
      </c>
      <c r="H1366" t="s">
        <v>1742</v>
      </c>
      <c r="L1366" s="2">
        <v>45322</v>
      </c>
      <c r="M1366">
        <v>969.66480000000013</v>
      </c>
      <c r="R1366" t="s">
        <v>1812</v>
      </c>
      <c r="S1366">
        <v>969.66480000000013</v>
      </c>
      <c r="W1366" s="11" t="s">
        <v>9</v>
      </c>
      <c r="X1366" s="11" t="s">
        <v>1527</v>
      </c>
      <c r="Y1366">
        <v>969.66480000000013</v>
      </c>
      <c r="AF1366">
        <v>969.66480000000013</v>
      </c>
      <c r="AG1366" t="s">
        <v>1742</v>
      </c>
    </row>
    <row r="1367" spans="1:33" x14ac:dyDescent="0.3">
      <c r="A1367" t="s">
        <v>212</v>
      </c>
      <c r="B1367" s="2">
        <v>45757</v>
      </c>
      <c r="C1367">
        <v>848.82439999999997</v>
      </c>
      <c r="D1367" t="s">
        <v>1807</v>
      </c>
      <c r="E1367">
        <v>51</v>
      </c>
      <c r="F1367" t="s">
        <v>9</v>
      </c>
      <c r="G1367" t="s">
        <v>1527</v>
      </c>
      <c r="H1367" t="s">
        <v>1742</v>
      </c>
      <c r="L1367" s="2">
        <v>45757</v>
      </c>
      <c r="M1367">
        <v>848.82439999999997</v>
      </c>
      <c r="R1367" t="s">
        <v>1807</v>
      </c>
      <c r="S1367">
        <v>848.82439999999997</v>
      </c>
      <c r="W1367" s="12" t="s">
        <v>9</v>
      </c>
      <c r="X1367" s="12" t="s">
        <v>1527</v>
      </c>
      <c r="Y1367">
        <v>848.82439999999997</v>
      </c>
      <c r="AF1367">
        <v>848.82439999999997</v>
      </c>
      <c r="AG1367" t="s">
        <v>1742</v>
      </c>
    </row>
    <row r="1368" spans="1:33" x14ac:dyDescent="0.3">
      <c r="A1368" t="s">
        <v>440</v>
      </c>
      <c r="B1368" s="2">
        <v>45397</v>
      </c>
      <c r="C1368">
        <v>487.18799999999999</v>
      </c>
      <c r="D1368" t="s">
        <v>1812</v>
      </c>
      <c r="E1368">
        <v>29</v>
      </c>
      <c r="F1368" t="s">
        <v>9</v>
      </c>
      <c r="G1368" t="s">
        <v>1527</v>
      </c>
      <c r="H1368" t="s">
        <v>1742</v>
      </c>
      <c r="L1368" s="2">
        <v>45397</v>
      </c>
      <c r="M1368">
        <v>487.18799999999999</v>
      </c>
      <c r="R1368" t="s">
        <v>1812</v>
      </c>
      <c r="S1368">
        <v>487.18799999999999</v>
      </c>
      <c r="W1368" s="11" t="s">
        <v>9</v>
      </c>
      <c r="X1368" s="11" t="s">
        <v>1527</v>
      </c>
      <c r="Y1368">
        <v>487.18799999999999</v>
      </c>
      <c r="AF1368">
        <v>487.18799999999999</v>
      </c>
      <c r="AG1368" t="s">
        <v>1742</v>
      </c>
    </row>
    <row r="1369" spans="1:33" x14ac:dyDescent="0.3">
      <c r="A1369" t="s">
        <v>937</v>
      </c>
      <c r="B1369" s="2">
        <v>45914</v>
      </c>
      <c r="C1369">
        <v>896.04000000000019</v>
      </c>
      <c r="D1369" t="s">
        <v>1812</v>
      </c>
      <c r="E1369">
        <v>29</v>
      </c>
      <c r="F1369" t="s">
        <v>9</v>
      </c>
      <c r="G1369" t="s">
        <v>1530</v>
      </c>
      <c r="H1369" t="s">
        <v>1742</v>
      </c>
      <c r="L1369" s="2">
        <v>45914</v>
      </c>
      <c r="M1369">
        <v>896.04000000000019</v>
      </c>
      <c r="R1369" t="s">
        <v>1812</v>
      </c>
      <c r="S1369">
        <v>896.04000000000019</v>
      </c>
      <c r="W1369" s="12" t="s">
        <v>9</v>
      </c>
      <c r="X1369" s="12" t="s">
        <v>1530</v>
      </c>
      <c r="Y1369">
        <v>896.04000000000019</v>
      </c>
      <c r="AF1369">
        <v>896.04000000000019</v>
      </c>
      <c r="AG1369" t="s">
        <v>1742</v>
      </c>
    </row>
    <row r="1370" spans="1:33" x14ac:dyDescent="0.3">
      <c r="A1370" t="s">
        <v>144</v>
      </c>
      <c r="B1370" s="2">
        <v>45432</v>
      </c>
      <c r="C1370">
        <v>46.216799999999999</v>
      </c>
      <c r="D1370" t="s">
        <v>1809</v>
      </c>
      <c r="E1370">
        <v>27</v>
      </c>
      <c r="F1370" t="s">
        <v>16</v>
      </c>
      <c r="G1370" t="s">
        <v>1541</v>
      </c>
      <c r="H1370" t="s">
        <v>1742</v>
      </c>
      <c r="L1370" s="2">
        <v>45432</v>
      </c>
      <c r="M1370">
        <v>46.216799999999999</v>
      </c>
      <c r="R1370" t="s">
        <v>1809</v>
      </c>
      <c r="S1370">
        <v>46.216799999999999</v>
      </c>
      <c r="W1370" s="11" t="s">
        <v>16</v>
      </c>
      <c r="X1370" s="11" t="s">
        <v>1541</v>
      </c>
      <c r="Y1370">
        <v>46.216799999999999</v>
      </c>
      <c r="AF1370">
        <v>46.216799999999999</v>
      </c>
      <c r="AG1370" t="s">
        <v>1742</v>
      </c>
    </row>
    <row r="1371" spans="1:33" x14ac:dyDescent="0.3">
      <c r="A1371" t="s">
        <v>33</v>
      </c>
      <c r="B1371" s="2">
        <v>45798</v>
      </c>
      <c r="C1371">
        <v>586.71719999999993</v>
      </c>
      <c r="D1371" t="s">
        <v>1809</v>
      </c>
      <c r="E1371">
        <v>29</v>
      </c>
      <c r="F1371" t="s">
        <v>16</v>
      </c>
      <c r="G1371" t="s">
        <v>1527</v>
      </c>
      <c r="H1371" t="s">
        <v>1746</v>
      </c>
      <c r="L1371" s="2">
        <v>45798</v>
      </c>
      <c r="M1371">
        <v>586.71719999999993</v>
      </c>
      <c r="R1371" t="s">
        <v>1809</v>
      </c>
      <c r="S1371">
        <v>586.71719999999993</v>
      </c>
      <c r="W1371" s="12" t="s">
        <v>16</v>
      </c>
      <c r="X1371" s="12" t="s">
        <v>1527</v>
      </c>
      <c r="Y1371">
        <v>586.71719999999993</v>
      </c>
      <c r="AF1371">
        <v>586.71719999999993</v>
      </c>
      <c r="AG1371" t="s">
        <v>1746</v>
      </c>
    </row>
    <row r="1372" spans="1:33" x14ac:dyDescent="0.3">
      <c r="A1372" t="s">
        <v>413</v>
      </c>
      <c r="B1372" s="2">
        <v>45396</v>
      </c>
      <c r="C1372">
        <v>2033.9405999999999</v>
      </c>
      <c r="D1372" t="s">
        <v>1809</v>
      </c>
      <c r="E1372">
        <v>62</v>
      </c>
      <c r="F1372" t="s">
        <v>9</v>
      </c>
      <c r="G1372" t="s">
        <v>1530</v>
      </c>
      <c r="H1372" t="s">
        <v>1742</v>
      </c>
      <c r="L1372" s="2">
        <v>45396</v>
      </c>
      <c r="M1372">
        <v>2033.9405999999999</v>
      </c>
      <c r="R1372" t="s">
        <v>1809</v>
      </c>
      <c r="S1372">
        <v>2033.9405999999999</v>
      </c>
      <c r="W1372" s="11" t="s">
        <v>9</v>
      </c>
      <c r="X1372" s="11" t="s">
        <v>1530</v>
      </c>
      <c r="Y1372">
        <v>2033.9405999999999</v>
      </c>
      <c r="AF1372">
        <v>2033.9405999999999</v>
      </c>
      <c r="AG1372" t="s">
        <v>1742</v>
      </c>
    </row>
    <row r="1373" spans="1:33" x14ac:dyDescent="0.3">
      <c r="A1373" t="s">
        <v>122</v>
      </c>
      <c r="B1373" s="2">
        <v>45235</v>
      </c>
      <c r="C1373">
        <v>2576.2302</v>
      </c>
      <c r="D1373" t="s">
        <v>1812</v>
      </c>
      <c r="E1373">
        <v>64</v>
      </c>
      <c r="F1373" t="s">
        <v>16</v>
      </c>
      <c r="G1373" t="s">
        <v>1527</v>
      </c>
      <c r="H1373" t="s">
        <v>1742</v>
      </c>
      <c r="L1373" s="2">
        <v>45235</v>
      </c>
      <c r="M1373">
        <v>2576.2302</v>
      </c>
      <c r="R1373" t="s">
        <v>1812</v>
      </c>
      <c r="S1373">
        <v>2576.2302</v>
      </c>
      <c r="W1373" s="12" t="s">
        <v>16</v>
      </c>
      <c r="X1373" s="12" t="s">
        <v>1527</v>
      </c>
      <c r="Y1373">
        <v>2576.2302</v>
      </c>
      <c r="AF1373">
        <v>2576.2302</v>
      </c>
      <c r="AG1373" t="s">
        <v>1742</v>
      </c>
    </row>
    <row r="1374" spans="1:33" x14ac:dyDescent="0.3">
      <c r="A1374" t="s">
        <v>1410</v>
      </c>
      <c r="B1374" s="2">
        <v>45499</v>
      </c>
      <c r="C1374">
        <v>736.66800000000001</v>
      </c>
      <c r="D1374" t="s">
        <v>1809</v>
      </c>
      <c r="E1374">
        <v>36</v>
      </c>
      <c r="F1374" t="s">
        <v>16</v>
      </c>
      <c r="G1374" t="s">
        <v>1546</v>
      </c>
      <c r="H1374" t="s">
        <v>1746</v>
      </c>
      <c r="L1374" s="2">
        <v>45499</v>
      </c>
      <c r="M1374">
        <v>736.66800000000001</v>
      </c>
      <c r="R1374" t="s">
        <v>1809</v>
      </c>
      <c r="S1374">
        <v>736.66800000000001</v>
      </c>
      <c r="W1374" s="11" t="s">
        <v>16</v>
      </c>
      <c r="X1374" s="11" t="s">
        <v>1546</v>
      </c>
      <c r="Y1374">
        <v>736.66800000000001</v>
      </c>
      <c r="AF1374">
        <v>736.66800000000001</v>
      </c>
      <c r="AG1374" t="s">
        <v>1746</v>
      </c>
    </row>
    <row r="1375" spans="1:33" x14ac:dyDescent="0.3">
      <c r="A1375" t="s">
        <v>806</v>
      </c>
      <c r="B1375" s="2">
        <v>45272</v>
      </c>
      <c r="C1375">
        <v>1022.2128</v>
      </c>
      <c r="D1375" t="s">
        <v>1807</v>
      </c>
      <c r="E1375">
        <v>21</v>
      </c>
      <c r="F1375" t="s">
        <v>9</v>
      </c>
      <c r="G1375" t="s">
        <v>1530</v>
      </c>
      <c r="H1375" t="s">
        <v>1746</v>
      </c>
      <c r="L1375" s="2">
        <v>45272</v>
      </c>
      <c r="M1375">
        <v>1022.2128</v>
      </c>
      <c r="R1375" t="s">
        <v>1807</v>
      </c>
      <c r="S1375">
        <v>1022.2128</v>
      </c>
      <c r="W1375" s="12" t="s">
        <v>9</v>
      </c>
      <c r="X1375" s="12" t="s">
        <v>1530</v>
      </c>
      <c r="Y1375">
        <v>1022.2128</v>
      </c>
      <c r="AF1375">
        <v>1022.2128</v>
      </c>
      <c r="AG1375" t="s">
        <v>1746</v>
      </c>
    </row>
    <row r="1376" spans="1:33" x14ac:dyDescent="0.3">
      <c r="A1376" t="s">
        <v>685</v>
      </c>
      <c r="B1376" s="2">
        <v>45785</v>
      </c>
      <c r="C1376">
        <v>547.74720000000002</v>
      </c>
      <c r="D1376" t="s">
        <v>1807</v>
      </c>
      <c r="E1376">
        <v>42</v>
      </c>
      <c r="F1376" t="s">
        <v>16</v>
      </c>
      <c r="G1376" t="s">
        <v>1546</v>
      </c>
      <c r="H1376" t="s">
        <v>1742</v>
      </c>
      <c r="L1376" s="2">
        <v>45785</v>
      </c>
      <c r="M1376">
        <v>547.74720000000002</v>
      </c>
      <c r="R1376" t="s">
        <v>1807</v>
      </c>
      <c r="S1376">
        <v>547.74720000000002</v>
      </c>
      <c r="W1376" s="11" t="s">
        <v>16</v>
      </c>
      <c r="X1376" s="11" t="s">
        <v>1546</v>
      </c>
      <c r="Y1376">
        <v>547.74720000000002</v>
      </c>
      <c r="AF1376">
        <v>547.74720000000002</v>
      </c>
      <c r="AG1376" t="s">
        <v>1742</v>
      </c>
    </row>
    <row r="1377" spans="1:33" x14ac:dyDescent="0.3">
      <c r="A1377" t="s">
        <v>780</v>
      </c>
      <c r="B1377" s="2">
        <v>45534</v>
      </c>
      <c r="C1377">
        <v>813.04719999999998</v>
      </c>
      <c r="D1377" t="s">
        <v>1807</v>
      </c>
      <c r="E1377">
        <v>58</v>
      </c>
      <c r="F1377" t="s">
        <v>9</v>
      </c>
      <c r="G1377" t="s">
        <v>1527</v>
      </c>
      <c r="H1377" t="s">
        <v>1742</v>
      </c>
      <c r="L1377" s="2">
        <v>45534</v>
      </c>
      <c r="M1377">
        <v>813.04719999999998</v>
      </c>
      <c r="R1377" t="s">
        <v>1807</v>
      </c>
      <c r="S1377">
        <v>813.04719999999998</v>
      </c>
      <c r="W1377" s="12" t="s">
        <v>9</v>
      </c>
      <c r="X1377" s="12" t="s">
        <v>1527</v>
      </c>
      <c r="Y1377">
        <v>813.04719999999998</v>
      </c>
      <c r="AF1377">
        <v>813.04719999999998</v>
      </c>
      <c r="AG1377" t="s">
        <v>1742</v>
      </c>
    </row>
    <row r="1378" spans="1:33" x14ac:dyDescent="0.3">
      <c r="A1378" t="s">
        <v>566</v>
      </c>
      <c r="B1378" s="2">
        <v>45803</v>
      </c>
      <c r="C1378">
        <v>48.101500000000001</v>
      </c>
      <c r="D1378" t="s">
        <v>1809</v>
      </c>
      <c r="E1378">
        <v>41</v>
      </c>
      <c r="F1378" t="s">
        <v>16</v>
      </c>
      <c r="G1378" t="s">
        <v>1546</v>
      </c>
      <c r="H1378" t="s">
        <v>1737</v>
      </c>
      <c r="L1378" s="2">
        <v>45803</v>
      </c>
      <c r="M1378">
        <v>48.101500000000001</v>
      </c>
      <c r="R1378" t="s">
        <v>1809</v>
      </c>
      <c r="S1378">
        <v>48.101500000000001</v>
      </c>
      <c r="W1378" s="11" t="s">
        <v>16</v>
      </c>
      <c r="X1378" s="11" t="s">
        <v>1546</v>
      </c>
      <c r="Y1378">
        <v>48.101500000000001</v>
      </c>
      <c r="AF1378">
        <v>48.101500000000001</v>
      </c>
      <c r="AG1378" t="s">
        <v>1737</v>
      </c>
    </row>
    <row r="1379" spans="1:33" x14ac:dyDescent="0.3">
      <c r="A1379" t="s">
        <v>1247</v>
      </c>
      <c r="B1379" s="2">
        <v>45667</v>
      </c>
      <c r="C1379">
        <v>2906.5680000000002</v>
      </c>
      <c r="D1379" t="s">
        <v>1807</v>
      </c>
      <c r="E1379">
        <v>23</v>
      </c>
      <c r="F1379" t="s">
        <v>16</v>
      </c>
      <c r="G1379" t="s">
        <v>1546</v>
      </c>
      <c r="H1379" t="s">
        <v>1746</v>
      </c>
      <c r="L1379" s="2">
        <v>45667</v>
      </c>
      <c r="M1379">
        <v>2906.5680000000002</v>
      </c>
      <c r="R1379" t="s">
        <v>1807</v>
      </c>
      <c r="S1379">
        <v>2906.5680000000002</v>
      </c>
      <c r="W1379" s="12" t="s">
        <v>16</v>
      </c>
      <c r="X1379" s="12" t="s">
        <v>1546</v>
      </c>
      <c r="Y1379">
        <v>2906.5680000000002</v>
      </c>
      <c r="AF1379">
        <v>2906.5680000000002</v>
      </c>
      <c r="AG1379" t="s">
        <v>1746</v>
      </c>
    </row>
    <row r="1380" spans="1:33" x14ac:dyDescent="0.3">
      <c r="A1380" t="s">
        <v>236</v>
      </c>
      <c r="B1380" s="2">
        <v>45656</v>
      </c>
      <c r="C1380">
        <v>898.8216000000001</v>
      </c>
      <c r="D1380" t="s">
        <v>1807</v>
      </c>
      <c r="E1380">
        <v>21</v>
      </c>
      <c r="F1380" t="s">
        <v>16</v>
      </c>
      <c r="G1380" t="s">
        <v>1541</v>
      </c>
      <c r="H1380" t="s">
        <v>1742</v>
      </c>
      <c r="L1380" s="2">
        <v>45656</v>
      </c>
      <c r="M1380">
        <v>898.8216000000001</v>
      </c>
      <c r="R1380" t="s">
        <v>1807</v>
      </c>
      <c r="S1380">
        <v>898.8216000000001</v>
      </c>
      <c r="W1380" s="11" t="s">
        <v>16</v>
      </c>
      <c r="X1380" s="11" t="s">
        <v>1541</v>
      </c>
      <c r="Y1380">
        <v>898.8216000000001</v>
      </c>
      <c r="AF1380">
        <v>898.8216000000001</v>
      </c>
      <c r="AG1380" t="s">
        <v>1742</v>
      </c>
    </row>
    <row r="1381" spans="1:33" x14ac:dyDescent="0.3">
      <c r="A1381" t="s">
        <v>1169</v>
      </c>
      <c r="B1381" s="2">
        <v>45869</v>
      </c>
      <c r="C1381">
        <v>311.43279999999999</v>
      </c>
      <c r="D1381" t="s">
        <v>1807</v>
      </c>
      <c r="E1381">
        <v>34</v>
      </c>
      <c r="F1381" t="s">
        <v>16</v>
      </c>
      <c r="G1381" t="s">
        <v>1546</v>
      </c>
      <c r="H1381" t="s">
        <v>1742</v>
      </c>
      <c r="L1381" s="2">
        <v>45869</v>
      </c>
      <c r="M1381">
        <v>311.43279999999999</v>
      </c>
      <c r="R1381" t="s">
        <v>1807</v>
      </c>
      <c r="S1381">
        <v>311.43279999999999</v>
      </c>
      <c r="W1381" s="12" t="s">
        <v>16</v>
      </c>
      <c r="X1381" s="12" t="s">
        <v>1546</v>
      </c>
      <c r="Y1381">
        <v>311.43279999999999</v>
      </c>
      <c r="AF1381">
        <v>311.43279999999999</v>
      </c>
      <c r="AG1381" t="s">
        <v>1742</v>
      </c>
    </row>
    <row r="1382" spans="1:33" x14ac:dyDescent="0.3">
      <c r="A1382" t="s">
        <v>321</v>
      </c>
      <c r="B1382" s="2">
        <v>45549</v>
      </c>
      <c r="C1382">
        <v>1005.3944</v>
      </c>
      <c r="D1382" t="s">
        <v>1812</v>
      </c>
      <c r="E1382">
        <v>29</v>
      </c>
      <c r="F1382" t="s">
        <v>16</v>
      </c>
      <c r="G1382" t="s">
        <v>1549</v>
      </c>
      <c r="H1382" t="s">
        <v>1742</v>
      </c>
      <c r="L1382" s="2">
        <v>45549</v>
      </c>
      <c r="M1382">
        <v>1005.3944</v>
      </c>
      <c r="R1382" t="s">
        <v>1812</v>
      </c>
      <c r="S1382">
        <v>1005.3944</v>
      </c>
      <c r="W1382" s="11" t="s">
        <v>16</v>
      </c>
      <c r="X1382" s="11" t="s">
        <v>1549</v>
      </c>
      <c r="Y1382">
        <v>1005.3944</v>
      </c>
      <c r="AF1382">
        <v>1005.3944</v>
      </c>
      <c r="AG1382" t="s">
        <v>1742</v>
      </c>
    </row>
    <row r="1383" spans="1:33" x14ac:dyDescent="0.3">
      <c r="A1383" t="s">
        <v>209</v>
      </c>
      <c r="B1383" s="2">
        <v>45409</v>
      </c>
      <c r="C1383">
        <v>1512.2267999999999</v>
      </c>
      <c r="D1383" t="s">
        <v>1807</v>
      </c>
      <c r="E1383">
        <v>43</v>
      </c>
      <c r="F1383" t="s">
        <v>16</v>
      </c>
      <c r="G1383" t="s">
        <v>1530</v>
      </c>
      <c r="H1383" t="s">
        <v>1742</v>
      </c>
      <c r="L1383" s="2">
        <v>45409</v>
      </c>
      <c r="M1383">
        <v>1512.2267999999999</v>
      </c>
      <c r="R1383" t="s">
        <v>1807</v>
      </c>
      <c r="S1383">
        <v>1512.2267999999999</v>
      </c>
      <c r="W1383" s="12" t="s">
        <v>16</v>
      </c>
      <c r="X1383" s="12" t="s">
        <v>1530</v>
      </c>
      <c r="Y1383">
        <v>1512.2267999999999</v>
      </c>
      <c r="AF1383">
        <v>1512.2267999999999</v>
      </c>
      <c r="AG1383" t="s">
        <v>1742</v>
      </c>
    </row>
    <row r="1384" spans="1:33" x14ac:dyDescent="0.3">
      <c r="A1384" t="s">
        <v>3950</v>
      </c>
      <c r="B1384" s="2">
        <v>45374</v>
      </c>
      <c r="C1384">
        <v>1176.4536000000001</v>
      </c>
      <c r="D1384" t="s">
        <v>1807</v>
      </c>
      <c r="E1384">
        <v>35</v>
      </c>
      <c r="F1384" t="s">
        <v>9</v>
      </c>
      <c r="G1384" t="s">
        <v>1527</v>
      </c>
      <c r="H1384" t="s">
        <v>1742</v>
      </c>
      <c r="L1384" s="2">
        <v>45374</v>
      </c>
      <c r="M1384">
        <v>1176.4536000000001</v>
      </c>
      <c r="R1384" t="s">
        <v>1807</v>
      </c>
      <c r="S1384">
        <v>1176.4536000000001</v>
      </c>
      <c r="W1384" s="11" t="s">
        <v>9</v>
      </c>
      <c r="X1384" s="11" t="s">
        <v>1527</v>
      </c>
      <c r="Y1384">
        <v>1176.4536000000001</v>
      </c>
      <c r="AF1384">
        <v>1176.4536000000001</v>
      </c>
      <c r="AG1384" t="s">
        <v>1742</v>
      </c>
    </row>
    <row r="1385" spans="1:33" x14ac:dyDescent="0.3">
      <c r="A1385" t="s">
        <v>1073</v>
      </c>
      <c r="B1385" s="2">
        <v>45282</v>
      </c>
      <c r="C1385">
        <v>291.5822</v>
      </c>
      <c r="D1385" t="s">
        <v>1807</v>
      </c>
      <c r="E1385">
        <v>58</v>
      </c>
      <c r="F1385" t="s">
        <v>16</v>
      </c>
      <c r="G1385" t="s">
        <v>1549</v>
      </c>
      <c r="H1385" t="s">
        <v>1742</v>
      </c>
      <c r="L1385" s="2">
        <v>45282</v>
      </c>
      <c r="M1385">
        <v>291.5822</v>
      </c>
      <c r="R1385" t="s">
        <v>1807</v>
      </c>
      <c r="S1385">
        <v>291.5822</v>
      </c>
      <c r="W1385" s="12" t="s">
        <v>16</v>
      </c>
      <c r="X1385" s="12" t="s">
        <v>1549</v>
      </c>
      <c r="Y1385">
        <v>291.5822</v>
      </c>
      <c r="AF1385">
        <v>291.5822</v>
      </c>
      <c r="AG1385" t="s">
        <v>1742</v>
      </c>
    </row>
    <row r="1386" spans="1:33" x14ac:dyDescent="0.3">
      <c r="A1386" t="s">
        <v>128</v>
      </c>
      <c r="B1386" s="2">
        <v>45742</v>
      </c>
      <c r="C1386">
        <v>513.81359999999995</v>
      </c>
      <c r="D1386" t="s">
        <v>1812</v>
      </c>
      <c r="E1386">
        <v>48</v>
      </c>
      <c r="F1386" t="s">
        <v>16</v>
      </c>
      <c r="G1386" t="s">
        <v>1541</v>
      </c>
      <c r="H1386" t="s">
        <v>1742</v>
      </c>
      <c r="L1386" s="2">
        <v>45742</v>
      </c>
      <c r="M1386">
        <v>513.81359999999995</v>
      </c>
      <c r="R1386" t="s">
        <v>1812</v>
      </c>
      <c r="S1386">
        <v>513.81359999999995</v>
      </c>
      <c r="W1386" s="11" t="s">
        <v>16</v>
      </c>
      <c r="X1386" s="11" t="s">
        <v>1541</v>
      </c>
      <c r="Y1386">
        <v>513.81359999999995</v>
      </c>
      <c r="AF1386">
        <v>513.81359999999995</v>
      </c>
      <c r="AG1386" t="s">
        <v>1742</v>
      </c>
    </row>
    <row r="1387" spans="1:33" x14ac:dyDescent="0.3">
      <c r="A1387" t="s">
        <v>727</v>
      </c>
      <c r="B1387" s="2">
        <v>45447</v>
      </c>
      <c r="C1387">
        <v>359.50400000000002</v>
      </c>
      <c r="D1387" t="s">
        <v>1812</v>
      </c>
      <c r="E1387">
        <v>52</v>
      </c>
      <c r="F1387" t="s">
        <v>16</v>
      </c>
      <c r="G1387" t="s">
        <v>1546</v>
      </c>
      <c r="H1387" t="s">
        <v>1746</v>
      </c>
      <c r="L1387" s="2">
        <v>45447</v>
      </c>
      <c r="M1387">
        <v>359.50400000000002</v>
      </c>
      <c r="R1387" t="s">
        <v>1812</v>
      </c>
      <c r="S1387">
        <v>359.50400000000002</v>
      </c>
      <c r="W1387" s="12" t="s">
        <v>16</v>
      </c>
      <c r="X1387" s="12" t="s">
        <v>1546</v>
      </c>
      <c r="Y1387">
        <v>359.50400000000002</v>
      </c>
      <c r="AF1387">
        <v>359.50400000000002</v>
      </c>
      <c r="AG1387" t="s">
        <v>1746</v>
      </c>
    </row>
    <row r="1388" spans="1:33" x14ac:dyDescent="0.3">
      <c r="A1388" t="s">
        <v>1385</v>
      </c>
      <c r="B1388" s="2">
        <v>45733</v>
      </c>
      <c r="C1388">
        <v>1392.2716</v>
      </c>
      <c r="D1388" t="s">
        <v>1807</v>
      </c>
      <c r="E1388">
        <v>60</v>
      </c>
      <c r="F1388" t="s">
        <v>9</v>
      </c>
      <c r="G1388" t="s">
        <v>1549</v>
      </c>
      <c r="H1388" t="s">
        <v>1742</v>
      </c>
      <c r="L1388" s="2">
        <v>45733</v>
      </c>
      <c r="M1388">
        <v>1392.2716</v>
      </c>
      <c r="R1388" t="s">
        <v>1807</v>
      </c>
      <c r="S1388">
        <v>1392.2716</v>
      </c>
      <c r="W1388" s="11" t="s">
        <v>9</v>
      </c>
      <c r="X1388" s="11" t="s">
        <v>1549</v>
      </c>
      <c r="Y1388">
        <v>1392.2716</v>
      </c>
      <c r="AF1388">
        <v>1392.2716</v>
      </c>
      <c r="AG1388" t="s">
        <v>1742</v>
      </c>
    </row>
    <row r="1389" spans="1:33" x14ac:dyDescent="0.3">
      <c r="A1389" t="s">
        <v>477</v>
      </c>
      <c r="B1389" s="2">
        <v>45373</v>
      </c>
      <c r="C1389">
        <v>577.82339999999999</v>
      </c>
      <c r="D1389" t="s">
        <v>1809</v>
      </c>
      <c r="E1389">
        <v>46</v>
      </c>
      <c r="F1389" t="s">
        <v>9</v>
      </c>
      <c r="G1389" t="s">
        <v>1546</v>
      </c>
      <c r="H1389" t="s">
        <v>1742</v>
      </c>
      <c r="L1389" s="2">
        <v>45373</v>
      </c>
      <c r="M1389">
        <v>577.82339999999999</v>
      </c>
      <c r="R1389" t="s">
        <v>1809</v>
      </c>
      <c r="S1389">
        <v>577.82339999999999</v>
      </c>
      <c r="W1389" s="12" t="s">
        <v>9</v>
      </c>
      <c r="X1389" s="12" t="s">
        <v>1546</v>
      </c>
      <c r="Y1389">
        <v>577.82339999999999</v>
      </c>
      <c r="AF1389">
        <v>577.82339999999999</v>
      </c>
      <c r="AG1389" t="s">
        <v>1742</v>
      </c>
    </row>
    <row r="1390" spans="1:33" x14ac:dyDescent="0.3">
      <c r="A1390" t="s">
        <v>90</v>
      </c>
      <c r="B1390" s="2">
        <v>45655</v>
      </c>
      <c r="C1390">
        <v>103.8609</v>
      </c>
      <c r="D1390" t="s">
        <v>1807</v>
      </c>
      <c r="E1390">
        <v>36</v>
      </c>
      <c r="F1390" t="s">
        <v>16</v>
      </c>
      <c r="G1390" t="s">
        <v>1546</v>
      </c>
      <c r="H1390" t="s">
        <v>1742</v>
      </c>
      <c r="L1390" s="2">
        <v>45655</v>
      </c>
      <c r="M1390">
        <v>103.8609</v>
      </c>
      <c r="R1390" t="s">
        <v>1807</v>
      </c>
      <c r="S1390">
        <v>103.8609</v>
      </c>
      <c r="W1390" s="11" t="s">
        <v>16</v>
      </c>
      <c r="X1390" s="11" t="s">
        <v>1546</v>
      </c>
      <c r="Y1390">
        <v>103.8609</v>
      </c>
      <c r="AF1390">
        <v>103.8609</v>
      </c>
      <c r="AG1390" t="s">
        <v>1742</v>
      </c>
    </row>
    <row r="1391" spans="1:33" x14ac:dyDescent="0.3">
      <c r="A1391" t="s">
        <v>3944</v>
      </c>
      <c r="B1391" s="2">
        <v>45868</v>
      </c>
      <c r="C1391">
        <v>457.73700000000002</v>
      </c>
      <c r="D1391" t="s">
        <v>1809</v>
      </c>
      <c r="E1391">
        <v>64</v>
      </c>
      <c r="F1391" t="s">
        <v>9</v>
      </c>
      <c r="G1391" t="s">
        <v>1546</v>
      </c>
      <c r="H1391" t="s">
        <v>1742</v>
      </c>
      <c r="L1391" s="2">
        <v>45868</v>
      </c>
      <c r="M1391">
        <v>457.73700000000002</v>
      </c>
      <c r="R1391" t="s">
        <v>1809</v>
      </c>
      <c r="S1391">
        <v>457.73700000000002</v>
      </c>
      <c r="W1391" s="12" t="s">
        <v>9</v>
      </c>
      <c r="X1391" s="12" t="s">
        <v>1546</v>
      </c>
      <c r="Y1391">
        <v>457.73700000000002</v>
      </c>
      <c r="AF1391">
        <v>457.73700000000002</v>
      </c>
      <c r="AG1391" t="s">
        <v>1742</v>
      </c>
    </row>
    <row r="1392" spans="1:33" x14ac:dyDescent="0.3">
      <c r="A1392" t="s">
        <v>1124</v>
      </c>
      <c r="B1392" s="2">
        <v>45338</v>
      </c>
      <c r="C1392">
        <v>758.38120000000004</v>
      </c>
      <c r="D1392" t="s">
        <v>1807</v>
      </c>
      <c r="E1392">
        <v>58</v>
      </c>
      <c r="F1392" t="s">
        <v>9</v>
      </c>
      <c r="G1392" t="s">
        <v>1541</v>
      </c>
      <c r="H1392" t="s">
        <v>1742</v>
      </c>
      <c r="L1392" s="2">
        <v>45338</v>
      </c>
      <c r="M1392">
        <v>758.38120000000004</v>
      </c>
      <c r="R1392" t="s">
        <v>1807</v>
      </c>
      <c r="S1392">
        <v>758.38120000000004</v>
      </c>
      <c r="W1392" s="11" t="s">
        <v>9</v>
      </c>
      <c r="X1392" s="11" t="s">
        <v>1541</v>
      </c>
      <c r="Y1392">
        <v>758.38120000000004</v>
      </c>
      <c r="AF1392">
        <v>758.38120000000004</v>
      </c>
      <c r="AG1392" t="s">
        <v>1742</v>
      </c>
    </row>
    <row r="1393" spans="1:33" x14ac:dyDescent="0.3">
      <c r="A1393" t="s">
        <v>673</v>
      </c>
      <c r="B1393" s="2">
        <v>45349</v>
      </c>
      <c r="C1393">
        <v>127.2171</v>
      </c>
      <c r="D1393" t="s">
        <v>1812</v>
      </c>
      <c r="E1393">
        <v>50</v>
      </c>
      <c r="F1393" t="s">
        <v>16</v>
      </c>
      <c r="G1393" t="s">
        <v>1541</v>
      </c>
      <c r="H1393" t="s">
        <v>1742</v>
      </c>
      <c r="L1393" s="2">
        <v>45349</v>
      </c>
      <c r="M1393">
        <v>127.2171</v>
      </c>
      <c r="R1393" t="s">
        <v>1812</v>
      </c>
      <c r="S1393">
        <v>127.2171</v>
      </c>
      <c r="W1393" s="12" t="s">
        <v>16</v>
      </c>
      <c r="X1393" s="12" t="s">
        <v>1541</v>
      </c>
      <c r="Y1393">
        <v>127.2171</v>
      </c>
      <c r="AF1393">
        <v>127.2171</v>
      </c>
      <c r="AG1393" t="s">
        <v>1742</v>
      </c>
    </row>
    <row r="1394" spans="1:33" x14ac:dyDescent="0.3">
      <c r="A1394" t="s">
        <v>398</v>
      </c>
      <c r="B1394" s="2">
        <v>45368</v>
      </c>
      <c r="C1394">
        <v>2110.1255999999998</v>
      </c>
      <c r="D1394" t="s">
        <v>1807</v>
      </c>
      <c r="E1394">
        <v>18</v>
      </c>
      <c r="F1394" t="s">
        <v>16</v>
      </c>
      <c r="G1394" t="s">
        <v>1541</v>
      </c>
      <c r="H1394" t="s">
        <v>1746</v>
      </c>
      <c r="L1394" s="2">
        <v>45368</v>
      </c>
      <c r="M1394">
        <v>2110.1255999999998</v>
      </c>
      <c r="R1394" t="s">
        <v>1807</v>
      </c>
      <c r="S1394">
        <v>2110.1255999999998</v>
      </c>
      <c r="W1394" s="11" t="s">
        <v>16</v>
      </c>
      <c r="X1394" s="11" t="s">
        <v>1541</v>
      </c>
      <c r="Y1394">
        <v>2110.1255999999998</v>
      </c>
      <c r="AF1394">
        <v>2110.1255999999998</v>
      </c>
      <c r="AG1394" t="s">
        <v>1746</v>
      </c>
    </row>
    <row r="1395" spans="1:33" x14ac:dyDescent="0.3">
      <c r="A1395" t="s">
        <v>1313</v>
      </c>
      <c r="B1395" s="2">
        <v>45243</v>
      </c>
      <c r="C1395">
        <v>449.03949999999998</v>
      </c>
      <c r="D1395" t="s">
        <v>1807</v>
      </c>
      <c r="E1395">
        <v>43</v>
      </c>
      <c r="F1395" t="s">
        <v>9</v>
      </c>
      <c r="G1395" t="s">
        <v>1549</v>
      </c>
      <c r="H1395" t="s">
        <v>1746</v>
      </c>
      <c r="L1395" s="2">
        <v>45243</v>
      </c>
      <c r="M1395">
        <v>449.03949999999998</v>
      </c>
      <c r="R1395" t="s">
        <v>1807</v>
      </c>
      <c r="S1395">
        <v>449.03949999999998</v>
      </c>
      <c r="W1395" s="12" t="s">
        <v>9</v>
      </c>
      <c r="X1395" s="12" t="s">
        <v>1549</v>
      </c>
      <c r="Y1395">
        <v>449.03949999999998</v>
      </c>
      <c r="AF1395">
        <v>449.03949999999998</v>
      </c>
      <c r="AG1395" t="s">
        <v>1746</v>
      </c>
    </row>
    <row r="1396" spans="1:33" x14ac:dyDescent="0.3">
      <c r="A1396" t="s">
        <v>741</v>
      </c>
      <c r="B1396" s="2">
        <v>45577</v>
      </c>
      <c r="C1396">
        <v>384.11040000000003</v>
      </c>
      <c r="D1396" t="s">
        <v>1807</v>
      </c>
      <c r="E1396">
        <v>59</v>
      </c>
      <c r="F1396" t="s">
        <v>9</v>
      </c>
      <c r="G1396" t="s">
        <v>1546</v>
      </c>
      <c r="H1396" t="s">
        <v>1746</v>
      </c>
      <c r="L1396" s="2">
        <v>45577</v>
      </c>
      <c r="M1396">
        <v>384.11040000000003</v>
      </c>
      <c r="R1396" t="s">
        <v>1807</v>
      </c>
      <c r="S1396">
        <v>384.11040000000003</v>
      </c>
      <c r="W1396" s="11" t="s">
        <v>9</v>
      </c>
      <c r="X1396" s="11" t="s">
        <v>1546</v>
      </c>
      <c r="Y1396">
        <v>384.11040000000003</v>
      </c>
      <c r="AF1396">
        <v>384.11040000000003</v>
      </c>
      <c r="AG1396" t="s">
        <v>1746</v>
      </c>
    </row>
    <row r="1397" spans="1:33" x14ac:dyDescent="0.3">
      <c r="A1397" t="s">
        <v>877</v>
      </c>
      <c r="B1397" s="2">
        <v>45343</v>
      </c>
      <c r="C1397">
        <v>372.28500000000003</v>
      </c>
      <c r="D1397" t="s">
        <v>1812</v>
      </c>
      <c r="E1397">
        <v>21</v>
      </c>
      <c r="F1397" t="s">
        <v>16</v>
      </c>
      <c r="G1397" t="s">
        <v>1546</v>
      </c>
      <c r="H1397" t="s">
        <v>1742</v>
      </c>
      <c r="L1397" s="2">
        <v>45343</v>
      </c>
      <c r="M1397">
        <v>372.28500000000003</v>
      </c>
      <c r="R1397" t="s">
        <v>1812</v>
      </c>
      <c r="S1397">
        <v>372.28500000000003</v>
      </c>
      <c r="W1397" s="12" t="s">
        <v>16</v>
      </c>
      <c r="X1397" s="12" t="s">
        <v>1546</v>
      </c>
      <c r="Y1397">
        <v>372.28500000000003</v>
      </c>
      <c r="AF1397">
        <v>372.28500000000003</v>
      </c>
      <c r="AG1397" t="s">
        <v>1742</v>
      </c>
    </row>
    <row r="1398" spans="1:33" x14ac:dyDescent="0.3">
      <c r="A1398" t="s">
        <v>1449</v>
      </c>
      <c r="B1398" s="2">
        <v>45744</v>
      </c>
      <c r="C1398">
        <v>241.03399999999999</v>
      </c>
      <c r="D1398" t="s">
        <v>1812</v>
      </c>
      <c r="E1398">
        <v>33</v>
      </c>
      <c r="F1398" t="s">
        <v>16</v>
      </c>
      <c r="G1398" t="s">
        <v>1541</v>
      </c>
      <c r="H1398" t="s">
        <v>1746</v>
      </c>
      <c r="L1398" s="2">
        <v>45744</v>
      </c>
      <c r="M1398">
        <v>241.03399999999999</v>
      </c>
      <c r="R1398" t="s">
        <v>1812</v>
      </c>
      <c r="S1398">
        <v>241.03399999999999</v>
      </c>
      <c r="W1398" s="11" t="s">
        <v>16</v>
      </c>
      <c r="X1398" s="11" t="s">
        <v>1541</v>
      </c>
      <c r="Y1398">
        <v>241.03399999999999</v>
      </c>
      <c r="AF1398">
        <v>241.03399999999999</v>
      </c>
      <c r="AG1398" t="s">
        <v>1746</v>
      </c>
    </row>
    <row r="1399" spans="1:33" x14ac:dyDescent="0.3">
      <c r="A1399" t="s">
        <v>1113</v>
      </c>
      <c r="B1399" s="2">
        <v>45873</v>
      </c>
      <c r="C1399">
        <v>1832.3789999999999</v>
      </c>
      <c r="D1399" t="s">
        <v>1812</v>
      </c>
      <c r="E1399">
        <v>34</v>
      </c>
      <c r="F1399" t="s">
        <v>9</v>
      </c>
      <c r="G1399" t="s">
        <v>1549</v>
      </c>
      <c r="H1399" t="s">
        <v>1742</v>
      </c>
      <c r="L1399" s="2">
        <v>45873</v>
      </c>
      <c r="M1399">
        <v>1832.3789999999999</v>
      </c>
      <c r="R1399" t="s">
        <v>1812</v>
      </c>
      <c r="S1399">
        <v>1832.3789999999999</v>
      </c>
      <c r="W1399" s="12" t="s">
        <v>9</v>
      </c>
      <c r="X1399" s="12" t="s">
        <v>1549</v>
      </c>
      <c r="Y1399">
        <v>1832.3789999999999</v>
      </c>
      <c r="AF1399">
        <v>1832.3789999999999</v>
      </c>
      <c r="AG1399" t="s">
        <v>1742</v>
      </c>
    </row>
    <row r="1400" spans="1:33" x14ac:dyDescent="0.3">
      <c r="A1400" t="s">
        <v>451</v>
      </c>
      <c r="B1400" s="2">
        <v>45601</v>
      </c>
      <c r="C1400">
        <v>1813.0716</v>
      </c>
      <c r="D1400" t="s">
        <v>1812</v>
      </c>
      <c r="E1400">
        <v>54</v>
      </c>
      <c r="F1400" t="s">
        <v>9</v>
      </c>
      <c r="G1400" t="s">
        <v>1549</v>
      </c>
      <c r="H1400" t="s">
        <v>1742</v>
      </c>
      <c r="L1400" s="2">
        <v>45601</v>
      </c>
      <c r="M1400">
        <v>1813.0716</v>
      </c>
      <c r="R1400" t="s">
        <v>1812</v>
      </c>
      <c r="S1400">
        <v>1813.0716</v>
      </c>
      <c r="W1400" s="11" t="s">
        <v>9</v>
      </c>
      <c r="X1400" s="11" t="s">
        <v>1549</v>
      </c>
      <c r="Y1400">
        <v>1813.0716</v>
      </c>
      <c r="AF1400">
        <v>1813.0716</v>
      </c>
      <c r="AG1400" t="s">
        <v>1742</v>
      </c>
    </row>
    <row r="1401" spans="1:33" x14ac:dyDescent="0.3">
      <c r="A1401" t="s">
        <v>395</v>
      </c>
      <c r="B1401" s="2">
        <v>45458</v>
      </c>
      <c r="C1401">
        <v>538.5634</v>
      </c>
      <c r="D1401" t="s">
        <v>1809</v>
      </c>
      <c r="E1401">
        <v>53</v>
      </c>
      <c r="F1401" t="s">
        <v>16</v>
      </c>
      <c r="G1401" t="s">
        <v>1527</v>
      </c>
      <c r="H1401" t="s">
        <v>1742</v>
      </c>
      <c r="L1401" s="2">
        <v>45458</v>
      </c>
      <c r="M1401">
        <v>538.5634</v>
      </c>
      <c r="R1401" t="s">
        <v>1809</v>
      </c>
      <c r="S1401">
        <v>538.5634</v>
      </c>
      <c r="W1401" s="12" t="s">
        <v>16</v>
      </c>
      <c r="X1401" s="12" t="s">
        <v>1527</v>
      </c>
      <c r="Y1401">
        <v>538.5634</v>
      </c>
      <c r="AF1401">
        <v>538.5634</v>
      </c>
      <c r="AG1401" t="s">
        <v>1742</v>
      </c>
    </row>
    <row r="1402" spans="1:33" x14ac:dyDescent="0.3">
      <c r="A1402" t="s">
        <v>1410</v>
      </c>
      <c r="B1402" s="2">
        <v>45649</v>
      </c>
      <c r="C1402">
        <v>2163.7055999999998</v>
      </c>
      <c r="D1402" t="s">
        <v>1809</v>
      </c>
      <c r="E1402">
        <v>36</v>
      </c>
      <c r="F1402" t="s">
        <v>16</v>
      </c>
      <c r="G1402" t="s">
        <v>1527</v>
      </c>
      <c r="H1402" t="s">
        <v>1742</v>
      </c>
      <c r="L1402" s="2">
        <v>45649</v>
      </c>
      <c r="M1402">
        <v>2163.7055999999998</v>
      </c>
      <c r="R1402" t="s">
        <v>1809</v>
      </c>
      <c r="S1402">
        <v>2163.7055999999998</v>
      </c>
      <c r="W1402" s="11" t="s">
        <v>16</v>
      </c>
      <c r="X1402" s="11" t="s">
        <v>1527</v>
      </c>
      <c r="Y1402">
        <v>2163.7055999999998</v>
      </c>
      <c r="AF1402">
        <v>2163.7055999999998</v>
      </c>
      <c r="AG1402" t="s">
        <v>1742</v>
      </c>
    </row>
    <row r="1403" spans="1:33" x14ac:dyDescent="0.3">
      <c r="A1403" t="s">
        <v>774</v>
      </c>
      <c r="B1403" s="2">
        <v>45653</v>
      </c>
      <c r="C1403">
        <v>794.45699999999999</v>
      </c>
      <c r="D1403" t="s">
        <v>1807</v>
      </c>
      <c r="E1403">
        <v>19</v>
      </c>
      <c r="F1403" t="s">
        <v>9</v>
      </c>
      <c r="G1403" t="s">
        <v>1549</v>
      </c>
      <c r="H1403" t="s">
        <v>1746</v>
      </c>
      <c r="L1403" s="2">
        <v>45653</v>
      </c>
      <c r="M1403">
        <v>794.45699999999999</v>
      </c>
      <c r="R1403" t="s">
        <v>1807</v>
      </c>
      <c r="S1403">
        <v>794.45699999999999</v>
      </c>
      <c r="W1403" s="12" t="s">
        <v>9</v>
      </c>
      <c r="X1403" s="12" t="s">
        <v>1549</v>
      </c>
      <c r="Y1403">
        <v>794.45699999999999</v>
      </c>
      <c r="AF1403">
        <v>794.45699999999999</v>
      </c>
      <c r="AG1403" t="s">
        <v>1746</v>
      </c>
    </row>
    <row r="1404" spans="1:33" x14ac:dyDescent="0.3">
      <c r="A1404" t="s">
        <v>1013</v>
      </c>
      <c r="B1404" s="2">
        <v>45378</v>
      </c>
      <c r="C1404">
        <v>888.0444</v>
      </c>
      <c r="D1404" t="s">
        <v>1809</v>
      </c>
      <c r="E1404">
        <v>58</v>
      </c>
      <c r="F1404" t="s">
        <v>16</v>
      </c>
      <c r="G1404" t="s">
        <v>1530</v>
      </c>
      <c r="H1404" t="s">
        <v>1742</v>
      </c>
      <c r="L1404" s="2">
        <v>45378</v>
      </c>
      <c r="M1404">
        <v>888.0444</v>
      </c>
      <c r="R1404" t="s">
        <v>1809</v>
      </c>
      <c r="S1404">
        <v>888.0444</v>
      </c>
      <c r="W1404" s="11" t="s">
        <v>16</v>
      </c>
      <c r="X1404" s="11" t="s">
        <v>1530</v>
      </c>
      <c r="Y1404">
        <v>888.0444</v>
      </c>
      <c r="AF1404">
        <v>888.0444</v>
      </c>
      <c r="AG1404" t="s">
        <v>1742</v>
      </c>
    </row>
    <row r="1405" spans="1:33" x14ac:dyDescent="0.3">
      <c r="A1405" t="s">
        <v>522</v>
      </c>
      <c r="B1405" s="2">
        <v>45638</v>
      </c>
      <c r="C1405">
        <v>1169.6238000000001</v>
      </c>
      <c r="D1405" t="s">
        <v>1809</v>
      </c>
      <c r="E1405">
        <v>43</v>
      </c>
      <c r="F1405" t="s">
        <v>9</v>
      </c>
      <c r="G1405" t="s">
        <v>1549</v>
      </c>
      <c r="H1405" t="s">
        <v>1742</v>
      </c>
      <c r="L1405" s="2">
        <v>45638</v>
      </c>
      <c r="M1405">
        <v>1169.6238000000001</v>
      </c>
      <c r="R1405" t="s">
        <v>1809</v>
      </c>
      <c r="S1405">
        <v>1169.6238000000001</v>
      </c>
      <c r="W1405" s="12" t="s">
        <v>9</v>
      </c>
      <c r="X1405" s="12" t="s">
        <v>1549</v>
      </c>
      <c r="Y1405">
        <v>1169.6238000000001</v>
      </c>
      <c r="AF1405">
        <v>1169.6238000000001</v>
      </c>
      <c r="AG1405" t="s">
        <v>1742</v>
      </c>
    </row>
    <row r="1406" spans="1:33" x14ac:dyDescent="0.3">
      <c r="A1406" t="s">
        <v>574</v>
      </c>
      <c r="B1406" s="2">
        <v>45277</v>
      </c>
      <c r="C1406">
        <v>269.87189999999998</v>
      </c>
      <c r="D1406" t="s">
        <v>1812</v>
      </c>
      <c r="E1406">
        <v>48</v>
      </c>
      <c r="F1406" t="s">
        <v>9</v>
      </c>
      <c r="G1406" t="s">
        <v>1549</v>
      </c>
      <c r="H1406" t="s">
        <v>1746</v>
      </c>
      <c r="L1406" s="2">
        <v>45277</v>
      </c>
      <c r="M1406">
        <v>269.87189999999998</v>
      </c>
      <c r="R1406" t="s">
        <v>1812</v>
      </c>
      <c r="S1406">
        <v>269.87189999999998</v>
      </c>
      <c r="W1406" s="11" t="s">
        <v>9</v>
      </c>
      <c r="X1406" s="11" t="s">
        <v>1549</v>
      </c>
      <c r="Y1406">
        <v>269.87189999999998</v>
      </c>
      <c r="AF1406">
        <v>269.87189999999998</v>
      </c>
      <c r="AG1406" t="s">
        <v>1746</v>
      </c>
    </row>
    <row r="1407" spans="1:33" x14ac:dyDescent="0.3">
      <c r="A1407" t="s">
        <v>1285</v>
      </c>
      <c r="B1407" s="2">
        <v>45351</v>
      </c>
      <c r="C1407">
        <v>925.18960000000004</v>
      </c>
      <c r="D1407" t="s">
        <v>1809</v>
      </c>
      <c r="E1407">
        <v>33</v>
      </c>
      <c r="F1407" t="s">
        <v>9</v>
      </c>
      <c r="G1407" t="s">
        <v>1549</v>
      </c>
      <c r="H1407" t="s">
        <v>1746</v>
      </c>
      <c r="L1407" s="2">
        <v>45351</v>
      </c>
      <c r="M1407">
        <v>925.18960000000004</v>
      </c>
      <c r="R1407" t="s">
        <v>1809</v>
      </c>
      <c r="S1407">
        <v>925.18960000000004</v>
      </c>
      <c r="W1407" s="12" t="s">
        <v>9</v>
      </c>
      <c r="X1407" s="12" t="s">
        <v>1549</v>
      </c>
      <c r="Y1407">
        <v>925.18960000000004</v>
      </c>
      <c r="AF1407">
        <v>925.18960000000004</v>
      </c>
      <c r="AG1407" t="s">
        <v>1746</v>
      </c>
    </row>
    <row r="1408" spans="1:33" x14ac:dyDescent="0.3">
      <c r="A1408" t="s">
        <v>519</v>
      </c>
      <c r="B1408" s="2">
        <v>45290</v>
      </c>
      <c r="C1408">
        <v>1685.1573000000001</v>
      </c>
      <c r="D1408" t="s">
        <v>1809</v>
      </c>
      <c r="E1408">
        <v>59</v>
      </c>
      <c r="F1408" t="s">
        <v>9</v>
      </c>
      <c r="G1408" t="s">
        <v>1549</v>
      </c>
      <c r="H1408" t="s">
        <v>1737</v>
      </c>
      <c r="L1408" s="2">
        <v>45290</v>
      </c>
      <c r="M1408">
        <v>1685.1573000000001</v>
      </c>
      <c r="R1408" t="s">
        <v>1809</v>
      </c>
      <c r="S1408">
        <v>1685.1573000000001</v>
      </c>
      <c r="W1408" s="11" t="s">
        <v>9</v>
      </c>
      <c r="X1408" s="11" t="s">
        <v>1549</v>
      </c>
      <c r="Y1408">
        <v>1685.1573000000001</v>
      </c>
      <c r="AF1408">
        <v>1685.1573000000001</v>
      </c>
      <c r="AG1408" t="s">
        <v>1737</v>
      </c>
    </row>
    <row r="1409" spans="1:33" x14ac:dyDescent="0.3">
      <c r="A1409" t="s">
        <v>708</v>
      </c>
      <c r="B1409" s="2">
        <v>45638</v>
      </c>
      <c r="C1409">
        <v>660.11400000000003</v>
      </c>
      <c r="D1409" t="s">
        <v>1807</v>
      </c>
      <c r="E1409">
        <v>38</v>
      </c>
      <c r="F1409" t="s">
        <v>9</v>
      </c>
      <c r="G1409" t="s">
        <v>1530</v>
      </c>
      <c r="H1409" t="s">
        <v>1742</v>
      </c>
      <c r="L1409" s="2">
        <v>45638</v>
      </c>
      <c r="M1409">
        <v>660.11400000000003</v>
      </c>
      <c r="R1409" t="s">
        <v>1807</v>
      </c>
      <c r="S1409">
        <v>660.11400000000003</v>
      </c>
      <c r="W1409" s="12" t="s">
        <v>9</v>
      </c>
      <c r="X1409" s="12" t="s">
        <v>1530</v>
      </c>
      <c r="Y1409">
        <v>660.11400000000003</v>
      </c>
      <c r="AF1409">
        <v>660.11400000000003</v>
      </c>
      <c r="AG1409" t="s">
        <v>1742</v>
      </c>
    </row>
    <row r="1410" spans="1:33" x14ac:dyDescent="0.3">
      <c r="A1410" t="s">
        <v>457</v>
      </c>
      <c r="B1410" s="2">
        <v>45679</v>
      </c>
      <c r="C1410">
        <v>726.80000000000007</v>
      </c>
      <c r="D1410" t="s">
        <v>1812</v>
      </c>
      <c r="E1410">
        <v>29</v>
      </c>
      <c r="F1410" t="s">
        <v>9</v>
      </c>
      <c r="G1410" t="s">
        <v>1546</v>
      </c>
      <c r="H1410" t="s">
        <v>1746</v>
      </c>
      <c r="L1410" s="2">
        <v>45679</v>
      </c>
      <c r="M1410">
        <v>726.80000000000007</v>
      </c>
      <c r="R1410" t="s">
        <v>1812</v>
      </c>
      <c r="S1410">
        <v>726.80000000000007</v>
      </c>
      <c r="W1410" s="11" t="s">
        <v>9</v>
      </c>
      <c r="X1410" s="11" t="s">
        <v>1546</v>
      </c>
      <c r="Y1410">
        <v>726.80000000000007</v>
      </c>
      <c r="AF1410">
        <v>726.80000000000007</v>
      </c>
      <c r="AG1410" t="s">
        <v>1746</v>
      </c>
    </row>
    <row r="1411" spans="1:33" x14ac:dyDescent="0.3">
      <c r="A1411" t="s">
        <v>245</v>
      </c>
      <c r="B1411" s="2">
        <v>45296</v>
      </c>
      <c r="C1411">
        <v>1272.5920000000001</v>
      </c>
      <c r="D1411" t="s">
        <v>1812</v>
      </c>
      <c r="E1411">
        <v>24</v>
      </c>
      <c r="F1411" t="s">
        <v>16</v>
      </c>
      <c r="G1411" t="s">
        <v>1530</v>
      </c>
      <c r="H1411" t="s">
        <v>1742</v>
      </c>
      <c r="L1411" s="2">
        <v>45296</v>
      </c>
      <c r="M1411">
        <v>1272.5920000000001</v>
      </c>
      <c r="R1411" t="s">
        <v>1812</v>
      </c>
      <c r="S1411">
        <v>1272.5920000000001</v>
      </c>
      <c r="W1411" s="12" t="s">
        <v>16</v>
      </c>
      <c r="X1411" s="12" t="s">
        <v>1530</v>
      </c>
      <c r="Y1411">
        <v>1272.5920000000001</v>
      </c>
      <c r="AF1411">
        <v>1272.5920000000001</v>
      </c>
      <c r="AG1411" t="s">
        <v>1742</v>
      </c>
    </row>
    <row r="1412" spans="1:33" x14ac:dyDescent="0.3">
      <c r="A1412" t="s">
        <v>483</v>
      </c>
      <c r="B1412" s="2">
        <v>45760</v>
      </c>
      <c r="C1412">
        <v>542.57100000000003</v>
      </c>
      <c r="D1412" t="s">
        <v>1812</v>
      </c>
      <c r="E1412">
        <v>46</v>
      </c>
      <c r="F1412" t="s">
        <v>9</v>
      </c>
      <c r="G1412" t="s">
        <v>1527</v>
      </c>
      <c r="H1412" t="s">
        <v>1746</v>
      </c>
      <c r="L1412" s="2">
        <v>45760</v>
      </c>
      <c r="M1412">
        <v>542.57100000000003</v>
      </c>
      <c r="R1412" t="s">
        <v>1812</v>
      </c>
      <c r="S1412">
        <v>542.57100000000003</v>
      </c>
      <c r="W1412" s="11" t="s">
        <v>9</v>
      </c>
      <c r="X1412" s="11" t="s">
        <v>1527</v>
      </c>
      <c r="Y1412">
        <v>542.57100000000003</v>
      </c>
      <c r="AF1412">
        <v>542.57100000000003</v>
      </c>
      <c r="AG1412" t="s">
        <v>1746</v>
      </c>
    </row>
    <row r="1413" spans="1:33" x14ac:dyDescent="0.3">
      <c r="A1413" t="s">
        <v>1087</v>
      </c>
      <c r="B1413" s="2">
        <v>45603</v>
      </c>
      <c r="C1413">
        <v>411.71490000000011</v>
      </c>
      <c r="D1413" t="s">
        <v>1807</v>
      </c>
      <c r="E1413">
        <v>25</v>
      </c>
      <c r="F1413" t="s">
        <v>16</v>
      </c>
      <c r="G1413" t="s">
        <v>1527</v>
      </c>
      <c r="H1413" t="s">
        <v>1742</v>
      </c>
      <c r="L1413" s="2">
        <v>45603</v>
      </c>
      <c r="M1413">
        <v>411.71490000000011</v>
      </c>
      <c r="R1413" t="s">
        <v>1807</v>
      </c>
      <c r="S1413">
        <v>411.71490000000011</v>
      </c>
      <c r="W1413" s="12" t="s">
        <v>16</v>
      </c>
      <c r="X1413" s="12" t="s">
        <v>1527</v>
      </c>
      <c r="Y1413">
        <v>411.71490000000011</v>
      </c>
      <c r="AF1413">
        <v>411.71490000000011</v>
      </c>
      <c r="AG1413" t="s">
        <v>1742</v>
      </c>
    </row>
    <row r="1414" spans="1:33" x14ac:dyDescent="0.3">
      <c r="A1414" t="s">
        <v>540</v>
      </c>
      <c r="B1414" s="2">
        <v>45413</v>
      </c>
      <c r="C1414">
        <v>229.023</v>
      </c>
      <c r="D1414" t="s">
        <v>1807</v>
      </c>
      <c r="E1414">
        <v>39</v>
      </c>
      <c r="F1414" t="s">
        <v>16</v>
      </c>
      <c r="G1414" t="s">
        <v>1541</v>
      </c>
      <c r="H1414" t="s">
        <v>1737</v>
      </c>
      <c r="L1414" s="2">
        <v>45413</v>
      </c>
      <c r="M1414">
        <v>229.023</v>
      </c>
      <c r="R1414" t="s">
        <v>1807</v>
      </c>
      <c r="S1414">
        <v>229.023</v>
      </c>
      <c r="W1414" s="11" t="s">
        <v>16</v>
      </c>
      <c r="X1414" s="11" t="s">
        <v>1541</v>
      </c>
      <c r="Y1414">
        <v>229.023</v>
      </c>
      <c r="AF1414">
        <v>229.023</v>
      </c>
      <c r="AG1414" t="s">
        <v>1737</v>
      </c>
    </row>
    <row r="1415" spans="1:33" x14ac:dyDescent="0.3">
      <c r="A1415" t="s">
        <v>1285</v>
      </c>
      <c r="B1415" s="2">
        <v>45506</v>
      </c>
      <c r="C1415">
        <v>2234.7188000000001</v>
      </c>
      <c r="D1415" t="s">
        <v>1812</v>
      </c>
      <c r="E1415">
        <v>33</v>
      </c>
      <c r="F1415" t="s">
        <v>9</v>
      </c>
      <c r="G1415" t="s">
        <v>1530</v>
      </c>
      <c r="H1415" t="s">
        <v>1742</v>
      </c>
      <c r="L1415" s="2">
        <v>45506</v>
      </c>
      <c r="M1415">
        <v>2234.7188000000001</v>
      </c>
      <c r="R1415" t="s">
        <v>1812</v>
      </c>
      <c r="S1415">
        <v>2234.7188000000001</v>
      </c>
      <c r="W1415" s="12" t="s">
        <v>9</v>
      </c>
      <c r="X1415" s="12" t="s">
        <v>1530</v>
      </c>
      <c r="Y1415">
        <v>2234.7188000000001</v>
      </c>
      <c r="AF1415">
        <v>2234.7188000000001</v>
      </c>
      <c r="AG1415" t="s">
        <v>1742</v>
      </c>
    </row>
    <row r="1416" spans="1:33" x14ac:dyDescent="0.3">
      <c r="A1416" t="s">
        <v>1148</v>
      </c>
      <c r="B1416" s="2">
        <v>45394</v>
      </c>
      <c r="C1416">
        <v>1138.83</v>
      </c>
      <c r="D1416" t="s">
        <v>1812</v>
      </c>
      <c r="E1416">
        <v>28</v>
      </c>
      <c r="F1416" t="s">
        <v>9</v>
      </c>
      <c r="G1416" t="s">
        <v>1549</v>
      </c>
      <c r="H1416" t="s">
        <v>1742</v>
      </c>
      <c r="L1416" s="2">
        <v>45394</v>
      </c>
      <c r="M1416">
        <v>1138.83</v>
      </c>
      <c r="R1416" t="s">
        <v>1812</v>
      </c>
      <c r="S1416">
        <v>1138.83</v>
      </c>
      <c r="W1416" s="11" t="s">
        <v>9</v>
      </c>
      <c r="X1416" s="11" t="s">
        <v>1549</v>
      </c>
      <c r="Y1416">
        <v>1138.83</v>
      </c>
      <c r="AF1416">
        <v>1138.83</v>
      </c>
      <c r="AG1416" t="s">
        <v>1742</v>
      </c>
    </row>
    <row r="1417" spans="1:33" x14ac:dyDescent="0.3">
      <c r="A1417" t="s">
        <v>486</v>
      </c>
      <c r="B1417" s="2">
        <v>45755</v>
      </c>
      <c r="C1417">
        <v>1677.4903999999999</v>
      </c>
      <c r="D1417" t="s">
        <v>1812</v>
      </c>
      <c r="E1417">
        <v>32</v>
      </c>
      <c r="F1417" t="s">
        <v>16</v>
      </c>
      <c r="G1417" t="s">
        <v>1541</v>
      </c>
      <c r="H1417" t="s">
        <v>1742</v>
      </c>
      <c r="L1417" s="2">
        <v>45755</v>
      </c>
      <c r="M1417">
        <v>1677.4903999999999</v>
      </c>
      <c r="R1417" t="s">
        <v>1812</v>
      </c>
      <c r="S1417">
        <v>1677.4903999999999</v>
      </c>
      <c r="W1417" s="12" t="s">
        <v>16</v>
      </c>
      <c r="X1417" s="12" t="s">
        <v>1541</v>
      </c>
      <c r="Y1417">
        <v>1677.4903999999999</v>
      </c>
      <c r="AF1417">
        <v>1677.4903999999999</v>
      </c>
      <c r="AG1417" t="s">
        <v>1742</v>
      </c>
    </row>
    <row r="1418" spans="1:33" x14ac:dyDescent="0.3">
      <c r="A1418" t="s">
        <v>546</v>
      </c>
      <c r="B1418" s="2">
        <v>45473</v>
      </c>
      <c r="C1418">
        <v>599.58359999999993</v>
      </c>
      <c r="D1418" t="s">
        <v>1809</v>
      </c>
      <c r="E1418">
        <v>25</v>
      </c>
      <c r="F1418" t="s">
        <v>16</v>
      </c>
      <c r="G1418" t="s">
        <v>1541</v>
      </c>
      <c r="H1418" t="s">
        <v>1742</v>
      </c>
      <c r="L1418" s="2">
        <v>45473</v>
      </c>
      <c r="M1418">
        <v>599.58359999999993</v>
      </c>
      <c r="R1418" t="s">
        <v>1809</v>
      </c>
      <c r="S1418">
        <v>599.58359999999993</v>
      </c>
      <c r="W1418" s="11" t="s">
        <v>16</v>
      </c>
      <c r="X1418" s="11" t="s">
        <v>1541</v>
      </c>
      <c r="Y1418">
        <v>599.58359999999993</v>
      </c>
      <c r="AF1418">
        <v>599.58359999999993</v>
      </c>
      <c r="AG1418" t="s">
        <v>1742</v>
      </c>
    </row>
    <row r="1419" spans="1:33" x14ac:dyDescent="0.3">
      <c r="A1419" t="s">
        <v>219</v>
      </c>
      <c r="B1419" s="2">
        <v>45304</v>
      </c>
      <c r="C1419">
        <v>101.3886</v>
      </c>
      <c r="D1419" t="s">
        <v>1807</v>
      </c>
      <c r="E1419">
        <v>22</v>
      </c>
      <c r="F1419" t="s">
        <v>16</v>
      </c>
      <c r="G1419" t="s">
        <v>1530</v>
      </c>
      <c r="H1419" t="s">
        <v>1742</v>
      </c>
      <c r="L1419" s="2">
        <v>45304</v>
      </c>
      <c r="M1419">
        <v>101.3886</v>
      </c>
      <c r="R1419" t="s">
        <v>1807</v>
      </c>
      <c r="S1419">
        <v>101.3886</v>
      </c>
      <c r="W1419" s="12" t="s">
        <v>16</v>
      </c>
      <c r="X1419" s="12" t="s">
        <v>1530</v>
      </c>
      <c r="Y1419">
        <v>101.3886</v>
      </c>
      <c r="AF1419">
        <v>101.3886</v>
      </c>
      <c r="AG1419" t="s">
        <v>1742</v>
      </c>
    </row>
    <row r="1420" spans="1:33" x14ac:dyDescent="0.3">
      <c r="A1420" t="s">
        <v>276</v>
      </c>
      <c r="B1420" s="2">
        <v>45557</v>
      </c>
      <c r="C1420">
        <v>3316.16</v>
      </c>
      <c r="D1420" t="s">
        <v>1809</v>
      </c>
      <c r="E1420">
        <v>29</v>
      </c>
      <c r="F1420" t="s">
        <v>9</v>
      </c>
      <c r="G1420" t="s">
        <v>1546</v>
      </c>
      <c r="H1420" t="s">
        <v>1742</v>
      </c>
      <c r="L1420" s="2">
        <v>45557</v>
      </c>
      <c r="M1420">
        <v>3316.16</v>
      </c>
      <c r="R1420" t="s">
        <v>1809</v>
      </c>
      <c r="S1420">
        <v>3316.16</v>
      </c>
      <c r="W1420" s="11" t="s">
        <v>9</v>
      </c>
      <c r="X1420" s="11" t="s">
        <v>1546</v>
      </c>
      <c r="Y1420">
        <v>3316.16</v>
      </c>
      <c r="AF1420">
        <v>3316.16</v>
      </c>
      <c r="AG1420" t="s">
        <v>1742</v>
      </c>
    </row>
    <row r="1421" spans="1:33" x14ac:dyDescent="0.3">
      <c r="A1421" t="s">
        <v>157</v>
      </c>
      <c r="B1421" s="2">
        <v>45527</v>
      </c>
      <c r="C1421">
        <v>125.8888</v>
      </c>
      <c r="D1421" t="s">
        <v>1809</v>
      </c>
      <c r="E1421">
        <v>21</v>
      </c>
      <c r="F1421" t="s">
        <v>9</v>
      </c>
      <c r="G1421" t="s">
        <v>1541</v>
      </c>
      <c r="H1421" t="s">
        <v>1746</v>
      </c>
      <c r="L1421" s="2">
        <v>45527</v>
      </c>
      <c r="M1421">
        <v>125.8888</v>
      </c>
      <c r="R1421" t="s">
        <v>1809</v>
      </c>
      <c r="S1421">
        <v>125.8888</v>
      </c>
      <c r="W1421" s="12" t="s">
        <v>9</v>
      </c>
      <c r="X1421" s="12" t="s">
        <v>1541</v>
      </c>
      <c r="Y1421">
        <v>125.8888</v>
      </c>
      <c r="AF1421">
        <v>125.8888</v>
      </c>
      <c r="AG1421" t="s">
        <v>1746</v>
      </c>
    </row>
    <row r="1422" spans="1:33" x14ac:dyDescent="0.3">
      <c r="A1422" t="s">
        <v>507</v>
      </c>
      <c r="B1422" s="2">
        <v>45875</v>
      </c>
      <c r="C1422">
        <v>1023.33</v>
      </c>
      <c r="D1422" t="s">
        <v>1807</v>
      </c>
      <c r="E1422">
        <v>31</v>
      </c>
      <c r="F1422" t="s">
        <v>9</v>
      </c>
      <c r="G1422" t="s">
        <v>1530</v>
      </c>
      <c r="H1422" t="s">
        <v>1742</v>
      </c>
      <c r="L1422" s="2">
        <v>45875</v>
      </c>
      <c r="M1422">
        <v>1023.33</v>
      </c>
      <c r="R1422" t="s">
        <v>1807</v>
      </c>
      <c r="S1422">
        <v>1023.33</v>
      </c>
      <c r="W1422" s="11" t="s">
        <v>9</v>
      </c>
      <c r="X1422" s="11" t="s">
        <v>1530</v>
      </c>
      <c r="Y1422">
        <v>1023.33</v>
      </c>
      <c r="AF1422">
        <v>1023.33</v>
      </c>
      <c r="AG1422" t="s">
        <v>1742</v>
      </c>
    </row>
    <row r="1423" spans="1:33" x14ac:dyDescent="0.3">
      <c r="A1423" t="s">
        <v>1148</v>
      </c>
      <c r="B1423" s="2">
        <v>45936</v>
      </c>
      <c r="C1423">
        <v>1984.7356</v>
      </c>
      <c r="D1423" t="s">
        <v>1807</v>
      </c>
      <c r="E1423">
        <v>28</v>
      </c>
      <c r="F1423" t="s">
        <v>9</v>
      </c>
      <c r="G1423" t="s">
        <v>1549</v>
      </c>
      <c r="H1423" t="s">
        <v>1742</v>
      </c>
      <c r="L1423" s="2">
        <v>45936</v>
      </c>
      <c r="M1423">
        <v>1984.7356</v>
      </c>
      <c r="R1423" t="s">
        <v>1807</v>
      </c>
      <c r="S1423">
        <v>1984.7356</v>
      </c>
      <c r="W1423" s="12" t="s">
        <v>9</v>
      </c>
      <c r="X1423" s="12" t="s">
        <v>1549</v>
      </c>
      <c r="Y1423">
        <v>1984.7356</v>
      </c>
      <c r="AF1423">
        <v>1984.7356</v>
      </c>
      <c r="AG1423" t="s">
        <v>1742</v>
      </c>
    </row>
    <row r="1424" spans="1:33" x14ac:dyDescent="0.3">
      <c r="A1424" t="s">
        <v>3948</v>
      </c>
      <c r="B1424" s="2">
        <v>45807</v>
      </c>
      <c r="C1424">
        <v>713.4</v>
      </c>
      <c r="D1424" t="s">
        <v>1812</v>
      </c>
      <c r="E1424">
        <v>54</v>
      </c>
      <c r="F1424" t="s">
        <v>9</v>
      </c>
      <c r="G1424" t="s">
        <v>1546</v>
      </c>
      <c r="H1424" t="s">
        <v>1742</v>
      </c>
      <c r="L1424" s="2">
        <v>45807</v>
      </c>
      <c r="M1424">
        <v>713.4</v>
      </c>
      <c r="R1424" t="s">
        <v>1812</v>
      </c>
      <c r="S1424">
        <v>713.4</v>
      </c>
      <c r="W1424" s="11" t="s">
        <v>9</v>
      </c>
      <c r="X1424" s="11" t="s">
        <v>1546</v>
      </c>
      <c r="Y1424">
        <v>713.4</v>
      </c>
      <c r="AF1424">
        <v>713.4</v>
      </c>
      <c r="AG1424" t="s">
        <v>1742</v>
      </c>
    </row>
    <row r="1425" spans="1:33" x14ac:dyDescent="0.3">
      <c r="A1425" t="s">
        <v>957</v>
      </c>
      <c r="B1425" s="2">
        <v>45473</v>
      </c>
      <c r="C1425">
        <v>1249.5006000000001</v>
      </c>
      <c r="D1425" t="s">
        <v>1812</v>
      </c>
      <c r="E1425">
        <v>56</v>
      </c>
      <c r="F1425" t="s">
        <v>16</v>
      </c>
      <c r="G1425" t="s">
        <v>1541</v>
      </c>
      <c r="H1425" t="s">
        <v>1742</v>
      </c>
      <c r="L1425" s="2">
        <v>45473</v>
      </c>
      <c r="M1425">
        <v>1249.5006000000001</v>
      </c>
      <c r="R1425" t="s">
        <v>1812</v>
      </c>
      <c r="S1425">
        <v>1249.5006000000001</v>
      </c>
      <c r="W1425" s="12" t="s">
        <v>16</v>
      </c>
      <c r="X1425" s="12" t="s">
        <v>1541</v>
      </c>
      <c r="Y1425">
        <v>1249.5006000000001</v>
      </c>
      <c r="AF1425">
        <v>1249.5006000000001</v>
      </c>
      <c r="AG1425" t="s">
        <v>1742</v>
      </c>
    </row>
    <row r="1426" spans="1:33" x14ac:dyDescent="0.3">
      <c r="A1426" t="s">
        <v>41</v>
      </c>
      <c r="B1426" s="2">
        <v>45664</v>
      </c>
      <c r="C1426">
        <v>340.06259999999997</v>
      </c>
      <c r="D1426" t="s">
        <v>1812</v>
      </c>
      <c r="E1426">
        <v>53</v>
      </c>
      <c r="F1426" t="s">
        <v>16</v>
      </c>
      <c r="G1426" t="s">
        <v>1546</v>
      </c>
      <c r="H1426" t="s">
        <v>1742</v>
      </c>
      <c r="L1426" s="2">
        <v>45664</v>
      </c>
      <c r="M1426">
        <v>340.06259999999997</v>
      </c>
      <c r="R1426" t="s">
        <v>1812</v>
      </c>
      <c r="S1426">
        <v>340.06259999999997</v>
      </c>
      <c r="W1426" s="11" t="s">
        <v>16</v>
      </c>
      <c r="X1426" s="11" t="s">
        <v>1546</v>
      </c>
      <c r="Y1426">
        <v>340.06259999999997</v>
      </c>
      <c r="AF1426">
        <v>340.06259999999997</v>
      </c>
      <c r="AG1426" t="s">
        <v>1742</v>
      </c>
    </row>
    <row r="1427" spans="1:33" x14ac:dyDescent="0.3">
      <c r="A1427" t="s">
        <v>1087</v>
      </c>
      <c r="B1427" s="2">
        <v>45633</v>
      </c>
      <c r="C1427">
        <v>1171.2288000000001</v>
      </c>
      <c r="D1427" t="s">
        <v>1807</v>
      </c>
      <c r="E1427">
        <v>25</v>
      </c>
      <c r="F1427" t="s">
        <v>16</v>
      </c>
      <c r="G1427" t="s">
        <v>1530</v>
      </c>
      <c r="H1427" t="s">
        <v>1742</v>
      </c>
      <c r="L1427" s="2">
        <v>45633</v>
      </c>
      <c r="M1427">
        <v>1171.2288000000001</v>
      </c>
      <c r="R1427" t="s">
        <v>1807</v>
      </c>
      <c r="S1427">
        <v>1171.2288000000001</v>
      </c>
      <c r="W1427" s="12" t="s">
        <v>16</v>
      </c>
      <c r="X1427" s="12" t="s">
        <v>1530</v>
      </c>
      <c r="Y1427">
        <v>1171.2288000000001</v>
      </c>
      <c r="AF1427">
        <v>1171.2288000000001</v>
      </c>
      <c r="AG1427" t="s">
        <v>1742</v>
      </c>
    </row>
    <row r="1428" spans="1:33" x14ac:dyDescent="0.3">
      <c r="A1428" t="s">
        <v>673</v>
      </c>
      <c r="B1428" s="2">
        <v>45548</v>
      </c>
      <c r="C1428">
        <v>728.12040000000002</v>
      </c>
      <c r="D1428" t="s">
        <v>1812</v>
      </c>
      <c r="E1428">
        <v>35</v>
      </c>
      <c r="F1428" t="s">
        <v>9</v>
      </c>
      <c r="G1428" t="s">
        <v>1530</v>
      </c>
      <c r="H1428" t="s">
        <v>1742</v>
      </c>
      <c r="L1428" s="2">
        <v>45548</v>
      </c>
      <c r="M1428">
        <v>728.12040000000002</v>
      </c>
      <c r="R1428" t="s">
        <v>1812</v>
      </c>
      <c r="S1428">
        <v>728.12040000000002</v>
      </c>
      <c r="W1428" s="11" t="s">
        <v>9</v>
      </c>
      <c r="X1428" s="11" t="s">
        <v>1530</v>
      </c>
      <c r="Y1428">
        <v>728.12040000000002</v>
      </c>
      <c r="AF1428">
        <v>728.12040000000002</v>
      </c>
      <c r="AG1428" t="s">
        <v>1742</v>
      </c>
    </row>
    <row r="1429" spans="1:33" x14ac:dyDescent="0.3">
      <c r="A1429" t="s">
        <v>1199</v>
      </c>
      <c r="B1429" s="2">
        <v>45244</v>
      </c>
      <c r="C1429">
        <v>2107.4004</v>
      </c>
      <c r="D1429" t="s">
        <v>1807</v>
      </c>
      <c r="E1429">
        <v>50</v>
      </c>
      <c r="F1429" t="s">
        <v>9</v>
      </c>
      <c r="G1429" t="s">
        <v>1546</v>
      </c>
      <c r="H1429" t="s">
        <v>1742</v>
      </c>
      <c r="L1429" s="2">
        <v>45244</v>
      </c>
      <c r="M1429">
        <v>2107.4004</v>
      </c>
      <c r="R1429" t="s">
        <v>1807</v>
      </c>
      <c r="S1429">
        <v>2107.4004</v>
      </c>
      <c r="W1429" s="12" t="s">
        <v>9</v>
      </c>
      <c r="X1429" s="12" t="s">
        <v>1546</v>
      </c>
      <c r="Y1429">
        <v>2107.4004</v>
      </c>
      <c r="AF1429">
        <v>2107.4004</v>
      </c>
      <c r="AG1429" t="s">
        <v>1742</v>
      </c>
    </row>
    <row r="1430" spans="1:33" x14ac:dyDescent="0.3">
      <c r="A1430" t="s">
        <v>635</v>
      </c>
      <c r="B1430" s="2">
        <v>45753</v>
      </c>
      <c r="C1430">
        <v>1818.4914000000001</v>
      </c>
      <c r="D1430" t="s">
        <v>1812</v>
      </c>
      <c r="E1430">
        <v>18</v>
      </c>
      <c r="F1430" t="s">
        <v>16</v>
      </c>
      <c r="G1430" t="s">
        <v>1527</v>
      </c>
      <c r="H1430" t="s">
        <v>1742</v>
      </c>
      <c r="L1430" s="2">
        <v>45753</v>
      </c>
      <c r="M1430">
        <v>1818.4914000000001</v>
      </c>
      <c r="R1430" t="s">
        <v>1812</v>
      </c>
      <c r="S1430">
        <v>1818.4914000000001</v>
      </c>
      <c r="W1430" s="11" t="s">
        <v>16</v>
      </c>
      <c r="X1430" s="11" t="s">
        <v>1527</v>
      </c>
      <c r="Y1430">
        <v>1818.4914000000001</v>
      </c>
      <c r="AF1430">
        <v>1818.4914000000001</v>
      </c>
      <c r="AG1430" t="s">
        <v>1742</v>
      </c>
    </row>
    <row r="1431" spans="1:33" x14ac:dyDescent="0.3">
      <c r="A1431" t="s">
        <v>780</v>
      </c>
      <c r="B1431" s="2">
        <v>45804</v>
      </c>
      <c r="C1431">
        <v>1283.2403999999999</v>
      </c>
      <c r="D1431" t="s">
        <v>1809</v>
      </c>
      <c r="E1431">
        <v>58</v>
      </c>
      <c r="F1431" t="s">
        <v>9</v>
      </c>
      <c r="G1431" t="s">
        <v>1541</v>
      </c>
      <c r="H1431" t="s">
        <v>1742</v>
      </c>
      <c r="L1431" s="2">
        <v>45804</v>
      </c>
      <c r="M1431">
        <v>1283.2403999999999</v>
      </c>
      <c r="R1431" t="s">
        <v>1809</v>
      </c>
      <c r="S1431">
        <v>1283.2403999999999</v>
      </c>
      <c r="W1431" s="12" t="s">
        <v>9</v>
      </c>
      <c r="X1431" s="12" t="s">
        <v>1541</v>
      </c>
      <c r="Y1431">
        <v>1283.2403999999999</v>
      </c>
      <c r="AF1431">
        <v>1283.2403999999999</v>
      </c>
      <c r="AG1431" t="s">
        <v>1742</v>
      </c>
    </row>
    <row r="1432" spans="1:33" x14ac:dyDescent="0.3">
      <c r="A1432" t="s">
        <v>714</v>
      </c>
      <c r="B1432" s="2">
        <v>45263</v>
      </c>
      <c r="C1432">
        <v>323.56099999999998</v>
      </c>
      <c r="D1432" t="s">
        <v>1809</v>
      </c>
      <c r="E1432">
        <v>50</v>
      </c>
      <c r="F1432" t="s">
        <v>9</v>
      </c>
      <c r="G1432" t="s">
        <v>1527</v>
      </c>
      <c r="H1432" t="s">
        <v>1746</v>
      </c>
      <c r="L1432" s="2">
        <v>45263</v>
      </c>
      <c r="M1432">
        <v>323.56099999999998</v>
      </c>
      <c r="R1432" t="s">
        <v>1809</v>
      </c>
      <c r="S1432">
        <v>323.56099999999998</v>
      </c>
      <c r="W1432" s="11" t="s">
        <v>9</v>
      </c>
      <c r="X1432" s="11" t="s">
        <v>1527</v>
      </c>
      <c r="Y1432">
        <v>323.56099999999998</v>
      </c>
      <c r="AF1432">
        <v>323.56099999999998</v>
      </c>
      <c r="AG1432" t="s">
        <v>1746</v>
      </c>
    </row>
    <row r="1433" spans="1:33" x14ac:dyDescent="0.3">
      <c r="A1433" t="s">
        <v>1368</v>
      </c>
      <c r="B1433" s="2">
        <v>45906</v>
      </c>
      <c r="C1433">
        <v>339.42459999999988</v>
      </c>
      <c r="D1433" t="s">
        <v>1809</v>
      </c>
      <c r="E1433">
        <v>64</v>
      </c>
      <c r="F1433" t="s">
        <v>16</v>
      </c>
      <c r="G1433" t="s">
        <v>1546</v>
      </c>
      <c r="H1433" t="s">
        <v>1742</v>
      </c>
      <c r="L1433" s="2">
        <v>45906</v>
      </c>
      <c r="M1433">
        <v>339.42459999999988</v>
      </c>
      <c r="R1433" t="s">
        <v>1809</v>
      </c>
      <c r="S1433">
        <v>339.42459999999988</v>
      </c>
      <c r="W1433" s="12" t="s">
        <v>16</v>
      </c>
      <c r="X1433" s="12" t="s">
        <v>1546</v>
      </c>
      <c r="Y1433">
        <v>339.42459999999988</v>
      </c>
      <c r="AF1433">
        <v>339.42459999999988</v>
      </c>
      <c r="AG1433" t="s">
        <v>1742</v>
      </c>
    </row>
    <row r="1434" spans="1:33" x14ac:dyDescent="0.3">
      <c r="A1434" t="s">
        <v>1184</v>
      </c>
      <c r="B1434" s="2">
        <v>45243</v>
      </c>
      <c r="C1434">
        <v>172.76669999999999</v>
      </c>
      <c r="D1434" t="s">
        <v>1809</v>
      </c>
      <c r="E1434">
        <v>52</v>
      </c>
      <c r="F1434" t="s">
        <v>16</v>
      </c>
      <c r="G1434" t="s">
        <v>1549</v>
      </c>
      <c r="H1434" t="s">
        <v>1742</v>
      </c>
      <c r="L1434" s="2">
        <v>45243</v>
      </c>
      <c r="M1434">
        <v>172.76669999999999</v>
      </c>
      <c r="R1434" t="s">
        <v>1809</v>
      </c>
      <c r="S1434">
        <v>172.76669999999999</v>
      </c>
      <c r="W1434" s="11" t="s">
        <v>16</v>
      </c>
      <c r="X1434" s="11" t="s">
        <v>1549</v>
      </c>
      <c r="Y1434">
        <v>172.76669999999999</v>
      </c>
      <c r="AF1434">
        <v>172.76669999999999</v>
      </c>
      <c r="AG1434" t="s">
        <v>1742</v>
      </c>
    </row>
    <row r="1435" spans="1:33" x14ac:dyDescent="0.3">
      <c r="A1435" t="s">
        <v>144</v>
      </c>
      <c r="B1435" s="2">
        <v>45686</v>
      </c>
      <c r="C1435">
        <v>1974.2418</v>
      </c>
      <c r="D1435" t="s">
        <v>1812</v>
      </c>
      <c r="E1435">
        <v>27</v>
      </c>
      <c r="F1435" t="s">
        <v>16</v>
      </c>
      <c r="G1435" t="s">
        <v>1546</v>
      </c>
      <c r="H1435" t="s">
        <v>1742</v>
      </c>
      <c r="L1435" s="2">
        <v>45686</v>
      </c>
      <c r="M1435">
        <v>1974.2418</v>
      </c>
      <c r="R1435" t="s">
        <v>1812</v>
      </c>
      <c r="S1435">
        <v>1974.2418</v>
      </c>
      <c r="W1435" s="12" t="s">
        <v>16</v>
      </c>
      <c r="X1435" s="12" t="s">
        <v>1546</v>
      </c>
      <c r="Y1435">
        <v>1974.2418</v>
      </c>
      <c r="AF1435">
        <v>1974.2418</v>
      </c>
      <c r="AG1435" t="s">
        <v>1742</v>
      </c>
    </row>
    <row r="1436" spans="1:33" x14ac:dyDescent="0.3">
      <c r="A1436" t="s">
        <v>774</v>
      </c>
      <c r="B1436" s="2">
        <v>45472</v>
      </c>
      <c r="C1436">
        <v>971.39200000000005</v>
      </c>
      <c r="D1436" t="s">
        <v>1812</v>
      </c>
      <c r="E1436">
        <v>19</v>
      </c>
      <c r="F1436" t="s">
        <v>9</v>
      </c>
      <c r="G1436" t="s">
        <v>1541</v>
      </c>
      <c r="H1436" t="s">
        <v>1742</v>
      </c>
      <c r="L1436" s="2">
        <v>45472</v>
      </c>
      <c r="M1436">
        <v>971.39200000000005</v>
      </c>
      <c r="R1436" t="s">
        <v>1812</v>
      </c>
      <c r="S1436">
        <v>971.39200000000005</v>
      </c>
      <c r="W1436" s="11" t="s">
        <v>9</v>
      </c>
      <c r="X1436" s="11" t="s">
        <v>1541</v>
      </c>
      <c r="Y1436">
        <v>971.39200000000005</v>
      </c>
      <c r="AF1436">
        <v>971.39200000000005</v>
      </c>
      <c r="AG1436" t="s">
        <v>1742</v>
      </c>
    </row>
    <row r="1437" spans="1:33" x14ac:dyDescent="0.3">
      <c r="A1437" t="s">
        <v>1356</v>
      </c>
      <c r="B1437" s="2">
        <v>45779</v>
      </c>
      <c r="C1437">
        <v>519.15329999999994</v>
      </c>
      <c r="D1437" t="s">
        <v>1809</v>
      </c>
      <c r="E1437">
        <v>19</v>
      </c>
      <c r="F1437" t="s">
        <v>9</v>
      </c>
      <c r="G1437" t="s">
        <v>1527</v>
      </c>
      <c r="H1437" t="s">
        <v>1737</v>
      </c>
      <c r="L1437" s="2">
        <v>45779</v>
      </c>
      <c r="M1437">
        <v>519.15329999999994</v>
      </c>
      <c r="R1437" t="s">
        <v>1809</v>
      </c>
      <c r="S1437">
        <v>519.15329999999994</v>
      </c>
      <c r="W1437" s="12" t="s">
        <v>9</v>
      </c>
      <c r="X1437" s="12" t="s">
        <v>1527</v>
      </c>
      <c r="Y1437">
        <v>519.15329999999994</v>
      </c>
      <c r="AF1437">
        <v>519.15329999999994</v>
      </c>
      <c r="AG1437" t="s">
        <v>1737</v>
      </c>
    </row>
    <row r="1438" spans="1:33" x14ac:dyDescent="0.3">
      <c r="A1438" t="s">
        <v>571</v>
      </c>
      <c r="B1438" s="2">
        <v>45830</v>
      </c>
      <c r="C1438">
        <v>953.55000000000007</v>
      </c>
      <c r="D1438" t="s">
        <v>1807</v>
      </c>
      <c r="E1438">
        <v>56</v>
      </c>
      <c r="F1438" t="s">
        <v>9</v>
      </c>
      <c r="G1438" t="s">
        <v>1527</v>
      </c>
      <c r="H1438" t="s">
        <v>1742</v>
      </c>
      <c r="L1438" s="2">
        <v>45830</v>
      </c>
      <c r="M1438">
        <v>953.55000000000007</v>
      </c>
      <c r="R1438" t="s">
        <v>1807</v>
      </c>
      <c r="S1438">
        <v>953.55000000000007</v>
      </c>
      <c r="W1438" s="11" t="s">
        <v>9</v>
      </c>
      <c r="X1438" s="11" t="s">
        <v>1527</v>
      </c>
      <c r="Y1438">
        <v>953.55000000000007</v>
      </c>
      <c r="AF1438">
        <v>953.55000000000007</v>
      </c>
      <c r="AG1438" t="s">
        <v>1742</v>
      </c>
    </row>
    <row r="1439" spans="1:33" x14ac:dyDescent="0.3">
      <c r="A1439" t="s">
        <v>1407</v>
      </c>
      <c r="B1439" s="2">
        <v>45756</v>
      </c>
      <c r="C1439">
        <v>165.84469999999999</v>
      </c>
      <c r="D1439" t="s">
        <v>1807</v>
      </c>
      <c r="E1439">
        <v>34</v>
      </c>
      <c r="F1439" t="s">
        <v>16</v>
      </c>
      <c r="G1439" t="s">
        <v>1541</v>
      </c>
      <c r="H1439" t="s">
        <v>1742</v>
      </c>
      <c r="L1439" s="2">
        <v>45756</v>
      </c>
      <c r="M1439">
        <v>165.84469999999999</v>
      </c>
      <c r="R1439" t="s">
        <v>1807</v>
      </c>
      <c r="S1439">
        <v>165.84469999999999</v>
      </c>
      <c r="W1439" s="12" t="s">
        <v>16</v>
      </c>
      <c r="X1439" s="12" t="s">
        <v>1541</v>
      </c>
      <c r="Y1439">
        <v>165.84469999999999</v>
      </c>
      <c r="AF1439">
        <v>165.84469999999999</v>
      </c>
      <c r="AG1439" t="s">
        <v>1742</v>
      </c>
    </row>
    <row r="1440" spans="1:33" x14ac:dyDescent="0.3">
      <c r="A1440" t="s">
        <v>383</v>
      </c>
      <c r="B1440" s="2">
        <v>45847</v>
      </c>
      <c r="C1440">
        <v>297.28919999999999</v>
      </c>
      <c r="D1440" t="s">
        <v>1809</v>
      </c>
      <c r="E1440">
        <v>18</v>
      </c>
      <c r="F1440" t="s">
        <v>16</v>
      </c>
      <c r="G1440" t="s">
        <v>1527</v>
      </c>
      <c r="H1440" t="s">
        <v>1742</v>
      </c>
      <c r="L1440" s="2">
        <v>45847</v>
      </c>
      <c r="M1440">
        <v>297.28919999999999</v>
      </c>
      <c r="R1440" t="s">
        <v>1809</v>
      </c>
      <c r="S1440">
        <v>297.28919999999999</v>
      </c>
      <c r="W1440" s="11" t="s">
        <v>16</v>
      </c>
      <c r="X1440" s="11" t="s">
        <v>1527</v>
      </c>
      <c r="Y1440">
        <v>297.28919999999999</v>
      </c>
      <c r="AF1440">
        <v>297.28919999999999</v>
      </c>
      <c r="AG1440" t="s">
        <v>1742</v>
      </c>
    </row>
    <row r="1441" spans="1:33" x14ac:dyDescent="0.3">
      <c r="A1441" t="s">
        <v>915</v>
      </c>
      <c r="B1441" s="2">
        <v>45322</v>
      </c>
      <c r="C1441">
        <v>1523.124</v>
      </c>
      <c r="D1441" t="s">
        <v>1812</v>
      </c>
      <c r="E1441">
        <v>30</v>
      </c>
      <c r="F1441" t="s">
        <v>9</v>
      </c>
      <c r="G1441" t="s">
        <v>1546</v>
      </c>
      <c r="H1441" t="s">
        <v>1746</v>
      </c>
      <c r="L1441" s="2">
        <v>45322</v>
      </c>
      <c r="M1441">
        <v>1523.124</v>
      </c>
      <c r="R1441" t="s">
        <v>1812</v>
      </c>
      <c r="S1441">
        <v>1523.124</v>
      </c>
      <c r="W1441" s="12" t="s">
        <v>9</v>
      </c>
      <c r="X1441" s="12" t="s">
        <v>1546</v>
      </c>
      <c r="Y1441">
        <v>1523.124</v>
      </c>
      <c r="AF1441">
        <v>1523.124</v>
      </c>
      <c r="AG1441" t="s">
        <v>1746</v>
      </c>
    </row>
    <row r="1442" spans="1:33" x14ac:dyDescent="0.3">
      <c r="A1442" t="s">
        <v>1098</v>
      </c>
      <c r="B1442" s="2">
        <v>45829</v>
      </c>
      <c r="C1442">
        <v>730.19159999999999</v>
      </c>
      <c r="D1442" t="s">
        <v>1812</v>
      </c>
      <c r="E1442">
        <v>20</v>
      </c>
      <c r="F1442" t="s">
        <v>9</v>
      </c>
      <c r="G1442" t="s">
        <v>1527</v>
      </c>
      <c r="H1442" t="s">
        <v>1742</v>
      </c>
      <c r="L1442" s="2">
        <v>45829</v>
      </c>
      <c r="M1442">
        <v>730.19159999999999</v>
      </c>
      <c r="R1442" t="s">
        <v>1812</v>
      </c>
      <c r="S1442">
        <v>730.19159999999999</v>
      </c>
      <c r="W1442" s="11" t="s">
        <v>9</v>
      </c>
      <c r="X1442" s="11" t="s">
        <v>1527</v>
      </c>
      <c r="Y1442">
        <v>730.19159999999999</v>
      </c>
      <c r="AF1442">
        <v>730.19159999999999</v>
      </c>
      <c r="AG1442" t="s">
        <v>1742</v>
      </c>
    </row>
    <row r="1443" spans="1:33" x14ac:dyDescent="0.3">
      <c r="A1443" t="s">
        <v>818</v>
      </c>
      <c r="B1443" s="2">
        <v>45539</v>
      </c>
      <c r="C1443">
        <v>1657.5455999999999</v>
      </c>
      <c r="D1443" t="s">
        <v>1812</v>
      </c>
      <c r="E1443">
        <v>32</v>
      </c>
      <c r="F1443" t="s">
        <v>16</v>
      </c>
      <c r="G1443" t="s">
        <v>1549</v>
      </c>
      <c r="H1443" t="s">
        <v>1742</v>
      </c>
      <c r="L1443" s="2">
        <v>45539</v>
      </c>
      <c r="M1443">
        <v>1657.5455999999999</v>
      </c>
      <c r="R1443" t="s">
        <v>1812</v>
      </c>
      <c r="S1443">
        <v>1657.5455999999999</v>
      </c>
      <c r="W1443" s="12" t="s">
        <v>16</v>
      </c>
      <c r="X1443" s="12" t="s">
        <v>1549</v>
      </c>
      <c r="Y1443">
        <v>1657.5455999999999</v>
      </c>
      <c r="AF1443">
        <v>1657.5455999999999</v>
      </c>
      <c r="AG1443" t="s">
        <v>1742</v>
      </c>
    </row>
    <row r="1444" spans="1:33" x14ac:dyDescent="0.3">
      <c r="A1444" t="s">
        <v>519</v>
      </c>
      <c r="B1444" s="2">
        <v>45893</v>
      </c>
      <c r="C1444">
        <v>3228.8760000000002</v>
      </c>
      <c r="D1444" t="s">
        <v>1807</v>
      </c>
      <c r="E1444">
        <v>59</v>
      </c>
      <c r="F1444" t="s">
        <v>9</v>
      </c>
      <c r="G1444" t="s">
        <v>1546</v>
      </c>
      <c r="H1444" t="s">
        <v>1746</v>
      </c>
      <c r="L1444" s="2">
        <v>45893</v>
      </c>
      <c r="M1444">
        <v>3228.8760000000002</v>
      </c>
      <c r="R1444" t="s">
        <v>1807</v>
      </c>
      <c r="S1444">
        <v>3228.8760000000002</v>
      </c>
      <c r="W1444" s="11" t="s">
        <v>9</v>
      </c>
      <c r="X1444" s="11" t="s">
        <v>1546</v>
      </c>
      <c r="Y1444">
        <v>3228.8760000000002</v>
      </c>
      <c r="AF1444">
        <v>3228.8760000000002</v>
      </c>
      <c r="AG1444" t="s">
        <v>1746</v>
      </c>
    </row>
    <row r="1445" spans="1:33" x14ac:dyDescent="0.3">
      <c r="A1445" t="s">
        <v>1476</v>
      </c>
      <c r="B1445" s="2">
        <v>45814</v>
      </c>
      <c r="C1445">
        <v>1426.6980000000001</v>
      </c>
      <c r="D1445" t="s">
        <v>1812</v>
      </c>
      <c r="E1445">
        <v>22</v>
      </c>
      <c r="F1445" t="s">
        <v>16</v>
      </c>
      <c r="G1445" t="s">
        <v>1549</v>
      </c>
      <c r="H1445" t="s">
        <v>1742</v>
      </c>
      <c r="L1445" s="2">
        <v>45814</v>
      </c>
      <c r="M1445">
        <v>1426.6980000000001</v>
      </c>
      <c r="R1445" t="s">
        <v>1812</v>
      </c>
      <c r="S1445">
        <v>1426.6980000000001</v>
      </c>
      <c r="W1445" s="12" t="s">
        <v>16</v>
      </c>
      <c r="X1445" s="12" t="s">
        <v>1549</v>
      </c>
      <c r="Y1445">
        <v>1426.6980000000001</v>
      </c>
      <c r="AF1445">
        <v>1426.6980000000001</v>
      </c>
      <c r="AG1445" t="s">
        <v>1742</v>
      </c>
    </row>
    <row r="1446" spans="1:33" x14ac:dyDescent="0.3">
      <c r="A1446" t="s">
        <v>76</v>
      </c>
      <c r="B1446" s="2">
        <v>45571</v>
      </c>
      <c r="C1446">
        <v>1450.89</v>
      </c>
      <c r="D1446" t="s">
        <v>1807</v>
      </c>
      <c r="E1446">
        <v>60</v>
      </c>
      <c r="F1446" t="s">
        <v>16</v>
      </c>
      <c r="G1446" t="s">
        <v>1527</v>
      </c>
      <c r="H1446" t="s">
        <v>1742</v>
      </c>
      <c r="L1446" s="2">
        <v>45571</v>
      </c>
      <c r="M1446">
        <v>1450.89</v>
      </c>
      <c r="R1446" t="s">
        <v>1807</v>
      </c>
      <c r="S1446">
        <v>1450.89</v>
      </c>
      <c r="W1446" s="11" t="s">
        <v>16</v>
      </c>
      <c r="X1446" s="11" t="s">
        <v>1527</v>
      </c>
      <c r="Y1446">
        <v>1450.89</v>
      </c>
      <c r="AF1446">
        <v>1450.89</v>
      </c>
      <c r="AG1446" t="s">
        <v>1742</v>
      </c>
    </row>
    <row r="1447" spans="1:33" x14ac:dyDescent="0.3">
      <c r="A1447" t="s">
        <v>125</v>
      </c>
      <c r="B1447" s="2">
        <v>45542</v>
      </c>
      <c r="C1447">
        <v>360.85559999999998</v>
      </c>
      <c r="D1447" t="s">
        <v>1812</v>
      </c>
      <c r="E1447">
        <v>41</v>
      </c>
      <c r="F1447" t="s">
        <v>9</v>
      </c>
      <c r="G1447" t="s">
        <v>1546</v>
      </c>
      <c r="H1447" t="s">
        <v>1737</v>
      </c>
      <c r="L1447" s="2">
        <v>45542</v>
      </c>
      <c r="M1447">
        <v>360.85559999999998</v>
      </c>
      <c r="R1447" t="s">
        <v>1812</v>
      </c>
      <c r="S1447">
        <v>360.85559999999998</v>
      </c>
      <c r="W1447" s="12" t="s">
        <v>9</v>
      </c>
      <c r="X1447" s="12" t="s">
        <v>1546</v>
      </c>
      <c r="Y1447">
        <v>360.85559999999998</v>
      </c>
      <c r="AF1447">
        <v>360.85559999999998</v>
      </c>
      <c r="AG1447" t="s">
        <v>1737</v>
      </c>
    </row>
    <row r="1448" spans="1:33" x14ac:dyDescent="0.3">
      <c r="A1448" t="s">
        <v>398</v>
      </c>
      <c r="B1448" s="2">
        <v>45758</v>
      </c>
      <c r="C1448">
        <v>1972.92</v>
      </c>
      <c r="D1448" t="s">
        <v>1807</v>
      </c>
      <c r="E1448">
        <v>18</v>
      </c>
      <c r="F1448" t="s">
        <v>16</v>
      </c>
      <c r="G1448" t="s">
        <v>1549</v>
      </c>
      <c r="H1448" t="s">
        <v>1742</v>
      </c>
      <c r="L1448" s="2">
        <v>45758</v>
      </c>
      <c r="M1448">
        <v>1972.92</v>
      </c>
      <c r="R1448" t="s">
        <v>1807</v>
      </c>
      <c r="S1448">
        <v>1972.92</v>
      </c>
      <c r="W1448" s="11" t="s">
        <v>16</v>
      </c>
      <c r="X1448" s="11" t="s">
        <v>1549</v>
      </c>
      <c r="Y1448">
        <v>1972.92</v>
      </c>
      <c r="AF1448">
        <v>1972.92</v>
      </c>
      <c r="AG1448" t="s">
        <v>1742</v>
      </c>
    </row>
    <row r="1449" spans="1:33" x14ac:dyDescent="0.3">
      <c r="A1449" t="s">
        <v>253</v>
      </c>
      <c r="B1449" s="2">
        <v>45709</v>
      </c>
      <c r="C1449">
        <v>86.285399999999996</v>
      </c>
      <c r="D1449" t="s">
        <v>1807</v>
      </c>
      <c r="E1449">
        <v>29</v>
      </c>
      <c r="F1449" t="s">
        <v>16</v>
      </c>
      <c r="G1449" t="s">
        <v>1549</v>
      </c>
      <c r="H1449" t="s">
        <v>1742</v>
      </c>
      <c r="L1449" s="2">
        <v>45709</v>
      </c>
      <c r="M1449">
        <v>86.285399999999996</v>
      </c>
      <c r="R1449" t="s">
        <v>1807</v>
      </c>
      <c r="S1449">
        <v>86.285399999999996</v>
      </c>
      <c r="W1449" s="12" t="s">
        <v>16</v>
      </c>
      <c r="X1449" s="12" t="s">
        <v>1549</v>
      </c>
      <c r="Y1449">
        <v>86.285399999999996</v>
      </c>
      <c r="AF1449">
        <v>86.285399999999996</v>
      </c>
      <c r="AG1449" t="s">
        <v>1742</v>
      </c>
    </row>
    <row r="1450" spans="1:33" x14ac:dyDescent="0.3">
      <c r="A1450" t="s">
        <v>410</v>
      </c>
      <c r="B1450" s="2">
        <v>45587</v>
      </c>
      <c r="C1450">
        <v>2748.2224000000001</v>
      </c>
      <c r="D1450" t="s">
        <v>1807</v>
      </c>
      <c r="E1450">
        <v>44</v>
      </c>
      <c r="F1450" t="s">
        <v>16</v>
      </c>
      <c r="G1450" t="s">
        <v>1549</v>
      </c>
      <c r="H1450" t="s">
        <v>1767</v>
      </c>
      <c r="L1450" s="2">
        <v>45587</v>
      </c>
      <c r="M1450">
        <v>2748.2224000000001</v>
      </c>
      <c r="R1450" t="s">
        <v>1807</v>
      </c>
      <c r="S1450">
        <v>2748.2224000000001</v>
      </c>
      <c r="W1450" s="11" t="s">
        <v>16</v>
      </c>
      <c r="X1450" s="11" t="s">
        <v>1549</v>
      </c>
      <c r="Y1450">
        <v>2748.2224000000001</v>
      </c>
      <c r="AF1450">
        <v>2748.2224000000001</v>
      </c>
      <c r="AG1450" t="s">
        <v>1767</v>
      </c>
    </row>
    <row r="1451" spans="1:33" x14ac:dyDescent="0.3">
      <c r="A1451" t="s">
        <v>711</v>
      </c>
      <c r="B1451" s="2">
        <v>45494</v>
      </c>
      <c r="C1451">
        <v>272.62180000000001</v>
      </c>
      <c r="D1451" t="s">
        <v>1807</v>
      </c>
      <c r="E1451">
        <v>35</v>
      </c>
      <c r="F1451" t="s">
        <v>9</v>
      </c>
      <c r="G1451" t="s">
        <v>1527</v>
      </c>
      <c r="H1451" t="s">
        <v>1746</v>
      </c>
      <c r="L1451" s="2">
        <v>45494</v>
      </c>
      <c r="M1451">
        <v>272.62180000000001</v>
      </c>
      <c r="R1451" t="s">
        <v>1807</v>
      </c>
      <c r="S1451">
        <v>272.62180000000001</v>
      </c>
      <c r="W1451" s="12" t="s">
        <v>9</v>
      </c>
      <c r="X1451" s="12" t="s">
        <v>1527</v>
      </c>
      <c r="Y1451">
        <v>272.62180000000001</v>
      </c>
      <c r="AF1451">
        <v>272.62180000000001</v>
      </c>
      <c r="AG1451" t="s">
        <v>1746</v>
      </c>
    </row>
    <row r="1452" spans="1:33" x14ac:dyDescent="0.3">
      <c r="A1452" t="s">
        <v>1382</v>
      </c>
      <c r="B1452" s="2">
        <v>45305</v>
      </c>
      <c r="C1452">
        <v>426.12240000000003</v>
      </c>
      <c r="D1452" t="s">
        <v>1812</v>
      </c>
      <c r="E1452">
        <v>62</v>
      </c>
      <c r="F1452" t="s">
        <v>16</v>
      </c>
      <c r="G1452" t="s">
        <v>1541</v>
      </c>
      <c r="H1452" t="s">
        <v>1746</v>
      </c>
      <c r="L1452" s="2">
        <v>45305</v>
      </c>
      <c r="M1452">
        <v>426.12240000000003</v>
      </c>
      <c r="R1452" t="s">
        <v>1812</v>
      </c>
      <c r="S1452">
        <v>426.12240000000003</v>
      </c>
      <c r="W1452" s="11" t="s">
        <v>16</v>
      </c>
      <c r="X1452" s="11" t="s">
        <v>1541</v>
      </c>
      <c r="Y1452">
        <v>426.12240000000003</v>
      </c>
      <c r="AF1452">
        <v>426.12240000000003</v>
      </c>
      <c r="AG1452" t="s">
        <v>1746</v>
      </c>
    </row>
    <row r="1453" spans="1:33" x14ac:dyDescent="0.3">
      <c r="A1453" t="s">
        <v>33</v>
      </c>
      <c r="B1453" s="2">
        <v>45383</v>
      </c>
      <c r="C1453">
        <v>799.13340000000005</v>
      </c>
      <c r="D1453" t="s">
        <v>1812</v>
      </c>
      <c r="E1453">
        <v>29</v>
      </c>
      <c r="F1453" t="s">
        <v>16</v>
      </c>
      <c r="G1453" t="s">
        <v>1527</v>
      </c>
      <c r="H1453" t="s">
        <v>1742</v>
      </c>
      <c r="L1453" s="2">
        <v>45383</v>
      </c>
      <c r="M1453">
        <v>799.13340000000005</v>
      </c>
      <c r="R1453" t="s">
        <v>1812</v>
      </c>
      <c r="S1453">
        <v>799.13340000000005</v>
      </c>
      <c r="W1453" s="12" t="s">
        <v>16</v>
      </c>
      <c r="X1453" s="12" t="s">
        <v>1527</v>
      </c>
      <c r="Y1453">
        <v>799.13340000000005</v>
      </c>
      <c r="AF1453">
        <v>799.13340000000005</v>
      </c>
      <c r="AG1453" t="s">
        <v>1742</v>
      </c>
    </row>
    <row r="1454" spans="1:33" x14ac:dyDescent="0.3">
      <c r="A1454" t="s">
        <v>380</v>
      </c>
      <c r="B1454" s="2">
        <v>45788</v>
      </c>
      <c r="C1454">
        <v>2026.1829</v>
      </c>
      <c r="D1454" t="s">
        <v>1809</v>
      </c>
      <c r="E1454">
        <v>40</v>
      </c>
      <c r="F1454" t="s">
        <v>16</v>
      </c>
      <c r="G1454" t="s">
        <v>1546</v>
      </c>
      <c r="H1454" t="s">
        <v>1742</v>
      </c>
      <c r="L1454" s="2">
        <v>45788</v>
      </c>
      <c r="M1454">
        <v>2026.1829</v>
      </c>
      <c r="R1454" t="s">
        <v>1809</v>
      </c>
      <c r="S1454">
        <v>2026.1829</v>
      </c>
      <c r="W1454" s="11" t="s">
        <v>16</v>
      </c>
      <c r="X1454" s="11" t="s">
        <v>1546</v>
      </c>
      <c r="Y1454">
        <v>2026.1829</v>
      </c>
      <c r="AF1454">
        <v>2026.1829</v>
      </c>
      <c r="AG1454" t="s">
        <v>1742</v>
      </c>
    </row>
    <row r="1455" spans="1:33" x14ac:dyDescent="0.3">
      <c r="A1455" t="s">
        <v>1434</v>
      </c>
      <c r="B1455" s="2">
        <v>45855</v>
      </c>
      <c r="C1455">
        <v>1395.6948</v>
      </c>
      <c r="D1455" t="s">
        <v>1807</v>
      </c>
      <c r="E1455">
        <v>42</v>
      </c>
      <c r="F1455" t="s">
        <v>9</v>
      </c>
      <c r="G1455" t="s">
        <v>1527</v>
      </c>
      <c r="H1455" t="s">
        <v>1742</v>
      </c>
      <c r="L1455" s="2">
        <v>45855</v>
      </c>
      <c r="M1455">
        <v>1395.6948</v>
      </c>
      <c r="R1455" t="s">
        <v>1807</v>
      </c>
      <c r="S1455">
        <v>1395.6948</v>
      </c>
      <c r="W1455" s="12" t="s">
        <v>9</v>
      </c>
      <c r="X1455" s="12" t="s">
        <v>1527</v>
      </c>
      <c r="Y1455">
        <v>1395.6948</v>
      </c>
      <c r="AF1455">
        <v>1395.6948</v>
      </c>
      <c r="AG1455" t="s">
        <v>1742</v>
      </c>
    </row>
    <row r="1456" spans="1:33" x14ac:dyDescent="0.3">
      <c r="A1456" t="s">
        <v>1090</v>
      </c>
      <c r="B1456" s="2">
        <v>45533</v>
      </c>
      <c r="C1456">
        <v>1583.0316</v>
      </c>
      <c r="D1456" t="s">
        <v>1807</v>
      </c>
      <c r="E1456">
        <v>52</v>
      </c>
      <c r="F1456" t="s">
        <v>16</v>
      </c>
      <c r="G1456" t="s">
        <v>1530</v>
      </c>
      <c r="H1456" t="s">
        <v>1742</v>
      </c>
      <c r="L1456" s="2">
        <v>45533</v>
      </c>
      <c r="M1456">
        <v>1583.0316</v>
      </c>
      <c r="R1456" t="s">
        <v>1807</v>
      </c>
      <c r="S1456">
        <v>1583.0316</v>
      </c>
      <c r="W1456" s="11" t="s">
        <v>16</v>
      </c>
      <c r="X1456" s="11" t="s">
        <v>1530</v>
      </c>
      <c r="Y1456">
        <v>1583.0316</v>
      </c>
      <c r="AF1456">
        <v>1583.0316</v>
      </c>
      <c r="AG1456" t="s">
        <v>1742</v>
      </c>
    </row>
    <row r="1457" spans="1:33" x14ac:dyDescent="0.3">
      <c r="A1457" t="s">
        <v>753</v>
      </c>
      <c r="B1457" s="2">
        <v>45763</v>
      </c>
      <c r="C1457">
        <v>2801.768</v>
      </c>
      <c r="D1457" t="s">
        <v>1807</v>
      </c>
      <c r="E1457">
        <v>41</v>
      </c>
      <c r="F1457" t="s">
        <v>16</v>
      </c>
      <c r="G1457" t="s">
        <v>1541</v>
      </c>
      <c r="H1457" t="s">
        <v>1742</v>
      </c>
      <c r="L1457" s="2">
        <v>45763</v>
      </c>
      <c r="M1457">
        <v>2801.768</v>
      </c>
      <c r="R1457" t="s">
        <v>1807</v>
      </c>
      <c r="S1457">
        <v>2801.768</v>
      </c>
      <c r="W1457" s="12" t="s">
        <v>16</v>
      </c>
      <c r="X1457" s="12" t="s">
        <v>1541</v>
      </c>
      <c r="Y1457">
        <v>2801.768</v>
      </c>
      <c r="AF1457">
        <v>2801.768</v>
      </c>
      <c r="AG1457" t="s">
        <v>1742</v>
      </c>
    </row>
    <row r="1458" spans="1:33" x14ac:dyDescent="0.3">
      <c r="A1458" t="s">
        <v>587</v>
      </c>
      <c r="B1458" s="2">
        <v>45900</v>
      </c>
      <c r="C1458">
        <v>1857.2175999999999</v>
      </c>
      <c r="D1458" t="s">
        <v>1812</v>
      </c>
      <c r="E1458">
        <v>38</v>
      </c>
      <c r="F1458" t="s">
        <v>9</v>
      </c>
      <c r="G1458" t="s">
        <v>1546</v>
      </c>
      <c r="H1458" t="s">
        <v>1742</v>
      </c>
      <c r="L1458" s="2">
        <v>45900</v>
      </c>
      <c r="M1458">
        <v>1857.2175999999999</v>
      </c>
      <c r="R1458" t="s">
        <v>1812</v>
      </c>
      <c r="S1458">
        <v>1857.2175999999999</v>
      </c>
      <c r="W1458" s="11" t="s">
        <v>9</v>
      </c>
      <c r="X1458" s="11" t="s">
        <v>1546</v>
      </c>
      <c r="Y1458">
        <v>1857.2175999999999</v>
      </c>
      <c r="AF1458">
        <v>1857.2175999999999</v>
      </c>
      <c r="AG1458" t="s">
        <v>1742</v>
      </c>
    </row>
    <row r="1459" spans="1:33" x14ac:dyDescent="0.3">
      <c r="A1459" t="s">
        <v>759</v>
      </c>
      <c r="B1459" s="2">
        <v>45943</v>
      </c>
      <c r="C1459">
        <v>3745.8047999999999</v>
      </c>
      <c r="D1459" t="s">
        <v>1807</v>
      </c>
      <c r="E1459">
        <v>58</v>
      </c>
      <c r="F1459" t="s">
        <v>16</v>
      </c>
      <c r="G1459" t="s">
        <v>1546</v>
      </c>
      <c r="H1459" t="s">
        <v>1742</v>
      </c>
      <c r="L1459" s="2">
        <v>45943</v>
      </c>
      <c r="M1459">
        <v>3745.8047999999999</v>
      </c>
      <c r="R1459" t="s">
        <v>1807</v>
      </c>
      <c r="S1459">
        <v>3745.8047999999999</v>
      </c>
      <c r="W1459" s="12" t="s">
        <v>16</v>
      </c>
      <c r="X1459" s="12" t="s">
        <v>1546</v>
      </c>
      <c r="Y1459">
        <v>3745.8047999999999</v>
      </c>
      <c r="AF1459">
        <v>3745.8047999999999</v>
      </c>
      <c r="AG1459" t="s">
        <v>1742</v>
      </c>
    </row>
    <row r="1460" spans="1:33" x14ac:dyDescent="0.3">
      <c r="A1460" t="s">
        <v>1454</v>
      </c>
      <c r="B1460" s="2">
        <v>45448</v>
      </c>
      <c r="C1460">
        <v>1776.5286000000001</v>
      </c>
      <c r="D1460" t="s">
        <v>1812</v>
      </c>
      <c r="E1460">
        <v>59</v>
      </c>
      <c r="F1460" t="s">
        <v>9</v>
      </c>
      <c r="G1460" t="s">
        <v>1546</v>
      </c>
      <c r="H1460" t="s">
        <v>1746</v>
      </c>
      <c r="L1460" s="2">
        <v>45448</v>
      </c>
      <c r="M1460">
        <v>1776.5286000000001</v>
      </c>
      <c r="R1460" t="s">
        <v>1812</v>
      </c>
      <c r="S1460">
        <v>1776.5286000000001</v>
      </c>
      <c r="W1460" s="11" t="s">
        <v>9</v>
      </c>
      <c r="X1460" s="11" t="s">
        <v>1546</v>
      </c>
      <c r="Y1460">
        <v>1776.5286000000001</v>
      </c>
      <c r="AF1460">
        <v>1776.5286000000001</v>
      </c>
      <c r="AG1460" t="s">
        <v>1746</v>
      </c>
    </row>
    <row r="1461" spans="1:33" x14ac:dyDescent="0.3">
      <c r="A1461" t="s">
        <v>1479</v>
      </c>
      <c r="B1461" s="2">
        <v>45929</v>
      </c>
      <c r="C1461">
        <v>1905.1724999999999</v>
      </c>
      <c r="D1461" t="s">
        <v>1807</v>
      </c>
      <c r="E1461">
        <v>36</v>
      </c>
      <c r="F1461" t="s">
        <v>16</v>
      </c>
      <c r="G1461" t="s">
        <v>1546</v>
      </c>
      <c r="H1461" t="s">
        <v>1746</v>
      </c>
      <c r="L1461" s="2">
        <v>45929</v>
      </c>
      <c r="M1461">
        <v>1905.1724999999999</v>
      </c>
      <c r="R1461" t="s">
        <v>1807</v>
      </c>
      <c r="S1461">
        <v>1905.1724999999999</v>
      </c>
      <c r="W1461" s="12" t="s">
        <v>16</v>
      </c>
      <c r="X1461" s="12" t="s">
        <v>1546</v>
      </c>
      <c r="Y1461">
        <v>1905.1724999999999</v>
      </c>
      <c r="AF1461">
        <v>1905.1724999999999</v>
      </c>
      <c r="AG1461" t="s">
        <v>1746</v>
      </c>
    </row>
    <row r="1462" spans="1:33" x14ac:dyDescent="0.3">
      <c r="A1462" t="s">
        <v>1236</v>
      </c>
      <c r="B1462" s="2">
        <v>45478</v>
      </c>
      <c r="C1462">
        <v>1462.0029999999999</v>
      </c>
      <c r="D1462" t="s">
        <v>1809</v>
      </c>
      <c r="E1462">
        <v>31</v>
      </c>
      <c r="F1462" t="s">
        <v>9</v>
      </c>
      <c r="G1462" t="s">
        <v>1527</v>
      </c>
      <c r="H1462" t="s">
        <v>1746</v>
      </c>
      <c r="L1462" s="2">
        <v>45478</v>
      </c>
      <c r="M1462">
        <v>1462.0029999999999</v>
      </c>
      <c r="R1462" t="s">
        <v>1809</v>
      </c>
      <c r="S1462">
        <v>1462.0029999999999</v>
      </c>
      <c r="W1462" s="11" t="s">
        <v>9</v>
      </c>
      <c r="X1462" s="11" t="s">
        <v>1527</v>
      </c>
      <c r="Y1462">
        <v>1462.0029999999999</v>
      </c>
      <c r="AF1462">
        <v>1462.0029999999999</v>
      </c>
      <c r="AG1462" t="s">
        <v>1746</v>
      </c>
    </row>
    <row r="1463" spans="1:33" x14ac:dyDescent="0.3">
      <c r="A1463" t="s">
        <v>1247</v>
      </c>
      <c r="B1463" s="2">
        <v>45723</v>
      </c>
      <c r="C1463">
        <v>113.33580000000001</v>
      </c>
      <c r="D1463" t="s">
        <v>1809</v>
      </c>
      <c r="E1463">
        <v>23</v>
      </c>
      <c r="F1463" t="s">
        <v>16</v>
      </c>
      <c r="G1463" t="s">
        <v>1546</v>
      </c>
      <c r="H1463" t="s">
        <v>1742</v>
      </c>
      <c r="L1463" s="2">
        <v>45723</v>
      </c>
      <c r="M1463">
        <v>113.33580000000001</v>
      </c>
      <c r="R1463" t="s">
        <v>1809</v>
      </c>
      <c r="S1463">
        <v>113.33580000000001</v>
      </c>
      <c r="W1463" s="12" t="s">
        <v>16</v>
      </c>
      <c r="X1463" s="12" t="s">
        <v>1546</v>
      </c>
      <c r="Y1463">
        <v>113.33580000000001</v>
      </c>
      <c r="AF1463">
        <v>113.33580000000001</v>
      </c>
      <c r="AG1463" t="s">
        <v>1742</v>
      </c>
    </row>
    <row r="1464" spans="1:33" x14ac:dyDescent="0.3">
      <c r="A1464" t="s">
        <v>1043</v>
      </c>
      <c r="B1464" s="2">
        <v>45240</v>
      </c>
      <c r="C1464">
        <v>90.479799999999997</v>
      </c>
      <c r="D1464" t="s">
        <v>1809</v>
      </c>
      <c r="E1464">
        <v>58</v>
      </c>
      <c r="F1464" t="s">
        <v>16</v>
      </c>
      <c r="G1464" t="s">
        <v>1541</v>
      </c>
      <c r="H1464" t="s">
        <v>1742</v>
      </c>
      <c r="L1464" s="2">
        <v>45240</v>
      </c>
      <c r="M1464">
        <v>90.479799999999997</v>
      </c>
      <c r="R1464" t="s">
        <v>1809</v>
      </c>
      <c r="S1464">
        <v>90.479799999999997</v>
      </c>
      <c r="W1464" s="11" t="s">
        <v>16</v>
      </c>
      <c r="X1464" s="11" t="s">
        <v>1541</v>
      </c>
      <c r="Y1464">
        <v>90.479799999999997</v>
      </c>
      <c r="AF1464">
        <v>90.479799999999997</v>
      </c>
      <c r="AG1464" t="s">
        <v>1742</v>
      </c>
    </row>
    <row r="1465" spans="1:33" x14ac:dyDescent="0.3">
      <c r="A1465" t="s">
        <v>3940</v>
      </c>
      <c r="B1465" s="2">
        <v>45890</v>
      </c>
      <c r="C1465">
        <v>325.54419999999999</v>
      </c>
      <c r="D1465" t="s">
        <v>1807</v>
      </c>
      <c r="E1465">
        <v>44</v>
      </c>
      <c r="F1465" t="s">
        <v>16</v>
      </c>
      <c r="G1465" t="s">
        <v>1546</v>
      </c>
      <c r="H1465" t="s">
        <v>1746</v>
      </c>
      <c r="L1465" s="2">
        <v>45890</v>
      </c>
      <c r="M1465">
        <v>325.54419999999999</v>
      </c>
      <c r="R1465" t="s">
        <v>1807</v>
      </c>
      <c r="S1465">
        <v>325.54419999999999</v>
      </c>
      <c r="W1465" s="12" t="s">
        <v>16</v>
      </c>
      <c r="X1465" s="12" t="s">
        <v>1546</v>
      </c>
      <c r="Y1465">
        <v>325.54419999999999</v>
      </c>
      <c r="AF1465">
        <v>325.54419999999999</v>
      </c>
      <c r="AG1465" t="s">
        <v>1746</v>
      </c>
    </row>
    <row r="1466" spans="1:33" x14ac:dyDescent="0.3">
      <c r="A1466" t="s">
        <v>1148</v>
      </c>
      <c r="B1466" s="2">
        <v>45796</v>
      </c>
      <c r="C1466">
        <v>535.35019999999997</v>
      </c>
      <c r="D1466" t="s">
        <v>1809</v>
      </c>
      <c r="E1466">
        <v>28</v>
      </c>
      <c r="F1466" t="s">
        <v>9</v>
      </c>
      <c r="G1466" t="s">
        <v>1530</v>
      </c>
      <c r="H1466" t="s">
        <v>1746</v>
      </c>
      <c r="L1466" s="2">
        <v>45796</v>
      </c>
      <c r="M1466">
        <v>535.35019999999997</v>
      </c>
      <c r="R1466" t="s">
        <v>1809</v>
      </c>
      <c r="S1466">
        <v>535.35019999999997</v>
      </c>
      <c r="W1466" s="11" t="s">
        <v>9</v>
      </c>
      <c r="X1466" s="11" t="s">
        <v>1530</v>
      </c>
      <c r="Y1466">
        <v>535.35019999999997</v>
      </c>
      <c r="AF1466">
        <v>535.35019999999997</v>
      </c>
      <c r="AG1466" t="s">
        <v>1746</v>
      </c>
    </row>
    <row r="1467" spans="1:33" x14ac:dyDescent="0.3">
      <c r="A1467" t="s">
        <v>115</v>
      </c>
      <c r="B1467" s="2">
        <v>45895</v>
      </c>
      <c r="C1467">
        <v>678.60799999999995</v>
      </c>
      <c r="D1467" t="s">
        <v>1812</v>
      </c>
      <c r="E1467">
        <v>27</v>
      </c>
      <c r="F1467" t="s">
        <v>16</v>
      </c>
      <c r="G1467" t="s">
        <v>1527</v>
      </c>
      <c r="H1467" t="s">
        <v>1737</v>
      </c>
      <c r="L1467" s="2">
        <v>45895</v>
      </c>
      <c r="M1467">
        <v>678.60799999999995</v>
      </c>
      <c r="R1467" t="s">
        <v>1812</v>
      </c>
      <c r="S1467">
        <v>678.60799999999995</v>
      </c>
      <c r="W1467" s="12" t="s">
        <v>16</v>
      </c>
      <c r="X1467" s="12" t="s">
        <v>1527</v>
      </c>
      <c r="Y1467">
        <v>678.60799999999995</v>
      </c>
      <c r="AF1467">
        <v>678.60799999999995</v>
      </c>
      <c r="AG1467" t="s">
        <v>1737</v>
      </c>
    </row>
    <row r="1468" spans="1:33" x14ac:dyDescent="0.3">
      <c r="A1468" t="s">
        <v>725</v>
      </c>
      <c r="B1468" s="2">
        <v>45676</v>
      </c>
      <c r="C1468">
        <v>1352.076</v>
      </c>
      <c r="D1468" t="s">
        <v>1807</v>
      </c>
      <c r="E1468">
        <v>63</v>
      </c>
      <c r="F1468" t="s">
        <v>16</v>
      </c>
      <c r="G1468" t="s">
        <v>1541</v>
      </c>
      <c r="H1468" t="s">
        <v>1767</v>
      </c>
      <c r="L1468" s="2">
        <v>45676</v>
      </c>
      <c r="M1468">
        <v>1352.076</v>
      </c>
      <c r="R1468" t="s">
        <v>1807</v>
      </c>
      <c r="S1468">
        <v>1352.076</v>
      </c>
      <c r="W1468" s="11" t="s">
        <v>16</v>
      </c>
      <c r="X1468" s="11" t="s">
        <v>1541</v>
      </c>
      <c r="Y1468">
        <v>1352.076</v>
      </c>
      <c r="AF1468">
        <v>1352.076</v>
      </c>
      <c r="AG1468" t="s">
        <v>1767</v>
      </c>
    </row>
    <row r="1469" spans="1:33" x14ac:dyDescent="0.3">
      <c r="A1469" t="s">
        <v>1259</v>
      </c>
      <c r="B1469" s="2">
        <v>45568</v>
      </c>
      <c r="C1469">
        <v>347.82000000000011</v>
      </c>
      <c r="D1469" t="s">
        <v>1809</v>
      </c>
      <c r="E1469">
        <v>48</v>
      </c>
      <c r="F1469" t="s">
        <v>16</v>
      </c>
      <c r="G1469" t="s">
        <v>1541</v>
      </c>
      <c r="H1469" t="s">
        <v>1767</v>
      </c>
      <c r="L1469" s="2">
        <v>45568</v>
      </c>
      <c r="M1469">
        <v>347.82000000000011</v>
      </c>
      <c r="R1469" t="s">
        <v>1809</v>
      </c>
      <c r="S1469">
        <v>347.82000000000011</v>
      </c>
      <c r="W1469" s="12" t="s">
        <v>16</v>
      </c>
      <c r="X1469" s="12" t="s">
        <v>1541</v>
      </c>
      <c r="Y1469">
        <v>347.82000000000011</v>
      </c>
      <c r="AF1469">
        <v>347.82000000000011</v>
      </c>
      <c r="AG1469" t="s">
        <v>1767</v>
      </c>
    </row>
    <row r="1470" spans="1:33" x14ac:dyDescent="0.3">
      <c r="A1470" t="s">
        <v>574</v>
      </c>
      <c r="B1470" s="2">
        <v>45272</v>
      </c>
      <c r="C1470">
        <v>81.619199999999992</v>
      </c>
      <c r="D1470" t="s">
        <v>1812</v>
      </c>
      <c r="E1470">
        <v>48</v>
      </c>
      <c r="F1470" t="s">
        <v>9</v>
      </c>
      <c r="G1470" t="s">
        <v>1541</v>
      </c>
      <c r="H1470" t="s">
        <v>1742</v>
      </c>
      <c r="L1470" s="2">
        <v>45272</v>
      </c>
      <c r="M1470">
        <v>81.619199999999992</v>
      </c>
      <c r="R1470" t="s">
        <v>1812</v>
      </c>
      <c r="S1470">
        <v>81.619199999999992</v>
      </c>
      <c r="W1470" s="11" t="s">
        <v>9</v>
      </c>
      <c r="X1470" s="11" t="s">
        <v>1541</v>
      </c>
      <c r="Y1470">
        <v>81.619199999999992</v>
      </c>
      <c r="AF1470">
        <v>81.619199999999992</v>
      </c>
      <c r="AG1470" t="s">
        <v>1742</v>
      </c>
    </row>
    <row r="1471" spans="1:33" x14ac:dyDescent="0.3">
      <c r="A1471" t="s">
        <v>1113</v>
      </c>
      <c r="B1471" s="2">
        <v>45718</v>
      </c>
      <c r="C1471">
        <v>1536.7439999999999</v>
      </c>
      <c r="D1471" t="s">
        <v>1809</v>
      </c>
      <c r="E1471">
        <v>34</v>
      </c>
      <c r="F1471" t="s">
        <v>9</v>
      </c>
      <c r="G1471" t="s">
        <v>1530</v>
      </c>
      <c r="H1471" t="s">
        <v>1746</v>
      </c>
      <c r="L1471" s="2">
        <v>45718</v>
      </c>
      <c r="M1471">
        <v>1536.7439999999999</v>
      </c>
      <c r="R1471" t="s">
        <v>1809</v>
      </c>
      <c r="S1471">
        <v>1536.7439999999999</v>
      </c>
      <c r="W1471" s="12" t="s">
        <v>9</v>
      </c>
      <c r="X1471" s="12" t="s">
        <v>1530</v>
      </c>
      <c r="Y1471">
        <v>1536.7439999999999</v>
      </c>
      <c r="AF1471">
        <v>1536.7439999999999</v>
      </c>
      <c r="AG1471" t="s">
        <v>1746</v>
      </c>
    </row>
    <row r="1472" spans="1:33" x14ac:dyDescent="0.3">
      <c r="A1472" t="s">
        <v>706</v>
      </c>
      <c r="B1472" s="2">
        <v>45356</v>
      </c>
      <c r="C1472">
        <v>1846.08</v>
      </c>
      <c r="D1472" t="s">
        <v>1812</v>
      </c>
      <c r="E1472">
        <v>50</v>
      </c>
      <c r="F1472" t="s">
        <v>16</v>
      </c>
      <c r="G1472" t="s">
        <v>1549</v>
      </c>
      <c r="H1472" t="s">
        <v>1742</v>
      </c>
      <c r="L1472" s="2">
        <v>45356</v>
      </c>
      <c r="M1472">
        <v>1846.08</v>
      </c>
      <c r="R1472" t="s">
        <v>1812</v>
      </c>
      <c r="S1472">
        <v>1846.08</v>
      </c>
      <c r="W1472" s="11" t="s">
        <v>16</v>
      </c>
      <c r="X1472" s="11" t="s">
        <v>1549</v>
      </c>
      <c r="Y1472">
        <v>1846.08</v>
      </c>
      <c r="AF1472">
        <v>1846.08</v>
      </c>
      <c r="AG1472" t="s">
        <v>1742</v>
      </c>
    </row>
    <row r="1473" spans="1:33" x14ac:dyDescent="0.3">
      <c r="A1473" t="s">
        <v>1508</v>
      </c>
      <c r="B1473" s="2">
        <v>45552</v>
      </c>
      <c r="C1473">
        <v>541.66739999999993</v>
      </c>
      <c r="D1473" t="s">
        <v>1807</v>
      </c>
      <c r="E1473">
        <v>47</v>
      </c>
      <c r="F1473" t="s">
        <v>16</v>
      </c>
      <c r="G1473" t="s">
        <v>1541</v>
      </c>
      <c r="H1473" t="s">
        <v>1742</v>
      </c>
      <c r="L1473" s="2">
        <v>45552</v>
      </c>
      <c r="M1473">
        <v>541.66739999999993</v>
      </c>
      <c r="R1473" t="s">
        <v>1807</v>
      </c>
      <c r="S1473">
        <v>541.66739999999993</v>
      </c>
      <c r="W1473" s="12" t="s">
        <v>16</v>
      </c>
      <c r="X1473" s="12" t="s">
        <v>1541</v>
      </c>
      <c r="Y1473">
        <v>541.66739999999993</v>
      </c>
      <c r="AF1473">
        <v>541.66739999999993</v>
      </c>
      <c r="AG1473" t="s">
        <v>1742</v>
      </c>
    </row>
    <row r="1474" spans="1:33" x14ac:dyDescent="0.3">
      <c r="A1474" t="s">
        <v>833</v>
      </c>
      <c r="B1474" s="2">
        <v>45288</v>
      </c>
      <c r="C1474">
        <v>2467.4495999999999</v>
      </c>
      <c r="D1474" t="s">
        <v>1809</v>
      </c>
      <c r="E1474">
        <v>25</v>
      </c>
      <c r="F1474" t="s">
        <v>9</v>
      </c>
      <c r="G1474" t="s">
        <v>1541</v>
      </c>
      <c r="H1474" t="s">
        <v>1742</v>
      </c>
      <c r="L1474" s="2">
        <v>45288</v>
      </c>
      <c r="M1474">
        <v>2467.4495999999999</v>
      </c>
      <c r="R1474" t="s">
        <v>1809</v>
      </c>
      <c r="S1474">
        <v>2467.4495999999999</v>
      </c>
      <c r="W1474" s="11" t="s">
        <v>9</v>
      </c>
      <c r="X1474" s="11" t="s">
        <v>1541</v>
      </c>
      <c r="Y1474">
        <v>2467.4495999999999</v>
      </c>
      <c r="AF1474">
        <v>2467.4495999999999</v>
      </c>
      <c r="AG1474" t="s">
        <v>1742</v>
      </c>
    </row>
    <row r="1475" spans="1:33" x14ac:dyDescent="0.3">
      <c r="A1475" t="s">
        <v>1247</v>
      </c>
      <c r="B1475" s="2">
        <v>45605</v>
      </c>
      <c r="C1475">
        <v>419.46480000000003</v>
      </c>
      <c r="D1475" t="s">
        <v>1812</v>
      </c>
      <c r="E1475">
        <v>23</v>
      </c>
      <c r="F1475" t="s">
        <v>16</v>
      </c>
      <c r="G1475" t="s">
        <v>1530</v>
      </c>
      <c r="H1475" t="s">
        <v>1742</v>
      </c>
      <c r="L1475" s="2">
        <v>45605</v>
      </c>
      <c r="M1475">
        <v>419.46480000000003</v>
      </c>
      <c r="R1475" t="s">
        <v>1812</v>
      </c>
      <c r="S1475">
        <v>419.46480000000003</v>
      </c>
      <c r="W1475" s="12" t="s">
        <v>16</v>
      </c>
      <c r="X1475" s="12" t="s">
        <v>1530</v>
      </c>
      <c r="Y1475">
        <v>419.46480000000003</v>
      </c>
      <c r="AF1475">
        <v>419.46480000000003</v>
      </c>
      <c r="AG1475" t="s">
        <v>1742</v>
      </c>
    </row>
    <row r="1476" spans="1:33" x14ac:dyDescent="0.3">
      <c r="A1476" t="s">
        <v>1446</v>
      </c>
      <c r="B1476" s="2">
        <v>45516</v>
      </c>
      <c r="C1476">
        <v>891.87199999999996</v>
      </c>
      <c r="D1476" t="s">
        <v>1809</v>
      </c>
      <c r="E1476">
        <v>18</v>
      </c>
      <c r="F1476" t="s">
        <v>16</v>
      </c>
      <c r="G1476" t="s">
        <v>1546</v>
      </c>
      <c r="H1476" t="s">
        <v>1742</v>
      </c>
      <c r="L1476" s="2">
        <v>45516</v>
      </c>
      <c r="M1476">
        <v>891.87199999999996</v>
      </c>
      <c r="R1476" t="s">
        <v>1809</v>
      </c>
      <c r="S1476">
        <v>891.87199999999996</v>
      </c>
      <c r="W1476" s="11" t="s">
        <v>16</v>
      </c>
      <c r="X1476" s="11" t="s">
        <v>1546</v>
      </c>
      <c r="Y1476">
        <v>891.87199999999996</v>
      </c>
      <c r="AF1476">
        <v>891.87199999999996</v>
      </c>
      <c r="AG1476" t="s">
        <v>1742</v>
      </c>
    </row>
    <row r="1477" spans="1:33" x14ac:dyDescent="0.3">
      <c r="A1477" t="s">
        <v>821</v>
      </c>
      <c r="B1477" s="2">
        <v>45379</v>
      </c>
      <c r="C1477">
        <v>1740.6279999999999</v>
      </c>
      <c r="D1477" t="s">
        <v>1809</v>
      </c>
      <c r="E1477">
        <v>63</v>
      </c>
      <c r="F1477" t="s">
        <v>16</v>
      </c>
      <c r="G1477" t="s">
        <v>1527</v>
      </c>
      <c r="H1477" t="s">
        <v>1767</v>
      </c>
      <c r="L1477" s="2">
        <v>45379</v>
      </c>
      <c r="M1477">
        <v>1740.6279999999999</v>
      </c>
      <c r="R1477" t="s">
        <v>1809</v>
      </c>
      <c r="S1477">
        <v>1740.6279999999999</v>
      </c>
      <c r="W1477" s="12" t="s">
        <v>16</v>
      </c>
      <c r="X1477" s="12" t="s">
        <v>1527</v>
      </c>
      <c r="Y1477">
        <v>1740.6279999999999</v>
      </c>
      <c r="AF1477">
        <v>1740.6279999999999</v>
      </c>
      <c r="AG1477" t="s">
        <v>1767</v>
      </c>
    </row>
    <row r="1478" spans="1:33" x14ac:dyDescent="0.3">
      <c r="A1478" t="s">
        <v>451</v>
      </c>
      <c r="B1478" s="2">
        <v>45567</v>
      </c>
      <c r="C1478">
        <v>714.41759999999999</v>
      </c>
      <c r="D1478" t="s">
        <v>1809</v>
      </c>
      <c r="E1478">
        <v>54</v>
      </c>
      <c r="F1478" t="s">
        <v>9</v>
      </c>
      <c r="G1478" t="s">
        <v>1527</v>
      </c>
      <c r="H1478" t="s">
        <v>1742</v>
      </c>
      <c r="L1478" s="2">
        <v>45567</v>
      </c>
      <c r="M1478">
        <v>714.41759999999999</v>
      </c>
      <c r="R1478" t="s">
        <v>1809</v>
      </c>
      <c r="S1478">
        <v>714.41759999999999</v>
      </c>
      <c r="W1478" s="11" t="s">
        <v>9</v>
      </c>
      <c r="X1478" s="11" t="s">
        <v>1527</v>
      </c>
      <c r="Y1478">
        <v>714.41759999999999</v>
      </c>
      <c r="AF1478">
        <v>714.41759999999999</v>
      </c>
      <c r="AG1478" t="s">
        <v>1742</v>
      </c>
    </row>
    <row r="1479" spans="1:33" x14ac:dyDescent="0.3">
      <c r="A1479" t="s">
        <v>747</v>
      </c>
      <c r="B1479" s="2">
        <v>45510</v>
      </c>
      <c r="C1479">
        <v>3293.5448000000001</v>
      </c>
      <c r="D1479" t="s">
        <v>1809</v>
      </c>
      <c r="E1479">
        <v>28</v>
      </c>
      <c r="F1479" t="s">
        <v>16</v>
      </c>
      <c r="G1479" t="s">
        <v>1541</v>
      </c>
      <c r="H1479" t="s">
        <v>1742</v>
      </c>
      <c r="L1479" s="2">
        <v>45510</v>
      </c>
      <c r="M1479">
        <v>3293.5448000000001</v>
      </c>
      <c r="R1479" t="s">
        <v>1809</v>
      </c>
      <c r="S1479">
        <v>3293.5448000000001</v>
      </c>
      <c r="W1479" s="12" t="s">
        <v>16</v>
      </c>
      <c r="X1479" s="12" t="s">
        <v>1541</v>
      </c>
      <c r="Y1479">
        <v>3293.5448000000001</v>
      </c>
      <c r="AF1479">
        <v>3293.5448000000001</v>
      </c>
      <c r="AG1479" t="s">
        <v>1742</v>
      </c>
    </row>
    <row r="1480" spans="1:33" x14ac:dyDescent="0.3">
      <c r="A1480" t="s">
        <v>293</v>
      </c>
      <c r="B1480" s="2">
        <v>45806</v>
      </c>
      <c r="C1480">
        <v>529.74900000000002</v>
      </c>
      <c r="D1480" t="s">
        <v>1809</v>
      </c>
      <c r="E1480">
        <v>53</v>
      </c>
      <c r="F1480" t="s">
        <v>9</v>
      </c>
      <c r="G1480" t="s">
        <v>1530</v>
      </c>
      <c r="H1480" t="s">
        <v>1742</v>
      </c>
      <c r="L1480" s="2">
        <v>45806</v>
      </c>
      <c r="M1480">
        <v>529.74900000000002</v>
      </c>
      <c r="R1480" t="s">
        <v>1809</v>
      </c>
      <c r="S1480">
        <v>529.74900000000002</v>
      </c>
      <c r="W1480" s="11" t="s">
        <v>9</v>
      </c>
      <c r="X1480" s="11" t="s">
        <v>1530</v>
      </c>
      <c r="Y1480">
        <v>529.74900000000002</v>
      </c>
      <c r="AF1480">
        <v>529.74900000000002</v>
      </c>
      <c r="AG1480" t="s">
        <v>1742</v>
      </c>
    </row>
    <row r="1481" spans="1:33" x14ac:dyDescent="0.3">
      <c r="A1481" t="s">
        <v>392</v>
      </c>
      <c r="B1481" s="2">
        <v>45240</v>
      </c>
      <c r="C1481">
        <v>2728.2024000000001</v>
      </c>
      <c r="D1481" t="s">
        <v>1807</v>
      </c>
      <c r="E1481">
        <v>30</v>
      </c>
      <c r="F1481" t="s">
        <v>9</v>
      </c>
      <c r="G1481" t="s">
        <v>1527</v>
      </c>
      <c r="H1481" t="s">
        <v>1742</v>
      </c>
      <c r="L1481" s="2">
        <v>45240</v>
      </c>
      <c r="M1481">
        <v>2728.2024000000001</v>
      </c>
      <c r="R1481" t="s">
        <v>1807</v>
      </c>
      <c r="S1481">
        <v>2728.2024000000001</v>
      </c>
      <c r="W1481" s="12" t="s">
        <v>9</v>
      </c>
      <c r="X1481" s="12" t="s">
        <v>1527</v>
      </c>
      <c r="Y1481">
        <v>2728.2024000000001</v>
      </c>
      <c r="AF1481">
        <v>2728.2024000000001</v>
      </c>
      <c r="AG1481" t="s">
        <v>1742</v>
      </c>
    </row>
    <row r="1482" spans="1:33" x14ac:dyDescent="0.3">
      <c r="A1482" t="s">
        <v>943</v>
      </c>
      <c r="B1482" s="2">
        <v>45309</v>
      </c>
      <c r="C1482">
        <v>333.81279999999998</v>
      </c>
      <c r="D1482" t="s">
        <v>1809</v>
      </c>
      <c r="E1482">
        <v>36</v>
      </c>
      <c r="F1482" t="s">
        <v>9</v>
      </c>
      <c r="G1482" t="s">
        <v>1549</v>
      </c>
      <c r="H1482" t="s">
        <v>1742</v>
      </c>
      <c r="L1482" s="2">
        <v>45309</v>
      </c>
      <c r="M1482">
        <v>333.81279999999998</v>
      </c>
      <c r="R1482" t="s">
        <v>1809</v>
      </c>
      <c r="S1482">
        <v>333.81279999999998</v>
      </c>
      <c r="W1482" s="11" t="s">
        <v>9</v>
      </c>
      <c r="X1482" s="11" t="s">
        <v>1549</v>
      </c>
      <c r="Y1482">
        <v>333.81279999999998</v>
      </c>
      <c r="AF1482">
        <v>333.81279999999998</v>
      </c>
      <c r="AG1482" t="s">
        <v>1742</v>
      </c>
    </row>
    <row r="1483" spans="1:33" x14ac:dyDescent="0.3">
      <c r="A1483" t="s">
        <v>101</v>
      </c>
      <c r="B1483" s="2">
        <v>45375</v>
      </c>
      <c r="C1483">
        <v>312.08049999999997</v>
      </c>
      <c r="D1483" t="s">
        <v>1812</v>
      </c>
      <c r="E1483">
        <v>40</v>
      </c>
      <c r="F1483" t="s">
        <v>9</v>
      </c>
      <c r="G1483" t="s">
        <v>1549</v>
      </c>
      <c r="H1483" t="s">
        <v>1742</v>
      </c>
      <c r="L1483" s="2">
        <v>45375</v>
      </c>
      <c r="M1483">
        <v>312.08049999999997</v>
      </c>
      <c r="R1483" t="s">
        <v>1812</v>
      </c>
      <c r="S1483">
        <v>312.08049999999997</v>
      </c>
      <c r="W1483" s="12" t="s">
        <v>9</v>
      </c>
      <c r="X1483" s="12" t="s">
        <v>1549</v>
      </c>
      <c r="Y1483">
        <v>312.08049999999997</v>
      </c>
      <c r="AF1483">
        <v>312.08049999999997</v>
      </c>
      <c r="AG1483" t="s">
        <v>1742</v>
      </c>
    </row>
    <row r="1484" spans="1:33" x14ac:dyDescent="0.3">
      <c r="A1484" t="s">
        <v>395</v>
      </c>
      <c r="B1484" s="2">
        <v>45733</v>
      </c>
      <c r="C1484">
        <v>1032.0813000000001</v>
      </c>
      <c r="D1484" t="s">
        <v>1812</v>
      </c>
      <c r="E1484">
        <v>53</v>
      </c>
      <c r="F1484" t="s">
        <v>16</v>
      </c>
      <c r="G1484" t="s">
        <v>1527</v>
      </c>
      <c r="H1484" t="s">
        <v>1742</v>
      </c>
      <c r="L1484" s="2">
        <v>45733</v>
      </c>
      <c r="M1484">
        <v>1032.0813000000001</v>
      </c>
      <c r="R1484" t="s">
        <v>1812</v>
      </c>
      <c r="S1484">
        <v>1032.0813000000001</v>
      </c>
      <c r="W1484" s="11" t="s">
        <v>16</v>
      </c>
      <c r="X1484" s="11" t="s">
        <v>1527</v>
      </c>
      <c r="Y1484">
        <v>1032.0813000000001</v>
      </c>
      <c r="AF1484">
        <v>1032.0813000000001</v>
      </c>
      <c r="AG1484" t="s">
        <v>1742</v>
      </c>
    </row>
    <row r="1485" spans="1:33" x14ac:dyDescent="0.3">
      <c r="A1485" t="s">
        <v>172</v>
      </c>
      <c r="B1485" s="2">
        <v>45435</v>
      </c>
      <c r="C1485">
        <v>683.00099999999998</v>
      </c>
      <c r="D1485" t="s">
        <v>1807</v>
      </c>
      <c r="E1485">
        <v>54</v>
      </c>
      <c r="F1485" t="s">
        <v>9</v>
      </c>
      <c r="G1485" t="s">
        <v>1541</v>
      </c>
      <c r="H1485" t="s">
        <v>1742</v>
      </c>
      <c r="L1485" s="2">
        <v>45435</v>
      </c>
      <c r="M1485">
        <v>683.00099999999998</v>
      </c>
      <c r="R1485" t="s">
        <v>1807</v>
      </c>
      <c r="S1485">
        <v>683.00099999999998</v>
      </c>
      <c r="W1485" s="12" t="s">
        <v>9</v>
      </c>
      <c r="X1485" s="12" t="s">
        <v>1541</v>
      </c>
      <c r="Y1485">
        <v>683.00099999999998</v>
      </c>
      <c r="AF1485">
        <v>683.00099999999998</v>
      </c>
      <c r="AG1485" t="s">
        <v>1742</v>
      </c>
    </row>
    <row r="1486" spans="1:33" x14ac:dyDescent="0.3">
      <c r="A1486" t="s">
        <v>1476</v>
      </c>
      <c r="B1486" s="2">
        <v>45864</v>
      </c>
      <c r="C1486">
        <v>2974.6439999999998</v>
      </c>
      <c r="D1486" t="s">
        <v>1812</v>
      </c>
      <c r="E1486">
        <v>22</v>
      </c>
      <c r="F1486" t="s">
        <v>16</v>
      </c>
      <c r="G1486" t="s">
        <v>1549</v>
      </c>
      <c r="H1486" t="s">
        <v>1742</v>
      </c>
      <c r="L1486" s="2">
        <v>45864</v>
      </c>
      <c r="M1486">
        <v>2974.6439999999998</v>
      </c>
      <c r="R1486" t="s">
        <v>1812</v>
      </c>
      <c r="S1486">
        <v>2974.6439999999998</v>
      </c>
      <c r="W1486" s="11" t="s">
        <v>16</v>
      </c>
      <c r="X1486" s="11" t="s">
        <v>1549</v>
      </c>
      <c r="Y1486">
        <v>2974.6439999999998</v>
      </c>
      <c r="AF1486">
        <v>2974.6439999999998</v>
      </c>
      <c r="AG1486" t="s">
        <v>1742</v>
      </c>
    </row>
    <row r="1487" spans="1:33" x14ac:dyDescent="0.3">
      <c r="A1487" t="s">
        <v>821</v>
      </c>
      <c r="B1487" s="2">
        <v>45569</v>
      </c>
      <c r="C1487">
        <v>818.42499999999995</v>
      </c>
      <c r="D1487" t="s">
        <v>1812</v>
      </c>
      <c r="E1487">
        <v>63</v>
      </c>
      <c r="F1487" t="s">
        <v>16</v>
      </c>
      <c r="G1487" t="s">
        <v>1541</v>
      </c>
      <c r="H1487" t="s">
        <v>1742</v>
      </c>
      <c r="L1487" s="2">
        <v>45569</v>
      </c>
      <c r="M1487">
        <v>818.42499999999995</v>
      </c>
      <c r="R1487" t="s">
        <v>1812</v>
      </c>
      <c r="S1487">
        <v>818.42499999999995</v>
      </c>
      <c r="W1487" s="12" t="s">
        <v>16</v>
      </c>
      <c r="X1487" s="12" t="s">
        <v>1541</v>
      </c>
      <c r="Y1487">
        <v>818.42499999999995</v>
      </c>
      <c r="AF1487">
        <v>818.42499999999995</v>
      </c>
      <c r="AG1487" t="s">
        <v>1742</v>
      </c>
    </row>
    <row r="1488" spans="1:33" x14ac:dyDescent="0.3">
      <c r="A1488" t="s">
        <v>1410</v>
      </c>
      <c r="B1488" s="2">
        <v>45664</v>
      </c>
      <c r="C1488">
        <v>435.34199999999998</v>
      </c>
      <c r="D1488" t="s">
        <v>1812</v>
      </c>
      <c r="E1488">
        <v>36</v>
      </c>
      <c r="F1488" t="s">
        <v>16</v>
      </c>
      <c r="G1488" t="s">
        <v>1549</v>
      </c>
      <c r="H1488" t="s">
        <v>1742</v>
      </c>
      <c r="L1488" s="2">
        <v>45664</v>
      </c>
      <c r="M1488">
        <v>435.34199999999998</v>
      </c>
      <c r="R1488" t="s">
        <v>1812</v>
      </c>
      <c r="S1488">
        <v>435.34199999999998</v>
      </c>
      <c r="W1488" s="11" t="s">
        <v>16</v>
      </c>
      <c r="X1488" s="11" t="s">
        <v>1549</v>
      </c>
      <c r="Y1488">
        <v>435.34199999999998</v>
      </c>
      <c r="AF1488">
        <v>435.34199999999998</v>
      </c>
      <c r="AG1488" t="s">
        <v>1742</v>
      </c>
    </row>
    <row r="1489" spans="1:33" x14ac:dyDescent="0.3">
      <c r="A1489" t="s">
        <v>1410</v>
      </c>
      <c r="B1489" s="2">
        <v>45645</v>
      </c>
      <c r="C1489">
        <v>871.39699999999993</v>
      </c>
      <c r="D1489" t="s">
        <v>1809</v>
      </c>
      <c r="E1489">
        <v>36</v>
      </c>
      <c r="F1489" t="s">
        <v>16</v>
      </c>
      <c r="G1489" t="s">
        <v>1527</v>
      </c>
      <c r="H1489" t="s">
        <v>1746</v>
      </c>
      <c r="L1489" s="2">
        <v>45645</v>
      </c>
      <c r="M1489">
        <v>871.39699999999993</v>
      </c>
      <c r="R1489" t="s">
        <v>1809</v>
      </c>
      <c r="S1489">
        <v>871.39699999999993</v>
      </c>
      <c r="W1489" s="12" t="s">
        <v>16</v>
      </c>
      <c r="X1489" s="12" t="s">
        <v>1527</v>
      </c>
      <c r="Y1489">
        <v>871.39699999999993</v>
      </c>
      <c r="AF1489">
        <v>871.39699999999993</v>
      </c>
      <c r="AG1489" t="s">
        <v>1746</v>
      </c>
    </row>
    <row r="1490" spans="1:33" x14ac:dyDescent="0.3">
      <c r="A1490" t="s">
        <v>744</v>
      </c>
      <c r="B1490" s="2">
        <v>45449</v>
      </c>
      <c r="C1490">
        <v>344.53680000000003</v>
      </c>
      <c r="D1490" t="s">
        <v>1809</v>
      </c>
      <c r="E1490">
        <v>43</v>
      </c>
      <c r="F1490" t="s">
        <v>16</v>
      </c>
      <c r="G1490" t="s">
        <v>1541</v>
      </c>
      <c r="H1490" t="s">
        <v>1742</v>
      </c>
      <c r="L1490" s="2">
        <v>45449</v>
      </c>
      <c r="M1490">
        <v>344.53680000000003</v>
      </c>
      <c r="R1490" t="s">
        <v>1809</v>
      </c>
      <c r="S1490">
        <v>344.53680000000003</v>
      </c>
      <c r="W1490" s="11" t="s">
        <v>16</v>
      </c>
      <c r="X1490" s="11" t="s">
        <v>1541</v>
      </c>
      <c r="Y1490">
        <v>344.53680000000003</v>
      </c>
      <c r="AF1490">
        <v>344.53680000000003</v>
      </c>
      <c r="AG1490" t="s">
        <v>1742</v>
      </c>
    </row>
    <row r="1491" spans="1:33" x14ac:dyDescent="0.3">
      <c r="A1491" t="s">
        <v>3951</v>
      </c>
      <c r="B1491" s="2">
        <v>45629</v>
      </c>
      <c r="C1491">
        <v>502.51319999999998</v>
      </c>
      <c r="D1491" t="s">
        <v>1812</v>
      </c>
      <c r="E1491">
        <v>40</v>
      </c>
      <c r="F1491" t="s">
        <v>9</v>
      </c>
      <c r="G1491" t="s">
        <v>1549</v>
      </c>
      <c r="H1491" t="s">
        <v>1746</v>
      </c>
      <c r="L1491" s="2">
        <v>45629</v>
      </c>
      <c r="M1491">
        <v>502.51319999999998</v>
      </c>
      <c r="R1491" t="s">
        <v>1812</v>
      </c>
      <c r="S1491">
        <v>502.51319999999998</v>
      </c>
      <c r="W1491" s="12" t="s">
        <v>9</v>
      </c>
      <c r="X1491" s="12" t="s">
        <v>1549</v>
      </c>
      <c r="Y1491">
        <v>502.51319999999998</v>
      </c>
      <c r="AF1491">
        <v>502.51319999999998</v>
      </c>
      <c r="AG1491" t="s">
        <v>1746</v>
      </c>
    </row>
    <row r="1492" spans="1:33" x14ac:dyDescent="0.3">
      <c r="A1492" t="s">
        <v>86</v>
      </c>
      <c r="B1492" s="2">
        <v>45739</v>
      </c>
      <c r="C1492">
        <v>515.9325</v>
      </c>
      <c r="D1492" t="s">
        <v>1807</v>
      </c>
      <c r="E1492">
        <v>59</v>
      </c>
      <c r="F1492" t="s">
        <v>9</v>
      </c>
      <c r="G1492" t="s">
        <v>1549</v>
      </c>
      <c r="H1492" t="s">
        <v>1746</v>
      </c>
      <c r="L1492" s="2">
        <v>45739</v>
      </c>
      <c r="M1492">
        <v>515.9325</v>
      </c>
      <c r="R1492" t="s">
        <v>1807</v>
      </c>
      <c r="S1492">
        <v>515.9325</v>
      </c>
      <c r="W1492" s="11" t="s">
        <v>9</v>
      </c>
      <c r="X1492" s="11" t="s">
        <v>1549</v>
      </c>
      <c r="Y1492">
        <v>515.9325</v>
      </c>
      <c r="AF1492">
        <v>515.9325</v>
      </c>
      <c r="AG1492" t="s">
        <v>1746</v>
      </c>
    </row>
    <row r="1493" spans="1:33" x14ac:dyDescent="0.3">
      <c r="A1493" t="s">
        <v>153</v>
      </c>
      <c r="B1493" s="2">
        <v>45849</v>
      </c>
      <c r="C1493">
        <v>2101.0626000000002</v>
      </c>
      <c r="D1493" t="s">
        <v>1809</v>
      </c>
      <c r="E1493">
        <v>50</v>
      </c>
      <c r="F1493" t="s">
        <v>9</v>
      </c>
      <c r="G1493" t="s">
        <v>1541</v>
      </c>
      <c r="H1493" t="s">
        <v>1746</v>
      </c>
      <c r="L1493" s="2">
        <v>45849</v>
      </c>
      <c r="M1493">
        <v>2101.0626000000002</v>
      </c>
      <c r="R1493" t="s">
        <v>1809</v>
      </c>
      <c r="S1493">
        <v>2101.0626000000002</v>
      </c>
      <c r="W1493" s="12" t="s">
        <v>9</v>
      </c>
      <c r="X1493" s="12" t="s">
        <v>1541</v>
      </c>
      <c r="Y1493">
        <v>2101.0626000000002</v>
      </c>
      <c r="AF1493">
        <v>2101.0626000000002</v>
      </c>
      <c r="AG1493" t="s">
        <v>1746</v>
      </c>
    </row>
    <row r="1494" spans="1:33" x14ac:dyDescent="0.3">
      <c r="A1494" t="s">
        <v>708</v>
      </c>
      <c r="B1494" s="2">
        <v>45230</v>
      </c>
      <c r="C1494">
        <v>359.19650000000001</v>
      </c>
      <c r="D1494" t="s">
        <v>1807</v>
      </c>
      <c r="E1494">
        <v>38</v>
      </c>
      <c r="F1494" t="s">
        <v>9</v>
      </c>
      <c r="G1494" t="s">
        <v>1546</v>
      </c>
      <c r="H1494" t="s">
        <v>1742</v>
      </c>
      <c r="L1494" s="2">
        <v>45230</v>
      </c>
      <c r="M1494">
        <v>359.19650000000001</v>
      </c>
      <c r="R1494" t="s">
        <v>1807</v>
      </c>
      <c r="S1494">
        <v>359.19650000000001</v>
      </c>
      <c r="W1494" s="11" t="s">
        <v>9</v>
      </c>
      <c r="X1494" s="11" t="s">
        <v>1546</v>
      </c>
      <c r="Y1494">
        <v>359.19650000000001</v>
      </c>
      <c r="AF1494">
        <v>359.19650000000001</v>
      </c>
      <c r="AG1494" t="s">
        <v>1742</v>
      </c>
    </row>
    <row r="1495" spans="1:33" x14ac:dyDescent="0.3">
      <c r="A1495" t="s">
        <v>365</v>
      </c>
      <c r="B1495" s="2">
        <v>45292</v>
      </c>
      <c r="C1495">
        <v>857.1</v>
      </c>
      <c r="D1495" t="s">
        <v>1809</v>
      </c>
      <c r="E1495">
        <v>50</v>
      </c>
      <c r="F1495" t="s">
        <v>16</v>
      </c>
      <c r="G1495" t="s">
        <v>1549</v>
      </c>
      <c r="H1495" t="s">
        <v>1742</v>
      </c>
      <c r="L1495" s="2">
        <v>45292</v>
      </c>
      <c r="M1495">
        <v>857.1</v>
      </c>
      <c r="R1495" t="s">
        <v>1809</v>
      </c>
      <c r="S1495">
        <v>857.1</v>
      </c>
      <c r="W1495" s="12" t="s">
        <v>16</v>
      </c>
      <c r="X1495" s="12" t="s">
        <v>1549</v>
      </c>
      <c r="Y1495">
        <v>857.1</v>
      </c>
      <c r="AF1495">
        <v>857.1</v>
      </c>
      <c r="AG1495" t="s">
        <v>1742</v>
      </c>
    </row>
    <row r="1496" spans="1:33" x14ac:dyDescent="0.3">
      <c r="A1496" t="s">
        <v>732</v>
      </c>
      <c r="B1496" s="2">
        <v>45251</v>
      </c>
      <c r="C1496">
        <v>1112.9536000000001</v>
      </c>
      <c r="D1496" t="s">
        <v>1807</v>
      </c>
      <c r="E1496">
        <v>29</v>
      </c>
      <c r="F1496" t="s">
        <v>9</v>
      </c>
      <c r="G1496" t="s">
        <v>1527</v>
      </c>
      <c r="H1496" t="s">
        <v>1742</v>
      </c>
      <c r="L1496" s="2">
        <v>45251</v>
      </c>
      <c r="M1496">
        <v>1112.9536000000001</v>
      </c>
      <c r="R1496" t="s">
        <v>1807</v>
      </c>
      <c r="S1496">
        <v>1112.9536000000001</v>
      </c>
      <c r="W1496" s="11" t="s">
        <v>9</v>
      </c>
      <c r="X1496" s="11" t="s">
        <v>1527</v>
      </c>
      <c r="Y1496">
        <v>1112.9536000000001</v>
      </c>
      <c r="AF1496">
        <v>1112.9536000000001</v>
      </c>
      <c r="AG1496" t="s">
        <v>1742</v>
      </c>
    </row>
    <row r="1497" spans="1:33" x14ac:dyDescent="0.3">
      <c r="A1497" t="s">
        <v>41</v>
      </c>
      <c r="B1497" s="2">
        <v>45555</v>
      </c>
      <c r="C1497">
        <v>413.5335</v>
      </c>
      <c r="D1497" t="s">
        <v>1809</v>
      </c>
      <c r="E1497">
        <v>53</v>
      </c>
      <c r="F1497" t="s">
        <v>16</v>
      </c>
      <c r="G1497" t="s">
        <v>1546</v>
      </c>
      <c r="H1497" t="s">
        <v>1742</v>
      </c>
      <c r="L1497" s="2">
        <v>45555</v>
      </c>
      <c r="M1497">
        <v>413.5335</v>
      </c>
      <c r="R1497" t="s">
        <v>1809</v>
      </c>
      <c r="S1497">
        <v>413.5335</v>
      </c>
      <c r="W1497" s="12" t="s">
        <v>16</v>
      </c>
      <c r="X1497" s="12" t="s">
        <v>1546</v>
      </c>
      <c r="Y1497">
        <v>413.5335</v>
      </c>
      <c r="AF1497">
        <v>413.5335</v>
      </c>
      <c r="AG1497" t="s">
        <v>1742</v>
      </c>
    </row>
    <row r="1498" spans="1:33" x14ac:dyDescent="0.3">
      <c r="A1498" t="s">
        <v>1031</v>
      </c>
      <c r="B1498" s="2">
        <v>45385</v>
      </c>
      <c r="C1498">
        <v>2010.6432</v>
      </c>
      <c r="D1498" t="s">
        <v>1809</v>
      </c>
      <c r="E1498">
        <v>34</v>
      </c>
      <c r="F1498" t="s">
        <v>16</v>
      </c>
      <c r="G1498" t="s">
        <v>1546</v>
      </c>
      <c r="H1498" t="s">
        <v>1742</v>
      </c>
      <c r="L1498" s="2">
        <v>45385</v>
      </c>
      <c r="M1498">
        <v>2010.6432</v>
      </c>
      <c r="R1498" t="s">
        <v>1809</v>
      </c>
      <c r="S1498">
        <v>2010.6432</v>
      </c>
      <c r="W1498" s="11" t="s">
        <v>16</v>
      </c>
      <c r="X1498" s="11" t="s">
        <v>1546</v>
      </c>
      <c r="Y1498">
        <v>2010.6432</v>
      </c>
      <c r="AF1498">
        <v>2010.6432</v>
      </c>
      <c r="AG1498" t="s">
        <v>1742</v>
      </c>
    </row>
    <row r="1499" spans="1:33" x14ac:dyDescent="0.3">
      <c r="A1499" t="s">
        <v>969</v>
      </c>
      <c r="B1499" s="2">
        <v>45787</v>
      </c>
      <c r="C1499">
        <v>444.61439999999988</v>
      </c>
      <c r="D1499" t="s">
        <v>1812</v>
      </c>
      <c r="E1499">
        <v>35</v>
      </c>
      <c r="F1499" t="s">
        <v>9</v>
      </c>
      <c r="G1499" t="s">
        <v>1546</v>
      </c>
      <c r="H1499" t="s">
        <v>1742</v>
      </c>
      <c r="L1499" s="2">
        <v>45787</v>
      </c>
      <c r="M1499">
        <v>444.61439999999988</v>
      </c>
      <c r="R1499" t="s">
        <v>1812</v>
      </c>
      <c r="S1499">
        <v>444.61439999999988</v>
      </c>
      <c r="W1499" s="12" t="s">
        <v>9</v>
      </c>
      <c r="X1499" s="12" t="s">
        <v>1546</v>
      </c>
      <c r="Y1499">
        <v>444.61439999999988</v>
      </c>
      <c r="AF1499">
        <v>444.61439999999988</v>
      </c>
      <c r="AG1499" t="s">
        <v>1742</v>
      </c>
    </row>
    <row r="1500" spans="1:33" x14ac:dyDescent="0.3">
      <c r="A1500" t="s">
        <v>673</v>
      </c>
      <c r="B1500" s="2">
        <v>45822</v>
      </c>
      <c r="C1500">
        <v>1533.8240000000001</v>
      </c>
      <c r="D1500" t="s">
        <v>1809</v>
      </c>
      <c r="E1500">
        <v>50</v>
      </c>
      <c r="F1500" t="s">
        <v>16</v>
      </c>
      <c r="G1500" t="s">
        <v>1541</v>
      </c>
      <c r="H1500" t="s">
        <v>1746</v>
      </c>
      <c r="L1500" s="2">
        <v>45822</v>
      </c>
      <c r="M1500">
        <v>1533.8240000000001</v>
      </c>
      <c r="R1500" t="s">
        <v>1809</v>
      </c>
      <c r="S1500">
        <v>1533.8240000000001</v>
      </c>
      <c r="W1500" s="11" t="s">
        <v>16</v>
      </c>
      <c r="X1500" s="11" t="s">
        <v>1541</v>
      </c>
      <c r="Y1500">
        <v>1533.8240000000001</v>
      </c>
      <c r="AF1500">
        <v>1533.8240000000001</v>
      </c>
      <c r="AG1500" t="s">
        <v>1746</v>
      </c>
    </row>
    <row r="1501" spans="1:33" x14ac:dyDescent="0.3">
      <c r="A1501" t="s">
        <v>1416</v>
      </c>
      <c r="B1501" s="2">
        <v>45590</v>
      </c>
      <c r="C1501">
        <v>1081.0134</v>
      </c>
      <c r="D1501" t="s">
        <v>1812</v>
      </c>
      <c r="E1501">
        <v>28</v>
      </c>
      <c r="F1501" t="s">
        <v>16</v>
      </c>
      <c r="G1501" t="s">
        <v>1549</v>
      </c>
      <c r="H1501" t="s">
        <v>1742</v>
      </c>
      <c r="L1501" s="2">
        <v>45590</v>
      </c>
      <c r="M1501">
        <v>1081.0134</v>
      </c>
      <c r="R1501" t="s">
        <v>1812</v>
      </c>
      <c r="S1501">
        <v>1081.0134</v>
      </c>
      <c r="W1501" s="12" t="s">
        <v>16</v>
      </c>
      <c r="X1501" s="12" t="s">
        <v>1549</v>
      </c>
      <c r="Y1501">
        <v>1081.0134</v>
      </c>
      <c r="AF1501">
        <v>1081.0134</v>
      </c>
      <c r="AG1501" t="s">
        <v>1742</v>
      </c>
    </row>
    <row r="1502" spans="1:33" x14ac:dyDescent="0.3">
      <c r="A1502" t="s">
        <v>389</v>
      </c>
      <c r="B1502" s="2">
        <v>45618</v>
      </c>
      <c r="C1502">
        <v>618.69359999999995</v>
      </c>
      <c r="D1502" t="s">
        <v>1809</v>
      </c>
      <c r="E1502">
        <v>51</v>
      </c>
      <c r="F1502" t="s">
        <v>9</v>
      </c>
      <c r="G1502" t="s">
        <v>1527</v>
      </c>
      <c r="H1502" t="s">
        <v>1742</v>
      </c>
      <c r="L1502" s="2">
        <v>45618</v>
      </c>
      <c r="M1502">
        <v>618.69359999999995</v>
      </c>
      <c r="R1502" t="s">
        <v>1809</v>
      </c>
      <c r="S1502">
        <v>618.69359999999995</v>
      </c>
      <c r="W1502" s="11" t="s">
        <v>9</v>
      </c>
      <c r="X1502" s="11" t="s">
        <v>1527</v>
      </c>
      <c r="Y1502">
        <v>618.69359999999995</v>
      </c>
      <c r="AF1502">
        <v>618.69359999999995</v>
      </c>
      <c r="AG1502" t="s">
        <v>1742</v>
      </c>
    </row>
    <row r="1503" spans="1:33" x14ac:dyDescent="0.3">
      <c r="A1503" t="s">
        <v>1236</v>
      </c>
      <c r="B1503" s="2">
        <v>45586</v>
      </c>
      <c r="C1503">
        <v>377.28</v>
      </c>
      <c r="D1503" t="s">
        <v>1807</v>
      </c>
      <c r="E1503">
        <v>31</v>
      </c>
      <c r="F1503" t="s">
        <v>9</v>
      </c>
      <c r="G1503" t="s">
        <v>1549</v>
      </c>
      <c r="H1503" t="s">
        <v>1742</v>
      </c>
      <c r="L1503" s="2">
        <v>45586</v>
      </c>
      <c r="M1503">
        <v>377.28</v>
      </c>
      <c r="R1503" t="s">
        <v>1807</v>
      </c>
      <c r="S1503">
        <v>377.28</v>
      </c>
      <c r="W1503" s="12" t="s">
        <v>9</v>
      </c>
      <c r="X1503" s="12" t="s">
        <v>1549</v>
      </c>
      <c r="Y1503">
        <v>377.28</v>
      </c>
      <c r="AF1503">
        <v>377.28</v>
      </c>
      <c r="AG1503" t="s">
        <v>1742</v>
      </c>
    </row>
    <row r="1504" spans="1:33" x14ac:dyDescent="0.3">
      <c r="A1504" t="s">
        <v>3937</v>
      </c>
      <c r="B1504" s="2">
        <v>45548</v>
      </c>
      <c r="C1504">
        <v>1630.3391999999999</v>
      </c>
      <c r="D1504" t="s">
        <v>1812</v>
      </c>
      <c r="E1504">
        <v>54</v>
      </c>
      <c r="F1504" t="s">
        <v>16</v>
      </c>
      <c r="G1504" t="s">
        <v>1549</v>
      </c>
      <c r="H1504" t="s">
        <v>1742</v>
      </c>
      <c r="L1504" s="2">
        <v>45548</v>
      </c>
      <c r="M1504">
        <v>1630.3391999999999</v>
      </c>
      <c r="R1504" t="s">
        <v>1812</v>
      </c>
      <c r="S1504">
        <v>1630.3391999999999</v>
      </c>
      <c r="W1504" s="11" t="s">
        <v>16</v>
      </c>
      <c r="X1504" s="11" t="s">
        <v>1549</v>
      </c>
      <c r="Y1504">
        <v>1630.3391999999999</v>
      </c>
      <c r="AF1504">
        <v>1630.3391999999999</v>
      </c>
      <c r="AG1504" t="s">
        <v>1742</v>
      </c>
    </row>
    <row r="1505" spans="1:33" x14ac:dyDescent="0.3">
      <c r="A1505" t="s">
        <v>821</v>
      </c>
      <c r="B1505" s="2">
        <v>45772</v>
      </c>
      <c r="C1505">
        <v>229.3109</v>
      </c>
      <c r="D1505" t="s">
        <v>1807</v>
      </c>
      <c r="E1505">
        <v>63</v>
      </c>
      <c r="F1505" t="s">
        <v>16</v>
      </c>
      <c r="G1505" t="s">
        <v>1527</v>
      </c>
      <c r="H1505" t="s">
        <v>1742</v>
      </c>
      <c r="L1505" s="2">
        <v>45772</v>
      </c>
      <c r="M1505">
        <v>229.3109</v>
      </c>
      <c r="R1505" t="s">
        <v>1807</v>
      </c>
      <c r="S1505">
        <v>229.3109</v>
      </c>
      <c r="W1505" s="12" t="s">
        <v>16</v>
      </c>
      <c r="X1505" s="12" t="s">
        <v>1527</v>
      </c>
      <c r="Y1505">
        <v>229.3109</v>
      </c>
      <c r="AF1505">
        <v>229.3109</v>
      </c>
      <c r="AG1505" t="s">
        <v>1742</v>
      </c>
    </row>
    <row r="1506" spans="1:33" x14ac:dyDescent="0.3">
      <c r="A1506" t="s">
        <v>711</v>
      </c>
      <c r="B1506" s="2">
        <v>45361</v>
      </c>
      <c r="C1506">
        <v>189.21600000000001</v>
      </c>
      <c r="D1506" t="s">
        <v>1812</v>
      </c>
      <c r="E1506">
        <v>35</v>
      </c>
      <c r="F1506" t="s">
        <v>9</v>
      </c>
      <c r="G1506" t="s">
        <v>1549</v>
      </c>
      <c r="H1506" t="s">
        <v>1742</v>
      </c>
      <c r="L1506" s="2">
        <v>45361</v>
      </c>
      <c r="M1506">
        <v>189.21600000000001</v>
      </c>
      <c r="R1506" t="s">
        <v>1812</v>
      </c>
      <c r="S1506">
        <v>189.21600000000001</v>
      </c>
      <c r="W1506" s="11" t="s">
        <v>9</v>
      </c>
      <c r="X1506" s="11" t="s">
        <v>1549</v>
      </c>
      <c r="Y1506">
        <v>189.21600000000001</v>
      </c>
      <c r="AF1506">
        <v>189.21600000000001</v>
      </c>
      <c r="AG1506" t="s">
        <v>1742</v>
      </c>
    </row>
    <row r="1507" spans="1:33" x14ac:dyDescent="0.3">
      <c r="A1507" t="s">
        <v>1365</v>
      </c>
      <c r="B1507" s="2">
        <v>45235</v>
      </c>
      <c r="C1507">
        <v>692.38839999999993</v>
      </c>
      <c r="D1507" t="s">
        <v>1809</v>
      </c>
      <c r="E1507">
        <v>45</v>
      </c>
      <c r="F1507" t="s">
        <v>9</v>
      </c>
      <c r="G1507" t="s">
        <v>1541</v>
      </c>
      <c r="H1507" t="s">
        <v>1742</v>
      </c>
      <c r="L1507" s="2">
        <v>45235</v>
      </c>
      <c r="M1507">
        <v>692.38839999999993</v>
      </c>
      <c r="R1507" t="s">
        <v>1809</v>
      </c>
      <c r="S1507">
        <v>692.38839999999993</v>
      </c>
      <c r="W1507" s="12" t="s">
        <v>9</v>
      </c>
      <c r="X1507" s="12" t="s">
        <v>1541</v>
      </c>
      <c r="Y1507">
        <v>692.38839999999993</v>
      </c>
      <c r="AF1507">
        <v>692.38839999999993</v>
      </c>
      <c r="AG1507" t="s">
        <v>1742</v>
      </c>
    </row>
    <row r="1508" spans="1:33" x14ac:dyDescent="0.3">
      <c r="A1508" t="s">
        <v>1431</v>
      </c>
      <c r="B1508" s="2">
        <v>45864</v>
      </c>
      <c r="C1508">
        <v>1884.54</v>
      </c>
      <c r="D1508" t="s">
        <v>1807</v>
      </c>
      <c r="E1508">
        <v>21</v>
      </c>
      <c r="F1508" t="s">
        <v>16</v>
      </c>
      <c r="G1508" t="s">
        <v>1527</v>
      </c>
      <c r="H1508" t="s">
        <v>1767</v>
      </c>
      <c r="L1508" s="2">
        <v>45864</v>
      </c>
      <c r="M1508">
        <v>1884.54</v>
      </c>
      <c r="R1508" t="s">
        <v>1807</v>
      </c>
      <c r="S1508">
        <v>1884.54</v>
      </c>
      <c r="W1508" s="11" t="s">
        <v>16</v>
      </c>
      <c r="X1508" s="11" t="s">
        <v>1527</v>
      </c>
      <c r="Y1508">
        <v>1884.54</v>
      </c>
      <c r="AF1508">
        <v>1884.54</v>
      </c>
      <c r="AG1508" t="s">
        <v>1767</v>
      </c>
    </row>
    <row r="1509" spans="1:33" x14ac:dyDescent="0.3">
      <c r="A1509" t="s">
        <v>1142</v>
      </c>
      <c r="B1509" s="2">
        <v>45681</v>
      </c>
      <c r="C1509">
        <v>906.50339999999994</v>
      </c>
      <c r="D1509" t="s">
        <v>1812</v>
      </c>
      <c r="E1509">
        <v>45</v>
      </c>
      <c r="F1509" t="s">
        <v>9</v>
      </c>
      <c r="G1509" t="s">
        <v>1549</v>
      </c>
      <c r="H1509" t="s">
        <v>1742</v>
      </c>
      <c r="L1509" s="2">
        <v>45681</v>
      </c>
      <c r="M1509">
        <v>906.50339999999994</v>
      </c>
      <c r="R1509" t="s">
        <v>1812</v>
      </c>
      <c r="S1509">
        <v>906.50339999999994</v>
      </c>
      <c r="W1509" s="12" t="s">
        <v>9</v>
      </c>
      <c r="X1509" s="12" t="s">
        <v>1549</v>
      </c>
      <c r="Y1509">
        <v>906.50339999999994</v>
      </c>
      <c r="AF1509">
        <v>906.50339999999994</v>
      </c>
      <c r="AG1509" t="s">
        <v>1742</v>
      </c>
    </row>
    <row r="1510" spans="1:33" x14ac:dyDescent="0.3">
      <c r="A1510" t="s">
        <v>543</v>
      </c>
      <c r="B1510" s="2">
        <v>45905</v>
      </c>
      <c r="C1510">
        <v>716.1336</v>
      </c>
      <c r="D1510" t="s">
        <v>1807</v>
      </c>
      <c r="E1510">
        <v>47</v>
      </c>
      <c r="F1510" t="s">
        <v>16</v>
      </c>
      <c r="G1510" t="s">
        <v>1546</v>
      </c>
      <c r="H1510" t="s">
        <v>1742</v>
      </c>
      <c r="L1510" s="2">
        <v>45905</v>
      </c>
      <c r="M1510">
        <v>716.1336</v>
      </c>
      <c r="R1510" t="s">
        <v>1807</v>
      </c>
      <c r="S1510">
        <v>716.1336</v>
      </c>
      <c r="W1510" s="11" t="s">
        <v>16</v>
      </c>
      <c r="X1510" s="11" t="s">
        <v>1546</v>
      </c>
      <c r="Y1510">
        <v>716.1336</v>
      </c>
      <c r="AF1510">
        <v>716.1336</v>
      </c>
      <c r="AG1510" t="s">
        <v>1742</v>
      </c>
    </row>
    <row r="1511" spans="1:33" x14ac:dyDescent="0.3">
      <c r="A1511" t="s">
        <v>780</v>
      </c>
      <c r="B1511" s="2">
        <v>45765</v>
      </c>
      <c r="C1511">
        <v>137.697</v>
      </c>
      <c r="D1511" t="s">
        <v>1812</v>
      </c>
      <c r="E1511">
        <v>58</v>
      </c>
      <c r="F1511" t="s">
        <v>9</v>
      </c>
      <c r="G1511" t="s">
        <v>1546</v>
      </c>
      <c r="H1511" t="s">
        <v>1737</v>
      </c>
      <c r="L1511" s="2">
        <v>45765</v>
      </c>
      <c r="M1511">
        <v>137.697</v>
      </c>
      <c r="R1511" t="s">
        <v>1812</v>
      </c>
      <c r="S1511">
        <v>137.697</v>
      </c>
      <c r="W1511" s="12" t="s">
        <v>9</v>
      </c>
      <c r="X1511" s="12" t="s">
        <v>1546</v>
      </c>
      <c r="Y1511">
        <v>137.697</v>
      </c>
      <c r="AF1511">
        <v>137.697</v>
      </c>
      <c r="AG1511" t="s">
        <v>1737</v>
      </c>
    </row>
    <row r="1512" spans="1:33" x14ac:dyDescent="0.3">
      <c r="A1512" t="s">
        <v>531</v>
      </c>
      <c r="B1512" s="2">
        <v>45821</v>
      </c>
      <c r="C1512">
        <v>1345.6368</v>
      </c>
      <c r="D1512" t="s">
        <v>1809</v>
      </c>
      <c r="E1512">
        <v>18</v>
      </c>
      <c r="F1512" t="s">
        <v>16</v>
      </c>
      <c r="G1512" t="s">
        <v>1530</v>
      </c>
      <c r="H1512" t="s">
        <v>1742</v>
      </c>
      <c r="L1512" s="2">
        <v>45821</v>
      </c>
      <c r="M1512">
        <v>1345.6368</v>
      </c>
      <c r="R1512" t="s">
        <v>1809</v>
      </c>
      <c r="S1512">
        <v>1345.6368</v>
      </c>
      <c r="W1512" s="11" t="s">
        <v>16</v>
      </c>
      <c r="X1512" s="11" t="s">
        <v>1530</v>
      </c>
      <c r="Y1512">
        <v>1345.6368</v>
      </c>
      <c r="AF1512">
        <v>1345.6368</v>
      </c>
      <c r="AG1512" t="s">
        <v>1742</v>
      </c>
    </row>
    <row r="1513" spans="1:33" x14ac:dyDescent="0.3">
      <c r="A1513" t="s">
        <v>795</v>
      </c>
      <c r="B1513" s="2">
        <v>45691</v>
      </c>
      <c r="C1513">
        <v>148.49160000000001</v>
      </c>
      <c r="D1513" t="s">
        <v>1809</v>
      </c>
      <c r="E1513">
        <v>64</v>
      </c>
      <c r="F1513" t="s">
        <v>9</v>
      </c>
      <c r="G1513" t="s">
        <v>1527</v>
      </c>
      <c r="H1513" t="s">
        <v>1742</v>
      </c>
      <c r="L1513" s="2">
        <v>45691</v>
      </c>
      <c r="M1513">
        <v>148.49160000000001</v>
      </c>
      <c r="R1513" t="s">
        <v>1809</v>
      </c>
      <c r="S1513">
        <v>148.49160000000001</v>
      </c>
      <c r="W1513" s="12" t="s">
        <v>9</v>
      </c>
      <c r="X1513" s="12" t="s">
        <v>1527</v>
      </c>
      <c r="Y1513">
        <v>148.49160000000001</v>
      </c>
      <c r="AF1513">
        <v>148.49160000000001</v>
      </c>
      <c r="AG1513" t="s">
        <v>1742</v>
      </c>
    </row>
    <row r="1514" spans="1:33" x14ac:dyDescent="0.3">
      <c r="A1514" t="s">
        <v>340</v>
      </c>
      <c r="B1514" s="2">
        <v>45860</v>
      </c>
      <c r="C1514">
        <v>2936.0144</v>
      </c>
      <c r="D1514" t="s">
        <v>1807</v>
      </c>
      <c r="E1514">
        <v>36</v>
      </c>
      <c r="F1514" t="s">
        <v>9</v>
      </c>
      <c r="G1514" t="s">
        <v>1530</v>
      </c>
      <c r="H1514" t="s">
        <v>1767</v>
      </c>
      <c r="L1514" s="2">
        <v>45860</v>
      </c>
      <c r="M1514">
        <v>2936.0144</v>
      </c>
      <c r="R1514" t="s">
        <v>1807</v>
      </c>
      <c r="S1514">
        <v>2936.0144</v>
      </c>
      <c r="W1514" s="11" t="s">
        <v>9</v>
      </c>
      <c r="X1514" s="11" t="s">
        <v>1530</v>
      </c>
      <c r="Y1514">
        <v>2936.0144</v>
      </c>
      <c r="AF1514">
        <v>2936.0144</v>
      </c>
      <c r="AG1514" t="s">
        <v>1767</v>
      </c>
    </row>
    <row r="1515" spans="1:33" x14ac:dyDescent="0.3">
      <c r="A1515" t="s">
        <v>346</v>
      </c>
      <c r="B1515" s="2">
        <v>45922</v>
      </c>
      <c r="C1515">
        <v>328.02</v>
      </c>
      <c r="D1515" t="s">
        <v>1807</v>
      </c>
      <c r="E1515">
        <v>35</v>
      </c>
      <c r="F1515" t="s">
        <v>9</v>
      </c>
      <c r="G1515" t="s">
        <v>1549</v>
      </c>
      <c r="H1515" t="s">
        <v>1742</v>
      </c>
      <c r="L1515" s="2">
        <v>45922</v>
      </c>
      <c r="M1515">
        <v>328.02</v>
      </c>
      <c r="R1515" t="s">
        <v>1807</v>
      </c>
      <c r="S1515">
        <v>328.02</v>
      </c>
      <c r="W1515" s="12" t="s">
        <v>9</v>
      </c>
      <c r="X1515" s="12" t="s">
        <v>1549</v>
      </c>
      <c r="Y1515">
        <v>328.02</v>
      </c>
      <c r="AF1515">
        <v>328.02</v>
      </c>
      <c r="AG1515" t="s">
        <v>1742</v>
      </c>
    </row>
    <row r="1516" spans="1:33" x14ac:dyDescent="0.3">
      <c r="A1516" t="s">
        <v>1223</v>
      </c>
      <c r="B1516" s="2">
        <v>45477</v>
      </c>
      <c r="C1516">
        <v>944.47099999999989</v>
      </c>
      <c r="D1516" t="s">
        <v>1809</v>
      </c>
      <c r="E1516">
        <v>62</v>
      </c>
      <c r="F1516" t="s">
        <v>16</v>
      </c>
      <c r="G1516" t="s">
        <v>1549</v>
      </c>
      <c r="H1516" t="s">
        <v>1746</v>
      </c>
      <c r="L1516" s="2">
        <v>45477</v>
      </c>
      <c r="M1516">
        <v>944.47099999999989</v>
      </c>
      <c r="R1516" t="s">
        <v>1809</v>
      </c>
      <c r="S1516">
        <v>944.47099999999989</v>
      </c>
      <c r="W1516" s="11" t="s">
        <v>16</v>
      </c>
      <c r="X1516" s="11" t="s">
        <v>1549</v>
      </c>
      <c r="Y1516">
        <v>944.47099999999989</v>
      </c>
      <c r="AF1516">
        <v>944.47099999999989</v>
      </c>
      <c r="AG1516" t="s">
        <v>1746</v>
      </c>
    </row>
    <row r="1517" spans="1:33" x14ac:dyDescent="0.3">
      <c r="A1517" t="s">
        <v>3950</v>
      </c>
      <c r="B1517" s="2">
        <v>45504</v>
      </c>
      <c r="C1517">
        <v>126.5916</v>
      </c>
      <c r="D1517" t="s">
        <v>1807</v>
      </c>
      <c r="E1517">
        <v>35</v>
      </c>
      <c r="F1517" t="s">
        <v>9</v>
      </c>
      <c r="G1517" t="s">
        <v>1549</v>
      </c>
      <c r="H1517" t="s">
        <v>1742</v>
      </c>
      <c r="L1517" s="2">
        <v>45504</v>
      </c>
      <c r="M1517">
        <v>126.5916</v>
      </c>
      <c r="R1517" t="s">
        <v>1807</v>
      </c>
      <c r="S1517">
        <v>126.5916</v>
      </c>
      <c r="W1517" s="12" t="s">
        <v>9</v>
      </c>
      <c r="X1517" s="12" t="s">
        <v>1549</v>
      </c>
      <c r="Y1517">
        <v>126.5916</v>
      </c>
      <c r="AF1517">
        <v>126.5916</v>
      </c>
      <c r="AG1517" t="s">
        <v>1742</v>
      </c>
    </row>
    <row r="1518" spans="1:33" x14ac:dyDescent="0.3">
      <c r="A1518" t="s">
        <v>125</v>
      </c>
      <c r="B1518" s="2">
        <v>45862</v>
      </c>
      <c r="C1518">
        <v>1579.7805000000001</v>
      </c>
      <c r="D1518" t="s">
        <v>1809</v>
      </c>
      <c r="E1518">
        <v>41</v>
      </c>
      <c r="F1518" t="s">
        <v>9</v>
      </c>
      <c r="G1518" t="s">
        <v>1549</v>
      </c>
      <c r="H1518" t="s">
        <v>1742</v>
      </c>
      <c r="L1518" s="2">
        <v>45862</v>
      </c>
      <c r="M1518">
        <v>1579.7805000000001</v>
      </c>
      <c r="R1518" t="s">
        <v>1809</v>
      </c>
      <c r="S1518">
        <v>1579.7805000000001</v>
      </c>
      <c r="W1518" s="11" t="s">
        <v>9</v>
      </c>
      <c r="X1518" s="11" t="s">
        <v>1549</v>
      </c>
      <c r="Y1518">
        <v>1579.7805000000001</v>
      </c>
      <c r="AF1518">
        <v>1579.7805000000001</v>
      </c>
      <c r="AG1518" t="s">
        <v>1742</v>
      </c>
    </row>
    <row r="1519" spans="1:33" x14ac:dyDescent="0.3">
      <c r="A1519" t="s">
        <v>1025</v>
      </c>
      <c r="B1519" s="2">
        <v>45579</v>
      </c>
      <c r="C1519">
        <v>682.55600000000004</v>
      </c>
      <c r="D1519" t="s">
        <v>1807</v>
      </c>
      <c r="E1519">
        <v>54</v>
      </c>
      <c r="F1519" t="s">
        <v>9</v>
      </c>
      <c r="G1519" t="s">
        <v>1541</v>
      </c>
      <c r="H1519" t="s">
        <v>1737</v>
      </c>
      <c r="L1519" s="2">
        <v>45579</v>
      </c>
      <c r="M1519">
        <v>682.55600000000004</v>
      </c>
      <c r="R1519" t="s">
        <v>1807</v>
      </c>
      <c r="S1519">
        <v>682.55600000000004</v>
      </c>
      <c r="W1519" s="12" t="s">
        <v>9</v>
      </c>
      <c r="X1519" s="12" t="s">
        <v>1541</v>
      </c>
      <c r="Y1519">
        <v>682.55600000000004</v>
      </c>
      <c r="AF1519">
        <v>682.55600000000004</v>
      </c>
      <c r="AG1519" t="s">
        <v>1737</v>
      </c>
    </row>
    <row r="1520" spans="1:33" x14ac:dyDescent="0.3">
      <c r="A1520" t="s">
        <v>924</v>
      </c>
      <c r="B1520" s="2">
        <v>45658</v>
      </c>
      <c r="C1520">
        <v>1877.6687999999999</v>
      </c>
      <c r="D1520" t="s">
        <v>1809</v>
      </c>
      <c r="E1520">
        <v>19</v>
      </c>
      <c r="F1520" t="s">
        <v>16</v>
      </c>
      <c r="G1520" t="s">
        <v>1549</v>
      </c>
      <c r="H1520" t="s">
        <v>1742</v>
      </c>
      <c r="L1520" s="2">
        <v>45658</v>
      </c>
      <c r="M1520">
        <v>1877.6687999999999</v>
      </c>
      <c r="R1520" t="s">
        <v>1809</v>
      </c>
      <c r="S1520">
        <v>1877.6687999999999</v>
      </c>
      <c r="W1520" s="11" t="s">
        <v>16</v>
      </c>
      <c r="X1520" s="11" t="s">
        <v>1549</v>
      </c>
      <c r="Y1520">
        <v>1877.6687999999999</v>
      </c>
      <c r="AF1520">
        <v>1877.6687999999999</v>
      </c>
      <c r="AG1520" t="s">
        <v>1742</v>
      </c>
    </row>
    <row r="1521" spans="1:33" x14ac:dyDescent="0.3">
      <c r="A1521" t="s">
        <v>563</v>
      </c>
      <c r="B1521" s="2">
        <v>45664</v>
      </c>
      <c r="C1521">
        <v>1289.6099999999999</v>
      </c>
      <c r="D1521" t="s">
        <v>1812</v>
      </c>
      <c r="E1521">
        <v>41</v>
      </c>
      <c r="F1521" t="s">
        <v>16</v>
      </c>
      <c r="G1521" t="s">
        <v>1541</v>
      </c>
      <c r="H1521" t="s">
        <v>1737</v>
      </c>
      <c r="L1521" s="2">
        <v>45664</v>
      </c>
      <c r="M1521">
        <v>1289.6099999999999</v>
      </c>
      <c r="R1521" t="s">
        <v>1812</v>
      </c>
      <c r="S1521">
        <v>1289.6099999999999</v>
      </c>
      <c r="W1521" s="12" t="s">
        <v>16</v>
      </c>
      <c r="X1521" s="12" t="s">
        <v>1541</v>
      </c>
      <c r="Y1521">
        <v>1289.6099999999999</v>
      </c>
      <c r="AF1521">
        <v>1289.6099999999999</v>
      </c>
      <c r="AG1521" t="s">
        <v>1737</v>
      </c>
    </row>
    <row r="1522" spans="1:33" x14ac:dyDescent="0.3">
      <c r="A1522" t="s">
        <v>371</v>
      </c>
      <c r="B1522" s="2">
        <v>45936</v>
      </c>
      <c r="C1522">
        <v>1631.2854</v>
      </c>
      <c r="D1522" t="s">
        <v>1812</v>
      </c>
      <c r="E1522">
        <v>62</v>
      </c>
      <c r="F1522" t="s">
        <v>16</v>
      </c>
      <c r="G1522" t="s">
        <v>1549</v>
      </c>
      <c r="H1522" t="s">
        <v>1742</v>
      </c>
      <c r="L1522" s="2">
        <v>45936</v>
      </c>
      <c r="M1522">
        <v>1631.2854</v>
      </c>
      <c r="R1522" t="s">
        <v>1812</v>
      </c>
      <c r="S1522">
        <v>1631.2854</v>
      </c>
      <c r="W1522" s="11" t="s">
        <v>16</v>
      </c>
      <c r="X1522" s="11" t="s">
        <v>1549</v>
      </c>
      <c r="Y1522">
        <v>1631.2854</v>
      </c>
      <c r="AF1522">
        <v>1631.2854</v>
      </c>
      <c r="AG1522" t="s">
        <v>1742</v>
      </c>
    </row>
    <row r="1523" spans="1:33" x14ac:dyDescent="0.3">
      <c r="A1523" t="s">
        <v>206</v>
      </c>
      <c r="B1523" s="2">
        <v>45344</v>
      </c>
      <c r="C1523">
        <v>392.02720000000011</v>
      </c>
      <c r="D1523" t="s">
        <v>1812</v>
      </c>
      <c r="E1523">
        <v>49</v>
      </c>
      <c r="F1523" t="s">
        <v>16</v>
      </c>
      <c r="G1523" t="s">
        <v>1527</v>
      </c>
      <c r="H1523" t="s">
        <v>1742</v>
      </c>
      <c r="L1523" s="2">
        <v>45344</v>
      </c>
      <c r="M1523">
        <v>392.02720000000011</v>
      </c>
      <c r="R1523" t="s">
        <v>1812</v>
      </c>
      <c r="S1523">
        <v>392.02720000000011</v>
      </c>
      <c r="W1523" s="12" t="s">
        <v>16</v>
      </c>
      <c r="X1523" s="12" t="s">
        <v>1527</v>
      </c>
      <c r="Y1523">
        <v>392.02720000000011</v>
      </c>
      <c r="AF1523">
        <v>392.02720000000011</v>
      </c>
      <c r="AG1523" t="s">
        <v>1742</v>
      </c>
    </row>
    <row r="1524" spans="1:33" x14ac:dyDescent="0.3">
      <c r="A1524" t="s">
        <v>76</v>
      </c>
      <c r="B1524" s="2">
        <v>45329</v>
      </c>
      <c r="C1524">
        <v>576.97299999999996</v>
      </c>
      <c r="D1524" t="s">
        <v>1809</v>
      </c>
      <c r="E1524">
        <v>60</v>
      </c>
      <c r="F1524" t="s">
        <v>16</v>
      </c>
      <c r="G1524" t="s">
        <v>1541</v>
      </c>
      <c r="H1524" t="s">
        <v>1742</v>
      </c>
      <c r="L1524" s="2">
        <v>45329</v>
      </c>
      <c r="M1524">
        <v>576.97299999999996</v>
      </c>
      <c r="R1524" t="s">
        <v>1809</v>
      </c>
      <c r="S1524">
        <v>576.97299999999996</v>
      </c>
      <c r="W1524" s="11" t="s">
        <v>16</v>
      </c>
      <c r="X1524" s="11" t="s">
        <v>1541</v>
      </c>
      <c r="Y1524">
        <v>576.97299999999996</v>
      </c>
      <c r="AF1524">
        <v>576.97299999999996</v>
      </c>
      <c r="AG1524" t="s">
        <v>1742</v>
      </c>
    </row>
    <row r="1525" spans="1:33" x14ac:dyDescent="0.3">
      <c r="A1525" t="s">
        <v>1046</v>
      </c>
      <c r="B1525" s="2">
        <v>45895</v>
      </c>
      <c r="C1525">
        <v>953.48760000000004</v>
      </c>
      <c r="D1525" t="s">
        <v>1812</v>
      </c>
      <c r="E1525">
        <v>40</v>
      </c>
      <c r="F1525" t="s">
        <v>16</v>
      </c>
      <c r="G1525" t="s">
        <v>1546</v>
      </c>
      <c r="H1525" t="s">
        <v>1742</v>
      </c>
      <c r="L1525" s="2">
        <v>45895</v>
      </c>
      <c r="M1525">
        <v>953.48760000000004</v>
      </c>
      <c r="R1525" t="s">
        <v>1812</v>
      </c>
      <c r="S1525">
        <v>953.48760000000004</v>
      </c>
      <c r="W1525" s="12" t="s">
        <v>16</v>
      </c>
      <c r="X1525" s="12" t="s">
        <v>1546</v>
      </c>
      <c r="Y1525">
        <v>953.48760000000004</v>
      </c>
      <c r="AF1525">
        <v>953.48760000000004</v>
      </c>
      <c r="AG1525" t="s">
        <v>1742</v>
      </c>
    </row>
    <row r="1526" spans="1:33" x14ac:dyDescent="0.3">
      <c r="A1526" t="s">
        <v>655</v>
      </c>
      <c r="B1526" s="2">
        <v>45239</v>
      </c>
      <c r="C1526">
        <v>1136.7583999999999</v>
      </c>
      <c r="D1526" t="s">
        <v>1809</v>
      </c>
      <c r="E1526">
        <v>47</v>
      </c>
      <c r="F1526" t="s">
        <v>9</v>
      </c>
      <c r="G1526" t="s">
        <v>1546</v>
      </c>
      <c r="H1526" t="s">
        <v>1742</v>
      </c>
      <c r="L1526" s="2">
        <v>45239</v>
      </c>
      <c r="M1526">
        <v>1136.7583999999999</v>
      </c>
      <c r="R1526" t="s">
        <v>1809</v>
      </c>
      <c r="S1526">
        <v>1136.7583999999999</v>
      </c>
      <c r="W1526" s="11" t="s">
        <v>9</v>
      </c>
      <c r="X1526" s="11" t="s">
        <v>1546</v>
      </c>
      <c r="Y1526">
        <v>1136.7583999999999</v>
      </c>
      <c r="AF1526">
        <v>1136.7583999999999</v>
      </c>
      <c r="AG1526" t="s">
        <v>1742</v>
      </c>
    </row>
    <row r="1527" spans="1:33" x14ac:dyDescent="0.3">
      <c r="A1527" t="s">
        <v>929</v>
      </c>
      <c r="B1527" s="2">
        <v>45296</v>
      </c>
      <c r="C1527">
        <v>468.78320000000002</v>
      </c>
      <c r="D1527" t="s">
        <v>1807</v>
      </c>
      <c r="E1527">
        <v>47</v>
      </c>
      <c r="F1527" t="s">
        <v>16</v>
      </c>
      <c r="G1527" t="s">
        <v>1530</v>
      </c>
      <c r="H1527" t="s">
        <v>1742</v>
      </c>
      <c r="L1527" s="2">
        <v>45296</v>
      </c>
      <c r="M1527">
        <v>468.78320000000002</v>
      </c>
      <c r="R1527" t="s">
        <v>1807</v>
      </c>
      <c r="S1527">
        <v>468.78320000000002</v>
      </c>
      <c r="W1527" s="12" t="s">
        <v>16</v>
      </c>
      <c r="X1527" s="12" t="s">
        <v>1530</v>
      </c>
      <c r="Y1527">
        <v>468.78320000000002</v>
      </c>
      <c r="AF1527">
        <v>468.78320000000002</v>
      </c>
      <c r="AG1527" t="s">
        <v>1742</v>
      </c>
    </row>
    <row r="1528" spans="1:33" x14ac:dyDescent="0.3">
      <c r="A1528" t="s">
        <v>599</v>
      </c>
      <c r="B1528" s="2">
        <v>45672</v>
      </c>
      <c r="C1528">
        <v>385.67880000000002</v>
      </c>
      <c r="D1528" t="s">
        <v>1812</v>
      </c>
      <c r="E1528">
        <v>46</v>
      </c>
      <c r="F1528" t="s">
        <v>16</v>
      </c>
      <c r="G1528" t="s">
        <v>1546</v>
      </c>
      <c r="H1528" t="s">
        <v>1742</v>
      </c>
      <c r="L1528" s="2">
        <v>45672</v>
      </c>
      <c r="M1528">
        <v>385.67880000000002</v>
      </c>
      <c r="R1528" t="s">
        <v>1812</v>
      </c>
      <c r="S1528">
        <v>385.67880000000002</v>
      </c>
      <c r="W1528" s="11" t="s">
        <v>16</v>
      </c>
      <c r="X1528" s="11" t="s">
        <v>1546</v>
      </c>
      <c r="Y1528">
        <v>385.67880000000002</v>
      </c>
      <c r="AF1528">
        <v>385.67880000000002</v>
      </c>
      <c r="AG1528" t="s">
        <v>1742</v>
      </c>
    </row>
    <row r="1529" spans="1:33" x14ac:dyDescent="0.3">
      <c r="A1529" t="s">
        <v>706</v>
      </c>
      <c r="B1529" s="2">
        <v>45499</v>
      </c>
      <c r="C1529">
        <v>1084.7936</v>
      </c>
      <c r="D1529" t="s">
        <v>1809</v>
      </c>
      <c r="E1529">
        <v>50</v>
      </c>
      <c r="F1529" t="s">
        <v>16</v>
      </c>
      <c r="G1529" t="s">
        <v>1530</v>
      </c>
      <c r="H1529" t="s">
        <v>1767</v>
      </c>
      <c r="L1529" s="2">
        <v>45499</v>
      </c>
      <c r="M1529">
        <v>1084.7936</v>
      </c>
      <c r="R1529" t="s">
        <v>1809</v>
      </c>
      <c r="S1529">
        <v>1084.7936</v>
      </c>
      <c r="W1529" s="12" t="s">
        <v>16</v>
      </c>
      <c r="X1529" s="12" t="s">
        <v>1530</v>
      </c>
      <c r="Y1529">
        <v>1084.7936</v>
      </c>
      <c r="AF1529">
        <v>1084.7936</v>
      </c>
      <c r="AG1529" t="s">
        <v>1767</v>
      </c>
    </row>
    <row r="1530" spans="1:33" x14ac:dyDescent="0.3">
      <c r="A1530" t="s">
        <v>296</v>
      </c>
      <c r="B1530" s="2">
        <v>45434</v>
      </c>
      <c r="C1530">
        <v>1616.8104000000001</v>
      </c>
      <c r="D1530" t="s">
        <v>1809</v>
      </c>
      <c r="E1530">
        <v>48</v>
      </c>
      <c r="F1530" t="s">
        <v>16</v>
      </c>
      <c r="G1530" t="s">
        <v>1527</v>
      </c>
      <c r="H1530" t="s">
        <v>1746</v>
      </c>
      <c r="L1530" s="2">
        <v>45434</v>
      </c>
      <c r="M1530">
        <v>1616.8104000000001</v>
      </c>
      <c r="R1530" t="s">
        <v>1809</v>
      </c>
      <c r="S1530">
        <v>1616.8104000000001</v>
      </c>
      <c r="W1530" s="11" t="s">
        <v>16</v>
      </c>
      <c r="X1530" s="11" t="s">
        <v>1527</v>
      </c>
      <c r="Y1530">
        <v>1616.8104000000001</v>
      </c>
      <c r="AF1530">
        <v>1616.8104000000001</v>
      </c>
      <c r="AG1530" t="s">
        <v>1746</v>
      </c>
    </row>
    <row r="1531" spans="1:33" x14ac:dyDescent="0.3">
      <c r="A1531" t="s">
        <v>137</v>
      </c>
      <c r="B1531" s="2">
        <v>45893</v>
      </c>
      <c r="C1531">
        <v>753.50399999999991</v>
      </c>
      <c r="D1531" t="s">
        <v>1809</v>
      </c>
      <c r="E1531">
        <v>52</v>
      </c>
      <c r="F1531" t="s">
        <v>9</v>
      </c>
      <c r="G1531" t="s">
        <v>1549</v>
      </c>
      <c r="H1531" t="s">
        <v>1742</v>
      </c>
      <c r="L1531" s="2">
        <v>45893</v>
      </c>
      <c r="M1531">
        <v>753.50399999999991</v>
      </c>
      <c r="R1531" t="s">
        <v>1809</v>
      </c>
      <c r="S1531">
        <v>753.50399999999991</v>
      </c>
      <c r="W1531" s="12" t="s">
        <v>9</v>
      </c>
      <c r="X1531" s="12" t="s">
        <v>1549</v>
      </c>
      <c r="Y1531">
        <v>753.50399999999991</v>
      </c>
      <c r="AF1531">
        <v>753.50399999999991</v>
      </c>
      <c r="AG1531" t="s">
        <v>1742</v>
      </c>
    </row>
    <row r="1532" spans="1:33" x14ac:dyDescent="0.3">
      <c r="A1532" t="s">
        <v>780</v>
      </c>
      <c r="B1532" s="2">
        <v>45346</v>
      </c>
      <c r="C1532">
        <v>184.22909999999999</v>
      </c>
      <c r="D1532" t="s">
        <v>1812</v>
      </c>
      <c r="E1532">
        <v>58</v>
      </c>
      <c r="F1532" t="s">
        <v>9</v>
      </c>
      <c r="G1532" t="s">
        <v>1546</v>
      </c>
      <c r="H1532" t="s">
        <v>1742</v>
      </c>
      <c r="L1532" s="2">
        <v>45346</v>
      </c>
      <c r="M1532">
        <v>184.22909999999999</v>
      </c>
      <c r="R1532" t="s">
        <v>1812</v>
      </c>
      <c r="S1532">
        <v>184.22909999999999</v>
      </c>
      <c r="W1532" s="11" t="s">
        <v>9</v>
      </c>
      <c r="X1532" s="11" t="s">
        <v>1546</v>
      </c>
      <c r="Y1532">
        <v>184.22909999999999</v>
      </c>
      <c r="AF1532">
        <v>184.22909999999999</v>
      </c>
      <c r="AG1532" t="s">
        <v>1742</v>
      </c>
    </row>
    <row r="1533" spans="1:33" x14ac:dyDescent="0.3">
      <c r="A1533" t="s">
        <v>328</v>
      </c>
      <c r="B1533" s="2">
        <v>45613</v>
      </c>
      <c r="C1533">
        <v>2801.19</v>
      </c>
      <c r="D1533" t="s">
        <v>1809</v>
      </c>
      <c r="E1533">
        <v>28</v>
      </c>
      <c r="F1533" t="s">
        <v>16</v>
      </c>
      <c r="G1533" t="s">
        <v>1530</v>
      </c>
      <c r="H1533" t="s">
        <v>1742</v>
      </c>
      <c r="L1533" s="2">
        <v>45613</v>
      </c>
      <c r="M1533">
        <v>2801.19</v>
      </c>
      <c r="R1533" t="s">
        <v>1809</v>
      </c>
      <c r="S1533">
        <v>2801.19</v>
      </c>
      <c r="W1533" s="12" t="s">
        <v>16</v>
      </c>
      <c r="X1533" s="12" t="s">
        <v>1530</v>
      </c>
      <c r="Y1533">
        <v>2801.19</v>
      </c>
      <c r="AF1533">
        <v>2801.19</v>
      </c>
      <c r="AG1533" t="s">
        <v>1742</v>
      </c>
    </row>
    <row r="1534" spans="1:33" x14ac:dyDescent="0.3">
      <c r="A1534" t="s">
        <v>516</v>
      </c>
      <c r="B1534" s="2">
        <v>45928</v>
      </c>
      <c r="C1534">
        <v>1587.4998000000001</v>
      </c>
      <c r="D1534" t="s">
        <v>1809</v>
      </c>
      <c r="E1534">
        <v>46</v>
      </c>
      <c r="F1534" t="s">
        <v>9</v>
      </c>
      <c r="G1534" t="s">
        <v>1530</v>
      </c>
      <c r="H1534" t="s">
        <v>1742</v>
      </c>
      <c r="L1534" s="2">
        <v>45928</v>
      </c>
      <c r="M1534">
        <v>1587.4998000000001</v>
      </c>
      <c r="R1534" t="s">
        <v>1809</v>
      </c>
      <c r="S1534">
        <v>1587.4998000000001</v>
      </c>
      <c r="W1534" s="11" t="s">
        <v>9</v>
      </c>
      <c r="X1534" s="11" t="s">
        <v>1530</v>
      </c>
      <c r="Y1534">
        <v>1587.4998000000001</v>
      </c>
      <c r="AF1534">
        <v>1587.4998000000001</v>
      </c>
      <c r="AG1534" t="s">
        <v>1742</v>
      </c>
    </row>
    <row r="1535" spans="1:33" x14ac:dyDescent="0.3">
      <c r="A1535" t="s">
        <v>1154</v>
      </c>
      <c r="B1535" s="2">
        <v>45619</v>
      </c>
      <c r="C1535">
        <v>2465.9856</v>
      </c>
      <c r="D1535" t="s">
        <v>1812</v>
      </c>
      <c r="E1535">
        <v>60</v>
      </c>
      <c r="F1535" t="s">
        <v>9</v>
      </c>
      <c r="G1535" t="s">
        <v>1541</v>
      </c>
      <c r="H1535" t="s">
        <v>1742</v>
      </c>
      <c r="L1535" s="2">
        <v>45619</v>
      </c>
      <c r="M1535">
        <v>2465.9856</v>
      </c>
      <c r="R1535" t="s">
        <v>1812</v>
      </c>
      <c r="S1535">
        <v>2465.9856</v>
      </c>
      <c r="W1535" s="12" t="s">
        <v>9</v>
      </c>
      <c r="X1535" s="12" t="s">
        <v>1541</v>
      </c>
      <c r="Y1535">
        <v>2465.9856</v>
      </c>
      <c r="AF1535">
        <v>2465.9856</v>
      </c>
      <c r="AG1535" t="s">
        <v>1742</v>
      </c>
    </row>
    <row r="1536" spans="1:33" x14ac:dyDescent="0.3">
      <c r="A1536" t="s">
        <v>851</v>
      </c>
      <c r="B1536" s="2">
        <v>45533</v>
      </c>
      <c r="C1536">
        <v>189.244</v>
      </c>
      <c r="D1536" t="s">
        <v>1809</v>
      </c>
      <c r="E1536">
        <v>31</v>
      </c>
      <c r="F1536" t="s">
        <v>16</v>
      </c>
      <c r="G1536" t="s">
        <v>1541</v>
      </c>
      <c r="H1536" t="s">
        <v>1742</v>
      </c>
      <c r="L1536" s="2">
        <v>45533</v>
      </c>
      <c r="M1536">
        <v>189.244</v>
      </c>
      <c r="R1536" t="s">
        <v>1809</v>
      </c>
      <c r="S1536">
        <v>189.244</v>
      </c>
      <c r="W1536" s="11" t="s">
        <v>16</v>
      </c>
      <c r="X1536" s="11" t="s">
        <v>1541</v>
      </c>
      <c r="Y1536">
        <v>189.244</v>
      </c>
      <c r="AF1536">
        <v>189.244</v>
      </c>
      <c r="AG1536" t="s">
        <v>1742</v>
      </c>
    </row>
    <row r="1537" spans="1:33" x14ac:dyDescent="0.3">
      <c r="A1537" t="s">
        <v>153</v>
      </c>
      <c r="B1537" s="2">
        <v>45781</v>
      </c>
      <c r="C1537">
        <v>1898.2482</v>
      </c>
      <c r="D1537" t="s">
        <v>1809</v>
      </c>
      <c r="E1537">
        <v>50</v>
      </c>
      <c r="F1537" t="s">
        <v>9</v>
      </c>
      <c r="G1537" t="s">
        <v>1546</v>
      </c>
      <c r="H1537" t="s">
        <v>1742</v>
      </c>
      <c r="L1537" s="2">
        <v>45781</v>
      </c>
      <c r="M1537">
        <v>1898.2482</v>
      </c>
      <c r="R1537" t="s">
        <v>1809</v>
      </c>
      <c r="S1537">
        <v>1898.2482</v>
      </c>
      <c r="W1537" s="12" t="s">
        <v>9</v>
      </c>
      <c r="X1537" s="12" t="s">
        <v>1546</v>
      </c>
      <c r="Y1537">
        <v>1898.2482</v>
      </c>
      <c r="AF1537">
        <v>1898.2482</v>
      </c>
      <c r="AG1537" t="s">
        <v>1742</v>
      </c>
    </row>
    <row r="1538" spans="1:33" x14ac:dyDescent="0.3">
      <c r="A1538" t="s">
        <v>673</v>
      </c>
      <c r="B1538" s="2">
        <v>45378</v>
      </c>
      <c r="C1538">
        <v>860.31959999999992</v>
      </c>
      <c r="D1538" t="s">
        <v>1809</v>
      </c>
      <c r="E1538">
        <v>50</v>
      </c>
      <c r="F1538" t="s">
        <v>16</v>
      </c>
      <c r="G1538" t="s">
        <v>1527</v>
      </c>
      <c r="H1538" t="s">
        <v>1742</v>
      </c>
      <c r="L1538" s="2">
        <v>45378</v>
      </c>
      <c r="M1538">
        <v>860.31959999999992</v>
      </c>
      <c r="R1538" t="s">
        <v>1809</v>
      </c>
      <c r="S1538">
        <v>860.31959999999992</v>
      </c>
      <c r="W1538" s="11" t="s">
        <v>16</v>
      </c>
      <c r="X1538" s="11" t="s">
        <v>1527</v>
      </c>
      <c r="Y1538">
        <v>860.31959999999992</v>
      </c>
      <c r="AF1538">
        <v>860.31959999999992</v>
      </c>
      <c r="AG1538" t="s">
        <v>1742</v>
      </c>
    </row>
    <row r="1539" spans="1:33" x14ac:dyDescent="0.3">
      <c r="A1539" t="s">
        <v>1008</v>
      </c>
      <c r="B1539" s="2">
        <v>45688</v>
      </c>
      <c r="C1539">
        <v>1220.0219999999999</v>
      </c>
      <c r="D1539" t="s">
        <v>1809</v>
      </c>
      <c r="E1539">
        <v>58</v>
      </c>
      <c r="F1539" t="s">
        <v>9</v>
      </c>
      <c r="G1539" t="s">
        <v>1541</v>
      </c>
      <c r="H1539" t="s">
        <v>1742</v>
      </c>
      <c r="L1539" s="2">
        <v>45688</v>
      </c>
      <c r="M1539">
        <v>1220.0219999999999</v>
      </c>
      <c r="R1539" t="s">
        <v>1809</v>
      </c>
      <c r="S1539">
        <v>1220.0219999999999</v>
      </c>
      <c r="W1539" s="12" t="s">
        <v>9</v>
      </c>
      <c r="X1539" s="12" t="s">
        <v>1541</v>
      </c>
      <c r="Y1539">
        <v>1220.0219999999999</v>
      </c>
      <c r="AF1539">
        <v>1220.0219999999999</v>
      </c>
      <c r="AG1539" t="s">
        <v>1742</v>
      </c>
    </row>
    <row r="1540" spans="1:33" x14ac:dyDescent="0.3">
      <c r="A1540" t="s">
        <v>41</v>
      </c>
      <c r="B1540" s="2">
        <v>45927</v>
      </c>
      <c r="C1540">
        <v>1261.6379999999999</v>
      </c>
      <c r="D1540" t="s">
        <v>1809</v>
      </c>
      <c r="E1540">
        <v>53</v>
      </c>
      <c r="F1540" t="s">
        <v>16</v>
      </c>
      <c r="G1540" t="s">
        <v>1549</v>
      </c>
      <c r="H1540" t="s">
        <v>1742</v>
      </c>
      <c r="L1540" s="2">
        <v>45927</v>
      </c>
      <c r="M1540">
        <v>1261.6379999999999</v>
      </c>
      <c r="R1540" t="s">
        <v>1809</v>
      </c>
      <c r="S1540">
        <v>1261.6379999999999</v>
      </c>
      <c r="W1540" s="11" t="s">
        <v>16</v>
      </c>
      <c r="X1540" s="11" t="s">
        <v>1549</v>
      </c>
      <c r="Y1540">
        <v>1261.6379999999999</v>
      </c>
      <c r="AF1540">
        <v>1261.6379999999999</v>
      </c>
      <c r="AG1540" t="s">
        <v>1742</v>
      </c>
    </row>
    <row r="1541" spans="1:33" x14ac:dyDescent="0.3">
      <c r="A1541" t="s">
        <v>262</v>
      </c>
      <c r="B1541" s="2">
        <v>45775</v>
      </c>
      <c r="C1541">
        <v>3332.0888</v>
      </c>
      <c r="D1541" t="s">
        <v>1809</v>
      </c>
      <c r="E1541">
        <v>56</v>
      </c>
      <c r="F1541" t="s">
        <v>16</v>
      </c>
      <c r="G1541" t="s">
        <v>1546</v>
      </c>
      <c r="H1541" t="s">
        <v>1742</v>
      </c>
      <c r="L1541" s="2">
        <v>45775</v>
      </c>
      <c r="M1541">
        <v>3332.0888</v>
      </c>
      <c r="R1541" t="s">
        <v>1809</v>
      </c>
      <c r="S1541">
        <v>3332.0888</v>
      </c>
      <c r="W1541" s="12" t="s">
        <v>16</v>
      </c>
      <c r="X1541" s="12" t="s">
        <v>1546</v>
      </c>
      <c r="Y1541">
        <v>3332.0888</v>
      </c>
      <c r="AF1541">
        <v>3332.0888</v>
      </c>
      <c r="AG1541" t="s">
        <v>1742</v>
      </c>
    </row>
    <row r="1542" spans="1:33" x14ac:dyDescent="0.3">
      <c r="A1542" t="s">
        <v>1476</v>
      </c>
      <c r="B1542" s="2">
        <v>45849</v>
      </c>
      <c r="C1542">
        <v>502.10700000000003</v>
      </c>
      <c r="D1542" t="s">
        <v>1807</v>
      </c>
      <c r="E1542">
        <v>22</v>
      </c>
      <c r="F1542" t="s">
        <v>16</v>
      </c>
      <c r="G1542" t="s">
        <v>1546</v>
      </c>
      <c r="H1542" t="s">
        <v>1742</v>
      </c>
      <c r="L1542" s="2">
        <v>45849</v>
      </c>
      <c r="M1542">
        <v>502.10700000000003</v>
      </c>
      <c r="R1542" t="s">
        <v>1807</v>
      </c>
      <c r="S1542">
        <v>502.10700000000003</v>
      </c>
      <c r="W1542" s="11" t="s">
        <v>16</v>
      </c>
      <c r="X1542" s="11" t="s">
        <v>1546</v>
      </c>
      <c r="Y1542">
        <v>502.10700000000003</v>
      </c>
      <c r="AF1542">
        <v>502.10700000000003</v>
      </c>
      <c r="AG1542" t="s">
        <v>1742</v>
      </c>
    </row>
    <row r="1543" spans="1:33" x14ac:dyDescent="0.3">
      <c r="A1543" t="s">
        <v>563</v>
      </c>
      <c r="B1543" s="2">
        <v>45573</v>
      </c>
      <c r="C1543">
        <v>269.01659999999998</v>
      </c>
      <c r="D1543" t="s">
        <v>1809</v>
      </c>
      <c r="E1543">
        <v>41</v>
      </c>
      <c r="F1543" t="s">
        <v>16</v>
      </c>
      <c r="G1543" t="s">
        <v>1546</v>
      </c>
      <c r="H1543" t="s">
        <v>1737</v>
      </c>
      <c r="L1543" s="2">
        <v>45573</v>
      </c>
      <c r="M1543">
        <v>269.01659999999998</v>
      </c>
      <c r="R1543" t="s">
        <v>1809</v>
      </c>
      <c r="S1543">
        <v>269.01659999999998</v>
      </c>
      <c r="W1543" s="12" t="s">
        <v>16</v>
      </c>
      <c r="X1543" s="12" t="s">
        <v>1546</v>
      </c>
      <c r="Y1543">
        <v>269.01659999999998</v>
      </c>
      <c r="AF1543">
        <v>269.01659999999998</v>
      </c>
      <c r="AG1543" t="s">
        <v>1737</v>
      </c>
    </row>
    <row r="1544" spans="1:33" x14ac:dyDescent="0.3">
      <c r="A1544" t="s">
        <v>792</v>
      </c>
      <c r="B1544" s="2">
        <v>45356</v>
      </c>
      <c r="C1544">
        <v>1823.1948</v>
      </c>
      <c r="D1544" t="s">
        <v>1812</v>
      </c>
      <c r="E1544">
        <v>48</v>
      </c>
      <c r="F1544" t="s">
        <v>9</v>
      </c>
      <c r="G1544" t="s">
        <v>1546</v>
      </c>
      <c r="H1544" t="s">
        <v>1746</v>
      </c>
      <c r="L1544" s="2">
        <v>45356</v>
      </c>
      <c r="M1544">
        <v>1823.1948</v>
      </c>
      <c r="R1544" t="s">
        <v>1812</v>
      </c>
      <c r="S1544">
        <v>1823.1948</v>
      </c>
      <c r="W1544" s="11" t="s">
        <v>9</v>
      </c>
      <c r="X1544" s="11" t="s">
        <v>1546</v>
      </c>
      <c r="Y1544">
        <v>1823.1948</v>
      </c>
      <c r="AF1544">
        <v>1823.1948</v>
      </c>
      <c r="AG1544" t="s">
        <v>1746</v>
      </c>
    </row>
    <row r="1545" spans="1:33" x14ac:dyDescent="0.3">
      <c r="A1545" t="s">
        <v>1101</v>
      </c>
      <c r="B1545" s="2">
        <v>45326</v>
      </c>
      <c r="C1545">
        <v>905.85</v>
      </c>
      <c r="D1545" t="s">
        <v>1812</v>
      </c>
      <c r="E1545">
        <v>54</v>
      </c>
      <c r="F1545" t="s">
        <v>9</v>
      </c>
      <c r="G1545" t="s">
        <v>1530</v>
      </c>
      <c r="H1545" t="s">
        <v>1742</v>
      </c>
      <c r="L1545" s="2">
        <v>45326</v>
      </c>
      <c r="M1545">
        <v>905.85</v>
      </c>
      <c r="R1545" t="s">
        <v>1812</v>
      </c>
      <c r="S1545">
        <v>905.85</v>
      </c>
      <c r="W1545" s="12" t="s">
        <v>9</v>
      </c>
      <c r="X1545" s="12" t="s">
        <v>1530</v>
      </c>
      <c r="Y1545">
        <v>905.85</v>
      </c>
      <c r="AF1545">
        <v>905.85</v>
      </c>
      <c r="AG1545" t="s">
        <v>1742</v>
      </c>
    </row>
    <row r="1546" spans="1:33" x14ac:dyDescent="0.3">
      <c r="A1546" t="s">
        <v>1428</v>
      </c>
      <c r="B1546" s="2">
        <v>45361</v>
      </c>
      <c r="C1546">
        <v>2019.6945000000001</v>
      </c>
      <c r="D1546" t="s">
        <v>1807</v>
      </c>
      <c r="E1546">
        <v>19</v>
      </c>
      <c r="F1546" t="s">
        <v>9</v>
      </c>
      <c r="G1546" t="s">
        <v>1527</v>
      </c>
      <c r="H1546" t="s">
        <v>1742</v>
      </c>
      <c r="L1546" s="2">
        <v>45361</v>
      </c>
      <c r="M1546">
        <v>2019.6945000000001</v>
      </c>
      <c r="R1546" t="s">
        <v>1807</v>
      </c>
      <c r="S1546">
        <v>2019.6945000000001</v>
      </c>
      <c r="W1546" s="11" t="s">
        <v>9</v>
      </c>
      <c r="X1546" s="11" t="s">
        <v>1527</v>
      </c>
      <c r="Y1546">
        <v>2019.6945000000001</v>
      </c>
      <c r="AF1546">
        <v>2019.6945000000001</v>
      </c>
      <c r="AG1546" t="s">
        <v>1742</v>
      </c>
    </row>
    <row r="1547" spans="1:33" x14ac:dyDescent="0.3">
      <c r="A1547" t="s">
        <v>670</v>
      </c>
      <c r="B1547" s="2">
        <v>45926</v>
      </c>
      <c r="C1547">
        <v>980.35440000000006</v>
      </c>
      <c r="D1547" t="s">
        <v>1812</v>
      </c>
      <c r="E1547">
        <v>54</v>
      </c>
      <c r="F1547" t="s">
        <v>9</v>
      </c>
      <c r="G1547" t="s">
        <v>1530</v>
      </c>
      <c r="H1547" t="s">
        <v>1742</v>
      </c>
      <c r="L1547" s="2">
        <v>45926</v>
      </c>
      <c r="M1547">
        <v>980.35440000000006</v>
      </c>
      <c r="R1547" t="s">
        <v>1812</v>
      </c>
      <c r="S1547">
        <v>980.35440000000006</v>
      </c>
      <c r="W1547" s="12" t="s">
        <v>9</v>
      </c>
      <c r="X1547" s="12" t="s">
        <v>1530</v>
      </c>
      <c r="Y1547">
        <v>980.35440000000006</v>
      </c>
      <c r="AF1547">
        <v>980.35440000000006</v>
      </c>
      <c r="AG1547" t="s">
        <v>1742</v>
      </c>
    </row>
    <row r="1548" spans="1:33" x14ac:dyDescent="0.3">
      <c r="A1548" t="s">
        <v>337</v>
      </c>
      <c r="B1548" s="2">
        <v>45839</v>
      </c>
      <c r="C1548">
        <v>136.09960000000001</v>
      </c>
      <c r="D1548" t="s">
        <v>1807</v>
      </c>
      <c r="E1548">
        <v>30</v>
      </c>
      <c r="F1548" t="s">
        <v>16</v>
      </c>
      <c r="G1548" t="s">
        <v>1549</v>
      </c>
      <c r="H1548" t="s">
        <v>1742</v>
      </c>
      <c r="L1548" s="2">
        <v>45839</v>
      </c>
      <c r="M1548">
        <v>136.09960000000001</v>
      </c>
      <c r="R1548" t="s">
        <v>1807</v>
      </c>
      <c r="S1548">
        <v>136.09960000000001</v>
      </c>
      <c r="W1548" s="11" t="s">
        <v>16</v>
      </c>
      <c r="X1548" s="11" t="s">
        <v>1549</v>
      </c>
      <c r="Y1548">
        <v>136.09960000000001</v>
      </c>
      <c r="AF1548">
        <v>136.09960000000001</v>
      </c>
      <c r="AG1548" t="s">
        <v>1742</v>
      </c>
    </row>
    <row r="1549" spans="1:33" x14ac:dyDescent="0.3">
      <c r="A1549" t="s">
        <v>700</v>
      </c>
      <c r="B1549" s="2">
        <v>45434</v>
      </c>
      <c r="C1549">
        <v>641.91689999999994</v>
      </c>
      <c r="D1549" t="s">
        <v>1809</v>
      </c>
      <c r="E1549">
        <v>46</v>
      </c>
      <c r="F1549" t="s">
        <v>9</v>
      </c>
      <c r="G1549" t="s">
        <v>1546</v>
      </c>
      <c r="H1549" t="s">
        <v>1742</v>
      </c>
      <c r="L1549" s="2">
        <v>45434</v>
      </c>
      <c r="M1549">
        <v>641.91689999999994</v>
      </c>
      <c r="R1549" t="s">
        <v>1809</v>
      </c>
      <c r="S1549">
        <v>641.91689999999994</v>
      </c>
      <c r="W1549" s="12" t="s">
        <v>9</v>
      </c>
      <c r="X1549" s="12" t="s">
        <v>1546</v>
      </c>
      <c r="Y1549">
        <v>641.91689999999994</v>
      </c>
      <c r="AF1549">
        <v>641.91689999999994</v>
      </c>
      <c r="AG1549" t="s">
        <v>1742</v>
      </c>
    </row>
    <row r="1550" spans="1:33" x14ac:dyDescent="0.3">
      <c r="A1550" t="s">
        <v>377</v>
      </c>
      <c r="B1550" s="2">
        <v>45819</v>
      </c>
      <c r="C1550">
        <v>248.17830000000001</v>
      </c>
      <c r="D1550" t="s">
        <v>1807</v>
      </c>
      <c r="E1550">
        <v>27</v>
      </c>
      <c r="F1550" t="s">
        <v>9</v>
      </c>
      <c r="G1550" t="s">
        <v>1541</v>
      </c>
      <c r="H1550" t="s">
        <v>1746</v>
      </c>
      <c r="L1550" s="2">
        <v>45819</v>
      </c>
      <c r="M1550">
        <v>248.17830000000001</v>
      </c>
      <c r="R1550" t="s">
        <v>1807</v>
      </c>
      <c r="S1550">
        <v>248.17830000000001</v>
      </c>
      <c r="W1550" s="11" t="s">
        <v>9</v>
      </c>
      <c r="X1550" s="11" t="s">
        <v>1541</v>
      </c>
      <c r="Y1550">
        <v>248.17830000000001</v>
      </c>
      <c r="AF1550">
        <v>248.17830000000001</v>
      </c>
      <c r="AG1550" t="s">
        <v>1746</v>
      </c>
    </row>
    <row r="1551" spans="1:33" x14ac:dyDescent="0.3">
      <c r="A1551" t="s">
        <v>711</v>
      </c>
      <c r="B1551" s="2">
        <v>45553</v>
      </c>
      <c r="C1551">
        <v>230.12520000000001</v>
      </c>
      <c r="D1551" t="s">
        <v>1812</v>
      </c>
      <c r="E1551">
        <v>35</v>
      </c>
      <c r="F1551" t="s">
        <v>9</v>
      </c>
      <c r="G1551" t="s">
        <v>1546</v>
      </c>
      <c r="H1551" t="s">
        <v>1742</v>
      </c>
      <c r="L1551" s="2">
        <v>45553</v>
      </c>
      <c r="M1551">
        <v>230.12520000000001</v>
      </c>
      <c r="R1551" t="s">
        <v>1812</v>
      </c>
      <c r="S1551">
        <v>230.12520000000001</v>
      </c>
      <c r="W1551" s="12" t="s">
        <v>9</v>
      </c>
      <c r="X1551" s="12" t="s">
        <v>1546</v>
      </c>
      <c r="Y1551">
        <v>230.12520000000001</v>
      </c>
      <c r="AF1551">
        <v>230.12520000000001</v>
      </c>
      <c r="AG1551" t="s">
        <v>1742</v>
      </c>
    </row>
    <row r="1552" spans="1:33" x14ac:dyDescent="0.3">
      <c r="A1552" t="s">
        <v>1337</v>
      </c>
      <c r="B1552" s="2">
        <v>45258</v>
      </c>
      <c r="C1552">
        <v>169.72800000000001</v>
      </c>
      <c r="D1552" t="s">
        <v>1807</v>
      </c>
      <c r="E1552">
        <v>47</v>
      </c>
      <c r="F1552" t="s">
        <v>16</v>
      </c>
      <c r="G1552" t="s">
        <v>1546</v>
      </c>
      <c r="H1552" t="s">
        <v>1746</v>
      </c>
      <c r="L1552" s="2">
        <v>45258</v>
      </c>
      <c r="M1552">
        <v>169.72800000000001</v>
      </c>
      <c r="R1552" t="s">
        <v>1807</v>
      </c>
      <c r="S1552">
        <v>169.72800000000001</v>
      </c>
      <c r="W1552" s="11" t="s">
        <v>16</v>
      </c>
      <c r="X1552" s="11" t="s">
        <v>1546</v>
      </c>
      <c r="Y1552">
        <v>169.72800000000001</v>
      </c>
      <c r="AF1552">
        <v>169.72800000000001</v>
      </c>
      <c r="AG1552" t="s">
        <v>1746</v>
      </c>
    </row>
    <row r="1553" spans="1:33" x14ac:dyDescent="0.3">
      <c r="A1553" t="s">
        <v>1491</v>
      </c>
      <c r="B1553" s="2">
        <v>45435</v>
      </c>
      <c r="C1553">
        <v>37.328000000000003</v>
      </c>
      <c r="D1553" t="s">
        <v>1807</v>
      </c>
      <c r="E1553">
        <v>52</v>
      </c>
      <c r="F1553" t="s">
        <v>16</v>
      </c>
      <c r="G1553" t="s">
        <v>1527</v>
      </c>
      <c r="H1553" t="s">
        <v>1742</v>
      </c>
      <c r="L1553" s="2">
        <v>45435</v>
      </c>
      <c r="M1553">
        <v>37.328000000000003</v>
      </c>
      <c r="R1553" t="s">
        <v>1807</v>
      </c>
      <c r="S1553">
        <v>37.328000000000003</v>
      </c>
      <c r="W1553" s="12" t="s">
        <v>16</v>
      </c>
      <c r="X1553" s="12" t="s">
        <v>1527</v>
      </c>
      <c r="Y1553">
        <v>37.328000000000003</v>
      </c>
      <c r="AF1553">
        <v>37.328000000000003</v>
      </c>
      <c r="AG1553" t="s">
        <v>1742</v>
      </c>
    </row>
    <row r="1554" spans="1:33" x14ac:dyDescent="0.3">
      <c r="A1554" t="s">
        <v>41</v>
      </c>
      <c r="B1554" s="2">
        <v>45447</v>
      </c>
      <c r="C1554">
        <v>2474.2080000000001</v>
      </c>
      <c r="D1554" t="s">
        <v>1807</v>
      </c>
      <c r="E1554">
        <v>53</v>
      </c>
      <c r="F1554" t="s">
        <v>16</v>
      </c>
      <c r="G1554" t="s">
        <v>1549</v>
      </c>
      <c r="H1554" t="s">
        <v>1742</v>
      </c>
      <c r="L1554" s="2">
        <v>45447</v>
      </c>
      <c r="M1554">
        <v>2474.2080000000001</v>
      </c>
      <c r="R1554" t="s">
        <v>1807</v>
      </c>
      <c r="S1554">
        <v>2474.2080000000001</v>
      </c>
      <c r="W1554" s="11" t="s">
        <v>16</v>
      </c>
      <c r="X1554" s="11" t="s">
        <v>1549</v>
      </c>
      <c r="Y1554">
        <v>2474.2080000000001</v>
      </c>
      <c r="AF1554">
        <v>2474.2080000000001</v>
      </c>
      <c r="AG1554" t="s">
        <v>1742</v>
      </c>
    </row>
    <row r="1555" spans="1:33" x14ac:dyDescent="0.3">
      <c r="A1555" t="s">
        <v>1172</v>
      </c>
      <c r="B1555" s="2">
        <v>45724</v>
      </c>
      <c r="C1555">
        <v>1065.4896000000001</v>
      </c>
      <c r="D1555" t="s">
        <v>1809</v>
      </c>
      <c r="E1555">
        <v>23</v>
      </c>
      <c r="F1555" t="s">
        <v>9</v>
      </c>
      <c r="G1555" t="s">
        <v>1530</v>
      </c>
      <c r="H1555" t="s">
        <v>1742</v>
      </c>
      <c r="L1555" s="2">
        <v>45724</v>
      </c>
      <c r="M1555">
        <v>1065.4896000000001</v>
      </c>
      <c r="R1555" t="s">
        <v>1809</v>
      </c>
      <c r="S1555">
        <v>1065.4896000000001</v>
      </c>
      <c r="W1555" s="12" t="s">
        <v>9</v>
      </c>
      <c r="X1555" s="12" t="s">
        <v>1530</v>
      </c>
      <c r="Y1555">
        <v>1065.4896000000001</v>
      </c>
      <c r="AF1555">
        <v>1065.4896000000001</v>
      </c>
      <c r="AG1555" t="s">
        <v>1742</v>
      </c>
    </row>
    <row r="1556" spans="1:33" x14ac:dyDescent="0.3">
      <c r="A1556" t="s">
        <v>818</v>
      </c>
      <c r="B1556" s="2">
        <v>45338</v>
      </c>
      <c r="C1556">
        <v>706.77879999999993</v>
      </c>
      <c r="D1556" t="s">
        <v>1809</v>
      </c>
      <c r="E1556">
        <v>32</v>
      </c>
      <c r="F1556" t="s">
        <v>16</v>
      </c>
      <c r="G1556" t="s">
        <v>1530</v>
      </c>
      <c r="H1556" t="s">
        <v>1742</v>
      </c>
      <c r="L1556" s="2">
        <v>45338</v>
      </c>
      <c r="M1556">
        <v>706.77879999999993</v>
      </c>
      <c r="R1556" t="s">
        <v>1809</v>
      </c>
      <c r="S1556">
        <v>706.77879999999993</v>
      </c>
      <c r="W1556" s="11" t="s">
        <v>16</v>
      </c>
      <c r="X1556" s="11" t="s">
        <v>1530</v>
      </c>
      <c r="Y1556">
        <v>706.77879999999993</v>
      </c>
      <c r="AF1556">
        <v>706.77879999999993</v>
      </c>
      <c r="AG1556" t="s">
        <v>1742</v>
      </c>
    </row>
    <row r="1557" spans="1:33" x14ac:dyDescent="0.3">
      <c r="A1557" t="s">
        <v>996</v>
      </c>
      <c r="B1557" s="2">
        <v>45252</v>
      </c>
      <c r="C1557">
        <v>3393.88</v>
      </c>
      <c r="D1557" t="s">
        <v>1807</v>
      </c>
      <c r="E1557">
        <v>34</v>
      </c>
      <c r="F1557" t="s">
        <v>16</v>
      </c>
      <c r="G1557" t="s">
        <v>1527</v>
      </c>
      <c r="H1557" t="s">
        <v>1737</v>
      </c>
      <c r="L1557" s="2">
        <v>45252</v>
      </c>
      <c r="M1557">
        <v>3393.88</v>
      </c>
      <c r="R1557" t="s">
        <v>1807</v>
      </c>
      <c r="S1557">
        <v>3393.88</v>
      </c>
      <c r="W1557" s="12" t="s">
        <v>16</v>
      </c>
      <c r="X1557" s="12" t="s">
        <v>1527</v>
      </c>
      <c r="Y1557">
        <v>3393.88</v>
      </c>
      <c r="AF1557">
        <v>3393.88</v>
      </c>
      <c r="AG1557" t="s">
        <v>1737</v>
      </c>
    </row>
    <row r="1558" spans="1:33" x14ac:dyDescent="0.3">
      <c r="A1558" t="s">
        <v>1500</v>
      </c>
      <c r="B1558" s="2">
        <v>45606</v>
      </c>
      <c r="C1558">
        <v>878.50620000000004</v>
      </c>
      <c r="D1558" t="s">
        <v>1812</v>
      </c>
      <c r="E1558">
        <v>21</v>
      </c>
      <c r="F1558" t="s">
        <v>9</v>
      </c>
      <c r="G1558" t="s">
        <v>1530</v>
      </c>
      <c r="H1558" t="s">
        <v>1737</v>
      </c>
      <c r="L1558" s="2">
        <v>45606</v>
      </c>
      <c r="M1558">
        <v>878.50620000000004</v>
      </c>
      <c r="R1558" t="s">
        <v>1812</v>
      </c>
      <c r="S1558">
        <v>878.50620000000004</v>
      </c>
      <c r="W1558" s="11" t="s">
        <v>9</v>
      </c>
      <c r="X1558" s="11" t="s">
        <v>1530</v>
      </c>
      <c r="Y1558">
        <v>878.50620000000004</v>
      </c>
      <c r="AF1558">
        <v>878.50620000000004</v>
      </c>
      <c r="AG1558" t="s">
        <v>1737</v>
      </c>
    </row>
    <row r="1559" spans="1:33" x14ac:dyDescent="0.3">
      <c r="A1559" t="s">
        <v>975</v>
      </c>
      <c r="B1559" s="2">
        <v>45524</v>
      </c>
      <c r="C1559">
        <v>958.95360000000005</v>
      </c>
      <c r="D1559" t="s">
        <v>1807</v>
      </c>
      <c r="E1559">
        <v>62</v>
      </c>
      <c r="F1559" t="s">
        <v>9</v>
      </c>
      <c r="G1559" t="s">
        <v>1530</v>
      </c>
      <c r="H1559" t="s">
        <v>1742</v>
      </c>
      <c r="L1559" s="2">
        <v>45524</v>
      </c>
      <c r="M1559">
        <v>958.95360000000005</v>
      </c>
      <c r="R1559" t="s">
        <v>1807</v>
      </c>
      <c r="S1559">
        <v>958.95360000000005</v>
      </c>
      <c r="W1559" s="12" t="s">
        <v>9</v>
      </c>
      <c r="X1559" s="12" t="s">
        <v>1530</v>
      </c>
      <c r="Y1559">
        <v>958.95360000000005</v>
      </c>
      <c r="AF1559">
        <v>958.95360000000005</v>
      </c>
      <c r="AG1559" t="s">
        <v>1742</v>
      </c>
    </row>
    <row r="1560" spans="1:33" x14ac:dyDescent="0.3">
      <c r="A1560" t="s">
        <v>94</v>
      </c>
      <c r="B1560" s="2">
        <v>45934</v>
      </c>
      <c r="C1560">
        <v>287.39620000000002</v>
      </c>
      <c r="D1560" t="s">
        <v>1812</v>
      </c>
      <c r="E1560">
        <v>33</v>
      </c>
      <c r="F1560" t="s">
        <v>16</v>
      </c>
      <c r="G1560" t="s">
        <v>1530</v>
      </c>
      <c r="H1560" t="s">
        <v>1737</v>
      </c>
      <c r="L1560" s="2">
        <v>45934</v>
      </c>
      <c r="M1560">
        <v>287.39620000000002</v>
      </c>
      <c r="R1560" t="s">
        <v>1812</v>
      </c>
      <c r="S1560">
        <v>287.39620000000002</v>
      </c>
      <c r="W1560" s="11" t="s">
        <v>16</v>
      </c>
      <c r="X1560" s="11" t="s">
        <v>1530</v>
      </c>
      <c r="Y1560">
        <v>287.39620000000002</v>
      </c>
      <c r="AF1560">
        <v>287.39620000000002</v>
      </c>
      <c r="AG1560" t="s">
        <v>1737</v>
      </c>
    </row>
    <row r="1561" spans="1:33" x14ac:dyDescent="0.3">
      <c r="A1561" t="s">
        <v>1104</v>
      </c>
      <c r="B1561" s="2">
        <v>45539</v>
      </c>
      <c r="C1561">
        <v>487.8535</v>
      </c>
      <c r="D1561" t="s">
        <v>1807</v>
      </c>
      <c r="E1561">
        <v>41</v>
      </c>
      <c r="F1561" t="s">
        <v>9</v>
      </c>
      <c r="G1561" t="s">
        <v>1541</v>
      </c>
      <c r="H1561" t="s">
        <v>1742</v>
      </c>
      <c r="L1561" s="2">
        <v>45539</v>
      </c>
      <c r="M1561">
        <v>487.8535</v>
      </c>
      <c r="R1561" t="s">
        <v>1807</v>
      </c>
      <c r="S1561">
        <v>487.8535</v>
      </c>
      <c r="W1561" s="12" t="s">
        <v>9</v>
      </c>
      <c r="X1561" s="12" t="s">
        <v>1541</v>
      </c>
      <c r="Y1561">
        <v>487.8535</v>
      </c>
      <c r="AF1561">
        <v>487.8535</v>
      </c>
      <c r="AG1561" t="s">
        <v>1742</v>
      </c>
    </row>
    <row r="1562" spans="1:33" x14ac:dyDescent="0.3">
      <c r="A1562" t="s">
        <v>676</v>
      </c>
      <c r="B1562" s="2">
        <v>45555</v>
      </c>
      <c r="C1562">
        <v>129.72479999999999</v>
      </c>
      <c r="D1562" t="s">
        <v>1807</v>
      </c>
      <c r="E1562">
        <v>48</v>
      </c>
      <c r="F1562" t="s">
        <v>9</v>
      </c>
      <c r="G1562" t="s">
        <v>1546</v>
      </c>
      <c r="H1562" t="s">
        <v>1742</v>
      </c>
      <c r="L1562" s="2">
        <v>45555</v>
      </c>
      <c r="M1562">
        <v>129.72479999999999</v>
      </c>
      <c r="R1562" t="s">
        <v>1807</v>
      </c>
      <c r="S1562">
        <v>129.72479999999999</v>
      </c>
      <c r="W1562" s="11" t="s">
        <v>9</v>
      </c>
      <c r="X1562" s="11" t="s">
        <v>1546</v>
      </c>
      <c r="Y1562">
        <v>129.72479999999999</v>
      </c>
      <c r="AF1562">
        <v>129.72479999999999</v>
      </c>
      <c r="AG1562" t="s">
        <v>1742</v>
      </c>
    </row>
    <row r="1563" spans="1:33" x14ac:dyDescent="0.3">
      <c r="A1563" t="s">
        <v>706</v>
      </c>
      <c r="B1563" s="2">
        <v>45281</v>
      </c>
      <c r="C1563">
        <v>1407.6017999999999</v>
      </c>
      <c r="D1563" t="s">
        <v>1807</v>
      </c>
      <c r="E1563">
        <v>50</v>
      </c>
      <c r="F1563" t="s">
        <v>16</v>
      </c>
      <c r="G1563" t="s">
        <v>1527</v>
      </c>
      <c r="H1563" t="s">
        <v>1742</v>
      </c>
      <c r="L1563" s="2">
        <v>45281</v>
      </c>
      <c r="M1563">
        <v>1407.6017999999999</v>
      </c>
      <c r="R1563" t="s">
        <v>1807</v>
      </c>
      <c r="S1563">
        <v>1407.6017999999999</v>
      </c>
      <c r="W1563" s="12" t="s">
        <v>16</v>
      </c>
      <c r="X1563" s="12" t="s">
        <v>1527</v>
      </c>
      <c r="Y1563">
        <v>1407.6017999999999</v>
      </c>
      <c r="AF1563">
        <v>1407.6017999999999</v>
      </c>
      <c r="AG1563" t="s">
        <v>1742</v>
      </c>
    </row>
    <row r="1564" spans="1:33" x14ac:dyDescent="0.3">
      <c r="A1564" t="s">
        <v>1202</v>
      </c>
      <c r="B1564" s="2">
        <v>45582</v>
      </c>
      <c r="C1564">
        <v>349.22250000000003</v>
      </c>
      <c r="D1564" t="s">
        <v>1807</v>
      </c>
      <c r="E1564">
        <v>56</v>
      </c>
      <c r="F1564" t="s">
        <v>9</v>
      </c>
      <c r="G1564" t="s">
        <v>1549</v>
      </c>
      <c r="H1564" t="s">
        <v>1737</v>
      </c>
      <c r="L1564" s="2">
        <v>45582</v>
      </c>
      <c r="M1564">
        <v>349.22250000000003</v>
      </c>
      <c r="R1564" t="s">
        <v>1807</v>
      </c>
      <c r="S1564">
        <v>349.22250000000003</v>
      </c>
      <c r="W1564" s="11" t="s">
        <v>9</v>
      </c>
      <c r="X1564" s="11" t="s">
        <v>1549</v>
      </c>
      <c r="Y1564">
        <v>349.22250000000003</v>
      </c>
      <c r="AF1564">
        <v>349.22250000000003</v>
      </c>
      <c r="AG1564" t="s">
        <v>1737</v>
      </c>
    </row>
    <row r="1565" spans="1:33" x14ac:dyDescent="0.3">
      <c r="A1565" t="s">
        <v>179</v>
      </c>
      <c r="B1565" s="2">
        <v>45372</v>
      </c>
      <c r="C1565">
        <v>1243.1224</v>
      </c>
      <c r="D1565" t="s">
        <v>1812</v>
      </c>
      <c r="E1565">
        <v>54</v>
      </c>
      <c r="F1565" t="s">
        <v>9</v>
      </c>
      <c r="G1565" t="s">
        <v>1546</v>
      </c>
      <c r="H1565" t="s">
        <v>1742</v>
      </c>
      <c r="L1565" s="2">
        <v>45372</v>
      </c>
      <c r="M1565">
        <v>1243.1224</v>
      </c>
      <c r="R1565" t="s">
        <v>1812</v>
      </c>
      <c r="S1565">
        <v>1243.1224</v>
      </c>
      <c r="W1565" s="12" t="s">
        <v>9</v>
      </c>
      <c r="X1565" s="12" t="s">
        <v>1546</v>
      </c>
      <c r="Y1565">
        <v>1243.1224</v>
      </c>
      <c r="AF1565">
        <v>1243.1224</v>
      </c>
      <c r="AG1565" t="s">
        <v>1742</v>
      </c>
    </row>
    <row r="1566" spans="1:33" x14ac:dyDescent="0.3">
      <c r="A1566" t="s">
        <v>1279</v>
      </c>
      <c r="B1566" s="2">
        <v>45458</v>
      </c>
      <c r="C1566">
        <v>661.47080000000005</v>
      </c>
      <c r="D1566" t="s">
        <v>1809</v>
      </c>
      <c r="E1566">
        <v>64</v>
      </c>
      <c r="F1566" t="s">
        <v>16</v>
      </c>
      <c r="G1566" t="s">
        <v>1527</v>
      </c>
      <c r="H1566" t="s">
        <v>1737</v>
      </c>
      <c r="L1566" s="2">
        <v>45458</v>
      </c>
      <c r="M1566">
        <v>661.47080000000005</v>
      </c>
      <c r="R1566" t="s">
        <v>1809</v>
      </c>
      <c r="S1566">
        <v>661.47080000000005</v>
      </c>
      <c r="W1566" s="11" t="s">
        <v>16</v>
      </c>
      <c r="X1566" s="11" t="s">
        <v>1527</v>
      </c>
      <c r="Y1566">
        <v>661.47080000000005</v>
      </c>
      <c r="AF1566">
        <v>661.47080000000005</v>
      </c>
      <c r="AG1566" t="s">
        <v>1737</v>
      </c>
    </row>
    <row r="1567" spans="1:33" x14ac:dyDescent="0.3">
      <c r="A1567" t="s">
        <v>1163</v>
      </c>
      <c r="B1567" s="2">
        <v>45943</v>
      </c>
      <c r="C1567">
        <v>1081.04</v>
      </c>
      <c r="D1567" t="s">
        <v>1812</v>
      </c>
      <c r="E1567">
        <v>39</v>
      </c>
      <c r="F1567" t="s">
        <v>16</v>
      </c>
      <c r="G1567" t="s">
        <v>1527</v>
      </c>
      <c r="H1567" t="s">
        <v>1742</v>
      </c>
      <c r="L1567" s="2">
        <v>45943</v>
      </c>
      <c r="M1567">
        <v>1081.04</v>
      </c>
      <c r="R1567" t="s">
        <v>1812</v>
      </c>
      <c r="S1567">
        <v>1081.04</v>
      </c>
      <c r="W1567" s="12" t="s">
        <v>16</v>
      </c>
      <c r="X1567" s="12" t="s">
        <v>1527</v>
      </c>
      <c r="Y1567">
        <v>1081.04</v>
      </c>
      <c r="AF1567">
        <v>1081.04</v>
      </c>
      <c r="AG1567" t="s">
        <v>1742</v>
      </c>
    </row>
    <row r="1568" spans="1:33" x14ac:dyDescent="0.3">
      <c r="A1568" t="s">
        <v>1046</v>
      </c>
      <c r="B1568" s="2">
        <v>45374</v>
      </c>
      <c r="C1568">
        <v>1023.264</v>
      </c>
      <c r="D1568" t="s">
        <v>1807</v>
      </c>
      <c r="E1568">
        <v>40</v>
      </c>
      <c r="F1568" t="s">
        <v>16</v>
      </c>
      <c r="G1568" t="s">
        <v>1549</v>
      </c>
      <c r="H1568" t="s">
        <v>1742</v>
      </c>
      <c r="L1568" s="2">
        <v>45374</v>
      </c>
      <c r="M1568">
        <v>1023.264</v>
      </c>
      <c r="R1568" t="s">
        <v>1807</v>
      </c>
      <c r="S1568">
        <v>1023.264</v>
      </c>
      <c r="W1568" s="11" t="s">
        <v>16</v>
      </c>
      <c r="X1568" s="11" t="s">
        <v>1549</v>
      </c>
      <c r="Y1568">
        <v>1023.264</v>
      </c>
      <c r="AF1568">
        <v>1023.264</v>
      </c>
      <c r="AG1568" t="s">
        <v>1742</v>
      </c>
    </row>
    <row r="1569" spans="1:33" x14ac:dyDescent="0.3">
      <c r="A1569" t="s">
        <v>688</v>
      </c>
      <c r="B1569" s="2">
        <v>45374</v>
      </c>
      <c r="C1569">
        <v>77.293200000000013</v>
      </c>
      <c r="D1569" t="s">
        <v>1809</v>
      </c>
      <c r="E1569">
        <v>61</v>
      </c>
      <c r="F1569" t="s">
        <v>9</v>
      </c>
      <c r="G1569" t="s">
        <v>1530</v>
      </c>
      <c r="H1569" t="s">
        <v>1742</v>
      </c>
      <c r="L1569" s="2">
        <v>45374</v>
      </c>
      <c r="M1569">
        <v>77.293200000000013</v>
      </c>
      <c r="R1569" t="s">
        <v>1809</v>
      </c>
      <c r="S1569">
        <v>77.293200000000013</v>
      </c>
      <c r="W1569" s="12" t="s">
        <v>9</v>
      </c>
      <c r="X1569" s="12" t="s">
        <v>1530</v>
      </c>
      <c r="Y1569">
        <v>77.293200000000013</v>
      </c>
      <c r="AF1569">
        <v>77.293200000000013</v>
      </c>
      <c r="AG1569" t="s">
        <v>1742</v>
      </c>
    </row>
    <row r="1570" spans="1:33" x14ac:dyDescent="0.3">
      <c r="A1570" t="s">
        <v>1279</v>
      </c>
      <c r="B1570" s="2">
        <v>45789</v>
      </c>
      <c r="C1570">
        <v>1302.3671999999999</v>
      </c>
      <c r="D1570" t="s">
        <v>1812</v>
      </c>
      <c r="E1570">
        <v>64</v>
      </c>
      <c r="F1570" t="s">
        <v>16</v>
      </c>
      <c r="G1570" t="s">
        <v>1541</v>
      </c>
      <c r="H1570" t="s">
        <v>1742</v>
      </c>
      <c r="L1570" s="2">
        <v>45789</v>
      </c>
      <c r="M1570">
        <v>1302.3671999999999</v>
      </c>
      <c r="R1570" t="s">
        <v>1812</v>
      </c>
      <c r="S1570">
        <v>1302.3671999999999</v>
      </c>
      <c r="W1570" s="11" t="s">
        <v>16</v>
      </c>
      <c r="X1570" s="11" t="s">
        <v>1541</v>
      </c>
      <c r="Y1570">
        <v>1302.3671999999999</v>
      </c>
      <c r="AF1570">
        <v>1302.3671999999999</v>
      </c>
      <c r="AG1570" t="s">
        <v>1742</v>
      </c>
    </row>
    <row r="1571" spans="1:33" x14ac:dyDescent="0.3">
      <c r="A1571" t="s">
        <v>392</v>
      </c>
      <c r="B1571" s="2">
        <v>45452</v>
      </c>
      <c r="C1571">
        <v>2677.0619999999999</v>
      </c>
      <c r="D1571" t="s">
        <v>1812</v>
      </c>
      <c r="E1571">
        <v>30</v>
      </c>
      <c r="F1571" t="s">
        <v>9</v>
      </c>
      <c r="G1571" t="s">
        <v>1549</v>
      </c>
      <c r="H1571" t="s">
        <v>1742</v>
      </c>
      <c r="L1571" s="2">
        <v>45452</v>
      </c>
      <c r="M1571">
        <v>2677.0619999999999</v>
      </c>
      <c r="R1571" t="s">
        <v>1812</v>
      </c>
      <c r="S1571">
        <v>2677.0619999999999</v>
      </c>
      <c r="W1571" s="12" t="s">
        <v>9</v>
      </c>
      <c r="X1571" s="12" t="s">
        <v>1549</v>
      </c>
      <c r="Y1571">
        <v>2677.0619999999999</v>
      </c>
      <c r="AF1571">
        <v>2677.0619999999999</v>
      </c>
      <c r="AG1571" t="s">
        <v>1742</v>
      </c>
    </row>
    <row r="1572" spans="1:33" x14ac:dyDescent="0.3">
      <c r="A1572" t="s">
        <v>131</v>
      </c>
      <c r="B1572" s="2">
        <v>45284</v>
      </c>
      <c r="C1572">
        <v>2434.0672</v>
      </c>
      <c r="D1572" t="s">
        <v>1809</v>
      </c>
      <c r="E1572">
        <v>25</v>
      </c>
      <c r="F1572" t="s">
        <v>9</v>
      </c>
      <c r="G1572" t="s">
        <v>1527</v>
      </c>
      <c r="H1572" t="s">
        <v>1742</v>
      </c>
      <c r="L1572" s="2">
        <v>45284</v>
      </c>
      <c r="M1572">
        <v>2434.0672</v>
      </c>
      <c r="R1572" t="s">
        <v>1809</v>
      </c>
      <c r="S1572">
        <v>2434.0672</v>
      </c>
      <c r="W1572" s="11" t="s">
        <v>9</v>
      </c>
      <c r="X1572" s="11" t="s">
        <v>1527</v>
      </c>
      <c r="Y1572">
        <v>2434.0672</v>
      </c>
      <c r="AF1572">
        <v>2434.0672</v>
      </c>
      <c r="AG1572" t="s">
        <v>1742</v>
      </c>
    </row>
    <row r="1573" spans="1:33" x14ac:dyDescent="0.3">
      <c r="A1573" t="s">
        <v>780</v>
      </c>
      <c r="B1573" s="2">
        <v>45325</v>
      </c>
      <c r="C1573">
        <v>2733.2267999999999</v>
      </c>
      <c r="D1573" t="s">
        <v>1812</v>
      </c>
      <c r="E1573">
        <v>58</v>
      </c>
      <c r="F1573" t="s">
        <v>9</v>
      </c>
      <c r="G1573" t="s">
        <v>1527</v>
      </c>
      <c r="H1573" t="s">
        <v>1742</v>
      </c>
      <c r="L1573" s="2">
        <v>45325</v>
      </c>
      <c r="M1573">
        <v>2733.2267999999999</v>
      </c>
      <c r="R1573" t="s">
        <v>1812</v>
      </c>
      <c r="S1573">
        <v>2733.2267999999999</v>
      </c>
      <c r="W1573" s="12" t="s">
        <v>9</v>
      </c>
      <c r="X1573" s="12" t="s">
        <v>1527</v>
      </c>
      <c r="Y1573">
        <v>2733.2267999999999</v>
      </c>
      <c r="AF1573">
        <v>2733.2267999999999</v>
      </c>
      <c r="AG1573" t="s">
        <v>1742</v>
      </c>
    </row>
    <row r="1574" spans="1:33" x14ac:dyDescent="0.3">
      <c r="A1574" t="s">
        <v>128</v>
      </c>
      <c r="B1574" s="2">
        <v>45465</v>
      </c>
      <c r="C1574">
        <v>361.16199999999998</v>
      </c>
      <c r="D1574" t="s">
        <v>1809</v>
      </c>
      <c r="E1574">
        <v>48</v>
      </c>
      <c r="F1574" t="s">
        <v>16</v>
      </c>
      <c r="G1574" t="s">
        <v>1546</v>
      </c>
      <c r="H1574" t="s">
        <v>1742</v>
      </c>
      <c r="L1574" s="2">
        <v>45465</v>
      </c>
      <c r="M1574">
        <v>361.16199999999998</v>
      </c>
      <c r="R1574" t="s">
        <v>1809</v>
      </c>
      <c r="S1574">
        <v>361.16199999999998</v>
      </c>
      <c r="W1574" s="11" t="s">
        <v>16</v>
      </c>
      <c r="X1574" s="11" t="s">
        <v>1546</v>
      </c>
      <c r="Y1574">
        <v>361.16199999999998</v>
      </c>
      <c r="AF1574">
        <v>361.16199999999998</v>
      </c>
      <c r="AG1574" t="s">
        <v>1742</v>
      </c>
    </row>
    <row r="1575" spans="1:33" x14ac:dyDescent="0.3">
      <c r="A1575" t="s">
        <v>1328</v>
      </c>
      <c r="B1575" s="2">
        <v>45612</v>
      </c>
      <c r="C1575">
        <v>1758.2940000000001</v>
      </c>
      <c r="D1575" t="s">
        <v>1809</v>
      </c>
      <c r="E1575">
        <v>48</v>
      </c>
      <c r="F1575" t="s">
        <v>16</v>
      </c>
      <c r="G1575" t="s">
        <v>1530</v>
      </c>
      <c r="H1575" t="s">
        <v>1746</v>
      </c>
      <c r="L1575" s="2">
        <v>45612</v>
      </c>
      <c r="M1575">
        <v>1758.2940000000001</v>
      </c>
      <c r="R1575" t="s">
        <v>1809</v>
      </c>
      <c r="S1575">
        <v>1758.2940000000001</v>
      </c>
      <c r="W1575" s="12" t="s">
        <v>16</v>
      </c>
      <c r="X1575" s="12" t="s">
        <v>1530</v>
      </c>
      <c r="Y1575">
        <v>1758.2940000000001</v>
      </c>
      <c r="AF1575">
        <v>1758.2940000000001</v>
      </c>
      <c r="AG1575" t="s">
        <v>1746</v>
      </c>
    </row>
    <row r="1576" spans="1:33" x14ac:dyDescent="0.3">
      <c r="A1576" t="s">
        <v>862</v>
      </c>
      <c r="B1576" s="2">
        <v>45472</v>
      </c>
      <c r="C1576">
        <v>605.50099999999998</v>
      </c>
      <c r="D1576" t="s">
        <v>1807</v>
      </c>
      <c r="E1576">
        <v>38</v>
      </c>
      <c r="F1576" t="s">
        <v>9</v>
      </c>
      <c r="G1576" t="s">
        <v>1541</v>
      </c>
      <c r="H1576" t="s">
        <v>1746</v>
      </c>
      <c r="L1576" s="2">
        <v>45472</v>
      </c>
      <c r="M1576">
        <v>605.50099999999998</v>
      </c>
      <c r="R1576" t="s">
        <v>1807</v>
      </c>
      <c r="S1576">
        <v>605.50099999999998</v>
      </c>
      <c r="W1576" s="11" t="s">
        <v>9</v>
      </c>
      <c r="X1576" s="11" t="s">
        <v>1541</v>
      </c>
      <c r="Y1576">
        <v>605.50099999999998</v>
      </c>
      <c r="AF1576">
        <v>605.50099999999998</v>
      </c>
      <c r="AG1576" t="s">
        <v>1746</v>
      </c>
    </row>
    <row r="1577" spans="1:33" x14ac:dyDescent="0.3">
      <c r="A1577" t="s">
        <v>1049</v>
      </c>
      <c r="B1577" s="2">
        <v>45897</v>
      </c>
      <c r="C1577">
        <v>362.32350000000002</v>
      </c>
      <c r="D1577" t="s">
        <v>1809</v>
      </c>
      <c r="E1577">
        <v>46</v>
      </c>
      <c r="F1577" t="s">
        <v>16</v>
      </c>
      <c r="G1577" t="s">
        <v>1546</v>
      </c>
      <c r="H1577" t="s">
        <v>1742</v>
      </c>
      <c r="L1577" s="2">
        <v>45897</v>
      </c>
      <c r="M1577">
        <v>362.32350000000002</v>
      </c>
      <c r="R1577" t="s">
        <v>1809</v>
      </c>
      <c r="S1577">
        <v>362.32350000000002</v>
      </c>
      <c r="W1577" s="12" t="s">
        <v>16</v>
      </c>
      <c r="X1577" s="12" t="s">
        <v>1546</v>
      </c>
      <c r="Y1577">
        <v>362.32350000000002</v>
      </c>
      <c r="AF1577">
        <v>362.32350000000002</v>
      </c>
      <c r="AG1577" t="s">
        <v>1742</v>
      </c>
    </row>
    <row r="1578" spans="1:33" x14ac:dyDescent="0.3">
      <c r="A1578" t="s">
        <v>3951</v>
      </c>
      <c r="B1578" s="2">
        <v>45241</v>
      </c>
      <c r="C1578">
        <v>1455.1325999999999</v>
      </c>
      <c r="D1578" t="s">
        <v>1812</v>
      </c>
      <c r="E1578">
        <v>40</v>
      </c>
      <c r="F1578" t="s">
        <v>9</v>
      </c>
      <c r="G1578" t="s">
        <v>1530</v>
      </c>
      <c r="H1578" t="s">
        <v>1737</v>
      </c>
      <c r="L1578" s="2">
        <v>45241</v>
      </c>
      <c r="M1578">
        <v>1455.1325999999999</v>
      </c>
      <c r="R1578" t="s">
        <v>1812</v>
      </c>
      <c r="S1578">
        <v>1455.1325999999999</v>
      </c>
      <c r="W1578" s="11" t="s">
        <v>9</v>
      </c>
      <c r="X1578" s="11" t="s">
        <v>1530</v>
      </c>
      <c r="Y1578">
        <v>1455.1325999999999</v>
      </c>
      <c r="AF1578">
        <v>1455.1325999999999</v>
      </c>
      <c r="AG1578" t="s">
        <v>1737</v>
      </c>
    </row>
    <row r="1579" spans="1:33" x14ac:dyDescent="0.3">
      <c r="A1579" t="s">
        <v>356</v>
      </c>
      <c r="B1579" s="2">
        <v>45851</v>
      </c>
      <c r="C1579">
        <v>2320.2784000000001</v>
      </c>
      <c r="D1579" t="s">
        <v>1807</v>
      </c>
      <c r="E1579">
        <v>34</v>
      </c>
      <c r="F1579" t="s">
        <v>16</v>
      </c>
      <c r="G1579" t="s">
        <v>1549</v>
      </c>
      <c r="H1579" t="s">
        <v>1742</v>
      </c>
      <c r="L1579" s="2">
        <v>45851</v>
      </c>
      <c r="M1579">
        <v>2320.2784000000001</v>
      </c>
      <c r="R1579" t="s">
        <v>1807</v>
      </c>
      <c r="S1579">
        <v>2320.2784000000001</v>
      </c>
      <c r="W1579" s="12" t="s">
        <v>16</v>
      </c>
      <c r="X1579" s="12" t="s">
        <v>1549</v>
      </c>
      <c r="Y1579">
        <v>2320.2784000000001</v>
      </c>
      <c r="AF1579">
        <v>2320.2784000000001</v>
      </c>
      <c r="AG1579" t="s">
        <v>1742</v>
      </c>
    </row>
    <row r="1580" spans="1:33" x14ac:dyDescent="0.3">
      <c r="A1580" t="s">
        <v>365</v>
      </c>
      <c r="B1580" s="2">
        <v>45572</v>
      </c>
      <c r="C1580">
        <v>324.02999999999997</v>
      </c>
      <c r="D1580" t="s">
        <v>1807</v>
      </c>
      <c r="E1580">
        <v>50</v>
      </c>
      <c r="F1580" t="s">
        <v>16</v>
      </c>
      <c r="G1580" t="s">
        <v>1530</v>
      </c>
      <c r="H1580" t="s">
        <v>1742</v>
      </c>
      <c r="L1580" s="2">
        <v>45572</v>
      </c>
      <c r="M1580">
        <v>324.02999999999997</v>
      </c>
      <c r="R1580" t="s">
        <v>1807</v>
      </c>
      <c r="S1580">
        <v>324.02999999999997</v>
      </c>
      <c r="W1580" s="11" t="s">
        <v>16</v>
      </c>
      <c r="X1580" s="11" t="s">
        <v>1530</v>
      </c>
      <c r="Y1580">
        <v>324.02999999999997</v>
      </c>
      <c r="AF1580">
        <v>324.02999999999997</v>
      </c>
      <c r="AG1580" t="s">
        <v>1742</v>
      </c>
    </row>
    <row r="1581" spans="1:33" x14ac:dyDescent="0.3">
      <c r="A1581" t="s">
        <v>125</v>
      </c>
      <c r="B1581" s="2">
        <v>45774</v>
      </c>
      <c r="C1581">
        <v>1202.4012</v>
      </c>
      <c r="D1581" t="s">
        <v>1809</v>
      </c>
      <c r="E1581">
        <v>41</v>
      </c>
      <c r="F1581" t="s">
        <v>9</v>
      </c>
      <c r="G1581" t="s">
        <v>1549</v>
      </c>
      <c r="H1581" t="s">
        <v>1742</v>
      </c>
      <c r="L1581" s="2">
        <v>45774</v>
      </c>
      <c r="M1581">
        <v>1202.4012</v>
      </c>
      <c r="R1581" t="s">
        <v>1809</v>
      </c>
      <c r="S1581">
        <v>1202.4012</v>
      </c>
      <c r="W1581" s="12" t="s">
        <v>9</v>
      </c>
      <c r="X1581" s="12" t="s">
        <v>1549</v>
      </c>
      <c r="Y1581">
        <v>1202.4012</v>
      </c>
      <c r="AF1581">
        <v>1202.4012</v>
      </c>
      <c r="AG1581" t="s">
        <v>1742</v>
      </c>
    </row>
    <row r="1582" spans="1:33" x14ac:dyDescent="0.3">
      <c r="A1582" t="s">
        <v>346</v>
      </c>
      <c r="B1582" s="2">
        <v>45921</v>
      </c>
      <c r="C1582">
        <v>863.60260000000005</v>
      </c>
      <c r="D1582" t="s">
        <v>1809</v>
      </c>
      <c r="E1582">
        <v>35</v>
      </c>
      <c r="F1582" t="s">
        <v>9</v>
      </c>
      <c r="G1582" t="s">
        <v>1530</v>
      </c>
      <c r="H1582" t="s">
        <v>1742</v>
      </c>
      <c r="L1582" s="2">
        <v>45921</v>
      </c>
      <c r="M1582">
        <v>863.60260000000005</v>
      </c>
      <c r="R1582" t="s">
        <v>1809</v>
      </c>
      <c r="S1582">
        <v>863.60260000000005</v>
      </c>
      <c r="W1582" s="11" t="s">
        <v>9</v>
      </c>
      <c r="X1582" s="11" t="s">
        <v>1530</v>
      </c>
      <c r="Y1582">
        <v>863.60260000000005</v>
      </c>
      <c r="AF1582">
        <v>863.60260000000005</v>
      </c>
      <c r="AG1582" t="s">
        <v>1742</v>
      </c>
    </row>
    <row r="1583" spans="1:33" x14ac:dyDescent="0.3">
      <c r="A1583" t="s">
        <v>960</v>
      </c>
      <c r="B1583" s="2">
        <v>45268</v>
      </c>
      <c r="C1583">
        <v>167.76</v>
      </c>
      <c r="D1583" t="s">
        <v>1809</v>
      </c>
      <c r="E1583">
        <v>60</v>
      </c>
      <c r="F1583" t="s">
        <v>16</v>
      </c>
      <c r="G1583" t="s">
        <v>1530</v>
      </c>
      <c r="H1583" t="s">
        <v>1742</v>
      </c>
      <c r="L1583" s="2">
        <v>45268</v>
      </c>
      <c r="M1583">
        <v>167.76</v>
      </c>
      <c r="R1583" t="s">
        <v>1809</v>
      </c>
      <c r="S1583">
        <v>167.76</v>
      </c>
      <c r="W1583" s="12" t="s">
        <v>16</v>
      </c>
      <c r="X1583" s="12" t="s">
        <v>1530</v>
      </c>
      <c r="Y1583">
        <v>167.76</v>
      </c>
      <c r="AF1583">
        <v>167.76</v>
      </c>
      <c r="AG1583" t="s">
        <v>1742</v>
      </c>
    </row>
    <row r="1584" spans="1:33" x14ac:dyDescent="0.3">
      <c r="A1584" t="s">
        <v>1016</v>
      </c>
      <c r="B1584" s="2">
        <v>45402</v>
      </c>
      <c r="C1584">
        <v>579.24950000000001</v>
      </c>
      <c r="D1584" t="s">
        <v>1807</v>
      </c>
      <c r="E1584">
        <v>62</v>
      </c>
      <c r="F1584" t="s">
        <v>16</v>
      </c>
      <c r="G1584" t="s">
        <v>1527</v>
      </c>
      <c r="H1584" t="s">
        <v>1737</v>
      </c>
      <c r="L1584" s="2">
        <v>45402</v>
      </c>
      <c r="M1584">
        <v>579.24950000000001</v>
      </c>
      <c r="R1584" t="s">
        <v>1807</v>
      </c>
      <c r="S1584">
        <v>579.24950000000001</v>
      </c>
      <c r="W1584" s="11" t="s">
        <v>16</v>
      </c>
      <c r="X1584" s="11" t="s">
        <v>1527</v>
      </c>
      <c r="Y1584">
        <v>579.24950000000001</v>
      </c>
      <c r="AF1584">
        <v>579.24950000000001</v>
      </c>
      <c r="AG1584" t="s">
        <v>1737</v>
      </c>
    </row>
    <row r="1585" spans="1:33" x14ac:dyDescent="0.3">
      <c r="A1585" t="s">
        <v>1347</v>
      </c>
      <c r="B1585" s="2">
        <v>45667</v>
      </c>
      <c r="C1585">
        <v>1578.9780000000001</v>
      </c>
      <c r="D1585" t="s">
        <v>1807</v>
      </c>
      <c r="E1585">
        <v>31</v>
      </c>
      <c r="F1585" t="s">
        <v>9</v>
      </c>
      <c r="G1585" t="s">
        <v>1546</v>
      </c>
      <c r="H1585" t="s">
        <v>1742</v>
      </c>
      <c r="L1585" s="2">
        <v>45667</v>
      </c>
      <c r="M1585">
        <v>1578.9780000000001</v>
      </c>
      <c r="R1585" t="s">
        <v>1807</v>
      </c>
      <c r="S1585">
        <v>1578.9780000000001</v>
      </c>
      <c r="W1585" s="12" t="s">
        <v>9</v>
      </c>
      <c r="X1585" s="12" t="s">
        <v>1546</v>
      </c>
      <c r="Y1585">
        <v>1578.9780000000001</v>
      </c>
      <c r="AF1585">
        <v>1578.9780000000001</v>
      </c>
      <c r="AG1585" t="s">
        <v>1742</v>
      </c>
    </row>
    <row r="1586" spans="1:33" x14ac:dyDescent="0.3">
      <c r="A1586" t="s">
        <v>993</v>
      </c>
      <c r="B1586" s="2">
        <v>45902</v>
      </c>
      <c r="C1586">
        <v>758.03660000000002</v>
      </c>
      <c r="D1586" t="s">
        <v>1809</v>
      </c>
      <c r="E1586">
        <v>54</v>
      </c>
      <c r="F1586" t="s">
        <v>9</v>
      </c>
      <c r="G1586" t="s">
        <v>1527</v>
      </c>
      <c r="H1586" t="s">
        <v>1742</v>
      </c>
      <c r="L1586" s="2">
        <v>45902</v>
      </c>
      <c r="M1586">
        <v>758.03660000000002</v>
      </c>
      <c r="R1586" t="s">
        <v>1809</v>
      </c>
      <c r="S1586">
        <v>758.03660000000002</v>
      </c>
      <c r="W1586" s="11" t="s">
        <v>9</v>
      </c>
      <c r="X1586" s="11" t="s">
        <v>1527</v>
      </c>
      <c r="Y1586">
        <v>758.03660000000002</v>
      </c>
      <c r="AF1586">
        <v>758.03660000000002</v>
      </c>
      <c r="AG1586" t="s">
        <v>1742</v>
      </c>
    </row>
    <row r="1587" spans="1:33" x14ac:dyDescent="0.3">
      <c r="A1587" t="s">
        <v>1005</v>
      </c>
      <c r="B1587" s="2">
        <v>45589</v>
      </c>
      <c r="C1587">
        <v>140.72</v>
      </c>
      <c r="D1587" t="s">
        <v>1812</v>
      </c>
      <c r="E1587">
        <v>64</v>
      </c>
      <c r="F1587" t="s">
        <v>16</v>
      </c>
      <c r="G1587" t="s">
        <v>1541</v>
      </c>
      <c r="H1587" t="s">
        <v>1742</v>
      </c>
      <c r="L1587" s="2">
        <v>45589</v>
      </c>
      <c r="M1587">
        <v>140.72</v>
      </c>
      <c r="R1587" t="s">
        <v>1812</v>
      </c>
      <c r="S1587">
        <v>140.72</v>
      </c>
      <c r="W1587" s="12" t="s">
        <v>16</v>
      </c>
      <c r="X1587" s="12" t="s">
        <v>1541</v>
      </c>
      <c r="Y1587">
        <v>140.72</v>
      </c>
      <c r="AF1587">
        <v>140.72</v>
      </c>
      <c r="AG1587" t="s">
        <v>1742</v>
      </c>
    </row>
    <row r="1588" spans="1:33" x14ac:dyDescent="0.3">
      <c r="A1588" t="s">
        <v>115</v>
      </c>
      <c r="B1588" s="2">
        <v>45668</v>
      </c>
      <c r="C1588">
        <v>1176.9449999999999</v>
      </c>
      <c r="D1588" t="s">
        <v>1809</v>
      </c>
      <c r="E1588">
        <v>27</v>
      </c>
      <c r="F1588" t="s">
        <v>16</v>
      </c>
      <c r="G1588" t="s">
        <v>1549</v>
      </c>
      <c r="H1588" t="s">
        <v>1737</v>
      </c>
      <c r="L1588" s="2">
        <v>45668</v>
      </c>
      <c r="M1588">
        <v>1176.9449999999999</v>
      </c>
      <c r="R1588" t="s">
        <v>1809</v>
      </c>
      <c r="S1588">
        <v>1176.9449999999999</v>
      </c>
      <c r="W1588" s="11" t="s">
        <v>16</v>
      </c>
      <c r="X1588" s="11" t="s">
        <v>1549</v>
      </c>
      <c r="Y1588">
        <v>1176.9449999999999</v>
      </c>
      <c r="AF1588">
        <v>1176.9449999999999</v>
      </c>
      <c r="AG1588" t="s">
        <v>1737</v>
      </c>
    </row>
    <row r="1589" spans="1:33" x14ac:dyDescent="0.3">
      <c r="A1589" t="s">
        <v>714</v>
      </c>
      <c r="B1589" s="2">
        <v>45300</v>
      </c>
      <c r="C1589">
        <v>229.614</v>
      </c>
      <c r="D1589" t="s">
        <v>1809</v>
      </c>
      <c r="E1589">
        <v>50</v>
      </c>
      <c r="F1589" t="s">
        <v>9</v>
      </c>
      <c r="G1589" t="s">
        <v>1541</v>
      </c>
      <c r="H1589" t="s">
        <v>1742</v>
      </c>
      <c r="L1589" s="2">
        <v>45300</v>
      </c>
      <c r="M1589">
        <v>229.614</v>
      </c>
      <c r="R1589" t="s">
        <v>1809</v>
      </c>
      <c r="S1589">
        <v>229.614</v>
      </c>
      <c r="W1589" s="12" t="s">
        <v>9</v>
      </c>
      <c r="X1589" s="12" t="s">
        <v>1541</v>
      </c>
      <c r="Y1589">
        <v>229.614</v>
      </c>
      <c r="AF1589">
        <v>229.614</v>
      </c>
      <c r="AG1589" t="s">
        <v>1742</v>
      </c>
    </row>
    <row r="1590" spans="1:33" x14ac:dyDescent="0.3">
      <c r="A1590" t="s">
        <v>492</v>
      </c>
      <c r="B1590" s="2">
        <v>45757</v>
      </c>
      <c r="C1590">
        <v>2103.1763999999998</v>
      </c>
      <c r="D1590" t="s">
        <v>1809</v>
      </c>
      <c r="E1590">
        <v>42</v>
      </c>
      <c r="F1590" t="s">
        <v>16</v>
      </c>
      <c r="G1590" t="s">
        <v>1549</v>
      </c>
      <c r="H1590" t="s">
        <v>1767</v>
      </c>
      <c r="L1590" s="2">
        <v>45757</v>
      </c>
      <c r="M1590">
        <v>2103.1763999999998</v>
      </c>
      <c r="R1590" t="s">
        <v>1809</v>
      </c>
      <c r="S1590">
        <v>2103.1763999999998</v>
      </c>
      <c r="W1590" s="11" t="s">
        <v>16</v>
      </c>
      <c r="X1590" s="11" t="s">
        <v>1549</v>
      </c>
      <c r="Y1590">
        <v>2103.1763999999998</v>
      </c>
      <c r="AF1590">
        <v>2103.1763999999998</v>
      </c>
      <c r="AG1590" t="s">
        <v>1767</v>
      </c>
    </row>
    <row r="1591" spans="1:33" x14ac:dyDescent="0.3">
      <c r="A1591" t="s">
        <v>137</v>
      </c>
      <c r="B1591" s="2">
        <v>45235</v>
      </c>
      <c r="C1591">
        <v>1801.4190000000001</v>
      </c>
      <c r="D1591" t="s">
        <v>1807</v>
      </c>
      <c r="E1591">
        <v>52</v>
      </c>
      <c r="F1591" t="s">
        <v>9</v>
      </c>
      <c r="G1591" t="s">
        <v>1530</v>
      </c>
      <c r="H1591" t="s">
        <v>1746</v>
      </c>
      <c r="L1591" s="2">
        <v>45235</v>
      </c>
      <c r="M1591">
        <v>1801.4190000000001</v>
      </c>
      <c r="R1591" t="s">
        <v>1807</v>
      </c>
      <c r="S1591">
        <v>1801.4190000000001</v>
      </c>
      <c r="W1591" s="12" t="s">
        <v>9</v>
      </c>
      <c r="X1591" s="12" t="s">
        <v>1530</v>
      </c>
      <c r="Y1591">
        <v>1801.4190000000001</v>
      </c>
      <c r="AF1591">
        <v>1801.4190000000001</v>
      </c>
      <c r="AG1591" t="s">
        <v>1746</v>
      </c>
    </row>
    <row r="1592" spans="1:33" x14ac:dyDescent="0.3">
      <c r="A1592" t="s">
        <v>1262</v>
      </c>
      <c r="B1592" s="2">
        <v>45749</v>
      </c>
      <c r="C1592">
        <v>221.61</v>
      </c>
      <c r="D1592" t="s">
        <v>1809</v>
      </c>
      <c r="E1592">
        <v>63</v>
      </c>
      <c r="F1592" t="s">
        <v>9</v>
      </c>
      <c r="G1592" t="s">
        <v>1527</v>
      </c>
      <c r="H1592" t="s">
        <v>1742</v>
      </c>
      <c r="L1592" s="2">
        <v>45749</v>
      </c>
      <c r="M1592">
        <v>221.61</v>
      </c>
      <c r="R1592" t="s">
        <v>1809</v>
      </c>
      <c r="S1592">
        <v>221.61</v>
      </c>
      <c r="W1592" s="11" t="s">
        <v>9</v>
      </c>
      <c r="X1592" s="11" t="s">
        <v>1527</v>
      </c>
      <c r="Y1592">
        <v>221.61</v>
      </c>
      <c r="AF1592">
        <v>221.61</v>
      </c>
      <c r="AG1592" t="s">
        <v>1742</v>
      </c>
    </row>
    <row r="1593" spans="1:33" x14ac:dyDescent="0.3">
      <c r="A1593" t="s">
        <v>108</v>
      </c>
      <c r="B1593" s="2">
        <v>45807</v>
      </c>
      <c r="C1593">
        <v>727.28659999999991</v>
      </c>
      <c r="D1593" t="s">
        <v>1807</v>
      </c>
      <c r="E1593">
        <v>18</v>
      </c>
      <c r="F1593" t="s">
        <v>16</v>
      </c>
      <c r="G1593" t="s">
        <v>1549</v>
      </c>
      <c r="H1593" t="s">
        <v>1742</v>
      </c>
      <c r="L1593" s="2">
        <v>45807</v>
      </c>
      <c r="M1593">
        <v>727.28659999999991</v>
      </c>
      <c r="R1593" t="s">
        <v>1807</v>
      </c>
      <c r="S1593">
        <v>727.28659999999991</v>
      </c>
      <c r="W1593" s="12" t="s">
        <v>16</v>
      </c>
      <c r="X1593" s="12" t="s">
        <v>1549</v>
      </c>
      <c r="Y1593">
        <v>727.28659999999991</v>
      </c>
      <c r="AF1593">
        <v>727.28659999999991</v>
      </c>
      <c r="AG1593" t="s">
        <v>1742</v>
      </c>
    </row>
    <row r="1594" spans="1:33" x14ac:dyDescent="0.3">
      <c r="A1594" t="s">
        <v>1087</v>
      </c>
      <c r="B1594" s="2">
        <v>45496</v>
      </c>
      <c r="C1594">
        <v>1758.4811999999999</v>
      </c>
      <c r="D1594" t="s">
        <v>1812</v>
      </c>
      <c r="E1594">
        <v>25</v>
      </c>
      <c r="F1594" t="s">
        <v>16</v>
      </c>
      <c r="G1594" t="s">
        <v>1541</v>
      </c>
      <c r="H1594" t="s">
        <v>1742</v>
      </c>
      <c r="L1594" s="2">
        <v>45496</v>
      </c>
      <c r="M1594">
        <v>1758.4811999999999</v>
      </c>
      <c r="R1594" t="s">
        <v>1812</v>
      </c>
      <c r="S1594">
        <v>1758.4811999999999</v>
      </c>
      <c r="W1594" s="11" t="s">
        <v>16</v>
      </c>
      <c r="X1594" s="11" t="s">
        <v>1541</v>
      </c>
      <c r="Y1594">
        <v>1758.4811999999999</v>
      </c>
      <c r="AF1594">
        <v>1758.4811999999999</v>
      </c>
      <c r="AG1594" t="s">
        <v>1742</v>
      </c>
    </row>
    <row r="1595" spans="1:33" x14ac:dyDescent="0.3">
      <c r="A1595" t="s">
        <v>480</v>
      </c>
      <c r="B1595" s="2">
        <v>45355</v>
      </c>
      <c r="C1595">
        <v>84.527199999999993</v>
      </c>
      <c r="D1595" t="s">
        <v>1807</v>
      </c>
      <c r="E1595">
        <v>62</v>
      </c>
      <c r="F1595" t="s">
        <v>16</v>
      </c>
      <c r="G1595" t="s">
        <v>1527</v>
      </c>
      <c r="H1595" t="s">
        <v>1742</v>
      </c>
      <c r="L1595" s="2">
        <v>45355</v>
      </c>
      <c r="M1595">
        <v>84.527199999999993</v>
      </c>
      <c r="R1595" t="s">
        <v>1807</v>
      </c>
      <c r="S1595">
        <v>84.527199999999993</v>
      </c>
      <c r="W1595" s="12" t="s">
        <v>16</v>
      </c>
      <c r="X1595" s="12" t="s">
        <v>1527</v>
      </c>
      <c r="Y1595">
        <v>84.527199999999993</v>
      </c>
      <c r="AF1595">
        <v>84.527199999999993</v>
      </c>
      <c r="AG1595" t="s">
        <v>1742</v>
      </c>
    </row>
    <row r="1596" spans="1:33" x14ac:dyDescent="0.3">
      <c r="A1596" t="s">
        <v>206</v>
      </c>
      <c r="B1596" s="2">
        <v>45256</v>
      </c>
      <c r="C1596">
        <v>2155.2719999999999</v>
      </c>
      <c r="D1596" t="s">
        <v>1812</v>
      </c>
      <c r="E1596">
        <v>49</v>
      </c>
      <c r="F1596" t="s">
        <v>16</v>
      </c>
      <c r="G1596" t="s">
        <v>1549</v>
      </c>
      <c r="H1596" t="s">
        <v>1742</v>
      </c>
      <c r="L1596" s="2">
        <v>45256</v>
      </c>
      <c r="M1596">
        <v>2155.2719999999999</v>
      </c>
      <c r="R1596" t="s">
        <v>1812</v>
      </c>
      <c r="S1596">
        <v>2155.2719999999999</v>
      </c>
      <c r="W1596" s="11" t="s">
        <v>16</v>
      </c>
      <c r="X1596" s="11" t="s">
        <v>1549</v>
      </c>
      <c r="Y1596">
        <v>2155.2719999999999</v>
      </c>
      <c r="AF1596">
        <v>2155.2719999999999</v>
      </c>
      <c r="AG1596" t="s">
        <v>1742</v>
      </c>
    </row>
    <row r="1597" spans="1:33" x14ac:dyDescent="0.3">
      <c r="A1597" t="s">
        <v>1437</v>
      </c>
      <c r="B1597" s="2">
        <v>45849</v>
      </c>
      <c r="C1597">
        <v>104.6199</v>
      </c>
      <c r="D1597" t="s">
        <v>1809</v>
      </c>
      <c r="E1597">
        <v>42</v>
      </c>
      <c r="F1597" t="s">
        <v>9</v>
      </c>
      <c r="G1597" t="s">
        <v>1546</v>
      </c>
      <c r="H1597" t="s">
        <v>1742</v>
      </c>
      <c r="L1597" s="2">
        <v>45849</v>
      </c>
      <c r="M1597">
        <v>104.6199</v>
      </c>
      <c r="R1597" t="s">
        <v>1809</v>
      </c>
      <c r="S1597">
        <v>104.6199</v>
      </c>
      <c r="W1597" s="12" t="s">
        <v>9</v>
      </c>
      <c r="X1597" s="12" t="s">
        <v>1546</v>
      </c>
      <c r="Y1597">
        <v>104.6199</v>
      </c>
      <c r="AF1597">
        <v>104.6199</v>
      </c>
      <c r="AG1597" t="s">
        <v>1742</v>
      </c>
    </row>
    <row r="1598" spans="1:33" x14ac:dyDescent="0.3">
      <c r="A1598" t="s">
        <v>337</v>
      </c>
      <c r="B1598" s="2">
        <v>45344</v>
      </c>
      <c r="C1598">
        <v>384.4665</v>
      </c>
      <c r="D1598" t="s">
        <v>1809</v>
      </c>
      <c r="E1598">
        <v>30</v>
      </c>
      <c r="F1598" t="s">
        <v>16</v>
      </c>
      <c r="G1598" t="s">
        <v>1527</v>
      </c>
      <c r="H1598" t="s">
        <v>1737</v>
      </c>
      <c r="L1598" s="2">
        <v>45344</v>
      </c>
      <c r="M1598">
        <v>384.4665</v>
      </c>
      <c r="R1598" t="s">
        <v>1809</v>
      </c>
      <c r="S1598">
        <v>384.4665</v>
      </c>
      <c r="W1598" s="11" t="s">
        <v>16</v>
      </c>
      <c r="X1598" s="11" t="s">
        <v>1527</v>
      </c>
      <c r="Y1598">
        <v>384.4665</v>
      </c>
      <c r="AF1598">
        <v>384.4665</v>
      </c>
      <c r="AG1598" t="s">
        <v>1737</v>
      </c>
    </row>
    <row r="1599" spans="1:33" x14ac:dyDescent="0.3">
      <c r="A1599" t="s">
        <v>1479</v>
      </c>
      <c r="B1599" s="2">
        <v>45367</v>
      </c>
      <c r="C1599">
        <v>1398.712</v>
      </c>
      <c r="D1599" t="s">
        <v>1809</v>
      </c>
      <c r="E1599">
        <v>36</v>
      </c>
      <c r="F1599" t="s">
        <v>16</v>
      </c>
      <c r="G1599" t="s">
        <v>1549</v>
      </c>
      <c r="H1599" t="s">
        <v>1746</v>
      </c>
      <c r="L1599" s="2">
        <v>45367</v>
      </c>
      <c r="M1599">
        <v>1398.712</v>
      </c>
      <c r="R1599" t="s">
        <v>1809</v>
      </c>
      <c r="S1599">
        <v>1398.712</v>
      </c>
      <c r="W1599" s="12" t="s">
        <v>16</v>
      </c>
      <c r="X1599" s="12" t="s">
        <v>1549</v>
      </c>
      <c r="Y1599">
        <v>1398.712</v>
      </c>
      <c r="AF1599">
        <v>1398.712</v>
      </c>
      <c r="AG1599" t="s">
        <v>1746</v>
      </c>
    </row>
    <row r="1600" spans="1:33" x14ac:dyDescent="0.3">
      <c r="A1600" t="s">
        <v>3940</v>
      </c>
      <c r="B1600" s="2">
        <v>45887</v>
      </c>
      <c r="C1600">
        <v>1250.8044</v>
      </c>
      <c r="D1600" t="s">
        <v>1812</v>
      </c>
      <c r="E1600">
        <v>44</v>
      </c>
      <c r="F1600" t="s">
        <v>16</v>
      </c>
      <c r="G1600" t="s">
        <v>1549</v>
      </c>
      <c r="H1600" t="s">
        <v>1742</v>
      </c>
      <c r="L1600" s="2">
        <v>45887</v>
      </c>
      <c r="M1600">
        <v>1250.8044</v>
      </c>
      <c r="R1600" t="s">
        <v>1812</v>
      </c>
      <c r="S1600">
        <v>1250.8044</v>
      </c>
      <c r="W1600" s="11" t="s">
        <v>16</v>
      </c>
      <c r="X1600" s="11" t="s">
        <v>1549</v>
      </c>
      <c r="Y1600">
        <v>1250.8044</v>
      </c>
      <c r="AF1600">
        <v>1250.8044</v>
      </c>
      <c r="AG1600" t="s">
        <v>1742</v>
      </c>
    </row>
    <row r="1601" spans="1:33" x14ac:dyDescent="0.3">
      <c r="A1601" t="s">
        <v>750</v>
      </c>
      <c r="B1601" s="2">
        <v>45567</v>
      </c>
      <c r="C1601">
        <v>104.227</v>
      </c>
      <c r="D1601" t="s">
        <v>1812</v>
      </c>
      <c r="E1601">
        <v>42</v>
      </c>
      <c r="F1601" t="s">
        <v>16</v>
      </c>
      <c r="G1601" t="s">
        <v>1527</v>
      </c>
      <c r="H1601" t="s">
        <v>1742</v>
      </c>
      <c r="L1601" s="2">
        <v>45567</v>
      </c>
      <c r="M1601">
        <v>104.227</v>
      </c>
      <c r="R1601" t="s">
        <v>1812</v>
      </c>
      <c r="S1601">
        <v>104.227</v>
      </c>
      <c r="W1601" s="12" t="s">
        <v>16</v>
      </c>
      <c r="X1601" s="12" t="s">
        <v>1527</v>
      </c>
      <c r="Y1601">
        <v>104.227</v>
      </c>
      <c r="AF1601">
        <v>104.227</v>
      </c>
      <c r="AG1601" t="s">
        <v>1742</v>
      </c>
    </row>
    <row r="1602" spans="1:33" x14ac:dyDescent="0.3">
      <c r="A1602" t="s">
        <v>1064</v>
      </c>
      <c r="B1602" s="2">
        <v>45223</v>
      </c>
      <c r="C1602">
        <v>1340.0001999999999</v>
      </c>
      <c r="D1602" t="s">
        <v>1807</v>
      </c>
      <c r="E1602">
        <v>38</v>
      </c>
      <c r="F1602" t="s">
        <v>9</v>
      </c>
      <c r="G1602" t="s">
        <v>1549</v>
      </c>
      <c r="H1602" t="s">
        <v>1742</v>
      </c>
      <c r="L1602" s="2">
        <v>45223</v>
      </c>
      <c r="M1602">
        <v>1340.0001999999999</v>
      </c>
      <c r="R1602" t="s">
        <v>1807</v>
      </c>
      <c r="S1602">
        <v>1340.0001999999999</v>
      </c>
      <c r="W1602" s="11" t="s">
        <v>9</v>
      </c>
      <c r="X1602" s="11" t="s">
        <v>1549</v>
      </c>
      <c r="Y1602">
        <v>1340.0001999999999</v>
      </c>
      <c r="AF1602">
        <v>1340.0001999999999</v>
      </c>
      <c r="AG1602" t="s">
        <v>1742</v>
      </c>
    </row>
    <row r="1603" spans="1:33" x14ac:dyDescent="0.3">
      <c r="A1603" t="s">
        <v>245</v>
      </c>
      <c r="B1603" s="2">
        <v>45664</v>
      </c>
      <c r="C1603">
        <v>299.4939</v>
      </c>
      <c r="D1603" t="s">
        <v>1809</v>
      </c>
      <c r="E1603">
        <v>24</v>
      </c>
      <c r="F1603" t="s">
        <v>16</v>
      </c>
      <c r="G1603" t="s">
        <v>1546</v>
      </c>
      <c r="H1603" t="s">
        <v>1742</v>
      </c>
      <c r="L1603" s="2">
        <v>45664</v>
      </c>
      <c r="M1603">
        <v>299.4939</v>
      </c>
      <c r="R1603" t="s">
        <v>1809</v>
      </c>
      <c r="S1603">
        <v>299.4939</v>
      </c>
      <c r="W1603" s="12" t="s">
        <v>16</v>
      </c>
      <c r="X1603" s="12" t="s">
        <v>1546</v>
      </c>
      <c r="Y1603">
        <v>299.4939</v>
      </c>
      <c r="AF1603">
        <v>299.4939</v>
      </c>
      <c r="AG1603" t="s">
        <v>1742</v>
      </c>
    </row>
    <row r="1604" spans="1:33" x14ac:dyDescent="0.3">
      <c r="A1604" t="s">
        <v>593</v>
      </c>
      <c r="B1604" s="2">
        <v>45313</v>
      </c>
      <c r="C1604">
        <v>226.22540000000001</v>
      </c>
      <c r="D1604" t="s">
        <v>1812</v>
      </c>
      <c r="E1604">
        <v>23</v>
      </c>
      <c r="F1604" t="s">
        <v>16</v>
      </c>
      <c r="G1604" t="s">
        <v>1546</v>
      </c>
      <c r="H1604" t="s">
        <v>1737</v>
      </c>
      <c r="L1604" s="2">
        <v>45313</v>
      </c>
      <c r="M1604">
        <v>226.22540000000001</v>
      </c>
      <c r="R1604" t="s">
        <v>1812</v>
      </c>
      <c r="S1604">
        <v>226.22540000000001</v>
      </c>
      <c r="W1604" s="11" t="s">
        <v>16</v>
      </c>
      <c r="X1604" s="11" t="s">
        <v>1546</v>
      </c>
      <c r="Y1604">
        <v>226.22540000000001</v>
      </c>
      <c r="AF1604">
        <v>226.22540000000001</v>
      </c>
      <c r="AG1604" t="s">
        <v>1737</v>
      </c>
    </row>
    <row r="1605" spans="1:33" x14ac:dyDescent="0.3">
      <c r="A1605" t="s">
        <v>415</v>
      </c>
      <c r="B1605" s="2">
        <v>45224</v>
      </c>
      <c r="C1605">
        <v>902.25379999999996</v>
      </c>
      <c r="D1605" t="s">
        <v>1812</v>
      </c>
      <c r="E1605">
        <v>50</v>
      </c>
      <c r="F1605" t="s">
        <v>9</v>
      </c>
      <c r="G1605" t="s">
        <v>1527</v>
      </c>
      <c r="H1605" t="s">
        <v>1742</v>
      </c>
      <c r="L1605" s="2">
        <v>45224</v>
      </c>
      <c r="M1605">
        <v>902.25379999999996</v>
      </c>
      <c r="R1605" t="s">
        <v>1812</v>
      </c>
      <c r="S1605">
        <v>902.25379999999996</v>
      </c>
      <c r="W1605" s="12" t="s">
        <v>9</v>
      </c>
      <c r="X1605" s="12" t="s">
        <v>1527</v>
      </c>
      <c r="Y1605">
        <v>902.25379999999996</v>
      </c>
      <c r="AF1605">
        <v>902.25379999999996</v>
      </c>
      <c r="AG1605" t="s">
        <v>1742</v>
      </c>
    </row>
    <row r="1606" spans="1:33" x14ac:dyDescent="0.3">
      <c r="A1606" t="s">
        <v>401</v>
      </c>
      <c r="B1606" s="2">
        <v>45491</v>
      </c>
      <c r="C1606">
        <v>390.95979999999997</v>
      </c>
      <c r="D1606" t="s">
        <v>1812</v>
      </c>
      <c r="E1606">
        <v>21</v>
      </c>
      <c r="F1606" t="s">
        <v>16</v>
      </c>
      <c r="G1606" t="s">
        <v>1527</v>
      </c>
      <c r="H1606" t="s">
        <v>1742</v>
      </c>
      <c r="L1606" s="2">
        <v>45491</v>
      </c>
      <c r="M1606">
        <v>390.95979999999997</v>
      </c>
      <c r="R1606" t="s">
        <v>1812</v>
      </c>
      <c r="S1606">
        <v>390.95979999999997</v>
      </c>
      <c r="W1606" s="11" t="s">
        <v>16</v>
      </c>
      <c r="X1606" s="11" t="s">
        <v>1527</v>
      </c>
      <c r="Y1606">
        <v>390.95979999999997</v>
      </c>
      <c r="AF1606">
        <v>390.95979999999997</v>
      </c>
      <c r="AG1606" t="s">
        <v>1742</v>
      </c>
    </row>
    <row r="1607" spans="1:33" x14ac:dyDescent="0.3">
      <c r="A1607" t="s">
        <v>1473</v>
      </c>
      <c r="B1607" s="2">
        <v>45472</v>
      </c>
      <c r="C1607">
        <v>2280.3669</v>
      </c>
      <c r="D1607" t="s">
        <v>1812</v>
      </c>
      <c r="E1607">
        <v>46</v>
      </c>
      <c r="F1607" t="s">
        <v>16</v>
      </c>
      <c r="G1607" t="s">
        <v>1546</v>
      </c>
      <c r="H1607" t="s">
        <v>1742</v>
      </c>
      <c r="L1607" s="2">
        <v>45472</v>
      </c>
      <c r="M1607">
        <v>2280.3669</v>
      </c>
      <c r="R1607" t="s">
        <v>1812</v>
      </c>
      <c r="S1607">
        <v>2280.3669</v>
      </c>
      <c r="W1607" s="12" t="s">
        <v>16</v>
      </c>
      <c r="X1607" s="12" t="s">
        <v>1546</v>
      </c>
      <c r="Y1607">
        <v>2280.3669</v>
      </c>
      <c r="AF1607">
        <v>2280.3669</v>
      </c>
      <c r="AG1607" t="s">
        <v>1742</v>
      </c>
    </row>
    <row r="1608" spans="1:33" x14ac:dyDescent="0.3">
      <c r="A1608" t="s">
        <v>676</v>
      </c>
      <c r="B1608" s="2">
        <v>45795</v>
      </c>
      <c r="C1608">
        <v>2291.73</v>
      </c>
      <c r="D1608" t="s">
        <v>1807</v>
      </c>
      <c r="E1608">
        <v>48</v>
      </c>
      <c r="F1608" t="s">
        <v>9</v>
      </c>
      <c r="G1608" t="s">
        <v>1546</v>
      </c>
      <c r="H1608" t="s">
        <v>1767</v>
      </c>
      <c r="L1608" s="2">
        <v>45795</v>
      </c>
      <c r="M1608">
        <v>2291.73</v>
      </c>
      <c r="R1608" t="s">
        <v>1807</v>
      </c>
      <c r="S1608">
        <v>2291.73</v>
      </c>
      <c r="W1608" s="11" t="s">
        <v>9</v>
      </c>
      <c r="X1608" s="11" t="s">
        <v>1546</v>
      </c>
      <c r="Y1608">
        <v>2291.73</v>
      </c>
      <c r="AF1608">
        <v>2291.73</v>
      </c>
      <c r="AG1608" t="s">
        <v>1767</v>
      </c>
    </row>
    <row r="1609" spans="1:33" x14ac:dyDescent="0.3">
      <c r="A1609" t="s">
        <v>1431</v>
      </c>
      <c r="B1609" s="2">
        <v>45470</v>
      </c>
      <c r="C1609">
        <v>1155.2436</v>
      </c>
      <c r="D1609" t="s">
        <v>1807</v>
      </c>
      <c r="E1609">
        <v>21</v>
      </c>
      <c r="F1609" t="s">
        <v>16</v>
      </c>
      <c r="G1609" t="s">
        <v>1549</v>
      </c>
      <c r="H1609" t="s">
        <v>1742</v>
      </c>
      <c r="L1609" s="2">
        <v>45470</v>
      </c>
      <c r="M1609">
        <v>1155.2436</v>
      </c>
      <c r="R1609" t="s">
        <v>1807</v>
      </c>
      <c r="S1609">
        <v>1155.2436</v>
      </c>
      <c r="W1609" s="12" t="s">
        <v>16</v>
      </c>
      <c r="X1609" s="12" t="s">
        <v>1549</v>
      </c>
      <c r="Y1609">
        <v>1155.2436</v>
      </c>
      <c r="AF1609">
        <v>1155.2436</v>
      </c>
      <c r="AG1609" t="s">
        <v>1742</v>
      </c>
    </row>
    <row r="1610" spans="1:33" x14ac:dyDescent="0.3">
      <c r="A1610" t="s">
        <v>1184</v>
      </c>
      <c r="B1610" s="2">
        <v>45390</v>
      </c>
      <c r="C1610">
        <v>511.35</v>
      </c>
      <c r="D1610" t="s">
        <v>1807</v>
      </c>
      <c r="E1610">
        <v>52</v>
      </c>
      <c r="F1610" t="s">
        <v>16</v>
      </c>
      <c r="G1610" t="s">
        <v>1549</v>
      </c>
      <c r="H1610" t="s">
        <v>1742</v>
      </c>
      <c r="L1610" s="2">
        <v>45390</v>
      </c>
      <c r="M1610">
        <v>511.35</v>
      </c>
      <c r="R1610" t="s">
        <v>1807</v>
      </c>
      <c r="S1610">
        <v>511.35</v>
      </c>
      <c r="W1610" s="11" t="s">
        <v>16</v>
      </c>
      <c r="X1610" s="11" t="s">
        <v>1549</v>
      </c>
      <c r="Y1610">
        <v>511.35</v>
      </c>
      <c r="AF1610">
        <v>511.35</v>
      </c>
      <c r="AG1610" t="s">
        <v>1742</v>
      </c>
    </row>
    <row r="1611" spans="1:33" x14ac:dyDescent="0.3">
      <c r="A1611" t="s">
        <v>76</v>
      </c>
      <c r="B1611" s="2">
        <v>45803</v>
      </c>
      <c r="C1611">
        <v>125.1588</v>
      </c>
      <c r="D1611" t="s">
        <v>1812</v>
      </c>
      <c r="E1611">
        <v>60</v>
      </c>
      <c r="F1611" t="s">
        <v>16</v>
      </c>
      <c r="G1611" t="s">
        <v>1549</v>
      </c>
      <c r="H1611" t="s">
        <v>1742</v>
      </c>
      <c r="L1611" s="2">
        <v>45803</v>
      </c>
      <c r="M1611">
        <v>125.1588</v>
      </c>
      <c r="R1611" t="s">
        <v>1812</v>
      </c>
      <c r="S1611">
        <v>125.1588</v>
      </c>
      <c r="W1611" s="12" t="s">
        <v>16</v>
      </c>
      <c r="X1611" s="12" t="s">
        <v>1549</v>
      </c>
      <c r="Y1611">
        <v>125.1588</v>
      </c>
      <c r="AF1611">
        <v>125.1588</v>
      </c>
      <c r="AG1611" t="s">
        <v>1742</v>
      </c>
    </row>
    <row r="1612" spans="1:33" x14ac:dyDescent="0.3">
      <c r="A1612" t="s">
        <v>641</v>
      </c>
      <c r="B1612" s="2">
        <v>45320</v>
      </c>
      <c r="C1612">
        <v>1523.0640000000001</v>
      </c>
      <c r="D1612" t="s">
        <v>1807</v>
      </c>
      <c r="E1612">
        <v>54</v>
      </c>
      <c r="F1612" t="s">
        <v>9</v>
      </c>
      <c r="G1612" t="s">
        <v>1530</v>
      </c>
      <c r="H1612" t="s">
        <v>1742</v>
      </c>
      <c r="L1612" s="2">
        <v>45320</v>
      </c>
      <c r="M1612">
        <v>1523.0640000000001</v>
      </c>
      <c r="R1612" t="s">
        <v>1807</v>
      </c>
      <c r="S1612">
        <v>1523.0640000000001</v>
      </c>
      <c r="W1612" s="11" t="s">
        <v>9</v>
      </c>
      <c r="X1612" s="11" t="s">
        <v>1530</v>
      </c>
      <c r="Y1612">
        <v>1523.0640000000001</v>
      </c>
      <c r="AF1612">
        <v>1523.0640000000001</v>
      </c>
      <c r="AG1612" t="s">
        <v>1742</v>
      </c>
    </row>
    <row r="1613" spans="1:33" x14ac:dyDescent="0.3">
      <c r="A1613" t="s">
        <v>954</v>
      </c>
      <c r="B1613" s="2">
        <v>45619</v>
      </c>
      <c r="C1613">
        <v>1423.7184</v>
      </c>
      <c r="D1613" t="s">
        <v>1812</v>
      </c>
      <c r="E1613">
        <v>44</v>
      </c>
      <c r="F1613" t="s">
        <v>9</v>
      </c>
      <c r="G1613" t="s">
        <v>1530</v>
      </c>
      <c r="H1613" t="s">
        <v>1746</v>
      </c>
      <c r="L1613" s="2">
        <v>45619</v>
      </c>
      <c r="M1613">
        <v>1423.7184</v>
      </c>
      <c r="R1613" t="s">
        <v>1812</v>
      </c>
      <c r="S1613">
        <v>1423.7184</v>
      </c>
      <c r="W1613" s="12" t="s">
        <v>9</v>
      </c>
      <c r="X1613" s="12" t="s">
        <v>1530</v>
      </c>
      <c r="Y1613">
        <v>1423.7184</v>
      </c>
      <c r="AF1613">
        <v>1423.7184</v>
      </c>
      <c r="AG1613" t="s">
        <v>1746</v>
      </c>
    </row>
    <row r="1614" spans="1:33" x14ac:dyDescent="0.3">
      <c r="A1614" t="s">
        <v>3949</v>
      </c>
      <c r="B1614" s="2">
        <v>45777</v>
      </c>
      <c r="C1614">
        <v>642.90499999999997</v>
      </c>
      <c r="D1614" t="s">
        <v>1812</v>
      </c>
      <c r="E1614">
        <v>45</v>
      </c>
      <c r="F1614" t="s">
        <v>16</v>
      </c>
      <c r="G1614" t="s">
        <v>1546</v>
      </c>
      <c r="H1614" t="s">
        <v>1737</v>
      </c>
      <c r="L1614" s="2">
        <v>45777</v>
      </c>
      <c r="M1614">
        <v>642.90499999999997</v>
      </c>
      <c r="R1614" t="s">
        <v>1812</v>
      </c>
      <c r="S1614">
        <v>642.90499999999997</v>
      </c>
      <c r="W1614" s="11" t="s">
        <v>16</v>
      </c>
      <c r="X1614" s="11" t="s">
        <v>1546</v>
      </c>
      <c r="Y1614">
        <v>642.90499999999997</v>
      </c>
      <c r="AF1614">
        <v>642.90499999999997</v>
      </c>
      <c r="AG1614" t="s">
        <v>1737</v>
      </c>
    </row>
    <row r="1615" spans="1:33" x14ac:dyDescent="0.3">
      <c r="A1615" t="s">
        <v>661</v>
      </c>
      <c r="B1615" s="2">
        <v>45523</v>
      </c>
      <c r="C1615">
        <v>174.40440000000001</v>
      </c>
      <c r="D1615" t="s">
        <v>1807</v>
      </c>
      <c r="E1615">
        <v>44</v>
      </c>
      <c r="F1615" t="s">
        <v>16</v>
      </c>
      <c r="G1615" t="s">
        <v>1541</v>
      </c>
      <c r="H1615" t="s">
        <v>1742</v>
      </c>
      <c r="L1615" s="2">
        <v>45523</v>
      </c>
      <c r="M1615">
        <v>174.40440000000001</v>
      </c>
      <c r="R1615" t="s">
        <v>1807</v>
      </c>
      <c r="S1615">
        <v>174.40440000000001</v>
      </c>
      <c r="W1615" s="12" t="s">
        <v>16</v>
      </c>
      <c r="X1615" s="12" t="s">
        <v>1541</v>
      </c>
      <c r="Y1615">
        <v>174.40440000000001</v>
      </c>
      <c r="AF1615">
        <v>174.40440000000001</v>
      </c>
      <c r="AG1615" t="s">
        <v>1742</v>
      </c>
    </row>
    <row r="1616" spans="1:33" x14ac:dyDescent="0.3">
      <c r="A1616" t="s">
        <v>189</v>
      </c>
      <c r="B1616" s="2">
        <v>45628</v>
      </c>
      <c r="C1616">
        <v>1939.2012</v>
      </c>
      <c r="D1616" t="s">
        <v>1809</v>
      </c>
      <c r="E1616">
        <v>23</v>
      </c>
      <c r="F1616" t="s">
        <v>16</v>
      </c>
      <c r="G1616" t="s">
        <v>1527</v>
      </c>
      <c r="H1616" t="s">
        <v>1746</v>
      </c>
      <c r="L1616" s="2">
        <v>45628</v>
      </c>
      <c r="M1616">
        <v>1939.2012</v>
      </c>
      <c r="R1616" t="s">
        <v>1809</v>
      </c>
      <c r="S1616">
        <v>1939.2012</v>
      </c>
      <c r="W1616" s="11" t="s">
        <v>16</v>
      </c>
      <c r="X1616" s="11" t="s">
        <v>1527</v>
      </c>
      <c r="Y1616">
        <v>1939.2012</v>
      </c>
      <c r="AF1616">
        <v>1939.2012</v>
      </c>
      <c r="AG1616" t="s">
        <v>1746</v>
      </c>
    </row>
    <row r="1617" spans="1:33" x14ac:dyDescent="0.3">
      <c r="A1617" t="s">
        <v>706</v>
      </c>
      <c r="B1617" s="2">
        <v>45742</v>
      </c>
      <c r="C1617">
        <v>2249.4911999999999</v>
      </c>
      <c r="D1617" t="s">
        <v>1809</v>
      </c>
      <c r="E1617">
        <v>50</v>
      </c>
      <c r="F1617" t="s">
        <v>16</v>
      </c>
      <c r="G1617" t="s">
        <v>1546</v>
      </c>
      <c r="H1617" t="s">
        <v>1746</v>
      </c>
      <c r="L1617" s="2">
        <v>45742</v>
      </c>
      <c r="M1617">
        <v>2249.4911999999999</v>
      </c>
      <c r="R1617" t="s">
        <v>1809</v>
      </c>
      <c r="S1617">
        <v>2249.4911999999999</v>
      </c>
      <c r="W1617" s="12" t="s">
        <v>16</v>
      </c>
      <c r="X1617" s="12" t="s">
        <v>1546</v>
      </c>
      <c r="Y1617">
        <v>2249.4911999999999</v>
      </c>
      <c r="AF1617">
        <v>2249.4911999999999</v>
      </c>
      <c r="AG1617" t="s">
        <v>1746</v>
      </c>
    </row>
    <row r="1618" spans="1:33" x14ac:dyDescent="0.3">
      <c r="A1618" t="s">
        <v>245</v>
      </c>
      <c r="B1618" s="2">
        <v>45456</v>
      </c>
      <c r="C1618">
        <v>456.14399999999989</v>
      </c>
      <c r="D1618" t="s">
        <v>1812</v>
      </c>
      <c r="E1618">
        <v>24</v>
      </c>
      <c r="F1618" t="s">
        <v>16</v>
      </c>
      <c r="G1618" t="s">
        <v>1541</v>
      </c>
      <c r="H1618" t="s">
        <v>1746</v>
      </c>
      <c r="L1618" s="2">
        <v>45456</v>
      </c>
      <c r="M1618">
        <v>456.14399999999989</v>
      </c>
      <c r="R1618" t="s">
        <v>1812</v>
      </c>
      <c r="S1618">
        <v>456.14399999999989</v>
      </c>
      <c r="W1618" s="11" t="s">
        <v>16</v>
      </c>
      <c r="X1618" s="11" t="s">
        <v>1541</v>
      </c>
      <c r="Y1618">
        <v>456.14399999999989</v>
      </c>
      <c r="AF1618">
        <v>456.14399999999989</v>
      </c>
      <c r="AG1618" t="s">
        <v>1746</v>
      </c>
    </row>
    <row r="1619" spans="1:33" x14ac:dyDescent="0.3">
      <c r="A1619" t="s">
        <v>620</v>
      </c>
      <c r="B1619" s="2">
        <v>45534</v>
      </c>
      <c r="C1619">
        <v>57.389600000000002</v>
      </c>
      <c r="D1619" t="s">
        <v>1812</v>
      </c>
      <c r="E1619">
        <v>29</v>
      </c>
      <c r="F1619" t="s">
        <v>16</v>
      </c>
      <c r="G1619" t="s">
        <v>1549</v>
      </c>
      <c r="H1619" t="s">
        <v>1737</v>
      </c>
      <c r="L1619" s="2">
        <v>45534</v>
      </c>
      <c r="M1619">
        <v>57.389600000000002</v>
      </c>
      <c r="R1619" t="s">
        <v>1812</v>
      </c>
      <c r="S1619">
        <v>57.389600000000002</v>
      </c>
      <c r="W1619" s="12" t="s">
        <v>16</v>
      </c>
      <c r="X1619" s="12" t="s">
        <v>1549</v>
      </c>
      <c r="Y1619">
        <v>57.389600000000002</v>
      </c>
      <c r="AF1619">
        <v>57.389600000000002</v>
      </c>
      <c r="AG1619" t="s">
        <v>1737</v>
      </c>
    </row>
    <row r="1620" spans="1:33" x14ac:dyDescent="0.3">
      <c r="A1620" t="s">
        <v>1098</v>
      </c>
      <c r="B1620" s="2">
        <v>45375</v>
      </c>
      <c r="C1620">
        <v>781.61599999999999</v>
      </c>
      <c r="D1620" t="s">
        <v>1812</v>
      </c>
      <c r="E1620">
        <v>20</v>
      </c>
      <c r="F1620" t="s">
        <v>9</v>
      </c>
      <c r="G1620" t="s">
        <v>1546</v>
      </c>
      <c r="H1620" t="s">
        <v>1746</v>
      </c>
      <c r="L1620" s="2">
        <v>45375</v>
      </c>
      <c r="M1620">
        <v>781.61599999999999</v>
      </c>
      <c r="R1620" t="s">
        <v>1812</v>
      </c>
      <c r="S1620">
        <v>781.61599999999999</v>
      </c>
      <c r="W1620" s="11" t="s">
        <v>9</v>
      </c>
      <c r="X1620" s="11" t="s">
        <v>1546</v>
      </c>
      <c r="Y1620">
        <v>781.61599999999999</v>
      </c>
      <c r="AF1620">
        <v>781.61599999999999</v>
      </c>
      <c r="AG1620" t="s">
        <v>1746</v>
      </c>
    </row>
    <row r="1621" spans="1:33" x14ac:dyDescent="0.3">
      <c r="A1621" t="s">
        <v>269</v>
      </c>
      <c r="B1621" s="2">
        <v>45546</v>
      </c>
      <c r="C1621">
        <v>1348.2149999999999</v>
      </c>
      <c r="D1621" t="s">
        <v>1807</v>
      </c>
      <c r="E1621">
        <v>61</v>
      </c>
      <c r="F1621" t="s">
        <v>16</v>
      </c>
      <c r="G1621" t="s">
        <v>1541</v>
      </c>
      <c r="H1621" t="s">
        <v>1746</v>
      </c>
      <c r="L1621" s="2">
        <v>45546</v>
      </c>
      <c r="M1621">
        <v>1348.2149999999999</v>
      </c>
      <c r="R1621" t="s">
        <v>1807</v>
      </c>
      <c r="S1621">
        <v>1348.2149999999999</v>
      </c>
      <c r="W1621" s="12" t="s">
        <v>16</v>
      </c>
      <c r="X1621" s="12" t="s">
        <v>1541</v>
      </c>
      <c r="Y1621">
        <v>1348.2149999999999</v>
      </c>
      <c r="AF1621">
        <v>1348.2149999999999</v>
      </c>
      <c r="AG1621" t="s">
        <v>1746</v>
      </c>
    </row>
    <row r="1622" spans="1:33" x14ac:dyDescent="0.3">
      <c r="A1622" t="s">
        <v>1090</v>
      </c>
      <c r="B1622" s="2">
        <v>45769</v>
      </c>
      <c r="C1622">
        <v>607.86720000000003</v>
      </c>
      <c r="D1622" t="s">
        <v>1807</v>
      </c>
      <c r="E1622">
        <v>52</v>
      </c>
      <c r="F1622" t="s">
        <v>16</v>
      </c>
      <c r="G1622" t="s">
        <v>1549</v>
      </c>
      <c r="H1622" t="s">
        <v>1742</v>
      </c>
      <c r="L1622" s="2">
        <v>45769</v>
      </c>
      <c r="M1622">
        <v>607.86720000000003</v>
      </c>
      <c r="R1622" t="s">
        <v>1807</v>
      </c>
      <c r="S1622">
        <v>607.86720000000003</v>
      </c>
      <c r="W1622" s="11" t="s">
        <v>16</v>
      </c>
      <c r="X1622" s="11" t="s">
        <v>1549</v>
      </c>
      <c r="Y1622">
        <v>607.86720000000003</v>
      </c>
      <c r="AF1622">
        <v>607.86720000000003</v>
      </c>
      <c r="AG1622" t="s">
        <v>1742</v>
      </c>
    </row>
    <row r="1623" spans="1:33" x14ac:dyDescent="0.3">
      <c r="A1623" t="s">
        <v>189</v>
      </c>
      <c r="B1623" s="2">
        <v>45524</v>
      </c>
      <c r="C1623">
        <v>314.82319999999999</v>
      </c>
      <c r="D1623" t="s">
        <v>1812</v>
      </c>
      <c r="E1623">
        <v>23</v>
      </c>
      <c r="F1623" t="s">
        <v>16</v>
      </c>
      <c r="G1623" t="s">
        <v>1546</v>
      </c>
      <c r="H1623" t="s">
        <v>1742</v>
      </c>
      <c r="L1623" s="2">
        <v>45524</v>
      </c>
      <c r="M1623">
        <v>314.82319999999999</v>
      </c>
      <c r="R1623" t="s">
        <v>1812</v>
      </c>
      <c r="S1623">
        <v>314.82319999999999</v>
      </c>
      <c r="W1623" s="12" t="s">
        <v>16</v>
      </c>
      <c r="X1623" s="12" t="s">
        <v>1546</v>
      </c>
      <c r="Y1623">
        <v>314.82319999999999</v>
      </c>
      <c r="AF1623">
        <v>314.82319999999999</v>
      </c>
      <c r="AG1623" t="s">
        <v>1742</v>
      </c>
    </row>
    <row r="1624" spans="1:33" x14ac:dyDescent="0.3">
      <c r="A1624" t="s">
        <v>1428</v>
      </c>
      <c r="B1624" s="2">
        <v>45531</v>
      </c>
      <c r="C1624">
        <v>1688.3248000000001</v>
      </c>
      <c r="D1624" t="s">
        <v>1809</v>
      </c>
      <c r="E1624">
        <v>19</v>
      </c>
      <c r="F1624" t="s">
        <v>9</v>
      </c>
      <c r="G1624" t="s">
        <v>1527</v>
      </c>
      <c r="H1624" t="s">
        <v>1742</v>
      </c>
      <c r="L1624" s="2">
        <v>45531</v>
      </c>
      <c r="M1624">
        <v>1688.3248000000001</v>
      </c>
      <c r="R1624" t="s">
        <v>1809</v>
      </c>
      <c r="S1624">
        <v>1688.3248000000001</v>
      </c>
      <c r="W1624" s="11" t="s">
        <v>9</v>
      </c>
      <c r="X1624" s="11" t="s">
        <v>1527</v>
      </c>
      <c r="Y1624">
        <v>1688.3248000000001</v>
      </c>
      <c r="AF1624">
        <v>1688.3248000000001</v>
      </c>
      <c r="AG1624" t="s">
        <v>1742</v>
      </c>
    </row>
    <row r="1625" spans="1:33" x14ac:dyDescent="0.3">
      <c r="A1625" t="s">
        <v>1217</v>
      </c>
      <c r="B1625" s="2">
        <v>45479</v>
      </c>
      <c r="C1625">
        <v>398.23939999999999</v>
      </c>
      <c r="D1625" t="s">
        <v>1809</v>
      </c>
      <c r="E1625">
        <v>50</v>
      </c>
      <c r="F1625" t="s">
        <v>9</v>
      </c>
      <c r="G1625" t="s">
        <v>1546</v>
      </c>
      <c r="H1625" t="s">
        <v>1742</v>
      </c>
      <c r="L1625" s="2">
        <v>45479</v>
      </c>
      <c r="M1625">
        <v>398.23939999999999</v>
      </c>
      <c r="R1625" t="s">
        <v>1809</v>
      </c>
      <c r="S1625">
        <v>398.23939999999999</v>
      </c>
      <c r="W1625" s="12" t="s">
        <v>9</v>
      </c>
      <c r="X1625" s="12" t="s">
        <v>1546</v>
      </c>
      <c r="Y1625">
        <v>398.23939999999999</v>
      </c>
      <c r="AF1625">
        <v>398.23939999999999</v>
      </c>
      <c r="AG1625" t="s">
        <v>1742</v>
      </c>
    </row>
    <row r="1626" spans="1:33" x14ac:dyDescent="0.3">
      <c r="A1626" t="s">
        <v>1090</v>
      </c>
      <c r="B1626" s="2">
        <v>45868</v>
      </c>
      <c r="C1626">
        <v>587.1508</v>
      </c>
      <c r="D1626" t="s">
        <v>1807</v>
      </c>
      <c r="E1626">
        <v>52</v>
      </c>
      <c r="F1626" t="s">
        <v>16</v>
      </c>
      <c r="G1626" t="s">
        <v>1527</v>
      </c>
      <c r="H1626" t="s">
        <v>1742</v>
      </c>
      <c r="L1626" s="2">
        <v>45868</v>
      </c>
      <c r="M1626">
        <v>587.1508</v>
      </c>
      <c r="R1626" t="s">
        <v>1807</v>
      </c>
      <c r="S1626">
        <v>587.1508</v>
      </c>
      <c r="W1626" s="11" t="s">
        <v>16</v>
      </c>
      <c r="X1626" s="11" t="s">
        <v>1527</v>
      </c>
      <c r="Y1626">
        <v>587.1508</v>
      </c>
      <c r="AF1626">
        <v>587.1508</v>
      </c>
      <c r="AG1626" t="s">
        <v>1742</v>
      </c>
    </row>
    <row r="1627" spans="1:33" x14ac:dyDescent="0.3">
      <c r="A1627" t="s">
        <v>792</v>
      </c>
      <c r="B1627" s="2">
        <v>45569</v>
      </c>
      <c r="C1627">
        <v>705.5856</v>
      </c>
      <c r="D1627" t="s">
        <v>1812</v>
      </c>
      <c r="E1627">
        <v>48</v>
      </c>
      <c r="F1627" t="s">
        <v>9</v>
      </c>
      <c r="G1627" t="s">
        <v>1546</v>
      </c>
      <c r="H1627" t="s">
        <v>1746</v>
      </c>
      <c r="L1627" s="2">
        <v>45569</v>
      </c>
      <c r="M1627">
        <v>705.5856</v>
      </c>
      <c r="R1627" t="s">
        <v>1812</v>
      </c>
      <c r="S1627">
        <v>705.5856</v>
      </c>
      <c r="W1627" s="12" t="s">
        <v>9</v>
      </c>
      <c r="X1627" s="12" t="s">
        <v>1546</v>
      </c>
      <c r="Y1627">
        <v>705.5856</v>
      </c>
      <c r="AF1627">
        <v>705.5856</v>
      </c>
      <c r="AG1627" t="s">
        <v>1746</v>
      </c>
    </row>
    <row r="1628" spans="1:33" x14ac:dyDescent="0.3">
      <c r="A1628" t="s">
        <v>596</v>
      </c>
      <c r="B1628" s="2">
        <v>45382</v>
      </c>
      <c r="C1628">
        <v>768.46379999999999</v>
      </c>
      <c r="D1628" t="s">
        <v>1809</v>
      </c>
      <c r="E1628">
        <v>18</v>
      </c>
      <c r="F1628" t="s">
        <v>9</v>
      </c>
      <c r="G1628" t="s">
        <v>1530</v>
      </c>
      <c r="H1628" t="s">
        <v>1742</v>
      </c>
      <c r="L1628" s="2">
        <v>45382</v>
      </c>
      <c r="M1628">
        <v>768.46379999999999</v>
      </c>
      <c r="R1628" t="s">
        <v>1809</v>
      </c>
      <c r="S1628">
        <v>768.46379999999999</v>
      </c>
      <c r="W1628" s="11" t="s">
        <v>9</v>
      </c>
      <c r="X1628" s="11" t="s">
        <v>1530</v>
      </c>
      <c r="Y1628">
        <v>768.46379999999999</v>
      </c>
      <c r="AF1628">
        <v>768.46379999999999</v>
      </c>
      <c r="AG1628" t="s">
        <v>1742</v>
      </c>
    </row>
    <row r="1629" spans="1:33" x14ac:dyDescent="0.3">
      <c r="A1629" t="s">
        <v>492</v>
      </c>
      <c r="B1629" s="2">
        <v>45885</v>
      </c>
      <c r="C1629">
        <v>173.5488</v>
      </c>
      <c r="D1629" t="s">
        <v>1807</v>
      </c>
      <c r="E1629">
        <v>42</v>
      </c>
      <c r="F1629" t="s">
        <v>16</v>
      </c>
      <c r="G1629" t="s">
        <v>1546</v>
      </c>
      <c r="H1629" t="s">
        <v>1742</v>
      </c>
      <c r="L1629" s="2">
        <v>45885</v>
      </c>
      <c r="M1629">
        <v>173.5488</v>
      </c>
      <c r="R1629" t="s">
        <v>1807</v>
      </c>
      <c r="S1629">
        <v>173.5488</v>
      </c>
      <c r="W1629" s="12" t="s">
        <v>16</v>
      </c>
      <c r="X1629" s="12" t="s">
        <v>1546</v>
      </c>
      <c r="Y1629">
        <v>173.5488</v>
      </c>
      <c r="AF1629">
        <v>173.5488</v>
      </c>
      <c r="AG1629" t="s">
        <v>1742</v>
      </c>
    </row>
    <row r="1630" spans="1:33" x14ac:dyDescent="0.3">
      <c r="A1630" t="s">
        <v>259</v>
      </c>
      <c r="B1630" s="2">
        <v>45829</v>
      </c>
      <c r="C1630">
        <v>308.79000000000002</v>
      </c>
      <c r="D1630" t="s">
        <v>1812</v>
      </c>
      <c r="E1630">
        <v>39</v>
      </c>
      <c r="F1630" t="s">
        <v>16</v>
      </c>
      <c r="G1630" t="s">
        <v>1546</v>
      </c>
      <c r="H1630" t="s">
        <v>1746</v>
      </c>
      <c r="L1630" s="2">
        <v>45829</v>
      </c>
      <c r="M1630">
        <v>308.79000000000002</v>
      </c>
      <c r="R1630" t="s">
        <v>1812</v>
      </c>
      <c r="S1630">
        <v>308.79000000000002</v>
      </c>
      <c r="W1630" s="11" t="s">
        <v>16</v>
      </c>
      <c r="X1630" s="11" t="s">
        <v>1546</v>
      </c>
      <c r="Y1630">
        <v>308.79000000000002</v>
      </c>
      <c r="AF1630">
        <v>308.79000000000002</v>
      </c>
      <c r="AG1630" t="s">
        <v>1746</v>
      </c>
    </row>
    <row r="1631" spans="1:33" x14ac:dyDescent="0.3">
      <c r="A1631" t="s">
        <v>1181</v>
      </c>
      <c r="B1631" s="2">
        <v>45721</v>
      </c>
      <c r="C1631">
        <v>435.0138</v>
      </c>
      <c r="D1631" t="s">
        <v>1812</v>
      </c>
      <c r="E1631">
        <v>27</v>
      </c>
      <c r="F1631" t="s">
        <v>16</v>
      </c>
      <c r="G1631" t="s">
        <v>1527</v>
      </c>
      <c r="H1631" t="s">
        <v>1742</v>
      </c>
      <c r="L1631" s="2">
        <v>45721</v>
      </c>
      <c r="M1631">
        <v>435.0138</v>
      </c>
      <c r="R1631" t="s">
        <v>1812</v>
      </c>
      <c r="S1631">
        <v>435.0138</v>
      </c>
      <c r="W1631" s="12" t="s">
        <v>16</v>
      </c>
      <c r="X1631" s="12" t="s">
        <v>1527</v>
      </c>
      <c r="Y1631">
        <v>435.0138</v>
      </c>
      <c r="AF1631">
        <v>435.0138</v>
      </c>
      <c r="AG1631" t="s">
        <v>1742</v>
      </c>
    </row>
    <row r="1632" spans="1:33" x14ac:dyDescent="0.3">
      <c r="A1632" t="s">
        <v>540</v>
      </c>
      <c r="B1632" s="2">
        <v>45511</v>
      </c>
      <c r="C1632">
        <v>646.99899999999991</v>
      </c>
      <c r="D1632" t="s">
        <v>1809</v>
      </c>
      <c r="E1632">
        <v>39</v>
      </c>
      <c r="F1632" t="s">
        <v>16</v>
      </c>
      <c r="G1632" t="s">
        <v>1546</v>
      </c>
      <c r="H1632" t="s">
        <v>1742</v>
      </c>
      <c r="L1632" s="2">
        <v>45511</v>
      </c>
      <c r="M1632">
        <v>646.99899999999991</v>
      </c>
      <c r="R1632" t="s">
        <v>1809</v>
      </c>
      <c r="S1632">
        <v>646.99899999999991</v>
      </c>
      <c r="W1632" s="11" t="s">
        <v>16</v>
      </c>
      <c r="X1632" s="11" t="s">
        <v>1546</v>
      </c>
      <c r="Y1632">
        <v>646.99899999999991</v>
      </c>
      <c r="AF1632">
        <v>646.99899999999991</v>
      </c>
      <c r="AG1632" t="s">
        <v>1742</v>
      </c>
    </row>
    <row r="1633" spans="1:33" x14ac:dyDescent="0.3">
      <c r="A1633" t="s">
        <v>1511</v>
      </c>
      <c r="B1633" s="2">
        <v>45739</v>
      </c>
      <c r="C1633">
        <v>1207.7603999999999</v>
      </c>
      <c r="D1633" t="s">
        <v>1809</v>
      </c>
      <c r="E1633">
        <v>35</v>
      </c>
      <c r="F1633" t="s">
        <v>9</v>
      </c>
      <c r="G1633" t="s">
        <v>1530</v>
      </c>
      <c r="H1633" t="s">
        <v>1746</v>
      </c>
      <c r="L1633" s="2">
        <v>45739</v>
      </c>
      <c r="M1633">
        <v>1207.7603999999999</v>
      </c>
      <c r="R1633" t="s">
        <v>1809</v>
      </c>
      <c r="S1633">
        <v>1207.7603999999999</v>
      </c>
      <c r="W1633" s="12" t="s">
        <v>9</v>
      </c>
      <c r="X1633" s="12" t="s">
        <v>1530</v>
      </c>
      <c r="Y1633">
        <v>1207.7603999999999</v>
      </c>
      <c r="AF1633">
        <v>1207.7603999999999</v>
      </c>
      <c r="AG1633" t="s">
        <v>1746</v>
      </c>
    </row>
    <row r="1634" spans="1:33" x14ac:dyDescent="0.3">
      <c r="A1634" t="s">
        <v>1390</v>
      </c>
      <c r="B1634" s="2">
        <v>45533</v>
      </c>
      <c r="C1634">
        <v>1469.8719000000001</v>
      </c>
      <c r="D1634" t="s">
        <v>1809</v>
      </c>
      <c r="E1634">
        <v>59</v>
      </c>
      <c r="F1634" t="s">
        <v>16</v>
      </c>
      <c r="G1634" t="s">
        <v>1546</v>
      </c>
      <c r="H1634" t="s">
        <v>1742</v>
      </c>
      <c r="L1634" s="2">
        <v>45533</v>
      </c>
      <c r="M1634">
        <v>1469.8719000000001</v>
      </c>
      <c r="R1634" t="s">
        <v>1809</v>
      </c>
      <c r="S1634">
        <v>1469.8719000000001</v>
      </c>
      <c r="W1634" s="11" t="s">
        <v>16</v>
      </c>
      <c r="X1634" s="11" t="s">
        <v>1546</v>
      </c>
      <c r="Y1634">
        <v>1469.8719000000001</v>
      </c>
      <c r="AF1634">
        <v>1469.8719000000001</v>
      </c>
      <c r="AG1634" t="s">
        <v>1742</v>
      </c>
    </row>
    <row r="1635" spans="1:33" x14ac:dyDescent="0.3">
      <c r="A1635" t="s">
        <v>413</v>
      </c>
      <c r="B1635" s="2">
        <v>45553</v>
      </c>
      <c r="C1635">
        <v>654.36219999999992</v>
      </c>
      <c r="D1635" t="s">
        <v>1812</v>
      </c>
      <c r="E1635">
        <v>62</v>
      </c>
      <c r="F1635" t="s">
        <v>9</v>
      </c>
      <c r="G1635" t="s">
        <v>1530</v>
      </c>
      <c r="H1635" t="s">
        <v>1742</v>
      </c>
      <c r="L1635" s="2">
        <v>45553</v>
      </c>
      <c r="M1635">
        <v>654.36219999999992</v>
      </c>
      <c r="R1635" t="s">
        <v>1812</v>
      </c>
      <c r="S1635">
        <v>654.36219999999992</v>
      </c>
      <c r="W1635" s="12" t="s">
        <v>9</v>
      </c>
      <c r="X1635" s="12" t="s">
        <v>1530</v>
      </c>
      <c r="Y1635">
        <v>654.36219999999992</v>
      </c>
      <c r="AF1635">
        <v>654.36219999999992</v>
      </c>
      <c r="AG1635" t="s">
        <v>1742</v>
      </c>
    </row>
    <row r="1636" spans="1:33" x14ac:dyDescent="0.3">
      <c r="A1636" t="s">
        <v>365</v>
      </c>
      <c r="B1636" s="2">
        <v>45341</v>
      </c>
      <c r="C1636">
        <v>583.16999999999996</v>
      </c>
      <c r="D1636" t="s">
        <v>1807</v>
      </c>
      <c r="E1636">
        <v>50</v>
      </c>
      <c r="F1636" t="s">
        <v>16</v>
      </c>
      <c r="G1636" t="s">
        <v>1546</v>
      </c>
      <c r="H1636" t="s">
        <v>1737</v>
      </c>
      <c r="L1636" s="2">
        <v>45341</v>
      </c>
      <c r="M1636">
        <v>583.16999999999996</v>
      </c>
      <c r="R1636" t="s">
        <v>1807</v>
      </c>
      <c r="S1636">
        <v>583.16999999999996</v>
      </c>
      <c r="W1636" s="11" t="s">
        <v>16</v>
      </c>
      <c r="X1636" s="11" t="s">
        <v>1546</v>
      </c>
      <c r="Y1636">
        <v>583.16999999999996</v>
      </c>
      <c r="AF1636">
        <v>583.16999999999996</v>
      </c>
      <c r="AG1636" t="s">
        <v>1737</v>
      </c>
    </row>
    <row r="1637" spans="1:33" x14ac:dyDescent="0.3">
      <c r="A1637" t="s">
        <v>1028</v>
      </c>
      <c r="B1637" s="2">
        <v>45430</v>
      </c>
      <c r="C1637">
        <v>305.73</v>
      </c>
      <c r="D1637" t="s">
        <v>1807</v>
      </c>
      <c r="E1637">
        <v>38</v>
      </c>
      <c r="F1637" t="s">
        <v>16</v>
      </c>
      <c r="G1637" t="s">
        <v>1527</v>
      </c>
      <c r="H1637" t="s">
        <v>1742</v>
      </c>
      <c r="L1637" s="2">
        <v>45430</v>
      </c>
      <c r="M1637">
        <v>305.73</v>
      </c>
      <c r="R1637" t="s">
        <v>1807</v>
      </c>
      <c r="S1637">
        <v>305.73</v>
      </c>
      <c r="W1637" s="12" t="s">
        <v>16</v>
      </c>
      <c r="X1637" s="12" t="s">
        <v>1527</v>
      </c>
      <c r="Y1637">
        <v>305.73</v>
      </c>
      <c r="AF1637">
        <v>305.73</v>
      </c>
      <c r="AG1637" t="s">
        <v>1742</v>
      </c>
    </row>
    <row r="1638" spans="1:33" x14ac:dyDescent="0.3">
      <c r="A1638" t="s">
        <v>183</v>
      </c>
      <c r="B1638" s="2">
        <v>45912</v>
      </c>
      <c r="C1638">
        <v>1352.4272000000001</v>
      </c>
      <c r="D1638" t="s">
        <v>1809</v>
      </c>
      <c r="E1638">
        <v>45</v>
      </c>
      <c r="F1638" t="s">
        <v>16</v>
      </c>
      <c r="G1638" t="s">
        <v>1527</v>
      </c>
      <c r="H1638" t="s">
        <v>1742</v>
      </c>
      <c r="L1638" s="2">
        <v>45912</v>
      </c>
      <c r="M1638">
        <v>1352.4272000000001</v>
      </c>
      <c r="R1638" t="s">
        <v>1809</v>
      </c>
      <c r="S1638">
        <v>1352.4272000000001</v>
      </c>
      <c r="W1638" s="11" t="s">
        <v>16</v>
      </c>
      <c r="X1638" s="11" t="s">
        <v>1527</v>
      </c>
      <c r="Y1638">
        <v>1352.4272000000001</v>
      </c>
      <c r="AF1638">
        <v>1352.4272000000001</v>
      </c>
      <c r="AG1638" t="s">
        <v>1742</v>
      </c>
    </row>
    <row r="1639" spans="1:33" x14ac:dyDescent="0.3">
      <c r="A1639" t="s">
        <v>374</v>
      </c>
      <c r="B1639" s="2">
        <v>45709</v>
      </c>
      <c r="C1639">
        <v>1501.3362</v>
      </c>
      <c r="D1639" t="s">
        <v>1807</v>
      </c>
      <c r="E1639">
        <v>38</v>
      </c>
      <c r="F1639" t="s">
        <v>9</v>
      </c>
      <c r="G1639" t="s">
        <v>1541</v>
      </c>
      <c r="H1639" t="s">
        <v>1742</v>
      </c>
      <c r="L1639" s="2">
        <v>45709</v>
      </c>
      <c r="M1639">
        <v>1501.3362</v>
      </c>
      <c r="R1639" t="s">
        <v>1807</v>
      </c>
      <c r="S1639">
        <v>1501.3362</v>
      </c>
      <c r="W1639" s="12" t="s">
        <v>9</v>
      </c>
      <c r="X1639" s="12" t="s">
        <v>1541</v>
      </c>
      <c r="Y1639">
        <v>1501.3362</v>
      </c>
      <c r="AF1639">
        <v>1501.3362</v>
      </c>
      <c r="AG1639" t="s">
        <v>1742</v>
      </c>
    </row>
    <row r="1640" spans="1:33" x14ac:dyDescent="0.3">
      <c r="A1640" t="s">
        <v>256</v>
      </c>
      <c r="B1640" s="2">
        <v>45520</v>
      </c>
      <c r="C1640">
        <v>2645.6747999999998</v>
      </c>
      <c r="D1640" t="s">
        <v>1807</v>
      </c>
      <c r="E1640">
        <v>61</v>
      </c>
      <c r="F1640" t="s">
        <v>16</v>
      </c>
      <c r="G1640" t="s">
        <v>1541</v>
      </c>
      <c r="H1640" t="s">
        <v>1746</v>
      </c>
      <c r="L1640" s="2">
        <v>45520</v>
      </c>
      <c r="M1640">
        <v>2645.6747999999998</v>
      </c>
      <c r="R1640" t="s">
        <v>1807</v>
      </c>
      <c r="S1640">
        <v>2645.6747999999998</v>
      </c>
      <c r="W1640" s="11" t="s">
        <v>16</v>
      </c>
      <c r="X1640" s="11" t="s">
        <v>1541</v>
      </c>
      <c r="Y1640">
        <v>2645.6747999999998</v>
      </c>
      <c r="AF1640">
        <v>2645.6747999999998</v>
      </c>
      <c r="AG1640" t="s">
        <v>1746</v>
      </c>
    </row>
    <row r="1641" spans="1:33" x14ac:dyDescent="0.3">
      <c r="A1641" t="s">
        <v>765</v>
      </c>
      <c r="B1641" s="2">
        <v>45478</v>
      </c>
      <c r="C1641">
        <v>1142.2529999999999</v>
      </c>
      <c r="D1641" t="s">
        <v>1812</v>
      </c>
      <c r="E1641">
        <v>31</v>
      </c>
      <c r="F1641" t="s">
        <v>9</v>
      </c>
      <c r="G1641" t="s">
        <v>1546</v>
      </c>
      <c r="H1641" t="s">
        <v>1742</v>
      </c>
      <c r="L1641" s="2">
        <v>45478</v>
      </c>
      <c r="M1641">
        <v>1142.2529999999999</v>
      </c>
      <c r="R1641" t="s">
        <v>1812</v>
      </c>
      <c r="S1641">
        <v>1142.2529999999999</v>
      </c>
      <c r="W1641" s="12" t="s">
        <v>9</v>
      </c>
      <c r="X1641" s="12" t="s">
        <v>1546</v>
      </c>
      <c r="Y1641">
        <v>1142.2529999999999</v>
      </c>
      <c r="AF1641">
        <v>1142.2529999999999</v>
      </c>
      <c r="AG1641" t="s">
        <v>1742</v>
      </c>
    </row>
    <row r="1642" spans="1:33" x14ac:dyDescent="0.3">
      <c r="A1642" t="s">
        <v>569</v>
      </c>
      <c r="B1642" s="2">
        <v>45496</v>
      </c>
      <c r="C1642">
        <v>86.620999999999995</v>
      </c>
      <c r="D1642" t="s">
        <v>1809</v>
      </c>
      <c r="E1642">
        <v>26</v>
      </c>
      <c r="F1642" t="s">
        <v>16</v>
      </c>
      <c r="G1642" t="s">
        <v>1527</v>
      </c>
      <c r="H1642" t="s">
        <v>1746</v>
      </c>
      <c r="L1642" s="2">
        <v>45496</v>
      </c>
      <c r="M1642">
        <v>86.620999999999995</v>
      </c>
      <c r="R1642" t="s">
        <v>1809</v>
      </c>
      <c r="S1642">
        <v>86.620999999999995</v>
      </c>
      <c r="W1642" s="11" t="s">
        <v>16</v>
      </c>
      <c r="X1642" s="11" t="s">
        <v>1527</v>
      </c>
      <c r="Y1642">
        <v>86.620999999999995</v>
      </c>
      <c r="AF1642">
        <v>86.620999999999995</v>
      </c>
      <c r="AG1642" t="s">
        <v>1746</v>
      </c>
    </row>
    <row r="1643" spans="1:33" x14ac:dyDescent="0.3">
      <c r="A1643" t="s">
        <v>795</v>
      </c>
      <c r="B1643" s="2">
        <v>45742</v>
      </c>
      <c r="C1643">
        <v>3110.9863999999998</v>
      </c>
      <c r="D1643" t="s">
        <v>1812</v>
      </c>
      <c r="E1643">
        <v>64</v>
      </c>
      <c r="F1643" t="s">
        <v>9</v>
      </c>
      <c r="G1643" t="s">
        <v>1527</v>
      </c>
      <c r="H1643" t="s">
        <v>1737</v>
      </c>
      <c r="L1643" s="2">
        <v>45742</v>
      </c>
      <c r="M1643">
        <v>3110.9863999999998</v>
      </c>
      <c r="R1643" t="s">
        <v>1812</v>
      </c>
      <c r="S1643">
        <v>3110.9863999999998</v>
      </c>
      <c r="W1643" s="12" t="s">
        <v>9</v>
      </c>
      <c r="X1643" s="12" t="s">
        <v>1527</v>
      </c>
      <c r="Y1643">
        <v>3110.9863999999998</v>
      </c>
      <c r="AF1643">
        <v>3110.9863999999998</v>
      </c>
      <c r="AG1643" t="s">
        <v>1737</v>
      </c>
    </row>
    <row r="1644" spans="1:33" x14ac:dyDescent="0.3">
      <c r="A1644" t="s">
        <v>963</v>
      </c>
      <c r="B1644" s="2">
        <v>45301</v>
      </c>
      <c r="C1644">
        <v>637.05600000000004</v>
      </c>
      <c r="D1644" t="s">
        <v>1809</v>
      </c>
      <c r="E1644">
        <v>41</v>
      </c>
      <c r="F1644" t="s">
        <v>16</v>
      </c>
      <c r="G1644" t="s">
        <v>1527</v>
      </c>
      <c r="H1644" t="s">
        <v>1742</v>
      </c>
      <c r="L1644" s="2">
        <v>45301</v>
      </c>
      <c r="M1644">
        <v>637.05600000000004</v>
      </c>
      <c r="R1644" t="s">
        <v>1809</v>
      </c>
      <c r="S1644">
        <v>637.05600000000004</v>
      </c>
      <c r="W1644" s="11" t="s">
        <v>16</v>
      </c>
      <c r="X1644" s="11" t="s">
        <v>1527</v>
      </c>
      <c r="Y1644">
        <v>637.05600000000004</v>
      </c>
      <c r="AF1644">
        <v>637.05600000000004</v>
      </c>
      <c r="AG1644" t="s">
        <v>1742</v>
      </c>
    </row>
    <row r="1645" spans="1:33" x14ac:dyDescent="0.3">
      <c r="A1645" t="s">
        <v>79</v>
      </c>
      <c r="B1645" s="2">
        <v>45547</v>
      </c>
      <c r="C1645">
        <v>853.54520000000002</v>
      </c>
      <c r="D1645" t="s">
        <v>1809</v>
      </c>
      <c r="E1645">
        <v>43</v>
      </c>
      <c r="F1645" t="s">
        <v>9</v>
      </c>
      <c r="G1645" t="s">
        <v>1527</v>
      </c>
      <c r="H1645" t="s">
        <v>1742</v>
      </c>
      <c r="L1645" s="2">
        <v>45547</v>
      </c>
      <c r="M1645">
        <v>853.54520000000002</v>
      </c>
      <c r="R1645" t="s">
        <v>1809</v>
      </c>
      <c r="S1645">
        <v>853.54520000000002</v>
      </c>
      <c r="W1645" s="12" t="s">
        <v>9</v>
      </c>
      <c r="X1645" s="12" t="s">
        <v>1527</v>
      </c>
      <c r="Y1645">
        <v>853.54520000000002</v>
      </c>
      <c r="AF1645">
        <v>853.54520000000002</v>
      </c>
      <c r="AG1645" t="s">
        <v>1742</v>
      </c>
    </row>
    <row r="1646" spans="1:33" x14ac:dyDescent="0.3">
      <c r="A1646" t="s">
        <v>1497</v>
      </c>
      <c r="B1646" s="2">
        <v>45806</v>
      </c>
      <c r="C1646">
        <v>844.01370000000009</v>
      </c>
      <c r="D1646" t="s">
        <v>1807</v>
      </c>
      <c r="E1646">
        <v>28</v>
      </c>
      <c r="F1646" t="s">
        <v>9</v>
      </c>
      <c r="G1646" t="s">
        <v>1549</v>
      </c>
      <c r="H1646" t="s">
        <v>1742</v>
      </c>
      <c r="L1646" s="2">
        <v>45806</v>
      </c>
      <c r="M1646">
        <v>844.01370000000009</v>
      </c>
      <c r="R1646" t="s">
        <v>1807</v>
      </c>
      <c r="S1646">
        <v>844.01370000000009</v>
      </c>
      <c r="W1646" s="11" t="s">
        <v>9</v>
      </c>
      <c r="X1646" s="11" t="s">
        <v>1549</v>
      </c>
      <c r="Y1646">
        <v>844.01370000000009</v>
      </c>
      <c r="AF1646">
        <v>844.01370000000009</v>
      </c>
      <c r="AG1646" t="s">
        <v>1742</v>
      </c>
    </row>
    <row r="1647" spans="1:33" x14ac:dyDescent="0.3">
      <c r="A1647" t="s">
        <v>1067</v>
      </c>
      <c r="B1647" s="2">
        <v>45294</v>
      </c>
      <c r="C1647">
        <v>582.88409999999999</v>
      </c>
      <c r="D1647" t="s">
        <v>1812</v>
      </c>
      <c r="E1647">
        <v>39</v>
      </c>
      <c r="F1647" t="s">
        <v>9</v>
      </c>
      <c r="G1647" t="s">
        <v>1546</v>
      </c>
      <c r="H1647" t="s">
        <v>1742</v>
      </c>
      <c r="L1647" s="2">
        <v>45294</v>
      </c>
      <c r="M1647">
        <v>582.88409999999999</v>
      </c>
      <c r="R1647" t="s">
        <v>1812</v>
      </c>
      <c r="S1647">
        <v>582.88409999999999</v>
      </c>
      <c r="W1647" s="12" t="s">
        <v>9</v>
      </c>
      <c r="X1647" s="12" t="s">
        <v>1546</v>
      </c>
      <c r="Y1647">
        <v>582.88409999999999</v>
      </c>
      <c r="AF1647">
        <v>582.88409999999999</v>
      </c>
      <c r="AG1647" t="s">
        <v>1742</v>
      </c>
    </row>
    <row r="1648" spans="1:33" x14ac:dyDescent="0.3">
      <c r="A1648" t="s">
        <v>160</v>
      </c>
      <c r="B1648" s="2">
        <v>45875</v>
      </c>
      <c r="C1648">
        <v>561.33439999999996</v>
      </c>
      <c r="D1648" t="s">
        <v>1807</v>
      </c>
      <c r="E1648">
        <v>19</v>
      </c>
      <c r="F1648" t="s">
        <v>9</v>
      </c>
      <c r="G1648" t="s">
        <v>1527</v>
      </c>
      <c r="H1648" t="s">
        <v>1742</v>
      </c>
      <c r="L1648" s="2">
        <v>45875</v>
      </c>
      <c r="M1648">
        <v>561.33439999999996</v>
      </c>
      <c r="R1648" t="s">
        <v>1807</v>
      </c>
      <c r="S1648">
        <v>561.33439999999996</v>
      </c>
      <c r="W1648" s="11" t="s">
        <v>9</v>
      </c>
      <c r="X1648" s="11" t="s">
        <v>1527</v>
      </c>
      <c r="Y1648">
        <v>561.33439999999996</v>
      </c>
      <c r="AF1648">
        <v>561.33439999999996</v>
      </c>
      <c r="AG1648" t="s">
        <v>1742</v>
      </c>
    </row>
    <row r="1649" spans="1:33" x14ac:dyDescent="0.3">
      <c r="A1649" t="s">
        <v>448</v>
      </c>
      <c r="B1649" s="2">
        <v>45669</v>
      </c>
      <c r="C1649">
        <v>313.99</v>
      </c>
      <c r="D1649" t="s">
        <v>1807</v>
      </c>
      <c r="E1649">
        <v>62</v>
      </c>
      <c r="F1649" t="s">
        <v>16</v>
      </c>
      <c r="G1649" t="s">
        <v>1541</v>
      </c>
      <c r="H1649" t="s">
        <v>1737</v>
      </c>
      <c r="L1649" s="2">
        <v>45669</v>
      </c>
      <c r="M1649">
        <v>313.99</v>
      </c>
      <c r="R1649" t="s">
        <v>1807</v>
      </c>
      <c r="S1649">
        <v>313.99</v>
      </c>
      <c r="W1649" s="12" t="s">
        <v>16</v>
      </c>
      <c r="X1649" s="12" t="s">
        <v>1541</v>
      </c>
      <c r="Y1649">
        <v>313.99</v>
      </c>
      <c r="AF1649">
        <v>313.99</v>
      </c>
      <c r="AG1649" t="s">
        <v>1737</v>
      </c>
    </row>
    <row r="1650" spans="1:33" x14ac:dyDescent="0.3">
      <c r="A1650" t="s">
        <v>706</v>
      </c>
      <c r="B1650" s="2">
        <v>45606</v>
      </c>
      <c r="C1650">
        <v>2280.0664000000002</v>
      </c>
      <c r="D1650" t="s">
        <v>1807</v>
      </c>
      <c r="E1650">
        <v>50</v>
      </c>
      <c r="F1650" t="s">
        <v>16</v>
      </c>
      <c r="G1650" t="s">
        <v>1546</v>
      </c>
      <c r="H1650" t="s">
        <v>1742</v>
      </c>
      <c r="L1650" s="2">
        <v>45606</v>
      </c>
      <c r="M1650">
        <v>2280.0664000000002</v>
      </c>
      <c r="R1650" t="s">
        <v>1807</v>
      </c>
      <c r="S1650">
        <v>2280.0664000000002</v>
      </c>
      <c r="W1650" s="11" t="s">
        <v>16</v>
      </c>
      <c r="X1650" s="11" t="s">
        <v>1546</v>
      </c>
      <c r="Y1650">
        <v>2280.0664000000002</v>
      </c>
      <c r="AF1650">
        <v>2280.0664000000002</v>
      </c>
      <c r="AG1650" t="s">
        <v>1742</v>
      </c>
    </row>
    <row r="1651" spans="1:33" x14ac:dyDescent="0.3">
      <c r="A1651" t="s">
        <v>200</v>
      </c>
      <c r="B1651" s="2">
        <v>45787</v>
      </c>
      <c r="C1651">
        <v>196.67339999999999</v>
      </c>
      <c r="D1651" t="s">
        <v>1807</v>
      </c>
      <c r="E1651">
        <v>24</v>
      </c>
      <c r="F1651" t="s">
        <v>9</v>
      </c>
      <c r="G1651" t="s">
        <v>1549</v>
      </c>
      <c r="H1651" t="s">
        <v>1746</v>
      </c>
      <c r="L1651" s="2">
        <v>45787</v>
      </c>
      <c r="M1651">
        <v>196.67339999999999</v>
      </c>
      <c r="R1651" t="s">
        <v>1807</v>
      </c>
      <c r="S1651">
        <v>196.67339999999999</v>
      </c>
      <c r="W1651" s="12" t="s">
        <v>9</v>
      </c>
      <c r="X1651" s="12" t="s">
        <v>1549</v>
      </c>
      <c r="Y1651">
        <v>196.67339999999999</v>
      </c>
      <c r="AF1651">
        <v>196.67339999999999</v>
      </c>
      <c r="AG1651" t="s">
        <v>1746</v>
      </c>
    </row>
    <row r="1652" spans="1:33" x14ac:dyDescent="0.3">
      <c r="A1652" t="s">
        <v>1101</v>
      </c>
      <c r="B1652" s="2">
        <v>45929</v>
      </c>
      <c r="C1652">
        <v>719.27200000000005</v>
      </c>
      <c r="D1652" t="s">
        <v>1809</v>
      </c>
      <c r="E1652">
        <v>54</v>
      </c>
      <c r="F1652" t="s">
        <v>9</v>
      </c>
      <c r="G1652" t="s">
        <v>1530</v>
      </c>
      <c r="H1652" t="s">
        <v>1742</v>
      </c>
      <c r="L1652" s="2">
        <v>45929</v>
      </c>
      <c r="M1652">
        <v>719.27200000000005</v>
      </c>
      <c r="R1652" t="s">
        <v>1809</v>
      </c>
      <c r="S1652">
        <v>719.27200000000005</v>
      </c>
      <c r="W1652" s="11" t="s">
        <v>9</v>
      </c>
      <c r="X1652" s="11" t="s">
        <v>1530</v>
      </c>
      <c r="Y1652">
        <v>719.27200000000005</v>
      </c>
      <c r="AF1652">
        <v>719.27200000000005</v>
      </c>
      <c r="AG1652" t="s">
        <v>1742</v>
      </c>
    </row>
    <row r="1653" spans="1:33" x14ac:dyDescent="0.3">
      <c r="A1653" t="s">
        <v>1187</v>
      </c>
      <c r="B1653" s="2">
        <v>45379</v>
      </c>
      <c r="C1653">
        <v>649.89</v>
      </c>
      <c r="D1653" t="s">
        <v>1807</v>
      </c>
      <c r="E1653">
        <v>60</v>
      </c>
      <c r="F1653" t="s">
        <v>9</v>
      </c>
      <c r="G1653" t="s">
        <v>1527</v>
      </c>
      <c r="H1653" t="s">
        <v>1767</v>
      </c>
      <c r="L1653" s="2">
        <v>45379</v>
      </c>
      <c r="M1653">
        <v>649.89</v>
      </c>
      <c r="R1653" t="s">
        <v>1807</v>
      </c>
      <c r="S1653">
        <v>649.89</v>
      </c>
      <c r="W1653" s="12" t="s">
        <v>9</v>
      </c>
      <c r="X1653" s="12" t="s">
        <v>1527</v>
      </c>
      <c r="Y1653">
        <v>649.89</v>
      </c>
      <c r="AF1653">
        <v>649.89</v>
      </c>
      <c r="AG1653" t="s">
        <v>1767</v>
      </c>
    </row>
    <row r="1654" spans="1:33" x14ac:dyDescent="0.3">
      <c r="A1654" t="s">
        <v>1307</v>
      </c>
      <c r="B1654" s="2">
        <v>45532</v>
      </c>
      <c r="C1654">
        <v>454.01639999999998</v>
      </c>
      <c r="D1654" t="s">
        <v>1807</v>
      </c>
      <c r="E1654">
        <v>18</v>
      </c>
      <c r="F1654" t="s">
        <v>16</v>
      </c>
      <c r="G1654" t="s">
        <v>1546</v>
      </c>
      <c r="H1654" t="s">
        <v>1742</v>
      </c>
      <c r="L1654" s="2">
        <v>45532</v>
      </c>
      <c r="M1654">
        <v>454.01639999999998</v>
      </c>
      <c r="R1654" t="s">
        <v>1807</v>
      </c>
      <c r="S1654">
        <v>454.01639999999998</v>
      </c>
      <c r="W1654" s="11" t="s">
        <v>16</v>
      </c>
      <c r="X1654" s="11" t="s">
        <v>1546</v>
      </c>
      <c r="Y1654">
        <v>454.01639999999998</v>
      </c>
      <c r="AF1654">
        <v>454.01639999999998</v>
      </c>
      <c r="AG1654" t="s">
        <v>1742</v>
      </c>
    </row>
    <row r="1655" spans="1:33" x14ac:dyDescent="0.3">
      <c r="A1655" t="s">
        <v>531</v>
      </c>
      <c r="B1655" s="2">
        <v>45466</v>
      </c>
      <c r="C1655">
        <v>1367.1368</v>
      </c>
      <c r="D1655" t="s">
        <v>1807</v>
      </c>
      <c r="E1655">
        <v>18</v>
      </c>
      <c r="F1655" t="s">
        <v>16</v>
      </c>
      <c r="G1655" t="s">
        <v>1549</v>
      </c>
      <c r="H1655" t="s">
        <v>1742</v>
      </c>
      <c r="L1655" s="2">
        <v>45466</v>
      </c>
      <c r="M1655">
        <v>1367.1368</v>
      </c>
      <c r="R1655" t="s">
        <v>1807</v>
      </c>
      <c r="S1655">
        <v>1367.1368</v>
      </c>
      <c r="W1655" s="12" t="s">
        <v>16</v>
      </c>
      <c r="X1655" s="12" t="s">
        <v>1549</v>
      </c>
      <c r="Y1655">
        <v>1367.1368</v>
      </c>
      <c r="AF1655">
        <v>1367.1368</v>
      </c>
      <c r="AG1655" t="s">
        <v>1742</v>
      </c>
    </row>
    <row r="1656" spans="1:33" x14ac:dyDescent="0.3">
      <c r="A1656" t="s">
        <v>1473</v>
      </c>
      <c r="B1656" s="2">
        <v>45395</v>
      </c>
      <c r="C1656">
        <v>581.58359999999993</v>
      </c>
      <c r="D1656" t="s">
        <v>1807</v>
      </c>
      <c r="E1656">
        <v>46</v>
      </c>
      <c r="F1656" t="s">
        <v>16</v>
      </c>
      <c r="G1656" t="s">
        <v>1530</v>
      </c>
      <c r="H1656" t="s">
        <v>1737</v>
      </c>
      <c r="L1656" s="2">
        <v>45395</v>
      </c>
      <c r="M1656">
        <v>581.58359999999993</v>
      </c>
      <c r="R1656" t="s">
        <v>1807</v>
      </c>
      <c r="S1656">
        <v>581.58359999999993</v>
      </c>
      <c r="W1656" s="11" t="s">
        <v>16</v>
      </c>
      <c r="X1656" s="11" t="s">
        <v>1530</v>
      </c>
      <c r="Y1656">
        <v>581.58359999999993</v>
      </c>
      <c r="AF1656">
        <v>581.58359999999993</v>
      </c>
      <c r="AG1656" t="s">
        <v>1737</v>
      </c>
    </row>
    <row r="1657" spans="1:33" x14ac:dyDescent="0.3">
      <c r="A1657" t="s">
        <v>131</v>
      </c>
      <c r="B1657" s="2">
        <v>45708</v>
      </c>
      <c r="C1657">
        <v>1253.0011999999999</v>
      </c>
      <c r="D1657" t="s">
        <v>1807</v>
      </c>
      <c r="E1657">
        <v>25</v>
      </c>
      <c r="F1657" t="s">
        <v>9</v>
      </c>
      <c r="G1657" t="s">
        <v>1541</v>
      </c>
      <c r="H1657" t="s">
        <v>1746</v>
      </c>
      <c r="L1657" s="2">
        <v>45708</v>
      </c>
      <c r="M1657">
        <v>1253.0011999999999</v>
      </c>
      <c r="R1657" t="s">
        <v>1807</v>
      </c>
      <c r="S1657">
        <v>1253.0011999999999</v>
      </c>
      <c r="W1657" s="12" t="s">
        <v>9</v>
      </c>
      <c r="X1657" s="12" t="s">
        <v>1541</v>
      </c>
      <c r="Y1657">
        <v>1253.0011999999999</v>
      </c>
      <c r="AF1657">
        <v>1253.0011999999999</v>
      </c>
      <c r="AG1657" t="s">
        <v>1746</v>
      </c>
    </row>
    <row r="1658" spans="1:33" x14ac:dyDescent="0.3">
      <c r="A1658" t="s">
        <v>1404</v>
      </c>
      <c r="B1658" s="2">
        <v>45735</v>
      </c>
      <c r="C1658">
        <v>1017.7704</v>
      </c>
      <c r="D1658" t="s">
        <v>1812</v>
      </c>
      <c r="E1658">
        <v>60</v>
      </c>
      <c r="F1658" t="s">
        <v>16</v>
      </c>
      <c r="G1658" t="s">
        <v>1546</v>
      </c>
      <c r="H1658" t="s">
        <v>1746</v>
      </c>
      <c r="L1658" s="2">
        <v>45735</v>
      </c>
      <c r="M1658">
        <v>1017.7704</v>
      </c>
      <c r="R1658" t="s">
        <v>1812</v>
      </c>
      <c r="S1658">
        <v>1017.7704</v>
      </c>
      <c r="W1658" s="11" t="s">
        <v>16</v>
      </c>
      <c r="X1658" s="11" t="s">
        <v>1546</v>
      </c>
      <c r="Y1658">
        <v>1017.7704</v>
      </c>
      <c r="AF1658">
        <v>1017.7704</v>
      </c>
      <c r="AG1658" t="s">
        <v>1746</v>
      </c>
    </row>
    <row r="1659" spans="1:33" x14ac:dyDescent="0.3">
      <c r="A1659" t="s">
        <v>410</v>
      </c>
      <c r="B1659" s="2">
        <v>45237</v>
      </c>
      <c r="C1659">
        <v>1666.95</v>
      </c>
      <c r="D1659" t="s">
        <v>1812</v>
      </c>
      <c r="E1659">
        <v>44</v>
      </c>
      <c r="F1659" t="s">
        <v>16</v>
      </c>
      <c r="G1659" t="s">
        <v>1527</v>
      </c>
      <c r="H1659" t="s">
        <v>1742</v>
      </c>
      <c r="L1659" s="2">
        <v>45237</v>
      </c>
      <c r="M1659">
        <v>1666.95</v>
      </c>
      <c r="R1659" t="s">
        <v>1812</v>
      </c>
      <c r="S1659">
        <v>1666.95</v>
      </c>
      <c r="W1659" s="12" t="s">
        <v>16</v>
      </c>
      <c r="X1659" s="12" t="s">
        <v>1527</v>
      </c>
      <c r="Y1659">
        <v>1666.95</v>
      </c>
      <c r="AF1659">
        <v>1666.95</v>
      </c>
      <c r="AG1659" t="s">
        <v>1742</v>
      </c>
    </row>
    <row r="1660" spans="1:33" x14ac:dyDescent="0.3">
      <c r="A1660" t="s">
        <v>141</v>
      </c>
      <c r="B1660" s="2">
        <v>45282</v>
      </c>
      <c r="C1660">
        <v>188.78960000000001</v>
      </c>
      <c r="D1660" t="s">
        <v>1807</v>
      </c>
      <c r="E1660">
        <v>20</v>
      </c>
      <c r="F1660" t="s">
        <v>16</v>
      </c>
      <c r="G1660" t="s">
        <v>1549</v>
      </c>
      <c r="H1660" t="s">
        <v>1742</v>
      </c>
      <c r="L1660" s="2">
        <v>45282</v>
      </c>
      <c r="M1660">
        <v>188.78960000000001</v>
      </c>
      <c r="R1660" t="s">
        <v>1807</v>
      </c>
      <c r="S1660">
        <v>188.78960000000001</v>
      </c>
      <c r="W1660" s="11" t="s">
        <v>16</v>
      </c>
      <c r="X1660" s="11" t="s">
        <v>1549</v>
      </c>
      <c r="Y1660">
        <v>188.78960000000001</v>
      </c>
      <c r="AF1660">
        <v>188.78960000000001</v>
      </c>
      <c r="AG1660" t="s">
        <v>1742</v>
      </c>
    </row>
    <row r="1661" spans="1:33" x14ac:dyDescent="0.3">
      <c r="A1661" t="s">
        <v>189</v>
      </c>
      <c r="B1661" s="2">
        <v>45337</v>
      </c>
      <c r="C1661">
        <v>2797.8164999999999</v>
      </c>
      <c r="D1661" t="s">
        <v>1812</v>
      </c>
      <c r="E1661">
        <v>23</v>
      </c>
      <c r="F1661" t="s">
        <v>16</v>
      </c>
      <c r="G1661" t="s">
        <v>1546</v>
      </c>
      <c r="H1661" t="s">
        <v>1742</v>
      </c>
      <c r="L1661" s="2">
        <v>45337</v>
      </c>
      <c r="M1661">
        <v>2797.8164999999999</v>
      </c>
      <c r="R1661" t="s">
        <v>1812</v>
      </c>
      <c r="S1661">
        <v>2797.8164999999999</v>
      </c>
      <c r="W1661" s="12" t="s">
        <v>16</v>
      </c>
      <c r="X1661" s="12" t="s">
        <v>1546</v>
      </c>
      <c r="Y1661">
        <v>2797.8164999999999</v>
      </c>
      <c r="AF1661">
        <v>2797.8164999999999</v>
      </c>
      <c r="AG1661" t="s">
        <v>1742</v>
      </c>
    </row>
    <row r="1662" spans="1:33" x14ac:dyDescent="0.3">
      <c r="A1662" t="s">
        <v>1019</v>
      </c>
      <c r="B1662" s="2">
        <v>45310</v>
      </c>
      <c r="C1662">
        <v>1544.9434000000001</v>
      </c>
      <c r="D1662" t="s">
        <v>1812</v>
      </c>
      <c r="E1662">
        <v>46</v>
      </c>
      <c r="F1662" t="s">
        <v>9</v>
      </c>
      <c r="G1662" t="s">
        <v>1527</v>
      </c>
      <c r="H1662" t="s">
        <v>1742</v>
      </c>
      <c r="L1662" s="2">
        <v>45310</v>
      </c>
      <c r="M1662">
        <v>1544.9434000000001</v>
      </c>
      <c r="R1662" t="s">
        <v>1812</v>
      </c>
      <c r="S1662">
        <v>1544.9434000000001</v>
      </c>
      <c r="W1662" s="11" t="s">
        <v>9</v>
      </c>
      <c r="X1662" s="11" t="s">
        <v>1527</v>
      </c>
      <c r="Y1662">
        <v>1544.9434000000001</v>
      </c>
      <c r="AF1662">
        <v>1544.9434000000001</v>
      </c>
      <c r="AG1662" t="s">
        <v>1742</v>
      </c>
    </row>
    <row r="1663" spans="1:33" x14ac:dyDescent="0.3">
      <c r="A1663" t="s">
        <v>1160</v>
      </c>
      <c r="B1663" s="2">
        <v>45230</v>
      </c>
      <c r="C1663">
        <v>1746.96</v>
      </c>
      <c r="D1663" t="s">
        <v>1809</v>
      </c>
      <c r="E1663">
        <v>30</v>
      </c>
      <c r="F1663" t="s">
        <v>9</v>
      </c>
      <c r="G1663" t="s">
        <v>1530</v>
      </c>
      <c r="H1663" t="s">
        <v>1742</v>
      </c>
      <c r="L1663" s="2">
        <v>45230</v>
      </c>
      <c r="M1663">
        <v>1746.96</v>
      </c>
      <c r="R1663" t="s">
        <v>1809</v>
      </c>
      <c r="S1663">
        <v>1746.96</v>
      </c>
      <c r="W1663" s="12" t="s">
        <v>9</v>
      </c>
      <c r="X1663" s="12" t="s">
        <v>1530</v>
      </c>
      <c r="Y1663">
        <v>1746.96</v>
      </c>
      <c r="AF1663">
        <v>1746.96</v>
      </c>
      <c r="AG1663" t="s">
        <v>1742</v>
      </c>
    </row>
    <row r="1664" spans="1:33" x14ac:dyDescent="0.3">
      <c r="A1664" t="s">
        <v>563</v>
      </c>
      <c r="B1664" s="2">
        <v>45341</v>
      </c>
      <c r="C1664">
        <v>1321.5336</v>
      </c>
      <c r="D1664" t="s">
        <v>1812</v>
      </c>
      <c r="E1664">
        <v>41</v>
      </c>
      <c r="F1664" t="s">
        <v>16</v>
      </c>
      <c r="G1664" t="s">
        <v>1541</v>
      </c>
      <c r="H1664" t="s">
        <v>1742</v>
      </c>
      <c r="L1664" s="2">
        <v>45341</v>
      </c>
      <c r="M1664">
        <v>1321.5336</v>
      </c>
      <c r="R1664" t="s">
        <v>1812</v>
      </c>
      <c r="S1664">
        <v>1321.5336</v>
      </c>
      <c r="W1664" s="11" t="s">
        <v>16</v>
      </c>
      <c r="X1664" s="11" t="s">
        <v>1541</v>
      </c>
      <c r="Y1664">
        <v>1321.5336</v>
      </c>
      <c r="AF1664">
        <v>1321.5336</v>
      </c>
      <c r="AG1664" t="s">
        <v>1742</v>
      </c>
    </row>
    <row r="1665" spans="1:33" x14ac:dyDescent="0.3">
      <c r="A1665" t="s">
        <v>94</v>
      </c>
      <c r="B1665" s="2">
        <v>45440</v>
      </c>
      <c r="C1665">
        <v>60.392200000000003</v>
      </c>
      <c r="D1665" t="s">
        <v>1812</v>
      </c>
      <c r="E1665">
        <v>33</v>
      </c>
      <c r="F1665" t="s">
        <v>16</v>
      </c>
      <c r="G1665" t="s">
        <v>1549</v>
      </c>
      <c r="H1665" t="s">
        <v>1746</v>
      </c>
      <c r="L1665" s="2">
        <v>45440</v>
      </c>
      <c r="M1665">
        <v>60.392200000000003</v>
      </c>
      <c r="R1665" t="s">
        <v>1812</v>
      </c>
      <c r="S1665">
        <v>60.392200000000003</v>
      </c>
      <c r="W1665" s="12" t="s">
        <v>16</v>
      </c>
      <c r="X1665" s="12" t="s">
        <v>1549</v>
      </c>
      <c r="Y1665">
        <v>60.392200000000003</v>
      </c>
      <c r="AF1665">
        <v>60.392200000000003</v>
      </c>
      <c r="AG1665" t="s">
        <v>1746</v>
      </c>
    </row>
    <row r="1666" spans="1:33" x14ac:dyDescent="0.3">
      <c r="A1666" t="s">
        <v>507</v>
      </c>
      <c r="B1666" s="2">
        <v>45798</v>
      </c>
      <c r="C1666">
        <v>990.6336</v>
      </c>
      <c r="D1666" t="s">
        <v>1812</v>
      </c>
      <c r="E1666">
        <v>31</v>
      </c>
      <c r="F1666" t="s">
        <v>9</v>
      </c>
      <c r="G1666" t="s">
        <v>1546</v>
      </c>
      <c r="H1666" t="s">
        <v>1742</v>
      </c>
      <c r="L1666" s="2">
        <v>45798</v>
      </c>
      <c r="M1666">
        <v>990.6336</v>
      </c>
      <c r="R1666" t="s">
        <v>1812</v>
      </c>
      <c r="S1666">
        <v>990.6336</v>
      </c>
      <c r="W1666" s="11" t="s">
        <v>9</v>
      </c>
      <c r="X1666" s="11" t="s">
        <v>1546</v>
      </c>
      <c r="Y1666">
        <v>990.6336</v>
      </c>
      <c r="AF1666">
        <v>990.6336</v>
      </c>
      <c r="AG1666" t="s">
        <v>1742</v>
      </c>
    </row>
    <row r="1667" spans="1:33" x14ac:dyDescent="0.3">
      <c r="A1667" t="s">
        <v>949</v>
      </c>
      <c r="B1667" s="2">
        <v>45293</v>
      </c>
      <c r="C1667">
        <v>813.46889999999996</v>
      </c>
      <c r="D1667" t="s">
        <v>1807</v>
      </c>
      <c r="E1667">
        <v>41</v>
      </c>
      <c r="F1667" t="s">
        <v>9</v>
      </c>
      <c r="G1667" t="s">
        <v>1549</v>
      </c>
      <c r="H1667" t="s">
        <v>1742</v>
      </c>
      <c r="L1667" s="2">
        <v>45293</v>
      </c>
      <c r="M1667">
        <v>813.46889999999996</v>
      </c>
      <c r="R1667" t="s">
        <v>1807</v>
      </c>
      <c r="S1667">
        <v>813.46889999999996</v>
      </c>
      <c r="W1667" s="12" t="s">
        <v>9</v>
      </c>
      <c r="X1667" s="12" t="s">
        <v>1549</v>
      </c>
      <c r="Y1667">
        <v>813.46889999999996</v>
      </c>
      <c r="AF1667">
        <v>813.46889999999996</v>
      </c>
      <c r="AG1667" t="s">
        <v>1742</v>
      </c>
    </row>
    <row r="1668" spans="1:33" x14ac:dyDescent="0.3">
      <c r="A1668" t="s">
        <v>1130</v>
      </c>
      <c r="B1668" s="2">
        <v>45296</v>
      </c>
      <c r="C1668">
        <v>825.02639999999997</v>
      </c>
      <c r="D1668" t="s">
        <v>1809</v>
      </c>
      <c r="E1668">
        <v>40</v>
      </c>
      <c r="F1668" t="s">
        <v>16</v>
      </c>
      <c r="G1668" t="s">
        <v>1527</v>
      </c>
      <c r="H1668" t="s">
        <v>1746</v>
      </c>
      <c r="L1668" s="2">
        <v>45296</v>
      </c>
      <c r="M1668">
        <v>825.02639999999997</v>
      </c>
      <c r="R1668" t="s">
        <v>1809</v>
      </c>
      <c r="S1668">
        <v>825.02639999999997</v>
      </c>
      <c r="W1668" s="11" t="s">
        <v>16</v>
      </c>
      <c r="X1668" s="11" t="s">
        <v>1527</v>
      </c>
      <c r="Y1668">
        <v>825.02639999999997</v>
      </c>
      <c r="AF1668">
        <v>825.02639999999997</v>
      </c>
      <c r="AG1668" t="s">
        <v>1746</v>
      </c>
    </row>
    <row r="1669" spans="1:33" x14ac:dyDescent="0.3">
      <c r="A1669" t="s">
        <v>975</v>
      </c>
      <c r="B1669" s="2">
        <v>45860</v>
      </c>
      <c r="C1669">
        <v>103.56480000000001</v>
      </c>
      <c r="D1669" t="s">
        <v>1812</v>
      </c>
      <c r="E1669">
        <v>62</v>
      </c>
      <c r="F1669" t="s">
        <v>9</v>
      </c>
      <c r="G1669" t="s">
        <v>1527</v>
      </c>
      <c r="H1669" t="s">
        <v>1742</v>
      </c>
      <c r="L1669" s="2">
        <v>45860</v>
      </c>
      <c r="M1669">
        <v>103.56480000000001</v>
      </c>
      <c r="R1669" t="s">
        <v>1812</v>
      </c>
      <c r="S1669">
        <v>103.56480000000001</v>
      </c>
      <c r="W1669" s="12" t="s">
        <v>9</v>
      </c>
      <c r="X1669" s="12" t="s">
        <v>1527</v>
      </c>
      <c r="Y1669">
        <v>103.56480000000001</v>
      </c>
      <c r="AF1669">
        <v>103.56480000000001</v>
      </c>
      <c r="AG1669" t="s">
        <v>1742</v>
      </c>
    </row>
    <row r="1670" spans="1:33" x14ac:dyDescent="0.3">
      <c r="A1670" t="s">
        <v>1002</v>
      </c>
      <c r="B1670" s="2">
        <v>45843</v>
      </c>
      <c r="C1670">
        <v>2976.6039999999998</v>
      </c>
      <c r="D1670" t="s">
        <v>1812</v>
      </c>
      <c r="E1670">
        <v>54</v>
      </c>
      <c r="F1670" t="s">
        <v>9</v>
      </c>
      <c r="G1670" t="s">
        <v>1549</v>
      </c>
      <c r="H1670" t="s">
        <v>1746</v>
      </c>
      <c r="L1670" s="2">
        <v>45843</v>
      </c>
      <c r="M1670">
        <v>2976.6039999999998</v>
      </c>
      <c r="R1670" t="s">
        <v>1812</v>
      </c>
      <c r="S1670">
        <v>2976.6039999999998</v>
      </c>
      <c r="W1670" s="11" t="s">
        <v>9</v>
      </c>
      <c r="X1670" s="11" t="s">
        <v>1549</v>
      </c>
      <c r="Y1670">
        <v>2976.6039999999998</v>
      </c>
      <c r="AF1670">
        <v>2976.6039999999998</v>
      </c>
      <c r="AG1670" t="s">
        <v>1746</v>
      </c>
    </row>
    <row r="1671" spans="1:33" x14ac:dyDescent="0.3">
      <c r="A1671" t="s">
        <v>196</v>
      </c>
      <c r="B1671" s="2">
        <v>45862</v>
      </c>
      <c r="C1671">
        <v>638.88440000000003</v>
      </c>
      <c r="D1671" t="s">
        <v>1807</v>
      </c>
      <c r="E1671">
        <v>37</v>
      </c>
      <c r="F1671" t="s">
        <v>16</v>
      </c>
      <c r="G1671" t="s">
        <v>1527</v>
      </c>
      <c r="H1671" t="s">
        <v>1746</v>
      </c>
      <c r="L1671" s="2">
        <v>45862</v>
      </c>
      <c r="M1671">
        <v>638.88440000000003</v>
      </c>
      <c r="R1671" t="s">
        <v>1807</v>
      </c>
      <c r="S1671">
        <v>638.88440000000003</v>
      </c>
      <c r="W1671" s="12" t="s">
        <v>16</v>
      </c>
      <c r="X1671" s="12" t="s">
        <v>1527</v>
      </c>
      <c r="Y1671">
        <v>638.88440000000003</v>
      </c>
      <c r="AF1671">
        <v>638.88440000000003</v>
      </c>
      <c r="AG1671" t="s">
        <v>1746</v>
      </c>
    </row>
    <row r="1672" spans="1:33" x14ac:dyDescent="0.3">
      <c r="A1672" t="s">
        <v>3951</v>
      </c>
      <c r="B1672" s="2">
        <v>45385</v>
      </c>
      <c r="C1672">
        <v>1383.5663999999999</v>
      </c>
      <c r="D1672" t="s">
        <v>1809</v>
      </c>
      <c r="E1672">
        <v>40</v>
      </c>
      <c r="F1672" t="s">
        <v>9</v>
      </c>
      <c r="G1672" t="s">
        <v>1549</v>
      </c>
      <c r="H1672" t="s">
        <v>1742</v>
      </c>
      <c r="L1672" s="2">
        <v>45385</v>
      </c>
      <c r="M1672">
        <v>1383.5663999999999</v>
      </c>
      <c r="R1672" t="s">
        <v>1809</v>
      </c>
      <c r="S1672">
        <v>1383.5663999999999</v>
      </c>
      <c r="W1672" s="11" t="s">
        <v>9</v>
      </c>
      <c r="X1672" s="11" t="s">
        <v>1549</v>
      </c>
      <c r="Y1672">
        <v>1383.5663999999999</v>
      </c>
      <c r="AF1672">
        <v>1383.5663999999999</v>
      </c>
      <c r="AG1672" t="s">
        <v>1742</v>
      </c>
    </row>
    <row r="1673" spans="1:33" x14ac:dyDescent="0.3">
      <c r="A1673" t="s">
        <v>685</v>
      </c>
      <c r="B1673" s="2">
        <v>45668</v>
      </c>
      <c r="C1673">
        <v>3094.2208000000001</v>
      </c>
      <c r="D1673" t="s">
        <v>1809</v>
      </c>
      <c r="E1673">
        <v>42</v>
      </c>
      <c r="F1673" t="s">
        <v>16</v>
      </c>
      <c r="G1673" t="s">
        <v>1549</v>
      </c>
      <c r="H1673" t="s">
        <v>1746</v>
      </c>
      <c r="L1673" s="2">
        <v>45668</v>
      </c>
      <c r="M1673">
        <v>3094.2208000000001</v>
      </c>
      <c r="R1673" t="s">
        <v>1809</v>
      </c>
      <c r="S1673">
        <v>3094.2208000000001</v>
      </c>
      <c r="W1673" s="12" t="s">
        <v>16</v>
      </c>
      <c r="X1673" s="12" t="s">
        <v>1549</v>
      </c>
      <c r="Y1673">
        <v>3094.2208000000001</v>
      </c>
      <c r="AF1673">
        <v>3094.2208000000001</v>
      </c>
      <c r="AG1673" t="s">
        <v>1746</v>
      </c>
    </row>
    <row r="1674" spans="1:33" x14ac:dyDescent="0.3">
      <c r="A1674" t="s">
        <v>688</v>
      </c>
      <c r="B1674" s="2">
        <v>45561</v>
      </c>
      <c r="C1674">
        <v>614.51080000000002</v>
      </c>
      <c r="D1674" t="s">
        <v>1812</v>
      </c>
      <c r="E1674">
        <v>61</v>
      </c>
      <c r="F1674" t="s">
        <v>9</v>
      </c>
      <c r="G1674" t="s">
        <v>1527</v>
      </c>
      <c r="H1674" t="s">
        <v>1742</v>
      </c>
      <c r="L1674" s="2">
        <v>45561</v>
      </c>
      <c r="M1674">
        <v>614.51080000000002</v>
      </c>
      <c r="R1674" t="s">
        <v>1812</v>
      </c>
      <c r="S1674">
        <v>614.51080000000002</v>
      </c>
      <c r="W1674" s="11" t="s">
        <v>9</v>
      </c>
      <c r="X1674" s="11" t="s">
        <v>1527</v>
      </c>
      <c r="Y1674">
        <v>614.51080000000002</v>
      </c>
      <c r="AF1674">
        <v>614.51080000000002</v>
      </c>
      <c r="AG1674" t="s">
        <v>1742</v>
      </c>
    </row>
    <row r="1675" spans="1:33" x14ac:dyDescent="0.3">
      <c r="A1675" t="s">
        <v>3954</v>
      </c>
      <c r="B1675" s="2">
        <v>45637</v>
      </c>
      <c r="C1675">
        <v>617.66549999999995</v>
      </c>
      <c r="D1675" t="s">
        <v>1807</v>
      </c>
      <c r="E1675">
        <v>38</v>
      </c>
      <c r="F1675" t="s">
        <v>9</v>
      </c>
      <c r="G1675" t="s">
        <v>1546</v>
      </c>
      <c r="H1675" t="s">
        <v>1742</v>
      </c>
      <c r="L1675" s="2">
        <v>45637</v>
      </c>
      <c r="M1675">
        <v>617.66549999999995</v>
      </c>
      <c r="R1675" t="s">
        <v>1807</v>
      </c>
      <c r="S1675">
        <v>617.66549999999995</v>
      </c>
      <c r="W1675" s="12" t="s">
        <v>9</v>
      </c>
      <c r="X1675" s="12" t="s">
        <v>1546</v>
      </c>
      <c r="Y1675">
        <v>617.66549999999995</v>
      </c>
      <c r="AF1675">
        <v>617.66549999999995</v>
      </c>
      <c r="AG1675" t="s">
        <v>1742</v>
      </c>
    </row>
    <row r="1676" spans="1:33" x14ac:dyDescent="0.3">
      <c r="A1676" t="s">
        <v>1067</v>
      </c>
      <c r="B1676" s="2">
        <v>45839</v>
      </c>
      <c r="C1676">
        <v>705.93360000000007</v>
      </c>
      <c r="D1676" t="s">
        <v>1812</v>
      </c>
      <c r="E1676">
        <v>39</v>
      </c>
      <c r="F1676" t="s">
        <v>9</v>
      </c>
      <c r="G1676" t="s">
        <v>1546</v>
      </c>
      <c r="H1676" t="s">
        <v>1742</v>
      </c>
      <c r="L1676" s="2">
        <v>45839</v>
      </c>
      <c r="M1676">
        <v>705.93360000000007</v>
      </c>
      <c r="R1676" t="s">
        <v>1812</v>
      </c>
      <c r="S1676">
        <v>705.93360000000007</v>
      </c>
      <c r="W1676" s="11" t="s">
        <v>9</v>
      </c>
      <c r="X1676" s="11" t="s">
        <v>1546</v>
      </c>
      <c r="Y1676">
        <v>705.93360000000007</v>
      </c>
      <c r="AF1676">
        <v>705.93360000000007</v>
      </c>
      <c r="AG1676" t="s">
        <v>1742</v>
      </c>
    </row>
    <row r="1677" spans="1:33" x14ac:dyDescent="0.3">
      <c r="A1677" t="s">
        <v>76</v>
      </c>
      <c r="B1677" s="2">
        <v>45851</v>
      </c>
      <c r="C1677">
        <v>540.42079999999999</v>
      </c>
      <c r="D1677" t="s">
        <v>1809</v>
      </c>
      <c r="E1677">
        <v>60</v>
      </c>
      <c r="F1677" t="s">
        <v>16</v>
      </c>
      <c r="G1677" t="s">
        <v>1541</v>
      </c>
      <c r="H1677" t="s">
        <v>1742</v>
      </c>
      <c r="L1677" s="2">
        <v>45851</v>
      </c>
      <c r="M1677">
        <v>540.42079999999999</v>
      </c>
      <c r="R1677" t="s">
        <v>1809</v>
      </c>
      <c r="S1677">
        <v>540.42079999999999</v>
      </c>
      <c r="W1677" s="12" t="s">
        <v>16</v>
      </c>
      <c r="X1677" s="12" t="s">
        <v>1541</v>
      </c>
      <c r="Y1677">
        <v>540.42079999999999</v>
      </c>
      <c r="AF1677">
        <v>540.42079999999999</v>
      </c>
      <c r="AG1677" t="s">
        <v>1742</v>
      </c>
    </row>
    <row r="1678" spans="1:33" x14ac:dyDescent="0.3">
      <c r="A1678" t="s">
        <v>798</v>
      </c>
      <c r="B1678" s="2">
        <v>45656</v>
      </c>
      <c r="C1678">
        <v>1654.7328</v>
      </c>
      <c r="D1678" t="s">
        <v>1809</v>
      </c>
      <c r="E1678">
        <v>26</v>
      </c>
      <c r="F1678" t="s">
        <v>9</v>
      </c>
      <c r="G1678" t="s">
        <v>1549</v>
      </c>
      <c r="H1678" t="s">
        <v>1742</v>
      </c>
      <c r="L1678" s="2">
        <v>45656</v>
      </c>
      <c r="M1678">
        <v>1654.7328</v>
      </c>
      <c r="R1678" t="s">
        <v>1809</v>
      </c>
      <c r="S1678">
        <v>1654.7328</v>
      </c>
      <c r="W1678" s="11" t="s">
        <v>9</v>
      </c>
      <c r="X1678" s="11" t="s">
        <v>1549</v>
      </c>
      <c r="Y1678">
        <v>1654.7328</v>
      </c>
      <c r="AF1678">
        <v>1654.7328</v>
      </c>
      <c r="AG1678" t="s">
        <v>1742</v>
      </c>
    </row>
    <row r="1679" spans="1:33" x14ac:dyDescent="0.3">
      <c r="A1679" t="s">
        <v>1067</v>
      </c>
      <c r="B1679" s="2">
        <v>45759</v>
      </c>
      <c r="C1679">
        <v>19.871600000000001</v>
      </c>
      <c r="D1679" t="s">
        <v>1812</v>
      </c>
      <c r="E1679">
        <v>39</v>
      </c>
      <c r="F1679" t="s">
        <v>9</v>
      </c>
      <c r="G1679" t="s">
        <v>1549</v>
      </c>
      <c r="H1679" t="s">
        <v>1742</v>
      </c>
      <c r="L1679" s="2">
        <v>45759</v>
      </c>
      <c r="M1679">
        <v>19.871600000000001</v>
      </c>
      <c r="R1679" t="s">
        <v>1812</v>
      </c>
      <c r="S1679">
        <v>19.871600000000001</v>
      </c>
      <c r="W1679" s="12" t="s">
        <v>9</v>
      </c>
      <c r="X1679" s="12" t="s">
        <v>1549</v>
      </c>
      <c r="Y1679">
        <v>19.871600000000001</v>
      </c>
      <c r="AF1679">
        <v>19.871600000000001</v>
      </c>
      <c r="AG1679" t="s">
        <v>1742</v>
      </c>
    </row>
    <row r="1680" spans="1:33" x14ac:dyDescent="0.3">
      <c r="A1680" t="s">
        <v>371</v>
      </c>
      <c r="B1680" s="2">
        <v>45679</v>
      </c>
      <c r="C1680">
        <v>288.14519999999999</v>
      </c>
      <c r="D1680" t="s">
        <v>1807</v>
      </c>
      <c r="E1680">
        <v>62</v>
      </c>
      <c r="F1680" t="s">
        <v>16</v>
      </c>
      <c r="G1680" t="s">
        <v>1546</v>
      </c>
      <c r="H1680" t="s">
        <v>1767</v>
      </c>
      <c r="L1680" s="2">
        <v>45679</v>
      </c>
      <c r="M1680">
        <v>288.14519999999999</v>
      </c>
      <c r="R1680" t="s">
        <v>1807</v>
      </c>
      <c r="S1680">
        <v>288.14519999999999</v>
      </c>
      <c r="W1680" s="11" t="s">
        <v>16</v>
      </c>
      <c r="X1680" s="11" t="s">
        <v>1546</v>
      </c>
      <c r="Y1680">
        <v>288.14519999999999</v>
      </c>
      <c r="AF1680">
        <v>288.14519999999999</v>
      </c>
      <c r="AG1680" t="s">
        <v>1767</v>
      </c>
    </row>
    <row r="1681" spans="1:33" x14ac:dyDescent="0.3">
      <c r="A1681" t="s">
        <v>786</v>
      </c>
      <c r="B1681" s="2">
        <v>45237</v>
      </c>
      <c r="C1681">
        <v>238.9716</v>
      </c>
      <c r="D1681" t="s">
        <v>1812</v>
      </c>
      <c r="E1681">
        <v>19</v>
      </c>
      <c r="F1681" t="s">
        <v>9</v>
      </c>
      <c r="G1681" t="s">
        <v>1549</v>
      </c>
      <c r="H1681" t="s">
        <v>1742</v>
      </c>
      <c r="L1681" s="2">
        <v>45237</v>
      </c>
      <c r="M1681">
        <v>238.9716</v>
      </c>
      <c r="R1681" t="s">
        <v>1812</v>
      </c>
      <c r="S1681">
        <v>238.9716</v>
      </c>
      <c r="W1681" s="12" t="s">
        <v>9</v>
      </c>
      <c r="X1681" s="12" t="s">
        <v>1549</v>
      </c>
      <c r="Y1681">
        <v>238.9716</v>
      </c>
      <c r="AF1681">
        <v>238.9716</v>
      </c>
      <c r="AG1681" t="s">
        <v>1742</v>
      </c>
    </row>
    <row r="1682" spans="1:33" x14ac:dyDescent="0.3">
      <c r="A1682" t="s">
        <v>83</v>
      </c>
      <c r="B1682" s="2">
        <v>45790</v>
      </c>
      <c r="C1682">
        <v>217.26060000000001</v>
      </c>
      <c r="D1682" t="s">
        <v>1809</v>
      </c>
      <c r="E1682">
        <v>46</v>
      </c>
      <c r="F1682" t="s">
        <v>16</v>
      </c>
      <c r="G1682" t="s">
        <v>1530</v>
      </c>
      <c r="H1682" t="s">
        <v>1742</v>
      </c>
      <c r="L1682" s="2">
        <v>45790</v>
      </c>
      <c r="M1682">
        <v>217.26060000000001</v>
      </c>
      <c r="R1682" t="s">
        <v>1809</v>
      </c>
      <c r="S1682">
        <v>217.26060000000001</v>
      </c>
      <c r="W1682" s="11" t="s">
        <v>16</v>
      </c>
      <c r="X1682" s="11" t="s">
        <v>1530</v>
      </c>
      <c r="Y1682">
        <v>217.26060000000001</v>
      </c>
      <c r="AF1682">
        <v>217.26060000000001</v>
      </c>
      <c r="AG1682" t="s">
        <v>1742</v>
      </c>
    </row>
    <row r="1683" spans="1:33" x14ac:dyDescent="0.3">
      <c r="A1683" t="s">
        <v>460</v>
      </c>
      <c r="B1683" s="2">
        <v>45268</v>
      </c>
      <c r="C1683">
        <v>837.42119999999989</v>
      </c>
      <c r="D1683" t="s">
        <v>1812</v>
      </c>
      <c r="E1683">
        <v>55</v>
      </c>
      <c r="F1683" t="s">
        <v>16</v>
      </c>
      <c r="G1683" t="s">
        <v>1530</v>
      </c>
      <c r="H1683" t="s">
        <v>1742</v>
      </c>
      <c r="L1683" s="2">
        <v>45268</v>
      </c>
      <c r="M1683">
        <v>837.42119999999989</v>
      </c>
      <c r="R1683" t="s">
        <v>1812</v>
      </c>
      <c r="S1683">
        <v>837.42119999999989</v>
      </c>
      <c r="W1683" s="12" t="s">
        <v>16</v>
      </c>
      <c r="X1683" s="12" t="s">
        <v>1530</v>
      </c>
      <c r="Y1683">
        <v>837.42119999999989</v>
      </c>
      <c r="AF1683">
        <v>837.42119999999989</v>
      </c>
      <c r="AG1683" t="s">
        <v>1742</v>
      </c>
    </row>
    <row r="1684" spans="1:33" x14ac:dyDescent="0.3">
      <c r="A1684" t="s">
        <v>753</v>
      </c>
      <c r="B1684" s="2">
        <v>45664</v>
      </c>
      <c r="C1684">
        <v>2439.2984000000001</v>
      </c>
      <c r="D1684" t="s">
        <v>1809</v>
      </c>
      <c r="E1684">
        <v>41</v>
      </c>
      <c r="F1684" t="s">
        <v>16</v>
      </c>
      <c r="G1684" t="s">
        <v>1541</v>
      </c>
      <c r="H1684" t="s">
        <v>1742</v>
      </c>
      <c r="L1684" s="2">
        <v>45664</v>
      </c>
      <c r="M1684">
        <v>2439.2984000000001</v>
      </c>
      <c r="R1684" t="s">
        <v>1809</v>
      </c>
      <c r="S1684">
        <v>2439.2984000000001</v>
      </c>
      <c r="W1684" s="11" t="s">
        <v>16</v>
      </c>
      <c r="X1684" s="11" t="s">
        <v>1541</v>
      </c>
      <c r="Y1684">
        <v>2439.2984000000001</v>
      </c>
      <c r="AF1684">
        <v>2439.2984000000001</v>
      </c>
      <c r="AG1684" t="s">
        <v>1742</v>
      </c>
    </row>
    <row r="1685" spans="1:33" x14ac:dyDescent="0.3">
      <c r="A1685" t="s">
        <v>359</v>
      </c>
      <c r="B1685" s="2">
        <v>45475</v>
      </c>
      <c r="C1685">
        <v>111.1434</v>
      </c>
      <c r="D1685" t="s">
        <v>1812</v>
      </c>
      <c r="E1685">
        <v>21</v>
      </c>
      <c r="F1685" t="s">
        <v>9</v>
      </c>
      <c r="G1685" t="s">
        <v>1530</v>
      </c>
      <c r="H1685" t="s">
        <v>1746</v>
      </c>
      <c r="L1685" s="2">
        <v>45475</v>
      </c>
      <c r="M1685">
        <v>111.1434</v>
      </c>
      <c r="R1685" t="s">
        <v>1812</v>
      </c>
      <c r="S1685">
        <v>111.1434</v>
      </c>
      <c r="W1685" s="12" t="s">
        <v>9</v>
      </c>
      <c r="X1685" s="12" t="s">
        <v>1530</v>
      </c>
      <c r="Y1685">
        <v>111.1434</v>
      </c>
      <c r="AF1685">
        <v>111.1434</v>
      </c>
      <c r="AG1685" t="s">
        <v>1746</v>
      </c>
    </row>
    <row r="1686" spans="1:33" x14ac:dyDescent="0.3">
      <c r="A1686" t="s">
        <v>60</v>
      </c>
      <c r="B1686" s="2">
        <v>45845</v>
      </c>
      <c r="C1686">
        <v>2083.8663999999999</v>
      </c>
      <c r="D1686" t="s">
        <v>1812</v>
      </c>
      <c r="E1686">
        <v>32</v>
      </c>
      <c r="F1686" t="s">
        <v>16</v>
      </c>
      <c r="G1686" t="s">
        <v>1546</v>
      </c>
      <c r="H1686" t="s">
        <v>1742</v>
      </c>
      <c r="L1686" s="2">
        <v>45845</v>
      </c>
      <c r="M1686">
        <v>2083.8663999999999</v>
      </c>
      <c r="R1686" t="s">
        <v>1812</v>
      </c>
      <c r="S1686">
        <v>2083.8663999999999</v>
      </c>
      <c r="W1686" s="11" t="s">
        <v>16</v>
      </c>
      <c r="X1686" s="11" t="s">
        <v>1546</v>
      </c>
      <c r="Y1686">
        <v>2083.8663999999999</v>
      </c>
      <c r="AF1686">
        <v>2083.8663999999999</v>
      </c>
      <c r="AG1686" t="s">
        <v>1742</v>
      </c>
    </row>
    <row r="1687" spans="1:33" x14ac:dyDescent="0.3">
      <c r="A1687" t="s">
        <v>1479</v>
      </c>
      <c r="B1687" s="2">
        <v>45446</v>
      </c>
      <c r="C1687">
        <v>1802.1120000000001</v>
      </c>
      <c r="D1687" t="s">
        <v>1809</v>
      </c>
      <c r="E1687">
        <v>36</v>
      </c>
      <c r="F1687" t="s">
        <v>16</v>
      </c>
      <c r="G1687" t="s">
        <v>1549</v>
      </c>
      <c r="H1687" t="s">
        <v>1742</v>
      </c>
      <c r="L1687" s="2">
        <v>45446</v>
      </c>
      <c r="M1687">
        <v>1802.1120000000001</v>
      </c>
      <c r="R1687" t="s">
        <v>1809</v>
      </c>
      <c r="S1687">
        <v>1802.1120000000001</v>
      </c>
      <c r="W1687" s="12" t="s">
        <v>16</v>
      </c>
      <c r="X1687" s="12" t="s">
        <v>1549</v>
      </c>
      <c r="Y1687">
        <v>1802.1120000000001</v>
      </c>
      <c r="AF1687">
        <v>1802.1120000000001</v>
      </c>
      <c r="AG1687" t="s">
        <v>1742</v>
      </c>
    </row>
    <row r="1688" spans="1:33" x14ac:dyDescent="0.3">
      <c r="A1688" t="s">
        <v>1101</v>
      </c>
      <c r="B1688" s="2">
        <v>45761</v>
      </c>
      <c r="C1688">
        <v>1701.7506000000001</v>
      </c>
      <c r="D1688" t="s">
        <v>1807</v>
      </c>
      <c r="E1688">
        <v>54</v>
      </c>
      <c r="F1688" t="s">
        <v>9</v>
      </c>
      <c r="G1688" t="s">
        <v>1546</v>
      </c>
      <c r="H1688" t="s">
        <v>1742</v>
      </c>
      <c r="L1688" s="2">
        <v>45761</v>
      </c>
      <c r="M1688">
        <v>1701.7506000000001</v>
      </c>
      <c r="R1688" t="s">
        <v>1807</v>
      </c>
      <c r="S1688">
        <v>1701.7506000000001</v>
      </c>
      <c r="W1688" s="11" t="s">
        <v>9</v>
      </c>
      <c r="X1688" s="11" t="s">
        <v>1546</v>
      </c>
      <c r="Y1688">
        <v>1701.7506000000001</v>
      </c>
      <c r="AF1688">
        <v>1701.7506000000001</v>
      </c>
      <c r="AG1688" t="s">
        <v>1742</v>
      </c>
    </row>
    <row r="1689" spans="1:33" x14ac:dyDescent="0.3">
      <c r="A1689" t="s">
        <v>212</v>
      </c>
      <c r="B1689" s="2">
        <v>45363</v>
      </c>
      <c r="C1689">
        <v>1554.5838000000001</v>
      </c>
      <c r="D1689" t="s">
        <v>1809</v>
      </c>
      <c r="E1689">
        <v>51</v>
      </c>
      <c r="F1689" t="s">
        <v>9</v>
      </c>
      <c r="G1689" t="s">
        <v>1527</v>
      </c>
      <c r="H1689" t="s">
        <v>1742</v>
      </c>
      <c r="L1689" s="2">
        <v>45363</v>
      </c>
      <c r="M1689">
        <v>1554.5838000000001</v>
      </c>
      <c r="R1689" t="s">
        <v>1809</v>
      </c>
      <c r="S1689">
        <v>1554.5838000000001</v>
      </c>
      <c r="W1689" s="12" t="s">
        <v>9</v>
      </c>
      <c r="X1689" s="12" t="s">
        <v>1527</v>
      </c>
      <c r="Y1689">
        <v>1554.5838000000001</v>
      </c>
      <c r="AF1689">
        <v>1554.5838000000001</v>
      </c>
      <c r="AG1689" t="s">
        <v>1742</v>
      </c>
    </row>
    <row r="1690" spans="1:33" x14ac:dyDescent="0.3">
      <c r="A1690" t="s">
        <v>667</v>
      </c>
      <c r="B1690" s="2">
        <v>45420</v>
      </c>
      <c r="C1690">
        <v>53.817999999999998</v>
      </c>
      <c r="D1690" t="s">
        <v>1809</v>
      </c>
      <c r="E1690">
        <v>28</v>
      </c>
      <c r="F1690" t="s">
        <v>16</v>
      </c>
      <c r="G1690" t="s">
        <v>1527</v>
      </c>
      <c r="H1690" t="s">
        <v>1742</v>
      </c>
      <c r="L1690" s="2">
        <v>45420</v>
      </c>
      <c r="M1690">
        <v>53.817999999999998</v>
      </c>
      <c r="R1690" t="s">
        <v>1809</v>
      </c>
      <c r="S1690">
        <v>53.817999999999998</v>
      </c>
      <c r="W1690" s="11" t="s">
        <v>16</v>
      </c>
      <c r="X1690" s="11" t="s">
        <v>1527</v>
      </c>
      <c r="Y1690">
        <v>53.817999999999998</v>
      </c>
      <c r="AF1690">
        <v>53.817999999999998</v>
      </c>
      <c r="AG1690" t="s">
        <v>1742</v>
      </c>
    </row>
    <row r="1691" spans="1:33" x14ac:dyDescent="0.3">
      <c r="A1691" t="s">
        <v>137</v>
      </c>
      <c r="B1691" s="2">
        <v>45536</v>
      </c>
      <c r="C1691">
        <v>2671.74</v>
      </c>
      <c r="D1691" t="s">
        <v>1812</v>
      </c>
      <c r="E1691">
        <v>52</v>
      </c>
      <c r="F1691" t="s">
        <v>9</v>
      </c>
      <c r="G1691" t="s">
        <v>1549</v>
      </c>
      <c r="H1691" t="s">
        <v>1742</v>
      </c>
      <c r="L1691" s="2">
        <v>45536</v>
      </c>
      <c r="M1691">
        <v>2671.74</v>
      </c>
      <c r="R1691" t="s">
        <v>1812</v>
      </c>
      <c r="S1691">
        <v>2671.74</v>
      </c>
      <c r="W1691" s="12" t="s">
        <v>9</v>
      </c>
      <c r="X1691" s="12" t="s">
        <v>1549</v>
      </c>
      <c r="Y1691">
        <v>2671.74</v>
      </c>
      <c r="AF1691">
        <v>2671.74</v>
      </c>
      <c r="AG1691" t="s">
        <v>1742</v>
      </c>
    </row>
    <row r="1692" spans="1:33" x14ac:dyDescent="0.3">
      <c r="A1692" t="s">
        <v>262</v>
      </c>
      <c r="B1692" s="2">
        <v>45445</v>
      </c>
      <c r="C1692">
        <v>497.16419999999999</v>
      </c>
      <c r="D1692" t="s">
        <v>1809</v>
      </c>
      <c r="E1692">
        <v>56</v>
      </c>
      <c r="F1692" t="s">
        <v>16</v>
      </c>
      <c r="G1692" t="s">
        <v>1527</v>
      </c>
      <c r="H1692" t="s">
        <v>1746</v>
      </c>
      <c r="L1692" s="2">
        <v>45445</v>
      </c>
      <c r="M1692">
        <v>497.16419999999999</v>
      </c>
      <c r="R1692" t="s">
        <v>1809</v>
      </c>
      <c r="S1692">
        <v>497.16419999999999</v>
      </c>
      <c r="W1692" s="11" t="s">
        <v>16</v>
      </c>
      <c r="X1692" s="11" t="s">
        <v>1527</v>
      </c>
      <c r="Y1692">
        <v>497.16419999999999</v>
      </c>
      <c r="AF1692">
        <v>497.16419999999999</v>
      </c>
      <c r="AG1692" t="s">
        <v>1746</v>
      </c>
    </row>
    <row r="1693" spans="1:33" x14ac:dyDescent="0.3">
      <c r="A1693" t="s">
        <v>1208</v>
      </c>
      <c r="B1693" s="2">
        <v>45230</v>
      </c>
      <c r="C1693">
        <v>605.76</v>
      </c>
      <c r="D1693" t="s">
        <v>1807</v>
      </c>
      <c r="E1693">
        <v>46</v>
      </c>
      <c r="F1693" t="s">
        <v>9</v>
      </c>
      <c r="G1693" t="s">
        <v>1541</v>
      </c>
      <c r="H1693" t="s">
        <v>1742</v>
      </c>
      <c r="L1693" s="2">
        <v>45230</v>
      </c>
      <c r="M1693">
        <v>605.76</v>
      </c>
      <c r="R1693" t="s">
        <v>1807</v>
      </c>
      <c r="S1693">
        <v>605.76</v>
      </c>
      <c r="W1693" s="12" t="s">
        <v>9</v>
      </c>
      <c r="X1693" s="12" t="s">
        <v>1541</v>
      </c>
      <c r="Y1693">
        <v>605.76</v>
      </c>
      <c r="AF1693">
        <v>605.76</v>
      </c>
      <c r="AG1693" t="s">
        <v>1742</v>
      </c>
    </row>
    <row r="1694" spans="1:33" x14ac:dyDescent="0.3">
      <c r="A1694" t="s">
        <v>1214</v>
      </c>
      <c r="B1694" s="2">
        <v>45916</v>
      </c>
      <c r="C1694">
        <v>3502.9688000000001</v>
      </c>
      <c r="D1694" t="s">
        <v>1812</v>
      </c>
      <c r="E1694">
        <v>43</v>
      </c>
      <c r="F1694" t="s">
        <v>16</v>
      </c>
      <c r="G1694" t="s">
        <v>1527</v>
      </c>
      <c r="H1694" t="s">
        <v>1742</v>
      </c>
      <c r="L1694" s="2">
        <v>45916</v>
      </c>
      <c r="M1694">
        <v>3502.9688000000001</v>
      </c>
      <c r="R1694" t="s">
        <v>1812</v>
      </c>
      <c r="S1694">
        <v>3502.9688000000001</v>
      </c>
      <c r="W1694" s="11" t="s">
        <v>16</v>
      </c>
      <c r="X1694" s="11" t="s">
        <v>1527</v>
      </c>
      <c r="Y1694">
        <v>3502.9688000000001</v>
      </c>
      <c r="AF1694">
        <v>3502.9688000000001</v>
      </c>
      <c r="AG1694" t="s">
        <v>1742</v>
      </c>
    </row>
    <row r="1695" spans="1:33" x14ac:dyDescent="0.3">
      <c r="A1695" t="s">
        <v>203</v>
      </c>
      <c r="B1695" s="2">
        <v>45353</v>
      </c>
      <c r="C1695">
        <v>271.17919999999998</v>
      </c>
      <c r="D1695" t="s">
        <v>1807</v>
      </c>
      <c r="E1695">
        <v>56</v>
      </c>
      <c r="F1695" t="s">
        <v>16</v>
      </c>
      <c r="G1695" t="s">
        <v>1527</v>
      </c>
      <c r="H1695" t="s">
        <v>1742</v>
      </c>
      <c r="L1695" s="2">
        <v>45353</v>
      </c>
      <c r="M1695">
        <v>271.17919999999998</v>
      </c>
      <c r="R1695" t="s">
        <v>1807</v>
      </c>
      <c r="S1695">
        <v>271.17919999999998</v>
      </c>
      <c r="W1695" s="12" t="s">
        <v>16</v>
      </c>
      <c r="X1695" s="12" t="s">
        <v>1527</v>
      </c>
      <c r="Y1695">
        <v>271.17919999999998</v>
      </c>
      <c r="AF1695">
        <v>271.17919999999998</v>
      </c>
      <c r="AG1695" t="s">
        <v>1742</v>
      </c>
    </row>
    <row r="1696" spans="1:33" x14ac:dyDescent="0.3">
      <c r="A1696" t="s">
        <v>1328</v>
      </c>
      <c r="B1696" s="2">
        <v>45490</v>
      </c>
      <c r="C1696">
        <v>263.04629999999997</v>
      </c>
      <c r="D1696" t="s">
        <v>1807</v>
      </c>
      <c r="E1696">
        <v>48</v>
      </c>
      <c r="F1696" t="s">
        <v>16</v>
      </c>
      <c r="G1696" t="s">
        <v>1546</v>
      </c>
      <c r="H1696" t="s">
        <v>1746</v>
      </c>
      <c r="L1696" s="2">
        <v>45490</v>
      </c>
      <c r="M1696">
        <v>263.04629999999997</v>
      </c>
      <c r="R1696" t="s">
        <v>1807</v>
      </c>
      <c r="S1696">
        <v>263.04629999999997</v>
      </c>
      <c r="W1696" s="11" t="s">
        <v>16</v>
      </c>
      <c r="X1696" s="11" t="s">
        <v>1546</v>
      </c>
      <c r="Y1696">
        <v>263.04629999999997</v>
      </c>
      <c r="AF1696">
        <v>263.04629999999997</v>
      </c>
      <c r="AG1696" t="s">
        <v>1746</v>
      </c>
    </row>
    <row r="1697" spans="1:33" x14ac:dyDescent="0.3">
      <c r="A1697" t="s">
        <v>299</v>
      </c>
      <c r="B1697" s="2">
        <v>45850</v>
      </c>
      <c r="C1697">
        <v>52.150799999999997</v>
      </c>
      <c r="D1697" t="s">
        <v>1812</v>
      </c>
      <c r="E1697">
        <v>26</v>
      </c>
      <c r="F1697" t="s">
        <v>16</v>
      </c>
      <c r="G1697" t="s">
        <v>1527</v>
      </c>
      <c r="H1697" t="s">
        <v>1746</v>
      </c>
      <c r="L1697" s="2">
        <v>45850</v>
      </c>
      <c r="M1697">
        <v>52.150799999999997</v>
      </c>
      <c r="R1697" t="s">
        <v>1812</v>
      </c>
      <c r="S1697">
        <v>52.150799999999997</v>
      </c>
      <c r="W1697" s="12" t="s">
        <v>16</v>
      </c>
      <c r="X1697" s="12" t="s">
        <v>1527</v>
      </c>
      <c r="Y1697">
        <v>52.150799999999997</v>
      </c>
      <c r="AF1697">
        <v>52.150799999999997</v>
      </c>
      <c r="AG1697" t="s">
        <v>1746</v>
      </c>
    </row>
    <row r="1698" spans="1:33" x14ac:dyDescent="0.3">
      <c r="A1698" t="s">
        <v>1282</v>
      </c>
      <c r="B1698" s="2">
        <v>45515</v>
      </c>
      <c r="C1698">
        <v>843.02359999999999</v>
      </c>
      <c r="D1698" t="s">
        <v>1809</v>
      </c>
      <c r="E1698">
        <v>60</v>
      </c>
      <c r="F1698" t="s">
        <v>16</v>
      </c>
      <c r="G1698" t="s">
        <v>1546</v>
      </c>
      <c r="H1698" t="s">
        <v>1742</v>
      </c>
      <c r="L1698" s="2">
        <v>45515</v>
      </c>
      <c r="M1698">
        <v>843.02359999999999</v>
      </c>
      <c r="R1698" t="s">
        <v>1809</v>
      </c>
      <c r="S1698">
        <v>843.02359999999999</v>
      </c>
      <c r="W1698" s="11" t="s">
        <v>16</v>
      </c>
      <c r="X1698" s="11" t="s">
        <v>1546</v>
      </c>
      <c r="Y1698">
        <v>843.02359999999999</v>
      </c>
      <c r="AF1698">
        <v>843.02359999999999</v>
      </c>
      <c r="AG1698" t="s">
        <v>1742</v>
      </c>
    </row>
    <row r="1699" spans="1:33" x14ac:dyDescent="0.3">
      <c r="A1699" t="s">
        <v>147</v>
      </c>
      <c r="B1699" s="2">
        <v>45322</v>
      </c>
      <c r="C1699">
        <v>223.51599999999999</v>
      </c>
      <c r="D1699" t="s">
        <v>1809</v>
      </c>
      <c r="E1699">
        <v>35</v>
      </c>
      <c r="F1699" t="s">
        <v>16</v>
      </c>
      <c r="G1699" t="s">
        <v>1530</v>
      </c>
      <c r="H1699" t="s">
        <v>1742</v>
      </c>
      <c r="L1699" s="2">
        <v>45322</v>
      </c>
      <c r="M1699">
        <v>223.51599999999999</v>
      </c>
      <c r="R1699" t="s">
        <v>1809</v>
      </c>
      <c r="S1699">
        <v>223.51599999999999</v>
      </c>
      <c r="W1699" s="12" t="s">
        <v>16</v>
      </c>
      <c r="X1699" s="12" t="s">
        <v>1530</v>
      </c>
      <c r="Y1699">
        <v>223.51599999999999</v>
      </c>
      <c r="AF1699">
        <v>223.51599999999999</v>
      </c>
      <c r="AG1699" t="s">
        <v>1742</v>
      </c>
    </row>
    <row r="1700" spans="1:33" x14ac:dyDescent="0.3">
      <c r="A1700" t="s">
        <v>1279</v>
      </c>
      <c r="B1700" s="2">
        <v>45542</v>
      </c>
      <c r="C1700">
        <v>1124.3964000000001</v>
      </c>
      <c r="D1700" t="s">
        <v>1809</v>
      </c>
      <c r="E1700">
        <v>64</v>
      </c>
      <c r="F1700" t="s">
        <v>16</v>
      </c>
      <c r="G1700" t="s">
        <v>1546</v>
      </c>
      <c r="H1700" t="s">
        <v>1742</v>
      </c>
      <c r="L1700" s="2">
        <v>45542</v>
      </c>
      <c r="M1700">
        <v>1124.3964000000001</v>
      </c>
      <c r="R1700" t="s">
        <v>1809</v>
      </c>
      <c r="S1700">
        <v>1124.3964000000001</v>
      </c>
      <c r="W1700" s="11" t="s">
        <v>16</v>
      </c>
      <c r="X1700" s="11" t="s">
        <v>1546</v>
      </c>
      <c r="Y1700">
        <v>1124.3964000000001</v>
      </c>
      <c r="AF1700">
        <v>1124.3964000000001</v>
      </c>
      <c r="AG1700" t="s">
        <v>1742</v>
      </c>
    </row>
    <row r="1701" spans="1:33" x14ac:dyDescent="0.3">
      <c r="A1701" t="s">
        <v>249</v>
      </c>
      <c r="B1701" s="2">
        <v>45675</v>
      </c>
      <c r="C1701">
        <v>1618.6016</v>
      </c>
      <c r="D1701" t="s">
        <v>1812</v>
      </c>
      <c r="E1701">
        <v>24</v>
      </c>
      <c r="F1701" t="s">
        <v>16</v>
      </c>
      <c r="G1701" t="s">
        <v>1527</v>
      </c>
      <c r="H1701" t="s">
        <v>1742</v>
      </c>
      <c r="L1701" s="2">
        <v>45675</v>
      </c>
      <c r="M1701">
        <v>1618.6016</v>
      </c>
      <c r="R1701" t="s">
        <v>1812</v>
      </c>
      <c r="S1701">
        <v>1618.6016</v>
      </c>
      <c r="W1701" s="12" t="s">
        <v>16</v>
      </c>
      <c r="X1701" s="12" t="s">
        <v>1527</v>
      </c>
      <c r="Y1701">
        <v>1618.6016</v>
      </c>
      <c r="AF1701">
        <v>1618.6016</v>
      </c>
      <c r="AG1701" t="s">
        <v>1742</v>
      </c>
    </row>
    <row r="1702" spans="1:33" x14ac:dyDescent="0.3">
      <c r="A1702" t="s">
        <v>492</v>
      </c>
      <c r="B1702" s="2">
        <v>45333</v>
      </c>
      <c r="C1702">
        <v>1759.434</v>
      </c>
      <c r="D1702" t="s">
        <v>1809</v>
      </c>
      <c r="E1702">
        <v>42</v>
      </c>
      <c r="F1702" t="s">
        <v>16</v>
      </c>
      <c r="G1702" t="s">
        <v>1546</v>
      </c>
      <c r="H1702" t="s">
        <v>1746</v>
      </c>
      <c r="L1702" s="2">
        <v>45333</v>
      </c>
      <c r="M1702">
        <v>1759.434</v>
      </c>
      <c r="R1702" t="s">
        <v>1809</v>
      </c>
      <c r="S1702">
        <v>1759.434</v>
      </c>
      <c r="W1702" s="11" t="s">
        <v>16</v>
      </c>
      <c r="X1702" s="11" t="s">
        <v>1546</v>
      </c>
      <c r="Y1702">
        <v>1759.434</v>
      </c>
      <c r="AF1702">
        <v>1759.434</v>
      </c>
      <c r="AG1702" t="s">
        <v>1746</v>
      </c>
    </row>
    <row r="1703" spans="1:33" x14ac:dyDescent="0.3">
      <c r="A1703" t="s">
        <v>1410</v>
      </c>
      <c r="B1703" s="2">
        <v>45819</v>
      </c>
      <c r="C1703">
        <v>2190.1320000000001</v>
      </c>
      <c r="D1703" t="s">
        <v>1812</v>
      </c>
      <c r="E1703">
        <v>36</v>
      </c>
      <c r="F1703" t="s">
        <v>16</v>
      </c>
      <c r="G1703" t="s">
        <v>1530</v>
      </c>
      <c r="H1703" t="s">
        <v>1742</v>
      </c>
      <c r="L1703" s="2">
        <v>45819</v>
      </c>
      <c r="M1703">
        <v>2190.1320000000001</v>
      </c>
      <c r="R1703" t="s">
        <v>1812</v>
      </c>
      <c r="S1703">
        <v>2190.1320000000001</v>
      </c>
      <c r="W1703" s="12" t="s">
        <v>16</v>
      </c>
      <c r="X1703" s="12" t="s">
        <v>1530</v>
      </c>
      <c r="Y1703">
        <v>2190.1320000000001</v>
      </c>
      <c r="AF1703">
        <v>2190.1320000000001</v>
      </c>
      <c r="AG1703" t="s">
        <v>1742</v>
      </c>
    </row>
    <row r="1704" spans="1:33" x14ac:dyDescent="0.3">
      <c r="A1704" t="s">
        <v>700</v>
      </c>
      <c r="B1704" s="2">
        <v>45268</v>
      </c>
      <c r="C1704">
        <v>1892.7167999999999</v>
      </c>
      <c r="D1704" t="s">
        <v>1809</v>
      </c>
      <c r="E1704">
        <v>46</v>
      </c>
      <c r="F1704" t="s">
        <v>9</v>
      </c>
      <c r="G1704" t="s">
        <v>1530</v>
      </c>
      <c r="H1704" t="s">
        <v>1746</v>
      </c>
      <c r="L1704" s="2">
        <v>45268</v>
      </c>
      <c r="M1704">
        <v>1892.7167999999999</v>
      </c>
      <c r="R1704" t="s">
        <v>1809</v>
      </c>
      <c r="S1704">
        <v>1892.7167999999999</v>
      </c>
      <c r="W1704" s="11" t="s">
        <v>9</v>
      </c>
      <c r="X1704" s="11" t="s">
        <v>1530</v>
      </c>
      <c r="Y1704">
        <v>1892.7167999999999</v>
      </c>
      <c r="AF1704">
        <v>1892.7167999999999</v>
      </c>
      <c r="AG1704" t="s">
        <v>1746</v>
      </c>
    </row>
    <row r="1705" spans="1:33" x14ac:dyDescent="0.3">
      <c r="A1705" t="s">
        <v>611</v>
      </c>
      <c r="B1705" s="2">
        <v>45521</v>
      </c>
      <c r="C1705">
        <v>178.51400000000001</v>
      </c>
      <c r="D1705" t="s">
        <v>1807</v>
      </c>
      <c r="E1705">
        <v>42</v>
      </c>
      <c r="F1705" t="s">
        <v>9</v>
      </c>
      <c r="G1705" t="s">
        <v>1527</v>
      </c>
      <c r="H1705" t="s">
        <v>1742</v>
      </c>
      <c r="L1705" s="2">
        <v>45521</v>
      </c>
      <c r="M1705">
        <v>178.51400000000001</v>
      </c>
      <c r="R1705" t="s">
        <v>1807</v>
      </c>
      <c r="S1705">
        <v>178.51400000000001</v>
      </c>
      <c r="W1705" s="12" t="s">
        <v>9</v>
      </c>
      <c r="X1705" s="12" t="s">
        <v>1527</v>
      </c>
      <c r="Y1705">
        <v>178.51400000000001</v>
      </c>
      <c r="AF1705">
        <v>178.51400000000001</v>
      </c>
      <c r="AG1705" t="s">
        <v>1742</v>
      </c>
    </row>
    <row r="1706" spans="1:33" x14ac:dyDescent="0.3">
      <c r="A1706" t="s">
        <v>337</v>
      </c>
      <c r="B1706" s="2">
        <v>45693</v>
      </c>
      <c r="C1706">
        <v>152.0343</v>
      </c>
      <c r="D1706" t="s">
        <v>1809</v>
      </c>
      <c r="E1706">
        <v>30</v>
      </c>
      <c r="F1706" t="s">
        <v>16</v>
      </c>
      <c r="G1706" t="s">
        <v>1549</v>
      </c>
      <c r="H1706" t="s">
        <v>1767</v>
      </c>
      <c r="L1706" s="2">
        <v>45693</v>
      </c>
      <c r="M1706">
        <v>152.0343</v>
      </c>
      <c r="R1706" t="s">
        <v>1809</v>
      </c>
      <c r="S1706">
        <v>152.0343</v>
      </c>
      <c r="W1706" s="11" t="s">
        <v>16</v>
      </c>
      <c r="X1706" s="11" t="s">
        <v>1549</v>
      </c>
      <c r="Y1706">
        <v>152.0343</v>
      </c>
      <c r="AF1706">
        <v>152.0343</v>
      </c>
      <c r="AG1706" t="s">
        <v>1767</v>
      </c>
    </row>
    <row r="1707" spans="1:33" x14ac:dyDescent="0.3">
      <c r="A1707" t="s">
        <v>3941</v>
      </c>
      <c r="B1707" s="2">
        <v>45734</v>
      </c>
      <c r="C1707">
        <v>2282.2626</v>
      </c>
      <c r="D1707" t="s">
        <v>1807</v>
      </c>
      <c r="E1707">
        <v>34</v>
      </c>
      <c r="F1707" t="s">
        <v>9</v>
      </c>
      <c r="G1707" t="s">
        <v>1546</v>
      </c>
      <c r="H1707" t="s">
        <v>1742</v>
      </c>
      <c r="L1707" s="2">
        <v>45734</v>
      </c>
      <c r="M1707">
        <v>2282.2626</v>
      </c>
      <c r="R1707" t="s">
        <v>1807</v>
      </c>
      <c r="S1707">
        <v>2282.2626</v>
      </c>
      <c r="W1707" s="12" t="s">
        <v>9</v>
      </c>
      <c r="X1707" s="12" t="s">
        <v>1546</v>
      </c>
      <c r="Y1707">
        <v>2282.2626</v>
      </c>
      <c r="AF1707">
        <v>2282.2626</v>
      </c>
      <c r="AG1707" t="s">
        <v>1742</v>
      </c>
    </row>
    <row r="1708" spans="1:33" x14ac:dyDescent="0.3">
      <c r="A1708" t="s">
        <v>212</v>
      </c>
      <c r="B1708" s="2">
        <v>45377</v>
      </c>
      <c r="C1708">
        <v>1990.0350000000001</v>
      </c>
      <c r="D1708" t="s">
        <v>1807</v>
      </c>
      <c r="E1708">
        <v>51</v>
      </c>
      <c r="F1708" t="s">
        <v>9</v>
      </c>
      <c r="G1708" t="s">
        <v>1549</v>
      </c>
      <c r="H1708" t="s">
        <v>1767</v>
      </c>
      <c r="L1708" s="2">
        <v>45377</v>
      </c>
      <c r="M1708">
        <v>1990.0350000000001</v>
      </c>
      <c r="R1708" t="s">
        <v>1807</v>
      </c>
      <c r="S1708">
        <v>1990.0350000000001</v>
      </c>
      <c r="W1708" s="11" t="s">
        <v>9</v>
      </c>
      <c r="X1708" s="11" t="s">
        <v>1549</v>
      </c>
      <c r="Y1708">
        <v>1990.0350000000001</v>
      </c>
      <c r="AF1708">
        <v>1990.0350000000001</v>
      </c>
      <c r="AG1708" t="s">
        <v>1767</v>
      </c>
    </row>
    <row r="1709" spans="1:33" x14ac:dyDescent="0.3">
      <c r="A1709" t="s">
        <v>1340</v>
      </c>
      <c r="B1709" s="2">
        <v>45778</v>
      </c>
      <c r="C1709">
        <v>1366.8979999999999</v>
      </c>
      <c r="D1709" t="s">
        <v>1809</v>
      </c>
      <c r="E1709">
        <v>59</v>
      </c>
      <c r="F1709" t="s">
        <v>16</v>
      </c>
      <c r="G1709" t="s">
        <v>1546</v>
      </c>
      <c r="H1709" t="s">
        <v>1742</v>
      </c>
      <c r="L1709" s="2">
        <v>45778</v>
      </c>
      <c r="M1709">
        <v>1366.8979999999999</v>
      </c>
      <c r="R1709" t="s">
        <v>1809</v>
      </c>
      <c r="S1709">
        <v>1366.8979999999999</v>
      </c>
      <c r="W1709" s="12" t="s">
        <v>16</v>
      </c>
      <c r="X1709" s="12" t="s">
        <v>1546</v>
      </c>
      <c r="Y1709">
        <v>1366.8979999999999</v>
      </c>
      <c r="AF1709">
        <v>1366.8979999999999</v>
      </c>
      <c r="AG1709" t="s">
        <v>1742</v>
      </c>
    </row>
    <row r="1710" spans="1:33" x14ac:dyDescent="0.3">
      <c r="A1710" t="s">
        <v>193</v>
      </c>
      <c r="B1710" s="2">
        <v>45715</v>
      </c>
      <c r="C1710">
        <v>1885.5162</v>
      </c>
      <c r="D1710" t="s">
        <v>1807</v>
      </c>
      <c r="E1710">
        <v>55</v>
      </c>
      <c r="F1710" t="s">
        <v>9</v>
      </c>
      <c r="G1710" t="s">
        <v>1549</v>
      </c>
      <c r="H1710" t="s">
        <v>1746</v>
      </c>
      <c r="L1710" s="2">
        <v>45715</v>
      </c>
      <c r="M1710">
        <v>1885.5162</v>
      </c>
      <c r="R1710" t="s">
        <v>1807</v>
      </c>
      <c r="S1710">
        <v>1885.5162</v>
      </c>
      <c r="W1710" s="11" t="s">
        <v>9</v>
      </c>
      <c r="X1710" s="11" t="s">
        <v>1549</v>
      </c>
      <c r="Y1710">
        <v>1885.5162</v>
      </c>
      <c r="AF1710">
        <v>1885.5162</v>
      </c>
      <c r="AG1710" t="s">
        <v>1746</v>
      </c>
    </row>
    <row r="1711" spans="1:33" x14ac:dyDescent="0.3">
      <c r="A1711" t="s">
        <v>717</v>
      </c>
      <c r="B1711" s="2">
        <v>45492</v>
      </c>
      <c r="C1711">
        <v>571.33180000000004</v>
      </c>
      <c r="D1711" t="s">
        <v>1809</v>
      </c>
      <c r="E1711">
        <v>29</v>
      </c>
      <c r="F1711" t="s">
        <v>9</v>
      </c>
      <c r="G1711" t="s">
        <v>1527</v>
      </c>
      <c r="H1711" t="s">
        <v>1742</v>
      </c>
      <c r="L1711" s="2">
        <v>45492</v>
      </c>
      <c r="M1711">
        <v>571.33180000000004</v>
      </c>
      <c r="R1711" t="s">
        <v>1809</v>
      </c>
      <c r="S1711">
        <v>571.33180000000004</v>
      </c>
      <c r="W1711" s="12" t="s">
        <v>9</v>
      </c>
      <c r="X1711" s="12" t="s">
        <v>1527</v>
      </c>
      <c r="Y1711">
        <v>571.33180000000004</v>
      </c>
      <c r="AF1711">
        <v>571.33180000000004</v>
      </c>
      <c r="AG1711" t="s">
        <v>1742</v>
      </c>
    </row>
    <row r="1712" spans="1:33" x14ac:dyDescent="0.3">
      <c r="A1712" t="s">
        <v>874</v>
      </c>
      <c r="B1712" s="2">
        <v>45292</v>
      </c>
      <c r="C1712">
        <v>240.44820000000001</v>
      </c>
      <c r="D1712" t="s">
        <v>1812</v>
      </c>
      <c r="E1712">
        <v>42</v>
      </c>
      <c r="F1712" t="s">
        <v>16</v>
      </c>
      <c r="G1712" t="s">
        <v>1549</v>
      </c>
      <c r="H1712" t="s">
        <v>1742</v>
      </c>
      <c r="L1712" s="2">
        <v>45292</v>
      </c>
      <c r="M1712">
        <v>240.44820000000001</v>
      </c>
      <c r="R1712" t="s">
        <v>1812</v>
      </c>
      <c r="S1712">
        <v>240.44820000000001</v>
      </c>
      <c r="W1712" s="11" t="s">
        <v>16</v>
      </c>
      <c r="X1712" s="11" t="s">
        <v>1549</v>
      </c>
      <c r="Y1712">
        <v>240.44820000000001</v>
      </c>
      <c r="AF1712">
        <v>240.44820000000001</v>
      </c>
      <c r="AG1712" t="s">
        <v>1742</v>
      </c>
    </row>
    <row r="1713" spans="1:33" x14ac:dyDescent="0.3">
      <c r="A1713" t="s">
        <v>703</v>
      </c>
      <c r="B1713" s="2">
        <v>45316</v>
      </c>
      <c r="C1713">
        <v>502.53</v>
      </c>
      <c r="D1713" t="s">
        <v>1809</v>
      </c>
      <c r="E1713">
        <v>47</v>
      </c>
      <c r="F1713" t="s">
        <v>16</v>
      </c>
      <c r="G1713" t="s">
        <v>1527</v>
      </c>
      <c r="H1713" t="s">
        <v>1737</v>
      </c>
      <c r="L1713" s="2">
        <v>45316</v>
      </c>
      <c r="M1713">
        <v>502.53</v>
      </c>
      <c r="R1713" t="s">
        <v>1809</v>
      </c>
      <c r="S1713">
        <v>502.53</v>
      </c>
      <c r="W1713" s="12" t="s">
        <v>16</v>
      </c>
      <c r="X1713" s="12" t="s">
        <v>1527</v>
      </c>
      <c r="Y1713">
        <v>502.53</v>
      </c>
      <c r="AF1713">
        <v>502.53</v>
      </c>
      <c r="AG1713" t="s">
        <v>1737</v>
      </c>
    </row>
    <row r="1714" spans="1:33" x14ac:dyDescent="0.3">
      <c r="A1714" t="s">
        <v>276</v>
      </c>
      <c r="B1714" s="2">
        <v>45548</v>
      </c>
      <c r="C1714">
        <v>905.16559999999993</v>
      </c>
      <c r="D1714" t="s">
        <v>1812</v>
      </c>
      <c r="E1714">
        <v>29</v>
      </c>
      <c r="F1714" t="s">
        <v>9</v>
      </c>
      <c r="G1714" t="s">
        <v>1530</v>
      </c>
      <c r="H1714" t="s">
        <v>1742</v>
      </c>
      <c r="L1714" s="2">
        <v>45548</v>
      </c>
      <c r="M1714">
        <v>905.16559999999993</v>
      </c>
      <c r="R1714" t="s">
        <v>1812</v>
      </c>
      <c r="S1714">
        <v>905.16559999999993</v>
      </c>
      <c r="W1714" s="11" t="s">
        <v>9</v>
      </c>
      <c r="X1714" s="11" t="s">
        <v>1530</v>
      </c>
      <c r="Y1714">
        <v>905.16559999999993</v>
      </c>
      <c r="AF1714">
        <v>905.16559999999993</v>
      </c>
      <c r="AG1714" t="s">
        <v>1742</v>
      </c>
    </row>
    <row r="1715" spans="1:33" x14ac:dyDescent="0.3">
      <c r="A1715" t="s">
        <v>1428</v>
      </c>
      <c r="B1715" s="2">
        <v>45572</v>
      </c>
      <c r="C1715">
        <v>364.08</v>
      </c>
      <c r="D1715" t="s">
        <v>1809</v>
      </c>
      <c r="E1715">
        <v>19</v>
      </c>
      <c r="F1715" t="s">
        <v>9</v>
      </c>
      <c r="G1715" t="s">
        <v>1546</v>
      </c>
      <c r="H1715" t="s">
        <v>1742</v>
      </c>
      <c r="L1715" s="2">
        <v>45572</v>
      </c>
      <c r="M1715">
        <v>364.08</v>
      </c>
      <c r="R1715" t="s">
        <v>1809</v>
      </c>
      <c r="S1715">
        <v>364.08</v>
      </c>
      <c r="W1715" s="12" t="s">
        <v>9</v>
      </c>
      <c r="X1715" s="12" t="s">
        <v>1546</v>
      </c>
      <c r="Y1715">
        <v>364.08</v>
      </c>
      <c r="AF1715">
        <v>364.08</v>
      </c>
      <c r="AG1715" t="s">
        <v>1742</v>
      </c>
    </row>
    <row r="1716" spans="1:33" x14ac:dyDescent="0.3">
      <c r="A1716" t="s">
        <v>1476</v>
      </c>
      <c r="B1716" s="2">
        <v>45347</v>
      </c>
      <c r="C1716">
        <v>2925.7312000000002</v>
      </c>
      <c r="D1716" t="s">
        <v>1807</v>
      </c>
      <c r="E1716">
        <v>22</v>
      </c>
      <c r="F1716" t="s">
        <v>16</v>
      </c>
      <c r="G1716" t="s">
        <v>1530</v>
      </c>
      <c r="H1716" t="s">
        <v>1742</v>
      </c>
      <c r="L1716" s="2">
        <v>45347</v>
      </c>
      <c r="M1716">
        <v>2925.7312000000002</v>
      </c>
      <c r="R1716" t="s">
        <v>1807</v>
      </c>
      <c r="S1716">
        <v>2925.7312000000002</v>
      </c>
      <c r="W1716" s="11" t="s">
        <v>16</v>
      </c>
      <c r="X1716" s="11" t="s">
        <v>1530</v>
      </c>
      <c r="Y1716">
        <v>2925.7312000000002</v>
      </c>
      <c r="AF1716">
        <v>2925.7312000000002</v>
      </c>
      <c r="AG1716" t="s">
        <v>1742</v>
      </c>
    </row>
    <row r="1717" spans="1:33" x14ac:dyDescent="0.3">
      <c r="A1717" t="s">
        <v>1328</v>
      </c>
      <c r="B1717" s="2">
        <v>45823</v>
      </c>
      <c r="C1717">
        <v>111.1636</v>
      </c>
      <c r="D1717" t="s">
        <v>1807</v>
      </c>
      <c r="E1717">
        <v>48</v>
      </c>
      <c r="F1717" t="s">
        <v>16</v>
      </c>
      <c r="G1717" t="s">
        <v>1541</v>
      </c>
      <c r="H1717" t="s">
        <v>1742</v>
      </c>
      <c r="L1717" s="2">
        <v>45823</v>
      </c>
      <c r="M1717">
        <v>111.1636</v>
      </c>
      <c r="R1717" t="s">
        <v>1807</v>
      </c>
      <c r="S1717">
        <v>111.1636</v>
      </c>
      <c r="W1717" s="12" t="s">
        <v>16</v>
      </c>
      <c r="X1717" s="12" t="s">
        <v>1541</v>
      </c>
      <c r="Y1717">
        <v>111.1636</v>
      </c>
      <c r="AF1717">
        <v>111.1636</v>
      </c>
      <c r="AG1717" t="s">
        <v>1742</v>
      </c>
    </row>
    <row r="1718" spans="1:33" x14ac:dyDescent="0.3">
      <c r="A1718" t="s">
        <v>1230</v>
      </c>
      <c r="B1718" s="2">
        <v>45394</v>
      </c>
      <c r="C1718">
        <v>97.000199999999992</v>
      </c>
      <c r="D1718" t="s">
        <v>1812</v>
      </c>
      <c r="E1718">
        <v>57</v>
      </c>
      <c r="F1718" t="s">
        <v>16</v>
      </c>
      <c r="G1718" t="s">
        <v>1546</v>
      </c>
      <c r="H1718" t="s">
        <v>1742</v>
      </c>
      <c r="L1718" s="2">
        <v>45394</v>
      </c>
      <c r="M1718">
        <v>97.000199999999992</v>
      </c>
      <c r="R1718" t="s">
        <v>1812</v>
      </c>
      <c r="S1718">
        <v>97.000199999999992</v>
      </c>
      <c r="W1718" s="11" t="s">
        <v>16</v>
      </c>
      <c r="X1718" s="11" t="s">
        <v>1546</v>
      </c>
      <c r="Y1718">
        <v>97.000199999999992</v>
      </c>
      <c r="AF1718">
        <v>97.000199999999992</v>
      </c>
      <c r="AG1718" t="s">
        <v>1742</v>
      </c>
    </row>
    <row r="1719" spans="1:33" x14ac:dyDescent="0.3">
      <c r="A1719" t="s">
        <v>228</v>
      </c>
      <c r="B1719" s="2">
        <v>45265</v>
      </c>
      <c r="C1719">
        <v>1492.9516000000001</v>
      </c>
      <c r="D1719" t="s">
        <v>1809</v>
      </c>
      <c r="E1719">
        <v>51</v>
      </c>
      <c r="F1719" t="s">
        <v>9</v>
      </c>
      <c r="G1719" t="s">
        <v>1549</v>
      </c>
      <c r="H1719" t="s">
        <v>1742</v>
      </c>
      <c r="L1719" s="2">
        <v>45265</v>
      </c>
      <c r="M1719">
        <v>1492.9516000000001</v>
      </c>
      <c r="R1719" t="s">
        <v>1809</v>
      </c>
      <c r="S1719">
        <v>1492.9516000000001</v>
      </c>
      <c r="W1719" s="12" t="s">
        <v>9</v>
      </c>
      <c r="X1719" s="12" t="s">
        <v>1549</v>
      </c>
      <c r="Y1719">
        <v>1492.9516000000001</v>
      </c>
      <c r="AF1719">
        <v>1492.9516000000001</v>
      </c>
      <c r="AG1719" t="s">
        <v>1742</v>
      </c>
    </row>
    <row r="1720" spans="1:33" x14ac:dyDescent="0.3">
      <c r="A1720" t="s">
        <v>242</v>
      </c>
      <c r="B1720" s="2">
        <v>45261</v>
      </c>
      <c r="C1720">
        <v>1136.0935999999999</v>
      </c>
      <c r="D1720" t="s">
        <v>1812</v>
      </c>
      <c r="E1720">
        <v>58</v>
      </c>
      <c r="F1720" t="s">
        <v>9</v>
      </c>
      <c r="G1720" t="s">
        <v>1527</v>
      </c>
      <c r="H1720" t="s">
        <v>1742</v>
      </c>
      <c r="L1720" s="2">
        <v>45261</v>
      </c>
      <c r="M1720">
        <v>1136.0935999999999</v>
      </c>
      <c r="R1720" t="s">
        <v>1812</v>
      </c>
      <c r="S1720">
        <v>1136.0935999999999</v>
      </c>
      <c r="W1720" s="11" t="s">
        <v>9</v>
      </c>
      <c r="X1720" s="11" t="s">
        <v>1527</v>
      </c>
      <c r="Y1720">
        <v>1136.0935999999999</v>
      </c>
      <c r="AF1720">
        <v>1136.0935999999999</v>
      </c>
      <c r="AG1720" t="s">
        <v>1742</v>
      </c>
    </row>
    <row r="1721" spans="1:33" x14ac:dyDescent="0.3">
      <c r="A1721" t="s">
        <v>41</v>
      </c>
      <c r="B1721" s="2">
        <v>45702</v>
      </c>
      <c r="C1721">
        <v>727.81799999999998</v>
      </c>
      <c r="D1721" t="s">
        <v>1809</v>
      </c>
      <c r="E1721">
        <v>53</v>
      </c>
      <c r="F1721" t="s">
        <v>16</v>
      </c>
      <c r="G1721" t="s">
        <v>1527</v>
      </c>
      <c r="H1721" t="s">
        <v>1742</v>
      </c>
      <c r="L1721" s="2">
        <v>45702</v>
      </c>
      <c r="M1721">
        <v>727.81799999999998</v>
      </c>
      <c r="R1721" t="s">
        <v>1809</v>
      </c>
      <c r="S1721">
        <v>727.81799999999998</v>
      </c>
      <c r="W1721" s="12" t="s">
        <v>16</v>
      </c>
      <c r="X1721" s="12" t="s">
        <v>1527</v>
      </c>
      <c r="Y1721">
        <v>727.81799999999998</v>
      </c>
      <c r="AF1721">
        <v>727.81799999999998</v>
      </c>
      <c r="AG1721" t="s">
        <v>1742</v>
      </c>
    </row>
    <row r="1722" spans="1:33" x14ac:dyDescent="0.3">
      <c r="A1722" t="s">
        <v>1325</v>
      </c>
      <c r="B1722" s="2">
        <v>45624</v>
      </c>
      <c r="C1722">
        <v>413.07299999999998</v>
      </c>
      <c r="D1722" t="s">
        <v>1809</v>
      </c>
      <c r="E1722">
        <v>51</v>
      </c>
      <c r="F1722" t="s">
        <v>16</v>
      </c>
      <c r="G1722" t="s">
        <v>1546</v>
      </c>
      <c r="H1722" t="s">
        <v>1742</v>
      </c>
      <c r="L1722" s="2">
        <v>45624</v>
      </c>
      <c r="M1722">
        <v>413.07299999999998</v>
      </c>
      <c r="R1722" t="s">
        <v>1809</v>
      </c>
      <c r="S1722">
        <v>413.07299999999998</v>
      </c>
      <c r="W1722" s="11" t="s">
        <v>16</v>
      </c>
      <c r="X1722" s="11" t="s">
        <v>1546</v>
      </c>
      <c r="Y1722">
        <v>413.07299999999998</v>
      </c>
      <c r="AF1722">
        <v>413.07299999999998</v>
      </c>
      <c r="AG1722" t="s">
        <v>1742</v>
      </c>
    </row>
    <row r="1723" spans="1:33" x14ac:dyDescent="0.3">
      <c r="A1723" t="s">
        <v>910</v>
      </c>
      <c r="B1723" s="2">
        <v>45736</v>
      </c>
      <c r="C1723">
        <v>922.9692</v>
      </c>
      <c r="D1723" t="s">
        <v>1807</v>
      </c>
      <c r="E1723">
        <v>52</v>
      </c>
      <c r="F1723" t="s">
        <v>16</v>
      </c>
      <c r="G1723" t="s">
        <v>1546</v>
      </c>
      <c r="H1723" t="s">
        <v>1746</v>
      </c>
      <c r="L1723" s="2">
        <v>45736</v>
      </c>
      <c r="M1723">
        <v>922.9692</v>
      </c>
      <c r="R1723" t="s">
        <v>1807</v>
      </c>
      <c r="S1723">
        <v>922.9692</v>
      </c>
      <c r="W1723" s="12" t="s">
        <v>16</v>
      </c>
      <c r="X1723" s="12" t="s">
        <v>1546</v>
      </c>
      <c r="Y1723">
        <v>922.9692</v>
      </c>
      <c r="AF1723">
        <v>922.9692</v>
      </c>
      <c r="AG1723" t="s">
        <v>1746</v>
      </c>
    </row>
    <row r="1724" spans="1:33" x14ac:dyDescent="0.3">
      <c r="A1724" t="s">
        <v>3949</v>
      </c>
      <c r="B1724" s="2">
        <v>45709</v>
      </c>
      <c r="C1724">
        <v>336.45780000000002</v>
      </c>
      <c r="D1724" t="s">
        <v>1809</v>
      </c>
      <c r="E1724">
        <v>45</v>
      </c>
      <c r="F1724" t="s">
        <v>16</v>
      </c>
      <c r="G1724" t="s">
        <v>1530</v>
      </c>
      <c r="H1724" t="s">
        <v>1737</v>
      </c>
      <c r="L1724" s="2">
        <v>45709</v>
      </c>
      <c r="M1724">
        <v>336.45780000000002</v>
      </c>
      <c r="R1724" t="s">
        <v>1809</v>
      </c>
      <c r="S1724">
        <v>336.45780000000002</v>
      </c>
      <c r="W1724" s="11" t="s">
        <v>16</v>
      </c>
      <c r="X1724" s="11" t="s">
        <v>1530</v>
      </c>
      <c r="Y1724">
        <v>336.45780000000002</v>
      </c>
      <c r="AF1724">
        <v>336.45780000000002</v>
      </c>
      <c r="AG1724" t="s">
        <v>1737</v>
      </c>
    </row>
    <row r="1725" spans="1:33" x14ac:dyDescent="0.3">
      <c r="A1725" t="s">
        <v>1508</v>
      </c>
      <c r="B1725" s="2">
        <v>45738</v>
      </c>
      <c r="C1725">
        <v>2798.4132</v>
      </c>
      <c r="D1725" t="s">
        <v>1807</v>
      </c>
      <c r="E1725">
        <v>47</v>
      </c>
      <c r="F1725" t="s">
        <v>16</v>
      </c>
      <c r="G1725" t="s">
        <v>1541</v>
      </c>
      <c r="H1725" t="s">
        <v>1742</v>
      </c>
      <c r="L1725" s="2">
        <v>45738</v>
      </c>
      <c r="M1725">
        <v>2798.4132</v>
      </c>
      <c r="R1725" t="s">
        <v>1807</v>
      </c>
      <c r="S1725">
        <v>2798.4132</v>
      </c>
      <c r="W1725" s="12" t="s">
        <v>16</v>
      </c>
      <c r="X1725" s="12" t="s">
        <v>1541</v>
      </c>
      <c r="Y1725">
        <v>2798.4132</v>
      </c>
      <c r="AF1725">
        <v>2798.4132</v>
      </c>
      <c r="AG1725" t="s">
        <v>1742</v>
      </c>
    </row>
    <row r="1726" spans="1:33" x14ac:dyDescent="0.3">
      <c r="A1726" t="s">
        <v>1211</v>
      </c>
      <c r="B1726" s="2">
        <v>45685</v>
      </c>
      <c r="C1726">
        <v>1303.3905</v>
      </c>
      <c r="D1726" t="s">
        <v>1807</v>
      </c>
      <c r="E1726">
        <v>46</v>
      </c>
      <c r="F1726" t="s">
        <v>9</v>
      </c>
      <c r="G1726" t="s">
        <v>1527</v>
      </c>
      <c r="H1726" t="s">
        <v>1742</v>
      </c>
      <c r="L1726" s="2">
        <v>45685</v>
      </c>
      <c r="M1726">
        <v>1303.3905</v>
      </c>
      <c r="R1726" t="s">
        <v>1807</v>
      </c>
      <c r="S1726">
        <v>1303.3905</v>
      </c>
      <c r="W1726" s="11" t="s">
        <v>9</v>
      </c>
      <c r="X1726" s="11" t="s">
        <v>1527</v>
      </c>
      <c r="Y1726">
        <v>1303.3905</v>
      </c>
      <c r="AF1726">
        <v>1303.3905</v>
      </c>
      <c r="AG1726" t="s">
        <v>1742</v>
      </c>
    </row>
    <row r="1727" spans="1:33" x14ac:dyDescent="0.3">
      <c r="A1727" t="s">
        <v>49</v>
      </c>
      <c r="B1727" s="2">
        <v>45701</v>
      </c>
      <c r="C1727">
        <v>1113.8820000000001</v>
      </c>
      <c r="D1727" t="s">
        <v>1812</v>
      </c>
      <c r="E1727">
        <v>53</v>
      </c>
      <c r="F1727" t="s">
        <v>9</v>
      </c>
      <c r="G1727" t="s">
        <v>1530</v>
      </c>
      <c r="H1727" t="s">
        <v>1742</v>
      </c>
      <c r="L1727" s="2">
        <v>45701</v>
      </c>
      <c r="M1727">
        <v>1113.8820000000001</v>
      </c>
      <c r="R1727" t="s">
        <v>1812</v>
      </c>
      <c r="S1727">
        <v>1113.8820000000001</v>
      </c>
      <c r="W1727" s="12" t="s">
        <v>9</v>
      </c>
      <c r="X1727" s="12" t="s">
        <v>1530</v>
      </c>
      <c r="Y1727">
        <v>1113.8820000000001</v>
      </c>
      <c r="AF1727">
        <v>1113.8820000000001</v>
      </c>
      <c r="AG1727" t="s">
        <v>1742</v>
      </c>
    </row>
    <row r="1728" spans="1:33" x14ac:dyDescent="0.3">
      <c r="A1728" t="s">
        <v>424</v>
      </c>
      <c r="B1728" s="2">
        <v>45745</v>
      </c>
      <c r="C1728">
        <v>2700.3312000000001</v>
      </c>
      <c r="D1728" t="s">
        <v>1812</v>
      </c>
      <c r="E1728">
        <v>64</v>
      </c>
      <c r="F1728" t="s">
        <v>16</v>
      </c>
      <c r="G1728" t="s">
        <v>1541</v>
      </c>
      <c r="H1728" t="s">
        <v>1742</v>
      </c>
      <c r="L1728" s="2">
        <v>45745</v>
      </c>
      <c r="M1728">
        <v>2700.3312000000001</v>
      </c>
      <c r="R1728" t="s">
        <v>1812</v>
      </c>
      <c r="S1728">
        <v>2700.3312000000001</v>
      </c>
      <c r="W1728" s="11" t="s">
        <v>16</v>
      </c>
      <c r="X1728" s="11" t="s">
        <v>1541</v>
      </c>
      <c r="Y1728">
        <v>2700.3312000000001</v>
      </c>
      <c r="AF1728">
        <v>2700.3312000000001</v>
      </c>
      <c r="AG1728" t="s">
        <v>1742</v>
      </c>
    </row>
    <row r="1729" spans="1:33" x14ac:dyDescent="0.3">
      <c r="A1729" t="s">
        <v>101</v>
      </c>
      <c r="B1729" s="2">
        <v>45214</v>
      </c>
      <c r="C1729">
        <v>130.93199999999999</v>
      </c>
      <c r="D1729" t="s">
        <v>1812</v>
      </c>
      <c r="E1729">
        <v>40</v>
      </c>
      <c r="F1729" t="s">
        <v>9</v>
      </c>
      <c r="G1729" t="s">
        <v>1541</v>
      </c>
      <c r="H1729" t="s">
        <v>1737</v>
      </c>
      <c r="L1729" s="2">
        <v>45214</v>
      </c>
      <c r="M1729">
        <v>130.93199999999999</v>
      </c>
      <c r="R1729" t="s">
        <v>1812</v>
      </c>
      <c r="S1729">
        <v>130.93199999999999</v>
      </c>
      <c r="W1729" s="12" t="s">
        <v>9</v>
      </c>
      <c r="X1729" s="12" t="s">
        <v>1541</v>
      </c>
      <c r="Y1729">
        <v>130.93199999999999</v>
      </c>
      <c r="AF1729">
        <v>130.93199999999999</v>
      </c>
      <c r="AG1729" t="s">
        <v>1737</v>
      </c>
    </row>
    <row r="1730" spans="1:33" x14ac:dyDescent="0.3">
      <c r="A1730" t="s">
        <v>196</v>
      </c>
      <c r="B1730" s="2">
        <v>45547</v>
      </c>
      <c r="C1730">
        <v>2483.2800000000002</v>
      </c>
      <c r="D1730" t="s">
        <v>1809</v>
      </c>
      <c r="E1730">
        <v>37</v>
      </c>
      <c r="F1730" t="s">
        <v>16</v>
      </c>
      <c r="G1730" t="s">
        <v>1549</v>
      </c>
      <c r="H1730" t="s">
        <v>1742</v>
      </c>
      <c r="L1730" s="2">
        <v>45547</v>
      </c>
      <c r="M1730">
        <v>2483.2800000000002</v>
      </c>
      <c r="R1730" t="s">
        <v>1809</v>
      </c>
      <c r="S1730">
        <v>2483.2800000000002</v>
      </c>
      <c r="W1730" s="11" t="s">
        <v>16</v>
      </c>
      <c r="X1730" s="11" t="s">
        <v>1549</v>
      </c>
      <c r="Y1730">
        <v>2483.2800000000002</v>
      </c>
      <c r="AF1730">
        <v>2483.2800000000002</v>
      </c>
      <c r="AG1730" t="s">
        <v>1742</v>
      </c>
    </row>
    <row r="1731" spans="1:33" x14ac:dyDescent="0.3">
      <c r="A1731" t="s">
        <v>918</v>
      </c>
      <c r="B1731" s="2">
        <v>45296</v>
      </c>
      <c r="C1731">
        <v>514.3424</v>
      </c>
      <c r="D1731" t="s">
        <v>1812</v>
      </c>
      <c r="E1731">
        <v>56</v>
      </c>
      <c r="F1731" t="s">
        <v>16</v>
      </c>
      <c r="G1731" t="s">
        <v>1530</v>
      </c>
      <c r="H1731" t="s">
        <v>1742</v>
      </c>
      <c r="L1731" s="2">
        <v>45296</v>
      </c>
      <c r="M1731">
        <v>514.3424</v>
      </c>
      <c r="R1731" t="s">
        <v>1812</v>
      </c>
      <c r="S1731">
        <v>514.3424</v>
      </c>
      <c r="W1731" s="12" t="s">
        <v>16</v>
      </c>
      <c r="X1731" s="12" t="s">
        <v>1530</v>
      </c>
      <c r="Y1731">
        <v>514.3424</v>
      </c>
      <c r="AF1731">
        <v>514.3424</v>
      </c>
      <c r="AG1731" t="s">
        <v>1742</v>
      </c>
    </row>
    <row r="1732" spans="1:33" x14ac:dyDescent="0.3">
      <c r="A1732" t="s">
        <v>3951</v>
      </c>
      <c r="B1732" s="2">
        <v>45549</v>
      </c>
      <c r="C1732">
        <v>973.02799999999991</v>
      </c>
      <c r="D1732" t="s">
        <v>1812</v>
      </c>
      <c r="E1732">
        <v>40</v>
      </c>
      <c r="F1732" t="s">
        <v>9</v>
      </c>
      <c r="G1732" t="s">
        <v>1549</v>
      </c>
      <c r="H1732" t="s">
        <v>1742</v>
      </c>
      <c r="L1732" s="2">
        <v>45549</v>
      </c>
      <c r="M1732">
        <v>973.02799999999991</v>
      </c>
      <c r="R1732" t="s">
        <v>1812</v>
      </c>
      <c r="S1732">
        <v>973.02799999999991</v>
      </c>
      <c r="W1732" s="11" t="s">
        <v>9</v>
      </c>
      <c r="X1732" s="11" t="s">
        <v>1549</v>
      </c>
      <c r="Y1732">
        <v>973.02799999999991</v>
      </c>
      <c r="AF1732">
        <v>973.02799999999991</v>
      </c>
      <c r="AG1732" t="s">
        <v>1742</v>
      </c>
    </row>
    <row r="1733" spans="1:33" x14ac:dyDescent="0.3">
      <c r="A1733" t="s">
        <v>706</v>
      </c>
      <c r="B1733" s="2">
        <v>45231</v>
      </c>
      <c r="C1733">
        <v>1347.7384</v>
      </c>
      <c r="D1733" t="s">
        <v>1809</v>
      </c>
      <c r="E1733">
        <v>50</v>
      </c>
      <c r="F1733" t="s">
        <v>16</v>
      </c>
      <c r="G1733" t="s">
        <v>1541</v>
      </c>
      <c r="H1733" t="s">
        <v>1742</v>
      </c>
      <c r="L1733" s="2">
        <v>45231</v>
      </c>
      <c r="M1733">
        <v>1347.7384</v>
      </c>
      <c r="R1733" t="s">
        <v>1809</v>
      </c>
      <c r="S1733">
        <v>1347.7384</v>
      </c>
      <c r="W1733" s="12" t="s">
        <v>16</v>
      </c>
      <c r="X1733" s="12" t="s">
        <v>1541</v>
      </c>
      <c r="Y1733">
        <v>1347.7384</v>
      </c>
      <c r="AF1733">
        <v>1347.7384</v>
      </c>
      <c r="AG1733" t="s">
        <v>1742</v>
      </c>
    </row>
    <row r="1734" spans="1:33" x14ac:dyDescent="0.3">
      <c r="A1734" t="s">
        <v>203</v>
      </c>
      <c r="B1734" s="2">
        <v>45628</v>
      </c>
      <c r="C1734">
        <v>1624.4892</v>
      </c>
      <c r="D1734" t="s">
        <v>1812</v>
      </c>
      <c r="E1734">
        <v>56</v>
      </c>
      <c r="F1734" t="s">
        <v>16</v>
      </c>
      <c r="G1734" t="s">
        <v>1541</v>
      </c>
      <c r="H1734" t="s">
        <v>1742</v>
      </c>
      <c r="L1734" s="2">
        <v>45628</v>
      </c>
      <c r="M1734">
        <v>1624.4892</v>
      </c>
      <c r="R1734" t="s">
        <v>1812</v>
      </c>
      <c r="S1734">
        <v>1624.4892</v>
      </c>
      <c r="W1734" s="11" t="s">
        <v>16</v>
      </c>
      <c r="X1734" s="11" t="s">
        <v>1541</v>
      </c>
      <c r="Y1734">
        <v>1624.4892</v>
      </c>
      <c r="AF1734">
        <v>1624.4892</v>
      </c>
      <c r="AG1734" t="s">
        <v>1742</v>
      </c>
    </row>
    <row r="1735" spans="1:33" x14ac:dyDescent="0.3">
      <c r="A1735" t="s">
        <v>3934</v>
      </c>
      <c r="B1735" s="2">
        <v>45862</v>
      </c>
      <c r="C1735">
        <v>428.89699999999999</v>
      </c>
      <c r="D1735" t="s">
        <v>1809</v>
      </c>
      <c r="E1735">
        <v>64</v>
      </c>
      <c r="F1735" t="s">
        <v>16</v>
      </c>
      <c r="G1735" t="s">
        <v>1541</v>
      </c>
      <c r="H1735" t="s">
        <v>1746</v>
      </c>
      <c r="L1735" s="2">
        <v>45862</v>
      </c>
      <c r="M1735">
        <v>428.89699999999999</v>
      </c>
      <c r="R1735" t="s">
        <v>1809</v>
      </c>
      <c r="S1735">
        <v>428.89699999999999</v>
      </c>
      <c r="W1735" s="12" t="s">
        <v>16</v>
      </c>
      <c r="X1735" s="12" t="s">
        <v>1541</v>
      </c>
      <c r="Y1735">
        <v>428.89699999999999</v>
      </c>
      <c r="AF1735">
        <v>428.89699999999999</v>
      </c>
      <c r="AG1735" t="s">
        <v>1746</v>
      </c>
    </row>
    <row r="1736" spans="1:33" x14ac:dyDescent="0.3">
      <c r="A1736" t="s">
        <v>655</v>
      </c>
      <c r="B1736" s="2">
        <v>45843</v>
      </c>
      <c r="C1736">
        <v>303.81139999999999</v>
      </c>
      <c r="D1736" t="s">
        <v>1807</v>
      </c>
      <c r="E1736">
        <v>47</v>
      </c>
      <c r="F1736" t="s">
        <v>9</v>
      </c>
      <c r="G1736" t="s">
        <v>1530</v>
      </c>
      <c r="H1736" t="s">
        <v>1742</v>
      </c>
      <c r="L1736" s="2">
        <v>45843</v>
      </c>
      <c r="M1736">
        <v>303.81139999999999</v>
      </c>
      <c r="R1736" t="s">
        <v>1807</v>
      </c>
      <c r="S1736">
        <v>303.81139999999999</v>
      </c>
      <c r="W1736" s="11" t="s">
        <v>9</v>
      </c>
      <c r="X1736" s="11" t="s">
        <v>1530</v>
      </c>
      <c r="Y1736">
        <v>303.81139999999999</v>
      </c>
      <c r="AF1736">
        <v>303.81139999999999</v>
      </c>
      <c r="AG1736" t="s">
        <v>1742</v>
      </c>
    </row>
    <row r="1737" spans="1:33" x14ac:dyDescent="0.3">
      <c r="A1737" t="s">
        <v>203</v>
      </c>
      <c r="B1737" s="2">
        <v>45482</v>
      </c>
      <c r="C1737">
        <v>3237.0576000000001</v>
      </c>
      <c r="D1737" t="s">
        <v>1807</v>
      </c>
      <c r="E1737">
        <v>56</v>
      </c>
      <c r="F1737" t="s">
        <v>16</v>
      </c>
      <c r="G1737" t="s">
        <v>1546</v>
      </c>
      <c r="H1737" t="s">
        <v>1742</v>
      </c>
      <c r="L1737" s="2">
        <v>45482</v>
      </c>
      <c r="M1737">
        <v>3237.0576000000001</v>
      </c>
      <c r="R1737" t="s">
        <v>1807</v>
      </c>
      <c r="S1737">
        <v>3237.0576000000001</v>
      </c>
      <c r="W1737" s="12" t="s">
        <v>16</v>
      </c>
      <c r="X1737" s="12" t="s">
        <v>1546</v>
      </c>
      <c r="Y1737">
        <v>3237.0576000000001</v>
      </c>
      <c r="AF1737">
        <v>3237.0576000000001</v>
      </c>
      <c r="AG1737" t="s">
        <v>1742</v>
      </c>
    </row>
    <row r="1738" spans="1:33" x14ac:dyDescent="0.3">
      <c r="A1738" t="s">
        <v>401</v>
      </c>
      <c r="B1738" s="2">
        <v>45313</v>
      </c>
      <c r="C1738">
        <v>2243.3928000000001</v>
      </c>
      <c r="D1738" t="s">
        <v>1809</v>
      </c>
      <c r="E1738">
        <v>21</v>
      </c>
      <c r="F1738" t="s">
        <v>16</v>
      </c>
      <c r="G1738" t="s">
        <v>1530</v>
      </c>
      <c r="H1738" t="s">
        <v>1742</v>
      </c>
      <c r="L1738" s="2">
        <v>45313</v>
      </c>
      <c r="M1738">
        <v>2243.3928000000001</v>
      </c>
      <c r="R1738" t="s">
        <v>1809</v>
      </c>
      <c r="S1738">
        <v>2243.3928000000001</v>
      </c>
      <c r="W1738" s="11" t="s">
        <v>16</v>
      </c>
      <c r="X1738" s="11" t="s">
        <v>1530</v>
      </c>
      <c r="Y1738">
        <v>2243.3928000000001</v>
      </c>
      <c r="AF1738">
        <v>2243.3928000000001</v>
      </c>
      <c r="AG1738" t="s">
        <v>1742</v>
      </c>
    </row>
    <row r="1739" spans="1:33" x14ac:dyDescent="0.3">
      <c r="A1739" t="s">
        <v>1070</v>
      </c>
      <c r="B1739" s="2">
        <v>45314</v>
      </c>
      <c r="C1739">
        <v>72.799600000000012</v>
      </c>
      <c r="D1739" t="s">
        <v>1807</v>
      </c>
      <c r="E1739">
        <v>33</v>
      </c>
      <c r="F1739" t="s">
        <v>9</v>
      </c>
      <c r="G1739" t="s">
        <v>1541</v>
      </c>
      <c r="H1739" t="s">
        <v>1746</v>
      </c>
      <c r="L1739" s="2">
        <v>45314</v>
      </c>
      <c r="M1739">
        <v>72.799600000000012</v>
      </c>
      <c r="R1739" t="s">
        <v>1807</v>
      </c>
      <c r="S1739">
        <v>72.799600000000012</v>
      </c>
      <c r="W1739" s="12" t="s">
        <v>9</v>
      </c>
      <c r="X1739" s="12" t="s">
        <v>1541</v>
      </c>
      <c r="Y1739">
        <v>72.799600000000012</v>
      </c>
      <c r="AF1739">
        <v>72.799600000000012</v>
      </c>
      <c r="AG1739" t="s">
        <v>1746</v>
      </c>
    </row>
    <row r="1740" spans="1:33" x14ac:dyDescent="0.3">
      <c r="A1740" t="s">
        <v>623</v>
      </c>
      <c r="B1740" s="2">
        <v>45526</v>
      </c>
      <c r="C1740">
        <v>1744.8368</v>
      </c>
      <c r="D1740" t="s">
        <v>1809</v>
      </c>
      <c r="E1740">
        <v>26</v>
      </c>
      <c r="F1740" t="s">
        <v>9</v>
      </c>
      <c r="G1740" t="s">
        <v>1527</v>
      </c>
      <c r="H1740" t="s">
        <v>1746</v>
      </c>
      <c r="L1740" s="2">
        <v>45526</v>
      </c>
      <c r="M1740">
        <v>1744.8368</v>
      </c>
      <c r="R1740" t="s">
        <v>1809</v>
      </c>
      <c r="S1740">
        <v>1744.8368</v>
      </c>
      <c r="W1740" s="11" t="s">
        <v>9</v>
      </c>
      <c r="X1740" s="11" t="s">
        <v>1527</v>
      </c>
      <c r="Y1740">
        <v>1744.8368</v>
      </c>
      <c r="AF1740">
        <v>1744.8368</v>
      </c>
      <c r="AG1740" t="s">
        <v>1746</v>
      </c>
    </row>
    <row r="1741" spans="1:33" x14ac:dyDescent="0.3">
      <c r="A1741" t="s">
        <v>987</v>
      </c>
      <c r="B1741" s="2">
        <v>45887</v>
      </c>
      <c r="C1741">
        <v>883.71660000000008</v>
      </c>
      <c r="D1741" t="s">
        <v>1807</v>
      </c>
      <c r="E1741">
        <v>64</v>
      </c>
      <c r="F1741" t="s">
        <v>16</v>
      </c>
      <c r="G1741" t="s">
        <v>1530</v>
      </c>
      <c r="H1741" t="s">
        <v>1737</v>
      </c>
      <c r="L1741" s="2">
        <v>45887</v>
      </c>
      <c r="M1741">
        <v>883.71660000000008</v>
      </c>
      <c r="R1741" t="s">
        <v>1807</v>
      </c>
      <c r="S1741">
        <v>883.71660000000008</v>
      </c>
      <c r="W1741" s="12" t="s">
        <v>16</v>
      </c>
      <c r="X1741" s="12" t="s">
        <v>1530</v>
      </c>
      <c r="Y1741">
        <v>883.71660000000008</v>
      </c>
      <c r="AF1741">
        <v>883.71660000000008</v>
      </c>
      <c r="AG1741" t="s">
        <v>1737</v>
      </c>
    </row>
    <row r="1742" spans="1:33" x14ac:dyDescent="0.3">
      <c r="A1742" t="s">
        <v>193</v>
      </c>
      <c r="B1742" s="2">
        <v>45562</v>
      </c>
      <c r="C1742">
        <v>1629.7616</v>
      </c>
      <c r="D1742" t="s">
        <v>1807</v>
      </c>
      <c r="E1742">
        <v>55</v>
      </c>
      <c r="F1742" t="s">
        <v>9</v>
      </c>
      <c r="G1742" t="s">
        <v>1530</v>
      </c>
      <c r="H1742" t="s">
        <v>1742</v>
      </c>
      <c r="L1742" s="2">
        <v>45562</v>
      </c>
      <c r="M1742">
        <v>1629.7616</v>
      </c>
      <c r="R1742" t="s">
        <v>1807</v>
      </c>
      <c r="S1742">
        <v>1629.7616</v>
      </c>
      <c r="W1742" s="11" t="s">
        <v>9</v>
      </c>
      <c r="X1742" s="11" t="s">
        <v>1530</v>
      </c>
      <c r="Y1742">
        <v>1629.7616</v>
      </c>
      <c r="AF1742">
        <v>1629.7616</v>
      </c>
      <c r="AG1742" t="s">
        <v>1742</v>
      </c>
    </row>
    <row r="1743" spans="1:33" x14ac:dyDescent="0.3">
      <c r="A1743" t="s">
        <v>49</v>
      </c>
      <c r="B1743" s="2">
        <v>45880</v>
      </c>
      <c r="C1743">
        <v>1616.2152000000001</v>
      </c>
      <c r="D1743" t="s">
        <v>1809</v>
      </c>
      <c r="E1743">
        <v>53</v>
      </c>
      <c r="F1743" t="s">
        <v>9</v>
      </c>
      <c r="G1743" t="s">
        <v>1530</v>
      </c>
      <c r="H1743" t="s">
        <v>1746</v>
      </c>
      <c r="L1743" s="2">
        <v>45880</v>
      </c>
      <c r="M1743">
        <v>1616.2152000000001</v>
      </c>
      <c r="R1743" t="s">
        <v>1809</v>
      </c>
      <c r="S1743">
        <v>1616.2152000000001</v>
      </c>
      <c r="W1743" s="12" t="s">
        <v>9</v>
      </c>
      <c r="X1743" s="12" t="s">
        <v>1530</v>
      </c>
      <c r="Y1743">
        <v>1616.2152000000001</v>
      </c>
      <c r="AF1743">
        <v>1616.2152000000001</v>
      </c>
      <c r="AG1743" t="s">
        <v>1746</v>
      </c>
    </row>
    <row r="1744" spans="1:33" x14ac:dyDescent="0.3">
      <c r="A1744" t="s">
        <v>921</v>
      </c>
      <c r="B1744" s="2">
        <v>45556</v>
      </c>
      <c r="C1744">
        <v>24.13</v>
      </c>
      <c r="D1744" t="s">
        <v>1807</v>
      </c>
      <c r="E1744">
        <v>29</v>
      </c>
      <c r="F1744" t="s">
        <v>9</v>
      </c>
      <c r="G1744" t="s">
        <v>1549</v>
      </c>
      <c r="H1744" t="s">
        <v>1742</v>
      </c>
      <c r="L1744" s="2">
        <v>45556</v>
      </c>
      <c r="M1744">
        <v>24.13</v>
      </c>
      <c r="R1744" t="s">
        <v>1807</v>
      </c>
      <c r="S1744">
        <v>24.13</v>
      </c>
      <c r="W1744" s="11" t="s">
        <v>9</v>
      </c>
      <c r="X1744" s="11" t="s">
        <v>1549</v>
      </c>
      <c r="Y1744">
        <v>24.13</v>
      </c>
      <c r="AF1744">
        <v>24.13</v>
      </c>
      <c r="AG1744" t="s">
        <v>1742</v>
      </c>
    </row>
    <row r="1745" spans="1:33" x14ac:dyDescent="0.3">
      <c r="A1745" t="s">
        <v>1127</v>
      </c>
      <c r="B1745" s="2">
        <v>45355</v>
      </c>
      <c r="C1745">
        <v>510.22019999999998</v>
      </c>
      <c r="D1745" t="s">
        <v>1812</v>
      </c>
      <c r="E1745">
        <v>63</v>
      </c>
      <c r="F1745" t="s">
        <v>16</v>
      </c>
      <c r="G1745" t="s">
        <v>1549</v>
      </c>
      <c r="H1745" t="s">
        <v>1742</v>
      </c>
      <c r="L1745" s="2">
        <v>45355</v>
      </c>
      <c r="M1745">
        <v>510.22019999999998</v>
      </c>
      <c r="R1745" t="s">
        <v>1812</v>
      </c>
      <c r="S1745">
        <v>510.22019999999998</v>
      </c>
      <c r="W1745" s="12" t="s">
        <v>16</v>
      </c>
      <c r="X1745" s="12" t="s">
        <v>1549</v>
      </c>
      <c r="Y1745">
        <v>510.22019999999998</v>
      </c>
      <c r="AF1745">
        <v>510.22019999999998</v>
      </c>
      <c r="AG1745" t="s">
        <v>1742</v>
      </c>
    </row>
    <row r="1746" spans="1:33" x14ac:dyDescent="0.3">
      <c r="A1746" t="s">
        <v>1468</v>
      </c>
      <c r="B1746" s="2">
        <v>45244</v>
      </c>
      <c r="C1746">
        <v>529.67700000000002</v>
      </c>
      <c r="D1746" t="s">
        <v>1807</v>
      </c>
      <c r="E1746">
        <v>48</v>
      </c>
      <c r="F1746" t="s">
        <v>9</v>
      </c>
      <c r="G1746" t="s">
        <v>1530</v>
      </c>
      <c r="H1746" t="s">
        <v>1742</v>
      </c>
      <c r="L1746" s="2">
        <v>45244</v>
      </c>
      <c r="M1746">
        <v>529.67700000000002</v>
      </c>
      <c r="R1746" t="s">
        <v>1807</v>
      </c>
      <c r="S1746">
        <v>529.67700000000002</v>
      </c>
      <c r="W1746" s="11" t="s">
        <v>9</v>
      </c>
      <c r="X1746" s="11" t="s">
        <v>1530</v>
      </c>
      <c r="Y1746">
        <v>529.67700000000002</v>
      </c>
      <c r="AF1746">
        <v>529.67700000000002</v>
      </c>
      <c r="AG1746" t="s">
        <v>1742</v>
      </c>
    </row>
    <row r="1747" spans="1:33" x14ac:dyDescent="0.3">
      <c r="A1747" t="s">
        <v>907</v>
      </c>
      <c r="B1747" s="2">
        <v>45863</v>
      </c>
      <c r="C1747">
        <v>102.172</v>
      </c>
      <c r="D1747" t="s">
        <v>1807</v>
      </c>
      <c r="E1747">
        <v>45</v>
      </c>
      <c r="F1747" t="s">
        <v>9</v>
      </c>
      <c r="G1747" t="s">
        <v>1541</v>
      </c>
      <c r="H1747" t="s">
        <v>1742</v>
      </c>
      <c r="L1747" s="2">
        <v>45863</v>
      </c>
      <c r="M1747">
        <v>102.172</v>
      </c>
      <c r="R1747" t="s">
        <v>1807</v>
      </c>
      <c r="S1747">
        <v>102.172</v>
      </c>
      <c r="W1747" s="12" t="s">
        <v>9</v>
      </c>
      <c r="X1747" s="12" t="s">
        <v>1541</v>
      </c>
      <c r="Y1747">
        <v>102.172</v>
      </c>
      <c r="AF1747">
        <v>102.172</v>
      </c>
      <c r="AG1747" t="s">
        <v>1742</v>
      </c>
    </row>
    <row r="1748" spans="1:33" x14ac:dyDescent="0.3">
      <c r="A1748" t="s">
        <v>356</v>
      </c>
      <c r="B1748" s="2">
        <v>45573</v>
      </c>
      <c r="C1748">
        <v>2409.8216000000002</v>
      </c>
      <c r="D1748" t="s">
        <v>1807</v>
      </c>
      <c r="E1748">
        <v>34</v>
      </c>
      <c r="F1748" t="s">
        <v>16</v>
      </c>
      <c r="G1748" t="s">
        <v>1527</v>
      </c>
      <c r="H1748" t="s">
        <v>1746</v>
      </c>
      <c r="L1748" s="2">
        <v>45573</v>
      </c>
      <c r="M1748">
        <v>2409.8216000000002</v>
      </c>
      <c r="R1748" t="s">
        <v>1807</v>
      </c>
      <c r="S1748">
        <v>2409.8216000000002</v>
      </c>
      <c r="W1748" s="11" t="s">
        <v>16</v>
      </c>
      <c r="X1748" s="11" t="s">
        <v>1527</v>
      </c>
      <c r="Y1748">
        <v>2409.8216000000002</v>
      </c>
      <c r="AF1748">
        <v>2409.8216000000002</v>
      </c>
      <c r="AG1748" t="s">
        <v>1746</v>
      </c>
    </row>
    <row r="1749" spans="1:33" x14ac:dyDescent="0.3">
      <c r="A1749" t="s">
        <v>164</v>
      </c>
      <c r="B1749" s="2">
        <v>45792</v>
      </c>
      <c r="C1749">
        <v>1810.8324</v>
      </c>
      <c r="D1749" t="s">
        <v>1807</v>
      </c>
      <c r="E1749">
        <v>45</v>
      </c>
      <c r="F1749" t="s">
        <v>9</v>
      </c>
      <c r="G1749" t="s">
        <v>1541</v>
      </c>
      <c r="H1749" t="s">
        <v>1742</v>
      </c>
      <c r="L1749" s="2">
        <v>45792</v>
      </c>
      <c r="M1749">
        <v>1810.8324</v>
      </c>
      <c r="R1749" t="s">
        <v>1807</v>
      </c>
      <c r="S1749">
        <v>1810.8324</v>
      </c>
      <c r="W1749" s="12" t="s">
        <v>9</v>
      </c>
      <c r="X1749" s="12" t="s">
        <v>1541</v>
      </c>
      <c r="Y1749">
        <v>1810.8324</v>
      </c>
      <c r="AF1749">
        <v>1810.8324</v>
      </c>
      <c r="AG1749" t="s">
        <v>1742</v>
      </c>
    </row>
    <row r="1750" spans="1:33" x14ac:dyDescent="0.3">
      <c r="A1750" t="s">
        <v>1413</v>
      </c>
      <c r="B1750" s="2">
        <v>45744</v>
      </c>
      <c r="C1750">
        <v>50.048000000000002</v>
      </c>
      <c r="D1750" t="s">
        <v>1812</v>
      </c>
      <c r="E1750">
        <v>45</v>
      </c>
      <c r="F1750" t="s">
        <v>16</v>
      </c>
      <c r="G1750" t="s">
        <v>1549</v>
      </c>
      <c r="H1750" t="s">
        <v>1742</v>
      </c>
      <c r="L1750" s="2">
        <v>45744</v>
      </c>
      <c r="M1750">
        <v>50.048000000000002</v>
      </c>
      <c r="R1750" t="s">
        <v>1812</v>
      </c>
      <c r="S1750">
        <v>50.048000000000002</v>
      </c>
      <c r="W1750" s="11" t="s">
        <v>16</v>
      </c>
      <c r="X1750" s="11" t="s">
        <v>1549</v>
      </c>
      <c r="Y1750">
        <v>50.048000000000002</v>
      </c>
      <c r="AF1750">
        <v>50.048000000000002</v>
      </c>
      <c r="AG1750" t="s">
        <v>1742</v>
      </c>
    </row>
    <row r="1751" spans="1:33" x14ac:dyDescent="0.3">
      <c r="A1751" t="s">
        <v>1154</v>
      </c>
      <c r="B1751" s="2">
        <v>45842</v>
      </c>
      <c r="C1751">
        <v>1276.6415999999999</v>
      </c>
      <c r="D1751" t="s">
        <v>1807</v>
      </c>
      <c r="E1751">
        <v>60</v>
      </c>
      <c r="F1751" t="s">
        <v>9</v>
      </c>
      <c r="G1751" t="s">
        <v>1549</v>
      </c>
      <c r="H1751" t="s">
        <v>1737</v>
      </c>
      <c r="L1751" s="2">
        <v>45842</v>
      </c>
      <c r="M1751">
        <v>1276.6415999999999</v>
      </c>
      <c r="R1751" t="s">
        <v>1807</v>
      </c>
      <c r="S1751">
        <v>1276.6415999999999</v>
      </c>
      <c r="W1751" s="12" t="s">
        <v>9</v>
      </c>
      <c r="X1751" s="12" t="s">
        <v>1549</v>
      </c>
      <c r="Y1751">
        <v>1276.6415999999999</v>
      </c>
      <c r="AF1751">
        <v>1276.6415999999999</v>
      </c>
      <c r="AG1751" t="s">
        <v>1737</v>
      </c>
    </row>
    <row r="1752" spans="1:33" x14ac:dyDescent="0.3">
      <c r="A1752" t="s">
        <v>72</v>
      </c>
      <c r="B1752" s="2">
        <v>45502</v>
      </c>
      <c r="C1752">
        <v>1418.3784000000001</v>
      </c>
      <c r="D1752" t="s">
        <v>1809</v>
      </c>
      <c r="E1752">
        <v>24</v>
      </c>
      <c r="F1752" t="s">
        <v>16</v>
      </c>
      <c r="G1752" t="s">
        <v>1541</v>
      </c>
      <c r="H1752" t="s">
        <v>1742</v>
      </c>
      <c r="L1752" s="2">
        <v>45502</v>
      </c>
      <c r="M1752">
        <v>1418.3784000000001</v>
      </c>
      <c r="R1752" t="s">
        <v>1809</v>
      </c>
      <c r="S1752">
        <v>1418.3784000000001</v>
      </c>
      <c r="W1752" s="11" t="s">
        <v>16</v>
      </c>
      <c r="X1752" s="11" t="s">
        <v>1541</v>
      </c>
      <c r="Y1752">
        <v>1418.3784000000001</v>
      </c>
      <c r="AF1752">
        <v>1418.3784000000001</v>
      </c>
      <c r="AG1752" t="s">
        <v>1742</v>
      </c>
    </row>
    <row r="1753" spans="1:33" x14ac:dyDescent="0.3">
      <c r="A1753" t="s">
        <v>815</v>
      </c>
      <c r="B1753" s="2">
        <v>45296</v>
      </c>
      <c r="C1753">
        <v>2031.7927999999999</v>
      </c>
      <c r="D1753" t="s">
        <v>1809</v>
      </c>
      <c r="E1753">
        <v>24</v>
      </c>
      <c r="F1753" t="s">
        <v>16</v>
      </c>
      <c r="G1753" t="s">
        <v>1549</v>
      </c>
      <c r="H1753" t="s">
        <v>1742</v>
      </c>
      <c r="L1753" s="2">
        <v>45296</v>
      </c>
      <c r="M1753">
        <v>2031.7927999999999</v>
      </c>
      <c r="R1753" t="s">
        <v>1809</v>
      </c>
      <c r="S1753">
        <v>2031.7927999999999</v>
      </c>
      <c r="W1753" s="12" t="s">
        <v>16</v>
      </c>
      <c r="X1753" s="12" t="s">
        <v>1549</v>
      </c>
      <c r="Y1753">
        <v>2031.7927999999999</v>
      </c>
      <c r="AF1753">
        <v>2031.7927999999999</v>
      </c>
      <c r="AG1753" t="s">
        <v>1742</v>
      </c>
    </row>
    <row r="1754" spans="1:33" x14ac:dyDescent="0.3">
      <c r="A1754" t="s">
        <v>193</v>
      </c>
      <c r="B1754" s="2">
        <v>45886</v>
      </c>
      <c r="C1754">
        <v>2407.0583999999999</v>
      </c>
      <c r="D1754" t="s">
        <v>1812</v>
      </c>
      <c r="E1754">
        <v>55</v>
      </c>
      <c r="F1754" t="s">
        <v>9</v>
      </c>
      <c r="G1754" t="s">
        <v>1541</v>
      </c>
      <c r="H1754" t="s">
        <v>1746</v>
      </c>
      <c r="L1754" s="2">
        <v>45886</v>
      </c>
      <c r="M1754">
        <v>2407.0583999999999</v>
      </c>
      <c r="R1754" t="s">
        <v>1812</v>
      </c>
      <c r="S1754">
        <v>2407.0583999999999</v>
      </c>
      <c r="W1754" s="11" t="s">
        <v>9</v>
      </c>
      <c r="X1754" s="11" t="s">
        <v>1541</v>
      </c>
      <c r="Y1754">
        <v>2407.0583999999999</v>
      </c>
      <c r="AF1754">
        <v>2407.0583999999999</v>
      </c>
      <c r="AG1754" t="s">
        <v>1746</v>
      </c>
    </row>
    <row r="1755" spans="1:33" x14ac:dyDescent="0.3">
      <c r="A1755" t="s">
        <v>317</v>
      </c>
      <c r="B1755" s="2">
        <v>45425</v>
      </c>
      <c r="C1755">
        <v>1058.1600000000001</v>
      </c>
      <c r="D1755" t="s">
        <v>1807</v>
      </c>
      <c r="E1755">
        <v>58</v>
      </c>
      <c r="F1755" t="s">
        <v>16</v>
      </c>
      <c r="G1755" t="s">
        <v>1546</v>
      </c>
      <c r="H1755" t="s">
        <v>1742</v>
      </c>
      <c r="L1755" s="2">
        <v>45425</v>
      </c>
      <c r="M1755">
        <v>1058.1600000000001</v>
      </c>
      <c r="R1755" t="s">
        <v>1807</v>
      </c>
      <c r="S1755">
        <v>1058.1600000000001</v>
      </c>
      <c r="W1755" s="12" t="s">
        <v>16</v>
      </c>
      <c r="X1755" s="12" t="s">
        <v>1546</v>
      </c>
      <c r="Y1755">
        <v>1058.1600000000001</v>
      </c>
      <c r="AF1755">
        <v>1058.1600000000001</v>
      </c>
      <c r="AG1755" t="s">
        <v>1742</v>
      </c>
    </row>
    <row r="1756" spans="1:33" x14ac:dyDescent="0.3">
      <c r="A1756" t="s">
        <v>569</v>
      </c>
      <c r="B1756" s="2">
        <v>45797</v>
      </c>
      <c r="C1756">
        <v>380.84580000000011</v>
      </c>
      <c r="D1756" t="s">
        <v>1809</v>
      </c>
      <c r="E1756">
        <v>26</v>
      </c>
      <c r="F1756" t="s">
        <v>16</v>
      </c>
      <c r="G1756" t="s">
        <v>1546</v>
      </c>
      <c r="H1756" t="s">
        <v>1742</v>
      </c>
      <c r="L1756" s="2">
        <v>45797</v>
      </c>
      <c r="M1756">
        <v>380.84580000000011</v>
      </c>
      <c r="R1756" t="s">
        <v>1809</v>
      </c>
      <c r="S1756">
        <v>380.84580000000011</v>
      </c>
      <c r="W1756" s="11" t="s">
        <v>16</v>
      </c>
      <c r="X1756" s="11" t="s">
        <v>1546</v>
      </c>
      <c r="Y1756">
        <v>380.84580000000011</v>
      </c>
      <c r="AF1756">
        <v>380.84580000000011</v>
      </c>
      <c r="AG1756" t="s">
        <v>1742</v>
      </c>
    </row>
    <row r="1757" spans="1:33" x14ac:dyDescent="0.3">
      <c r="A1757" t="s">
        <v>735</v>
      </c>
      <c r="B1757" s="2">
        <v>45898</v>
      </c>
      <c r="C1757">
        <v>865.03629999999998</v>
      </c>
      <c r="D1757" t="s">
        <v>1807</v>
      </c>
      <c r="E1757">
        <v>22</v>
      </c>
      <c r="F1757" t="s">
        <v>16</v>
      </c>
      <c r="G1757" t="s">
        <v>1541</v>
      </c>
      <c r="H1757" t="s">
        <v>1742</v>
      </c>
      <c r="L1757" s="2">
        <v>45898</v>
      </c>
      <c r="M1757">
        <v>865.03629999999998</v>
      </c>
      <c r="R1757" t="s">
        <v>1807</v>
      </c>
      <c r="S1757">
        <v>865.03629999999998</v>
      </c>
      <c r="W1757" s="12" t="s">
        <v>16</v>
      </c>
      <c r="X1757" s="12" t="s">
        <v>1541</v>
      </c>
      <c r="Y1757">
        <v>865.03629999999998</v>
      </c>
      <c r="AF1757">
        <v>865.03629999999998</v>
      </c>
      <c r="AG1757" t="s">
        <v>1742</v>
      </c>
    </row>
    <row r="1758" spans="1:33" x14ac:dyDescent="0.3">
      <c r="A1758" t="s">
        <v>1081</v>
      </c>
      <c r="B1758" s="2">
        <v>45390</v>
      </c>
      <c r="C1758">
        <v>649.60500000000002</v>
      </c>
      <c r="D1758" t="s">
        <v>1812</v>
      </c>
      <c r="E1758">
        <v>31</v>
      </c>
      <c r="F1758" t="s">
        <v>9</v>
      </c>
      <c r="G1758" t="s">
        <v>1541</v>
      </c>
      <c r="H1758" t="s">
        <v>1742</v>
      </c>
      <c r="L1758" s="2">
        <v>45390</v>
      </c>
      <c r="M1758">
        <v>649.60500000000002</v>
      </c>
      <c r="R1758" t="s">
        <v>1812</v>
      </c>
      <c r="S1758">
        <v>649.60500000000002</v>
      </c>
      <c r="W1758" s="11" t="s">
        <v>9</v>
      </c>
      <c r="X1758" s="11" t="s">
        <v>1541</v>
      </c>
      <c r="Y1758">
        <v>649.60500000000002</v>
      </c>
      <c r="AF1758">
        <v>649.60500000000002</v>
      </c>
      <c r="AG1758" t="s">
        <v>1742</v>
      </c>
    </row>
    <row r="1759" spans="1:33" x14ac:dyDescent="0.3">
      <c r="A1759" t="s">
        <v>60</v>
      </c>
      <c r="B1759" s="2">
        <v>45355</v>
      </c>
      <c r="C1759">
        <v>1748.5209</v>
      </c>
      <c r="D1759" t="s">
        <v>1812</v>
      </c>
      <c r="E1759">
        <v>32</v>
      </c>
      <c r="F1759" t="s">
        <v>16</v>
      </c>
      <c r="G1759" t="s">
        <v>1541</v>
      </c>
      <c r="H1759" t="s">
        <v>1742</v>
      </c>
      <c r="L1759" s="2">
        <v>45355</v>
      </c>
      <c r="M1759">
        <v>1748.5209</v>
      </c>
      <c r="R1759" t="s">
        <v>1812</v>
      </c>
      <c r="S1759">
        <v>1748.5209</v>
      </c>
      <c r="W1759" s="12" t="s">
        <v>16</v>
      </c>
      <c r="X1759" s="12" t="s">
        <v>1541</v>
      </c>
      <c r="Y1759">
        <v>1748.5209</v>
      </c>
      <c r="AF1759">
        <v>1748.5209</v>
      </c>
      <c r="AG1759" t="s">
        <v>1742</v>
      </c>
    </row>
    <row r="1760" spans="1:33" x14ac:dyDescent="0.3">
      <c r="A1760" t="s">
        <v>276</v>
      </c>
      <c r="B1760" s="2">
        <v>45916</v>
      </c>
      <c r="C1760">
        <v>609.45839999999998</v>
      </c>
      <c r="D1760" t="s">
        <v>1812</v>
      </c>
      <c r="E1760">
        <v>29</v>
      </c>
      <c r="F1760" t="s">
        <v>9</v>
      </c>
      <c r="G1760" t="s">
        <v>1530</v>
      </c>
      <c r="H1760" t="s">
        <v>1737</v>
      </c>
      <c r="L1760" s="2">
        <v>45916</v>
      </c>
      <c r="M1760">
        <v>609.45839999999998</v>
      </c>
      <c r="R1760" t="s">
        <v>1812</v>
      </c>
      <c r="S1760">
        <v>609.45839999999998</v>
      </c>
      <c r="W1760" s="11" t="s">
        <v>9</v>
      </c>
      <c r="X1760" s="11" t="s">
        <v>1530</v>
      </c>
      <c r="Y1760">
        <v>609.45839999999998</v>
      </c>
      <c r="AF1760">
        <v>609.45839999999998</v>
      </c>
      <c r="AG1760" t="s">
        <v>1737</v>
      </c>
    </row>
    <row r="1761" spans="1:33" x14ac:dyDescent="0.3">
      <c r="A1761" t="s">
        <v>64</v>
      </c>
      <c r="B1761" s="2">
        <v>45448</v>
      </c>
      <c r="C1761">
        <v>2922.2952</v>
      </c>
      <c r="D1761" t="s">
        <v>1809</v>
      </c>
      <c r="E1761">
        <v>53</v>
      </c>
      <c r="F1761" t="s">
        <v>16</v>
      </c>
      <c r="G1761" t="s">
        <v>1527</v>
      </c>
      <c r="H1761" t="s">
        <v>1742</v>
      </c>
      <c r="L1761" s="2">
        <v>45448</v>
      </c>
      <c r="M1761">
        <v>2922.2952</v>
      </c>
      <c r="R1761" t="s">
        <v>1809</v>
      </c>
      <c r="S1761">
        <v>2922.2952</v>
      </c>
      <c r="W1761" s="12" t="s">
        <v>16</v>
      </c>
      <c r="X1761" s="12" t="s">
        <v>1527</v>
      </c>
      <c r="Y1761">
        <v>2922.2952</v>
      </c>
      <c r="AF1761">
        <v>2922.2952</v>
      </c>
      <c r="AG1761" t="s">
        <v>1742</v>
      </c>
    </row>
    <row r="1762" spans="1:33" x14ac:dyDescent="0.3">
      <c r="A1762" t="s">
        <v>519</v>
      </c>
      <c r="B1762" s="2">
        <v>45402</v>
      </c>
      <c r="C1762">
        <v>545.68079999999998</v>
      </c>
      <c r="D1762" t="s">
        <v>1807</v>
      </c>
      <c r="E1762">
        <v>59</v>
      </c>
      <c r="F1762" t="s">
        <v>9</v>
      </c>
      <c r="G1762" t="s">
        <v>1546</v>
      </c>
      <c r="H1762" t="s">
        <v>1742</v>
      </c>
      <c r="L1762" s="2">
        <v>45402</v>
      </c>
      <c r="M1762">
        <v>545.68079999999998</v>
      </c>
      <c r="R1762" t="s">
        <v>1807</v>
      </c>
      <c r="S1762">
        <v>545.68079999999998</v>
      </c>
      <c r="W1762" s="11" t="s">
        <v>9</v>
      </c>
      <c r="X1762" s="11" t="s">
        <v>1546</v>
      </c>
      <c r="Y1762">
        <v>545.68079999999998</v>
      </c>
      <c r="AF1762">
        <v>545.68079999999998</v>
      </c>
      <c r="AG1762" t="s">
        <v>1742</v>
      </c>
    </row>
    <row r="1763" spans="1:33" x14ac:dyDescent="0.3">
      <c r="A1763" t="s">
        <v>809</v>
      </c>
      <c r="B1763" s="2">
        <v>45581</v>
      </c>
      <c r="C1763">
        <v>99.269200000000012</v>
      </c>
      <c r="D1763" t="s">
        <v>1807</v>
      </c>
      <c r="E1763">
        <v>57</v>
      </c>
      <c r="F1763" t="s">
        <v>9</v>
      </c>
      <c r="G1763" t="s">
        <v>1527</v>
      </c>
      <c r="H1763" t="s">
        <v>1742</v>
      </c>
      <c r="L1763" s="2">
        <v>45581</v>
      </c>
      <c r="M1763">
        <v>99.269200000000012</v>
      </c>
      <c r="R1763" t="s">
        <v>1807</v>
      </c>
      <c r="S1763">
        <v>99.269200000000012</v>
      </c>
      <c r="W1763" s="12" t="s">
        <v>9</v>
      </c>
      <c r="X1763" s="12" t="s">
        <v>1527</v>
      </c>
      <c r="Y1763">
        <v>99.269200000000012</v>
      </c>
      <c r="AF1763">
        <v>99.269200000000012</v>
      </c>
      <c r="AG1763" t="s">
        <v>1742</v>
      </c>
    </row>
    <row r="1764" spans="1:33" x14ac:dyDescent="0.3">
      <c r="A1764" t="s">
        <v>203</v>
      </c>
      <c r="B1764" s="2">
        <v>45610</v>
      </c>
      <c r="C1764">
        <v>1025.8499999999999</v>
      </c>
      <c r="D1764" t="s">
        <v>1807</v>
      </c>
      <c r="E1764">
        <v>56</v>
      </c>
      <c r="F1764" t="s">
        <v>16</v>
      </c>
      <c r="G1764" t="s">
        <v>1527</v>
      </c>
      <c r="H1764" t="s">
        <v>1742</v>
      </c>
      <c r="L1764" s="2">
        <v>45610</v>
      </c>
      <c r="M1764">
        <v>1025.8499999999999</v>
      </c>
      <c r="R1764" t="s">
        <v>1807</v>
      </c>
      <c r="S1764">
        <v>1025.8499999999999</v>
      </c>
      <c r="W1764" s="11" t="s">
        <v>16</v>
      </c>
      <c r="X1764" s="11" t="s">
        <v>1527</v>
      </c>
      <c r="Y1764">
        <v>1025.8499999999999</v>
      </c>
      <c r="AF1764">
        <v>1025.8499999999999</v>
      </c>
      <c r="AG1764" t="s">
        <v>1742</v>
      </c>
    </row>
    <row r="1765" spans="1:33" x14ac:dyDescent="0.3">
      <c r="A1765" t="s">
        <v>892</v>
      </c>
      <c r="B1765" s="2">
        <v>45438</v>
      </c>
      <c r="C1765">
        <v>1140.4559999999999</v>
      </c>
      <c r="D1765" t="s">
        <v>1809</v>
      </c>
      <c r="E1765">
        <v>54</v>
      </c>
      <c r="F1765" t="s">
        <v>9</v>
      </c>
      <c r="G1765" t="s">
        <v>1549</v>
      </c>
      <c r="H1765" t="s">
        <v>1742</v>
      </c>
      <c r="L1765" s="2">
        <v>45438</v>
      </c>
      <c r="M1765">
        <v>1140.4559999999999</v>
      </c>
      <c r="R1765" t="s">
        <v>1809</v>
      </c>
      <c r="S1765">
        <v>1140.4559999999999</v>
      </c>
      <c r="W1765" s="12" t="s">
        <v>9</v>
      </c>
      <c r="X1765" s="12" t="s">
        <v>1549</v>
      </c>
      <c r="Y1765">
        <v>1140.4559999999999</v>
      </c>
      <c r="AF1765">
        <v>1140.4559999999999</v>
      </c>
      <c r="AG1765" t="s">
        <v>1742</v>
      </c>
    </row>
    <row r="1766" spans="1:33" x14ac:dyDescent="0.3">
      <c r="A1766" t="s">
        <v>398</v>
      </c>
      <c r="B1766" s="2">
        <v>45705</v>
      </c>
      <c r="C1766">
        <v>508.88639999999998</v>
      </c>
      <c r="D1766" t="s">
        <v>1812</v>
      </c>
      <c r="E1766">
        <v>18</v>
      </c>
      <c r="F1766" t="s">
        <v>16</v>
      </c>
      <c r="G1766" t="s">
        <v>1549</v>
      </c>
      <c r="H1766" t="s">
        <v>1742</v>
      </c>
      <c r="L1766" s="2">
        <v>45705</v>
      </c>
      <c r="M1766">
        <v>508.88639999999998</v>
      </c>
      <c r="R1766" t="s">
        <v>1812</v>
      </c>
      <c r="S1766">
        <v>508.88639999999998</v>
      </c>
      <c r="W1766" s="11" t="s">
        <v>16</v>
      </c>
      <c r="X1766" s="11" t="s">
        <v>1549</v>
      </c>
      <c r="Y1766">
        <v>508.88639999999998</v>
      </c>
      <c r="AF1766">
        <v>508.88639999999998</v>
      </c>
      <c r="AG1766" t="s">
        <v>1742</v>
      </c>
    </row>
    <row r="1767" spans="1:33" x14ac:dyDescent="0.3">
      <c r="A1767" t="s">
        <v>3936</v>
      </c>
      <c r="B1767" s="2">
        <v>45695</v>
      </c>
      <c r="C1767">
        <v>1181.7431999999999</v>
      </c>
      <c r="D1767" t="s">
        <v>1809</v>
      </c>
      <c r="E1767">
        <v>55</v>
      </c>
      <c r="F1767" t="s">
        <v>16</v>
      </c>
      <c r="G1767" t="s">
        <v>1530</v>
      </c>
      <c r="H1767" t="s">
        <v>1737</v>
      </c>
      <c r="L1767" s="2">
        <v>45695</v>
      </c>
      <c r="M1767">
        <v>1181.7431999999999</v>
      </c>
      <c r="R1767" t="s">
        <v>1809</v>
      </c>
      <c r="S1767">
        <v>1181.7431999999999</v>
      </c>
      <c r="W1767" s="12" t="s">
        <v>16</v>
      </c>
      <c r="X1767" s="12" t="s">
        <v>1530</v>
      </c>
      <c r="Y1767">
        <v>1181.7431999999999</v>
      </c>
      <c r="AF1767">
        <v>1181.7431999999999</v>
      </c>
      <c r="AG1767" t="s">
        <v>1737</v>
      </c>
    </row>
    <row r="1768" spans="1:33" x14ac:dyDescent="0.3">
      <c r="A1768" t="s">
        <v>1337</v>
      </c>
      <c r="B1768" s="2">
        <v>45571</v>
      </c>
      <c r="C1768">
        <v>1566.5663999999999</v>
      </c>
      <c r="D1768" t="s">
        <v>1807</v>
      </c>
      <c r="E1768">
        <v>47</v>
      </c>
      <c r="F1768" t="s">
        <v>16</v>
      </c>
      <c r="G1768" t="s">
        <v>1549</v>
      </c>
      <c r="H1768" t="s">
        <v>1767</v>
      </c>
      <c r="L1768" s="2">
        <v>45571</v>
      </c>
      <c r="M1768">
        <v>1566.5663999999999</v>
      </c>
      <c r="R1768" t="s">
        <v>1807</v>
      </c>
      <c r="S1768">
        <v>1566.5663999999999</v>
      </c>
      <c r="W1768" s="11" t="s">
        <v>16</v>
      </c>
      <c r="X1768" s="11" t="s">
        <v>1549</v>
      </c>
      <c r="Y1768">
        <v>1566.5663999999999</v>
      </c>
      <c r="AF1768">
        <v>1566.5663999999999</v>
      </c>
      <c r="AG1768" t="s">
        <v>1767</v>
      </c>
    </row>
    <row r="1769" spans="1:33" x14ac:dyDescent="0.3">
      <c r="A1769" t="s">
        <v>801</v>
      </c>
      <c r="B1769" s="2">
        <v>45544</v>
      </c>
      <c r="C1769">
        <v>568.61479999999995</v>
      </c>
      <c r="D1769" t="s">
        <v>1807</v>
      </c>
      <c r="E1769">
        <v>32</v>
      </c>
      <c r="F1769" t="s">
        <v>9</v>
      </c>
      <c r="G1769" t="s">
        <v>1546</v>
      </c>
      <c r="H1769" t="s">
        <v>1742</v>
      </c>
      <c r="L1769" s="2">
        <v>45544</v>
      </c>
      <c r="M1769">
        <v>568.61479999999995</v>
      </c>
      <c r="R1769" t="s">
        <v>1807</v>
      </c>
      <c r="S1769">
        <v>568.61479999999995</v>
      </c>
      <c r="W1769" s="12" t="s">
        <v>9</v>
      </c>
      <c r="X1769" s="12" t="s">
        <v>1546</v>
      </c>
      <c r="Y1769">
        <v>568.61479999999995</v>
      </c>
      <c r="AF1769">
        <v>568.61479999999995</v>
      </c>
      <c r="AG1769" t="s">
        <v>1742</v>
      </c>
    </row>
    <row r="1770" spans="1:33" x14ac:dyDescent="0.3">
      <c r="A1770" t="s">
        <v>1500</v>
      </c>
      <c r="B1770" s="2">
        <v>45654</v>
      </c>
      <c r="C1770">
        <v>1208.2028</v>
      </c>
      <c r="D1770" t="s">
        <v>1812</v>
      </c>
      <c r="E1770">
        <v>21</v>
      </c>
      <c r="F1770" t="s">
        <v>9</v>
      </c>
      <c r="G1770" t="s">
        <v>1549</v>
      </c>
      <c r="H1770" t="s">
        <v>1737</v>
      </c>
      <c r="L1770" s="2">
        <v>45654</v>
      </c>
      <c r="M1770">
        <v>1208.2028</v>
      </c>
      <c r="R1770" t="s">
        <v>1812</v>
      </c>
      <c r="S1770">
        <v>1208.2028</v>
      </c>
      <c r="W1770" s="11" t="s">
        <v>9</v>
      </c>
      <c r="X1770" s="11" t="s">
        <v>1549</v>
      </c>
      <c r="Y1770">
        <v>1208.2028</v>
      </c>
      <c r="AF1770">
        <v>1208.2028</v>
      </c>
      <c r="AG1770" t="s">
        <v>1737</v>
      </c>
    </row>
    <row r="1771" spans="1:33" x14ac:dyDescent="0.3">
      <c r="A1771" t="s">
        <v>1241</v>
      </c>
      <c r="B1771" s="2">
        <v>45589</v>
      </c>
      <c r="C1771">
        <v>493.64280000000002</v>
      </c>
      <c r="D1771" t="s">
        <v>1809</v>
      </c>
      <c r="E1771">
        <v>22</v>
      </c>
      <c r="F1771" t="s">
        <v>16</v>
      </c>
      <c r="G1771" t="s">
        <v>1541</v>
      </c>
      <c r="H1771" t="s">
        <v>1737</v>
      </c>
      <c r="L1771" s="2">
        <v>45589</v>
      </c>
      <c r="M1771">
        <v>493.64280000000002</v>
      </c>
      <c r="R1771" t="s">
        <v>1809</v>
      </c>
      <c r="S1771">
        <v>493.64280000000002</v>
      </c>
      <c r="W1771" s="12" t="s">
        <v>16</v>
      </c>
      <c r="X1771" s="12" t="s">
        <v>1541</v>
      </c>
      <c r="Y1771">
        <v>493.64280000000002</v>
      </c>
      <c r="AF1771">
        <v>493.64280000000002</v>
      </c>
      <c r="AG1771" t="s">
        <v>1737</v>
      </c>
    </row>
    <row r="1772" spans="1:33" x14ac:dyDescent="0.3">
      <c r="A1772" t="s">
        <v>1067</v>
      </c>
      <c r="B1772" s="2">
        <v>45487</v>
      </c>
      <c r="C1772">
        <v>2065.5936000000002</v>
      </c>
      <c r="D1772" t="s">
        <v>1807</v>
      </c>
      <c r="E1772">
        <v>39</v>
      </c>
      <c r="F1772" t="s">
        <v>9</v>
      </c>
      <c r="G1772" t="s">
        <v>1530</v>
      </c>
      <c r="H1772" t="s">
        <v>1742</v>
      </c>
      <c r="L1772" s="2">
        <v>45487</v>
      </c>
      <c r="M1772">
        <v>2065.5936000000002</v>
      </c>
      <c r="R1772" t="s">
        <v>1807</v>
      </c>
      <c r="S1772">
        <v>2065.5936000000002</v>
      </c>
      <c r="W1772" s="11" t="s">
        <v>9</v>
      </c>
      <c r="X1772" s="11" t="s">
        <v>1530</v>
      </c>
      <c r="Y1772">
        <v>2065.5936000000002</v>
      </c>
      <c r="AF1772">
        <v>2065.5936000000002</v>
      </c>
      <c r="AG1772" t="s">
        <v>1742</v>
      </c>
    </row>
    <row r="1773" spans="1:33" x14ac:dyDescent="0.3">
      <c r="A1773" t="s">
        <v>1244</v>
      </c>
      <c r="B1773" s="2">
        <v>45418</v>
      </c>
      <c r="C1773">
        <v>199.7961</v>
      </c>
      <c r="D1773" t="s">
        <v>1809</v>
      </c>
      <c r="E1773">
        <v>18</v>
      </c>
      <c r="F1773" t="s">
        <v>16</v>
      </c>
      <c r="G1773" t="s">
        <v>1527</v>
      </c>
      <c r="H1773" t="s">
        <v>1746</v>
      </c>
      <c r="L1773" s="2">
        <v>45418</v>
      </c>
      <c r="M1773">
        <v>199.7961</v>
      </c>
      <c r="R1773" t="s">
        <v>1809</v>
      </c>
      <c r="S1773">
        <v>199.7961</v>
      </c>
      <c r="W1773" s="12" t="s">
        <v>16</v>
      </c>
      <c r="X1773" s="12" t="s">
        <v>1527</v>
      </c>
      <c r="Y1773">
        <v>199.7961</v>
      </c>
      <c r="AF1773">
        <v>199.7961</v>
      </c>
      <c r="AG1773" t="s">
        <v>1746</v>
      </c>
    </row>
    <row r="1774" spans="1:33" x14ac:dyDescent="0.3">
      <c r="A1774" t="s">
        <v>1104</v>
      </c>
      <c r="B1774" s="2">
        <v>45338</v>
      </c>
      <c r="C1774">
        <v>880.66160000000002</v>
      </c>
      <c r="D1774" t="s">
        <v>1807</v>
      </c>
      <c r="E1774">
        <v>41</v>
      </c>
      <c r="F1774" t="s">
        <v>9</v>
      </c>
      <c r="G1774" t="s">
        <v>1527</v>
      </c>
      <c r="H1774" t="s">
        <v>1742</v>
      </c>
      <c r="L1774" s="2">
        <v>45338</v>
      </c>
      <c r="M1774">
        <v>880.66160000000002</v>
      </c>
      <c r="R1774" t="s">
        <v>1807</v>
      </c>
      <c r="S1774">
        <v>880.66160000000002</v>
      </c>
      <c r="W1774" s="11" t="s">
        <v>9</v>
      </c>
      <c r="X1774" s="11" t="s">
        <v>1527</v>
      </c>
      <c r="Y1774">
        <v>880.66160000000002</v>
      </c>
      <c r="AF1774">
        <v>880.66160000000002</v>
      </c>
      <c r="AG1774" t="s">
        <v>1742</v>
      </c>
    </row>
    <row r="1775" spans="1:33" x14ac:dyDescent="0.3">
      <c r="A1775" t="s">
        <v>245</v>
      </c>
      <c r="B1775" s="2">
        <v>45507</v>
      </c>
      <c r="C1775">
        <v>93.8232</v>
      </c>
      <c r="D1775" t="s">
        <v>1809</v>
      </c>
      <c r="E1775">
        <v>24</v>
      </c>
      <c r="F1775" t="s">
        <v>16</v>
      </c>
      <c r="G1775" t="s">
        <v>1549</v>
      </c>
      <c r="H1775" t="s">
        <v>1742</v>
      </c>
      <c r="L1775" s="2">
        <v>45507</v>
      </c>
      <c r="M1775">
        <v>93.8232</v>
      </c>
      <c r="R1775" t="s">
        <v>1809</v>
      </c>
      <c r="S1775">
        <v>93.8232</v>
      </c>
      <c r="W1775" s="12" t="s">
        <v>16</v>
      </c>
      <c r="X1775" s="12" t="s">
        <v>1549</v>
      </c>
      <c r="Y1775">
        <v>93.8232</v>
      </c>
      <c r="AF1775">
        <v>93.8232</v>
      </c>
      <c r="AG1775" t="s">
        <v>1742</v>
      </c>
    </row>
    <row r="1776" spans="1:33" x14ac:dyDescent="0.3">
      <c r="A1776" t="s">
        <v>1491</v>
      </c>
      <c r="B1776" s="2">
        <v>45275</v>
      </c>
      <c r="C1776">
        <v>3539.8656000000001</v>
      </c>
      <c r="D1776" t="s">
        <v>1807</v>
      </c>
      <c r="E1776">
        <v>52</v>
      </c>
      <c r="F1776" t="s">
        <v>16</v>
      </c>
      <c r="G1776" t="s">
        <v>1546</v>
      </c>
      <c r="H1776" t="s">
        <v>1742</v>
      </c>
      <c r="L1776" s="2">
        <v>45275</v>
      </c>
      <c r="M1776">
        <v>3539.8656000000001</v>
      </c>
      <c r="R1776" t="s">
        <v>1807</v>
      </c>
      <c r="S1776">
        <v>3539.8656000000001</v>
      </c>
      <c r="W1776" s="11" t="s">
        <v>16</v>
      </c>
      <c r="X1776" s="11" t="s">
        <v>1546</v>
      </c>
      <c r="Y1776">
        <v>3539.8656000000001</v>
      </c>
      <c r="AF1776">
        <v>3539.8656000000001</v>
      </c>
      <c r="AG1776" t="s">
        <v>1742</v>
      </c>
    </row>
    <row r="1777" spans="1:33" x14ac:dyDescent="0.3">
      <c r="A1777" t="s">
        <v>1022</v>
      </c>
      <c r="B1777" s="2">
        <v>45319</v>
      </c>
      <c r="C1777">
        <v>1595.0952</v>
      </c>
      <c r="D1777" t="s">
        <v>1807</v>
      </c>
      <c r="E1777">
        <v>62</v>
      </c>
      <c r="F1777" t="s">
        <v>16</v>
      </c>
      <c r="G1777" t="s">
        <v>1527</v>
      </c>
      <c r="H1777" t="s">
        <v>1742</v>
      </c>
      <c r="L1777" s="2">
        <v>45319</v>
      </c>
      <c r="M1777">
        <v>1595.0952</v>
      </c>
      <c r="R1777" t="s">
        <v>1807</v>
      </c>
      <c r="S1777">
        <v>1595.0952</v>
      </c>
      <c r="W1777" s="12" t="s">
        <v>16</v>
      </c>
      <c r="X1777" s="12" t="s">
        <v>1527</v>
      </c>
      <c r="Y1777">
        <v>1595.0952</v>
      </c>
      <c r="AF1777">
        <v>1595.0952</v>
      </c>
      <c r="AG1777" t="s">
        <v>1742</v>
      </c>
    </row>
    <row r="1778" spans="1:33" x14ac:dyDescent="0.3">
      <c r="A1778" t="s">
        <v>1022</v>
      </c>
      <c r="B1778" s="2">
        <v>45620</v>
      </c>
      <c r="C1778">
        <v>1815.7539999999999</v>
      </c>
      <c r="D1778" t="s">
        <v>1812</v>
      </c>
      <c r="E1778">
        <v>62</v>
      </c>
      <c r="F1778" t="s">
        <v>16</v>
      </c>
      <c r="G1778" t="s">
        <v>1541</v>
      </c>
      <c r="H1778" t="s">
        <v>1737</v>
      </c>
      <c r="L1778" s="2">
        <v>45620</v>
      </c>
      <c r="M1778">
        <v>1815.7539999999999</v>
      </c>
      <c r="R1778" t="s">
        <v>1812</v>
      </c>
      <c r="S1778">
        <v>1815.7539999999999</v>
      </c>
      <c r="W1778" s="11" t="s">
        <v>16</v>
      </c>
      <c r="X1778" s="11" t="s">
        <v>1541</v>
      </c>
      <c r="Y1778">
        <v>1815.7539999999999</v>
      </c>
      <c r="AF1778">
        <v>1815.7539999999999</v>
      </c>
      <c r="AG1778" t="s">
        <v>1737</v>
      </c>
    </row>
    <row r="1779" spans="1:33" x14ac:dyDescent="0.3">
      <c r="A1779" t="s">
        <v>555</v>
      </c>
      <c r="B1779" s="2">
        <v>45831</v>
      </c>
      <c r="C1779">
        <v>1308.5927999999999</v>
      </c>
      <c r="D1779" t="s">
        <v>1812</v>
      </c>
      <c r="E1779">
        <v>64</v>
      </c>
      <c r="F1779" t="s">
        <v>9</v>
      </c>
      <c r="G1779" t="s">
        <v>1546</v>
      </c>
      <c r="H1779" t="s">
        <v>1742</v>
      </c>
      <c r="L1779" s="2">
        <v>45831</v>
      </c>
      <c r="M1779">
        <v>1308.5927999999999</v>
      </c>
      <c r="R1779" t="s">
        <v>1812</v>
      </c>
      <c r="S1779">
        <v>1308.5927999999999</v>
      </c>
      <c r="W1779" s="12" t="s">
        <v>9</v>
      </c>
      <c r="X1779" s="12" t="s">
        <v>1546</v>
      </c>
      <c r="Y1779">
        <v>1308.5927999999999</v>
      </c>
      <c r="AF1779">
        <v>1308.5927999999999</v>
      </c>
      <c r="AG1779" t="s">
        <v>1742</v>
      </c>
    </row>
    <row r="1780" spans="1:33" x14ac:dyDescent="0.3">
      <c r="A1780" t="s">
        <v>245</v>
      </c>
      <c r="B1780" s="2">
        <v>45373</v>
      </c>
      <c r="C1780">
        <v>782.16000000000008</v>
      </c>
      <c r="D1780" t="s">
        <v>1812</v>
      </c>
      <c r="E1780">
        <v>24</v>
      </c>
      <c r="F1780" t="s">
        <v>16</v>
      </c>
      <c r="G1780" t="s">
        <v>1546</v>
      </c>
      <c r="H1780" t="s">
        <v>1742</v>
      </c>
      <c r="L1780" s="2">
        <v>45373</v>
      </c>
      <c r="M1780">
        <v>782.16000000000008</v>
      </c>
      <c r="R1780" t="s">
        <v>1812</v>
      </c>
      <c r="S1780">
        <v>782.16000000000008</v>
      </c>
      <c r="W1780" s="11" t="s">
        <v>16</v>
      </c>
      <c r="X1780" s="11" t="s">
        <v>1546</v>
      </c>
      <c r="Y1780">
        <v>782.16000000000008</v>
      </c>
      <c r="AF1780">
        <v>782.16000000000008</v>
      </c>
      <c r="AG1780" t="s">
        <v>1742</v>
      </c>
    </row>
    <row r="1781" spans="1:33" x14ac:dyDescent="0.3">
      <c r="A1781" t="s">
        <v>1154</v>
      </c>
      <c r="B1781" s="2">
        <v>45863</v>
      </c>
      <c r="C1781">
        <v>1876.3152</v>
      </c>
      <c r="D1781" t="s">
        <v>1807</v>
      </c>
      <c r="E1781">
        <v>60</v>
      </c>
      <c r="F1781" t="s">
        <v>9</v>
      </c>
      <c r="G1781" t="s">
        <v>1527</v>
      </c>
      <c r="H1781" t="s">
        <v>1746</v>
      </c>
      <c r="L1781" s="2">
        <v>45863</v>
      </c>
      <c r="M1781">
        <v>1876.3152</v>
      </c>
      <c r="R1781" t="s">
        <v>1807</v>
      </c>
      <c r="S1781">
        <v>1876.3152</v>
      </c>
      <c r="W1781" s="12" t="s">
        <v>9</v>
      </c>
      <c r="X1781" s="12" t="s">
        <v>1527</v>
      </c>
      <c r="Y1781">
        <v>1876.3152</v>
      </c>
      <c r="AF1781">
        <v>1876.3152</v>
      </c>
      <c r="AG1781" t="s">
        <v>1746</v>
      </c>
    </row>
    <row r="1782" spans="1:33" x14ac:dyDescent="0.3">
      <c r="A1782" t="s">
        <v>510</v>
      </c>
      <c r="B1782" s="2">
        <v>45758</v>
      </c>
      <c r="C1782">
        <v>982.22879999999998</v>
      </c>
      <c r="D1782" t="s">
        <v>1812</v>
      </c>
      <c r="E1782">
        <v>35</v>
      </c>
      <c r="F1782" t="s">
        <v>16</v>
      </c>
      <c r="G1782" t="s">
        <v>1546</v>
      </c>
      <c r="H1782" t="s">
        <v>1742</v>
      </c>
      <c r="L1782" s="2">
        <v>45758</v>
      </c>
      <c r="M1782">
        <v>982.22879999999998</v>
      </c>
      <c r="R1782" t="s">
        <v>1812</v>
      </c>
      <c r="S1782">
        <v>982.22879999999998</v>
      </c>
      <c r="W1782" s="11" t="s">
        <v>16</v>
      </c>
      <c r="X1782" s="11" t="s">
        <v>1546</v>
      </c>
      <c r="Y1782">
        <v>982.22879999999998</v>
      </c>
      <c r="AF1782">
        <v>982.22879999999998</v>
      </c>
      <c r="AG1782" t="s">
        <v>1742</v>
      </c>
    </row>
    <row r="1783" spans="1:33" x14ac:dyDescent="0.3">
      <c r="A1783" t="s">
        <v>1396</v>
      </c>
      <c r="B1783" s="2">
        <v>45285</v>
      </c>
      <c r="C1783">
        <v>517.89649999999995</v>
      </c>
      <c r="D1783" t="s">
        <v>1807</v>
      </c>
      <c r="E1783">
        <v>62</v>
      </c>
      <c r="F1783" t="s">
        <v>16</v>
      </c>
      <c r="G1783" t="s">
        <v>1546</v>
      </c>
      <c r="H1783" t="s">
        <v>1737</v>
      </c>
      <c r="L1783" s="2">
        <v>45285</v>
      </c>
      <c r="M1783">
        <v>517.89649999999995</v>
      </c>
      <c r="R1783" t="s">
        <v>1807</v>
      </c>
      <c r="S1783">
        <v>517.89649999999995</v>
      </c>
      <c r="W1783" s="12" t="s">
        <v>16</v>
      </c>
      <c r="X1783" s="12" t="s">
        <v>1546</v>
      </c>
      <c r="Y1783">
        <v>517.89649999999995</v>
      </c>
      <c r="AF1783">
        <v>517.89649999999995</v>
      </c>
      <c r="AG1783" t="s">
        <v>1737</v>
      </c>
    </row>
    <row r="1784" spans="1:33" x14ac:dyDescent="0.3">
      <c r="A1784" t="s">
        <v>356</v>
      </c>
      <c r="B1784" s="2">
        <v>45656</v>
      </c>
      <c r="C1784">
        <v>198.7782</v>
      </c>
      <c r="D1784" t="s">
        <v>1812</v>
      </c>
      <c r="E1784">
        <v>34</v>
      </c>
      <c r="F1784" t="s">
        <v>16</v>
      </c>
      <c r="G1784" t="s">
        <v>1549</v>
      </c>
      <c r="H1784" t="s">
        <v>1767</v>
      </c>
      <c r="L1784" s="2">
        <v>45656</v>
      </c>
      <c r="M1784">
        <v>198.7782</v>
      </c>
      <c r="R1784" t="s">
        <v>1812</v>
      </c>
      <c r="S1784">
        <v>198.7782</v>
      </c>
      <c r="W1784" s="11" t="s">
        <v>16</v>
      </c>
      <c r="X1784" s="11" t="s">
        <v>1549</v>
      </c>
      <c r="Y1784">
        <v>198.7782</v>
      </c>
      <c r="AF1784">
        <v>198.7782</v>
      </c>
      <c r="AG1784" t="s">
        <v>1767</v>
      </c>
    </row>
    <row r="1785" spans="1:33" x14ac:dyDescent="0.3">
      <c r="A1785" t="s">
        <v>510</v>
      </c>
      <c r="B1785" s="2">
        <v>45718</v>
      </c>
      <c r="C1785">
        <v>1814.9831999999999</v>
      </c>
      <c r="D1785" t="s">
        <v>1807</v>
      </c>
      <c r="E1785">
        <v>35</v>
      </c>
      <c r="F1785" t="s">
        <v>16</v>
      </c>
      <c r="G1785" t="s">
        <v>1527</v>
      </c>
      <c r="H1785" t="s">
        <v>1742</v>
      </c>
      <c r="L1785" s="2">
        <v>45718</v>
      </c>
      <c r="M1785">
        <v>1814.9831999999999</v>
      </c>
      <c r="R1785" t="s">
        <v>1807</v>
      </c>
      <c r="S1785">
        <v>1814.9831999999999</v>
      </c>
      <c r="W1785" s="12" t="s">
        <v>16</v>
      </c>
      <c r="X1785" s="12" t="s">
        <v>1527</v>
      </c>
      <c r="Y1785">
        <v>1814.9831999999999</v>
      </c>
      <c r="AF1785">
        <v>1814.9831999999999</v>
      </c>
      <c r="AG1785" t="s">
        <v>1742</v>
      </c>
    </row>
    <row r="1786" spans="1:33" x14ac:dyDescent="0.3">
      <c r="A1786" t="s">
        <v>1107</v>
      </c>
      <c r="B1786" s="2">
        <v>45293</v>
      </c>
      <c r="C1786">
        <v>1278.4896000000001</v>
      </c>
      <c r="D1786" t="s">
        <v>1812</v>
      </c>
      <c r="E1786">
        <v>60</v>
      </c>
      <c r="F1786" t="s">
        <v>16</v>
      </c>
      <c r="G1786" t="s">
        <v>1541</v>
      </c>
      <c r="H1786" t="s">
        <v>1742</v>
      </c>
      <c r="L1786" s="2">
        <v>45293</v>
      </c>
      <c r="M1786">
        <v>1278.4896000000001</v>
      </c>
      <c r="R1786" t="s">
        <v>1812</v>
      </c>
      <c r="S1786">
        <v>1278.4896000000001</v>
      </c>
      <c r="W1786" s="11" t="s">
        <v>16</v>
      </c>
      <c r="X1786" s="11" t="s">
        <v>1541</v>
      </c>
      <c r="Y1786">
        <v>1278.4896000000001</v>
      </c>
      <c r="AF1786">
        <v>1278.4896000000001</v>
      </c>
      <c r="AG1786" t="s">
        <v>1742</v>
      </c>
    </row>
    <row r="1787" spans="1:33" x14ac:dyDescent="0.3">
      <c r="A1787" t="s">
        <v>1016</v>
      </c>
      <c r="B1787" s="2">
        <v>45915</v>
      </c>
      <c r="C1787">
        <v>339.2466</v>
      </c>
      <c r="D1787" t="s">
        <v>1809</v>
      </c>
      <c r="E1787">
        <v>62</v>
      </c>
      <c r="F1787" t="s">
        <v>16</v>
      </c>
      <c r="G1787" t="s">
        <v>1546</v>
      </c>
      <c r="H1787" t="s">
        <v>1742</v>
      </c>
      <c r="L1787" s="2">
        <v>45915</v>
      </c>
      <c r="M1787">
        <v>339.2466</v>
      </c>
      <c r="R1787" t="s">
        <v>1809</v>
      </c>
      <c r="S1787">
        <v>339.2466</v>
      </c>
      <c r="W1787" s="12" t="s">
        <v>16</v>
      </c>
      <c r="X1787" s="12" t="s">
        <v>1546</v>
      </c>
      <c r="Y1787">
        <v>339.2466</v>
      </c>
      <c r="AF1787">
        <v>339.2466</v>
      </c>
      <c r="AG1787" t="s">
        <v>1742</v>
      </c>
    </row>
    <row r="1788" spans="1:33" x14ac:dyDescent="0.3">
      <c r="A1788" t="s">
        <v>587</v>
      </c>
      <c r="B1788" s="2">
        <v>45359</v>
      </c>
      <c r="C1788">
        <v>1343.0316</v>
      </c>
      <c r="D1788" t="s">
        <v>1807</v>
      </c>
      <c r="E1788">
        <v>38</v>
      </c>
      <c r="F1788" t="s">
        <v>9</v>
      </c>
      <c r="G1788" t="s">
        <v>1549</v>
      </c>
      <c r="H1788" t="s">
        <v>1742</v>
      </c>
      <c r="L1788" s="2">
        <v>45359</v>
      </c>
      <c r="M1788">
        <v>1343.0316</v>
      </c>
      <c r="R1788" t="s">
        <v>1807</v>
      </c>
      <c r="S1788">
        <v>1343.0316</v>
      </c>
      <c r="W1788" s="11" t="s">
        <v>9</v>
      </c>
      <c r="X1788" s="11" t="s">
        <v>1549</v>
      </c>
      <c r="Y1788">
        <v>1343.0316</v>
      </c>
      <c r="AF1788">
        <v>1343.0316</v>
      </c>
      <c r="AG1788" t="s">
        <v>1742</v>
      </c>
    </row>
    <row r="1789" spans="1:33" x14ac:dyDescent="0.3">
      <c r="A1789" t="s">
        <v>1304</v>
      </c>
      <c r="B1789" s="2">
        <v>45652</v>
      </c>
      <c r="C1789">
        <v>361.49579999999997</v>
      </c>
      <c r="D1789" t="s">
        <v>1809</v>
      </c>
      <c r="E1789">
        <v>28</v>
      </c>
      <c r="F1789" t="s">
        <v>9</v>
      </c>
      <c r="G1789" t="s">
        <v>1530</v>
      </c>
      <c r="H1789" t="s">
        <v>1742</v>
      </c>
      <c r="L1789" s="2">
        <v>45652</v>
      </c>
      <c r="M1789">
        <v>361.49579999999997</v>
      </c>
      <c r="R1789" t="s">
        <v>1809</v>
      </c>
      <c r="S1789">
        <v>361.49579999999997</v>
      </c>
      <c r="W1789" s="12" t="s">
        <v>9</v>
      </c>
      <c r="X1789" s="12" t="s">
        <v>1530</v>
      </c>
      <c r="Y1789">
        <v>361.49579999999997</v>
      </c>
      <c r="AF1789">
        <v>361.49579999999997</v>
      </c>
      <c r="AG1789" t="s">
        <v>1742</v>
      </c>
    </row>
    <row r="1790" spans="1:33" x14ac:dyDescent="0.3">
      <c r="A1790" t="s">
        <v>679</v>
      </c>
      <c r="B1790" s="2">
        <v>45735</v>
      </c>
      <c r="C1790">
        <v>318.30759999999998</v>
      </c>
      <c r="D1790" t="s">
        <v>1809</v>
      </c>
      <c r="E1790">
        <v>20</v>
      </c>
      <c r="F1790" t="s">
        <v>16</v>
      </c>
      <c r="G1790" t="s">
        <v>1527</v>
      </c>
      <c r="H1790" t="s">
        <v>1742</v>
      </c>
      <c r="L1790" s="2">
        <v>45735</v>
      </c>
      <c r="M1790">
        <v>318.30759999999998</v>
      </c>
      <c r="R1790" t="s">
        <v>1809</v>
      </c>
      <c r="S1790">
        <v>318.30759999999998</v>
      </c>
      <c r="W1790" s="11" t="s">
        <v>16</v>
      </c>
      <c r="X1790" s="11" t="s">
        <v>1527</v>
      </c>
      <c r="Y1790">
        <v>318.30759999999998</v>
      </c>
      <c r="AF1790">
        <v>318.30759999999998</v>
      </c>
      <c r="AG1790" t="s">
        <v>1742</v>
      </c>
    </row>
    <row r="1791" spans="1:33" x14ac:dyDescent="0.3">
      <c r="A1791" t="s">
        <v>566</v>
      </c>
      <c r="B1791" s="2">
        <v>45579</v>
      </c>
      <c r="C1791">
        <v>751.27260000000001</v>
      </c>
      <c r="D1791" t="s">
        <v>1807</v>
      </c>
      <c r="E1791">
        <v>41</v>
      </c>
      <c r="F1791" t="s">
        <v>16</v>
      </c>
      <c r="G1791" t="s">
        <v>1549</v>
      </c>
      <c r="H1791" t="s">
        <v>1742</v>
      </c>
      <c r="L1791" s="2">
        <v>45579</v>
      </c>
      <c r="M1791">
        <v>751.27260000000001</v>
      </c>
      <c r="R1791" t="s">
        <v>1807</v>
      </c>
      <c r="S1791">
        <v>751.27260000000001</v>
      </c>
      <c r="W1791" s="12" t="s">
        <v>16</v>
      </c>
      <c r="X1791" s="12" t="s">
        <v>1549</v>
      </c>
      <c r="Y1791">
        <v>751.27260000000001</v>
      </c>
      <c r="AF1791">
        <v>751.27260000000001</v>
      </c>
      <c r="AG1791" t="s">
        <v>1742</v>
      </c>
    </row>
    <row r="1792" spans="1:33" x14ac:dyDescent="0.3">
      <c r="A1792" t="s">
        <v>276</v>
      </c>
      <c r="B1792" s="2">
        <v>45721</v>
      </c>
      <c r="C1792">
        <v>615.08299999999997</v>
      </c>
      <c r="D1792" t="s">
        <v>1809</v>
      </c>
      <c r="E1792">
        <v>29</v>
      </c>
      <c r="F1792" t="s">
        <v>9</v>
      </c>
      <c r="G1792" t="s">
        <v>1549</v>
      </c>
      <c r="H1792" t="s">
        <v>1742</v>
      </c>
      <c r="L1792" s="2">
        <v>45721</v>
      </c>
      <c r="M1792">
        <v>615.08299999999997</v>
      </c>
      <c r="R1792" t="s">
        <v>1809</v>
      </c>
      <c r="S1792">
        <v>615.08299999999997</v>
      </c>
      <c r="W1792" s="11" t="s">
        <v>9</v>
      </c>
      <c r="X1792" s="11" t="s">
        <v>1549</v>
      </c>
      <c r="Y1792">
        <v>615.08299999999997</v>
      </c>
      <c r="AF1792">
        <v>615.08299999999997</v>
      </c>
      <c r="AG1792" t="s">
        <v>1742</v>
      </c>
    </row>
    <row r="1793" spans="1:33" x14ac:dyDescent="0.3">
      <c r="A1793" t="s">
        <v>1178</v>
      </c>
      <c r="B1793" s="2">
        <v>45446</v>
      </c>
      <c r="C1793">
        <v>153.11150000000001</v>
      </c>
      <c r="D1793" t="s">
        <v>1807</v>
      </c>
      <c r="E1793">
        <v>20</v>
      </c>
      <c r="F1793" t="s">
        <v>16</v>
      </c>
      <c r="G1793" t="s">
        <v>1527</v>
      </c>
      <c r="H1793" t="s">
        <v>1742</v>
      </c>
      <c r="L1793" s="2">
        <v>45446</v>
      </c>
      <c r="M1793">
        <v>153.11150000000001</v>
      </c>
      <c r="R1793" t="s">
        <v>1807</v>
      </c>
      <c r="S1793">
        <v>153.11150000000001</v>
      </c>
      <c r="W1793" s="12" t="s">
        <v>16</v>
      </c>
      <c r="X1793" s="12" t="s">
        <v>1527</v>
      </c>
      <c r="Y1793">
        <v>153.11150000000001</v>
      </c>
      <c r="AF1793">
        <v>153.11150000000001</v>
      </c>
      <c r="AG1793" t="s">
        <v>1742</v>
      </c>
    </row>
    <row r="1794" spans="1:33" x14ac:dyDescent="0.3">
      <c r="A1794" t="s">
        <v>691</v>
      </c>
      <c r="B1794" s="2">
        <v>45387</v>
      </c>
      <c r="C1794">
        <v>1123.434</v>
      </c>
      <c r="D1794" t="s">
        <v>1812</v>
      </c>
      <c r="E1794">
        <v>50</v>
      </c>
      <c r="F1794" t="s">
        <v>16</v>
      </c>
      <c r="G1794" t="s">
        <v>1549</v>
      </c>
      <c r="H1794" t="s">
        <v>1742</v>
      </c>
      <c r="L1794" s="2">
        <v>45387</v>
      </c>
      <c r="M1794">
        <v>1123.434</v>
      </c>
      <c r="R1794" t="s">
        <v>1812</v>
      </c>
      <c r="S1794">
        <v>1123.434</v>
      </c>
      <c r="W1794" s="11" t="s">
        <v>16</v>
      </c>
      <c r="X1794" s="11" t="s">
        <v>1549</v>
      </c>
      <c r="Y1794">
        <v>1123.434</v>
      </c>
      <c r="AF1794">
        <v>1123.434</v>
      </c>
      <c r="AG1794" t="s">
        <v>1742</v>
      </c>
    </row>
    <row r="1795" spans="1:33" x14ac:dyDescent="0.3">
      <c r="A1795" t="s">
        <v>3946</v>
      </c>
      <c r="B1795" s="2">
        <v>45222</v>
      </c>
      <c r="C1795">
        <v>354.56400000000002</v>
      </c>
      <c r="D1795" t="s">
        <v>1812</v>
      </c>
      <c r="E1795">
        <v>55</v>
      </c>
      <c r="F1795" t="s">
        <v>9</v>
      </c>
      <c r="G1795" t="s">
        <v>1546</v>
      </c>
      <c r="H1795" t="s">
        <v>1767</v>
      </c>
      <c r="L1795" s="2">
        <v>45222</v>
      </c>
      <c r="M1795">
        <v>354.56400000000002</v>
      </c>
      <c r="R1795" t="s">
        <v>1812</v>
      </c>
      <c r="S1795">
        <v>354.56400000000002</v>
      </c>
      <c r="W1795" s="12" t="s">
        <v>9</v>
      </c>
      <c r="X1795" s="12" t="s">
        <v>1546</v>
      </c>
      <c r="Y1795">
        <v>354.56400000000002</v>
      </c>
      <c r="AF1795">
        <v>354.56400000000002</v>
      </c>
      <c r="AG1795" t="s">
        <v>1767</v>
      </c>
    </row>
    <row r="1796" spans="1:33" x14ac:dyDescent="0.3">
      <c r="A1796" t="s">
        <v>735</v>
      </c>
      <c r="B1796" s="2">
        <v>45402</v>
      </c>
      <c r="C1796">
        <v>553.68640000000005</v>
      </c>
      <c r="D1796" t="s">
        <v>1809</v>
      </c>
      <c r="E1796">
        <v>22</v>
      </c>
      <c r="F1796" t="s">
        <v>16</v>
      </c>
      <c r="G1796" t="s">
        <v>1549</v>
      </c>
      <c r="H1796" t="s">
        <v>1737</v>
      </c>
      <c r="L1796" s="2">
        <v>45402</v>
      </c>
      <c r="M1796">
        <v>553.68640000000005</v>
      </c>
      <c r="R1796" t="s">
        <v>1809</v>
      </c>
      <c r="S1796">
        <v>553.68640000000005</v>
      </c>
      <c r="W1796" s="11" t="s">
        <v>16</v>
      </c>
      <c r="X1796" s="11" t="s">
        <v>1549</v>
      </c>
      <c r="Y1796">
        <v>553.68640000000005</v>
      </c>
      <c r="AF1796">
        <v>553.68640000000005</v>
      </c>
      <c r="AG1796" t="s">
        <v>1737</v>
      </c>
    </row>
    <row r="1797" spans="1:33" x14ac:dyDescent="0.3">
      <c r="A1797" t="s">
        <v>28</v>
      </c>
      <c r="B1797" s="2">
        <v>45455</v>
      </c>
      <c r="C1797">
        <v>1078.8173999999999</v>
      </c>
      <c r="D1797" t="s">
        <v>1812</v>
      </c>
      <c r="E1797">
        <v>24</v>
      </c>
      <c r="F1797" t="s">
        <v>9</v>
      </c>
      <c r="G1797" t="s">
        <v>1530</v>
      </c>
      <c r="H1797" t="s">
        <v>1746</v>
      </c>
      <c r="L1797" s="2">
        <v>45455</v>
      </c>
      <c r="M1797">
        <v>1078.8173999999999</v>
      </c>
      <c r="R1797" t="s">
        <v>1812</v>
      </c>
      <c r="S1797">
        <v>1078.8173999999999</v>
      </c>
      <c r="W1797" s="12" t="s">
        <v>9</v>
      </c>
      <c r="X1797" s="12" t="s">
        <v>1530</v>
      </c>
      <c r="Y1797">
        <v>1078.8173999999999</v>
      </c>
      <c r="AF1797">
        <v>1078.8173999999999</v>
      </c>
      <c r="AG1797" t="s">
        <v>1746</v>
      </c>
    </row>
    <row r="1798" spans="1:33" x14ac:dyDescent="0.3">
      <c r="A1798" t="s">
        <v>661</v>
      </c>
      <c r="B1798" s="2">
        <v>45877</v>
      </c>
      <c r="C1798">
        <v>790.76589999999999</v>
      </c>
      <c r="D1798" t="s">
        <v>1807</v>
      </c>
      <c r="E1798">
        <v>44</v>
      </c>
      <c r="F1798" t="s">
        <v>16</v>
      </c>
      <c r="G1798" t="s">
        <v>1530</v>
      </c>
      <c r="H1798" t="s">
        <v>1737</v>
      </c>
      <c r="L1798" s="2">
        <v>45877</v>
      </c>
      <c r="M1798">
        <v>790.76589999999999</v>
      </c>
      <c r="R1798" t="s">
        <v>1807</v>
      </c>
      <c r="S1798">
        <v>790.76589999999999</v>
      </c>
      <c r="W1798" s="11" t="s">
        <v>16</v>
      </c>
      <c r="X1798" s="11" t="s">
        <v>1530</v>
      </c>
      <c r="Y1798">
        <v>790.76589999999999</v>
      </c>
      <c r="AF1798">
        <v>790.76589999999999</v>
      </c>
      <c r="AG1798" t="s">
        <v>1737</v>
      </c>
    </row>
    <row r="1799" spans="1:33" x14ac:dyDescent="0.3">
      <c r="A1799" t="s">
        <v>302</v>
      </c>
      <c r="B1799" s="2">
        <v>45875</v>
      </c>
      <c r="C1799">
        <v>2462.34</v>
      </c>
      <c r="D1799" t="s">
        <v>1807</v>
      </c>
      <c r="E1799">
        <v>36</v>
      </c>
      <c r="F1799" t="s">
        <v>9</v>
      </c>
      <c r="G1799" t="s">
        <v>1527</v>
      </c>
      <c r="H1799" t="s">
        <v>1742</v>
      </c>
      <c r="L1799" s="2">
        <v>45875</v>
      </c>
      <c r="M1799">
        <v>2462.34</v>
      </c>
      <c r="R1799" t="s">
        <v>1807</v>
      </c>
      <c r="S1799">
        <v>2462.34</v>
      </c>
      <c r="W1799" s="12" t="s">
        <v>9</v>
      </c>
      <c r="X1799" s="12" t="s">
        <v>1527</v>
      </c>
      <c r="Y1799">
        <v>2462.34</v>
      </c>
      <c r="AF1799">
        <v>2462.34</v>
      </c>
      <c r="AG1799" t="s">
        <v>1742</v>
      </c>
    </row>
    <row r="1800" spans="1:33" x14ac:dyDescent="0.3">
      <c r="A1800" t="s">
        <v>1064</v>
      </c>
      <c r="B1800" s="2">
        <v>45592</v>
      </c>
      <c r="C1800">
        <v>940.69</v>
      </c>
      <c r="D1800" t="s">
        <v>1807</v>
      </c>
      <c r="E1800">
        <v>38</v>
      </c>
      <c r="F1800" t="s">
        <v>9</v>
      </c>
      <c r="G1800" t="s">
        <v>1549</v>
      </c>
      <c r="H1800" t="s">
        <v>1742</v>
      </c>
      <c r="L1800" s="2">
        <v>45592</v>
      </c>
      <c r="M1800">
        <v>940.69</v>
      </c>
      <c r="R1800" t="s">
        <v>1807</v>
      </c>
      <c r="S1800">
        <v>940.69</v>
      </c>
      <c r="W1800" s="11" t="s">
        <v>9</v>
      </c>
      <c r="X1800" s="11" t="s">
        <v>1549</v>
      </c>
      <c r="Y1800">
        <v>940.69</v>
      </c>
      <c r="AF1800">
        <v>940.69</v>
      </c>
      <c r="AG1800" t="s">
        <v>1742</v>
      </c>
    </row>
    <row r="1801" spans="1:33" x14ac:dyDescent="0.3">
      <c r="A1801" t="s">
        <v>727</v>
      </c>
      <c r="B1801" s="2">
        <v>45369</v>
      </c>
      <c r="C1801">
        <v>1347.4559999999999</v>
      </c>
      <c r="D1801" t="s">
        <v>1812</v>
      </c>
      <c r="E1801">
        <v>52</v>
      </c>
      <c r="F1801" t="s">
        <v>16</v>
      </c>
      <c r="G1801" t="s">
        <v>1527</v>
      </c>
      <c r="H1801" t="s">
        <v>1767</v>
      </c>
      <c r="L1801" s="2">
        <v>45369</v>
      </c>
      <c r="M1801">
        <v>1347.4559999999999</v>
      </c>
      <c r="R1801" t="s">
        <v>1812</v>
      </c>
      <c r="S1801">
        <v>1347.4559999999999</v>
      </c>
      <c r="W1801" s="12" t="s">
        <v>16</v>
      </c>
      <c r="X1801" s="12" t="s">
        <v>1527</v>
      </c>
      <c r="Y1801">
        <v>1347.4559999999999</v>
      </c>
      <c r="AF1801">
        <v>1347.4559999999999</v>
      </c>
      <c r="AG1801" t="s">
        <v>1767</v>
      </c>
    </row>
    <row r="1802" spans="1:33" x14ac:dyDescent="0.3">
      <c r="A1802" t="s">
        <v>886</v>
      </c>
      <c r="B1802" s="2">
        <v>45249</v>
      </c>
      <c r="C1802">
        <v>763.15719999999999</v>
      </c>
      <c r="D1802" t="s">
        <v>1812</v>
      </c>
      <c r="E1802">
        <v>46</v>
      </c>
      <c r="F1802" t="s">
        <v>16</v>
      </c>
      <c r="G1802" t="s">
        <v>1549</v>
      </c>
      <c r="H1802" t="s">
        <v>1767</v>
      </c>
      <c r="L1802" s="2">
        <v>45249</v>
      </c>
      <c r="M1802">
        <v>763.15719999999999</v>
      </c>
      <c r="R1802" t="s">
        <v>1812</v>
      </c>
      <c r="S1802">
        <v>763.15719999999999</v>
      </c>
      <c r="W1802" s="11" t="s">
        <v>16</v>
      </c>
      <c r="X1802" s="11" t="s">
        <v>1549</v>
      </c>
      <c r="Y1802">
        <v>763.15719999999999</v>
      </c>
      <c r="AF1802">
        <v>763.15719999999999</v>
      </c>
      <c r="AG1802" t="s">
        <v>1767</v>
      </c>
    </row>
    <row r="1803" spans="1:33" x14ac:dyDescent="0.3">
      <c r="A1803" t="s">
        <v>1282</v>
      </c>
      <c r="B1803" s="2">
        <v>45741</v>
      </c>
      <c r="C1803">
        <v>285.83940000000001</v>
      </c>
      <c r="D1803" t="s">
        <v>1809</v>
      </c>
      <c r="E1803">
        <v>60</v>
      </c>
      <c r="F1803" t="s">
        <v>16</v>
      </c>
      <c r="G1803" t="s">
        <v>1549</v>
      </c>
      <c r="H1803" t="s">
        <v>1742</v>
      </c>
      <c r="L1803" s="2">
        <v>45741</v>
      </c>
      <c r="M1803">
        <v>285.83940000000001</v>
      </c>
      <c r="R1803" t="s">
        <v>1809</v>
      </c>
      <c r="S1803">
        <v>285.83940000000001</v>
      </c>
      <c r="W1803" s="12" t="s">
        <v>16</v>
      </c>
      <c r="X1803" s="12" t="s">
        <v>1549</v>
      </c>
      <c r="Y1803">
        <v>285.83940000000001</v>
      </c>
      <c r="AF1803">
        <v>285.83940000000001</v>
      </c>
      <c r="AG1803" t="s">
        <v>1742</v>
      </c>
    </row>
    <row r="1804" spans="1:33" x14ac:dyDescent="0.3">
      <c r="A1804" t="s">
        <v>64</v>
      </c>
      <c r="B1804" s="2">
        <v>45427</v>
      </c>
      <c r="C1804">
        <v>2324.556</v>
      </c>
      <c r="D1804" t="s">
        <v>1809</v>
      </c>
      <c r="E1804">
        <v>53</v>
      </c>
      <c r="F1804" t="s">
        <v>16</v>
      </c>
      <c r="G1804" t="s">
        <v>1546</v>
      </c>
      <c r="H1804" t="s">
        <v>1742</v>
      </c>
      <c r="L1804" s="2">
        <v>45427</v>
      </c>
      <c r="M1804">
        <v>2324.556</v>
      </c>
      <c r="R1804" t="s">
        <v>1809</v>
      </c>
      <c r="S1804">
        <v>2324.556</v>
      </c>
      <c r="W1804" s="11" t="s">
        <v>16</v>
      </c>
      <c r="X1804" s="11" t="s">
        <v>1546</v>
      </c>
      <c r="Y1804">
        <v>2324.556</v>
      </c>
      <c r="AF1804">
        <v>2324.556</v>
      </c>
      <c r="AG1804" t="s">
        <v>1742</v>
      </c>
    </row>
    <row r="1805" spans="1:33" x14ac:dyDescent="0.3">
      <c r="A1805" t="s">
        <v>3935</v>
      </c>
      <c r="B1805" s="2">
        <v>45736</v>
      </c>
      <c r="C1805">
        <v>1232.952</v>
      </c>
      <c r="D1805" t="s">
        <v>1807</v>
      </c>
      <c r="E1805">
        <v>27</v>
      </c>
      <c r="F1805" t="s">
        <v>16</v>
      </c>
      <c r="G1805" t="s">
        <v>1527</v>
      </c>
      <c r="H1805" t="s">
        <v>1742</v>
      </c>
      <c r="L1805" s="2">
        <v>45736</v>
      </c>
      <c r="M1805">
        <v>1232.952</v>
      </c>
      <c r="R1805" t="s">
        <v>1807</v>
      </c>
      <c r="S1805">
        <v>1232.952</v>
      </c>
      <c r="W1805" s="12" t="s">
        <v>16</v>
      </c>
      <c r="X1805" s="12" t="s">
        <v>1527</v>
      </c>
      <c r="Y1805">
        <v>1232.952</v>
      </c>
      <c r="AF1805">
        <v>1232.952</v>
      </c>
      <c r="AG1805" t="s">
        <v>1742</v>
      </c>
    </row>
    <row r="1806" spans="1:33" x14ac:dyDescent="0.3">
      <c r="A1806" t="s">
        <v>768</v>
      </c>
      <c r="B1806" s="2">
        <v>45941</v>
      </c>
      <c r="C1806">
        <v>341.00299999999999</v>
      </c>
      <c r="D1806" t="s">
        <v>1812</v>
      </c>
      <c r="E1806">
        <v>58</v>
      </c>
      <c r="F1806" t="s">
        <v>16</v>
      </c>
      <c r="G1806" t="s">
        <v>1530</v>
      </c>
      <c r="H1806" t="s">
        <v>1742</v>
      </c>
      <c r="L1806" s="2">
        <v>45941</v>
      </c>
      <c r="M1806">
        <v>341.00299999999999</v>
      </c>
      <c r="R1806" t="s">
        <v>1812</v>
      </c>
      <c r="S1806">
        <v>341.00299999999999</v>
      </c>
      <c r="W1806" s="11" t="s">
        <v>16</v>
      </c>
      <c r="X1806" s="11" t="s">
        <v>1530</v>
      </c>
      <c r="Y1806">
        <v>341.00299999999999</v>
      </c>
      <c r="AF1806">
        <v>341.00299999999999</v>
      </c>
      <c r="AG1806" t="s">
        <v>1742</v>
      </c>
    </row>
    <row r="1807" spans="1:33" x14ac:dyDescent="0.3">
      <c r="A1807" t="s">
        <v>1133</v>
      </c>
      <c r="B1807" s="2">
        <v>45486</v>
      </c>
      <c r="C1807">
        <v>1737.9911999999999</v>
      </c>
      <c r="D1807" t="s">
        <v>1812</v>
      </c>
      <c r="E1807">
        <v>51</v>
      </c>
      <c r="F1807" t="s">
        <v>9</v>
      </c>
      <c r="G1807" t="s">
        <v>1530</v>
      </c>
      <c r="H1807" t="s">
        <v>1742</v>
      </c>
      <c r="L1807" s="2">
        <v>45486</v>
      </c>
      <c r="M1807">
        <v>1737.9911999999999</v>
      </c>
      <c r="R1807" t="s">
        <v>1812</v>
      </c>
      <c r="S1807">
        <v>1737.9911999999999</v>
      </c>
      <c r="W1807" s="12" t="s">
        <v>9</v>
      </c>
      <c r="X1807" s="12" t="s">
        <v>1530</v>
      </c>
      <c r="Y1807">
        <v>1737.9911999999999</v>
      </c>
      <c r="AF1807">
        <v>1737.9911999999999</v>
      </c>
      <c r="AG1807" t="s">
        <v>1742</v>
      </c>
    </row>
    <row r="1808" spans="1:33" x14ac:dyDescent="0.3">
      <c r="A1808" t="s">
        <v>652</v>
      </c>
      <c r="B1808" s="2">
        <v>45474</v>
      </c>
      <c r="C1808">
        <v>1765.1759999999999</v>
      </c>
      <c r="D1808" t="s">
        <v>1807</v>
      </c>
      <c r="E1808">
        <v>37</v>
      </c>
      <c r="F1808" t="s">
        <v>16</v>
      </c>
      <c r="G1808" t="s">
        <v>1541</v>
      </c>
      <c r="H1808" t="s">
        <v>1742</v>
      </c>
      <c r="L1808" s="2">
        <v>45474</v>
      </c>
      <c r="M1808">
        <v>1765.1759999999999</v>
      </c>
      <c r="R1808" t="s">
        <v>1807</v>
      </c>
      <c r="S1808">
        <v>1765.1759999999999</v>
      </c>
      <c r="W1808" s="11" t="s">
        <v>16</v>
      </c>
      <c r="X1808" s="11" t="s">
        <v>1541</v>
      </c>
      <c r="Y1808">
        <v>1765.1759999999999</v>
      </c>
      <c r="AF1808">
        <v>1765.1759999999999</v>
      </c>
      <c r="AG1808" t="s">
        <v>1742</v>
      </c>
    </row>
    <row r="1809" spans="1:33" x14ac:dyDescent="0.3">
      <c r="A1809" t="s">
        <v>486</v>
      </c>
      <c r="B1809" s="2">
        <v>45757</v>
      </c>
      <c r="C1809">
        <v>127.794</v>
      </c>
      <c r="D1809" t="s">
        <v>1807</v>
      </c>
      <c r="E1809">
        <v>32</v>
      </c>
      <c r="F1809" t="s">
        <v>16</v>
      </c>
      <c r="G1809" t="s">
        <v>1541</v>
      </c>
      <c r="H1809" t="s">
        <v>1742</v>
      </c>
      <c r="L1809" s="2">
        <v>45757</v>
      </c>
      <c r="M1809">
        <v>127.794</v>
      </c>
      <c r="R1809" t="s">
        <v>1807</v>
      </c>
      <c r="S1809">
        <v>127.794</v>
      </c>
      <c r="W1809" s="12" t="s">
        <v>16</v>
      </c>
      <c r="X1809" s="12" t="s">
        <v>1541</v>
      </c>
      <c r="Y1809">
        <v>127.794</v>
      </c>
      <c r="AF1809">
        <v>127.794</v>
      </c>
      <c r="AG1809" t="s">
        <v>1742</v>
      </c>
    </row>
    <row r="1810" spans="1:33" x14ac:dyDescent="0.3">
      <c r="A1810" t="s">
        <v>141</v>
      </c>
      <c r="B1810" s="2">
        <v>45475</v>
      </c>
      <c r="C1810">
        <v>491.46989999999988</v>
      </c>
      <c r="D1810" t="s">
        <v>1812</v>
      </c>
      <c r="E1810">
        <v>20</v>
      </c>
      <c r="F1810" t="s">
        <v>16</v>
      </c>
      <c r="G1810" t="s">
        <v>1541</v>
      </c>
      <c r="H1810" t="s">
        <v>1737</v>
      </c>
      <c r="L1810" s="2">
        <v>45475</v>
      </c>
      <c r="M1810">
        <v>491.46989999999988</v>
      </c>
      <c r="R1810" t="s">
        <v>1812</v>
      </c>
      <c r="S1810">
        <v>491.46989999999988</v>
      </c>
      <c r="W1810" s="11" t="s">
        <v>16</v>
      </c>
      <c r="X1810" s="11" t="s">
        <v>1541</v>
      </c>
      <c r="Y1810">
        <v>491.46989999999988</v>
      </c>
      <c r="AF1810">
        <v>491.46989999999988</v>
      </c>
      <c r="AG1810" t="s">
        <v>1737</v>
      </c>
    </row>
    <row r="1811" spans="1:33" x14ac:dyDescent="0.3">
      <c r="A1811" t="s">
        <v>337</v>
      </c>
      <c r="B1811" s="2">
        <v>45546</v>
      </c>
      <c r="C1811">
        <v>133.339</v>
      </c>
      <c r="D1811" t="s">
        <v>1809</v>
      </c>
      <c r="E1811">
        <v>30</v>
      </c>
      <c r="F1811" t="s">
        <v>16</v>
      </c>
      <c r="G1811" t="s">
        <v>1541</v>
      </c>
      <c r="H1811" t="s">
        <v>1742</v>
      </c>
      <c r="L1811" s="2">
        <v>45546</v>
      </c>
      <c r="M1811">
        <v>133.339</v>
      </c>
      <c r="R1811" t="s">
        <v>1809</v>
      </c>
      <c r="S1811">
        <v>133.339</v>
      </c>
      <c r="W1811" s="12" t="s">
        <v>16</v>
      </c>
      <c r="X1811" s="12" t="s">
        <v>1541</v>
      </c>
      <c r="Y1811">
        <v>133.339</v>
      </c>
      <c r="AF1811">
        <v>133.339</v>
      </c>
      <c r="AG1811" t="s">
        <v>1742</v>
      </c>
    </row>
    <row r="1812" spans="1:33" x14ac:dyDescent="0.3">
      <c r="A1812" t="s">
        <v>957</v>
      </c>
      <c r="B1812" s="2">
        <v>45520</v>
      </c>
      <c r="C1812">
        <v>487.74599999999998</v>
      </c>
      <c r="D1812" t="s">
        <v>1807</v>
      </c>
      <c r="E1812">
        <v>56</v>
      </c>
      <c r="F1812" t="s">
        <v>16</v>
      </c>
      <c r="G1812" t="s">
        <v>1527</v>
      </c>
      <c r="H1812" t="s">
        <v>1746</v>
      </c>
      <c r="L1812" s="2">
        <v>45520</v>
      </c>
      <c r="M1812">
        <v>487.74599999999998</v>
      </c>
      <c r="R1812" t="s">
        <v>1807</v>
      </c>
      <c r="S1812">
        <v>487.74599999999998</v>
      </c>
      <c r="W1812" s="11" t="s">
        <v>16</v>
      </c>
      <c r="X1812" s="11" t="s">
        <v>1527</v>
      </c>
      <c r="Y1812">
        <v>487.74599999999998</v>
      </c>
      <c r="AF1812">
        <v>487.74599999999998</v>
      </c>
      <c r="AG1812" t="s">
        <v>1746</v>
      </c>
    </row>
    <row r="1813" spans="1:33" x14ac:dyDescent="0.3">
      <c r="A1813" t="s">
        <v>492</v>
      </c>
      <c r="B1813" s="2">
        <v>45534</v>
      </c>
      <c r="C1813">
        <v>2145.7485000000001</v>
      </c>
      <c r="D1813" t="s">
        <v>1812</v>
      </c>
      <c r="E1813">
        <v>42</v>
      </c>
      <c r="F1813" t="s">
        <v>16</v>
      </c>
      <c r="G1813" t="s">
        <v>1530</v>
      </c>
      <c r="H1813" t="s">
        <v>1742</v>
      </c>
      <c r="L1813" s="2">
        <v>45534</v>
      </c>
      <c r="M1813">
        <v>2145.7485000000001</v>
      </c>
      <c r="R1813" t="s">
        <v>1812</v>
      </c>
      <c r="S1813">
        <v>2145.7485000000001</v>
      </c>
      <c r="W1813" s="12" t="s">
        <v>16</v>
      </c>
      <c r="X1813" s="12" t="s">
        <v>1530</v>
      </c>
      <c r="Y1813">
        <v>2145.7485000000001</v>
      </c>
      <c r="AF1813">
        <v>2145.7485000000001</v>
      </c>
      <c r="AG1813" t="s">
        <v>1742</v>
      </c>
    </row>
    <row r="1814" spans="1:33" x14ac:dyDescent="0.3">
      <c r="A1814" t="s">
        <v>219</v>
      </c>
      <c r="B1814" s="2">
        <v>45334</v>
      </c>
      <c r="C1814">
        <v>1575.0724</v>
      </c>
      <c r="D1814" t="s">
        <v>1807</v>
      </c>
      <c r="E1814">
        <v>22</v>
      </c>
      <c r="F1814" t="s">
        <v>16</v>
      </c>
      <c r="G1814" t="s">
        <v>1527</v>
      </c>
      <c r="H1814" t="s">
        <v>1742</v>
      </c>
      <c r="L1814" s="2">
        <v>45334</v>
      </c>
      <c r="M1814">
        <v>1575.0724</v>
      </c>
      <c r="R1814" t="s">
        <v>1807</v>
      </c>
      <c r="S1814">
        <v>1575.0724</v>
      </c>
      <c r="W1814" s="11" t="s">
        <v>16</v>
      </c>
      <c r="X1814" s="11" t="s">
        <v>1527</v>
      </c>
      <c r="Y1814">
        <v>1575.0724</v>
      </c>
      <c r="AF1814">
        <v>1575.0724</v>
      </c>
      <c r="AG1814" t="s">
        <v>1742</v>
      </c>
    </row>
    <row r="1815" spans="1:33" x14ac:dyDescent="0.3">
      <c r="A1815" t="s">
        <v>1380</v>
      </c>
      <c r="B1815" s="2">
        <v>45289</v>
      </c>
      <c r="C1815">
        <v>1635.2616</v>
      </c>
      <c r="D1815" t="s">
        <v>1809</v>
      </c>
      <c r="E1815">
        <v>60</v>
      </c>
      <c r="F1815" t="s">
        <v>16</v>
      </c>
      <c r="G1815" t="s">
        <v>1530</v>
      </c>
      <c r="H1815" t="s">
        <v>1742</v>
      </c>
      <c r="L1815" s="2">
        <v>45289</v>
      </c>
      <c r="M1815">
        <v>1635.2616</v>
      </c>
      <c r="R1815" t="s">
        <v>1809</v>
      </c>
      <c r="S1815">
        <v>1635.2616</v>
      </c>
      <c r="W1815" s="12" t="s">
        <v>16</v>
      </c>
      <c r="X1815" s="12" t="s">
        <v>1530</v>
      </c>
      <c r="Y1815">
        <v>1635.2616</v>
      </c>
      <c r="AF1815">
        <v>1635.2616</v>
      </c>
      <c r="AG1815" t="s">
        <v>1742</v>
      </c>
    </row>
    <row r="1816" spans="1:33" x14ac:dyDescent="0.3">
      <c r="A1816" t="s">
        <v>398</v>
      </c>
      <c r="B1816" s="2">
        <v>45832</v>
      </c>
      <c r="C1816">
        <v>236.7372</v>
      </c>
      <c r="D1816" t="s">
        <v>1812</v>
      </c>
      <c r="E1816">
        <v>18</v>
      </c>
      <c r="F1816" t="s">
        <v>16</v>
      </c>
      <c r="G1816" t="s">
        <v>1541</v>
      </c>
      <c r="H1816" t="s">
        <v>1737</v>
      </c>
      <c r="L1816" s="2">
        <v>45832</v>
      </c>
      <c r="M1816">
        <v>236.7372</v>
      </c>
      <c r="R1816" t="s">
        <v>1812</v>
      </c>
      <c r="S1816">
        <v>236.7372</v>
      </c>
      <c r="W1816" s="11" t="s">
        <v>16</v>
      </c>
      <c r="X1816" s="11" t="s">
        <v>1541</v>
      </c>
      <c r="Y1816">
        <v>236.7372</v>
      </c>
      <c r="AF1816">
        <v>236.7372</v>
      </c>
      <c r="AG1816" t="s">
        <v>1737</v>
      </c>
    </row>
    <row r="1817" spans="1:33" x14ac:dyDescent="0.3">
      <c r="A1817" t="s">
        <v>661</v>
      </c>
      <c r="B1817" s="2">
        <v>45400</v>
      </c>
      <c r="C1817">
        <v>488.71679999999998</v>
      </c>
      <c r="D1817" t="s">
        <v>1809</v>
      </c>
      <c r="E1817">
        <v>44</v>
      </c>
      <c r="F1817" t="s">
        <v>16</v>
      </c>
      <c r="G1817" t="s">
        <v>1541</v>
      </c>
      <c r="H1817" t="s">
        <v>1742</v>
      </c>
      <c r="L1817" s="2">
        <v>45400</v>
      </c>
      <c r="M1817">
        <v>488.71679999999998</v>
      </c>
      <c r="R1817" t="s">
        <v>1809</v>
      </c>
      <c r="S1817">
        <v>488.71679999999998</v>
      </c>
      <c r="W1817" s="12" t="s">
        <v>16</v>
      </c>
      <c r="X1817" s="12" t="s">
        <v>1541</v>
      </c>
      <c r="Y1817">
        <v>488.71679999999998</v>
      </c>
      <c r="AF1817">
        <v>488.71679999999998</v>
      </c>
      <c r="AG1817" t="s">
        <v>1742</v>
      </c>
    </row>
    <row r="1818" spans="1:33" x14ac:dyDescent="0.3">
      <c r="A1818" t="s">
        <v>1233</v>
      </c>
      <c r="B1818" s="2">
        <v>45930</v>
      </c>
      <c r="C1818">
        <v>2315.8519999999999</v>
      </c>
      <c r="D1818" t="s">
        <v>1807</v>
      </c>
      <c r="E1818">
        <v>51</v>
      </c>
      <c r="F1818" t="s">
        <v>16</v>
      </c>
      <c r="G1818" t="s">
        <v>1530</v>
      </c>
      <c r="H1818" t="s">
        <v>1746</v>
      </c>
      <c r="L1818" s="2">
        <v>45930</v>
      </c>
      <c r="M1818">
        <v>2315.8519999999999</v>
      </c>
      <c r="R1818" t="s">
        <v>1807</v>
      </c>
      <c r="S1818">
        <v>2315.8519999999999</v>
      </c>
      <c r="W1818" s="11" t="s">
        <v>16</v>
      </c>
      <c r="X1818" s="11" t="s">
        <v>1530</v>
      </c>
      <c r="Y1818">
        <v>2315.8519999999999</v>
      </c>
      <c r="AF1818">
        <v>2315.8519999999999</v>
      </c>
      <c r="AG1818" t="s">
        <v>1746</v>
      </c>
    </row>
    <row r="1819" spans="1:33" x14ac:dyDescent="0.3">
      <c r="A1819" t="s">
        <v>679</v>
      </c>
      <c r="B1819" s="2">
        <v>45935</v>
      </c>
      <c r="C1819">
        <v>1267.9744000000001</v>
      </c>
      <c r="D1819" t="s">
        <v>1807</v>
      </c>
      <c r="E1819">
        <v>20</v>
      </c>
      <c r="F1819" t="s">
        <v>16</v>
      </c>
      <c r="G1819" t="s">
        <v>1527</v>
      </c>
      <c r="H1819" t="s">
        <v>1746</v>
      </c>
      <c r="L1819" s="2">
        <v>45935</v>
      </c>
      <c r="M1819">
        <v>1267.9744000000001</v>
      </c>
      <c r="R1819" t="s">
        <v>1807</v>
      </c>
      <c r="S1819">
        <v>1267.9744000000001</v>
      </c>
      <c r="W1819" s="12" t="s">
        <v>16</v>
      </c>
      <c r="X1819" s="12" t="s">
        <v>1527</v>
      </c>
      <c r="Y1819">
        <v>1267.9744000000001</v>
      </c>
      <c r="AF1819">
        <v>1267.9744000000001</v>
      </c>
      <c r="AG1819" t="s">
        <v>1746</v>
      </c>
    </row>
    <row r="1820" spans="1:33" x14ac:dyDescent="0.3">
      <c r="A1820" t="s">
        <v>463</v>
      </c>
      <c r="B1820" s="2">
        <v>45814</v>
      </c>
      <c r="C1820">
        <v>981.9864</v>
      </c>
      <c r="D1820" t="s">
        <v>1812</v>
      </c>
      <c r="E1820">
        <v>43</v>
      </c>
      <c r="F1820" t="s">
        <v>9</v>
      </c>
      <c r="G1820" t="s">
        <v>1546</v>
      </c>
      <c r="H1820" t="s">
        <v>1742</v>
      </c>
      <c r="L1820" s="2">
        <v>45814</v>
      </c>
      <c r="M1820">
        <v>981.9864</v>
      </c>
      <c r="R1820" t="s">
        <v>1812</v>
      </c>
      <c r="S1820">
        <v>981.9864</v>
      </c>
      <c r="W1820" s="11" t="s">
        <v>9</v>
      </c>
      <c r="X1820" s="11" t="s">
        <v>1546</v>
      </c>
      <c r="Y1820">
        <v>981.9864</v>
      </c>
      <c r="AF1820">
        <v>981.9864</v>
      </c>
      <c r="AG1820" t="s">
        <v>1742</v>
      </c>
    </row>
    <row r="1821" spans="1:33" x14ac:dyDescent="0.3">
      <c r="A1821" t="s">
        <v>566</v>
      </c>
      <c r="B1821" s="2">
        <v>45323</v>
      </c>
      <c r="C1821">
        <v>442.61489999999998</v>
      </c>
      <c r="D1821" t="s">
        <v>1812</v>
      </c>
      <c r="E1821">
        <v>41</v>
      </c>
      <c r="F1821" t="s">
        <v>16</v>
      </c>
      <c r="G1821" t="s">
        <v>1527</v>
      </c>
      <c r="H1821" t="s">
        <v>1742</v>
      </c>
      <c r="L1821" s="2">
        <v>45323</v>
      </c>
      <c r="M1821">
        <v>442.61489999999998</v>
      </c>
      <c r="R1821" t="s">
        <v>1812</v>
      </c>
      <c r="S1821">
        <v>442.61489999999998</v>
      </c>
      <c r="W1821" s="12" t="s">
        <v>16</v>
      </c>
      <c r="X1821" s="12" t="s">
        <v>1527</v>
      </c>
      <c r="Y1821">
        <v>442.61489999999998</v>
      </c>
      <c r="AF1821">
        <v>442.61489999999998</v>
      </c>
      <c r="AG1821" t="s">
        <v>1742</v>
      </c>
    </row>
    <row r="1822" spans="1:33" x14ac:dyDescent="0.3">
      <c r="A1822" t="s">
        <v>172</v>
      </c>
      <c r="B1822" s="2">
        <v>45312</v>
      </c>
      <c r="C1822">
        <v>989.93680000000006</v>
      </c>
      <c r="D1822" t="s">
        <v>1812</v>
      </c>
      <c r="E1822">
        <v>54</v>
      </c>
      <c r="F1822" t="s">
        <v>9</v>
      </c>
      <c r="G1822" t="s">
        <v>1530</v>
      </c>
      <c r="H1822" t="s">
        <v>1742</v>
      </c>
      <c r="L1822" s="2">
        <v>45312</v>
      </c>
      <c r="M1822">
        <v>989.93680000000006</v>
      </c>
      <c r="R1822" t="s">
        <v>1812</v>
      </c>
      <c r="S1822">
        <v>989.93680000000006</v>
      </c>
      <c r="W1822" s="11" t="s">
        <v>9</v>
      </c>
      <c r="X1822" s="11" t="s">
        <v>1530</v>
      </c>
      <c r="Y1822">
        <v>989.93680000000006</v>
      </c>
      <c r="AF1822">
        <v>989.93680000000006</v>
      </c>
      <c r="AG1822" t="s">
        <v>1742</v>
      </c>
    </row>
    <row r="1823" spans="1:33" x14ac:dyDescent="0.3">
      <c r="A1823" t="s">
        <v>492</v>
      </c>
      <c r="B1823" s="2">
        <v>45554</v>
      </c>
      <c r="C1823">
        <v>551.25900000000001</v>
      </c>
      <c r="D1823" t="s">
        <v>1809</v>
      </c>
      <c r="E1823">
        <v>42</v>
      </c>
      <c r="F1823" t="s">
        <v>16</v>
      </c>
      <c r="G1823" t="s">
        <v>1530</v>
      </c>
      <c r="H1823" t="s">
        <v>1767</v>
      </c>
      <c r="L1823" s="2">
        <v>45554</v>
      </c>
      <c r="M1823">
        <v>551.25900000000001</v>
      </c>
      <c r="R1823" t="s">
        <v>1809</v>
      </c>
      <c r="S1823">
        <v>551.25900000000001</v>
      </c>
      <c r="W1823" s="12" t="s">
        <v>16</v>
      </c>
      <c r="X1823" s="12" t="s">
        <v>1530</v>
      </c>
      <c r="Y1823">
        <v>551.25900000000001</v>
      </c>
      <c r="AF1823">
        <v>551.25900000000001</v>
      </c>
      <c r="AG1823" t="s">
        <v>1767</v>
      </c>
    </row>
    <row r="1824" spans="1:33" x14ac:dyDescent="0.3">
      <c r="A1824" t="s">
        <v>463</v>
      </c>
      <c r="B1824" s="2">
        <v>45310</v>
      </c>
      <c r="C1824">
        <v>43.144199999999998</v>
      </c>
      <c r="D1824" t="s">
        <v>1812</v>
      </c>
      <c r="E1824">
        <v>43</v>
      </c>
      <c r="F1824" t="s">
        <v>9</v>
      </c>
      <c r="G1824" t="s">
        <v>1527</v>
      </c>
      <c r="H1824" t="s">
        <v>1742</v>
      </c>
      <c r="L1824" s="2">
        <v>45310</v>
      </c>
      <c r="M1824">
        <v>43.144199999999998</v>
      </c>
      <c r="R1824" t="s">
        <v>1812</v>
      </c>
      <c r="S1824">
        <v>43.144199999999998</v>
      </c>
      <c r="W1824" s="11" t="s">
        <v>9</v>
      </c>
      <c r="X1824" s="11" t="s">
        <v>1527</v>
      </c>
      <c r="Y1824">
        <v>43.144199999999998</v>
      </c>
      <c r="AF1824">
        <v>43.144199999999998</v>
      </c>
      <c r="AG1824" t="s">
        <v>1742</v>
      </c>
    </row>
    <row r="1825" spans="1:33" x14ac:dyDescent="0.3">
      <c r="A1825" t="s">
        <v>1034</v>
      </c>
      <c r="B1825" s="2">
        <v>45594</v>
      </c>
      <c r="C1825">
        <v>1210.8714</v>
      </c>
      <c r="D1825" t="s">
        <v>1809</v>
      </c>
      <c r="E1825">
        <v>64</v>
      </c>
      <c r="F1825" t="s">
        <v>16</v>
      </c>
      <c r="G1825" t="s">
        <v>1541</v>
      </c>
      <c r="H1825" t="s">
        <v>1746</v>
      </c>
      <c r="L1825" s="2">
        <v>45594</v>
      </c>
      <c r="M1825">
        <v>1210.8714</v>
      </c>
      <c r="R1825" t="s">
        <v>1809</v>
      </c>
      <c r="S1825">
        <v>1210.8714</v>
      </c>
      <c r="W1825" s="12" t="s">
        <v>16</v>
      </c>
      <c r="X1825" s="12" t="s">
        <v>1541</v>
      </c>
      <c r="Y1825">
        <v>1210.8714</v>
      </c>
      <c r="AF1825">
        <v>1210.8714</v>
      </c>
      <c r="AG1825" t="s">
        <v>1746</v>
      </c>
    </row>
    <row r="1826" spans="1:33" x14ac:dyDescent="0.3">
      <c r="A1826" t="s">
        <v>676</v>
      </c>
      <c r="B1826" s="2">
        <v>45840</v>
      </c>
      <c r="C1826">
        <v>2943.5295999999998</v>
      </c>
      <c r="D1826" t="s">
        <v>1807</v>
      </c>
      <c r="E1826">
        <v>48</v>
      </c>
      <c r="F1826" t="s">
        <v>9</v>
      </c>
      <c r="G1826" t="s">
        <v>1527</v>
      </c>
      <c r="H1826" t="s">
        <v>1767</v>
      </c>
      <c r="L1826" s="2">
        <v>45840</v>
      </c>
      <c r="M1826">
        <v>2943.5295999999998</v>
      </c>
      <c r="R1826" t="s">
        <v>1807</v>
      </c>
      <c r="S1826">
        <v>2943.5295999999998</v>
      </c>
      <c r="W1826" s="11" t="s">
        <v>9</v>
      </c>
      <c r="X1826" s="11" t="s">
        <v>1527</v>
      </c>
      <c r="Y1826">
        <v>2943.5295999999998</v>
      </c>
      <c r="AF1826">
        <v>2943.5295999999998</v>
      </c>
      <c r="AG1826" t="s">
        <v>1767</v>
      </c>
    </row>
    <row r="1827" spans="1:33" x14ac:dyDescent="0.3">
      <c r="A1827" t="s">
        <v>584</v>
      </c>
      <c r="B1827" s="2">
        <v>45549</v>
      </c>
      <c r="C1827">
        <v>1058.4480000000001</v>
      </c>
      <c r="D1827" t="s">
        <v>1809</v>
      </c>
      <c r="E1827">
        <v>43</v>
      </c>
      <c r="F1827" t="s">
        <v>16</v>
      </c>
      <c r="G1827" t="s">
        <v>1546</v>
      </c>
      <c r="H1827" t="s">
        <v>1742</v>
      </c>
      <c r="L1827" s="2">
        <v>45549</v>
      </c>
      <c r="M1827">
        <v>1058.4480000000001</v>
      </c>
      <c r="R1827" t="s">
        <v>1809</v>
      </c>
      <c r="S1827">
        <v>1058.4480000000001</v>
      </c>
      <c r="W1827" s="12" t="s">
        <v>16</v>
      </c>
      <c r="X1827" s="12" t="s">
        <v>1546</v>
      </c>
      <c r="Y1827">
        <v>1058.4480000000001</v>
      </c>
      <c r="AF1827">
        <v>1058.4480000000001</v>
      </c>
      <c r="AG1827" t="s">
        <v>1742</v>
      </c>
    </row>
    <row r="1828" spans="1:33" x14ac:dyDescent="0.3">
      <c r="A1828" t="s">
        <v>407</v>
      </c>
      <c r="B1828" s="2">
        <v>45903</v>
      </c>
      <c r="C1828">
        <v>1695.3074999999999</v>
      </c>
      <c r="D1828" t="s">
        <v>1809</v>
      </c>
      <c r="E1828">
        <v>40</v>
      </c>
      <c r="F1828" t="s">
        <v>9</v>
      </c>
      <c r="G1828" t="s">
        <v>1527</v>
      </c>
      <c r="H1828" t="s">
        <v>1742</v>
      </c>
      <c r="L1828" s="2">
        <v>45903</v>
      </c>
      <c r="M1828">
        <v>1695.3074999999999</v>
      </c>
      <c r="R1828" t="s">
        <v>1809</v>
      </c>
      <c r="S1828">
        <v>1695.3074999999999</v>
      </c>
      <c r="W1828" s="11" t="s">
        <v>9</v>
      </c>
      <c r="X1828" s="11" t="s">
        <v>1527</v>
      </c>
      <c r="Y1828">
        <v>1695.3074999999999</v>
      </c>
      <c r="AF1828">
        <v>1695.3074999999999</v>
      </c>
      <c r="AG1828" t="s">
        <v>1742</v>
      </c>
    </row>
    <row r="1829" spans="1:33" x14ac:dyDescent="0.3">
      <c r="A1829" t="s">
        <v>519</v>
      </c>
      <c r="B1829" s="2">
        <v>45673</v>
      </c>
      <c r="C1829">
        <v>2141.85</v>
      </c>
      <c r="D1829" t="s">
        <v>1807</v>
      </c>
      <c r="E1829">
        <v>59</v>
      </c>
      <c r="F1829" t="s">
        <v>9</v>
      </c>
      <c r="G1829" t="s">
        <v>1541</v>
      </c>
      <c r="H1829" t="s">
        <v>1737</v>
      </c>
      <c r="L1829" s="2">
        <v>45673</v>
      </c>
      <c r="M1829">
        <v>2141.85</v>
      </c>
      <c r="R1829" t="s">
        <v>1807</v>
      </c>
      <c r="S1829">
        <v>2141.85</v>
      </c>
      <c r="W1829" s="12" t="s">
        <v>9</v>
      </c>
      <c r="X1829" s="12" t="s">
        <v>1541</v>
      </c>
      <c r="Y1829">
        <v>2141.85</v>
      </c>
      <c r="AF1829">
        <v>2141.85</v>
      </c>
      <c r="AG1829" t="s">
        <v>1737</v>
      </c>
    </row>
    <row r="1830" spans="1:33" x14ac:dyDescent="0.3">
      <c r="A1830" t="s">
        <v>349</v>
      </c>
      <c r="B1830" s="2">
        <v>45395</v>
      </c>
      <c r="C1830">
        <v>1287.3599999999999</v>
      </c>
      <c r="D1830" t="s">
        <v>1812</v>
      </c>
      <c r="E1830">
        <v>53</v>
      </c>
      <c r="F1830" t="s">
        <v>16</v>
      </c>
      <c r="G1830" t="s">
        <v>1546</v>
      </c>
      <c r="H1830" t="s">
        <v>1742</v>
      </c>
      <c r="L1830" s="2">
        <v>45395</v>
      </c>
      <c r="M1830">
        <v>1287.3599999999999</v>
      </c>
      <c r="R1830" t="s">
        <v>1812</v>
      </c>
      <c r="S1830">
        <v>1287.3599999999999</v>
      </c>
      <c r="W1830" s="11" t="s">
        <v>16</v>
      </c>
      <c r="X1830" s="11" t="s">
        <v>1546</v>
      </c>
      <c r="Y1830">
        <v>1287.3599999999999</v>
      </c>
      <c r="AF1830">
        <v>1287.3599999999999</v>
      </c>
      <c r="AG1830" t="s">
        <v>1742</v>
      </c>
    </row>
    <row r="1831" spans="1:33" x14ac:dyDescent="0.3">
      <c r="A1831" t="s">
        <v>1040</v>
      </c>
      <c r="B1831" s="2">
        <v>45379</v>
      </c>
      <c r="C1831">
        <v>328.75240000000002</v>
      </c>
      <c r="D1831" t="s">
        <v>1809</v>
      </c>
      <c r="E1831">
        <v>37</v>
      </c>
      <c r="F1831" t="s">
        <v>9</v>
      </c>
      <c r="G1831" t="s">
        <v>1541</v>
      </c>
      <c r="H1831" t="s">
        <v>1746</v>
      </c>
      <c r="L1831" s="2">
        <v>45379</v>
      </c>
      <c r="M1831">
        <v>328.75240000000002</v>
      </c>
      <c r="R1831" t="s">
        <v>1809</v>
      </c>
      <c r="S1831">
        <v>328.75240000000002</v>
      </c>
      <c r="W1831" s="12" t="s">
        <v>9</v>
      </c>
      <c r="X1831" s="12" t="s">
        <v>1541</v>
      </c>
      <c r="Y1831">
        <v>328.75240000000002</v>
      </c>
      <c r="AF1831">
        <v>328.75240000000002</v>
      </c>
      <c r="AG1831" t="s">
        <v>1746</v>
      </c>
    </row>
    <row r="1832" spans="1:33" x14ac:dyDescent="0.3">
      <c r="A1832" t="s">
        <v>940</v>
      </c>
      <c r="B1832" s="2">
        <v>45860</v>
      </c>
      <c r="C1832">
        <v>1958.144</v>
      </c>
      <c r="D1832" t="s">
        <v>1809</v>
      </c>
      <c r="E1832">
        <v>50</v>
      </c>
      <c r="F1832" t="s">
        <v>9</v>
      </c>
      <c r="G1832" t="s">
        <v>1549</v>
      </c>
      <c r="H1832" t="s">
        <v>1742</v>
      </c>
      <c r="L1832" s="2">
        <v>45860</v>
      </c>
      <c r="M1832">
        <v>1958.144</v>
      </c>
      <c r="R1832" t="s">
        <v>1809</v>
      </c>
      <c r="S1832">
        <v>1958.144</v>
      </c>
      <c r="W1832" s="11" t="s">
        <v>9</v>
      </c>
      <c r="X1832" s="11" t="s">
        <v>1549</v>
      </c>
      <c r="Y1832">
        <v>1958.144</v>
      </c>
      <c r="AF1832">
        <v>1958.144</v>
      </c>
      <c r="AG1832" t="s">
        <v>1742</v>
      </c>
    </row>
    <row r="1833" spans="1:33" x14ac:dyDescent="0.3">
      <c r="A1833" t="s">
        <v>3934</v>
      </c>
      <c r="B1833" s="2">
        <v>45704</v>
      </c>
      <c r="C1833">
        <v>39.973999999999997</v>
      </c>
      <c r="D1833" t="s">
        <v>1807</v>
      </c>
      <c r="E1833">
        <v>64</v>
      </c>
      <c r="F1833" t="s">
        <v>16</v>
      </c>
      <c r="G1833" t="s">
        <v>1546</v>
      </c>
      <c r="H1833" t="s">
        <v>1742</v>
      </c>
      <c r="L1833" s="2">
        <v>45704</v>
      </c>
      <c r="M1833">
        <v>39.973999999999997</v>
      </c>
      <c r="R1833" t="s">
        <v>1807</v>
      </c>
      <c r="S1833">
        <v>39.973999999999997</v>
      </c>
      <c r="W1833" s="12" t="s">
        <v>16</v>
      </c>
      <c r="X1833" s="12" t="s">
        <v>1546</v>
      </c>
      <c r="Y1833">
        <v>39.973999999999997</v>
      </c>
      <c r="AF1833">
        <v>39.973999999999997</v>
      </c>
      <c r="AG1833" t="s">
        <v>1742</v>
      </c>
    </row>
    <row r="1834" spans="1:33" x14ac:dyDescent="0.3">
      <c r="A1834" t="s">
        <v>1328</v>
      </c>
      <c r="B1834" s="2">
        <v>45327</v>
      </c>
      <c r="C1834">
        <v>654.36559999999997</v>
      </c>
      <c r="D1834" t="s">
        <v>1809</v>
      </c>
      <c r="E1834">
        <v>48</v>
      </c>
      <c r="F1834" t="s">
        <v>16</v>
      </c>
      <c r="G1834" t="s">
        <v>1549</v>
      </c>
      <c r="H1834" t="s">
        <v>1742</v>
      </c>
      <c r="L1834" s="2">
        <v>45327</v>
      </c>
      <c r="M1834">
        <v>654.36559999999997</v>
      </c>
      <c r="R1834" t="s">
        <v>1809</v>
      </c>
      <c r="S1834">
        <v>654.36559999999997</v>
      </c>
      <c r="W1834" s="11" t="s">
        <v>16</v>
      </c>
      <c r="X1834" s="11" t="s">
        <v>1549</v>
      </c>
      <c r="Y1834">
        <v>654.36559999999997</v>
      </c>
      <c r="AF1834">
        <v>654.36559999999997</v>
      </c>
      <c r="AG1834" t="s">
        <v>1742</v>
      </c>
    </row>
    <row r="1835" spans="1:33" x14ac:dyDescent="0.3">
      <c r="A1835" t="s">
        <v>883</v>
      </c>
      <c r="B1835" s="2">
        <v>45721</v>
      </c>
      <c r="C1835">
        <v>3032.6559999999999</v>
      </c>
      <c r="D1835" t="s">
        <v>1807</v>
      </c>
      <c r="E1835">
        <v>59</v>
      </c>
      <c r="F1835" t="s">
        <v>9</v>
      </c>
      <c r="G1835" t="s">
        <v>1541</v>
      </c>
      <c r="H1835" t="s">
        <v>1742</v>
      </c>
      <c r="L1835" s="2">
        <v>45721</v>
      </c>
      <c r="M1835">
        <v>3032.6559999999999</v>
      </c>
      <c r="R1835" t="s">
        <v>1807</v>
      </c>
      <c r="S1835">
        <v>3032.6559999999999</v>
      </c>
      <c r="W1835" s="12" t="s">
        <v>9</v>
      </c>
      <c r="X1835" s="12" t="s">
        <v>1541</v>
      </c>
      <c r="Y1835">
        <v>3032.6559999999999</v>
      </c>
      <c r="AF1835">
        <v>3032.6559999999999</v>
      </c>
      <c r="AG1835" t="s">
        <v>1742</v>
      </c>
    </row>
    <row r="1836" spans="1:33" x14ac:dyDescent="0.3">
      <c r="A1836" t="s">
        <v>1116</v>
      </c>
      <c r="B1836" s="2">
        <v>45842</v>
      </c>
      <c r="C1836">
        <v>166.82490000000001</v>
      </c>
      <c r="D1836" t="s">
        <v>1812</v>
      </c>
      <c r="E1836">
        <v>64</v>
      </c>
      <c r="F1836" t="s">
        <v>9</v>
      </c>
      <c r="G1836" t="s">
        <v>1546</v>
      </c>
      <c r="H1836" t="s">
        <v>1742</v>
      </c>
      <c r="L1836" s="2">
        <v>45842</v>
      </c>
      <c r="M1836">
        <v>166.82490000000001</v>
      </c>
      <c r="R1836" t="s">
        <v>1812</v>
      </c>
      <c r="S1836">
        <v>166.82490000000001</v>
      </c>
      <c r="W1836" s="11" t="s">
        <v>9</v>
      </c>
      <c r="X1836" s="11" t="s">
        <v>1546</v>
      </c>
      <c r="Y1836">
        <v>166.82490000000001</v>
      </c>
      <c r="AF1836">
        <v>166.82490000000001</v>
      </c>
      <c r="AG1836" t="s">
        <v>1742</v>
      </c>
    </row>
    <row r="1837" spans="1:33" x14ac:dyDescent="0.3">
      <c r="A1837" t="s">
        <v>843</v>
      </c>
      <c r="B1837" s="2">
        <v>45862</v>
      </c>
      <c r="C1837">
        <v>465.83199999999999</v>
      </c>
      <c r="D1837" t="s">
        <v>1807</v>
      </c>
      <c r="E1837">
        <v>18</v>
      </c>
      <c r="F1837" t="s">
        <v>9</v>
      </c>
      <c r="G1837" t="s">
        <v>1546</v>
      </c>
      <c r="H1837" t="s">
        <v>1742</v>
      </c>
      <c r="L1837" s="2">
        <v>45862</v>
      </c>
      <c r="M1837">
        <v>465.83199999999999</v>
      </c>
      <c r="R1837" t="s">
        <v>1807</v>
      </c>
      <c r="S1837">
        <v>465.83199999999999</v>
      </c>
      <c r="W1837" s="12" t="s">
        <v>9</v>
      </c>
      <c r="X1837" s="12" t="s">
        <v>1546</v>
      </c>
      <c r="Y1837">
        <v>465.83199999999999</v>
      </c>
      <c r="AF1837">
        <v>465.83199999999999</v>
      </c>
      <c r="AG1837" t="s">
        <v>1742</v>
      </c>
    </row>
    <row r="1838" spans="1:33" x14ac:dyDescent="0.3">
      <c r="A1838" t="s">
        <v>827</v>
      </c>
      <c r="B1838" s="2">
        <v>45681</v>
      </c>
      <c r="C1838">
        <v>188.04239999999999</v>
      </c>
      <c r="D1838" t="s">
        <v>1807</v>
      </c>
      <c r="E1838">
        <v>60</v>
      </c>
      <c r="F1838" t="s">
        <v>16</v>
      </c>
      <c r="G1838" t="s">
        <v>1541</v>
      </c>
      <c r="H1838" t="s">
        <v>1737</v>
      </c>
      <c r="L1838" s="2">
        <v>45681</v>
      </c>
      <c r="M1838">
        <v>188.04239999999999</v>
      </c>
      <c r="R1838" t="s">
        <v>1807</v>
      </c>
      <c r="S1838">
        <v>188.04239999999999</v>
      </c>
      <c r="W1838" s="11" t="s">
        <v>16</v>
      </c>
      <c r="X1838" s="11" t="s">
        <v>1541</v>
      </c>
      <c r="Y1838">
        <v>188.04239999999999</v>
      </c>
      <c r="AF1838">
        <v>188.04239999999999</v>
      </c>
      <c r="AG1838" t="s">
        <v>1737</v>
      </c>
    </row>
    <row r="1839" spans="1:33" x14ac:dyDescent="0.3">
      <c r="A1839" t="s">
        <v>239</v>
      </c>
      <c r="B1839" s="2">
        <v>45392</v>
      </c>
      <c r="C1839">
        <v>614.07420000000002</v>
      </c>
      <c r="D1839" t="s">
        <v>1812</v>
      </c>
      <c r="E1839">
        <v>27</v>
      </c>
      <c r="F1839" t="s">
        <v>16</v>
      </c>
      <c r="G1839" t="s">
        <v>1541</v>
      </c>
      <c r="H1839" t="s">
        <v>1742</v>
      </c>
      <c r="L1839" s="2">
        <v>45392</v>
      </c>
      <c r="M1839">
        <v>614.07420000000002</v>
      </c>
      <c r="R1839" t="s">
        <v>1812</v>
      </c>
      <c r="S1839">
        <v>614.07420000000002</v>
      </c>
      <c r="W1839" s="12" t="s">
        <v>16</v>
      </c>
      <c r="X1839" s="12" t="s">
        <v>1541</v>
      </c>
      <c r="Y1839">
        <v>614.07420000000002</v>
      </c>
      <c r="AF1839">
        <v>614.07420000000002</v>
      </c>
      <c r="AG1839" t="s">
        <v>1742</v>
      </c>
    </row>
    <row r="1840" spans="1:33" x14ac:dyDescent="0.3">
      <c r="A1840" t="s">
        <v>1145</v>
      </c>
      <c r="B1840" s="2">
        <v>45586</v>
      </c>
      <c r="C1840">
        <v>1664.8109999999999</v>
      </c>
      <c r="D1840" t="s">
        <v>1807</v>
      </c>
      <c r="E1840">
        <v>21</v>
      </c>
      <c r="F1840" t="s">
        <v>16</v>
      </c>
      <c r="G1840" t="s">
        <v>1546</v>
      </c>
      <c r="H1840" t="s">
        <v>1742</v>
      </c>
      <c r="L1840" s="2">
        <v>45586</v>
      </c>
      <c r="M1840">
        <v>1664.8109999999999</v>
      </c>
      <c r="R1840" t="s">
        <v>1807</v>
      </c>
      <c r="S1840">
        <v>1664.8109999999999</v>
      </c>
      <c r="W1840" s="11" t="s">
        <v>16</v>
      </c>
      <c r="X1840" s="11" t="s">
        <v>1546</v>
      </c>
      <c r="Y1840">
        <v>1664.8109999999999</v>
      </c>
      <c r="AF1840">
        <v>1664.8109999999999</v>
      </c>
      <c r="AG1840" t="s">
        <v>1742</v>
      </c>
    </row>
    <row r="1841" spans="1:33" x14ac:dyDescent="0.3">
      <c r="A1841" t="s">
        <v>1113</v>
      </c>
      <c r="B1841" s="2">
        <v>45340</v>
      </c>
      <c r="C1841">
        <v>1657.0092</v>
      </c>
      <c r="D1841" t="s">
        <v>1812</v>
      </c>
      <c r="E1841">
        <v>34</v>
      </c>
      <c r="F1841" t="s">
        <v>9</v>
      </c>
      <c r="G1841" t="s">
        <v>1549</v>
      </c>
      <c r="H1841" t="s">
        <v>1742</v>
      </c>
      <c r="L1841" s="2">
        <v>45340</v>
      </c>
      <c r="M1841">
        <v>1657.0092</v>
      </c>
      <c r="R1841" t="s">
        <v>1812</v>
      </c>
      <c r="S1841">
        <v>1657.0092</v>
      </c>
      <c r="W1841" s="12" t="s">
        <v>9</v>
      </c>
      <c r="X1841" s="12" t="s">
        <v>1549</v>
      </c>
      <c r="Y1841">
        <v>1657.0092</v>
      </c>
      <c r="AF1841">
        <v>1657.0092</v>
      </c>
      <c r="AG1841" t="s">
        <v>1742</v>
      </c>
    </row>
    <row r="1842" spans="1:33" x14ac:dyDescent="0.3">
      <c r="A1842" t="s">
        <v>1313</v>
      </c>
      <c r="B1842" s="2">
        <v>45853</v>
      </c>
      <c r="C1842">
        <v>127.29600000000001</v>
      </c>
      <c r="D1842" t="s">
        <v>1809</v>
      </c>
      <c r="E1842">
        <v>43</v>
      </c>
      <c r="F1842" t="s">
        <v>9</v>
      </c>
      <c r="G1842" t="s">
        <v>1541</v>
      </c>
      <c r="H1842" t="s">
        <v>1742</v>
      </c>
      <c r="L1842" s="2">
        <v>45853</v>
      </c>
      <c r="M1842">
        <v>127.29600000000001</v>
      </c>
      <c r="R1842" t="s">
        <v>1809</v>
      </c>
      <c r="S1842">
        <v>127.29600000000001</v>
      </c>
      <c r="W1842" s="11" t="s">
        <v>9</v>
      </c>
      <c r="X1842" s="11" t="s">
        <v>1541</v>
      </c>
      <c r="Y1842">
        <v>127.29600000000001</v>
      </c>
      <c r="AF1842">
        <v>127.29600000000001</v>
      </c>
      <c r="AG1842" t="s">
        <v>1742</v>
      </c>
    </row>
    <row r="1843" spans="1:33" x14ac:dyDescent="0.3">
      <c r="A1843" t="s">
        <v>431</v>
      </c>
      <c r="B1843" s="2">
        <v>45489</v>
      </c>
      <c r="C1843">
        <v>1720.7438</v>
      </c>
      <c r="D1843" t="s">
        <v>1807</v>
      </c>
      <c r="E1843">
        <v>39</v>
      </c>
      <c r="F1843" t="s">
        <v>9</v>
      </c>
      <c r="G1843" t="s">
        <v>1549</v>
      </c>
      <c r="H1843" t="s">
        <v>1742</v>
      </c>
      <c r="L1843" s="2">
        <v>45489</v>
      </c>
      <c r="M1843">
        <v>1720.7438</v>
      </c>
      <c r="R1843" t="s">
        <v>1807</v>
      </c>
      <c r="S1843">
        <v>1720.7438</v>
      </c>
      <c r="W1843" s="12" t="s">
        <v>9</v>
      </c>
      <c r="X1843" s="12" t="s">
        <v>1549</v>
      </c>
      <c r="Y1843">
        <v>1720.7438</v>
      </c>
      <c r="AF1843">
        <v>1720.7438</v>
      </c>
      <c r="AG1843" t="s">
        <v>1742</v>
      </c>
    </row>
    <row r="1844" spans="1:33" x14ac:dyDescent="0.3">
      <c r="A1844" t="s">
        <v>1081</v>
      </c>
      <c r="B1844" s="2">
        <v>45761</v>
      </c>
      <c r="C1844">
        <v>1503.1768</v>
      </c>
      <c r="D1844" t="s">
        <v>1812</v>
      </c>
      <c r="E1844">
        <v>31</v>
      </c>
      <c r="F1844" t="s">
        <v>9</v>
      </c>
      <c r="G1844" t="s">
        <v>1527</v>
      </c>
      <c r="H1844" t="s">
        <v>1742</v>
      </c>
      <c r="L1844" s="2">
        <v>45761</v>
      </c>
      <c r="M1844">
        <v>1503.1768</v>
      </c>
      <c r="R1844" t="s">
        <v>1812</v>
      </c>
      <c r="S1844">
        <v>1503.1768</v>
      </c>
      <c r="W1844" s="11" t="s">
        <v>9</v>
      </c>
      <c r="X1844" s="11" t="s">
        <v>1527</v>
      </c>
      <c r="Y1844">
        <v>1503.1768</v>
      </c>
      <c r="AF1844">
        <v>1503.1768</v>
      </c>
      <c r="AG1844" t="s">
        <v>1742</v>
      </c>
    </row>
    <row r="1845" spans="1:33" x14ac:dyDescent="0.3">
      <c r="A1845" t="s">
        <v>498</v>
      </c>
      <c r="B1845" s="2">
        <v>45379</v>
      </c>
      <c r="C1845">
        <v>102.37520000000001</v>
      </c>
      <c r="D1845" t="s">
        <v>1807</v>
      </c>
      <c r="E1845">
        <v>24</v>
      </c>
      <c r="F1845" t="s">
        <v>9</v>
      </c>
      <c r="G1845" t="s">
        <v>1546</v>
      </c>
      <c r="H1845" t="s">
        <v>1742</v>
      </c>
      <c r="L1845" s="2">
        <v>45379</v>
      </c>
      <c r="M1845">
        <v>102.37520000000001</v>
      </c>
      <c r="R1845" t="s">
        <v>1807</v>
      </c>
      <c r="S1845">
        <v>102.37520000000001</v>
      </c>
      <c r="W1845" s="12" t="s">
        <v>9</v>
      </c>
      <c r="X1845" s="12" t="s">
        <v>1546</v>
      </c>
      <c r="Y1845">
        <v>102.37520000000001</v>
      </c>
      <c r="AF1845">
        <v>102.37520000000001</v>
      </c>
      <c r="AG1845" t="s">
        <v>1742</v>
      </c>
    </row>
    <row r="1846" spans="1:33" x14ac:dyDescent="0.3">
      <c r="A1846" t="s">
        <v>652</v>
      </c>
      <c r="B1846" s="2">
        <v>45716</v>
      </c>
      <c r="C1846">
        <v>791.88479999999993</v>
      </c>
      <c r="D1846" t="s">
        <v>1807</v>
      </c>
      <c r="E1846">
        <v>37</v>
      </c>
      <c r="F1846" t="s">
        <v>16</v>
      </c>
      <c r="G1846" t="s">
        <v>1546</v>
      </c>
      <c r="H1846" t="s">
        <v>1742</v>
      </c>
      <c r="L1846" s="2">
        <v>45716</v>
      </c>
      <c r="M1846">
        <v>791.88479999999993</v>
      </c>
      <c r="R1846" t="s">
        <v>1807</v>
      </c>
      <c r="S1846">
        <v>791.88479999999993</v>
      </c>
      <c r="W1846" s="11" t="s">
        <v>16</v>
      </c>
      <c r="X1846" s="11" t="s">
        <v>1546</v>
      </c>
      <c r="Y1846">
        <v>791.88479999999993</v>
      </c>
      <c r="AF1846">
        <v>791.88479999999993</v>
      </c>
      <c r="AG1846" t="s">
        <v>1742</v>
      </c>
    </row>
    <row r="1847" spans="1:33" x14ac:dyDescent="0.3">
      <c r="A1847" t="s">
        <v>386</v>
      </c>
      <c r="B1847" s="2">
        <v>45364</v>
      </c>
      <c r="C1847">
        <v>2319.4512</v>
      </c>
      <c r="D1847" t="s">
        <v>1809</v>
      </c>
      <c r="E1847">
        <v>27</v>
      </c>
      <c r="F1847" t="s">
        <v>16</v>
      </c>
      <c r="G1847" t="s">
        <v>1549</v>
      </c>
      <c r="H1847" t="s">
        <v>1742</v>
      </c>
      <c r="L1847" s="2">
        <v>45364</v>
      </c>
      <c r="M1847">
        <v>2319.4512</v>
      </c>
      <c r="R1847" t="s">
        <v>1809</v>
      </c>
      <c r="S1847">
        <v>2319.4512</v>
      </c>
      <c r="W1847" s="12" t="s">
        <v>16</v>
      </c>
      <c r="X1847" s="12" t="s">
        <v>1549</v>
      </c>
      <c r="Y1847">
        <v>2319.4512</v>
      </c>
      <c r="AF1847">
        <v>2319.4512</v>
      </c>
      <c r="AG1847" t="s">
        <v>1742</v>
      </c>
    </row>
    <row r="1848" spans="1:33" x14ac:dyDescent="0.3">
      <c r="A1848" t="s">
        <v>1148</v>
      </c>
      <c r="B1848" s="2">
        <v>45752</v>
      </c>
      <c r="C1848">
        <v>1296.261</v>
      </c>
      <c r="D1848" t="s">
        <v>1807</v>
      </c>
      <c r="E1848">
        <v>28</v>
      </c>
      <c r="F1848" t="s">
        <v>9</v>
      </c>
      <c r="G1848" t="s">
        <v>1549</v>
      </c>
      <c r="H1848" t="s">
        <v>1767</v>
      </c>
      <c r="L1848" s="2">
        <v>45752</v>
      </c>
      <c r="M1848">
        <v>1296.261</v>
      </c>
      <c r="R1848" t="s">
        <v>1807</v>
      </c>
      <c r="S1848">
        <v>1296.261</v>
      </c>
      <c r="W1848" s="11" t="s">
        <v>9</v>
      </c>
      <c r="X1848" s="11" t="s">
        <v>1549</v>
      </c>
      <c r="Y1848">
        <v>1296.261</v>
      </c>
      <c r="AF1848">
        <v>1296.261</v>
      </c>
      <c r="AG1848" t="s">
        <v>1767</v>
      </c>
    </row>
    <row r="1849" spans="1:33" x14ac:dyDescent="0.3">
      <c r="A1849" t="s">
        <v>1160</v>
      </c>
      <c r="B1849" s="2">
        <v>45883</v>
      </c>
      <c r="C1849">
        <v>910.2636</v>
      </c>
      <c r="D1849" t="s">
        <v>1809</v>
      </c>
      <c r="E1849">
        <v>30</v>
      </c>
      <c r="F1849" t="s">
        <v>9</v>
      </c>
      <c r="G1849" t="s">
        <v>1549</v>
      </c>
      <c r="H1849" t="s">
        <v>1742</v>
      </c>
      <c r="L1849" s="2">
        <v>45883</v>
      </c>
      <c r="M1849">
        <v>910.2636</v>
      </c>
      <c r="R1849" t="s">
        <v>1809</v>
      </c>
      <c r="S1849">
        <v>910.2636</v>
      </c>
      <c r="W1849" s="12" t="s">
        <v>9</v>
      </c>
      <c r="X1849" s="12" t="s">
        <v>1549</v>
      </c>
      <c r="Y1849">
        <v>910.2636</v>
      </c>
      <c r="AF1849">
        <v>910.2636</v>
      </c>
      <c r="AG1849" t="s">
        <v>1742</v>
      </c>
    </row>
    <row r="1850" spans="1:33" x14ac:dyDescent="0.3">
      <c r="A1850" t="s">
        <v>725</v>
      </c>
      <c r="B1850" s="2">
        <v>45477</v>
      </c>
      <c r="C1850">
        <v>794.50919999999996</v>
      </c>
      <c r="D1850" t="s">
        <v>1812</v>
      </c>
      <c r="E1850">
        <v>63</v>
      </c>
      <c r="F1850" t="s">
        <v>16</v>
      </c>
      <c r="G1850" t="s">
        <v>1530</v>
      </c>
      <c r="H1850" t="s">
        <v>1742</v>
      </c>
      <c r="L1850" s="2">
        <v>45477</v>
      </c>
      <c r="M1850">
        <v>794.50919999999996</v>
      </c>
      <c r="R1850" t="s">
        <v>1812</v>
      </c>
      <c r="S1850">
        <v>794.50919999999996</v>
      </c>
      <c r="W1850" s="11" t="s">
        <v>16</v>
      </c>
      <c r="X1850" s="11" t="s">
        <v>1530</v>
      </c>
      <c r="Y1850">
        <v>794.50919999999996</v>
      </c>
      <c r="AF1850">
        <v>794.50919999999996</v>
      </c>
      <c r="AG1850" t="s">
        <v>1742</v>
      </c>
    </row>
    <row r="1851" spans="1:33" x14ac:dyDescent="0.3">
      <c r="A1851" t="s">
        <v>937</v>
      </c>
      <c r="B1851" s="2">
        <v>45556</v>
      </c>
      <c r="C1851">
        <v>2458.46</v>
      </c>
      <c r="D1851" t="s">
        <v>1809</v>
      </c>
      <c r="E1851">
        <v>29</v>
      </c>
      <c r="F1851" t="s">
        <v>9</v>
      </c>
      <c r="G1851" t="s">
        <v>1549</v>
      </c>
      <c r="H1851" t="s">
        <v>1742</v>
      </c>
      <c r="L1851" s="2">
        <v>45556</v>
      </c>
      <c r="M1851">
        <v>2458.46</v>
      </c>
      <c r="R1851" t="s">
        <v>1809</v>
      </c>
      <c r="S1851">
        <v>2458.46</v>
      </c>
      <c r="W1851" s="12" t="s">
        <v>9</v>
      </c>
      <c r="X1851" s="12" t="s">
        <v>1549</v>
      </c>
      <c r="Y1851">
        <v>2458.46</v>
      </c>
      <c r="AF1851">
        <v>2458.46</v>
      </c>
      <c r="AG1851" t="s">
        <v>1742</v>
      </c>
    </row>
    <row r="1852" spans="1:33" x14ac:dyDescent="0.3">
      <c r="A1852" t="s">
        <v>389</v>
      </c>
      <c r="B1852" s="2">
        <v>45465</v>
      </c>
      <c r="C1852">
        <v>749.03039999999999</v>
      </c>
      <c r="D1852" t="s">
        <v>1812</v>
      </c>
      <c r="E1852">
        <v>51</v>
      </c>
      <c r="F1852" t="s">
        <v>9</v>
      </c>
      <c r="G1852" t="s">
        <v>1530</v>
      </c>
      <c r="H1852" t="s">
        <v>1746</v>
      </c>
      <c r="L1852" s="2">
        <v>45465</v>
      </c>
      <c r="M1852">
        <v>749.03039999999999</v>
      </c>
      <c r="R1852" t="s">
        <v>1812</v>
      </c>
      <c r="S1852">
        <v>749.03039999999999</v>
      </c>
      <c r="W1852" s="11" t="s">
        <v>9</v>
      </c>
      <c r="X1852" s="11" t="s">
        <v>1530</v>
      </c>
      <c r="Y1852">
        <v>749.03039999999999</v>
      </c>
      <c r="AF1852">
        <v>749.03039999999999</v>
      </c>
      <c r="AG1852" t="s">
        <v>1746</v>
      </c>
    </row>
    <row r="1853" spans="1:33" x14ac:dyDescent="0.3">
      <c r="A1853" t="s">
        <v>374</v>
      </c>
      <c r="B1853" s="2">
        <v>45552</v>
      </c>
      <c r="C1853">
        <v>2224.2815999999998</v>
      </c>
      <c r="D1853" t="s">
        <v>1812</v>
      </c>
      <c r="E1853">
        <v>38</v>
      </c>
      <c r="F1853" t="s">
        <v>9</v>
      </c>
      <c r="G1853" t="s">
        <v>1527</v>
      </c>
      <c r="H1853" t="s">
        <v>1742</v>
      </c>
      <c r="L1853" s="2">
        <v>45552</v>
      </c>
      <c r="M1853">
        <v>2224.2815999999998</v>
      </c>
      <c r="R1853" t="s">
        <v>1812</v>
      </c>
      <c r="S1853">
        <v>2224.2815999999998</v>
      </c>
      <c r="W1853" s="12" t="s">
        <v>9</v>
      </c>
      <c r="X1853" s="12" t="s">
        <v>1527</v>
      </c>
      <c r="Y1853">
        <v>2224.2815999999998</v>
      </c>
      <c r="AF1853">
        <v>2224.2815999999998</v>
      </c>
      <c r="AG1853" t="s">
        <v>1742</v>
      </c>
    </row>
    <row r="1854" spans="1:33" x14ac:dyDescent="0.3">
      <c r="A1854" t="s">
        <v>1148</v>
      </c>
      <c r="B1854" s="2">
        <v>45635</v>
      </c>
      <c r="C1854">
        <v>774.57599999999991</v>
      </c>
      <c r="D1854" t="s">
        <v>1809</v>
      </c>
      <c r="E1854">
        <v>28</v>
      </c>
      <c r="F1854" t="s">
        <v>9</v>
      </c>
      <c r="G1854" t="s">
        <v>1530</v>
      </c>
      <c r="H1854" t="s">
        <v>1746</v>
      </c>
      <c r="L1854" s="2">
        <v>45635</v>
      </c>
      <c r="M1854">
        <v>774.57599999999991</v>
      </c>
      <c r="R1854" t="s">
        <v>1809</v>
      </c>
      <c r="S1854">
        <v>774.57599999999991</v>
      </c>
      <c r="W1854" s="11" t="s">
        <v>9</v>
      </c>
      <c r="X1854" s="11" t="s">
        <v>1530</v>
      </c>
      <c r="Y1854">
        <v>774.57599999999991</v>
      </c>
      <c r="AF1854">
        <v>774.57599999999991</v>
      </c>
      <c r="AG1854" t="s">
        <v>1746</v>
      </c>
    </row>
    <row r="1855" spans="1:33" x14ac:dyDescent="0.3">
      <c r="A1855" t="s">
        <v>954</v>
      </c>
      <c r="B1855" s="2">
        <v>45740</v>
      </c>
      <c r="C1855">
        <v>34.178400000000003</v>
      </c>
      <c r="D1855" t="s">
        <v>1807</v>
      </c>
      <c r="E1855">
        <v>44</v>
      </c>
      <c r="F1855" t="s">
        <v>9</v>
      </c>
      <c r="G1855" t="s">
        <v>1541</v>
      </c>
      <c r="H1855" t="s">
        <v>1746</v>
      </c>
      <c r="L1855" s="2">
        <v>45740</v>
      </c>
      <c r="M1855">
        <v>34.178400000000003</v>
      </c>
      <c r="R1855" t="s">
        <v>1807</v>
      </c>
      <c r="S1855">
        <v>34.178400000000003</v>
      </c>
      <c r="W1855" s="12" t="s">
        <v>9</v>
      </c>
      <c r="X1855" s="12" t="s">
        <v>1541</v>
      </c>
      <c r="Y1855">
        <v>34.178400000000003</v>
      </c>
      <c r="AF1855">
        <v>34.178400000000003</v>
      </c>
      <c r="AG1855" t="s">
        <v>1746</v>
      </c>
    </row>
    <row r="1856" spans="1:33" x14ac:dyDescent="0.3">
      <c r="A1856" t="s">
        <v>815</v>
      </c>
      <c r="B1856" s="2">
        <v>45796</v>
      </c>
      <c r="C1856">
        <v>2396.0799000000002</v>
      </c>
      <c r="D1856" t="s">
        <v>1807</v>
      </c>
      <c r="E1856">
        <v>24</v>
      </c>
      <c r="F1856" t="s">
        <v>16</v>
      </c>
      <c r="G1856" t="s">
        <v>1527</v>
      </c>
      <c r="H1856" t="s">
        <v>1742</v>
      </c>
      <c r="L1856" s="2">
        <v>45796</v>
      </c>
      <c r="M1856">
        <v>2396.0799000000002</v>
      </c>
      <c r="R1856" t="s">
        <v>1807</v>
      </c>
      <c r="S1856">
        <v>2396.0799000000002</v>
      </c>
      <c r="W1856" s="11" t="s">
        <v>16</v>
      </c>
      <c r="X1856" s="11" t="s">
        <v>1527</v>
      </c>
      <c r="Y1856">
        <v>2396.0799000000002</v>
      </c>
      <c r="AF1856">
        <v>2396.0799000000002</v>
      </c>
      <c r="AG1856" t="s">
        <v>1742</v>
      </c>
    </row>
    <row r="1857" spans="1:33" x14ac:dyDescent="0.3">
      <c r="A1857" t="s">
        <v>969</v>
      </c>
      <c r="B1857" s="2">
        <v>45710</v>
      </c>
      <c r="C1857">
        <v>1624.443</v>
      </c>
      <c r="D1857" t="s">
        <v>1807</v>
      </c>
      <c r="E1857">
        <v>35</v>
      </c>
      <c r="F1857" t="s">
        <v>9</v>
      </c>
      <c r="G1857" t="s">
        <v>1549</v>
      </c>
      <c r="H1857" t="s">
        <v>1742</v>
      </c>
      <c r="L1857" s="2">
        <v>45710</v>
      </c>
      <c r="M1857">
        <v>1624.443</v>
      </c>
      <c r="R1857" t="s">
        <v>1807</v>
      </c>
      <c r="S1857">
        <v>1624.443</v>
      </c>
      <c r="W1857" s="12" t="s">
        <v>9</v>
      </c>
      <c r="X1857" s="12" t="s">
        <v>1549</v>
      </c>
      <c r="Y1857">
        <v>1624.443</v>
      </c>
      <c r="AF1857">
        <v>1624.443</v>
      </c>
      <c r="AG1857" t="s">
        <v>1742</v>
      </c>
    </row>
    <row r="1858" spans="1:33" x14ac:dyDescent="0.3">
      <c r="A1858" t="s">
        <v>1019</v>
      </c>
      <c r="B1858" s="2">
        <v>45596</v>
      </c>
      <c r="C1858">
        <v>910.36439999999993</v>
      </c>
      <c r="D1858" t="s">
        <v>1812</v>
      </c>
      <c r="E1858">
        <v>46</v>
      </c>
      <c r="F1858" t="s">
        <v>9</v>
      </c>
      <c r="G1858" t="s">
        <v>1546</v>
      </c>
      <c r="H1858" t="s">
        <v>1742</v>
      </c>
      <c r="L1858" s="2">
        <v>45596</v>
      </c>
      <c r="M1858">
        <v>910.36439999999993</v>
      </c>
      <c r="R1858" t="s">
        <v>1812</v>
      </c>
      <c r="S1858">
        <v>910.36439999999993</v>
      </c>
      <c r="W1858" s="11" t="s">
        <v>9</v>
      </c>
      <c r="X1858" s="11" t="s">
        <v>1546</v>
      </c>
      <c r="Y1858">
        <v>910.36439999999993</v>
      </c>
      <c r="AF1858">
        <v>910.36439999999993</v>
      </c>
      <c r="AG1858" t="s">
        <v>1742</v>
      </c>
    </row>
    <row r="1859" spans="1:33" x14ac:dyDescent="0.3">
      <c r="A1859" t="s">
        <v>236</v>
      </c>
      <c r="B1859" s="2">
        <v>45354</v>
      </c>
      <c r="C1859">
        <v>537.38969999999995</v>
      </c>
      <c r="D1859" t="s">
        <v>1812</v>
      </c>
      <c r="E1859">
        <v>21</v>
      </c>
      <c r="F1859" t="s">
        <v>16</v>
      </c>
      <c r="G1859" t="s">
        <v>1527</v>
      </c>
      <c r="H1859" t="s">
        <v>1742</v>
      </c>
      <c r="L1859" s="2">
        <v>45354</v>
      </c>
      <c r="M1859">
        <v>537.38969999999995</v>
      </c>
      <c r="R1859" t="s">
        <v>1812</v>
      </c>
      <c r="S1859">
        <v>537.38969999999995</v>
      </c>
      <c r="W1859" s="12" t="s">
        <v>16</v>
      </c>
      <c r="X1859" s="12" t="s">
        <v>1527</v>
      </c>
      <c r="Y1859">
        <v>537.38969999999995</v>
      </c>
      <c r="AF1859">
        <v>537.38969999999995</v>
      </c>
      <c r="AG1859" t="s">
        <v>1742</v>
      </c>
    </row>
    <row r="1860" spans="1:33" x14ac:dyDescent="0.3">
      <c r="A1860" t="s">
        <v>1468</v>
      </c>
      <c r="B1860" s="2">
        <v>45428</v>
      </c>
      <c r="C1860">
        <v>758.24</v>
      </c>
      <c r="D1860" t="s">
        <v>1812</v>
      </c>
      <c r="E1860">
        <v>48</v>
      </c>
      <c r="F1860" t="s">
        <v>9</v>
      </c>
      <c r="G1860" t="s">
        <v>1546</v>
      </c>
      <c r="H1860" t="s">
        <v>1742</v>
      </c>
      <c r="L1860" s="2">
        <v>45428</v>
      </c>
      <c r="M1860">
        <v>758.24</v>
      </c>
      <c r="R1860" t="s">
        <v>1812</v>
      </c>
      <c r="S1860">
        <v>758.24</v>
      </c>
      <c r="W1860" s="11" t="s">
        <v>9</v>
      </c>
      <c r="X1860" s="11" t="s">
        <v>1546</v>
      </c>
      <c r="Y1860">
        <v>758.24</v>
      </c>
      <c r="AF1860">
        <v>758.24</v>
      </c>
      <c r="AG1860" t="s">
        <v>1742</v>
      </c>
    </row>
    <row r="1861" spans="1:33" x14ac:dyDescent="0.3">
      <c r="A1861" t="s">
        <v>673</v>
      </c>
      <c r="B1861" s="2">
        <v>45511</v>
      </c>
      <c r="C1861">
        <v>773.03039999999999</v>
      </c>
      <c r="D1861" t="s">
        <v>1809</v>
      </c>
      <c r="E1861">
        <v>50</v>
      </c>
      <c r="F1861" t="s">
        <v>16</v>
      </c>
      <c r="G1861" t="s">
        <v>1530</v>
      </c>
      <c r="H1861" t="s">
        <v>1742</v>
      </c>
      <c r="L1861" s="2">
        <v>45511</v>
      </c>
      <c r="M1861">
        <v>773.03039999999999</v>
      </c>
      <c r="R1861" t="s">
        <v>1809</v>
      </c>
      <c r="S1861">
        <v>773.03039999999999</v>
      </c>
      <c r="W1861" s="12" t="s">
        <v>16</v>
      </c>
      <c r="X1861" s="12" t="s">
        <v>1530</v>
      </c>
      <c r="Y1861">
        <v>773.03039999999999</v>
      </c>
      <c r="AF1861">
        <v>773.03039999999999</v>
      </c>
      <c r="AG1861" t="s">
        <v>1742</v>
      </c>
    </row>
    <row r="1862" spans="1:33" x14ac:dyDescent="0.3">
      <c r="A1862" t="s">
        <v>614</v>
      </c>
      <c r="B1862" s="2">
        <v>45549</v>
      </c>
      <c r="C1862">
        <v>1558.9272000000001</v>
      </c>
      <c r="D1862" t="s">
        <v>1807</v>
      </c>
      <c r="E1862">
        <v>29</v>
      </c>
      <c r="F1862" t="s">
        <v>9</v>
      </c>
      <c r="G1862" t="s">
        <v>1549</v>
      </c>
      <c r="H1862" t="s">
        <v>1742</v>
      </c>
      <c r="L1862" s="2">
        <v>45549</v>
      </c>
      <c r="M1862">
        <v>1558.9272000000001</v>
      </c>
      <c r="R1862" t="s">
        <v>1807</v>
      </c>
      <c r="S1862">
        <v>1558.9272000000001</v>
      </c>
      <c r="W1862" s="11" t="s">
        <v>9</v>
      </c>
      <c r="X1862" s="11" t="s">
        <v>1549</v>
      </c>
      <c r="Y1862">
        <v>1558.9272000000001</v>
      </c>
      <c r="AF1862">
        <v>1558.9272000000001</v>
      </c>
      <c r="AG1862" t="s">
        <v>1742</v>
      </c>
    </row>
    <row r="1863" spans="1:33" x14ac:dyDescent="0.3">
      <c r="A1863" t="s">
        <v>679</v>
      </c>
      <c r="B1863" s="2">
        <v>45573</v>
      </c>
      <c r="C1863">
        <v>948.69359999999983</v>
      </c>
      <c r="D1863" t="s">
        <v>1812</v>
      </c>
      <c r="E1863">
        <v>20</v>
      </c>
      <c r="F1863" t="s">
        <v>16</v>
      </c>
      <c r="G1863" t="s">
        <v>1527</v>
      </c>
      <c r="H1863" t="s">
        <v>1742</v>
      </c>
      <c r="L1863" s="2">
        <v>45573</v>
      </c>
      <c r="M1863">
        <v>948.69359999999983</v>
      </c>
      <c r="R1863" t="s">
        <v>1812</v>
      </c>
      <c r="S1863">
        <v>948.69359999999983</v>
      </c>
      <c r="W1863" s="12" t="s">
        <v>16</v>
      </c>
      <c r="X1863" s="12" t="s">
        <v>1527</v>
      </c>
      <c r="Y1863">
        <v>948.69359999999983</v>
      </c>
      <c r="AF1863">
        <v>948.69359999999983</v>
      </c>
      <c r="AG1863" t="s">
        <v>1742</v>
      </c>
    </row>
    <row r="1864" spans="1:33" x14ac:dyDescent="0.3">
      <c r="A1864" t="s">
        <v>410</v>
      </c>
      <c r="B1864" s="2">
        <v>45904</v>
      </c>
      <c r="C1864">
        <v>96.459199999999996</v>
      </c>
      <c r="D1864" t="s">
        <v>1812</v>
      </c>
      <c r="E1864">
        <v>44</v>
      </c>
      <c r="F1864" t="s">
        <v>16</v>
      </c>
      <c r="G1864" t="s">
        <v>1541</v>
      </c>
      <c r="H1864" t="s">
        <v>1737</v>
      </c>
      <c r="L1864" s="2">
        <v>45904</v>
      </c>
      <c r="M1864">
        <v>96.459199999999996</v>
      </c>
      <c r="R1864" t="s">
        <v>1812</v>
      </c>
      <c r="S1864">
        <v>96.459199999999996</v>
      </c>
      <c r="W1864" s="11" t="s">
        <v>16</v>
      </c>
      <c r="X1864" s="11" t="s">
        <v>1541</v>
      </c>
      <c r="Y1864">
        <v>96.459199999999996</v>
      </c>
      <c r="AF1864">
        <v>96.459199999999996</v>
      </c>
      <c r="AG1864" t="s">
        <v>1737</v>
      </c>
    </row>
    <row r="1865" spans="1:33" x14ac:dyDescent="0.3">
      <c r="A1865" t="s">
        <v>28</v>
      </c>
      <c r="B1865" s="2">
        <v>45489</v>
      </c>
      <c r="C1865">
        <v>2871.3679999999999</v>
      </c>
      <c r="D1865" t="s">
        <v>1807</v>
      </c>
      <c r="E1865">
        <v>24</v>
      </c>
      <c r="F1865" t="s">
        <v>9</v>
      </c>
      <c r="G1865" t="s">
        <v>1549</v>
      </c>
      <c r="H1865" t="s">
        <v>1746</v>
      </c>
      <c r="L1865" s="2">
        <v>45489</v>
      </c>
      <c r="M1865">
        <v>2871.3679999999999</v>
      </c>
      <c r="R1865" t="s">
        <v>1807</v>
      </c>
      <c r="S1865">
        <v>2871.3679999999999</v>
      </c>
      <c r="W1865" s="12" t="s">
        <v>9</v>
      </c>
      <c r="X1865" s="12" t="s">
        <v>1549</v>
      </c>
      <c r="Y1865">
        <v>2871.3679999999999</v>
      </c>
      <c r="AF1865">
        <v>2871.3679999999999</v>
      </c>
      <c r="AG1865" t="s">
        <v>1746</v>
      </c>
    </row>
    <row r="1866" spans="1:33" x14ac:dyDescent="0.3">
      <c r="A1866" t="s">
        <v>1061</v>
      </c>
      <c r="B1866" s="2">
        <v>45909</v>
      </c>
      <c r="C1866">
        <v>483.94639999999998</v>
      </c>
      <c r="D1866" t="s">
        <v>1812</v>
      </c>
      <c r="E1866">
        <v>30</v>
      </c>
      <c r="F1866" t="s">
        <v>16</v>
      </c>
      <c r="G1866" t="s">
        <v>1546</v>
      </c>
      <c r="H1866" t="s">
        <v>1742</v>
      </c>
      <c r="L1866" s="2">
        <v>45909</v>
      </c>
      <c r="M1866">
        <v>483.94639999999998</v>
      </c>
      <c r="R1866" t="s">
        <v>1812</v>
      </c>
      <c r="S1866">
        <v>483.94639999999998</v>
      </c>
      <c r="W1866" s="11" t="s">
        <v>16</v>
      </c>
      <c r="X1866" s="11" t="s">
        <v>1546</v>
      </c>
      <c r="Y1866">
        <v>483.94639999999998</v>
      </c>
      <c r="AF1866">
        <v>483.94639999999998</v>
      </c>
      <c r="AG1866" t="s">
        <v>1742</v>
      </c>
    </row>
    <row r="1867" spans="1:33" x14ac:dyDescent="0.3">
      <c r="A1867" t="s">
        <v>1462</v>
      </c>
      <c r="B1867" s="2">
        <v>45720</v>
      </c>
      <c r="C1867">
        <v>2916.42</v>
      </c>
      <c r="D1867" t="s">
        <v>1807</v>
      </c>
      <c r="E1867">
        <v>21</v>
      </c>
      <c r="F1867" t="s">
        <v>9</v>
      </c>
      <c r="G1867" t="s">
        <v>1546</v>
      </c>
      <c r="H1867" t="s">
        <v>1742</v>
      </c>
      <c r="L1867" s="2">
        <v>45720</v>
      </c>
      <c r="M1867">
        <v>2916.42</v>
      </c>
      <c r="R1867" t="s">
        <v>1807</v>
      </c>
      <c r="S1867">
        <v>2916.42</v>
      </c>
      <c r="W1867" s="12" t="s">
        <v>9</v>
      </c>
      <c r="X1867" s="12" t="s">
        <v>1546</v>
      </c>
      <c r="Y1867">
        <v>2916.42</v>
      </c>
      <c r="AF1867">
        <v>2916.42</v>
      </c>
      <c r="AG1867" t="s">
        <v>1742</v>
      </c>
    </row>
    <row r="1868" spans="1:33" x14ac:dyDescent="0.3">
      <c r="A1868" t="s">
        <v>331</v>
      </c>
      <c r="B1868" s="2">
        <v>45831</v>
      </c>
      <c r="C1868">
        <v>1146.8154</v>
      </c>
      <c r="D1868" t="s">
        <v>1809</v>
      </c>
      <c r="E1868">
        <v>43</v>
      </c>
      <c r="F1868" t="s">
        <v>16</v>
      </c>
      <c r="G1868" t="s">
        <v>1546</v>
      </c>
      <c r="H1868" t="s">
        <v>1746</v>
      </c>
      <c r="L1868" s="2">
        <v>45831</v>
      </c>
      <c r="M1868">
        <v>1146.8154</v>
      </c>
      <c r="R1868" t="s">
        <v>1809</v>
      </c>
      <c r="S1868">
        <v>1146.8154</v>
      </c>
      <c r="W1868" s="11" t="s">
        <v>16</v>
      </c>
      <c r="X1868" s="11" t="s">
        <v>1546</v>
      </c>
      <c r="Y1868">
        <v>1146.8154</v>
      </c>
      <c r="AF1868">
        <v>1146.8154</v>
      </c>
      <c r="AG1868" t="s">
        <v>1746</v>
      </c>
    </row>
    <row r="1869" spans="1:33" x14ac:dyDescent="0.3">
      <c r="A1869" t="s">
        <v>495</v>
      </c>
      <c r="B1869" s="2">
        <v>45602</v>
      </c>
      <c r="C1869">
        <v>2819.0064000000002</v>
      </c>
      <c r="D1869" t="s">
        <v>1807</v>
      </c>
      <c r="E1869">
        <v>33</v>
      </c>
      <c r="F1869" t="s">
        <v>9</v>
      </c>
      <c r="G1869" t="s">
        <v>1541</v>
      </c>
      <c r="H1869" t="s">
        <v>1746</v>
      </c>
      <c r="L1869" s="2">
        <v>45602</v>
      </c>
      <c r="M1869">
        <v>2819.0064000000002</v>
      </c>
      <c r="R1869" t="s">
        <v>1807</v>
      </c>
      <c r="S1869">
        <v>2819.0064000000002</v>
      </c>
      <c r="W1869" s="12" t="s">
        <v>9</v>
      </c>
      <c r="X1869" s="12" t="s">
        <v>1541</v>
      </c>
      <c r="Y1869">
        <v>2819.0064000000002</v>
      </c>
      <c r="AF1869">
        <v>2819.0064000000002</v>
      </c>
      <c r="AG1869" t="s">
        <v>1746</v>
      </c>
    </row>
    <row r="1870" spans="1:33" x14ac:dyDescent="0.3">
      <c r="A1870" t="s">
        <v>457</v>
      </c>
      <c r="B1870" s="2">
        <v>45722</v>
      </c>
      <c r="C1870">
        <v>2650.2919999999999</v>
      </c>
      <c r="D1870" t="s">
        <v>1812</v>
      </c>
      <c r="E1870">
        <v>29</v>
      </c>
      <c r="F1870" t="s">
        <v>9</v>
      </c>
      <c r="G1870" t="s">
        <v>1546</v>
      </c>
      <c r="H1870" t="s">
        <v>1742</v>
      </c>
      <c r="L1870" s="2">
        <v>45722</v>
      </c>
      <c r="M1870">
        <v>2650.2919999999999</v>
      </c>
      <c r="R1870" t="s">
        <v>1812</v>
      </c>
      <c r="S1870">
        <v>2650.2919999999999</v>
      </c>
      <c r="W1870" s="11" t="s">
        <v>9</v>
      </c>
      <c r="X1870" s="11" t="s">
        <v>1546</v>
      </c>
      <c r="Y1870">
        <v>2650.2919999999999</v>
      </c>
      <c r="AF1870">
        <v>2650.2919999999999</v>
      </c>
      <c r="AG1870" t="s">
        <v>1742</v>
      </c>
    </row>
    <row r="1871" spans="1:33" x14ac:dyDescent="0.3">
      <c r="A1871" t="s">
        <v>3949</v>
      </c>
      <c r="B1871" s="2">
        <v>45794</v>
      </c>
      <c r="C1871">
        <v>2235.4787999999999</v>
      </c>
      <c r="D1871" t="s">
        <v>1807</v>
      </c>
      <c r="E1871">
        <v>45</v>
      </c>
      <c r="F1871" t="s">
        <v>16</v>
      </c>
      <c r="G1871" t="s">
        <v>1546</v>
      </c>
      <c r="H1871" t="s">
        <v>1767</v>
      </c>
      <c r="L1871" s="2">
        <v>45794</v>
      </c>
      <c r="M1871">
        <v>2235.4787999999999</v>
      </c>
      <c r="R1871" t="s">
        <v>1807</v>
      </c>
      <c r="S1871">
        <v>2235.4787999999999</v>
      </c>
      <c r="W1871" s="12" t="s">
        <v>16</v>
      </c>
      <c r="X1871" s="12" t="s">
        <v>1546</v>
      </c>
      <c r="Y1871">
        <v>2235.4787999999999</v>
      </c>
      <c r="AF1871">
        <v>2235.4787999999999</v>
      </c>
      <c r="AG1871" t="s">
        <v>1767</v>
      </c>
    </row>
    <row r="1872" spans="1:33" x14ac:dyDescent="0.3">
      <c r="A1872" t="s">
        <v>937</v>
      </c>
      <c r="B1872" s="2">
        <v>45659</v>
      </c>
      <c r="C1872">
        <v>459.28840000000002</v>
      </c>
      <c r="D1872" t="s">
        <v>1807</v>
      </c>
      <c r="E1872">
        <v>29</v>
      </c>
      <c r="F1872" t="s">
        <v>9</v>
      </c>
      <c r="G1872" t="s">
        <v>1546</v>
      </c>
      <c r="H1872" t="s">
        <v>1742</v>
      </c>
      <c r="L1872" s="2">
        <v>45659</v>
      </c>
      <c r="M1872">
        <v>459.28840000000002</v>
      </c>
      <c r="R1872" t="s">
        <v>1807</v>
      </c>
      <c r="S1872">
        <v>459.28840000000002</v>
      </c>
      <c r="W1872" s="11" t="s">
        <v>9</v>
      </c>
      <c r="X1872" s="11" t="s">
        <v>1546</v>
      </c>
      <c r="Y1872">
        <v>459.28840000000002</v>
      </c>
      <c r="AF1872">
        <v>459.28840000000002</v>
      </c>
      <c r="AG1872" t="s">
        <v>1742</v>
      </c>
    </row>
    <row r="1873" spans="1:33" x14ac:dyDescent="0.3">
      <c r="A1873" t="s">
        <v>1076</v>
      </c>
      <c r="B1873" s="2">
        <v>45501</v>
      </c>
      <c r="C1873">
        <v>464.42550000000011</v>
      </c>
      <c r="D1873" t="s">
        <v>1809</v>
      </c>
      <c r="E1873">
        <v>39</v>
      </c>
      <c r="F1873" t="s">
        <v>16</v>
      </c>
      <c r="G1873" t="s">
        <v>1549</v>
      </c>
      <c r="H1873" t="s">
        <v>1737</v>
      </c>
      <c r="L1873" s="2">
        <v>45501</v>
      </c>
      <c r="M1873">
        <v>464.42550000000011</v>
      </c>
      <c r="R1873" t="s">
        <v>1809</v>
      </c>
      <c r="S1873">
        <v>464.42550000000011</v>
      </c>
      <c r="W1873" s="12" t="s">
        <v>16</v>
      </c>
      <c r="X1873" s="12" t="s">
        <v>1549</v>
      </c>
      <c r="Y1873">
        <v>464.42550000000011</v>
      </c>
      <c r="AF1873">
        <v>464.42550000000011</v>
      </c>
      <c r="AG1873" t="s">
        <v>1737</v>
      </c>
    </row>
    <row r="1874" spans="1:33" x14ac:dyDescent="0.3">
      <c r="A1874" t="s">
        <v>801</v>
      </c>
      <c r="B1874" s="2">
        <v>45408</v>
      </c>
      <c r="C1874">
        <v>562.35899999999992</v>
      </c>
      <c r="D1874" t="s">
        <v>1809</v>
      </c>
      <c r="E1874">
        <v>32</v>
      </c>
      <c r="F1874" t="s">
        <v>9</v>
      </c>
      <c r="G1874" t="s">
        <v>1530</v>
      </c>
      <c r="H1874" t="s">
        <v>1742</v>
      </c>
      <c r="L1874" s="2">
        <v>45408</v>
      </c>
      <c r="M1874">
        <v>562.35899999999992</v>
      </c>
      <c r="R1874" t="s">
        <v>1809</v>
      </c>
      <c r="S1874">
        <v>562.35899999999992</v>
      </c>
      <c r="W1874" s="11" t="s">
        <v>9</v>
      </c>
      <c r="X1874" s="11" t="s">
        <v>1530</v>
      </c>
      <c r="Y1874">
        <v>562.35899999999992</v>
      </c>
      <c r="AF1874">
        <v>562.35899999999992</v>
      </c>
      <c r="AG1874" t="s">
        <v>1742</v>
      </c>
    </row>
    <row r="1875" spans="1:33" x14ac:dyDescent="0.3">
      <c r="A1875" t="s">
        <v>144</v>
      </c>
      <c r="B1875" s="2">
        <v>45886</v>
      </c>
      <c r="C1875">
        <v>725.3442</v>
      </c>
      <c r="D1875" t="s">
        <v>1812</v>
      </c>
      <c r="E1875">
        <v>27</v>
      </c>
      <c r="F1875" t="s">
        <v>16</v>
      </c>
      <c r="G1875" t="s">
        <v>1549</v>
      </c>
      <c r="H1875" t="s">
        <v>1742</v>
      </c>
      <c r="L1875" s="2">
        <v>45886</v>
      </c>
      <c r="M1875">
        <v>725.3442</v>
      </c>
      <c r="R1875" t="s">
        <v>1812</v>
      </c>
      <c r="S1875">
        <v>725.3442</v>
      </c>
      <c r="W1875" s="12" t="s">
        <v>16</v>
      </c>
      <c r="X1875" s="12" t="s">
        <v>1549</v>
      </c>
      <c r="Y1875">
        <v>725.3442</v>
      </c>
      <c r="AF1875">
        <v>725.3442</v>
      </c>
      <c r="AG1875" t="s">
        <v>1742</v>
      </c>
    </row>
    <row r="1876" spans="1:33" x14ac:dyDescent="0.3">
      <c r="A1876" t="s">
        <v>424</v>
      </c>
      <c r="B1876" s="2">
        <v>45426</v>
      </c>
      <c r="C1876">
        <v>1894.08</v>
      </c>
      <c r="D1876" t="s">
        <v>1809</v>
      </c>
      <c r="E1876">
        <v>64</v>
      </c>
      <c r="F1876" t="s">
        <v>16</v>
      </c>
      <c r="G1876" t="s">
        <v>1549</v>
      </c>
      <c r="H1876" t="s">
        <v>1742</v>
      </c>
      <c r="L1876" s="2">
        <v>45426</v>
      </c>
      <c r="M1876">
        <v>1894.08</v>
      </c>
      <c r="R1876" t="s">
        <v>1809</v>
      </c>
      <c r="S1876">
        <v>1894.08</v>
      </c>
      <c r="W1876" s="11" t="s">
        <v>16</v>
      </c>
      <c r="X1876" s="11" t="s">
        <v>1549</v>
      </c>
      <c r="Y1876">
        <v>1894.08</v>
      </c>
      <c r="AF1876">
        <v>1894.08</v>
      </c>
      <c r="AG1876" t="s">
        <v>1742</v>
      </c>
    </row>
    <row r="1877" spans="1:33" x14ac:dyDescent="0.3">
      <c r="A1877" t="s">
        <v>128</v>
      </c>
      <c r="B1877" s="2">
        <v>45730</v>
      </c>
      <c r="C1877">
        <v>650.91600000000005</v>
      </c>
      <c r="D1877" t="s">
        <v>1809</v>
      </c>
      <c r="E1877">
        <v>48</v>
      </c>
      <c r="F1877" t="s">
        <v>16</v>
      </c>
      <c r="G1877" t="s">
        <v>1541</v>
      </c>
      <c r="H1877" t="s">
        <v>1742</v>
      </c>
      <c r="L1877" s="2">
        <v>45730</v>
      </c>
      <c r="M1877">
        <v>650.91600000000005</v>
      </c>
      <c r="R1877" t="s">
        <v>1809</v>
      </c>
      <c r="S1877">
        <v>650.91600000000005</v>
      </c>
      <c r="W1877" s="12" t="s">
        <v>16</v>
      </c>
      <c r="X1877" s="12" t="s">
        <v>1541</v>
      </c>
      <c r="Y1877">
        <v>650.91600000000005</v>
      </c>
      <c r="AF1877">
        <v>650.91600000000005</v>
      </c>
      <c r="AG1877" t="s">
        <v>1742</v>
      </c>
    </row>
    <row r="1878" spans="1:33" x14ac:dyDescent="0.3">
      <c r="A1878" t="s">
        <v>1385</v>
      </c>
      <c r="B1878" s="2">
        <v>45731</v>
      </c>
      <c r="C1878">
        <v>143.24039999999999</v>
      </c>
      <c r="D1878" t="s">
        <v>1807</v>
      </c>
      <c r="E1878">
        <v>60</v>
      </c>
      <c r="F1878" t="s">
        <v>9</v>
      </c>
      <c r="G1878" t="s">
        <v>1546</v>
      </c>
      <c r="H1878" t="s">
        <v>1746</v>
      </c>
      <c r="L1878" s="2">
        <v>45731</v>
      </c>
      <c r="M1878">
        <v>143.24039999999999</v>
      </c>
      <c r="R1878" t="s">
        <v>1807</v>
      </c>
      <c r="S1878">
        <v>143.24039999999999</v>
      </c>
      <c r="W1878" s="11" t="s">
        <v>9</v>
      </c>
      <c r="X1878" s="11" t="s">
        <v>1546</v>
      </c>
      <c r="Y1878">
        <v>143.24039999999999</v>
      </c>
      <c r="AF1878">
        <v>143.24039999999999</v>
      </c>
      <c r="AG1878" t="s">
        <v>1746</v>
      </c>
    </row>
    <row r="1879" spans="1:33" x14ac:dyDescent="0.3">
      <c r="A1879" t="s">
        <v>806</v>
      </c>
      <c r="B1879" s="2">
        <v>45272</v>
      </c>
      <c r="C1879">
        <v>1093.2937999999999</v>
      </c>
      <c r="D1879" t="s">
        <v>1809</v>
      </c>
      <c r="E1879">
        <v>21</v>
      </c>
      <c r="F1879" t="s">
        <v>9</v>
      </c>
      <c r="G1879" t="s">
        <v>1546</v>
      </c>
      <c r="H1879" t="s">
        <v>1737</v>
      </c>
      <c r="L1879" s="2">
        <v>45272</v>
      </c>
      <c r="M1879">
        <v>1093.2937999999999</v>
      </c>
      <c r="R1879" t="s">
        <v>1809</v>
      </c>
      <c r="S1879">
        <v>1093.2937999999999</v>
      </c>
      <c r="W1879" s="12" t="s">
        <v>9</v>
      </c>
      <c r="X1879" s="12" t="s">
        <v>1546</v>
      </c>
      <c r="Y1879">
        <v>1093.2937999999999</v>
      </c>
      <c r="AF1879">
        <v>1093.2937999999999</v>
      </c>
      <c r="AG1879" t="s">
        <v>1737</v>
      </c>
    </row>
    <row r="1880" spans="1:33" x14ac:dyDescent="0.3">
      <c r="A1880" t="s">
        <v>377</v>
      </c>
      <c r="B1880" s="2">
        <v>45584</v>
      </c>
      <c r="C1880">
        <v>1487.4636</v>
      </c>
      <c r="D1880" t="s">
        <v>1812</v>
      </c>
      <c r="E1880">
        <v>27</v>
      </c>
      <c r="F1880" t="s">
        <v>9</v>
      </c>
      <c r="G1880" t="s">
        <v>1527</v>
      </c>
      <c r="H1880" t="s">
        <v>1746</v>
      </c>
      <c r="L1880" s="2">
        <v>45584</v>
      </c>
      <c r="M1880">
        <v>1487.4636</v>
      </c>
      <c r="R1880" t="s">
        <v>1812</v>
      </c>
      <c r="S1880">
        <v>1487.4636</v>
      </c>
      <c r="W1880" s="11" t="s">
        <v>9</v>
      </c>
      <c r="X1880" s="11" t="s">
        <v>1527</v>
      </c>
      <c r="Y1880">
        <v>1487.4636</v>
      </c>
      <c r="AF1880">
        <v>1487.4636</v>
      </c>
      <c r="AG1880" t="s">
        <v>1746</v>
      </c>
    </row>
    <row r="1881" spans="1:33" x14ac:dyDescent="0.3">
      <c r="A1881" t="s">
        <v>1514</v>
      </c>
      <c r="B1881" s="2">
        <v>45534</v>
      </c>
      <c r="C1881">
        <v>64.125600000000006</v>
      </c>
      <c r="D1881" t="s">
        <v>1809</v>
      </c>
      <c r="E1881">
        <v>27</v>
      </c>
      <c r="F1881" t="s">
        <v>16</v>
      </c>
      <c r="G1881" t="s">
        <v>1549</v>
      </c>
      <c r="H1881" t="s">
        <v>1742</v>
      </c>
      <c r="L1881" s="2">
        <v>45534</v>
      </c>
      <c r="M1881">
        <v>64.125600000000006</v>
      </c>
      <c r="R1881" t="s">
        <v>1809</v>
      </c>
      <c r="S1881">
        <v>64.125600000000006</v>
      </c>
      <c r="W1881" s="12" t="s">
        <v>16</v>
      </c>
      <c r="X1881" s="12" t="s">
        <v>1549</v>
      </c>
      <c r="Y1881">
        <v>64.125600000000006</v>
      </c>
      <c r="AF1881">
        <v>64.125600000000006</v>
      </c>
      <c r="AG1881" t="s">
        <v>1742</v>
      </c>
    </row>
    <row r="1882" spans="1:33" x14ac:dyDescent="0.3">
      <c r="A1882" t="s">
        <v>415</v>
      </c>
      <c r="B1882" s="2">
        <v>45482</v>
      </c>
      <c r="C1882">
        <v>383.00200000000001</v>
      </c>
      <c r="D1882" t="s">
        <v>1809</v>
      </c>
      <c r="E1882">
        <v>50</v>
      </c>
      <c r="F1882" t="s">
        <v>9</v>
      </c>
      <c r="G1882" t="s">
        <v>1541</v>
      </c>
      <c r="H1882" t="s">
        <v>1742</v>
      </c>
      <c r="L1882" s="2">
        <v>45482</v>
      </c>
      <c r="M1882">
        <v>383.00200000000001</v>
      </c>
      <c r="R1882" t="s">
        <v>1809</v>
      </c>
      <c r="S1882">
        <v>383.00200000000001</v>
      </c>
      <c r="W1882" s="11" t="s">
        <v>9</v>
      </c>
      <c r="X1882" s="11" t="s">
        <v>1541</v>
      </c>
      <c r="Y1882">
        <v>383.00200000000001</v>
      </c>
      <c r="AF1882">
        <v>383.00200000000001</v>
      </c>
      <c r="AG1882" t="s">
        <v>1742</v>
      </c>
    </row>
    <row r="1883" spans="1:33" x14ac:dyDescent="0.3">
      <c r="A1883" t="s">
        <v>996</v>
      </c>
      <c r="B1883" s="2">
        <v>45475</v>
      </c>
      <c r="C1883">
        <v>3339.8263999999999</v>
      </c>
      <c r="D1883" t="s">
        <v>1807</v>
      </c>
      <c r="E1883">
        <v>34</v>
      </c>
      <c r="F1883" t="s">
        <v>16</v>
      </c>
      <c r="G1883" t="s">
        <v>1546</v>
      </c>
      <c r="H1883" t="s">
        <v>1742</v>
      </c>
      <c r="L1883" s="2">
        <v>45475</v>
      </c>
      <c r="M1883">
        <v>3339.8263999999999</v>
      </c>
      <c r="R1883" t="s">
        <v>1807</v>
      </c>
      <c r="S1883">
        <v>3339.8263999999999</v>
      </c>
      <c r="W1883" s="12" t="s">
        <v>16</v>
      </c>
      <c r="X1883" s="12" t="s">
        <v>1546</v>
      </c>
      <c r="Y1883">
        <v>3339.8263999999999</v>
      </c>
      <c r="AF1883">
        <v>3339.8263999999999</v>
      </c>
      <c r="AG1883" t="s">
        <v>1742</v>
      </c>
    </row>
    <row r="1884" spans="1:33" x14ac:dyDescent="0.3">
      <c r="A1884" t="s">
        <v>641</v>
      </c>
      <c r="B1884" s="2">
        <v>45234</v>
      </c>
      <c r="C1884">
        <v>122.1327</v>
      </c>
      <c r="D1884" t="s">
        <v>1812</v>
      </c>
      <c r="E1884">
        <v>54</v>
      </c>
      <c r="F1884" t="s">
        <v>9</v>
      </c>
      <c r="G1884" t="s">
        <v>1546</v>
      </c>
      <c r="H1884" t="s">
        <v>1742</v>
      </c>
      <c r="L1884" s="2">
        <v>45234</v>
      </c>
      <c r="M1884">
        <v>122.1327</v>
      </c>
      <c r="R1884" t="s">
        <v>1812</v>
      </c>
      <c r="S1884">
        <v>122.1327</v>
      </c>
      <c r="W1884" s="11" t="s">
        <v>9</v>
      </c>
      <c r="X1884" s="11" t="s">
        <v>1546</v>
      </c>
      <c r="Y1884">
        <v>122.1327</v>
      </c>
      <c r="AF1884">
        <v>122.1327</v>
      </c>
      <c r="AG1884" t="s">
        <v>1742</v>
      </c>
    </row>
    <row r="1885" spans="1:33" x14ac:dyDescent="0.3">
      <c r="A1885" t="s">
        <v>3935</v>
      </c>
      <c r="B1885" s="2">
        <v>45397</v>
      </c>
      <c r="C1885">
        <v>571.63920000000007</v>
      </c>
      <c r="D1885" t="s">
        <v>1812</v>
      </c>
      <c r="E1885">
        <v>27</v>
      </c>
      <c r="F1885" t="s">
        <v>16</v>
      </c>
      <c r="G1885" t="s">
        <v>1546</v>
      </c>
      <c r="H1885" t="s">
        <v>1742</v>
      </c>
      <c r="L1885" s="2">
        <v>45397</v>
      </c>
      <c r="M1885">
        <v>571.63920000000007</v>
      </c>
      <c r="R1885" t="s">
        <v>1812</v>
      </c>
      <c r="S1885">
        <v>571.63920000000007</v>
      </c>
      <c r="W1885" s="12" t="s">
        <v>16</v>
      </c>
      <c r="X1885" s="12" t="s">
        <v>1546</v>
      </c>
      <c r="Y1885">
        <v>571.63920000000007</v>
      </c>
      <c r="AF1885">
        <v>571.63920000000007</v>
      </c>
      <c r="AG1885" t="s">
        <v>1742</v>
      </c>
    </row>
    <row r="1886" spans="1:33" x14ac:dyDescent="0.3">
      <c r="A1886" t="s">
        <v>200</v>
      </c>
      <c r="B1886" s="2">
        <v>45502</v>
      </c>
      <c r="C1886">
        <v>625.46579999999994</v>
      </c>
      <c r="D1886" t="s">
        <v>1809</v>
      </c>
      <c r="E1886">
        <v>24</v>
      </c>
      <c r="F1886" t="s">
        <v>9</v>
      </c>
      <c r="G1886" t="s">
        <v>1541</v>
      </c>
      <c r="H1886" t="s">
        <v>1746</v>
      </c>
      <c r="L1886" s="2">
        <v>45502</v>
      </c>
      <c r="M1886">
        <v>625.46579999999994</v>
      </c>
      <c r="R1886" t="s">
        <v>1809</v>
      </c>
      <c r="S1886">
        <v>625.46579999999994</v>
      </c>
      <c r="W1886" s="11" t="s">
        <v>9</v>
      </c>
      <c r="X1886" s="11" t="s">
        <v>1541</v>
      </c>
      <c r="Y1886">
        <v>625.46579999999994</v>
      </c>
      <c r="AF1886">
        <v>625.46579999999994</v>
      </c>
      <c r="AG1886" t="s">
        <v>1746</v>
      </c>
    </row>
    <row r="1887" spans="1:33" x14ac:dyDescent="0.3">
      <c r="A1887" t="s">
        <v>349</v>
      </c>
      <c r="B1887" s="2">
        <v>45644</v>
      </c>
      <c r="C1887">
        <v>838.12279999999998</v>
      </c>
      <c r="D1887" t="s">
        <v>1809</v>
      </c>
      <c r="E1887">
        <v>53</v>
      </c>
      <c r="F1887" t="s">
        <v>16</v>
      </c>
      <c r="G1887" t="s">
        <v>1546</v>
      </c>
      <c r="H1887" t="s">
        <v>1742</v>
      </c>
      <c r="L1887" s="2">
        <v>45644</v>
      </c>
      <c r="M1887">
        <v>838.12279999999998</v>
      </c>
      <c r="R1887" t="s">
        <v>1809</v>
      </c>
      <c r="S1887">
        <v>838.12279999999998</v>
      </c>
      <c r="W1887" s="12" t="s">
        <v>16</v>
      </c>
      <c r="X1887" s="12" t="s">
        <v>1546</v>
      </c>
      <c r="Y1887">
        <v>838.12279999999998</v>
      </c>
      <c r="AF1887">
        <v>838.12279999999998</v>
      </c>
      <c r="AG1887" t="s">
        <v>1742</v>
      </c>
    </row>
    <row r="1888" spans="1:33" x14ac:dyDescent="0.3">
      <c r="A1888" t="s">
        <v>1178</v>
      </c>
      <c r="B1888" s="2">
        <v>45617</v>
      </c>
      <c r="C1888">
        <v>1061.9100000000001</v>
      </c>
      <c r="D1888" t="s">
        <v>1812</v>
      </c>
      <c r="E1888">
        <v>20</v>
      </c>
      <c r="F1888" t="s">
        <v>16</v>
      </c>
      <c r="G1888" t="s">
        <v>1541</v>
      </c>
      <c r="H1888" t="s">
        <v>1742</v>
      </c>
      <c r="L1888" s="2">
        <v>45617</v>
      </c>
      <c r="M1888">
        <v>1061.9100000000001</v>
      </c>
      <c r="R1888" t="s">
        <v>1812</v>
      </c>
      <c r="S1888">
        <v>1061.9100000000001</v>
      </c>
      <c r="W1888" s="11" t="s">
        <v>16</v>
      </c>
      <c r="X1888" s="11" t="s">
        <v>1541</v>
      </c>
      <c r="Y1888">
        <v>1061.9100000000001</v>
      </c>
      <c r="AF1888">
        <v>1061.9100000000001</v>
      </c>
      <c r="AG1888" t="s">
        <v>1742</v>
      </c>
    </row>
    <row r="1889" spans="1:33" x14ac:dyDescent="0.3">
      <c r="A1889" t="s">
        <v>1093</v>
      </c>
      <c r="B1889" s="2">
        <v>45797</v>
      </c>
      <c r="C1889">
        <v>146.57919999999999</v>
      </c>
      <c r="D1889" t="s">
        <v>1812</v>
      </c>
      <c r="E1889">
        <v>56</v>
      </c>
      <c r="F1889" t="s">
        <v>16</v>
      </c>
      <c r="G1889" t="s">
        <v>1530</v>
      </c>
      <c r="H1889" t="s">
        <v>1742</v>
      </c>
      <c r="L1889" s="2">
        <v>45797</v>
      </c>
      <c r="M1889">
        <v>146.57919999999999</v>
      </c>
      <c r="R1889" t="s">
        <v>1812</v>
      </c>
      <c r="S1889">
        <v>146.57919999999999</v>
      </c>
      <c r="W1889" s="12" t="s">
        <v>16</v>
      </c>
      <c r="X1889" s="12" t="s">
        <v>1530</v>
      </c>
      <c r="Y1889">
        <v>146.57919999999999</v>
      </c>
      <c r="AF1889">
        <v>146.57919999999999</v>
      </c>
      <c r="AG1889" t="s">
        <v>1742</v>
      </c>
    </row>
    <row r="1890" spans="1:33" x14ac:dyDescent="0.3">
      <c r="A1890" t="s">
        <v>915</v>
      </c>
      <c r="B1890" s="2">
        <v>45740</v>
      </c>
      <c r="C1890">
        <v>2350.4888000000001</v>
      </c>
      <c r="D1890" t="s">
        <v>1807</v>
      </c>
      <c r="E1890">
        <v>30</v>
      </c>
      <c r="F1890" t="s">
        <v>9</v>
      </c>
      <c r="G1890" t="s">
        <v>1527</v>
      </c>
      <c r="H1890" t="s">
        <v>1767</v>
      </c>
      <c r="L1890" s="2">
        <v>45740</v>
      </c>
      <c r="M1890">
        <v>2350.4888000000001</v>
      </c>
      <c r="R1890" t="s">
        <v>1807</v>
      </c>
      <c r="S1890">
        <v>2350.4888000000001</v>
      </c>
      <c r="W1890" s="11" t="s">
        <v>9</v>
      </c>
      <c r="X1890" s="11" t="s">
        <v>1527</v>
      </c>
      <c r="Y1890">
        <v>2350.4888000000001</v>
      </c>
      <c r="AF1890">
        <v>2350.4888000000001</v>
      </c>
      <c r="AG1890" t="s">
        <v>1767</v>
      </c>
    </row>
    <row r="1891" spans="1:33" x14ac:dyDescent="0.3">
      <c r="A1891" t="s">
        <v>144</v>
      </c>
      <c r="B1891" s="2">
        <v>45824</v>
      </c>
      <c r="C1891">
        <v>128.95679999999999</v>
      </c>
      <c r="D1891" t="s">
        <v>1812</v>
      </c>
      <c r="E1891">
        <v>27</v>
      </c>
      <c r="F1891" t="s">
        <v>16</v>
      </c>
      <c r="G1891" t="s">
        <v>1546</v>
      </c>
      <c r="H1891" t="s">
        <v>1742</v>
      </c>
      <c r="L1891" s="2">
        <v>45824</v>
      </c>
      <c r="M1891">
        <v>128.95679999999999</v>
      </c>
      <c r="R1891" t="s">
        <v>1812</v>
      </c>
      <c r="S1891">
        <v>128.95679999999999</v>
      </c>
      <c r="W1891" s="12" t="s">
        <v>16</v>
      </c>
      <c r="X1891" s="12" t="s">
        <v>1546</v>
      </c>
      <c r="Y1891">
        <v>128.95679999999999</v>
      </c>
      <c r="AF1891">
        <v>128.95679999999999</v>
      </c>
      <c r="AG1891" t="s">
        <v>1742</v>
      </c>
    </row>
    <row r="1892" spans="1:33" x14ac:dyDescent="0.3">
      <c r="A1892" t="s">
        <v>1497</v>
      </c>
      <c r="B1892" s="2">
        <v>45404</v>
      </c>
      <c r="C1892">
        <v>2282.9663999999998</v>
      </c>
      <c r="D1892" t="s">
        <v>1812</v>
      </c>
      <c r="E1892">
        <v>28</v>
      </c>
      <c r="F1892" t="s">
        <v>9</v>
      </c>
      <c r="G1892" t="s">
        <v>1541</v>
      </c>
      <c r="H1892" t="s">
        <v>1742</v>
      </c>
      <c r="L1892" s="2">
        <v>45404</v>
      </c>
      <c r="M1892">
        <v>2282.9663999999998</v>
      </c>
      <c r="R1892" t="s">
        <v>1812</v>
      </c>
      <c r="S1892">
        <v>2282.9663999999998</v>
      </c>
      <c r="W1892" s="11" t="s">
        <v>9</v>
      </c>
      <c r="X1892" s="11" t="s">
        <v>1541</v>
      </c>
      <c r="Y1892">
        <v>2282.9663999999998</v>
      </c>
      <c r="AF1892">
        <v>2282.9663999999998</v>
      </c>
      <c r="AG1892" t="s">
        <v>1742</v>
      </c>
    </row>
    <row r="1893" spans="1:33" x14ac:dyDescent="0.3">
      <c r="A1893" t="s">
        <v>1396</v>
      </c>
      <c r="B1893" s="2">
        <v>45916</v>
      </c>
      <c r="C1893">
        <v>1956.0320999999999</v>
      </c>
      <c r="D1893" t="s">
        <v>1807</v>
      </c>
      <c r="E1893">
        <v>62</v>
      </c>
      <c r="F1893" t="s">
        <v>16</v>
      </c>
      <c r="G1893" t="s">
        <v>1549</v>
      </c>
      <c r="H1893" t="s">
        <v>1742</v>
      </c>
      <c r="L1893" s="2">
        <v>45916</v>
      </c>
      <c r="M1893">
        <v>1956.0320999999999</v>
      </c>
      <c r="R1893" t="s">
        <v>1807</v>
      </c>
      <c r="S1893">
        <v>1956.0320999999999</v>
      </c>
      <c r="W1893" s="12" t="s">
        <v>16</v>
      </c>
      <c r="X1893" s="12" t="s">
        <v>1549</v>
      </c>
      <c r="Y1893">
        <v>1956.0320999999999</v>
      </c>
      <c r="AF1893">
        <v>1956.0320999999999</v>
      </c>
      <c r="AG1893" t="s">
        <v>1742</v>
      </c>
    </row>
    <row r="1894" spans="1:33" x14ac:dyDescent="0.3">
      <c r="A1894" t="s">
        <v>219</v>
      </c>
      <c r="B1894" s="2">
        <v>45269</v>
      </c>
      <c r="C1894">
        <v>93.653999999999996</v>
      </c>
      <c r="D1894" t="s">
        <v>1809</v>
      </c>
      <c r="E1894">
        <v>22</v>
      </c>
      <c r="F1894" t="s">
        <v>16</v>
      </c>
      <c r="G1894" t="s">
        <v>1527</v>
      </c>
      <c r="H1894" t="s">
        <v>1742</v>
      </c>
      <c r="L1894" s="2">
        <v>45269</v>
      </c>
      <c r="M1894">
        <v>93.653999999999996</v>
      </c>
      <c r="R1894" t="s">
        <v>1809</v>
      </c>
      <c r="S1894">
        <v>93.653999999999996</v>
      </c>
      <c r="W1894" s="11" t="s">
        <v>16</v>
      </c>
      <c r="X1894" s="11" t="s">
        <v>1527</v>
      </c>
      <c r="Y1894">
        <v>93.653999999999996</v>
      </c>
      <c r="AF1894">
        <v>93.653999999999996</v>
      </c>
      <c r="AG1894" t="s">
        <v>1742</v>
      </c>
    </row>
    <row r="1895" spans="1:33" x14ac:dyDescent="0.3">
      <c r="A1895" t="s">
        <v>563</v>
      </c>
      <c r="B1895" s="2">
        <v>45493</v>
      </c>
      <c r="C1895">
        <v>319.07839999999999</v>
      </c>
      <c r="D1895" t="s">
        <v>1809</v>
      </c>
      <c r="E1895">
        <v>41</v>
      </c>
      <c r="F1895" t="s">
        <v>16</v>
      </c>
      <c r="G1895" t="s">
        <v>1549</v>
      </c>
      <c r="H1895" t="s">
        <v>1742</v>
      </c>
      <c r="L1895" s="2">
        <v>45493</v>
      </c>
      <c r="M1895">
        <v>319.07839999999999</v>
      </c>
      <c r="R1895" t="s">
        <v>1809</v>
      </c>
      <c r="S1895">
        <v>319.07839999999999</v>
      </c>
      <c r="W1895" s="12" t="s">
        <v>16</v>
      </c>
      <c r="X1895" s="12" t="s">
        <v>1549</v>
      </c>
      <c r="Y1895">
        <v>319.07839999999999</v>
      </c>
      <c r="AF1895">
        <v>319.07839999999999</v>
      </c>
      <c r="AG1895" t="s">
        <v>1742</v>
      </c>
    </row>
    <row r="1896" spans="1:33" x14ac:dyDescent="0.3">
      <c r="A1896" t="s">
        <v>1399</v>
      </c>
      <c r="B1896" s="2">
        <v>45558</v>
      </c>
      <c r="C1896">
        <v>1549.9155000000001</v>
      </c>
      <c r="D1896" t="s">
        <v>1807</v>
      </c>
      <c r="E1896">
        <v>29</v>
      </c>
      <c r="F1896" t="s">
        <v>16</v>
      </c>
      <c r="G1896" t="s">
        <v>1549</v>
      </c>
      <c r="H1896" t="s">
        <v>1742</v>
      </c>
      <c r="L1896" s="2">
        <v>45558</v>
      </c>
      <c r="M1896">
        <v>1549.9155000000001</v>
      </c>
      <c r="R1896" t="s">
        <v>1807</v>
      </c>
      <c r="S1896">
        <v>1549.9155000000001</v>
      </c>
      <c r="W1896" s="11" t="s">
        <v>16</v>
      </c>
      <c r="X1896" s="11" t="s">
        <v>1549</v>
      </c>
      <c r="Y1896">
        <v>1549.9155000000001</v>
      </c>
      <c r="AF1896">
        <v>1549.9155000000001</v>
      </c>
      <c r="AG1896" t="s">
        <v>1742</v>
      </c>
    </row>
    <row r="1897" spans="1:33" x14ac:dyDescent="0.3">
      <c r="A1897" t="s">
        <v>104</v>
      </c>
      <c r="B1897" s="2">
        <v>45423</v>
      </c>
      <c r="C1897">
        <v>1307.3345999999999</v>
      </c>
      <c r="D1897" t="s">
        <v>1809</v>
      </c>
      <c r="E1897">
        <v>59</v>
      </c>
      <c r="F1897" t="s">
        <v>16</v>
      </c>
      <c r="G1897" t="s">
        <v>1527</v>
      </c>
      <c r="H1897" t="s">
        <v>1742</v>
      </c>
      <c r="L1897" s="2">
        <v>45423</v>
      </c>
      <c r="M1897">
        <v>1307.3345999999999</v>
      </c>
      <c r="R1897" t="s">
        <v>1809</v>
      </c>
      <c r="S1897">
        <v>1307.3345999999999</v>
      </c>
      <c r="W1897" s="12" t="s">
        <v>16</v>
      </c>
      <c r="X1897" s="12" t="s">
        <v>1527</v>
      </c>
      <c r="Y1897">
        <v>1307.3345999999999</v>
      </c>
      <c r="AF1897">
        <v>1307.3345999999999</v>
      </c>
      <c r="AG1897" t="s">
        <v>1742</v>
      </c>
    </row>
    <row r="1898" spans="1:33" x14ac:dyDescent="0.3">
      <c r="A1898" t="s">
        <v>1331</v>
      </c>
      <c r="B1898" s="2">
        <v>45780</v>
      </c>
      <c r="C1898">
        <v>2829.7228</v>
      </c>
      <c r="D1898" t="s">
        <v>1807</v>
      </c>
      <c r="E1898">
        <v>37</v>
      </c>
      <c r="F1898" t="s">
        <v>16</v>
      </c>
      <c r="G1898" t="s">
        <v>1546</v>
      </c>
      <c r="H1898" t="s">
        <v>1767</v>
      </c>
      <c r="L1898" s="2">
        <v>45780</v>
      </c>
      <c r="M1898">
        <v>2829.7228</v>
      </c>
      <c r="R1898" t="s">
        <v>1807</v>
      </c>
      <c r="S1898">
        <v>2829.7228</v>
      </c>
      <c r="W1898" s="11" t="s">
        <v>16</v>
      </c>
      <c r="X1898" s="11" t="s">
        <v>1546</v>
      </c>
      <c r="Y1898">
        <v>2829.7228</v>
      </c>
      <c r="AF1898">
        <v>2829.7228</v>
      </c>
      <c r="AG1898" t="s">
        <v>1767</v>
      </c>
    </row>
    <row r="1899" spans="1:33" x14ac:dyDescent="0.3">
      <c r="A1899" t="s">
        <v>1293</v>
      </c>
      <c r="B1899" s="2">
        <v>45345</v>
      </c>
      <c r="C1899">
        <v>232.42320000000001</v>
      </c>
      <c r="D1899" t="s">
        <v>1809</v>
      </c>
      <c r="E1899">
        <v>42</v>
      </c>
      <c r="F1899" t="s">
        <v>16</v>
      </c>
      <c r="G1899" t="s">
        <v>1527</v>
      </c>
      <c r="H1899" t="s">
        <v>1737</v>
      </c>
      <c r="L1899" s="2">
        <v>45345</v>
      </c>
      <c r="M1899">
        <v>232.42320000000001</v>
      </c>
      <c r="R1899" t="s">
        <v>1809</v>
      </c>
      <c r="S1899">
        <v>232.42320000000001</v>
      </c>
      <c r="W1899" s="12" t="s">
        <v>16</v>
      </c>
      <c r="X1899" s="12" t="s">
        <v>1527</v>
      </c>
      <c r="Y1899">
        <v>232.42320000000001</v>
      </c>
      <c r="AF1899">
        <v>232.42320000000001</v>
      </c>
      <c r="AG1899" t="s">
        <v>1737</v>
      </c>
    </row>
    <row r="1900" spans="1:33" x14ac:dyDescent="0.3">
      <c r="A1900" t="s">
        <v>1407</v>
      </c>
      <c r="B1900" s="2">
        <v>45344</v>
      </c>
      <c r="C1900">
        <v>2084.3328000000001</v>
      </c>
      <c r="D1900" t="s">
        <v>1812</v>
      </c>
      <c r="E1900">
        <v>34</v>
      </c>
      <c r="F1900" t="s">
        <v>16</v>
      </c>
      <c r="G1900" t="s">
        <v>1546</v>
      </c>
      <c r="H1900" t="s">
        <v>1742</v>
      </c>
      <c r="L1900" s="2">
        <v>45344</v>
      </c>
      <c r="M1900">
        <v>2084.3328000000001</v>
      </c>
      <c r="R1900" t="s">
        <v>1812</v>
      </c>
      <c r="S1900">
        <v>2084.3328000000001</v>
      </c>
      <c r="W1900" s="11" t="s">
        <v>16</v>
      </c>
      <c r="X1900" s="11" t="s">
        <v>1546</v>
      </c>
      <c r="Y1900">
        <v>2084.3328000000001</v>
      </c>
      <c r="AF1900">
        <v>2084.3328000000001</v>
      </c>
      <c r="AG1900" t="s">
        <v>1742</v>
      </c>
    </row>
    <row r="1901" spans="1:33" x14ac:dyDescent="0.3">
      <c r="A1901" t="s">
        <v>228</v>
      </c>
      <c r="B1901" s="2">
        <v>45525</v>
      </c>
      <c r="C1901">
        <v>984.37</v>
      </c>
      <c r="D1901" t="s">
        <v>1809</v>
      </c>
      <c r="E1901">
        <v>51</v>
      </c>
      <c r="F1901" t="s">
        <v>9</v>
      </c>
      <c r="G1901" t="s">
        <v>1527</v>
      </c>
      <c r="H1901" t="s">
        <v>1742</v>
      </c>
      <c r="L1901" s="2">
        <v>45525</v>
      </c>
      <c r="M1901">
        <v>984.37</v>
      </c>
      <c r="R1901" t="s">
        <v>1809</v>
      </c>
      <c r="S1901">
        <v>984.37</v>
      </c>
      <c r="W1901" s="12" t="s">
        <v>9</v>
      </c>
      <c r="X1901" s="12" t="s">
        <v>1527</v>
      </c>
      <c r="Y1901">
        <v>984.37</v>
      </c>
      <c r="AF1901">
        <v>984.37</v>
      </c>
      <c r="AG1901" t="s">
        <v>1742</v>
      </c>
    </row>
    <row r="1902" spans="1:33" x14ac:dyDescent="0.3">
      <c r="A1902" t="s">
        <v>918</v>
      </c>
      <c r="B1902" s="2">
        <v>45329</v>
      </c>
      <c r="C1902">
        <v>418.15839999999997</v>
      </c>
      <c r="D1902" t="s">
        <v>1807</v>
      </c>
      <c r="E1902">
        <v>56</v>
      </c>
      <c r="F1902" t="s">
        <v>16</v>
      </c>
      <c r="G1902" t="s">
        <v>1530</v>
      </c>
      <c r="H1902" t="s">
        <v>1742</v>
      </c>
      <c r="L1902" s="2">
        <v>45329</v>
      </c>
      <c r="M1902">
        <v>418.15839999999997</v>
      </c>
      <c r="R1902" t="s">
        <v>1807</v>
      </c>
      <c r="S1902">
        <v>418.15839999999997</v>
      </c>
      <c r="W1902" s="11" t="s">
        <v>16</v>
      </c>
      <c r="X1902" s="11" t="s">
        <v>1530</v>
      </c>
      <c r="Y1902">
        <v>418.15839999999997</v>
      </c>
      <c r="AF1902">
        <v>418.15839999999997</v>
      </c>
      <c r="AG1902" t="s">
        <v>1742</v>
      </c>
    </row>
    <row r="1903" spans="1:33" x14ac:dyDescent="0.3">
      <c r="A1903" t="s">
        <v>1322</v>
      </c>
      <c r="B1903" s="2">
        <v>45250</v>
      </c>
      <c r="C1903">
        <v>38.003799999999998</v>
      </c>
      <c r="D1903" t="s">
        <v>1812</v>
      </c>
      <c r="E1903">
        <v>37</v>
      </c>
      <c r="F1903" t="s">
        <v>9</v>
      </c>
      <c r="G1903" t="s">
        <v>1530</v>
      </c>
      <c r="H1903" t="s">
        <v>1767</v>
      </c>
      <c r="L1903" s="2">
        <v>45250</v>
      </c>
      <c r="M1903">
        <v>38.003799999999998</v>
      </c>
      <c r="R1903" t="s">
        <v>1812</v>
      </c>
      <c r="S1903">
        <v>38.003799999999998</v>
      </c>
      <c r="W1903" s="12" t="s">
        <v>9</v>
      </c>
      <c r="X1903" s="12" t="s">
        <v>1530</v>
      </c>
      <c r="Y1903">
        <v>38.003799999999998</v>
      </c>
      <c r="AF1903">
        <v>38.003799999999998</v>
      </c>
      <c r="AG1903" t="s">
        <v>1767</v>
      </c>
    </row>
    <row r="1904" spans="1:33" x14ac:dyDescent="0.3">
      <c r="A1904" t="s">
        <v>1390</v>
      </c>
      <c r="B1904" s="2">
        <v>45691</v>
      </c>
      <c r="C1904">
        <v>1046.5488</v>
      </c>
      <c r="D1904" t="s">
        <v>1807</v>
      </c>
      <c r="E1904">
        <v>59</v>
      </c>
      <c r="F1904" t="s">
        <v>16</v>
      </c>
      <c r="G1904" t="s">
        <v>1527</v>
      </c>
      <c r="H1904" t="s">
        <v>1742</v>
      </c>
      <c r="L1904" s="2">
        <v>45691</v>
      </c>
      <c r="M1904">
        <v>1046.5488</v>
      </c>
      <c r="R1904" t="s">
        <v>1807</v>
      </c>
      <c r="S1904">
        <v>1046.5488</v>
      </c>
      <c r="W1904" s="11" t="s">
        <v>16</v>
      </c>
      <c r="X1904" s="11" t="s">
        <v>1527</v>
      </c>
      <c r="Y1904">
        <v>1046.5488</v>
      </c>
      <c r="AF1904">
        <v>1046.5488</v>
      </c>
      <c r="AG1904" t="s">
        <v>1742</v>
      </c>
    </row>
    <row r="1905" spans="1:33" x14ac:dyDescent="0.3">
      <c r="A1905" t="s">
        <v>552</v>
      </c>
      <c r="B1905" s="2">
        <v>45644</v>
      </c>
      <c r="C1905">
        <v>1356.885</v>
      </c>
      <c r="D1905" t="s">
        <v>1812</v>
      </c>
      <c r="E1905">
        <v>36</v>
      </c>
      <c r="F1905" t="s">
        <v>16</v>
      </c>
      <c r="G1905" t="s">
        <v>1527</v>
      </c>
      <c r="H1905" t="s">
        <v>1737</v>
      </c>
      <c r="L1905" s="2">
        <v>45644</v>
      </c>
      <c r="M1905">
        <v>1356.885</v>
      </c>
      <c r="R1905" t="s">
        <v>1812</v>
      </c>
      <c r="S1905">
        <v>1356.885</v>
      </c>
      <c r="W1905" s="12" t="s">
        <v>16</v>
      </c>
      <c r="X1905" s="12" t="s">
        <v>1527</v>
      </c>
      <c r="Y1905">
        <v>1356.885</v>
      </c>
      <c r="AF1905">
        <v>1356.885</v>
      </c>
      <c r="AG1905" t="s">
        <v>1737</v>
      </c>
    </row>
    <row r="1906" spans="1:33" x14ac:dyDescent="0.3">
      <c r="A1906" t="s">
        <v>225</v>
      </c>
      <c r="B1906" s="2">
        <v>45514</v>
      </c>
      <c r="C1906">
        <v>502.75240000000002</v>
      </c>
      <c r="D1906" t="s">
        <v>1812</v>
      </c>
      <c r="E1906">
        <v>50</v>
      </c>
      <c r="F1906" t="s">
        <v>9</v>
      </c>
      <c r="G1906" t="s">
        <v>1549</v>
      </c>
      <c r="H1906" t="s">
        <v>1737</v>
      </c>
      <c r="L1906" s="2">
        <v>45514</v>
      </c>
      <c r="M1906">
        <v>502.75240000000002</v>
      </c>
      <c r="R1906" t="s">
        <v>1812</v>
      </c>
      <c r="S1906">
        <v>502.75240000000002</v>
      </c>
      <c r="W1906" s="11" t="s">
        <v>9</v>
      </c>
      <c r="X1906" s="11" t="s">
        <v>1549</v>
      </c>
      <c r="Y1906">
        <v>502.75240000000002</v>
      </c>
      <c r="AF1906">
        <v>502.75240000000002</v>
      </c>
      <c r="AG1906" t="s">
        <v>1737</v>
      </c>
    </row>
    <row r="1907" spans="1:33" x14ac:dyDescent="0.3">
      <c r="A1907" t="s">
        <v>577</v>
      </c>
      <c r="B1907" s="2">
        <v>45760</v>
      </c>
      <c r="C1907">
        <v>793.38690000000008</v>
      </c>
      <c r="D1907" t="s">
        <v>1812</v>
      </c>
      <c r="E1907">
        <v>55</v>
      </c>
      <c r="F1907" t="s">
        <v>9</v>
      </c>
      <c r="G1907" t="s">
        <v>1530</v>
      </c>
      <c r="H1907" t="s">
        <v>1742</v>
      </c>
      <c r="L1907" s="2">
        <v>45760</v>
      </c>
      <c r="M1907">
        <v>793.38690000000008</v>
      </c>
      <c r="R1907" t="s">
        <v>1812</v>
      </c>
      <c r="S1907">
        <v>793.38690000000008</v>
      </c>
      <c r="W1907" s="12" t="s">
        <v>9</v>
      </c>
      <c r="X1907" s="12" t="s">
        <v>1530</v>
      </c>
      <c r="Y1907">
        <v>793.38690000000008</v>
      </c>
      <c r="AF1907">
        <v>793.38690000000008</v>
      </c>
      <c r="AG1907" t="s">
        <v>1742</v>
      </c>
    </row>
    <row r="1908" spans="1:33" x14ac:dyDescent="0.3">
      <c r="A1908" t="s">
        <v>629</v>
      </c>
      <c r="B1908" s="2">
        <v>45289</v>
      </c>
      <c r="C1908">
        <v>2075.913</v>
      </c>
      <c r="D1908" t="s">
        <v>1812</v>
      </c>
      <c r="E1908">
        <v>46</v>
      </c>
      <c r="F1908" t="s">
        <v>9</v>
      </c>
      <c r="G1908" t="s">
        <v>1549</v>
      </c>
      <c r="H1908" t="s">
        <v>1746</v>
      </c>
      <c r="L1908" s="2">
        <v>45289</v>
      </c>
      <c r="M1908">
        <v>2075.913</v>
      </c>
      <c r="R1908" t="s">
        <v>1812</v>
      </c>
      <c r="S1908">
        <v>2075.913</v>
      </c>
      <c r="W1908" s="11" t="s">
        <v>9</v>
      </c>
      <c r="X1908" s="11" t="s">
        <v>1549</v>
      </c>
      <c r="Y1908">
        <v>2075.913</v>
      </c>
      <c r="AF1908">
        <v>2075.913</v>
      </c>
      <c r="AG1908" t="s">
        <v>1746</v>
      </c>
    </row>
    <row r="1909" spans="1:33" x14ac:dyDescent="0.3">
      <c r="A1909" t="s">
        <v>809</v>
      </c>
      <c r="B1909" s="2">
        <v>45704</v>
      </c>
      <c r="C1909">
        <v>2513.8984</v>
      </c>
      <c r="D1909" t="s">
        <v>1807</v>
      </c>
      <c r="E1909">
        <v>57</v>
      </c>
      <c r="F1909" t="s">
        <v>9</v>
      </c>
      <c r="G1909" t="s">
        <v>1546</v>
      </c>
      <c r="H1909" t="s">
        <v>1742</v>
      </c>
      <c r="L1909" s="2">
        <v>45704</v>
      </c>
      <c r="M1909">
        <v>2513.8984</v>
      </c>
      <c r="R1909" t="s">
        <v>1807</v>
      </c>
      <c r="S1909">
        <v>2513.8984</v>
      </c>
      <c r="W1909" s="12" t="s">
        <v>9</v>
      </c>
      <c r="X1909" s="12" t="s">
        <v>1546</v>
      </c>
      <c r="Y1909">
        <v>2513.8984</v>
      </c>
      <c r="AF1909">
        <v>2513.8984</v>
      </c>
      <c r="AG1909" t="s">
        <v>1742</v>
      </c>
    </row>
    <row r="1910" spans="1:33" x14ac:dyDescent="0.3">
      <c r="A1910" t="s">
        <v>1067</v>
      </c>
      <c r="B1910" s="2">
        <v>45318</v>
      </c>
      <c r="C1910">
        <v>895.53420000000006</v>
      </c>
      <c r="D1910" t="s">
        <v>1812</v>
      </c>
      <c r="E1910">
        <v>39</v>
      </c>
      <c r="F1910" t="s">
        <v>9</v>
      </c>
      <c r="G1910" t="s">
        <v>1549</v>
      </c>
      <c r="H1910" t="s">
        <v>1742</v>
      </c>
      <c r="L1910" s="2">
        <v>45318</v>
      </c>
      <c r="M1910">
        <v>895.53420000000006</v>
      </c>
      <c r="R1910" t="s">
        <v>1812</v>
      </c>
      <c r="S1910">
        <v>895.53420000000006</v>
      </c>
      <c r="W1910" s="11" t="s">
        <v>9</v>
      </c>
      <c r="X1910" s="11" t="s">
        <v>1549</v>
      </c>
      <c r="Y1910">
        <v>895.53420000000006</v>
      </c>
      <c r="AF1910">
        <v>895.53420000000006</v>
      </c>
      <c r="AG1910" t="s">
        <v>1742</v>
      </c>
    </row>
    <row r="1911" spans="1:33" x14ac:dyDescent="0.3">
      <c r="A1911" t="s">
        <v>1362</v>
      </c>
      <c r="B1911" s="2">
        <v>45495</v>
      </c>
      <c r="C1911">
        <v>1443.2418</v>
      </c>
      <c r="D1911" t="s">
        <v>1812</v>
      </c>
      <c r="E1911">
        <v>35</v>
      </c>
      <c r="F1911" t="s">
        <v>9</v>
      </c>
      <c r="G1911" t="s">
        <v>1549</v>
      </c>
      <c r="H1911" t="s">
        <v>1742</v>
      </c>
      <c r="L1911" s="2">
        <v>45495</v>
      </c>
      <c r="M1911">
        <v>1443.2418</v>
      </c>
      <c r="R1911" t="s">
        <v>1812</v>
      </c>
      <c r="S1911">
        <v>1443.2418</v>
      </c>
      <c r="W1911" s="12" t="s">
        <v>9</v>
      </c>
      <c r="X1911" s="12" t="s">
        <v>1549</v>
      </c>
      <c r="Y1911">
        <v>1443.2418</v>
      </c>
      <c r="AF1911">
        <v>1443.2418</v>
      </c>
      <c r="AG1911" t="s">
        <v>1742</v>
      </c>
    </row>
    <row r="1912" spans="1:33" x14ac:dyDescent="0.3">
      <c r="A1912" t="s">
        <v>128</v>
      </c>
      <c r="B1912" s="2">
        <v>45560</v>
      </c>
      <c r="C1912">
        <v>762.00299999999993</v>
      </c>
      <c r="D1912" t="s">
        <v>1812</v>
      </c>
      <c r="E1912">
        <v>48</v>
      </c>
      <c r="F1912" t="s">
        <v>16</v>
      </c>
      <c r="G1912" t="s">
        <v>1549</v>
      </c>
      <c r="H1912" t="s">
        <v>1767</v>
      </c>
      <c r="L1912" s="2">
        <v>45560</v>
      </c>
      <c r="M1912">
        <v>762.00299999999993</v>
      </c>
      <c r="R1912" t="s">
        <v>1812</v>
      </c>
      <c r="S1912">
        <v>762.00299999999993</v>
      </c>
      <c r="W1912" s="11" t="s">
        <v>16</v>
      </c>
      <c r="X1912" s="11" t="s">
        <v>1549</v>
      </c>
      <c r="Y1912">
        <v>762.00299999999993</v>
      </c>
      <c r="AF1912">
        <v>762.00299999999993</v>
      </c>
      <c r="AG1912" t="s">
        <v>1767</v>
      </c>
    </row>
    <row r="1913" spans="1:33" x14ac:dyDescent="0.3">
      <c r="A1913" t="s">
        <v>79</v>
      </c>
      <c r="B1913" s="2">
        <v>45367</v>
      </c>
      <c r="C1913">
        <v>223.59200000000001</v>
      </c>
      <c r="D1913" t="s">
        <v>1812</v>
      </c>
      <c r="E1913">
        <v>43</v>
      </c>
      <c r="F1913" t="s">
        <v>9</v>
      </c>
      <c r="G1913" t="s">
        <v>1549</v>
      </c>
      <c r="H1913" t="s">
        <v>1737</v>
      </c>
      <c r="L1913" s="2">
        <v>45367</v>
      </c>
      <c r="M1913">
        <v>223.59200000000001</v>
      </c>
      <c r="R1913" t="s">
        <v>1812</v>
      </c>
      <c r="S1913">
        <v>223.59200000000001</v>
      </c>
      <c r="W1913" s="12" t="s">
        <v>9</v>
      </c>
      <c r="X1913" s="12" t="s">
        <v>1549</v>
      </c>
      <c r="Y1913">
        <v>223.59200000000001</v>
      </c>
      <c r="AF1913">
        <v>223.59200000000001</v>
      </c>
      <c r="AG1913" t="s">
        <v>1737</v>
      </c>
    </row>
    <row r="1914" spans="1:33" x14ac:dyDescent="0.3">
      <c r="A1914" t="s">
        <v>877</v>
      </c>
      <c r="B1914" s="2">
        <v>45861</v>
      </c>
      <c r="C1914">
        <v>846.74879999999996</v>
      </c>
      <c r="D1914" t="s">
        <v>1812</v>
      </c>
      <c r="E1914">
        <v>21</v>
      </c>
      <c r="F1914" t="s">
        <v>16</v>
      </c>
      <c r="G1914" t="s">
        <v>1527</v>
      </c>
      <c r="H1914" t="s">
        <v>1737</v>
      </c>
      <c r="L1914" s="2">
        <v>45861</v>
      </c>
      <c r="M1914">
        <v>846.74879999999996</v>
      </c>
      <c r="R1914" t="s">
        <v>1812</v>
      </c>
      <c r="S1914">
        <v>846.74879999999996</v>
      </c>
      <c r="W1914" s="11" t="s">
        <v>16</v>
      </c>
      <c r="X1914" s="11" t="s">
        <v>1527</v>
      </c>
      <c r="Y1914">
        <v>846.74879999999996</v>
      </c>
      <c r="AF1914">
        <v>846.74879999999996</v>
      </c>
      <c r="AG1914" t="s">
        <v>1737</v>
      </c>
    </row>
    <row r="1915" spans="1:33" x14ac:dyDescent="0.3">
      <c r="A1915" t="s">
        <v>45</v>
      </c>
      <c r="B1915" s="2">
        <v>45589</v>
      </c>
      <c r="C1915">
        <v>757.16760000000011</v>
      </c>
      <c r="D1915" t="s">
        <v>1807</v>
      </c>
      <c r="E1915">
        <v>64</v>
      </c>
      <c r="F1915" t="s">
        <v>9</v>
      </c>
      <c r="G1915" t="s">
        <v>1549</v>
      </c>
      <c r="H1915" t="s">
        <v>1742</v>
      </c>
      <c r="L1915" s="2">
        <v>45589</v>
      </c>
      <c r="M1915">
        <v>757.16760000000011</v>
      </c>
      <c r="R1915" t="s">
        <v>1807</v>
      </c>
      <c r="S1915">
        <v>757.16760000000011</v>
      </c>
      <c r="W1915" s="12" t="s">
        <v>9</v>
      </c>
      <c r="X1915" s="12" t="s">
        <v>1549</v>
      </c>
      <c r="Y1915">
        <v>757.16760000000011</v>
      </c>
      <c r="AF1915">
        <v>757.16760000000011</v>
      </c>
      <c r="AG1915" t="s">
        <v>1742</v>
      </c>
    </row>
    <row r="1916" spans="1:33" x14ac:dyDescent="0.3">
      <c r="A1916" t="s">
        <v>45</v>
      </c>
      <c r="B1916" s="2">
        <v>45560</v>
      </c>
      <c r="C1916">
        <v>709.12709999999993</v>
      </c>
      <c r="D1916" t="s">
        <v>1809</v>
      </c>
      <c r="E1916">
        <v>64</v>
      </c>
      <c r="F1916" t="s">
        <v>9</v>
      </c>
      <c r="G1916" t="s">
        <v>1527</v>
      </c>
      <c r="H1916" t="s">
        <v>1746</v>
      </c>
      <c r="L1916" s="2">
        <v>45560</v>
      </c>
      <c r="M1916">
        <v>709.12709999999993</v>
      </c>
      <c r="R1916" t="s">
        <v>1809</v>
      </c>
      <c r="S1916">
        <v>709.12709999999993</v>
      </c>
      <c r="W1916" s="11" t="s">
        <v>9</v>
      </c>
      <c r="X1916" s="11" t="s">
        <v>1527</v>
      </c>
      <c r="Y1916">
        <v>709.12709999999993</v>
      </c>
      <c r="AF1916">
        <v>709.12709999999993</v>
      </c>
      <c r="AG1916" t="s">
        <v>1746</v>
      </c>
    </row>
    <row r="1917" spans="1:33" x14ac:dyDescent="0.3">
      <c r="A1917" t="s">
        <v>1008</v>
      </c>
      <c r="B1917" s="2">
        <v>45408</v>
      </c>
      <c r="C1917">
        <v>810.09719999999993</v>
      </c>
      <c r="D1917" t="s">
        <v>1809</v>
      </c>
      <c r="E1917">
        <v>58</v>
      </c>
      <c r="F1917" t="s">
        <v>9</v>
      </c>
      <c r="G1917" t="s">
        <v>1541</v>
      </c>
      <c r="H1917" t="s">
        <v>1742</v>
      </c>
      <c r="L1917" s="2">
        <v>45408</v>
      </c>
      <c r="M1917">
        <v>810.09719999999993</v>
      </c>
      <c r="R1917" t="s">
        <v>1809</v>
      </c>
      <c r="S1917">
        <v>810.09719999999993</v>
      </c>
      <c r="W1917" s="12" t="s">
        <v>9</v>
      </c>
      <c r="X1917" s="12" t="s">
        <v>1541</v>
      </c>
      <c r="Y1917">
        <v>810.09719999999993</v>
      </c>
      <c r="AF1917">
        <v>810.09719999999993</v>
      </c>
      <c r="AG1917" t="s">
        <v>1742</v>
      </c>
    </row>
    <row r="1918" spans="1:33" x14ac:dyDescent="0.3">
      <c r="A1918" t="s">
        <v>302</v>
      </c>
      <c r="B1918" s="2">
        <v>45714</v>
      </c>
      <c r="C1918">
        <v>942.22800000000007</v>
      </c>
      <c r="D1918" t="s">
        <v>1809</v>
      </c>
      <c r="E1918">
        <v>36</v>
      </c>
      <c r="F1918" t="s">
        <v>9</v>
      </c>
      <c r="G1918" t="s">
        <v>1527</v>
      </c>
      <c r="H1918" t="s">
        <v>1746</v>
      </c>
      <c r="L1918" s="2">
        <v>45714</v>
      </c>
      <c r="M1918">
        <v>942.22800000000007</v>
      </c>
      <c r="R1918" t="s">
        <v>1809</v>
      </c>
      <c r="S1918">
        <v>942.22800000000007</v>
      </c>
      <c r="W1918" s="11" t="s">
        <v>9</v>
      </c>
      <c r="X1918" s="11" t="s">
        <v>1527</v>
      </c>
      <c r="Y1918">
        <v>942.22800000000007</v>
      </c>
      <c r="AF1918">
        <v>942.22800000000007</v>
      </c>
      <c r="AG1918" t="s">
        <v>1746</v>
      </c>
    </row>
    <row r="1919" spans="1:33" x14ac:dyDescent="0.3">
      <c r="A1919" t="s">
        <v>1422</v>
      </c>
      <c r="B1919" s="2">
        <v>45661</v>
      </c>
      <c r="C1919">
        <v>1099.76</v>
      </c>
      <c r="D1919" t="s">
        <v>1812</v>
      </c>
      <c r="E1919">
        <v>63</v>
      </c>
      <c r="F1919" t="s">
        <v>16</v>
      </c>
      <c r="G1919" t="s">
        <v>1541</v>
      </c>
      <c r="H1919" t="s">
        <v>1737</v>
      </c>
      <c r="L1919" s="2">
        <v>45661</v>
      </c>
      <c r="M1919">
        <v>1099.76</v>
      </c>
      <c r="R1919" t="s">
        <v>1812</v>
      </c>
      <c r="S1919">
        <v>1099.76</v>
      </c>
      <c r="W1919" s="12" t="s">
        <v>16</v>
      </c>
      <c r="X1919" s="12" t="s">
        <v>1541</v>
      </c>
      <c r="Y1919">
        <v>1099.76</v>
      </c>
      <c r="AF1919">
        <v>1099.76</v>
      </c>
      <c r="AG1919" t="s">
        <v>1737</v>
      </c>
    </row>
    <row r="1920" spans="1:33" x14ac:dyDescent="0.3">
      <c r="A1920" t="s">
        <v>670</v>
      </c>
      <c r="B1920" s="2">
        <v>45921</v>
      </c>
      <c r="C1920">
        <v>47.621200000000002</v>
      </c>
      <c r="D1920" t="s">
        <v>1807</v>
      </c>
      <c r="E1920">
        <v>54</v>
      </c>
      <c r="F1920" t="s">
        <v>9</v>
      </c>
      <c r="G1920" t="s">
        <v>1527</v>
      </c>
      <c r="H1920" t="s">
        <v>1767</v>
      </c>
      <c r="L1920" s="2">
        <v>45921</v>
      </c>
      <c r="M1920">
        <v>47.621200000000002</v>
      </c>
      <c r="R1920" t="s">
        <v>1807</v>
      </c>
      <c r="S1920">
        <v>47.621200000000002</v>
      </c>
      <c r="W1920" s="11" t="s">
        <v>9</v>
      </c>
      <c r="X1920" s="11" t="s">
        <v>1527</v>
      </c>
      <c r="Y1920">
        <v>47.621200000000002</v>
      </c>
      <c r="AF1920">
        <v>47.621200000000002</v>
      </c>
      <c r="AG1920" t="s">
        <v>1767</v>
      </c>
    </row>
    <row r="1921" spans="1:33" x14ac:dyDescent="0.3">
      <c r="A1921" t="s">
        <v>349</v>
      </c>
      <c r="B1921" s="2">
        <v>45651</v>
      </c>
      <c r="C1921">
        <v>1505.1168</v>
      </c>
      <c r="D1921" t="s">
        <v>1809</v>
      </c>
      <c r="E1921">
        <v>53</v>
      </c>
      <c r="F1921" t="s">
        <v>16</v>
      </c>
      <c r="G1921" t="s">
        <v>1546</v>
      </c>
      <c r="H1921" t="s">
        <v>1767</v>
      </c>
      <c r="L1921" s="2">
        <v>45651</v>
      </c>
      <c r="M1921">
        <v>1505.1168</v>
      </c>
      <c r="R1921" t="s">
        <v>1809</v>
      </c>
      <c r="S1921">
        <v>1505.1168</v>
      </c>
      <c r="W1921" s="12" t="s">
        <v>16</v>
      </c>
      <c r="X1921" s="12" t="s">
        <v>1546</v>
      </c>
      <c r="Y1921">
        <v>1505.1168</v>
      </c>
      <c r="AF1921">
        <v>1505.1168</v>
      </c>
      <c r="AG1921" t="s">
        <v>1767</v>
      </c>
    </row>
    <row r="1922" spans="1:33" x14ac:dyDescent="0.3">
      <c r="A1922" t="s">
        <v>886</v>
      </c>
      <c r="B1922" s="2">
        <v>45883</v>
      </c>
      <c r="C1922">
        <v>855.98310000000004</v>
      </c>
      <c r="D1922" t="s">
        <v>1812</v>
      </c>
      <c r="E1922">
        <v>46</v>
      </c>
      <c r="F1922" t="s">
        <v>16</v>
      </c>
      <c r="G1922" t="s">
        <v>1546</v>
      </c>
      <c r="H1922" t="s">
        <v>1742</v>
      </c>
      <c r="L1922" s="2">
        <v>45883</v>
      </c>
      <c r="M1922">
        <v>855.98310000000004</v>
      </c>
      <c r="R1922" t="s">
        <v>1812</v>
      </c>
      <c r="S1922">
        <v>855.98310000000004</v>
      </c>
      <c r="W1922" s="11" t="s">
        <v>16</v>
      </c>
      <c r="X1922" s="11" t="s">
        <v>1546</v>
      </c>
      <c r="Y1922">
        <v>855.98310000000004</v>
      </c>
      <c r="AF1922">
        <v>855.98310000000004</v>
      </c>
      <c r="AG1922" t="s">
        <v>1742</v>
      </c>
    </row>
    <row r="1923" spans="1:33" x14ac:dyDescent="0.3">
      <c r="A1923" t="s">
        <v>1508</v>
      </c>
      <c r="B1923" s="2">
        <v>45624</v>
      </c>
      <c r="C1923">
        <v>1734.18</v>
      </c>
      <c r="D1923" t="s">
        <v>1807</v>
      </c>
      <c r="E1923">
        <v>47</v>
      </c>
      <c r="F1923" t="s">
        <v>16</v>
      </c>
      <c r="G1923" t="s">
        <v>1527</v>
      </c>
      <c r="H1923" t="s">
        <v>1742</v>
      </c>
      <c r="L1923" s="2">
        <v>45624</v>
      </c>
      <c r="M1923">
        <v>1734.18</v>
      </c>
      <c r="R1923" t="s">
        <v>1807</v>
      </c>
      <c r="S1923">
        <v>1734.18</v>
      </c>
      <c r="W1923" s="12" t="s">
        <v>16</v>
      </c>
      <c r="X1923" s="12" t="s">
        <v>1527</v>
      </c>
      <c r="Y1923">
        <v>1734.18</v>
      </c>
      <c r="AF1923">
        <v>1734.18</v>
      </c>
      <c r="AG1923" t="s">
        <v>1742</v>
      </c>
    </row>
    <row r="1924" spans="1:33" x14ac:dyDescent="0.3">
      <c r="A1924" t="s">
        <v>786</v>
      </c>
      <c r="B1924" s="2">
        <v>45276</v>
      </c>
      <c r="C1924">
        <v>1662.5311999999999</v>
      </c>
      <c r="D1924" t="s">
        <v>1809</v>
      </c>
      <c r="E1924">
        <v>19</v>
      </c>
      <c r="F1924" t="s">
        <v>9</v>
      </c>
      <c r="G1924" t="s">
        <v>1530</v>
      </c>
      <c r="H1924" t="s">
        <v>1742</v>
      </c>
      <c r="L1924" s="2">
        <v>45276</v>
      </c>
      <c r="M1924">
        <v>1662.5311999999999</v>
      </c>
      <c r="R1924" t="s">
        <v>1809</v>
      </c>
      <c r="S1924">
        <v>1662.5311999999999</v>
      </c>
      <c r="W1924" s="11" t="s">
        <v>9</v>
      </c>
      <c r="X1924" s="11" t="s">
        <v>1530</v>
      </c>
      <c r="Y1924">
        <v>1662.5311999999999</v>
      </c>
      <c r="AF1924">
        <v>1662.5311999999999</v>
      </c>
      <c r="AG1924" t="s">
        <v>1742</v>
      </c>
    </row>
    <row r="1925" spans="1:33" x14ac:dyDescent="0.3">
      <c r="A1925" t="s">
        <v>1451</v>
      </c>
      <c r="B1925" s="2">
        <v>45344</v>
      </c>
      <c r="C1925">
        <v>1184.8900000000001</v>
      </c>
      <c r="D1925" t="s">
        <v>1812</v>
      </c>
      <c r="E1925">
        <v>41</v>
      </c>
      <c r="F1925" t="s">
        <v>16</v>
      </c>
      <c r="G1925" t="s">
        <v>1527</v>
      </c>
      <c r="H1925" t="s">
        <v>1746</v>
      </c>
      <c r="L1925" s="2">
        <v>45344</v>
      </c>
      <c r="M1925">
        <v>1184.8900000000001</v>
      </c>
      <c r="R1925" t="s">
        <v>1812</v>
      </c>
      <c r="S1925">
        <v>1184.8900000000001</v>
      </c>
      <c r="W1925" s="12" t="s">
        <v>16</v>
      </c>
      <c r="X1925" s="12" t="s">
        <v>1527</v>
      </c>
      <c r="Y1925">
        <v>1184.8900000000001</v>
      </c>
      <c r="AF1925">
        <v>1184.8900000000001</v>
      </c>
      <c r="AG1925" t="s">
        <v>1746</v>
      </c>
    </row>
    <row r="1926" spans="1:33" x14ac:dyDescent="0.3">
      <c r="A1926" t="s">
        <v>1331</v>
      </c>
      <c r="B1926" s="2">
        <v>45849</v>
      </c>
      <c r="C1926">
        <v>559.79949999999997</v>
      </c>
      <c r="D1926" t="s">
        <v>1809</v>
      </c>
      <c r="E1926">
        <v>37</v>
      </c>
      <c r="F1926" t="s">
        <v>16</v>
      </c>
      <c r="G1926" t="s">
        <v>1527</v>
      </c>
      <c r="H1926" t="s">
        <v>1746</v>
      </c>
      <c r="L1926" s="2">
        <v>45849</v>
      </c>
      <c r="M1926">
        <v>559.79949999999997</v>
      </c>
      <c r="R1926" t="s">
        <v>1809</v>
      </c>
      <c r="S1926">
        <v>559.79949999999997</v>
      </c>
      <c r="W1926" s="11" t="s">
        <v>16</v>
      </c>
      <c r="X1926" s="11" t="s">
        <v>1527</v>
      </c>
      <c r="Y1926">
        <v>559.79949999999997</v>
      </c>
      <c r="AF1926">
        <v>559.79949999999997</v>
      </c>
      <c r="AG1926" t="s">
        <v>1746</v>
      </c>
    </row>
    <row r="1927" spans="1:33" x14ac:dyDescent="0.3">
      <c r="A1927" t="s">
        <v>1116</v>
      </c>
      <c r="B1927" s="2">
        <v>45880</v>
      </c>
      <c r="C1927">
        <v>630.1866</v>
      </c>
      <c r="D1927" t="s">
        <v>1812</v>
      </c>
      <c r="E1927">
        <v>64</v>
      </c>
      <c r="F1927" t="s">
        <v>9</v>
      </c>
      <c r="G1927" t="s">
        <v>1527</v>
      </c>
      <c r="H1927" t="s">
        <v>1742</v>
      </c>
      <c r="L1927" s="2">
        <v>45880</v>
      </c>
      <c r="M1927">
        <v>630.1866</v>
      </c>
      <c r="R1927" t="s">
        <v>1812</v>
      </c>
      <c r="S1927">
        <v>630.1866</v>
      </c>
      <c r="W1927" s="12" t="s">
        <v>9</v>
      </c>
      <c r="X1927" s="12" t="s">
        <v>1527</v>
      </c>
      <c r="Y1927">
        <v>630.1866</v>
      </c>
      <c r="AF1927">
        <v>630.1866</v>
      </c>
      <c r="AG1927" t="s">
        <v>1742</v>
      </c>
    </row>
    <row r="1928" spans="1:33" x14ac:dyDescent="0.3">
      <c r="A1928" t="s">
        <v>111</v>
      </c>
      <c r="B1928" s="2">
        <v>45907</v>
      </c>
      <c r="C1928">
        <v>355.2448</v>
      </c>
      <c r="D1928" t="s">
        <v>1812</v>
      </c>
      <c r="E1928">
        <v>31</v>
      </c>
      <c r="F1928" t="s">
        <v>9</v>
      </c>
      <c r="G1928" t="s">
        <v>1527</v>
      </c>
      <c r="H1928" t="s">
        <v>1742</v>
      </c>
      <c r="L1928" s="2">
        <v>45907</v>
      </c>
      <c r="M1928">
        <v>355.2448</v>
      </c>
      <c r="R1928" t="s">
        <v>1812</v>
      </c>
      <c r="S1928">
        <v>355.2448</v>
      </c>
      <c r="W1928" s="11" t="s">
        <v>9</v>
      </c>
      <c r="X1928" s="11" t="s">
        <v>1527</v>
      </c>
      <c r="Y1928">
        <v>355.2448</v>
      </c>
      <c r="AF1928">
        <v>355.2448</v>
      </c>
      <c r="AG1928" t="s">
        <v>1742</v>
      </c>
    </row>
    <row r="1929" spans="1:33" x14ac:dyDescent="0.3">
      <c r="A1929" t="s">
        <v>1454</v>
      </c>
      <c r="B1929" s="2">
        <v>45545</v>
      </c>
      <c r="C1929">
        <v>2373.462</v>
      </c>
      <c r="D1929" t="s">
        <v>1809</v>
      </c>
      <c r="E1929">
        <v>59</v>
      </c>
      <c r="F1929" t="s">
        <v>9</v>
      </c>
      <c r="G1929" t="s">
        <v>1549</v>
      </c>
      <c r="H1929" t="s">
        <v>1742</v>
      </c>
      <c r="L1929" s="2">
        <v>45545</v>
      </c>
      <c r="M1929">
        <v>2373.462</v>
      </c>
      <c r="R1929" t="s">
        <v>1809</v>
      </c>
      <c r="S1929">
        <v>2373.462</v>
      </c>
      <c r="W1929" s="12" t="s">
        <v>9</v>
      </c>
      <c r="X1929" s="12" t="s">
        <v>1549</v>
      </c>
      <c r="Y1929">
        <v>2373.462</v>
      </c>
      <c r="AF1929">
        <v>2373.462</v>
      </c>
      <c r="AG1929" t="s">
        <v>1742</v>
      </c>
    </row>
    <row r="1930" spans="1:33" x14ac:dyDescent="0.3">
      <c r="A1930" t="s">
        <v>534</v>
      </c>
      <c r="B1930" s="2">
        <v>45257</v>
      </c>
      <c r="C1930">
        <v>579.58840000000009</v>
      </c>
      <c r="D1930" t="s">
        <v>1809</v>
      </c>
      <c r="E1930">
        <v>37</v>
      </c>
      <c r="F1930" t="s">
        <v>9</v>
      </c>
      <c r="G1930" t="s">
        <v>1549</v>
      </c>
      <c r="H1930" t="s">
        <v>1742</v>
      </c>
      <c r="L1930" s="2">
        <v>45257</v>
      </c>
      <c r="M1930">
        <v>579.58840000000009</v>
      </c>
      <c r="R1930" t="s">
        <v>1809</v>
      </c>
      <c r="S1930">
        <v>579.58840000000009</v>
      </c>
      <c r="W1930" s="11" t="s">
        <v>9</v>
      </c>
      <c r="X1930" s="11" t="s">
        <v>1549</v>
      </c>
      <c r="Y1930">
        <v>579.58840000000009</v>
      </c>
      <c r="AF1930">
        <v>579.58840000000009</v>
      </c>
      <c r="AG1930" t="s">
        <v>1742</v>
      </c>
    </row>
    <row r="1931" spans="1:33" x14ac:dyDescent="0.3">
      <c r="A1931" t="s">
        <v>969</v>
      </c>
      <c r="B1931" s="2">
        <v>45466</v>
      </c>
      <c r="C1931">
        <v>626.37120000000004</v>
      </c>
      <c r="D1931" t="s">
        <v>1809</v>
      </c>
      <c r="E1931">
        <v>35</v>
      </c>
      <c r="F1931" t="s">
        <v>9</v>
      </c>
      <c r="G1931" t="s">
        <v>1541</v>
      </c>
      <c r="H1931" t="s">
        <v>1742</v>
      </c>
      <c r="L1931" s="2">
        <v>45466</v>
      </c>
      <c r="M1931">
        <v>626.37120000000004</v>
      </c>
      <c r="R1931" t="s">
        <v>1809</v>
      </c>
      <c r="S1931">
        <v>626.37120000000004</v>
      </c>
      <c r="W1931" s="12" t="s">
        <v>9</v>
      </c>
      <c r="X1931" s="12" t="s">
        <v>1541</v>
      </c>
      <c r="Y1931">
        <v>626.37120000000004</v>
      </c>
      <c r="AF1931">
        <v>626.37120000000004</v>
      </c>
      <c r="AG1931" t="s">
        <v>1742</v>
      </c>
    </row>
    <row r="1932" spans="1:33" x14ac:dyDescent="0.3">
      <c r="A1932" t="s">
        <v>940</v>
      </c>
      <c r="B1932" s="2">
        <v>45847</v>
      </c>
      <c r="C1932">
        <v>715.30049999999994</v>
      </c>
      <c r="D1932" t="s">
        <v>1807</v>
      </c>
      <c r="E1932">
        <v>50</v>
      </c>
      <c r="F1932" t="s">
        <v>9</v>
      </c>
      <c r="G1932" t="s">
        <v>1546</v>
      </c>
      <c r="H1932" t="s">
        <v>1746</v>
      </c>
      <c r="L1932" s="2">
        <v>45847</v>
      </c>
      <c r="M1932">
        <v>715.30049999999994</v>
      </c>
      <c r="R1932" t="s">
        <v>1807</v>
      </c>
      <c r="S1932">
        <v>715.30049999999994</v>
      </c>
      <c r="W1932" s="11" t="s">
        <v>9</v>
      </c>
      <c r="X1932" s="11" t="s">
        <v>1546</v>
      </c>
      <c r="Y1932">
        <v>715.30049999999994</v>
      </c>
      <c r="AF1932">
        <v>715.30049999999994</v>
      </c>
      <c r="AG1932" t="s">
        <v>1746</v>
      </c>
    </row>
    <row r="1933" spans="1:33" x14ac:dyDescent="0.3">
      <c r="A1933" t="s">
        <v>1301</v>
      </c>
      <c r="B1933" s="2">
        <v>45825</v>
      </c>
      <c r="C1933">
        <v>134.95679999999999</v>
      </c>
      <c r="D1933" t="s">
        <v>1812</v>
      </c>
      <c r="E1933">
        <v>40</v>
      </c>
      <c r="F1933" t="s">
        <v>9</v>
      </c>
      <c r="G1933" t="s">
        <v>1541</v>
      </c>
      <c r="H1933" t="s">
        <v>1742</v>
      </c>
      <c r="L1933" s="2">
        <v>45825</v>
      </c>
      <c r="M1933">
        <v>134.95679999999999</v>
      </c>
      <c r="R1933" t="s">
        <v>1812</v>
      </c>
      <c r="S1933">
        <v>134.95679999999999</v>
      </c>
      <c r="W1933" s="12" t="s">
        <v>9</v>
      </c>
      <c r="X1933" s="12" t="s">
        <v>1541</v>
      </c>
      <c r="Y1933">
        <v>134.95679999999999</v>
      </c>
      <c r="AF1933">
        <v>134.95679999999999</v>
      </c>
      <c r="AG1933" t="s">
        <v>1742</v>
      </c>
    </row>
    <row r="1934" spans="1:33" x14ac:dyDescent="0.3">
      <c r="A1934" t="s">
        <v>1508</v>
      </c>
      <c r="B1934" s="2">
        <v>45839</v>
      </c>
      <c r="C1934">
        <v>994.48200000000008</v>
      </c>
      <c r="D1934" t="s">
        <v>1807</v>
      </c>
      <c r="E1934">
        <v>47</v>
      </c>
      <c r="F1934" t="s">
        <v>16</v>
      </c>
      <c r="G1934" t="s">
        <v>1527</v>
      </c>
      <c r="H1934" t="s">
        <v>1767</v>
      </c>
      <c r="L1934" s="2">
        <v>45839</v>
      </c>
      <c r="M1934">
        <v>994.48200000000008</v>
      </c>
      <c r="R1934" t="s">
        <v>1807</v>
      </c>
      <c r="S1934">
        <v>994.48200000000008</v>
      </c>
      <c r="W1934" s="11" t="s">
        <v>16</v>
      </c>
      <c r="X1934" s="11" t="s">
        <v>1527</v>
      </c>
      <c r="Y1934">
        <v>994.48200000000008</v>
      </c>
      <c r="AF1934">
        <v>994.48200000000008</v>
      </c>
      <c r="AG1934" t="s">
        <v>1767</v>
      </c>
    </row>
    <row r="1935" spans="1:33" x14ac:dyDescent="0.3">
      <c r="A1935" t="s">
        <v>753</v>
      </c>
      <c r="B1935" s="2">
        <v>45720</v>
      </c>
      <c r="C1935">
        <v>1301.8758</v>
      </c>
      <c r="D1935" t="s">
        <v>1807</v>
      </c>
      <c r="E1935">
        <v>41</v>
      </c>
      <c r="F1935" t="s">
        <v>16</v>
      </c>
      <c r="G1935" t="s">
        <v>1549</v>
      </c>
      <c r="H1935" t="s">
        <v>1737</v>
      </c>
      <c r="L1935" s="2">
        <v>45720</v>
      </c>
      <c r="M1935">
        <v>1301.8758</v>
      </c>
      <c r="R1935" t="s">
        <v>1807</v>
      </c>
      <c r="S1935">
        <v>1301.8758</v>
      </c>
      <c r="W1935" s="12" t="s">
        <v>16</v>
      </c>
      <c r="X1935" s="12" t="s">
        <v>1549</v>
      </c>
      <c r="Y1935">
        <v>1301.8758</v>
      </c>
      <c r="AF1935">
        <v>1301.8758</v>
      </c>
      <c r="AG1935" t="s">
        <v>1737</v>
      </c>
    </row>
    <row r="1936" spans="1:33" x14ac:dyDescent="0.3">
      <c r="A1936" t="s">
        <v>1377</v>
      </c>
      <c r="B1936" s="2">
        <v>45250</v>
      </c>
      <c r="C1936">
        <v>574.88300000000004</v>
      </c>
      <c r="D1936" t="s">
        <v>1812</v>
      </c>
      <c r="E1936">
        <v>46</v>
      </c>
      <c r="F1936" t="s">
        <v>9</v>
      </c>
      <c r="G1936" t="s">
        <v>1549</v>
      </c>
      <c r="H1936" t="s">
        <v>1742</v>
      </c>
      <c r="L1936" s="2">
        <v>45250</v>
      </c>
      <c r="M1936">
        <v>574.88300000000004</v>
      </c>
      <c r="R1936" t="s">
        <v>1812</v>
      </c>
      <c r="S1936">
        <v>574.88300000000004</v>
      </c>
      <c r="W1936" s="11" t="s">
        <v>9</v>
      </c>
      <c r="X1936" s="11" t="s">
        <v>1549</v>
      </c>
      <c r="Y1936">
        <v>574.88300000000004</v>
      </c>
      <c r="AF1936">
        <v>574.88300000000004</v>
      </c>
      <c r="AG1936" t="s">
        <v>1742</v>
      </c>
    </row>
    <row r="1937" spans="1:33" x14ac:dyDescent="0.3">
      <c r="A1937" t="s">
        <v>1337</v>
      </c>
      <c r="B1937" s="2">
        <v>45258</v>
      </c>
      <c r="C1937">
        <v>2139.3312000000001</v>
      </c>
      <c r="D1937" t="s">
        <v>1807</v>
      </c>
      <c r="E1937">
        <v>47</v>
      </c>
      <c r="F1937" t="s">
        <v>16</v>
      </c>
      <c r="G1937" t="s">
        <v>1546</v>
      </c>
      <c r="H1937" t="s">
        <v>1746</v>
      </c>
      <c r="L1937" s="2">
        <v>45258</v>
      </c>
      <c r="M1937">
        <v>2139.3312000000001</v>
      </c>
      <c r="R1937" t="s">
        <v>1807</v>
      </c>
      <c r="S1937">
        <v>2139.3312000000001</v>
      </c>
      <c r="W1937" s="12" t="s">
        <v>16</v>
      </c>
      <c r="X1937" s="12" t="s">
        <v>1546</v>
      </c>
      <c r="Y1937">
        <v>2139.3312000000001</v>
      </c>
      <c r="AF1937">
        <v>2139.3312000000001</v>
      </c>
      <c r="AG1937" t="s">
        <v>1746</v>
      </c>
    </row>
    <row r="1938" spans="1:33" x14ac:dyDescent="0.3">
      <c r="A1938" t="s">
        <v>340</v>
      </c>
      <c r="B1938" s="2">
        <v>45793</v>
      </c>
      <c r="C1938">
        <v>274.45229999999998</v>
      </c>
      <c r="D1938" t="s">
        <v>1809</v>
      </c>
      <c r="E1938">
        <v>36</v>
      </c>
      <c r="F1938" t="s">
        <v>9</v>
      </c>
      <c r="G1938" t="s">
        <v>1541</v>
      </c>
      <c r="H1938" t="s">
        <v>1742</v>
      </c>
      <c r="L1938" s="2">
        <v>45793</v>
      </c>
      <c r="M1938">
        <v>274.45229999999998</v>
      </c>
      <c r="R1938" t="s">
        <v>1809</v>
      </c>
      <c r="S1938">
        <v>274.45229999999998</v>
      </c>
      <c r="W1938" s="11" t="s">
        <v>9</v>
      </c>
      <c r="X1938" s="11" t="s">
        <v>1541</v>
      </c>
      <c r="Y1938">
        <v>274.45229999999998</v>
      </c>
      <c r="AF1938">
        <v>274.45229999999998</v>
      </c>
      <c r="AG1938" t="s">
        <v>1742</v>
      </c>
    </row>
    <row r="1939" spans="1:33" x14ac:dyDescent="0.3">
      <c r="A1939" t="s">
        <v>898</v>
      </c>
      <c r="B1939" s="2">
        <v>45265</v>
      </c>
      <c r="C1939">
        <v>1706.43</v>
      </c>
      <c r="D1939" t="s">
        <v>1807</v>
      </c>
      <c r="E1939">
        <v>22</v>
      </c>
      <c r="F1939" t="s">
        <v>9</v>
      </c>
      <c r="G1939" t="s">
        <v>1541</v>
      </c>
      <c r="H1939" t="s">
        <v>1742</v>
      </c>
      <c r="L1939" s="2">
        <v>45265</v>
      </c>
      <c r="M1939">
        <v>1706.43</v>
      </c>
      <c r="R1939" t="s">
        <v>1807</v>
      </c>
      <c r="S1939">
        <v>1706.43</v>
      </c>
      <c r="W1939" s="12" t="s">
        <v>9</v>
      </c>
      <c r="X1939" s="12" t="s">
        <v>1541</v>
      </c>
      <c r="Y1939">
        <v>1706.43</v>
      </c>
      <c r="AF1939">
        <v>1706.43</v>
      </c>
      <c r="AG1939" t="s">
        <v>1742</v>
      </c>
    </row>
    <row r="1940" spans="1:33" x14ac:dyDescent="0.3">
      <c r="A1940" t="s">
        <v>1160</v>
      </c>
      <c r="B1940" s="2">
        <v>45607</v>
      </c>
      <c r="C1940">
        <v>599.471</v>
      </c>
      <c r="D1940" t="s">
        <v>1809</v>
      </c>
      <c r="E1940">
        <v>30</v>
      </c>
      <c r="F1940" t="s">
        <v>9</v>
      </c>
      <c r="G1940" t="s">
        <v>1549</v>
      </c>
      <c r="H1940" t="s">
        <v>1742</v>
      </c>
      <c r="L1940" s="2">
        <v>45607</v>
      </c>
      <c r="M1940">
        <v>599.471</v>
      </c>
      <c r="R1940" t="s">
        <v>1809</v>
      </c>
      <c r="S1940">
        <v>599.471</v>
      </c>
      <c r="W1940" s="11" t="s">
        <v>9</v>
      </c>
      <c r="X1940" s="11" t="s">
        <v>1549</v>
      </c>
      <c r="Y1940">
        <v>599.471</v>
      </c>
      <c r="AF1940">
        <v>599.471</v>
      </c>
      <c r="AG1940" t="s">
        <v>1742</v>
      </c>
    </row>
    <row r="1941" spans="1:33" x14ac:dyDescent="0.3">
      <c r="A1941" t="s">
        <v>519</v>
      </c>
      <c r="B1941" s="2">
        <v>45382</v>
      </c>
      <c r="C1941">
        <v>1070.7619999999999</v>
      </c>
      <c r="D1941" t="s">
        <v>1809</v>
      </c>
      <c r="E1941">
        <v>59</v>
      </c>
      <c r="F1941" t="s">
        <v>9</v>
      </c>
      <c r="G1941" t="s">
        <v>1530</v>
      </c>
      <c r="H1941" t="s">
        <v>1742</v>
      </c>
      <c r="L1941" s="2">
        <v>45382</v>
      </c>
      <c r="M1941">
        <v>1070.7619999999999</v>
      </c>
      <c r="R1941" t="s">
        <v>1809</v>
      </c>
      <c r="S1941">
        <v>1070.7619999999999</v>
      </c>
      <c r="W1941" s="12" t="s">
        <v>9</v>
      </c>
      <c r="X1941" s="12" t="s">
        <v>1530</v>
      </c>
      <c r="Y1941">
        <v>1070.7619999999999</v>
      </c>
      <c r="AF1941">
        <v>1070.7619999999999</v>
      </c>
      <c r="AG1941" t="s">
        <v>1742</v>
      </c>
    </row>
    <row r="1942" spans="1:33" x14ac:dyDescent="0.3">
      <c r="A1942" t="s">
        <v>1500</v>
      </c>
      <c r="B1942" s="2">
        <v>45793</v>
      </c>
      <c r="C1942">
        <v>591.70319999999992</v>
      </c>
      <c r="D1942" t="s">
        <v>1807</v>
      </c>
      <c r="E1942">
        <v>21</v>
      </c>
      <c r="F1942" t="s">
        <v>9</v>
      </c>
      <c r="G1942" t="s">
        <v>1546</v>
      </c>
      <c r="H1942" t="s">
        <v>1742</v>
      </c>
      <c r="L1942" s="2">
        <v>45793</v>
      </c>
      <c r="M1942">
        <v>591.70319999999992</v>
      </c>
      <c r="R1942" t="s">
        <v>1807</v>
      </c>
      <c r="S1942">
        <v>591.70319999999992</v>
      </c>
      <c r="W1942" s="11" t="s">
        <v>9</v>
      </c>
      <c r="X1942" s="11" t="s">
        <v>1546</v>
      </c>
      <c r="Y1942">
        <v>591.70319999999992</v>
      </c>
      <c r="AF1942">
        <v>591.70319999999992</v>
      </c>
      <c r="AG1942" t="s">
        <v>1742</v>
      </c>
    </row>
    <row r="1943" spans="1:33" x14ac:dyDescent="0.3">
      <c r="A1943" t="s">
        <v>534</v>
      </c>
      <c r="B1943" s="2">
        <v>45590</v>
      </c>
      <c r="C1943">
        <v>2504.067</v>
      </c>
      <c r="D1943" t="s">
        <v>1809</v>
      </c>
      <c r="E1943">
        <v>37</v>
      </c>
      <c r="F1943" t="s">
        <v>9</v>
      </c>
      <c r="G1943" t="s">
        <v>1549</v>
      </c>
      <c r="H1943" t="s">
        <v>1746</v>
      </c>
      <c r="L1943" s="2">
        <v>45590</v>
      </c>
      <c r="M1943">
        <v>2504.067</v>
      </c>
      <c r="R1943" t="s">
        <v>1809</v>
      </c>
      <c r="S1943">
        <v>2504.067</v>
      </c>
      <c r="W1943" s="12" t="s">
        <v>9</v>
      </c>
      <c r="X1943" s="12" t="s">
        <v>1549</v>
      </c>
      <c r="Y1943">
        <v>2504.067</v>
      </c>
      <c r="AF1943">
        <v>2504.067</v>
      </c>
      <c r="AG1943" t="s">
        <v>1746</v>
      </c>
    </row>
    <row r="1944" spans="1:33" x14ac:dyDescent="0.3">
      <c r="A1944" t="s">
        <v>827</v>
      </c>
      <c r="B1944" s="2">
        <v>45679</v>
      </c>
      <c r="C1944">
        <v>270.51639999999998</v>
      </c>
      <c r="D1944" t="s">
        <v>1809</v>
      </c>
      <c r="E1944">
        <v>60</v>
      </c>
      <c r="F1944" t="s">
        <v>16</v>
      </c>
      <c r="G1944" t="s">
        <v>1527</v>
      </c>
      <c r="H1944" t="s">
        <v>1742</v>
      </c>
      <c r="L1944" s="2">
        <v>45679</v>
      </c>
      <c r="M1944">
        <v>270.51639999999998</v>
      </c>
      <c r="R1944" t="s">
        <v>1809</v>
      </c>
      <c r="S1944">
        <v>270.51639999999998</v>
      </c>
      <c r="W1944" s="11" t="s">
        <v>16</v>
      </c>
      <c r="X1944" s="11" t="s">
        <v>1527</v>
      </c>
      <c r="Y1944">
        <v>270.51639999999998</v>
      </c>
      <c r="AF1944">
        <v>270.51639999999998</v>
      </c>
      <c r="AG1944" t="s">
        <v>1742</v>
      </c>
    </row>
    <row r="1945" spans="1:33" x14ac:dyDescent="0.3">
      <c r="A1945" t="s">
        <v>868</v>
      </c>
      <c r="B1945" s="2">
        <v>45814</v>
      </c>
      <c r="C1945">
        <v>1128.732</v>
      </c>
      <c r="D1945" t="s">
        <v>1812</v>
      </c>
      <c r="E1945">
        <v>38</v>
      </c>
      <c r="F1945" t="s">
        <v>9</v>
      </c>
      <c r="G1945" t="s">
        <v>1527</v>
      </c>
      <c r="H1945" t="s">
        <v>1746</v>
      </c>
      <c r="L1945" s="2">
        <v>45814</v>
      </c>
      <c r="M1945">
        <v>1128.732</v>
      </c>
      <c r="R1945" t="s">
        <v>1812</v>
      </c>
      <c r="S1945">
        <v>1128.732</v>
      </c>
      <c r="W1945" s="12" t="s">
        <v>9</v>
      </c>
      <c r="X1945" s="12" t="s">
        <v>1527</v>
      </c>
      <c r="Y1945">
        <v>1128.732</v>
      </c>
      <c r="AF1945">
        <v>1128.732</v>
      </c>
      <c r="AG1945" t="s">
        <v>1746</v>
      </c>
    </row>
    <row r="1946" spans="1:33" x14ac:dyDescent="0.3">
      <c r="A1946" t="s">
        <v>331</v>
      </c>
      <c r="B1946" s="2">
        <v>45795</v>
      </c>
      <c r="C1946">
        <v>1119.4092000000001</v>
      </c>
      <c r="D1946" t="s">
        <v>1812</v>
      </c>
      <c r="E1946">
        <v>43</v>
      </c>
      <c r="F1946" t="s">
        <v>16</v>
      </c>
      <c r="G1946" t="s">
        <v>1549</v>
      </c>
      <c r="H1946" t="s">
        <v>1746</v>
      </c>
      <c r="L1946" s="2">
        <v>45795</v>
      </c>
      <c r="M1946">
        <v>1119.4092000000001</v>
      </c>
      <c r="R1946" t="s">
        <v>1812</v>
      </c>
      <c r="S1946">
        <v>1119.4092000000001</v>
      </c>
      <c r="W1946" s="11" t="s">
        <v>16</v>
      </c>
      <c r="X1946" s="11" t="s">
        <v>1549</v>
      </c>
      <c r="Y1946">
        <v>1119.4092000000001</v>
      </c>
      <c r="AF1946">
        <v>1119.4092000000001</v>
      </c>
      <c r="AG1946" t="s">
        <v>1746</v>
      </c>
    </row>
    <row r="1947" spans="1:33" x14ac:dyDescent="0.3">
      <c r="A1947" t="s">
        <v>451</v>
      </c>
      <c r="B1947" s="2">
        <v>45797</v>
      </c>
      <c r="C1947">
        <v>259.37630000000001</v>
      </c>
      <c r="D1947" t="s">
        <v>1807</v>
      </c>
      <c r="E1947">
        <v>54</v>
      </c>
      <c r="F1947" t="s">
        <v>9</v>
      </c>
      <c r="G1947" t="s">
        <v>1541</v>
      </c>
      <c r="H1947" t="s">
        <v>1742</v>
      </c>
      <c r="L1947" s="2">
        <v>45797</v>
      </c>
      <c r="M1947">
        <v>259.37630000000001</v>
      </c>
      <c r="R1947" t="s">
        <v>1807</v>
      </c>
      <c r="S1947">
        <v>259.37630000000001</v>
      </c>
      <c r="W1947" s="12" t="s">
        <v>9</v>
      </c>
      <c r="X1947" s="12" t="s">
        <v>1541</v>
      </c>
      <c r="Y1947">
        <v>259.37630000000001</v>
      </c>
      <c r="AF1947">
        <v>259.37630000000001</v>
      </c>
      <c r="AG1947" t="s">
        <v>1742</v>
      </c>
    </row>
    <row r="1948" spans="1:33" x14ac:dyDescent="0.3">
      <c r="A1948" t="s">
        <v>1163</v>
      </c>
      <c r="B1948" s="2">
        <v>45607</v>
      </c>
      <c r="C1948">
        <v>729.39</v>
      </c>
      <c r="D1948" t="s">
        <v>1812</v>
      </c>
      <c r="E1948">
        <v>39</v>
      </c>
      <c r="F1948" t="s">
        <v>16</v>
      </c>
      <c r="G1948" t="s">
        <v>1541</v>
      </c>
      <c r="H1948" t="s">
        <v>1742</v>
      </c>
      <c r="L1948" s="2">
        <v>45607</v>
      </c>
      <c r="M1948">
        <v>729.39</v>
      </c>
      <c r="R1948" t="s">
        <v>1812</v>
      </c>
      <c r="S1948">
        <v>729.39</v>
      </c>
      <c r="W1948" s="11" t="s">
        <v>16</v>
      </c>
      <c r="X1948" s="11" t="s">
        <v>1541</v>
      </c>
      <c r="Y1948">
        <v>729.39</v>
      </c>
      <c r="AF1948">
        <v>729.39</v>
      </c>
      <c r="AG1948" t="s">
        <v>1742</v>
      </c>
    </row>
    <row r="1949" spans="1:33" x14ac:dyDescent="0.3">
      <c r="A1949" t="s">
        <v>732</v>
      </c>
      <c r="B1949" s="2">
        <v>45614</v>
      </c>
      <c r="C1949">
        <v>591.30719999999997</v>
      </c>
      <c r="D1949" t="s">
        <v>1812</v>
      </c>
      <c r="E1949">
        <v>29</v>
      </c>
      <c r="F1949" t="s">
        <v>9</v>
      </c>
      <c r="G1949" t="s">
        <v>1541</v>
      </c>
      <c r="H1949" t="s">
        <v>1742</v>
      </c>
      <c r="L1949" s="2">
        <v>45614</v>
      </c>
      <c r="M1949">
        <v>591.30719999999997</v>
      </c>
      <c r="R1949" t="s">
        <v>1812</v>
      </c>
      <c r="S1949">
        <v>591.30719999999997</v>
      </c>
      <c r="W1949" s="12" t="s">
        <v>9</v>
      </c>
      <c r="X1949" s="12" t="s">
        <v>1541</v>
      </c>
      <c r="Y1949">
        <v>591.30719999999997</v>
      </c>
      <c r="AF1949">
        <v>591.30719999999997</v>
      </c>
      <c r="AG1949" t="s">
        <v>1742</v>
      </c>
    </row>
    <row r="1950" spans="1:33" x14ac:dyDescent="0.3">
      <c r="A1950" t="s">
        <v>1304</v>
      </c>
      <c r="B1950" s="2">
        <v>45293</v>
      </c>
      <c r="C1950">
        <v>340.2</v>
      </c>
      <c r="D1950" t="s">
        <v>1809</v>
      </c>
      <c r="E1950">
        <v>28</v>
      </c>
      <c r="F1950" t="s">
        <v>9</v>
      </c>
      <c r="G1950" t="s">
        <v>1541</v>
      </c>
      <c r="H1950" t="s">
        <v>1742</v>
      </c>
      <c r="L1950" s="2">
        <v>45293</v>
      </c>
      <c r="M1950">
        <v>340.2</v>
      </c>
      <c r="R1950" t="s">
        <v>1809</v>
      </c>
      <c r="S1950">
        <v>340.2</v>
      </c>
      <c r="W1950" s="11" t="s">
        <v>9</v>
      </c>
      <c r="X1950" s="11" t="s">
        <v>1541</v>
      </c>
      <c r="Y1950">
        <v>340.2</v>
      </c>
      <c r="AF1950">
        <v>340.2</v>
      </c>
      <c r="AG1950" t="s">
        <v>1742</v>
      </c>
    </row>
    <row r="1951" spans="1:33" x14ac:dyDescent="0.3">
      <c r="A1951" t="s">
        <v>725</v>
      </c>
      <c r="B1951" s="2">
        <v>45301</v>
      </c>
      <c r="C1951">
        <v>2779.5931999999998</v>
      </c>
      <c r="D1951" t="s">
        <v>1809</v>
      </c>
      <c r="E1951">
        <v>63</v>
      </c>
      <c r="F1951" t="s">
        <v>16</v>
      </c>
      <c r="G1951" t="s">
        <v>1530</v>
      </c>
      <c r="H1951" t="s">
        <v>1742</v>
      </c>
      <c r="L1951" s="2">
        <v>45301</v>
      </c>
      <c r="M1951">
        <v>2779.5931999999998</v>
      </c>
      <c r="R1951" t="s">
        <v>1809</v>
      </c>
      <c r="S1951">
        <v>2779.5931999999998</v>
      </c>
      <c r="W1951" s="12" t="s">
        <v>16</v>
      </c>
      <c r="X1951" s="12" t="s">
        <v>1530</v>
      </c>
      <c r="Y1951">
        <v>2779.5931999999998</v>
      </c>
      <c r="AF1951">
        <v>2779.5931999999998</v>
      </c>
      <c r="AG1951" t="s">
        <v>1742</v>
      </c>
    </row>
    <row r="1952" spans="1:33" x14ac:dyDescent="0.3">
      <c r="A1952" t="s">
        <v>334</v>
      </c>
      <c r="B1952" s="2">
        <v>45311</v>
      </c>
      <c r="C1952">
        <v>548.52240000000006</v>
      </c>
      <c r="D1952" t="s">
        <v>1809</v>
      </c>
      <c r="E1952">
        <v>62</v>
      </c>
      <c r="F1952" t="s">
        <v>16</v>
      </c>
      <c r="G1952" t="s">
        <v>1549</v>
      </c>
      <c r="H1952" t="s">
        <v>1742</v>
      </c>
      <c r="L1952" s="2">
        <v>45311</v>
      </c>
      <c r="M1952">
        <v>548.52240000000006</v>
      </c>
      <c r="R1952" t="s">
        <v>1809</v>
      </c>
      <c r="S1952">
        <v>548.52240000000006</v>
      </c>
      <c r="W1952" s="11" t="s">
        <v>16</v>
      </c>
      <c r="X1952" s="11" t="s">
        <v>1549</v>
      </c>
      <c r="Y1952">
        <v>548.52240000000006</v>
      </c>
      <c r="AF1952">
        <v>548.52240000000006</v>
      </c>
      <c r="AG1952" t="s">
        <v>1742</v>
      </c>
    </row>
    <row r="1953" spans="1:33" x14ac:dyDescent="0.3">
      <c r="A1953" t="s">
        <v>203</v>
      </c>
      <c r="B1953" s="2">
        <v>45702</v>
      </c>
      <c r="C1953">
        <v>1034.7036000000001</v>
      </c>
      <c r="D1953" t="s">
        <v>1807</v>
      </c>
      <c r="E1953">
        <v>56</v>
      </c>
      <c r="F1953" t="s">
        <v>16</v>
      </c>
      <c r="G1953" t="s">
        <v>1546</v>
      </c>
      <c r="H1953" t="s">
        <v>1742</v>
      </c>
      <c r="L1953" s="2">
        <v>45702</v>
      </c>
      <c r="M1953">
        <v>1034.7036000000001</v>
      </c>
      <c r="R1953" t="s">
        <v>1807</v>
      </c>
      <c r="S1953">
        <v>1034.7036000000001</v>
      </c>
      <c r="W1953" s="12" t="s">
        <v>16</v>
      </c>
      <c r="X1953" s="12" t="s">
        <v>1546</v>
      </c>
      <c r="Y1953">
        <v>1034.7036000000001</v>
      </c>
      <c r="AF1953">
        <v>1034.7036000000001</v>
      </c>
      <c r="AG1953" t="s">
        <v>1742</v>
      </c>
    </row>
    <row r="1954" spans="1:33" x14ac:dyDescent="0.3">
      <c r="A1954" t="s">
        <v>996</v>
      </c>
      <c r="B1954" s="2">
        <v>45525</v>
      </c>
      <c r="C1954">
        <v>1532.3904</v>
      </c>
      <c r="D1954" t="s">
        <v>1812</v>
      </c>
      <c r="E1954">
        <v>34</v>
      </c>
      <c r="F1954" t="s">
        <v>16</v>
      </c>
      <c r="G1954" t="s">
        <v>1549</v>
      </c>
      <c r="H1954" t="s">
        <v>1742</v>
      </c>
      <c r="L1954" s="2">
        <v>45525</v>
      </c>
      <c r="M1954">
        <v>1532.3904</v>
      </c>
      <c r="R1954" t="s">
        <v>1812</v>
      </c>
      <c r="S1954">
        <v>1532.3904</v>
      </c>
      <c r="W1954" s="11" t="s">
        <v>16</v>
      </c>
      <c r="X1954" s="11" t="s">
        <v>1549</v>
      </c>
      <c r="Y1954">
        <v>1532.3904</v>
      </c>
      <c r="AF1954">
        <v>1532.3904</v>
      </c>
      <c r="AG1954" t="s">
        <v>1742</v>
      </c>
    </row>
    <row r="1955" spans="1:33" x14ac:dyDescent="0.3">
      <c r="A1955" t="s">
        <v>293</v>
      </c>
      <c r="B1955" s="2">
        <v>45780</v>
      </c>
      <c r="C1955">
        <v>1648.6679999999999</v>
      </c>
      <c r="D1955" t="s">
        <v>1809</v>
      </c>
      <c r="E1955">
        <v>53</v>
      </c>
      <c r="F1955" t="s">
        <v>9</v>
      </c>
      <c r="G1955" t="s">
        <v>1527</v>
      </c>
      <c r="H1955" t="s">
        <v>1742</v>
      </c>
      <c r="L1955" s="2">
        <v>45780</v>
      </c>
      <c r="M1955">
        <v>1648.6679999999999</v>
      </c>
      <c r="R1955" t="s">
        <v>1809</v>
      </c>
      <c r="S1955">
        <v>1648.6679999999999</v>
      </c>
      <c r="W1955" s="12" t="s">
        <v>9</v>
      </c>
      <c r="X1955" s="12" t="s">
        <v>1527</v>
      </c>
      <c r="Y1955">
        <v>1648.6679999999999</v>
      </c>
      <c r="AF1955">
        <v>1648.6679999999999</v>
      </c>
      <c r="AG1955" t="s">
        <v>1742</v>
      </c>
    </row>
    <row r="1956" spans="1:33" x14ac:dyDescent="0.3">
      <c r="A1956" t="s">
        <v>717</v>
      </c>
      <c r="B1956" s="2">
        <v>45819</v>
      </c>
      <c r="C1956">
        <v>786.03139999999996</v>
      </c>
      <c r="D1956" t="s">
        <v>1807</v>
      </c>
      <c r="E1956">
        <v>29</v>
      </c>
      <c r="F1956" t="s">
        <v>9</v>
      </c>
      <c r="G1956" t="s">
        <v>1541</v>
      </c>
      <c r="H1956" t="s">
        <v>1742</v>
      </c>
      <c r="L1956" s="2">
        <v>45819</v>
      </c>
      <c r="M1956">
        <v>786.03139999999996</v>
      </c>
      <c r="R1956" t="s">
        <v>1807</v>
      </c>
      <c r="S1956">
        <v>786.03139999999996</v>
      </c>
      <c r="W1956" s="11" t="s">
        <v>9</v>
      </c>
      <c r="X1956" s="11" t="s">
        <v>1541</v>
      </c>
      <c r="Y1956">
        <v>786.03139999999996</v>
      </c>
      <c r="AF1956">
        <v>786.03139999999996</v>
      </c>
      <c r="AG1956" t="s">
        <v>1742</v>
      </c>
    </row>
    <row r="1957" spans="1:33" x14ac:dyDescent="0.3">
      <c r="A1957" t="s">
        <v>56</v>
      </c>
      <c r="B1957" s="2">
        <v>45863</v>
      </c>
      <c r="C1957">
        <v>887.86320000000001</v>
      </c>
      <c r="D1957" t="s">
        <v>1809</v>
      </c>
      <c r="E1957">
        <v>55</v>
      </c>
      <c r="F1957" t="s">
        <v>16</v>
      </c>
      <c r="G1957" t="s">
        <v>1541</v>
      </c>
      <c r="H1957" t="s">
        <v>1767</v>
      </c>
      <c r="L1957" s="2">
        <v>45863</v>
      </c>
      <c r="M1957">
        <v>887.86320000000001</v>
      </c>
      <c r="R1957" t="s">
        <v>1809</v>
      </c>
      <c r="S1957">
        <v>887.86320000000001</v>
      </c>
      <c r="W1957" s="12" t="s">
        <v>16</v>
      </c>
      <c r="X1957" s="12" t="s">
        <v>1541</v>
      </c>
      <c r="Y1957">
        <v>887.86320000000001</v>
      </c>
      <c r="AF1957">
        <v>887.86320000000001</v>
      </c>
      <c r="AG1957" t="s">
        <v>1767</v>
      </c>
    </row>
    <row r="1958" spans="1:33" x14ac:dyDescent="0.3">
      <c r="A1958" t="s">
        <v>534</v>
      </c>
      <c r="B1958" s="2">
        <v>45687</v>
      </c>
      <c r="C1958">
        <v>2935.8252000000002</v>
      </c>
      <c r="D1958" t="s">
        <v>1807</v>
      </c>
      <c r="E1958">
        <v>37</v>
      </c>
      <c r="F1958" t="s">
        <v>9</v>
      </c>
      <c r="G1958" t="s">
        <v>1546</v>
      </c>
      <c r="H1958" t="s">
        <v>1737</v>
      </c>
      <c r="L1958" s="2">
        <v>45687</v>
      </c>
      <c r="M1958">
        <v>2935.8252000000002</v>
      </c>
      <c r="R1958" t="s">
        <v>1807</v>
      </c>
      <c r="S1958">
        <v>2935.8252000000002</v>
      </c>
      <c r="W1958" s="11" t="s">
        <v>9</v>
      </c>
      <c r="X1958" s="11" t="s">
        <v>1546</v>
      </c>
      <c r="Y1958">
        <v>2935.8252000000002</v>
      </c>
      <c r="AF1958">
        <v>2935.8252000000002</v>
      </c>
      <c r="AG1958" t="s">
        <v>1737</v>
      </c>
    </row>
    <row r="1959" spans="1:33" x14ac:dyDescent="0.3">
      <c r="A1959" t="s">
        <v>1393</v>
      </c>
      <c r="B1959" s="2">
        <v>45806</v>
      </c>
      <c r="C1959">
        <v>1882.1952000000001</v>
      </c>
      <c r="D1959" t="s">
        <v>1807</v>
      </c>
      <c r="E1959">
        <v>59</v>
      </c>
      <c r="F1959" t="s">
        <v>9</v>
      </c>
      <c r="G1959" t="s">
        <v>1530</v>
      </c>
      <c r="H1959" t="s">
        <v>1746</v>
      </c>
      <c r="L1959" s="2">
        <v>45806</v>
      </c>
      <c r="M1959">
        <v>1882.1952000000001</v>
      </c>
      <c r="R1959" t="s">
        <v>1807</v>
      </c>
      <c r="S1959">
        <v>1882.1952000000001</v>
      </c>
      <c r="W1959" s="12" t="s">
        <v>9</v>
      </c>
      <c r="X1959" s="12" t="s">
        <v>1530</v>
      </c>
      <c r="Y1959">
        <v>1882.1952000000001</v>
      </c>
      <c r="AF1959">
        <v>1882.1952000000001</v>
      </c>
      <c r="AG1959" t="s">
        <v>1746</v>
      </c>
    </row>
    <row r="1960" spans="1:33" x14ac:dyDescent="0.3">
      <c r="A1960" t="s">
        <v>262</v>
      </c>
      <c r="B1960" s="2">
        <v>45216</v>
      </c>
      <c r="C1960">
        <v>1120.4751000000001</v>
      </c>
      <c r="D1960" t="s">
        <v>1812</v>
      </c>
      <c r="E1960">
        <v>56</v>
      </c>
      <c r="F1960" t="s">
        <v>16</v>
      </c>
      <c r="G1960" t="s">
        <v>1541</v>
      </c>
      <c r="H1960" t="s">
        <v>1742</v>
      </c>
      <c r="L1960" s="2">
        <v>45216</v>
      </c>
      <c r="M1960">
        <v>1120.4751000000001</v>
      </c>
      <c r="R1960" t="s">
        <v>1812</v>
      </c>
      <c r="S1960">
        <v>1120.4751000000001</v>
      </c>
      <c r="W1960" s="11" t="s">
        <v>16</v>
      </c>
      <c r="X1960" s="11" t="s">
        <v>1541</v>
      </c>
      <c r="Y1960">
        <v>1120.4751000000001</v>
      </c>
      <c r="AF1960">
        <v>1120.4751000000001</v>
      </c>
      <c r="AG1960" t="s">
        <v>1742</v>
      </c>
    </row>
    <row r="1961" spans="1:33" x14ac:dyDescent="0.3">
      <c r="A1961" t="s">
        <v>801</v>
      </c>
      <c r="B1961" s="2">
        <v>45639</v>
      </c>
      <c r="C1961">
        <v>493.05959999999999</v>
      </c>
      <c r="D1961" t="s">
        <v>1812</v>
      </c>
      <c r="E1961">
        <v>32</v>
      </c>
      <c r="F1961" t="s">
        <v>9</v>
      </c>
      <c r="G1961" t="s">
        <v>1546</v>
      </c>
      <c r="H1961" t="s">
        <v>1742</v>
      </c>
      <c r="L1961" s="2">
        <v>45639</v>
      </c>
      <c r="M1961">
        <v>493.05959999999999</v>
      </c>
      <c r="R1961" t="s">
        <v>1812</v>
      </c>
      <c r="S1961">
        <v>493.05959999999999</v>
      </c>
      <c r="W1961" s="12" t="s">
        <v>9</v>
      </c>
      <c r="X1961" s="12" t="s">
        <v>1546</v>
      </c>
      <c r="Y1961">
        <v>493.05959999999999</v>
      </c>
      <c r="AF1961">
        <v>493.05959999999999</v>
      </c>
      <c r="AG1961" t="s">
        <v>1742</v>
      </c>
    </row>
    <row r="1962" spans="1:33" x14ac:dyDescent="0.3">
      <c r="A1962" t="s">
        <v>463</v>
      </c>
      <c r="B1962" s="2">
        <v>45454</v>
      </c>
      <c r="C1962">
        <v>637.37399999999991</v>
      </c>
      <c r="D1962" t="s">
        <v>1807</v>
      </c>
      <c r="E1962">
        <v>43</v>
      </c>
      <c r="F1962" t="s">
        <v>9</v>
      </c>
      <c r="G1962" t="s">
        <v>1549</v>
      </c>
      <c r="H1962" t="s">
        <v>1742</v>
      </c>
      <c r="L1962" s="2">
        <v>45454</v>
      </c>
      <c r="M1962">
        <v>637.37399999999991</v>
      </c>
      <c r="R1962" t="s">
        <v>1807</v>
      </c>
      <c r="S1962">
        <v>637.37399999999991</v>
      </c>
      <c r="W1962" s="11" t="s">
        <v>9</v>
      </c>
      <c r="X1962" s="11" t="s">
        <v>1549</v>
      </c>
      <c r="Y1962">
        <v>637.37399999999991</v>
      </c>
      <c r="AF1962">
        <v>637.37399999999991</v>
      </c>
      <c r="AG1962" t="s">
        <v>1742</v>
      </c>
    </row>
    <row r="1963" spans="1:33" x14ac:dyDescent="0.3">
      <c r="A1963" t="s">
        <v>371</v>
      </c>
      <c r="B1963" s="2">
        <v>45934</v>
      </c>
      <c r="C1963">
        <v>163.5744</v>
      </c>
      <c r="D1963" t="s">
        <v>1807</v>
      </c>
      <c r="E1963">
        <v>62</v>
      </c>
      <c r="F1963" t="s">
        <v>16</v>
      </c>
      <c r="G1963" t="s">
        <v>1549</v>
      </c>
      <c r="H1963" t="s">
        <v>1746</v>
      </c>
      <c r="L1963" s="2">
        <v>45934</v>
      </c>
      <c r="M1963">
        <v>163.5744</v>
      </c>
      <c r="R1963" t="s">
        <v>1807</v>
      </c>
      <c r="S1963">
        <v>163.5744</v>
      </c>
      <c r="W1963" s="12" t="s">
        <v>16</v>
      </c>
      <c r="X1963" s="12" t="s">
        <v>1549</v>
      </c>
      <c r="Y1963">
        <v>163.5744</v>
      </c>
      <c r="AF1963">
        <v>163.5744</v>
      </c>
      <c r="AG1963" t="s">
        <v>1746</v>
      </c>
    </row>
    <row r="1964" spans="1:33" x14ac:dyDescent="0.3">
      <c r="A1964" t="s">
        <v>1119</v>
      </c>
      <c r="B1964" s="2">
        <v>45401</v>
      </c>
      <c r="C1964">
        <v>1051.7360000000001</v>
      </c>
      <c r="D1964" t="s">
        <v>1812</v>
      </c>
      <c r="E1964">
        <v>60</v>
      </c>
      <c r="F1964" t="s">
        <v>9</v>
      </c>
      <c r="G1964" t="s">
        <v>1541</v>
      </c>
      <c r="H1964" t="s">
        <v>1746</v>
      </c>
      <c r="L1964" s="2">
        <v>45401</v>
      </c>
      <c r="M1964">
        <v>1051.7360000000001</v>
      </c>
      <c r="R1964" t="s">
        <v>1812</v>
      </c>
      <c r="S1964">
        <v>1051.7360000000001</v>
      </c>
      <c r="W1964" s="11" t="s">
        <v>9</v>
      </c>
      <c r="X1964" s="11" t="s">
        <v>1541</v>
      </c>
      <c r="Y1964">
        <v>1051.7360000000001</v>
      </c>
      <c r="AF1964">
        <v>1051.7360000000001</v>
      </c>
      <c r="AG1964" t="s">
        <v>1746</v>
      </c>
    </row>
    <row r="1965" spans="1:33" x14ac:dyDescent="0.3">
      <c r="A1965" t="s">
        <v>1353</v>
      </c>
      <c r="B1965" s="2">
        <v>45770</v>
      </c>
      <c r="C1965">
        <v>3242.1668</v>
      </c>
      <c r="D1965" t="s">
        <v>1807</v>
      </c>
      <c r="E1965">
        <v>51</v>
      </c>
      <c r="F1965" t="s">
        <v>9</v>
      </c>
      <c r="G1965" t="s">
        <v>1541</v>
      </c>
      <c r="H1965" t="s">
        <v>1742</v>
      </c>
      <c r="L1965" s="2">
        <v>45770</v>
      </c>
      <c r="M1965">
        <v>3242.1668</v>
      </c>
      <c r="R1965" t="s">
        <v>1807</v>
      </c>
      <c r="S1965">
        <v>3242.1668</v>
      </c>
      <c r="W1965" s="12" t="s">
        <v>9</v>
      </c>
      <c r="X1965" s="12" t="s">
        <v>1541</v>
      </c>
      <c r="Y1965">
        <v>3242.1668</v>
      </c>
      <c r="AF1965">
        <v>3242.1668</v>
      </c>
      <c r="AG1965" t="s">
        <v>1742</v>
      </c>
    </row>
    <row r="1966" spans="1:33" x14ac:dyDescent="0.3">
      <c r="A1966" t="s">
        <v>1181</v>
      </c>
      <c r="B1966" s="2">
        <v>45405</v>
      </c>
      <c r="C1966">
        <v>322.98989999999998</v>
      </c>
      <c r="D1966" t="s">
        <v>1807</v>
      </c>
      <c r="E1966">
        <v>27</v>
      </c>
      <c r="F1966" t="s">
        <v>16</v>
      </c>
      <c r="G1966" t="s">
        <v>1527</v>
      </c>
      <c r="H1966" t="s">
        <v>1742</v>
      </c>
      <c r="L1966" s="2">
        <v>45405</v>
      </c>
      <c r="M1966">
        <v>322.98989999999998</v>
      </c>
      <c r="R1966" t="s">
        <v>1807</v>
      </c>
      <c r="S1966">
        <v>322.98989999999998</v>
      </c>
      <c r="W1966" s="11" t="s">
        <v>16</v>
      </c>
      <c r="X1966" s="11" t="s">
        <v>1527</v>
      </c>
      <c r="Y1966">
        <v>322.98989999999998</v>
      </c>
      <c r="AF1966">
        <v>322.98989999999998</v>
      </c>
      <c r="AG1966" t="s">
        <v>1742</v>
      </c>
    </row>
    <row r="1967" spans="1:33" x14ac:dyDescent="0.3">
      <c r="A1967" t="s">
        <v>125</v>
      </c>
      <c r="B1967" s="2">
        <v>45424</v>
      </c>
      <c r="C1967">
        <v>51.138399999999997</v>
      </c>
      <c r="D1967" t="s">
        <v>1812</v>
      </c>
      <c r="E1967">
        <v>41</v>
      </c>
      <c r="F1967" t="s">
        <v>9</v>
      </c>
      <c r="G1967" t="s">
        <v>1546</v>
      </c>
      <c r="H1967" t="s">
        <v>1746</v>
      </c>
      <c r="L1967" s="2">
        <v>45424</v>
      </c>
      <c r="M1967">
        <v>51.138399999999997</v>
      </c>
      <c r="R1967" t="s">
        <v>1812</v>
      </c>
      <c r="S1967">
        <v>51.138399999999997</v>
      </c>
      <c r="W1967" s="12" t="s">
        <v>9</v>
      </c>
      <c r="X1967" s="12" t="s">
        <v>1546</v>
      </c>
      <c r="Y1967">
        <v>51.138399999999997</v>
      </c>
      <c r="AF1967">
        <v>51.138399999999997</v>
      </c>
      <c r="AG1967" t="s">
        <v>1746</v>
      </c>
    </row>
    <row r="1968" spans="1:33" x14ac:dyDescent="0.3">
      <c r="A1968" t="s">
        <v>3935</v>
      </c>
      <c r="B1968" s="2">
        <v>45881</v>
      </c>
      <c r="C1968">
        <v>817.79430000000002</v>
      </c>
      <c r="D1968" t="s">
        <v>1809</v>
      </c>
      <c r="E1968">
        <v>27</v>
      </c>
      <c r="F1968" t="s">
        <v>16</v>
      </c>
      <c r="G1968" t="s">
        <v>1546</v>
      </c>
      <c r="H1968" t="s">
        <v>1737</v>
      </c>
      <c r="L1968" s="2">
        <v>45881</v>
      </c>
      <c r="M1968">
        <v>817.79430000000002</v>
      </c>
      <c r="R1968" t="s">
        <v>1809</v>
      </c>
      <c r="S1968">
        <v>817.79430000000002</v>
      </c>
      <c r="W1968" s="11" t="s">
        <v>16</v>
      </c>
      <c r="X1968" s="11" t="s">
        <v>1546</v>
      </c>
      <c r="Y1968">
        <v>817.79430000000002</v>
      </c>
      <c r="AF1968">
        <v>817.79430000000002</v>
      </c>
      <c r="AG1968" t="s">
        <v>1737</v>
      </c>
    </row>
    <row r="1969" spans="1:33" x14ac:dyDescent="0.3">
      <c r="A1969" t="s">
        <v>128</v>
      </c>
      <c r="B1969" s="2">
        <v>45794</v>
      </c>
      <c r="C1969">
        <v>1313.1166000000001</v>
      </c>
      <c r="D1969" t="s">
        <v>1809</v>
      </c>
      <c r="E1969">
        <v>48</v>
      </c>
      <c r="F1969" t="s">
        <v>16</v>
      </c>
      <c r="G1969" t="s">
        <v>1546</v>
      </c>
      <c r="H1969" t="s">
        <v>1742</v>
      </c>
      <c r="L1969" s="2">
        <v>45794</v>
      </c>
      <c r="M1969">
        <v>1313.1166000000001</v>
      </c>
      <c r="R1969" t="s">
        <v>1809</v>
      </c>
      <c r="S1969">
        <v>1313.1166000000001</v>
      </c>
      <c r="W1969" s="12" t="s">
        <v>16</v>
      </c>
      <c r="X1969" s="12" t="s">
        <v>1546</v>
      </c>
      <c r="Y1969">
        <v>1313.1166000000001</v>
      </c>
      <c r="AF1969">
        <v>1313.1166000000001</v>
      </c>
      <c r="AG1969" t="s">
        <v>1742</v>
      </c>
    </row>
    <row r="1970" spans="1:33" x14ac:dyDescent="0.3">
      <c r="A1970" t="s">
        <v>94</v>
      </c>
      <c r="B1970" s="2">
        <v>45665</v>
      </c>
      <c r="C1970">
        <v>509.75909999999999</v>
      </c>
      <c r="D1970" t="s">
        <v>1812</v>
      </c>
      <c r="E1970">
        <v>33</v>
      </c>
      <c r="F1970" t="s">
        <v>16</v>
      </c>
      <c r="G1970" t="s">
        <v>1541</v>
      </c>
      <c r="H1970" t="s">
        <v>1742</v>
      </c>
      <c r="L1970" s="2">
        <v>45665</v>
      </c>
      <c r="M1970">
        <v>509.75909999999999</v>
      </c>
      <c r="R1970" t="s">
        <v>1812</v>
      </c>
      <c r="S1970">
        <v>509.75909999999999</v>
      </c>
      <c r="W1970" s="11" t="s">
        <v>16</v>
      </c>
      <c r="X1970" s="11" t="s">
        <v>1541</v>
      </c>
      <c r="Y1970">
        <v>509.75909999999999</v>
      </c>
      <c r="AF1970">
        <v>509.75909999999999</v>
      </c>
      <c r="AG1970" t="s">
        <v>1742</v>
      </c>
    </row>
    <row r="1971" spans="1:33" x14ac:dyDescent="0.3">
      <c r="A1971" t="s">
        <v>477</v>
      </c>
      <c r="B1971" s="2">
        <v>45793</v>
      </c>
      <c r="C1971">
        <v>78.586799999999997</v>
      </c>
      <c r="D1971" t="s">
        <v>1807</v>
      </c>
      <c r="E1971">
        <v>46</v>
      </c>
      <c r="F1971" t="s">
        <v>9</v>
      </c>
      <c r="G1971" t="s">
        <v>1549</v>
      </c>
      <c r="H1971" t="s">
        <v>1767</v>
      </c>
      <c r="L1971" s="2">
        <v>45793</v>
      </c>
      <c r="M1971">
        <v>78.586799999999997</v>
      </c>
      <c r="R1971" t="s">
        <v>1807</v>
      </c>
      <c r="S1971">
        <v>78.586799999999997</v>
      </c>
      <c r="W1971" s="12" t="s">
        <v>9</v>
      </c>
      <c r="X1971" s="12" t="s">
        <v>1549</v>
      </c>
      <c r="Y1971">
        <v>78.586799999999997</v>
      </c>
      <c r="AF1971">
        <v>78.586799999999997</v>
      </c>
      <c r="AG1971" t="s">
        <v>1767</v>
      </c>
    </row>
    <row r="1972" spans="1:33" x14ac:dyDescent="0.3">
      <c r="A1972" t="s">
        <v>1259</v>
      </c>
      <c r="B1972" s="2">
        <v>45563</v>
      </c>
      <c r="C1972">
        <v>889.83</v>
      </c>
      <c r="D1972" t="s">
        <v>1807</v>
      </c>
      <c r="E1972">
        <v>32</v>
      </c>
      <c r="F1972" t="s">
        <v>9</v>
      </c>
      <c r="G1972" t="s">
        <v>1527</v>
      </c>
      <c r="H1972" t="s">
        <v>1742</v>
      </c>
      <c r="L1972" s="2">
        <v>45563</v>
      </c>
      <c r="M1972">
        <v>889.83</v>
      </c>
      <c r="R1972" t="s">
        <v>1807</v>
      </c>
      <c r="S1972">
        <v>889.83</v>
      </c>
      <c r="W1972" s="11" t="s">
        <v>9</v>
      </c>
      <c r="X1972" s="11" t="s">
        <v>1527</v>
      </c>
      <c r="Y1972">
        <v>889.83</v>
      </c>
      <c r="AF1972">
        <v>889.83</v>
      </c>
      <c r="AG1972" t="s">
        <v>1742</v>
      </c>
    </row>
    <row r="1973" spans="1:33" x14ac:dyDescent="0.3">
      <c r="A1973" t="s">
        <v>809</v>
      </c>
      <c r="B1973" s="2">
        <v>45577</v>
      </c>
      <c r="C1973">
        <v>366.858</v>
      </c>
      <c r="D1973" t="s">
        <v>1807</v>
      </c>
      <c r="E1973">
        <v>57</v>
      </c>
      <c r="F1973" t="s">
        <v>9</v>
      </c>
      <c r="G1973" t="s">
        <v>1549</v>
      </c>
      <c r="H1973" t="s">
        <v>1742</v>
      </c>
      <c r="L1973" s="2">
        <v>45577</v>
      </c>
      <c r="M1973">
        <v>366.858</v>
      </c>
      <c r="R1973" t="s">
        <v>1807</v>
      </c>
      <c r="S1973">
        <v>366.858</v>
      </c>
      <c r="W1973" s="12" t="s">
        <v>9</v>
      </c>
      <c r="X1973" s="12" t="s">
        <v>1549</v>
      </c>
      <c r="Y1973">
        <v>366.858</v>
      </c>
      <c r="AF1973">
        <v>366.858</v>
      </c>
      <c r="AG1973" t="s">
        <v>1742</v>
      </c>
    </row>
    <row r="1974" spans="1:33" x14ac:dyDescent="0.3">
      <c r="A1974" t="s">
        <v>1217</v>
      </c>
      <c r="B1974" s="2">
        <v>45466</v>
      </c>
      <c r="C1974">
        <v>565.90890000000002</v>
      </c>
      <c r="D1974" t="s">
        <v>1809</v>
      </c>
      <c r="E1974">
        <v>50</v>
      </c>
      <c r="F1974" t="s">
        <v>9</v>
      </c>
      <c r="G1974" t="s">
        <v>1527</v>
      </c>
      <c r="H1974" t="s">
        <v>1742</v>
      </c>
      <c r="L1974" s="2">
        <v>45466</v>
      </c>
      <c r="M1974">
        <v>565.90890000000002</v>
      </c>
      <c r="R1974" t="s">
        <v>1809</v>
      </c>
      <c r="S1974">
        <v>565.90890000000002</v>
      </c>
      <c r="W1974" s="11" t="s">
        <v>9</v>
      </c>
      <c r="X1974" s="11" t="s">
        <v>1527</v>
      </c>
      <c r="Y1974">
        <v>565.90890000000002</v>
      </c>
      <c r="AF1974">
        <v>565.90890000000002</v>
      </c>
      <c r="AG1974" t="s">
        <v>1742</v>
      </c>
    </row>
    <row r="1975" spans="1:33" x14ac:dyDescent="0.3">
      <c r="A1975" t="s">
        <v>516</v>
      </c>
      <c r="B1975" s="2">
        <v>45256</v>
      </c>
      <c r="C1975">
        <v>64.799499999999995</v>
      </c>
      <c r="D1975" t="s">
        <v>1809</v>
      </c>
      <c r="E1975">
        <v>46</v>
      </c>
      <c r="F1975" t="s">
        <v>9</v>
      </c>
      <c r="G1975" t="s">
        <v>1527</v>
      </c>
      <c r="H1975" t="s">
        <v>1742</v>
      </c>
      <c r="L1975" s="2">
        <v>45256</v>
      </c>
      <c r="M1975">
        <v>64.799499999999995</v>
      </c>
      <c r="R1975" t="s">
        <v>1809</v>
      </c>
      <c r="S1975">
        <v>64.799499999999995</v>
      </c>
      <c r="W1975" s="12" t="s">
        <v>9</v>
      </c>
      <c r="X1975" s="12" t="s">
        <v>1527</v>
      </c>
      <c r="Y1975">
        <v>64.799499999999995</v>
      </c>
      <c r="AF1975">
        <v>64.799499999999995</v>
      </c>
      <c r="AG1975" t="s">
        <v>1742</v>
      </c>
    </row>
    <row r="1976" spans="1:33" x14ac:dyDescent="0.3">
      <c r="A1976" t="s">
        <v>457</v>
      </c>
      <c r="B1976" s="2">
        <v>45886</v>
      </c>
      <c r="C1976">
        <v>1264.335</v>
      </c>
      <c r="D1976" t="s">
        <v>1812</v>
      </c>
      <c r="E1976">
        <v>29</v>
      </c>
      <c r="F1976" t="s">
        <v>9</v>
      </c>
      <c r="G1976" t="s">
        <v>1530</v>
      </c>
      <c r="H1976" t="s">
        <v>1746</v>
      </c>
      <c r="L1976" s="2">
        <v>45886</v>
      </c>
      <c r="M1976">
        <v>1264.335</v>
      </c>
      <c r="R1976" t="s">
        <v>1812</v>
      </c>
      <c r="S1976">
        <v>1264.335</v>
      </c>
      <c r="W1976" s="11" t="s">
        <v>9</v>
      </c>
      <c r="X1976" s="11" t="s">
        <v>1530</v>
      </c>
      <c r="Y1976">
        <v>1264.335</v>
      </c>
      <c r="AF1976">
        <v>1264.335</v>
      </c>
      <c r="AG1976" t="s">
        <v>1746</v>
      </c>
    </row>
    <row r="1977" spans="1:33" x14ac:dyDescent="0.3">
      <c r="A1977" t="s">
        <v>940</v>
      </c>
      <c r="B1977" s="2">
        <v>45390</v>
      </c>
      <c r="C1977">
        <v>346.48399999999998</v>
      </c>
      <c r="D1977" t="s">
        <v>1812</v>
      </c>
      <c r="E1977">
        <v>50</v>
      </c>
      <c r="F1977" t="s">
        <v>9</v>
      </c>
      <c r="G1977" t="s">
        <v>1541</v>
      </c>
      <c r="H1977" t="s">
        <v>1746</v>
      </c>
      <c r="L1977" s="2">
        <v>45390</v>
      </c>
      <c r="M1977">
        <v>346.48399999999998</v>
      </c>
      <c r="R1977" t="s">
        <v>1812</v>
      </c>
      <c r="S1977">
        <v>346.48399999999998</v>
      </c>
      <c r="W1977" s="12" t="s">
        <v>9</v>
      </c>
      <c r="X1977" s="12" t="s">
        <v>1541</v>
      </c>
      <c r="Y1977">
        <v>346.48399999999998</v>
      </c>
      <c r="AF1977">
        <v>346.48399999999998</v>
      </c>
      <c r="AG1977" t="s">
        <v>1746</v>
      </c>
    </row>
    <row r="1978" spans="1:33" x14ac:dyDescent="0.3">
      <c r="A1978" t="s">
        <v>626</v>
      </c>
      <c r="B1978" s="2">
        <v>45388</v>
      </c>
      <c r="C1978">
        <v>1564.0116</v>
      </c>
      <c r="D1978" t="s">
        <v>1809</v>
      </c>
      <c r="E1978">
        <v>38</v>
      </c>
      <c r="F1978" t="s">
        <v>9</v>
      </c>
      <c r="G1978" t="s">
        <v>1541</v>
      </c>
      <c r="H1978" t="s">
        <v>1742</v>
      </c>
      <c r="L1978" s="2">
        <v>45388</v>
      </c>
      <c r="M1978">
        <v>1564.0116</v>
      </c>
      <c r="R1978" t="s">
        <v>1809</v>
      </c>
      <c r="S1978">
        <v>1564.0116</v>
      </c>
      <c r="W1978" s="11" t="s">
        <v>9</v>
      </c>
      <c r="X1978" s="11" t="s">
        <v>1541</v>
      </c>
      <c r="Y1978">
        <v>1564.0116</v>
      </c>
      <c r="AF1978">
        <v>1564.0116</v>
      </c>
      <c r="AG1978" t="s">
        <v>1742</v>
      </c>
    </row>
    <row r="1979" spans="1:33" x14ac:dyDescent="0.3">
      <c r="A1979" t="s">
        <v>1130</v>
      </c>
      <c r="B1979" s="2">
        <v>45793</v>
      </c>
      <c r="C1979">
        <v>592.50740000000008</v>
      </c>
      <c r="D1979" t="s">
        <v>1807</v>
      </c>
      <c r="E1979">
        <v>40</v>
      </c>
      <c r="F1979" t="s">
        <v>16</v>
      </c>
      <c r="G1979" t="s">
        <v>1527</v>
      </c>
      <c r="H1979" t="s">
        <v>1746</v>
      </c>
      <c r="L1979" s="2">
        <v>45793</v>
      </c>
      <c r="M1979">
        <v>592.50740000000008</v>
      </c>
      <c r="R1979" t="s">
        <v>1807</v>
      </c>
      <c r="S1979">
        <v>592.50740000000008</v>
      </c>
      <c r="W1979" s="12" t="s">
        <v>16</v>
      </c>
      <c r="X1979" s="12" t="s">
        <v>1527</v>
      </c>
      <c r="Y1979">
        <v>592.50740000000008</v>
      </c>
      <c r="AF1979">
        <v>592.50740000000008</v>
      </c>
      <c r="AG1979" t="s">
        <v>1746</v>
      </c>
    </row>
    <row r="1980" spans="1:33" x14ac:dyDescent="0.3">
      <c r="A1980" t="s">
        <v>471</v>
      </c>
      <c r="B1980" s="2">
        <v>45615</v>
      </c>
      <c r="C1980">
        <v>1510.7190000000001</v>
      </c>
      <c r="D1980" t="s">
        <v>1812</v>
      </c>
      <c r="E1980">
        <v>30</v>
      </c>
      <c r="F1980" t="s">
        <v>9</v>
      </c>
      <c r="G1980" t="s">
        <v>1527</v>
      </c>
      <c r="H1980" t="s">
        <v>1742</v>
      </c>
      <c r="L1980" s="2">
        <v>45615</v>
      </c>
      <c r="M1980">
        <v>1510.7190000000001</v>
      </c>
      <c r="R1980" t="s">
        <v>1812</v>
      </c>
      <c r="S1980">
        <v>1510.7190000000001</v>
      </c>
      <c r="W1980" s="11" t="s">
        <v>9</v>
      </c>
      <c r="X1980" s="11" t="s">
        <v>1527</v>
      </c>
      <c r="Y1980">
        <v>1510.7190000000001</v>
      </c>
      <c r="AF1980">
        <v>1510.7190000000001</v>
      </c>
      <c r="AG1980" t="s">
        <v>1742</v>
      </c>
    </row>
    <row r="1981" spans="1:33" x14ac:dyDescent="0.3">
      <c r="A1981" t="s">
        <v>966</v>
      </c>
      <c r="B1981" s="2">
        <v>45666</v>
      </c>
      <c r="C1981">
        <v>1106.3094000000001</v>
      </c>
      <c r="D1981" t="s">
        <v>1809</v>
      </c>
      <c r="E1981">
        <v>20</v>
      </c>
      <c r="F1981" t="s">
        <v>9</v>
      </c>
      <c r="G1981" t="s">
        <v>1530</v>
      </c>
      <c r="H1981" t="s">
        <v>1742</v>
      </c>
      <c r="L1981" s="2">
        <v>45666</v>
      </c>
      <c r="M1981">
        <v>1106.3094000000001</v>
      </c>
      <c r="R1981" t="s">
        <v>1809</v>
      </c>
      <c r="S1981">
        <v>1106.3094000000001</v>
      </c>
      <c r="W1981" s="12" t="s">
        <v>9</v>
      </c>
      <c r="X1981" s="12" t="s">
        <v>1530</v>
      </c>
      <c r="Y1981">
        <v>1106.3094000000001</v>
      </c>
      <c r="AF1981">
        <v>1106.3094000000001</v>
      </c>
      <c r="AG1981" t="s">
        <v>1742</v>
      </c>
    </row>
    <row r="1982" spans="1:33" x14ac:dyDescent="0.3">
      <c r="A1982" t="s">
        <v>874</v>
      </c>
      <c r="B1982" s="2">
        <v>45644</v>
      </c>
      <c r="C1982">
        <v>700.40520000000004</v>
      </c>
      <c r="D1982" t="s">
        <v>1807</v>
      </c>
      <c r="E1982">
        <v>42</v>
      </c>
      <c r="F1982" t="s">
        <v>16</v>
      </c>
      <c r="G1982" t="s">
        <v>1527</v>
      </c>
      <c r="H1982" t="s">
        <v>1746</v>
      </c>
      <c r="L1982" s="2">
        <v>45644</v>
      </c>
      <c r="M1982">
        <v>700.40520000000004</v>
      </c>
      <c r="R1982" t="s">
        <v>1807</v>
      </c>
      <c r="S1982">
        <v>700.40520000000004</v>
      </c>
      <c r="W1982" s="11" t="s">
        <v>16</v>
      </c>
      <c r="X1982" s="11" t="s">
        <v>1527</v>
      </c>
      <c r="Y1982">
        <v>700.40520000000004</v>
      </c>
      <c r="AF1982">
        <v>700.40520000000004</v>
      </c>
      <c r="AG1982" t="s">
        <v>1746</v>
      </c>
    </row>
    <row r="1983" spans="1:33" x14ac:dyDescent="0.3">
      <c r="A1983" t="s">
        <v>836</v>
      </c>
      <c r="B1983" s="2">
        <v>45648</v>
      </c>
      <c r="C1983">
        <v>320.892</v>
      </c>
      <c r="D1983" t="s">
        <v>1807</v>
      </c>
      <c r="E1983">
        <v>38</v>
      </c>
      <c r="F1983" t="s">
        <v>9</v>
      </c>
      <c r="G1983" t="s">
        <v>1530</v>
      </c>
      <c r="H1983" t="s">
        <v>1746</v>
      </c>
      <c r="L1983" s="2">
        <v>45648</v>
      </c>
      <c r="M1983">
        <v>320.892</v>
      </c>
      <c r="R1983" t="s">
        <v>1807</v>
      </c>
      <c r="S1983">
        <v>320.892</v>
      </c>
      <c r="W1983" s="12" t="s">
        <v>9</v>
      </c>
      <c r="X1983" s="12" t="s">
        <v>1530</v>
      </c>
      <c r="Y1983">
        <v>320.892</v>
      </c>
      <c r="AF1983">
        <v>320.892</v>
      </c>
      <c r="AG1983" t="s">
        <v>1746</v>
      </c>
    </row>
    <row r="1984" spans="1:33" x14ac:dyDescent="0.3">
      <c r="A1984" t="s">
        <v>664</v>
      </c>
      <c r="B1984" s="2">
        <v>45500</v>
      </c>
      <c r="C1984">
        <v>2704.47</v>
      </c>
      <c r="D1984" t="s">
        <v>1807</v>
      </c>
      <c r="E1984">
        <v>26</v>
      </c>
      <c r="F1984" t="s">
        <v>16</v>
      </c>
      <c r="G1984" t="s">
        <v>1527</v>
      </c>
      <c r="H1984" t="s">
        <v>1746</v>
      </c>
      <c r="L1984" s="2">
        <v>45500</v>
      </c>
      <c r="M1984">
        <v>2704.47</v>
      </c>
      <c r="R1984" t="s">
        <v>1807</v>
      </c>
      <c r="S1984">
        <v>2704.47</v>
      </c>
      <c r="W1984" s="11" t="s">
        <v>16</v>
      </c>
      <c r="X1984" s="11" t="s">
        <v>1527</v>
      </c>
      <c r="Y1984">
        <v>2704.47</v>
      </c>
      <c r="AF1984">
        <v>2704.47</v>
      </c>
      <c r="AG1984" t="s">
        <v>1746</v>
      </c>
    </row>
    <row r="1985" spans="1:33" x14ac:dyDescent="0.3">
      <c r="A1985" t="s">
        <v>649</v>
      </c>
      <c r="B1985" s="2">
        <v>45806</v>
      </c>
      <c r="C1985">
        <v>506.709</v>
      </c>
      <c r="D1985" t="s">
        <v>1807</v>
      </c>
      <c r="E1985">
        <v>25</v>
      </c>
      <c r="F1985" t="s">
        <v>16</v>
      </c>
      <c r="G1985" t="s">
        <v>1527</v>
      </c>
      <c r="H1985" t="s">
        <v>1742</v>
      </c>
      <c r="L1985" s="2">
        <v>45806</v>
      </c>
      <c r="M1985">
        <v>506.709</v>
      </c>
      <c r="R1985" t="s">
        <v>1807</v>
      </c>
      <c r="S1985">
        <v>506.709</v>
      </c>
      <c r="W1985" s="12" t="s">
        <v>16</v>
      </c>
      <c r="X1985" s="12" t="s">
        <v>1527</v>
      </c>
      <c r="Y1985">
        <v>506.709</v>
      </c>
      <c r="AF1985">
        <v>506.709</v>
      </c>
      <c r="AG1985" t="s">
        <v>1742</v>
      </c>
    </row>
    <row r="1986" spans="1:33" x14ac:dyDescent="0.3">
      <c r="A1986" t="s">
        <v>196</v>
      </c>
      <c r="B1986" s="2">
        <v>45365</v>
      </c>
      <c r="C1986">
        <v>595.41</v>
      </c>
      <c r="D1986" t="s">
        <v>1807</v>
      </c>
      <c r="E1986">
        <v>37</v>
      </c>
      <c r="F1986" t="s">
        <v>16</v>
      </c>
      <c r="G1986" t="s">
        <v>1527</v>
      </c>
      <c r="H1986" t="s">
        <v>1737</v>
      </c>
      <c r="L1986" s="2">
        <v>45365</v>
      </c>
      <c r="M1986">
        <v>595.41</v>
      </c>
      <c r="R1986" t="s">
        <v>1807</v>
      </c>
      <c r="S1986">
        <v>595.41</v>
      </c>
      <c r="W1986" s="11" t="s">
        <v>16</v>
      </c>
      <c r="X1986" s="11" t="s">
        <v>1527</v>
      </c>
      <c r="Y1986">
        <v>595.41</v>
      </c>
      <c r="AF1986">
        <v>595.41</v>
      </c>
      <c r="AG1986" t="s">
        <v>1737</v>
      </c>
    </row>
    <row r="1987" spans="1:33" x14ac:dyDescent="0.3">
      <c r="A1987" t="s">
        <v>1388</v>
      </c>
      <c r="B1987" s="2">
        <v>45229</v>
      </c>
      <c r="C1987">
        <v>953.38679999999999</v>
      </c>
      <c r="D1987" t="s">
        <v>1812</v>
      </c>
      <c r="E1987">
        <v>54</v>
      </c>
      <c r="F1987" t="s">
        <v>9</v>
      </c>
      <c r="G1987" t="s">
        <v>1541</v>
      </c>
      <c r="H1987" t="s">
        <v>1742</v>
      </c>
      <c r="L1987" s="2">
        <v>45229</v>
      </c>
      <c r="M1987">
        <v>953.38679999999999</v>
      </c>
      <c r="R1987" t="s">
        <v>1812</v>
      </c>
      <c r="S1987">
        <v>953.38679999999999</v>
      </c>
      <c r="W1987" s="12" t="s">
        <v>9</v>
      </c>
      <c r="X1987" s="12" t="s">
        <v>1541</v>
      </c>
      <c r="Y1987">
        <v>953.38679999999999</v>
      </c>
      <c r="AF1987">
        <v>953.38679999999999</v>
      </c>
      <c r="AG1987" t="s">
        <v>1742</v>
      </c>
    </row>
    <row r="1988" spans="1:33" x14ac:dyDescent="0.3">
      <c r="A1988" t="s">
        <v>963</v>
      </c>
      <c r="B1988" s="2">
        <v>45349</v>
      </c>
      <c r="C1988">
        <v>2317.6383999999998</v>
      </c>
      <c r="D1988" t="s">
        <v>1807</v>
      </c>
      <c r="E1988">
        <v>41</v>
      </c>
      <c r="F1988" t="s">
        <v>16</v>
      </c>
      <c r="G1988" t="s">
        <v>1549</v>
      </c>
      <c r="H1988" t="s">
        <v>1746</v>
      </c>
      <c r="L1988" s="2">
        <v>45349</v>
      </c>
      <c r="M1988">
        <v>2317.6383999999998</v>
      </c>
      <c r="R1988" t="s">
        <v>1807</v>
      </c>
      <c r="S1988">
        <v>2317.6383999999998</v>
      </c>
      <c r="W1988" s="11" t="s">
        <v>16</v>
      </c>
      <c r="X1988" s="11" t="s">
        <v>1549</v>
      </c>
      <c r="Y1988">
        <v>2317.6383999999998</v>
      </c>
      <c r="AF1988">
        <v>2317.6383999999998</v>
      </c>
      <c r="AG1988" t="s">
        <v>1746</v>
      </c>
    </row>
    <row r="1989" spans="1:33" x14ac:dyDescent="0.3">
      <c r="A1989" t="s">
        <v>1374</v>
      </c>
      <c r="B1989" s="2">
        <v>45886</v>
      </c>
      <c r="C1989">
        <v>88.814799999999991</v>
      </c>
      <c r="D1989" t="s">
        <v>1807</v>
      </c>
      <c r="E1989">
        <v>59</v>
      </c>
      <c r="F1989" t="s">
        <v>9</v>
      </c>
      <c r="G1989" t="s">
        <v>1549</v>
      </c>
      <c r="H1989" t="s">
        <v>1742</v>
      </c>
      <c r="L1989" s="2">
        <v>45886</v>
      </c>
      <c r="M1989">
        <v>88.814799999999991</v>
      </c>
      <c r="R1989" t="s">
        <v>1807</v>
      </c>
      <c r="S1989">
        <v>88.814799999999991</v>
      </c>
      <c r="W1989" s="12" t="s">
        <v>9</v>
      </c>
      <c r="X1989" s="12" t="s">
        <v>1549</v>
      </c>
      <c r="Y1989">
        <v>88.814799999999991</v>
      </c>
      <c r="AF1989">
        <v>88.814799999999991</v>
      </c>
      <c r="AG1989" t="s">
        <v>1742</v>
      </c>
    </row>
    <row r="1990" spans="1:33" x14ac:dyDescent="0.3">
      <c r="A1990" t="s">
        <v>1008</v>
      </c>
      <c r="B1990" s="2">
        <v>45359</v>
      </c>
      <c r="C1990">
        <v>316.89359999999999</v>
      </c>
      <c r="D1990" t="s">
        <v>1807</v>
      </c>
      <c r="E1990">
        <v>58</v>
      </c>
      <c r="F1990" t="s">
        <v>9</v>
      </c>
      <c r="G1990" t="s">
        <v>1549</v>
      </c>
      <c r="H1990" t="s">
        <v>1767</v>
      </c>
      <c r="L1990" s="2">
        <v>45359</v>
      </c>
      <c r="M1990">
        <v>316.89359999999999</v>
      </c>
      <c r="R1990" t="s">
        <v>1807</v>
      </c>
      <c r="S1990">
        <v>316.89359999999999</v>
      </c>
      <c r="W1990" s="11" t="s">
        <v>9</v>
      </c>
      <c r="X1990" s="11" t="s">
        <v>1549</v>
      </c>
      <c r="Y1990">
        <v>316.89359999999999</v>
      </c>
      <c r="AF1990">
        <v>316.89359999999999</v>
      </c>
      <c r="AG1990" t="s">
        <v>1767</v>
      </c>
    </row>
    <row r="1991" spans="1:33" x14ac:dyDescent="0.3">
      <c r="A1991" t="s">
        <v>296</v>
      </c>
      <c r="B1991" s="2">
        <v>45730</v>
      </c>
      <c r="C1991">
        <v>545.48239999999998</v>
      </c>
      <c r="D1991" t="s">
        <v>1807</v>
      </c>
      <c r="E1991">
        <v>48</v>
      </c>
      <c r="F1991" t="s">
        <v>16</v>
      </c>
      <c r="G1991" t="s">
        <v>1541</v>
      </c>
      <c r="H1991" t="s">
        <v>1737</v>
      </c>
      <c r="L1991" s="2">
        <v>45730</v>
      </c>
      <c r="M1991">
        <v>545.48239999999998</v>
      </c>
      <c r="R1991" t="s">
        <v>1807</v>
      </c>
      <c r="S1991">
        <v>545.48239999999998</v>
      </c>
      <c r="W1991" s="12" t="s">
        <v>16</v>
      </c>
      <c r="X1991" s="12" t="s">
        <v>1541</v>
      </c>
      <c r="Y1991">
        <v>545.48239999999998</v>
      </c>
      <c r="AF1991">
        <v>545.48239999999998</v>
      </c>
      <c r="AG1991" t="s">
        <v>1737</v>
      </c>
    </row>
    <row r="1992" spans="1:33" x14ac:dyDescent="0.3">
      <c r="A1992" t="s">
        <v>768</v>
      </c>
      <c r="B1992" s="2">
        <v>45456</v>
      </c>
      <c r="C1992">
        <v>757.39</v>
      </c>
      <c r="D1992" t="s">
        <v>1812</v>
      </c>
      <c r="E1992">
        <v>58</v>
      </c>
      <c r="F1992" t="s">
        <v>16</v>
      </c>
      <c r="G1992" t="s">
        <v>1549</v>
      </c>
      <c r="H1992" t="s">
        <v>1742</v>
      </c>
      <c r="L1992" s="2">
        <v>45456</v>
      </c>
      <c r="M1992">
        <v>757.39</v>
      </c>
      <c r="R1992" t="s">
        <v>1812</v>
      </c>
      <c r="S1992">
        <v>757.39</v>
      </c>
      <c r="W1992" s="11" t="s">
        <v>16</v>
      </c>
      <c r="X1992" s="11" t="s">
        <v>1549</v>
      </c>
      <c r="Y1992">
        <v>757.39</v>
      </c>
      <c r="AF1992">
        <v>757.39</v>
      </c>
      <c r="AG1992" t="s">
        <v>1742</v>
      </c>
    </row>
    <row r="1993" spans="1:33" x14ac:dyDescent="0.3">
      <c r="A1993" t="s">
        <v>1019</v>
      </c>
      <c r="B1993" s="2">
        <v>45450</v>
      </c>
      <c r="C1993">
        <v>152.2801</v>
      </c>
      <c r="D1993" t="s">
        <v>1809</v>
      </c>
      <c r="E1993">
        <v>46</v>
      </c>
      <c r="F1993" t="s">
        <v>9</v>
      </c>
      <c r="G1993" t="s">
        <v>1549</v>
      </c>
      <c r="H1993" t="s">
        <v>1742</v>
      </c>
      <c r="L1993" s="2">
        <v>45450</v>
      </c>
      <c r="M1993">
        <v>152.2801</v>
      </c>
      <c r="R1993" t="s">
        <v>1809</v>
      </c>
      <c r="S1993">
        <v>152.2801</v>
      </c>
      <c r="W1993" s="12" t="s">
        <v>9</v>
      </c>
      <c r="X1993" s="12" t="s">
        <v>1549</v>
      </c>
      <c r="Y1993">
        <v>152.2801</v>
      </c>
      <c r="AF1993">
        <v>152.2801</v>
      </c>
      <c r="AG1993" t="s">
        <v>1742</v>
      </c>
    </row>
    <row r="1994" spans="1:33" x14ac:dyDescent="0.3">
      <c r="A1994" t="s">
        <v>249</v>
      </c>
      <c r="B1994" s="2">
        <v>45493</v>
      </c>
      <c r="C1994">
        <v>1755.5383999999999</v>
      </c>
      <c r="D1994" t="s">
        <v>1807</v>
      </c>
      <c r="E1994">
        <v>24</v>
      </c>
      <c r="F1994" t="s">
        <v>16</v>
      </c>
      <c r="G1994" t="s">
        <v>1541</v>
      </c>
      <c r="H1994" t="s">
        <v>1742</v>
      </c>
      <c r="L1994" s="2">
        <v>45493</v>
      </c>
      <c r="M1994">
        <v>1755.5383999999999</v>
      </c>
      <c r="R1994" t="s">
        <v>1807</v>
      </c>
      <c r="S1994">
        <v>1755.5383999999999</v>
      </c>
      <c r="W1994" s="11" t="s">
        <v>16</v>
      </c>
      <c r="X1994" s="11" t="s">
        <v>1541</v>
      </c>
      <c r="Y1994">
        <v>1755.5383999999999</v>
      </c>
      <c r="AF1994">
        <v>1755.5383999999999</v>
      </c>
      <c r="AG1994" t="s">
        <v>1742</v>
      </c>
    </row>
    <row r="1995" spans="1:33" x14ac:dyDescent="0.3">
      <c r="A1995" t="s">
        <v>1440</v>
      </c>
      <c r="B1995" s="2">
        <v>45274</v>
      </c>
      <c r="C1995">
        <v>2155.2228</v>
      </c>
      <c r="D1995" t="s">
        <v>1807</v>
      </c>
      <c r="E1995">
        <v>53</v>
      </c>
      <c r="F1995" t="s">
        <v>9</v>
      </c>
      <c r="G1995" t="s">
        <v>1527</v>
      </c>
      <c r="H1995" t="s">
        <v>1742</v>
      </c>
      <c r="L1995" s="2">
        <v>45274</v>
      </c>
      <c r="M1995">
        <v>2155.2228</v>
      </c>
      <c r="R1995" t="s">
        <v>1807</v>
      </c>
      <c r="S1995">
        <v>2155.2228</v>
      </c>
      <c r="W1995" s="12" t="s">
        <v>9</v>
      </c>
      <c r="X1995" s="12" t="s">
        <v>1527</v>
      </c>
      <c r="Y1995">
        <v>2155.2228</v>
      </c>
      <c r="AF1995">
        <v>2155.2228</v>
      </c>
      <c r="AG1995" t="s">
        <v>1742</v>
      </c>
    </row>
    <row r="1996" spans="1:33" x14ac:dyDescent="0.3">
      <c r="A1996" t="s">
        <v>1443</v>
      </c>
      <c r="B1996" s="2">
        <v>45844</v>
      </c>
      <c r="C1996">
        <v>905.23</v>
      </c>
      <c r="D1996" t="s">
        <v>1807</v>
      </c>
      <c r="E1996">
        <v>32</v>
      </c>
      <c r="F1996" t="s">
        <v>16</v>
      </c>
      <c r="G1996" t="s">
        <v>1527</v>
      </c>
      <c r="H1996" t="s">
        <v>1767</v>
      </c>
      <c r="L1996" s="2">
        <v>45844</v>
      </c>
      <c r="M1996">
        <v>905.23</v>
      </c>
      <c r="R1996" t="s">
        <v>1807</v>
      </c>
      <c r="S1996">
        <v>905.23</v>
      </c>
      <c r="W1996" s="11" t="s">
        <v>16</v>
      </c>
      <c r="X1996" s="11" t="s">
        <v>1527</v>
      </c>
      <c r="Y1996">
        <v>905.23</v>
      </c>
      <c r="AF1996">
        <v>905.23</v>
      </c>
      <c r="AG1996" t="s">
        <v>1767</v>
      </c>
    </row>
    <row r="1997" spans="1:33" x14ac:dyDescent="0.3">
      <c r="A1997" t="s">
        <v>608</v>
      </c>
      <c r="B1997" s="2">
        <v>45264</v>
      </c>
      <c r="C1997">
        <v>274.03109999999998</v>
      </c>
      <c r="D1997" t="s">
        <v>1807</v>
      </c>
      <c r="E1997">
        <v>60</v>
      </c>
      <c r="F1997" t="s">
        <v>16</v>
      </c>
      <c r="G1997" t="s">
        <v>1527</v>
      </c>
      <c r="H1997" t="s">
        <v>1742</v>
      </c>
      <c r="L1997" s="2">
        <v>45264</v>
      </c>
      <c r="M1997">
        <v>274.03109999999998</v>
      </c>
      <c r="R1997" t="s">
        <v>1807</v>
      </c>
      <c r="S1997">
        <v>274.03109999999998</v>
      </c>
      <c r="W1997" s="12" t="s">
        <v>16</v>
      </c>
      <c r="X1997" s="12" t="s">
        <v>1527</v>
      </c>
      <c r="Y1997">
        <v>274.03109999999998</v>
      </c>
      <c r="AF1997">
        <v>274.03109999999998</v>
      </c>
      <c r="AG1997" t="s">
        <v>1742</v>
      </c>
    </row>
    <row r="1998" spans="1:33" x14ac:dyDescent="0.3">
      <c r="A1998" t="s">
        <v>534</v>
      </c>
      <c r="B1998" s="2">
        <v>45773</v>
      </c>
      <c r="C1998">
        <v>2391.4526999999998</v>
      </c>
      <c r="D1998" t="s">
        <v>1809</v>
      </c>
      <c r="E1998">
        <v>37</v>
      </c>
      <c r="F1998" t="s">
        <v>9</v>
      </c>
      <c r="G1998" t="s">
        <v>1527</v>
      </c>
      <c r="H1998" t="s">
        <v>1767</v>
      </c>
      <c r="L1998" s="2">
        <v>45773</v>
      </c>
      <c r="M1998">
        <v>2391.4526999999998</v>
      </c>
      <c r="R1998" t="s">
        <v>1809</v>
      </c>
      <c r="S1998">
        <v>2391.4526999999998</v>
      </c>
      <c r="W1998" s="11" t="s">
        <v>9</v>
      </c>
      <c r="X1998" s="11" t="s">
        <v>1527</v>
      </c>
      <c r="Y1998">
        <v>2391.4526999999998</v>
      </c>
      <c r="AF1998">
        <v>2391.4526999999998</v>
      </c>
      <c r="AG1998" t="s">
        <v>1767</v>
      </c>
    </row>
    <row r="1999" spans="1:33" x14ac:dyDescent="0.3">
      <c r="A1999" t="s">
        <v>437</v>
      </c>
      <c r="B1999" s="2">
        <v>45460</v>
      </c>
      <c r="C1999">
        <v>1014.2588</v>
      </c>
      <c r="D1999" t="s">
        <v>1809</v>
      </c>
      <c r="E1999">
        <v>43</v>
      </c>
      <c r="F1999" t="s">
        <v>16</v>
      </c>
      <c r="G1999" t="s">
        <v>1541</v>
      </c>
      <c r="H1999" t="s">
        <v>1742</v>
      </c>
      <c r="L1999" s="2">
        <v>45460</v>
      </c>
      <c r="M1999">
        <v>1014.2588</v>
      </c>
      <c r="R1999" t="s">
        <v>1809</v>
      </c>
      <c r="S1999">
        <v>1014.2588</v>
      </c>
      <c r="W1999" s="12" t="s">
        <v>16</v>
      </c>
      <c r="X1999" s="12" t="s">
        <v>1541</v>
      </c>
      <c r="Y1999">
        <v>1014.2588</v>
      </c>
      <c r="AF1999">
        <v>1014.2588</v>
      </c>
      <c r="AG1999" t="s">
        <v>1742</v>
      </c>
    </row>
    <row r="2000" spans="1:33" x14ac:dyDescent="0.3">
      <c r="A2000" t="s">
        <v>196</v>
      </c>
      <c r="B2000" s="2">
        <v>45607</v>
      </c>
      <c r="C2000">
        <v>2694.3045000000002</v>
      </c>
      <c r="D2000" t="s">
        <v>1807</v>
      </c>
      <c r="E2000">
        <v>37</v>
      </c>
      <c r="F2000" t="s">
        <v>16</v>
      </c>
      <c r="G2000" t="s">
        <v>1549</v>
      </c>
      <c r="H2000" t="s">
        <v>1742</v>
      </c>
      <c r="L2000" s="2">
        <v>45607</v>
      </c>
      <c r="M2000">
        <v>2694.3045000000002</v>
      </c>
      <c r="R2000" t="s">
        <v>1807</v>
      </c>
      <c r="S2000">
        <v>2694.3045000000002</v>
      </c>
      <c r="W2000" s="11" t="s">
        <v>16</v>
      </c>
      <c r="X2000" s="11" t="s">
        <v>1549</v>
      </c>
      <c r="Y2000">
        <v>2694.3045000000002</v>
      </c>
      <c r="AF2000">
        <v>2694.3045000000002</v>
      </c>
      <c r="AG2000" t="s">
        <v>1742</v>
      </c>
    </row>
    <row r="2001" spans="1:33" x14ac:dyDescent="0.3">
      <c r="A2001" t="s">
        <v>101</v>
      </c>
      <c r="B2001" s="2">
        <v>45267</v>
      </c>
      <c r="C2001">
        <v>170.44049999999999</v>
      </c>
      <c r="D2001" t="s">
        <v>1809</v>
      </c>
      <c r="E2001">
        <v>40</v>
      </c>
      <c r="F2001" t="s">
        <v>9</v>
      </c>
      <c r="G2001" t="s">
        <v>1546</v>
      </c>
      <c r="H2001" t="s">
        <v>1742</v>
      </c>
      <c r="L2001" s="2">
        <v>45267</v>
      </c>
      <c r="M2001">
        <v>170.44049999999999</v>
      </c>
      <c r="R2001" t="s">
        <v>1809</v>
      </c>
      <c r="S2001">
        <v>170.44049999999999</v>
      </c>
      <c r="W2001" s="13" t="s">
        <v>9</v>
      </c>
      <c r="X2001" s="13" t="s">
        <v>1546</v>
      </c>
      <c r="Y2001">
        <v>170.44049999999999</v>
      </c>
      <c r="AF2001">
        <v>170.44049999999999</v>
      </c>
      <c r="AG2001" t="s">
        <v>1742</v>
      </c>
    </row>
  </sheetData>
  <phoneticPr fontId="3" type="noConversion"/>
  <pageMargins left="0.7" right="0.7" top="0.75" bottom="0.75" header="0.3" footer="0.3"/>
  <drawing r:id="rId5"/>
  <tableParts count="5">
    <tablePart r:id="rId6"/>
    <tablePart r:id="rId7"/>
    <tablePart r:id="rId8"/>
    <tablePart r:id="rId9"/>
    <tablePart r:id="rId10"/>
  </tableParts>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E8DA-AD7E-420B-9052-EEBE03C3BDA8}">
  <dimension ref="A1"/>
  <sheetViews>
    <sheetView showGridLines="0" workbookViewId="0">
      <selection activeCell="T27" sqref="T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worksheet.</vt:lpstr>
      <vt:lpstr>Total Sales </vt:lpstr>
      <vt:lpstr>Analysis</vt:lpstr>
      <vt:lpstr>pivot Tables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Rathika sekar</cp:lastModifiedBy>
  <dcterms:created xsi:type="dcterms:W3CDTF">2025-10-14T06:00:18Z</dcterms:created>
  <dcterms:modified xsi:type="dcterms:W3CDTF">2026-08-10T09:05:27Z</dcterms:modified>
</cp:coreProperties>
</file>